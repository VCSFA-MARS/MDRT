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25"/>
  <workbookPr/>
  <mc:AlternateContent xmlns:mc="http://schemas.openxmlformats.org/markup-compatibility/2006">
    <mc:Choice Requires="x15">
      <x15ac:absPath xmlns:x15ac="http://schemas.microsoft.com/office/spreadsheetml/2010/11/ac" url="/Users/nick/Documents/MATLAB/MDRT/ApplicationModules/ValveTiming/"/>
    </mc:Choice>
  </mc:AlternateContent>
  <xr:revisionPtr revIDLastSave="0" documentId="13_ncr:1_{1C8E0A37-70B0-D749-B819-390C564B2BB3}" xr6:coauthVersionLast="47" xr6:coauthVersionMax="47" xr10:uidLastSave="{00000000-0000-0000-0000-000000000000}"/>
  <bookViews>
    <workbookView xWindow="200" yWindow="800" windowWidth="38000" windowHeight="20580" xr2:uid="{00000000-000D-0000-FFFF-FFFF00000000}"/>
  </bookViews>
  <sheets>
    <sheet name="Sheet1" sheetId="1" r:id="rId1"/>
    <sheet name="Requirements" sheetId="2" r:id="rId2"/>
    <sheet name="Sheet3" sheetId="3" r:id="rId3"/>
  </sheets>
  <definedNames>
    <definedName name="_xlnm._FilterDatabase" localSheetId="1" hidden="1">Requirements!$D$2:$D$46</definedName>
    <definedName name="BOM_TO_SIZE">Table2[]</definedName>
    <definedName name="connection_from_find">_xlfn.LAMBDA(_xlpm.findNum, VLOOKUP(_xlpm.findNum,Table1[],4))</definedName>
    <definedName name="diameter_from_connection">_xlfn.LAMBDA(_xlpm.connection, INDEX(Table2[Size],MATCH(_xlpm.connection,Table2[BOM Connection])))</definedName>
    <definedName name="_xlnm.Extract" localSheetId="1">Requirements!$H$4</definedName>
    <definedName name="size_from_connection">_xlfn.LAMBDA(_xlpm.con,INDEX(Table2[Size],MATCH(_xlpm.con,Table2[BOM Connection],0)))</definedName>
    <definedName name="Table_normal_req">Table4[]</definedName>
    <definedName name="timing_from_find">_xlfn.LAMBDA(_xlpm.findNum, timing_from_size(size_from_connection(connection_from_find(_xlpm.findNum))))</definedName>
    <definedName name="timing_from_size">_xlfn.LAMBDA(_xlpm.size, INDEX(Table4[[Open_Min]:[Close_Max]],MATCH(_xlpm.size, Table4[Size],0),0))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4" i="2" l="1" a="1"/>
  <c r="I34" i="2" s="1"/>
  <c r="I35" i="2" s="1" a="1"/>
  <c r="I35" i="2" s="1"/>
  <c r="I36" i="2" s="1" a="1"/>
  <c r="I36" i="2" s="1"/>
  <c r="H40" i="2" a="1"/>
  <c r="H40" i="2" s="1"/>
  <c r="I29" i="2" a="1"/>
  <c r="I29" i="2" s="1"/>
  <c r="I27" i="2" a="1"/>
  <c r="I27" i="2" s="1"/>
  <c r="I25" i="2"/>
  <c r="I26" i="2" s="1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E41" i="2" a="1"/>
  <c r="E41" i="2" s="1"/>
  <c r="E30" i="2" a="1"/>
  <c r="E30" i="2" s="1"/>
  <c r="E31" i="2" a="1"/>
  <c r="E31" i="2" s="1"/>
  <c r="E32" i="2" a="1"/>
  <c r="E32" i="2" s="1"/>
  <c r="E10" i="2" a="1"/>
  <c r="E10" i="2" s="1"/>
  <c r="E11" i="2" a="1"/>
  <c r="E11" i="2" s="1"/>
  <c r="E12" i="2" a="1"/>
  <c r="E12" i="2" s="1"/>
  <c r="E13" i="2" a="1"/>
  <c r="E13" i="2" s="1"/>
  <c r="E14" i="2" a="1"/>
  <c r="E14" i="2" s="1"/>
  <c r="E15" i="2" a="1"/>
  <c r="E15" i="2" s="1"/>
  <c r="E25" i="2" a="1"/>
  <c r="E25" i="2" s="1"/>
  <c r="E26" i="2" a="1"/>
  <c r="E26" i="2" s="1"/>
  <c r="E16" i="2" a="1"/>
  <c r="E16" i="2" s="1"/>
  <c r="E17" i="2" a="1"/>
  <c r="E17" i="2" s="1"/>
  <c r="E18" i="2" a="1"/>
  <c r="E18" i="2" s="1"/>
  <c r="E19" i="2" a="1"/>
  <c r="E19" i="2" s="1"/>
  <c r="E20" i="2" a="1"/>
  <c r="E20" i="2" s="1"/>
  <c r="E21" i="2" a="1"/>
  <c r="E21" i="2" s="1"/>
  <c r="E22" i="2" a="1"/>
  <c r="E22" i="2" s="1"/>
  <c r="E23" i="2" a="1"/>
  <c r="E23" i="2" s="1"/>
  <c r="E24" i="2" a="1"/>
  <c r="E24" i="2" s="1"/>
  <c r="E27" i="2" a="1"/>
  <c r="E27" i="2" s="1"/>
  <c r="E28" i="2" a="1"/>
  <c r="E28" i="2" s="1"/>
  <c r="E2" i="2" a="1"/>
  <c r="E2" i="2" s="1"/>
  <c r="E3" i="2" a="1"/>
  <c r="E3" i="2" s="1"/>
  <c r="E4" i="2" a="1"/>
  <c r="E4" i="2" s="1"/>
  <c r="E5" i="2" a="1"/>
  <c r="E5" i="2" s="1"/>
  <c r="E6" i="2" a="1"/>
  <c r="E6" i="2" s="1"/>
  <c r="E7" i="2" a="1"/>
  <c r="E7" i="2" s="1"/>
  <c r="E8" i="2" a="1"/>
  <c r="E8" i="2" s="1"/>
  <c r="E9" i="2" a="1"/>
  <c r="E9" i="2" s="1"/>
  <c r="E29" i="2" a="1"/>
  <c r="E29" i="2" s="1"/>
  <c r="E42" i="2" a="1"/>
  <c r="E42" i="2" s="1"/>
  <c r="E35" i="2" a="1"/>
  <c r="E35" i="2" s="1"/>
  <c r="E43" i="2" a="1"/>
  <c r="E43" i="2" s="1"/>
  <c r="E44" i="2" a="1"/>
  <c r="E44" i="2" s="1"/>
  <c r="E45" i="2" a="1"/>
  <c r="E45" i="2" s="1"/>
  <c r="E46" i="2" a="1"/>
  <c r="E46" i="2" s="1"/>
  <c r="E39" i="2" a="1"/>
  <c r="E39" i="2" s="1"/>
  <c r="E40" i="2" a="1"/>
  <c r="E40" i="2" s="1"/>
  <c r="E33" i="2" a="1"/>
  <c r="E33" i="2" s="1"/>
  <c r="E38" i="2" a="1"/>
  <c r="E38" i="2" s="1"/>
  <c r="E34" i="2" a="1"/>
  <c r="E34" i="2" s="1"/>
  <c r="E37" i="2" a="1"/>
  <c r="E37" i="2" s="1"/>
  <c r="E36" i="2" a="1"/>
  <c r="E36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<sst xmlns="http://schemas.openxmlformats.org/spreadsheetml/2006/main" count="323" uniqueCount="135">
  <si>
    <t>Valve FN</t>
  </si>
  <si>
    <t>Open I/O</t>
  </si>
  <si>
    <t>Command I/O</t>
  </si>
  <si>
    <t>41C306</t>
  </si>
  <si>
    <t>41C308</t>
  </si>
  <si>
    <t>41C309</t>
  </si>
  <si>
    <t>04C345</t>
  </si>
  <si>
    <t>04C346</t>
  </si>
  <si>
    <t>05C368</t>
  </si>
  <si>
    <t>05C366</t>
  </si>
  <si>
    <t>05C335</t>
  </si>
  <si>
    <t>02C336</t>
  </si>
  <si>
    <t>05C369</t>
  </si>
  <si>
    <t>05C331</t>
  </si>
  <si>
    <t>Valve Type</t>
  </si>
  <si>
    <t>DCVN/C</t>
  </si>
  <si>
    <t>02C341</t>
  </si>
  <si>
    <t>02C325</t>
  </si>
  <si>
    <t>02C324</t>
  </si>
  <si>
    <t>02C326</t>
  </si>
  <si>
    <t>02C330</t>
  </si>
  <si>
    <t>02C327</t>
  </si>
  <si>
    <t>01C301</t>
  </si>
  <si>
    <t>01C300</t>
  </si>
  <si>
    <t>01C302</t>
  </si>
  <si>
    <t>01C303</t>
  </si>
  <si>
    <t>01C305</t>
  </si>
  <si>
    <t>01C306</t>
  </si>
  <si>
    <t>01C307</t>
  </si>
  <si>
    <t>01C308</t>
  </si>
  <si>
    <t>02C323</t>
  </si>
  <si>
    <t>02C328</t>
  </si>
  <si>
    <t>DCVN/O</t>
  </si>
  <si>
    <t>02C339</t>
  </si>
  <si>
    <t>02C340</t>
  </si>
  <si>
    <t>02C342</t>
  </si>
  <si>
    <t>02C343</t>
  </si>
  <si>
    <t>02C344</t>
  </si>
  <si>
    <t>02C348</t>
  </si>
  <si>
    <t>02C349</t>
  </si>
  <si>
    <t>02C388</t>
  </si>
  <si>
    <t>02C389</t>
  </si>
  <si>
    <t>02C334</t>
  </si>
  <si>
    <t>03C390</t>
  </si>
  <si>
    <t>05C332</t>
  </si>
  <si>
    <t>13C301</t>
  </si>
  <si>
    <t>13C302</t>
  </si>
  <si>
    <t>14C320</t>
  </si>
  <si>
    <t>15C313</t>
  </si>
  <si>
    <t>Closed I/O</t>
  </si>
  <si>
    <t>TRUE State Signal</t>
  </si>
  <si>
    <t>Valve, Ball</t>
  </si>
  <si>
    <t>CH4 Primary Ignitor Supply Discrete Valve</t>
  </si>
  <si>
    <t>1/2" Compression</t>
  </si>
  <si>
    <t>GHe Source Pressure Supply Discrete Valve</t>
  </si>
  <si>
    <t xml:space="preserve">1/4" </t>
  </si>
  <si>
    <t>GHe Stage 1 Anti-Geysering Low Flow Discrete Control Valve</t>
  </si>
  <si>
    <t>GHe Stage 1 Anti-Geysering High Flow Discrete Control Valve</t>
  </si>
  <si>
    <t>MARS C3 LO2 Pressure Builder Discrete Control Valve</t>
  </si>
  <si>
    <t>1.5" #150 Flange</t>
  </si>
  <si>
    <t>MARS C2 Tank Discrete Control Vent Valve</t>
  </si>
  <si>
    <t>1" #150 Flange</t>
  </si>
  <si>
    <t>MARS C2 LO2 Pressure Builder Discrete Control Valve</t>
  </si>
  <si>
    <t xml:space="preserve">MARS C3 Tank Discrete Control Valve </t>
  </si>
  <si>
    <t>MARS C2 LO2 Supply to Flow Control Skid Discrete Control Valve</t>
  </si>
  <si>
    <t>3" Flanged</t>
  </si>
  <si>
    <t>MARS C3 LO2 Supply to Flow Control Skid Discrete Control Valve</t>
  </si>
  <si>
    <t>MARS C2 Bypass to PMP-02C691</t>
  </si>
  <si>
    <t>MARS C3 Bypass to PMP-02C692</t>
  </si>
  <si>
    <t>LO2 Flow Control Skid Return Line Discrete Control Vent Valve</t>
  </si>
  <si>
    <t>LO2 S1 Umbilical Discrete Control Vent Valve</t>
  </si>
  <si>
    <t>LO2 S2 Umbilical Interface Discrete Control Vent Valve</t>
  </si>
  <si>
    <t xml:space="preserve">LO2 Flow Control Skid Outlet Primary Discrete Control Valve </t>
  </si>
  <si>
    <t xml:space="preserve">LO2 Flow Control Skid Outlet Redundant Discrete Control Valve </t>
  </si>
  <si>
    <t>LO2 Dump Line Discrete Control Vent Valve</t>
  </si>
  <si>
    <t>LO2 PMP-02C692 Return Line Discrete Control Vent Valve</t>
  </si>
  <si>
    <t xml:space="preserve">LO2 PMP-02C692 Outlet Primary Discrete Control Valve </t>
  </si>
  <si>
    <t xml:space="preserve">LO2 PMP-02C692 Outlet Redundant Discrete Control Valve </t>
  </si>
  <si>
    <t>Discrete Isolation Valve for Return to MARS C2</t>
  </si>
  <si>
    <t xml:space="preserve">2" Flanged </t>
  </si>
  <si>
    <t>Discrete Isolation for Return to MARS C3</t>
  </si>
  <si>
    <t>Main Fill Line Initial Discrete Valve</t>
  </si>
  <si>
    <t xml:space="preserve">2" </t>
  </si>
  <si>
    <t>Filter Skid Inlet Discrete Valve</t>
  </si>
  <si>
    <t>Filter Skid Outlet Discrete Valve</t>
  </si>
  <si>
    <t>Circulation Return Discrete Valve</t>
  </si>
  <si>
    <t>De-tanking Filter Bypass Discrete Valve</t>
  </si>
  <si>
    <t>Detanking Pump Bypass Discrete Valve</t>
  </si>
  <si>
    <t>KERO Tank Return Discrete Valve</t>
  </si>
  <si>
    <t>Return Circulation Discrete Valve</t>
  </si>
  <si>
    <t>LN2 Panel Commodity Supply Discrete Control Valve</t>
  </si>
  <si>
    <t>3/4" NPT</t>
  </si>
  <si>
    <t>GOX Ignitor Primary Supply Discrete Valve</t>
  </si>
  <si>
    <t>Valve, Discrete Three Way</t>
  </si>
  <si>
    <t>3-way Swagelok Valve</t>
  </si>
  <si>
    <t>1/4" Compression</t>
  </si>
  <si>
    <t xml:space="preserve">(Future Item) Flame Trench Curtain Discrete Ball Valve </t>
  </si>
  <si>
    <t>Valve, Butterfly</t>
  </si>
  <si>
    <t>South Side Rainbirds Butterfly Valve</t>
  </si>
  <si>
    <t>6"</t>
  </si>
  <si>
    <t xml:space="preserve">Discrete Ball Valve </t>
  </si>
  <si>
    <t>8"</t>
  </si>
  <si>
    <t>North Side Rainbirds Butterfly Valve</t>
  </si>
  <si>
    <t>CO2 Panel Primary Discrete Valve</t>
  </si>
  <si>
    <t>1" NPT Threaded</t>
  </si>
  <si>
    <t>CO2 Panel Secondary Discrete Valve</t>
  </si>
  <si>
    <t>S2 KERO Purge Regulator Supply 3-way Valve</t>
  </si>
  <si>
    <t xml:space="preserve">KERO GN2 Purge S2 Ball Valve Isolation </t>
  </si>
  <si>
    <t>S1 KERO Tank Purge 3-way Selector Discrete Valve</t>
  </si>
  <si>
    <t xml:space="preserve">RP-1 GN2 Purge S1 Ball Valve Isolation </t>
  </si>
  <si>
    <t xml:space="preserve">High Flow Isolation Ball Valve </t>
  </si>
  <si>
    <t>3/4" Compression</t>
  </si>
  <si>
    <t>04C342</t>
  </si>
  <si>
    <t>01C304</t>
  </si>
  <si>
    <t>41C305</t>
  </si>
  <si>
    <t>Find</t>
  </si>
  <si>
    <t>Desc</t>
  </si>
  <si>
    <t>Connection</t>
  </si>
  <si>
    <t>Component</t>
  </si>
  <si>
    <t>Valve_Size</t>
  </si>
  <si>
    <t>BOM Connection</t>
  </si>
  <si>
    <t>Size</t>
  </si>
  <si>
    <t>GOX Butterfly</t>
  </si>
  <si>
    <t>WDS Butterfly</t>
  </si>
  <si>
    <t>15C</t>
  </si>
  <si>
    <t>41C</t>
  </si>
  <si>
    <t>Open_Min</t>
  </si>
  <si>
    <t>Open_Max</t>
  </si>
  <si>
    <t>Close_Min</t>
  </si>
  <si>
    <t>Close_Max</t>
  </si>
  <si>
    <t>Column1</t>
  </si>
  <si>
    <t>connection from find</t>
  </si>
  <si>
    <t>size from connection</t>
  </si>
  <si>
    <t>timing from size</t>
  </si>
  <si>
    <t>timing_from_find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</si>
</sst>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rgb="FF3F3F76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CC99"/>
      </patternFill>
    </fill>
  </fills>
  <borders count="3">
    <border>
      <left/>
      <right/>
      <top/>
      <bottom/>
      <diagonal/>
    </border>
    <border>
      <left/>
      <right/>
      <top style="medium">
        <color theme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3" fillId="5" borderId="2" applyNumberFormat="0" applyAlignment="0" applyProtection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0" fillId="3" borderId="0" xfId="0" applyFont="1" applyFill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4" borderId="0" xfId="0" applyFont="1" applyFill="1" applyAlignment="1">
      <alignment horizontal="center" vertical="center"/>
    </xf>
    <xf numFmtId="0" fontId="0" fillId="4" borderId="0" xfId="0" applyFont="1" applyFill="1"/>
    <xf numFmtId="0" fontId="0" fillId="0" borderId="0" xfId="0" applyFont="1"/>
    <xf numFmtId="0" fontId="2" fillId="0" borderId="0" xfId="0" applyFont="1"/>
    <xf numFmtId="164" fontId="0" fillId="0" borderId="0" xfId="0" applyNumberFormat="1"/>
    <xf numFmtId="0" fontId="1" fillId="2" borderId="0" xfId="0" applyFont="1" applyFill="1" applyBorder="1" applyAlignment="1">
      <alignment horizontal="center" vertical="center"/>
    </xf>
    <xf numFmtId="0" fontId="0" fillId="4" borderId="0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3" fillId="5" borderId="2" xfId="1"/>
  </cellXfs>
  <cellStyles count="2">
    <cellStyle name="Input" xfId="1" builtinId="20"/>
    <cellStyle name="Normal" xfId="0" builtinId="0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</dxf>
    <dxf>
      <border outline="0">
        <top style="medium">
          <color theme="1"/>
        </top>
        <bottom style="medium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font>
        <b/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numFmt numFmtId="0" formatCode="General"/>
    </dxf>
    <dxf>
      <numFmt numFmtId="0" formatCode="General"/>
    </dxf>
    <dxf>
      <font>
        <b/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431800</xdr:colOff>
      <xdr:row>25</xdr:row>
      <xdr:rowOff>152400</xdr:rowOff>
    </xdr:from>
    <xdr:to>
      <xdr:col>42</xdr:col>
      <xdr:colOff>17932</xdr:colOff>
      <xdr:row>52</xdr:row>
      <xdr:rowOff>139700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39491F-D115-AD0B-DBD4-FF3FA6E963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669500" y="4991100"/>
          <a:ext cx="13619632" cy="513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11E65C7-1F07-D24B-ABB2-BBC2D61288CE}" name="Table3" displayName="Table3" ref="A1:J44" totalsRowShown="0" headerRowDxfId="14" dataDxfId="13" tableBorderDxfId="12">
  <autoFilter ref="A1:J44" xr:uid="{611E65C7-1F07-D24B-ABB2-BBC2D61288CE}"/>
  <sortState xmlns:xlrd2="http://schemas.microsoft.com/office/spreadsheetml/2017/richdata2" ref="A2:F44">
    <sortCondition ref="B1:B44"/>
  </sortState>
  <tableColumns count="10">
    <tableColumn id="1" xr3:uid="{638ECC2F-FC00-394B-AB29-829073FD95BD}" name="Valve Type" dataDxfId="11"/>
    <tableColumn id="2" xr3:uid="{95B72D95-7126-2D4B-BD42-560378E2478B}" name="Valve FN" dataDxfId="10"/>
    <tableColumn id="3" xr3:uid="{1C28C0B7-EB01-164F-BC1F-4AD0236C4ED4}" name="Open I/O" dataDxfId="9"/>
    <tableColumn id="4" xr3:uid="{9063E8B3-5F15-DC4C-BA30-92C9AAD4F6D6}" name="Closed I/O" dataDxfId="8"/>
    <tableColumn id="5" xr3:uid="{BB29291E-0D89-F244-AE14-AC9A7E43955A}" name="Command I/O" dataDxfId="7"/>
    <tableColumn id="6" xr3:uid="{B03A0761-0C9D-7A43-BD9C-032D64245A32}" name="TRUE State Signal" dataDxfId="6"/>
    <tableColumn id="7" xr3:uid="{B3C7DE10-4CF0-744E-AF56-5872B0CBD1CE}" name="Open_Min" dataDxfId="5"/>
    <tableColumn id="8" xr3:uid="{F2C2894C-0FFC-CE44-945B-5AC19D5B6D2C}" name="Open_Max" dataDxfId="4"/>
    <tableColumn id="9" xr3:uid="{B8195841-CBAB-374C-AD63-0BF72BDF04FF}" name="Close_Min" dataDxfId="3"/>
    <tableColumn id="10" xr3:uid="{5556F2CA-6641-E448-831A-C2CE333008F3}" name="Close_Max" dataDxfId="2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8D4EDF-DA51-EC44-9717-E0E35FFCB297}" name="Table1" displayName="Table1" ref="A1:F46" totalsRowShown="0" headerRowDxfId="23">
  <sortState xmlns:xlrd2="http://schemas.microsoft.com/office/spreadsheetml/2017/richdata2" ref="A2:F46">
    <sortCondition ref="A1:A46"/>
  </sortState>
  <tableColumns count="6">
    <tableColumn id="1" xr3:uid="{A702FBF6-912F-844D-95E0-0E0AF170AE24}" name="Find"/>
    <tableColumn id="2" xr3:uid="{429BA4B4-A157-A04B-AF7F-0E5FA003F2D8}" name="Component"/>
    <tableColumn id="3" xr3:uid="{17D0EC8C-E9F3-A444-8699-7A4FED5184E0}" name="Desc"/>
    <tableColumn id="4" xr3:uid="{B130B13B-B755-DE4B-B4C0-29A36437D8F2}" name="Connection"/>
    <tableColumn id="5" xr3:uid="{774A9C8A-3E23-2641-94DE-21B4AEE9E95E}" name="Valve_Size" dataDxfId="22">
      <calculatedColumnFormula array="1">size_from_connection(Table1[[#This Row],[Connection]])</calculatedColumnFormula>
    </tableColumn>
    <tableColumn id="6" xr3:uid="{270789F0-E690-4E43-9BF4-2487B6F0FA19}" name="Column1" dataDxfId="21">
      <calculatedColumnFormula>ISERROR(MATCH(Table1[[#This Row],[Find]],Table3[Valve FN],0))</calculatedColumnFormula>
    </tableColumn>
  </tableColumns>
  <tableStyleInfo name="TableStyleMedium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250AD48-524E-5C41-BCB3-74EB75269E3C}" name="Table2" displayName="Table2" ref="H1:I14" totalsRowShown="0" headerRowDxfId="20">
  <autoFilter ref="H1:I14" xr:uid="{2250AD48-524E-5C41-BCB3-74EB75269E3C}"/>
  <tableColumns count="2">
    <tableColumn id="1" xr3:uid="{DD69C03E-E9C0-B841-889E-763E9D6FDE90}" name="BOM Connection"/>
    <tableColumn id="2" xr3:uid="{2831A891-2313-7343-A88D-B8DC091345E7}" name="Size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2F36033-04E7-8948-8621-5FB2281A5E32}" name="Table4" displayName="Table4" ref="L1:P10" totalsRowShown="0" headerRowDxfId="15">
  <autoFilter ref="L1:P10" xr:uid="{A2F36033-04E7-8948-8621-5FB2281A5E32}"/>
  <tableColumns count="5">
    <tableColumn id="1" xr3:uid="{F07B81A4-5B58-024C-9E32-3D0CF4EB9132}" name="Size"/>
    <tableColumn id="2" xr3:uid="{8F007D28-9431-8549-BCC3-830A60D10A0E}" name="Open_Min" dataDxfId="19"/>
    <tableColumn id="3" xr3:uid="{A259F2DD-38A9-F742-B639-ED2F509BACAF}" name="Open_Max" dataDxfId="18"/>
    <tableColumn id="4" xr3:uid="{D44346DB-C3C9-3E4B-B6E1-84C1BDEB4876}" name="Close_Min" dataDxfId="17"/>
    <tableColumn id="5" xr3:uid="{80242C8E-9B00-7B43-8D86-B90E45BBE06F}" name="Close_Max" dataDxfId="16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4"/>
  <sheetViews>
    <sheetView tabSelected="1" zoomScale="120" zoomScaleNormal="120" workbookViewId="0">
      <pane ySplit="1" topLeftCell="A2" activePane="bottomLeft" state="frozen"/>
      <selection pane="bottomLeft" activeCell="G1" sqref="G1:J1"/>
    </sheetView>
  </sheetViews>
  <sheetFormatPr baseColWidth="10" defaultColWidth="9.1640625" defaultRowHeight="15" x14ac:dyDescent="0.2"/>
  <cols>
    <col min="1" max="1" width="13" style="1" customWidth="1"/>
    <col min="2" max="2" width="12.83203125" style="1" bestFit="1" customWidth="1"/>
    <col min="3" max="3" width="12.33203125" style="1" customWidth="1"/>
    <col min="4" max="4" width="13.5" style="1" customWidth="1"/>
    <col min="5" max="5" width="16" style="1" customWidth="1"/>
    <col min="6" max="6" width="16.5" style="1" customWidth="1"/>
    <col min="7" max="7" width="14.33203125" style="1" bestFit="1" customWidth="1"/>
    <col min="8" max="8" width="14.5" style="1" bestFit="1" customWidth="1"/>
    <col min="9" max="9" width="14.33203125" style="1" bestFit="1" customWidth="1"/>
    <col min="10" max="10" width="14.5" style="1" bestFit="1" customWidth="1"/>
    <col min="11" max="16384" width="9.1640625" style="1"/>
  </cols>
  <sheetData>
    <row r="1" spans="1:10" ht="16" thickBot="1" x14ac:dyDescent="0.25">
      <c r="A1" s="10" t="s">
        <v>14</v>
      </c>
      <c r="B1" s="10" t="s">
        <v>0</v>
      </c>
      <c r="C1" s="10" t="s">
        <v>1</v>
      </c>
      <c r="D1" s="10" t="s">
        <v>49</v>
      </c>
      <c r="E1" s="10" t="s">
        <v>2</v>
      </c>
      <c r="F1" s="10" t="s">
        <v>50</v>
      </c>
      <c r="G1" s="12" t="s">
        <v>126</v>
      </c>
      <c r="H1" s="12" t="s">
        <v>127</v>
      </c>
      <c r="I1" s="12" t="s">
        <v>128</v>
      </c>
      <c r="J1" s="12" t="s">
        <v>129</v>
      </c>
    </row>
    <row r="2" spans="1:10" x14ac:dyDescent="0.2">
      <c r="A2" s="2" t="s">
        <v>15</v>
      </c>
      <c r="B2" s="2" t="s">
        <v>23</v>
      </c>
      <c r="C2" s="2">
        <v>794</v>
      </c>
      <c r="D2" s="2">
        <v>795</v>
      </c>
      <c r="E2" s="2">
        <v>793</v>
      </c>
      <c r="F2" s="2">
        <v>0</v>
      </c>
      <c r="G2" s="13" t="e">
        <v>#N/A</v>
      </c>
      <c r="H2" s="13"/>
      <c r="I2" s="13"/>
      <c r="J2" s="13"/>
    </row>
    <row r="3" spans="1:10" x14ac:dyDescent="0.2">
      <c r="A3" s="3" t="s">
        <v>32</v>
      </c>
      <c r="B3" s="4" t="s">
        <v>22</v>
      </c>
      <c r="C3" s="4">
        <v>301</v>
      </c>
      <c r="D3" s="4">
        <v>308</v>
      </c>
      <c r="E3" s="4">
        <v>288</v>
      </c>
      <c r="F3" s="4">
        <v>0</v>
      </c>
      <c r="G3" s="13">
        <v>0</v>
      </c>
      <c r="H3" s="13">
        <v>3</v>
      </c>
      <c r="I3" s="13">
        <v>0</v>
      </c>
      <c r="J3" s="13">
        <v>3</v>
      </c>
    </row>
    <row r="4" spans="1:10" x14ac:dyDescent="0.2">
      <c r="A4" s="5" t="s">
        <v>15</v>
      </c>
      <c r="B4" s="5" t="s">
        <v>24</v>
      </c>
      <c r="C4" s="5">
        <v>303</v>
      </c>
      <c r="D4" s="5">
        <v>310</v>
      </c>
      <c r="E4" s="5">
        <v>290</v>
      </c>
      <c r="F4" s="5">
        <v>0</v>
      </c>
      <c r="G4" s="13">
        <v>0</v>
      </c>
      <c r="H4" s="13">
        <v>3</v>
      </c>
      <c r="I4" s="13">
        <v>0</v>
      </c>
      <c r="J4" s="13">
        <v>3</v>
      </c>
    </row>
    <row r="5" spans="1:10" x14ac:dyDescent="0.2">
      <c r="A5" s="4" t="s">
        <v>15</v>
      </c>
      <c r="B5" s="4" t="s">
        <v>25</v>
      </c>
      <c r="C5" s="4">
        <v>304</v>
      </c>
      <c r="D5" s="4">
        <v>311</v>
      </c>
      <c r="E5" s="4">
        <v>291</v>
      </c>
      <c r="F5" s="4">
        <v>0</v>
      </c>
      <c r="G5" s="13">
        <v>0</v>
      </c>
      <c r="H5" s="13">
        <v>3</v>
      </c>
      <c r="I5" s="13">
        <v>0</v>
      </c>
      <c r="J5" s="13">
        <v>3</v>
      </c>
    </row>
    <row r="6" spans="1:10" x14ac:dyDescent="0.2">
      <c r="A6" s="5" t="s">
        <v>15</v>
      </c>
      <c r="B6" s="5" t="s">
        <v>26</v>
      </c>
      <c r="C6" s="5">
        <v>305</v>
      </c>
      <c r="D6" s="5">
        <v>312</v>
      </c>
      <c r="E6" s="5">
        <v>292</v>
      </c>
      <c r="F6" s="5">
        <v>0</v>
      </c>
      <c r="G6" s="13">
        <v>0</v>
      </c>
      <c r="H6" s="13">
        <v>3</v>
      </c>
      <c r="I6" s="13">
        <v>0</v>
      </c>
      <c r="J6" s="13">
        <v>3</v>
      </c>
    </row>
    <row r="7" spans="1:10" x14ac:dyDescent="0.2">
      <c r="A7" s="4" t="s">
        <v>15</v>
      </c>
      <c r="B7" s="4" t="s">
        <v>27</v>
      </c>
      <c r="C7" s="4">
        <v>302</v>
      </c>
      <c r="D7" s="4">
        <v>309</v>
      </c>
      <c r="E7" s="4">
        <v>289</v>
      </c>
      <c r="F7" s="4">
        <v>0</v>
      </c>
      <c r="G7" s="13">
        <v>0</v>
      </c>
      <c r="H7" s="13">
        <v>3</v>
      </c>
      <c r="I7" s="13">
        <v>0</v>
      </c>
      <c r="J7" s="13">
        <v>3</v>
      </c>
    </row>
    <row r="8" spans="1:10" x14ac:dyDescent="0.2">
      <c r="A8" s="5" t="s">
        <v>15</v>
      </c>
      <c r="B8" s="5" t="s">
        <v>28</v>
      </c>
      <c r="C8" s="5">
        <v>306</v>
      </c>
      <c r="D8" s="5">
        <v>313</v>
      </c>
      <c r="E8" s="5">
        <v>293</v>
      </c>
      <c r="F8" s="5">
        <v>0</v>
      </c>
      <c r="G8" s="13">
        <v>0</v>
      </c>
      <c r="H8" s="13">
        <v>3</v>
      </c>
      <c r="I8" s="13">
        <v>0</v>
      </c>
      <c r="J8" s="13">
        <v>3</v>
      </c>
    </row>
    <row r="9" spans="1:10" x14ac:dyDescent="0.2">
      <c r="A9" s="3" t="s">
        <v>32</v>
      </c>
      <c r="B9" s="3" t="s">
        <v>29</v>
      </c>
      <c r="C9" s="3">
        <v>528</v>
      </c>
      <c r="D9" s="3">
        <v>529</v>
      </c>
      <c r="E9" s="3">
        <v>287</v>
      </c>
      <c r="F9" s="3">
        <v>0</v>
      </c>
      <c r="G9" s="13">
        <v>0</v>
      </c>
      <c r="H9" s="13">
        <v>3</v>
      </c>
      <c r="I9" s="13">
        <v>0</v>
      </c>
      <c r="J9" s="13">
        <v>3</v>
      </c>
    </row>
    <row r="10" spans="1:10" x14ac:dyDescent="0.2">
      <c r="A10" s="5" t="s">
        <v>15</v>
      </c>
      <c r="B10" s="5" t="s">
        <v>30</v>
      </c>
      <c r="C10" s="5">
        <v>358</v>
      </c>
      <c r="D10" s="5">
        <v>359</v>
      </c>
      <c r="E10" s="5">
        <v>317</v>
      </c>
      <c r="F10" s="5">
        <v>0</v>
      </c>
      <c r="G10" s="13">
        <v>0</v>
      </c>
      <c r="H10" s="13">
        <v>3</v>
      </c>
      <c r="I10" s="13">
        <v>0</v>
      </c>
      <c r="J10" s="13">
        <v>3</v>
      </c>
    </row>
    <row r="11" spans="1:10" x14ac:dyDescent="0.2">
      <c r="A11" s="4" t="s">
        <v>32</v>
      </c>
      <c r="B11" s="4" t="s">
        <v>18</v>
      </c>
      <c r="C11" s="4">
        <v>376</v>
      </c>
      <c r="D11" s="4">
        <v>377</v>
      </c>
      <c r="E11" s="4">
        <v>355</v>
      </c>
      <c r="F11" s="4">
        <v>0</v>
      </c>
      <c r="G11" s="13">
        <v>0</v>
      </c>
      <c r="H11" s="13">
        <v>3</v>
      </c>
      <c r="I11" s="13">
        <v>0</v>
      </c>
      <c r="J11" s="13">
        <v>3</v>
      </c>
    </row>
    <row r="12" spans="1:10" x14ac:dyDescent="0.2">
      <c r="A12" s="5" t="s">
        <v>15</v>
      </c>
      <c r="B12" s="5" t="s">
        <v>17</v>
      </c>
      <c r="C12" s="5">
        <v>360</v>
      </c>
      <c r="D12" s="5">
        <v>361</v>
      </c>
      <c r="E12" s="5">
        <v>319</v>
      </c>
      <c r="F12" s="5">
        <v>0</v>
      </c>
      <c r="G12" s="13">
        <v>0</v>
      </c>
      <c r="H12" s="13">
        <v>3</v>
      </c>
      <c r="I12" s="13">
        <v>0</v>
      </c>
      <c r="J12" s="13">
        <v>3</v>
      </c>
    </row>
    <row r="13" spans="1:10" x14ac:dyDescent="0.2">
      <c r="A13" s="4" t="s">
        <v>32</v>
      </c>
      <c r="B13" s="4" t="s">
        <v>19</v>
      </c>
      <c r="C13" s="4">
        <v>362</v>
      </c>
      <c r="D13" s="4">
        <v>363</v>
      </c>
      <c r="E13" s="4">
        <v>320</v>
      </c>
      <c r="F13" s="4">
        <v>0</v>
      </c>
      <c r="G13" s="13">
        <v>0</v>
      </c>
      <c r="H13" s="13">
        <v>3</v>
      </c>
      <c r="I13" s="13">
        <v>0</v>
      </c>
      <c r="J13" s="13">
        <v>3</v>
      </c>
    </row>
    <row r="14" spans="1:10" x14ac:dyDescent="0.2">
      <c r="A14" s="5" t="s">
        <v>15</v>
      </c>
      <c r="B14" s="5" t="s">
        <v>21</v>
      </c>
      <c r="C14" s="5">
        <v>372</v>
      </c>
      <c r="D14" s="5">
        <v>373</v>
      </c>
      <c r="E14" s="5">
        <v>356</v>
      </c>
      <c r="F14" s="5">
        <v>0</v>
      </c>
      <c r="G14" s="13">
        <v>0</v>
      </c>
      <c r="H14" s="13">
        <v>10</v>
      </c>
      <c r="I14" s="13">
        <v>0</v>
      </c>
      <c r="J14" s="13">
        <v>10</v>
      </c>
    </row>
    <row r="15" spans="1:10" x14ac:dyDescent="0.2">
      <c r="A15" s="4" t="s">
        <v>15</v>
      </c>
      <c r="B15" s="4" t="s">
        <v>31</v>
      </c>
      <c r="C15" s="4">
        <v>364</v>
      </c>
      <c r="D15" s="4">
        <v>365</v>
      </c>
      <c r="E15" s="4">
        <v>351</v>
      </c>
      <c r="F15" s="4">
        <v>0</v>
      </c>
      <c r="G15" s="13">
        <v>0</v>
      </c>
      <c r="H15" s="13">
        <v>10</v>
      </c>
      <c r="I15" s="13">
        <v>0</v>
      </c>
      <c r="J15" s="13">
        <v>10</v>
      </c>
    </row>
    <row r="16" spans="1:10" x14ac:dyDescent="0.2">
      <c r="A16" s="5" t="s">
        <v>15</v>
      </c>
      <c r="B16" s="5" t="s">
        <v>20</v>
      </c>
      <c r="C16" s="5">
        <v>335</v>
      </c>
      <c r="D16" s="5">
        <v>336</v>
      </c>
      <c r="E16" s="5">
        <v>322</v>
      </c>
      <c r="F16" s="5">
        <v>0</v>
      </c>
      <c r="G16" s="13">
        <v>0</v>
      </c>
      <c r="H16" s="13">
        <v>3</v>
      </c>
      <c r="I16" s="13">
        <v>0</v>
      </c>
      <c r="J16" s="13">
        <v>3</v>
      </c>
    </row>
    <row r="17" spans="1:10" x14ac:dyDescent="0.2">
      <c r="A17" s="4" t="s">
        <v>15</v>
      </c>
      <c r="B17" s="4" t="s">
        <v>42</v>
      </c>
      <c r="C17" s="4">
        <v>343</v>
      </c>
      <c r="D17" s="4">
        <v>344</v>
      </c>
      <c r="E17" s="4">
        <v>382</v>
      </c>
      <c r="F17" s="4">
        <v>0</v>
      </c>
      <c r="G17" s="13">
        <v>0</v>
      </c>
      <c r="H17" s="13">
        <v>3</v>
      </c>
      <c r="I17" s="13">
        <v>0</v>
      </c>
      <c r="J17" s="13">
        <v>3</v>
      </c>
    </row>
    <row r="18" spans="1:10" x14ac:dyDescent="0.2">
      <c r="A18" s="5" t="s">
        <v>15</v>
      </c>
      <c r="B18" s="5" t="s">
        <v>11</v>
      </c>
      <c r="C18" s="5">
        <v>341</v>
      </c>
      <c r="D18" s="5">
        <v>342</v>
      </c>
      <c r="E18" s="5">
        <v>380</v>
      </c>
      <c r="F18" s="5">
        <v>0</v>
      </c>
      <c r="G18" s="13">
        <v>0</v>
      </c>
      <c r="H18" s="13">
        <v>3</v>
      </c>
      <c r="I18" s="13">
        <v>0</v>
      </c>
      <c r="J18" s="13">
        <v>3</v>
      </c>
    </row>
    <row r="19" spans="1:10" x14ac:dyDescent="0.2">
      <c r="A19" s="4" t="s">
        <v>15</v>
      </c>
      <c r="B19" s="4" t="s">
        <v>33</v>
      </c>
      <c r="C19" s="4">
        <v>337</v>
      </c>
      <c r="D19" s="4">
        <v>338</v>
      </c>
      <c r="E19" s="4">
        <v>323</v>
      </c>
      <c r="F19" s="4">
        <v>0</v>
      </c>
      <c r="G19" s="13">
        <v>0</v>
      </c>
      <c r="H19" s="13">
        <v>3</v>
      </c>
      <c r="I19" s="13">
        <v>0</v>
      </c>
      <c r="J19" s="13">
        <v>3</v>
      </c>
    </row>
    <row r="20" spans="1:10" x14ac:dyDescent="0.2">
      <c r="A20" s="5" t="s">
        <v>15</v>
      </c>
      <c r="B20" s="5" t="s">
        <v>34</v>
      </c>
      <c r="C20" s="5">
        <v>333</v>
      </c>
      <c r="D20" s="5">
        <v>334</v>
      </c>
      <c r="E20" s="5">
        <v>318</v>
      </c>
      <c r="F20" s="5">
        <v>0</v>
      </c>
      <c r="G20" s="13">
        <v>0</v>
      </c>
      <c r="H20" s="13">
        <v>3</v>
      </c>
      <c r="I20" s="13">
        <v>0</v>
      </c>
      <c r="J20" s="13">
        <v>3</v>
      </c>
    </row>
    <row r="21" spans="1:10" x14ac:dyDescent="0.2">
      <c r="A21" s="4" t="s">
        <v>32</v>
      </c>
      <c r="B21" s="4" t="s">
        <v>16</v>
      </c>
      <c r="C21" s="4">
        <v>345</v>
      </c>
      <c r="D21" s="4">
        <v>346</v>
      </c>
      <c r="E21" s="4">
        <v>384</v>
      </c>
      <c r="F21" s="4">
        <v>0</v>
      </c>
      <c r="G21" s="13">
        <v>0</v>
      </c>
      <c r="H21" s="13">
        <v>3</v>
      </c>
      <c r="I21" s="13">
        <v>0</v>
      </c>
      <c r="J21" s="13">
        <v>3</v>
      </c>
    </row>
    <row r="22" spans="1:10" x14ac:dyDescent="0.2">
      <c r="A22" s="5" t="s">
        <v>15</v>
      </c>
      <c r="B22" s="5" t="s">
        <v>35</v>
      </c>
      <c r="C22" s="5">
        <v>347</v>
      </c>
      <c r="D22" s="5">
        <v>348</v>
      </c>
      <c r="E22" s="5">
        <v>385</v>
      </c>
      <c r="F22" s="5">
        <v>0</v>
      </c>
      <c r="G22" s="13">
        <v>0</v>
      </c>
      <c r="H22" s="13">
        <v>3</v>
      </c>
      <c r="I22" s="13">
        <v>0</v>
      </c>
      <c r="J22" s="13">
        <v>3</v>
      </c>
    </row>
    <row r="23" spans="1:10" x14ac:dyDescent="0.2">
      <c r="A23" s="4" t="s">
        <v>15</v>
      </c>
      <c r="B23" s="4" t="s">
        <v>36</v>
      </c>
      <c r="C23" s="4">
        <v>349</v>
      </c>
      <c r="D23" s="4">
        <v>350</v>
      </c>
      <c r="E23" s="4">
        <v>386</v>
      </c>
      <c r="F23" s="4">
        <v>0</v>
      </c>
      <c r="G23" s="13">
        <v>0</v>
      </c>
      <c r="H23" s="13">
        <v>3</v>
      </c>
      <c r="I23" s="13">
        <v>0</v>
      </c>
      <c r="J23" s="13">
        <v>3</v>
      </c>
    </row>
    <row r="24" spans="1:10" x14ac:dyDescent="0.2">
      <c r="A24" s="5" t="s">
        <v>15</v>
      </c>
      <c r="B24" s="5" t="s">
        <v>37</v>
      </c>
      <c r="C24" s="5">
        <v>391</v>
      </c>
      <c r="D24" s="5">
        <v>392</v>
      </c>
      <c r="E24" s="5">
        <v>387</v>
      </c>
      <c r="F24" s="5">
        <v>0</v>
      </c>
      <c r="G24" s="13">
        <v>0</v>
      </c>
      <c r="H24" s="13">
        <v>3</v>
      </c>
      <c r="I24" s="13">
        <v>0</v>
      </c>
      <c r="J24" s="13">
        <v>3</v>
      </c>
    </row>
    <row r="25" spans="1:10" x14ac:dyDescent="0.2">
      <c r="A25" s="4" t="s">
        <v>15</v>
      </c>
      <c r="B25" s="4" t="s">
        <v>38</v>
      </c>
      <c r="C25" s="4">
        <v>370</v>
      </c>
      <c r="D25" s="4">
        <v>371</v>
      </c>
      <c r="E25" s="4">
        <v>354</v>
      </c>
      <c r="F25" s="4">
        <v>0</v>
      </c>
      <c r="G25" s="13">
        <v>0</v>
      </c>
      <c r="H25" s="13">
        <v>10</v>
      </c>
      <c r="I25" s="13">
        <v>0</v>
      </c>
      <c r="J25" s="13">
        <v>10</v>
      </c>
    </row>
    <row r="26" spans="1:10" x14ac:dyDescent="0.2">
      <c r="A26" s="5" t="s">
        <v>15</v>
      </c>
      <c r="B26" s="5" t="s">
        <v>39</v>
      </c>
      <c r="C26" s="5">
        <v>366</v>
      </c>
      <c r="D26" s="5">
        <v>367</v>
      </c>
      <c r="E26" s="5">
        <v>352</v>
      </c>
      <c r="F26" s="5">
        <v>0</v>
      </c>
      <c r="G26" s="13">
        <v>0</v>
      </c>
      <c r="H26" s="13">
        <v>10</v>
      </c>
      <c r="I26" s="13">
        <v>0</v>
      </c>
      <c r="J26" s="13">
        <v>10</v>
      </c>
    </row>
    <row r="27" spans="1:10" x14ac:dyDescent="0.2">
      <c r="A27" s="4" t="s">
        <v>15</v>
      </c>
      <c r="B27" s="4" t="s">
        <v>40</v>
      </c>
      <c r="C27" s="4">
        <v>393</v>
      </c>
      <c r="D27" s="4">
        <v>394</v>
      </c>
      <c r="E27" s="4">
        <v>388</v>
      </c>
      <c r="F27" s="4">
        <v>0</v>
      </c>
      <c r="G27" s="13">
        <v>0</v>
      </c>
      <c r="H27" s="13">
        <v>3</v>
      </c>
      <c r="I27" s="13">
        <v>0</v>
      </c>
      <c r="J27" s="13">
        <v>3</v>
      </c>
    </row>
    <row r="28" spans="1:10" x14ac:dyDescent="0.2">
      <c r="A28" s="5" t="s">
        <v>15</v>
      </c>
      <c r="B28" s="5" t="s">
        <v>41</v>
      </c>
      <c r="C28" s="5">
        <v>339</v>
      </c>
      <c r="D28" s="5">
        <v>340</v>
      </c>
      <c r="E28" s="5">
        <v>379</v>
      </c>
      <c r="F28" s="5">
        <v>0</v>
      </c>
      <c r="G28" s="13">
        <v>0</v>
      </c>
      <c r="H28" s="13">
        <v>3</v>
      </c>
      <c r="I28" s="13">
        <v>0</v>
      </c>
      <c r="J28" s="13">
        <v>3</v>
      </c>
    </row>
    <row r="29" spans="1:10" x14ac:dyDescent="0.2">
      <c r="A29" s="4" t="s">
        <v>32</v>
      </c>
      <c r="B29" s="4" t="s">
        <v>43</v>
      </c>
      <c r="C29" s="4">
        <v>566</v>
      </c>
      <c r="D29" s="4">
        <v>567</v>
      </c>
      <c r="E29" s="4">
        <v>565</v>
      </c>
      <c r="F29" s="4">
        <v>0</v>
      </c>
      <c r="G29" s="13">
        <v>0</v>
      </c>
      <c r="H29" s="13">
        <v>3</v>
      </c>
      <c r="I29" s="13">
        <v>0</v>
      </c>
      <c r="J29" s="13">
        <v>3</v>
      </c>
    </row>
    <row r="30" spans="1:10" x14ac:dyDescent="0.2">
      <c r="A30" s="5" t="s">
        <v>15</v>
      </c>
      <c r="B30" s="5" t="s">
        <v>6</v>
      </c>
      <c r="C30" s="5">
        <v>517</v>
      </c>
      <c r="D30" s="5">
        <v>518</v>
      </c>
      <c r="E30" s="5">
        <v>5</v>
      </c>
      <c r="F30" s="5">
        <v>1</v>
      </c>
      <c r="G30" s="13">
        <v>0</v>
      </c>
      <c r="H30" s="13">
        <v>3</v>
      </c>
      <c r="I30" s="13">
        <v>0</v>
      </c>
      <c r="J30" s="13">
        <v>3</v>
      </c>
    </row>
    <row r="31" spans="1:10" x14ac:dyDescent="0.2">
      <c r="A31" s="4" t="s">
        <v>15</v>
      </c>
      <c r="B31" s="4" t="s">
        <v>7</v>
      </c>
      <c r="C31" s="4">
        <v>519</v>
      </c>
      <c r="D31" s="4">
        <v>520</v>
      </c>
      <c r="E31" s="4">
        <v>1</v>
      </c>
      <c r="F31" s="3">
        <v>1</v>
      </c>
      <c r="G31" s="13">
        <v>0</v>
      </c>
      <c r="H31" s="13">
        <v>3</v>
      </c>
      <c r="I31" s="13">
        <v>0</v>
      </c>
      <c r="J31" s="13">
        <v>3</v>
      </c>
    </row>
    <row r="32" spans="1:10" x14ac:dyDescent="0.2">
      <c r="A32" s="5" t="s">
        <v>15</v>
      </c>
      <c r="B32" s="5" t="s">
        <v>13</v>
      </c>
      <c r="C32" s="5">
        <v>600</v>
      </c>
      <c r="D32" s="5">
        <v>601</v>
      </c>
      <c r="E32" s="5">
        <v>599</v>
      </c>
      <c r="F32" s="5">
        <v>0</v>
      </c>
      <c r="G32" s="13">
        <v>0</v>
      </c>
      <c r="H32" s="13">
        <v>3</v>
      </c>
      <c r="I32" s="13">
        <v>0</v>
      </c>
      <c r="J32" s="13">
        <v>3</v>
      </c>
    </row>
    <row r="33" spans="1:10" x14ac:dyDescent="0.2">
      <c r="A33" s="4" t="s">
        <v>15</v>
      </c>
      <c r="B33" s="4" t="s">
        <v>44</v>
      </c>
      <c r="C33" s="4">
        <v>607</v>
      </c>
      <c r="D33" s="4">
        <v>608</v>
      </c>
      <c r="E33" s="4">
        <v>606</v>
      </c>
      <c r="F33" s="4">
        <v>0</v>
      </c>
      <c r="G33" s="13">
        <v>0</v>
      </c>
      <c r="H33" s="13">
        <v>3</v>
      </c>
      <c r="I33" s="13">
        <v>0</v>
      </c>
      <c r="J33" s="13">
        <v>3</v>
      </c>
    </row>
    <row r="34" spans="1:10" x14ac:dyDescent="0.2">
      <c r="A34" s="5" t="s">
        <v>15</v>
      </c>
      <c r="B34" s="5" t="s">
        <v>10</v>
      </c>
      <c r="C34" s="5">
        <v>791</v>
      </c>
      <c r="D34" s="5">
        <v>792</v>
      </c>
      <c r="E34" s="5">
        <v>603</v>
      </c>
      <c r="F34" s="5">
        <v>0</v>
      </c>
      <c r="G34" s="13">
        <v>0</v>
      </c>
      <c r="H34" s="13">
        <v>3</v>
      </c>
      <c r="I34" s="13">
        <v>0</v>
      </c>
      <c r="J34" s="13">
        <v>3</v>
      </c>
    </row>
    <row r="35" spans="1:10" x14ac:dyDescent="0.2">
      <c r="A35" s="4" t="s">
        <v>15</v>
      </c>
      <c r="B35" s="4" t="s">
        <v>9</v>
      </c>
      <c r="C35" s="4">
        <v>570</v>
      </c>
      <c r="D35" s="4">
        <v>571</v>
      </c>
      <c r="E35" s="4">
        <v>569</v>
      </c>
      <c r="F35" s="4">
        <v>0</v>
      </c>
      <c r="G35" s="13">
        <v>0</v>
      </c>
      <c r="H35" s="13">
        <v>3</v>
      </c>
      <c r="I35" s="13">
        <v>0</v>
      </c>
      <c r="J35" s="13">
        <v>3</v>
      </c>
    </row>
    <row r="36" spans="1:10" x14ac:dyDescent="0.2">
      <c r="A36" s="5" t="s">
        <v>15</v>
      </c>
      <c r="B36" s="5" t="s">
        <v>8</v>
      </c>
      <c r="C36" s="5">
        <v>558</v>
      </c>
      <c r="D36" s="5">
        <v>559</v>
      </c>
      <c r="E36" s="5">
        <v>560</v>
      </c>
      <c r="F36" s="5">
        <v>0</v>
      </c>
      <c r="G36" s="13">
        <v>0</v>
      </c>
      <c r="H36" s="13">
        <v>3</v>
      </c>
      <c r="I36" s="13">
        <v>0</v>
      </c>
      <c r="J36" s="13">
        <v>3</v>
      </c>
    </row>
    <row r="37" spans="1:10" x14ac:dyDescent="0.2">
      <c r="A37" s="4" t="s">
        <v>15</v>
      </c>
      <c r="B37" s="4" t="s">
        <v>12</v>
      </c>
      <c r="C37" s="4">
        <v>576</v>
      </c>
      <c r="D37" s="4">
        <v>577</v>
      </c>
      <c r="E37" s="4">
        <v>575</v>
      </c>
      <c r="F37" s="4">
        <v>0</v>
      </c>
      <c r="G37" s="13">
        <v>0</v>
      </c>
      <c r="H37" s="13">
        <v>3</v>
      </c>
      <c r="I37" s="13">
        <v>0</v>
      </c>
      <c r="J37" s="13">
        <v>3</v>
      </c>
    </row>
    <row r="38" spans="1:10" x14ac:dyDescent="0.2">
      <c r="A38" s="5" t="s">
        <v>15</v>
      </c>
      <c r="B38" s="5" t="s">
        <v>45</v>
      </c>
      <c r="C38" s="5">
        <v>24</v>
      </c>
      <c r="D38" s="5">
        <v>21</v>
      </c>
      <c r="E38" s="5">
        <v>20</v>
      </c>
      <c r="F38" s="5">
        <v>0</v>
      </c>
      <c r="G38" s="13">
        <v>0</v>
      </c>
      <c r="H38" s="13">
        <v>3</v>
      </c>
      <c r="I38" s="13">
        <v>0</v>
      </c>
      <c r="J38" s="13">
        <v>3</v>
      </c>
    </row>
    <row r="39" spans="1:10" x14ac:dyDescent="0.2">
      <c r="A39" s="4" t="s">
        <v>15</v>
      </c>
      <c r="B39" s="4" t="s">
        <v>46</v>
      </c>
      <c r="C39" s="4">
        <v>25</v>
      </c>
      <c r="D39" s="4">
        <v>23</v>
      </c>
      <c r="E39" s="4">
        <v>22</v>
      </c>
      <c r="F39" s="4">
        <v>0</v>
      </c>
      <c r="G39" s="13">
        <v>0</v>
      </c>
      <c r="H39" s="13">
        <v>3</v>
      </c>
      <c r="I39" s="13">
        <v>0</v>
      </c>
      <c r="J39" s="13">
        <v>3</v>
      </c>
    </row>
    <row r="40" spans="1:10" x14ac:dyDescent="0.2">
      <c r="A40" s="5" t="s">
        <v>15</v>
      </c>
      <c r="B40" s="5" t="s">
        <v>47</v>
      </c>
      <c r="C40" s="5">
        <v>542</v>
      </c>
      <c r="D40" s="5">
        <v>543</v>
      </c>
      <c r="E40" s="5">
        <v>284</v>
      </c>
      <c r="F40" s="5">
        <v>0</v>
      </c>
      <c r="G40" s="13">
        <v>0</v>
      </c>
      <c r="H40" s="13">
        <v>3</v>
      </c>
      <c r="I40" s="13">
        <v>0</v>
      </c>
      <c r="J40" s="13">
        <v>3</v>
      </c>
    </row>
    <row r="41" spans="1:10" x14ac:dyDescent="0.2">
      <c r="A41" s="4" t="s">
        <v>15</v>
      </c>
      <c r="B41" s="4" t="s">
        <v>48</v>
      </c>
      <c r="C41" s="4">
        <v>540</v>
      </c>
      <c r="D41" s="4">
        <v>541</v>
      </c>
      <c r="E41" s="4">
        <v>279</v>
      </c>
      <c r="F41" s="4">
        <v>0</v>
      </c>
      <c r="G41" s="13">
        <v>1.5</v>
      </c>
      <c r="H41" s="13">
        <v>3</v>
      </c>
      <c r="I41" s="13">
        <v>0</v>
      </c>
      <c r="J41" s="13">
        <v>0.5</v>
      </c>
    </row>
    <row r="42" spans="1:10" x14ac:dyDescent="0.2">
      <c r="A42" s="5" t="s">
        <v>15</v>
      </c>
      <c r="B42" s="5" t="s">
        <v>3</v>
      </c>
      <c r="C42" s="5">
        <v>534</v>
      </c>
      <c r="D42" s="5">
        <v>535</v>
      </c>
      <c r="E42" s="5">
        <v>449</v>
      </c>
      <c r="F42" s="5">
        <v>0</v>
      </c>
      <c r="G42" s="13">
        <v>0</v>
      </c>
      <c r="H42" s="13">
        <v>2</v>
      </c>
      <c r="I42" s="13">
        <v>0</v>
      </c>
      <c r="J42" s="13">
        <v>9</v>
      </c>
    </row>
    <row r="43" spans="1:10" x14ac:dyDescent="0.2">
      <c r="A43" s="4" t="s">
        <v>15</v>
      </c>
      <c r="B43" s="4" t="s">
        <v>4</v>
      </c>
      <c r="C43" s="4">
        <v>536</v>
      </c>
      <c r="D43" s="4">
        <v>537</v>
      </c>
      <c r="E43" s="4">
        <v>451</v>
      </c>
      <c r="F43" s="4">
        <v>0</v>
      </c>
      <c r="G43" s="13">
        <v>0</v>
      </c>
      <c r="H43" s="13">
        <v>2</v>
      </c>
      <c r="I43" s="13">
        <v>0</v>
      </c>
      <c r="J43" s="13">
        <v>9</v>
      </c>
    </row>
    <row r="44" spans="1:10" x14ac:dyDescent="0.2">
      <c r="A44" s="11" t="s">
        <v>15</v>
      </c>
      <c r="B44" s="11" t="s">
        <v>5</v>
      </c>
      <c r="C44" s="11">
        <v>538</v>
      </c>
      <c r="D44" s="11">
        <v>539</v>
      </c>
      <c r="E44" s="11">
        <v>452</v>
      </c>
      <c r="F44" s="11">
        <v>0</v>
      </c>
      <c r="G44" s="13">
        <v>0</v>
      </c>
      <c r="H44" s="13">
        <v>2</v>
      </c>
      <c r="I44" s="13">
        <v>0</v>
      </c>
      <c r="J44" s="13">
        <v>9</v>
      </c>
    </row>
  </sheetData>
  <phoneticPr fontId="4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8A275-4617-994E-A7F6-597473BB1D6B}">
  <dimension ref="A1:P46"/>
  <sheetViews>
    <sheetView workbookViewId="0">
      <selection activeCell="H44" sqref="H44"/>
    </sheetView>
  </sheetViews>
  <sheetFormatPr baseColWidth="10" defaultRowHeight="15" x14ac:dyDescent="0.2"/>
  <cols>
    <col min="1" max="1" width="7.1640625" bestFit="1" customWidth="1"/>
    <col min="2" max="2" width="20.5" bestFit="1" customWidth="1"/>
    <col min="3" max="3" width="50.5" customWidth="1"/>
    <col min="4" max="4" width="14.6640625" bestFit="1" customWidth="1"/>
    <col min="5" max="5" width="13" customWidth="1"/>
    <col min="7" max="7" width="14.6640625" bestFit="1" customWidth="1"/>
    <col min="8" max="8" width="23.1640625" bestFit="1" customWidth="1"/>
    <col min="11" max="11" width="11.83203125" bestFit="1" customWidth="1"/>
    <col min="13" max="13" width="15.5" customWidth="1"/>
    <col min="14" max="14" width="15.83203125" customWidth="1"/>
    <col min="15" max="15" width="15.1640625" customWidth="1"/>
    <col min="16" max="16" width="15.5" customWidth="1"/>
  </cols>
  <sheetData>
    <row r="1" spans="1:16" s="8" customFormat="1" ht="21" x14ac:dyDescent="0.25">
      <c r="A1" s="8" t="s">
        <v>115</v>
      </c>
      <c r="B1" s="8" t="s">
        <v>118</v>
      </c>
      <c r="C1" s="8" t="s">
        <v>116</v>
      </c>
      <c r="D1" s="8" t="s">
        <v>117</v>
      </c>
      <c r="E1" s="8" t="s">
        <v>119</v>
      </c>
      <c r="F1" s="8" t="s">
        <v>130</v>
      </c>
      <c r="H1" s="8" t="s">
        <v>120</v>
      </c>
      <c r="I1" s="8" t="s">
        <v>121</v>
      </c>
      <c r="L1" s="8" t="s">
        <v>121</v>
      </c>
      <c r="M1" s="8" t="s">
        <v>126</v>
      </c>
      <c r="N1" s="8" t="s">
        <v>127</v>
      </c>
      <c r="O1" s="8" t="s">
        <v>128</v>
      </c>
      <c r="P1" s="8" t="s">
        <v>129</v>
      </c>
    </row>
    <row r="2" spans="1:16" x14ac:dyDescent="0.2">
      <c r="A2" t="s">
        <v>22</v>
      </c>
      <c r="B2" t="s">
        <v>51</v>
      </c>
      <c r="C2" t="s">
        <v>81</v>
      </c>
      <c r="D2" t="s">
        <v>82</v>
      </c>
      <c r="E2" cm="1">
        <f t="array" ref="E2">size_from_connection(Table1[[#This Row],[Connection]])</f>
        <v>2</v>
      </c>
      <c r="F2" t="b">
        <f>ISERROR(MATCH(Table1[[#This Row],[Find]],Table3[Valve FN],0))</f>
        <v>0</v>
      </c>
      <c r="H2" t="s">
        <v>55</v>
      </c>
      <c r="I2">
        <v>0.25</v>
      </c>
      <c r="L2">
        <v>0.25</v>
      </c>
      <c r="M2" s="9">
        <v>0</v>
      </c>
      <c r="N2" s="9">
        <v>3</v>
      </c>
      <c r="O2" s="9">
        <v>0</v>
      </c>
      <c r="P2" s="9">
        <v>3</v>
      </c>
    </row>
    <row r="3" spans="1:16" x14ac:dyDescent="0.2">
      <c r="A3" t="s">
        <v>24</v>
      </c>
      <c r="B3" t="s">
        <v>51</v>
      </c>
      <c r="C3" t="s">
        <v>83</v>
      </c>
      <c r="D3" t="s">
        <v>82</v>
      </c>
      <c r="E3" cm="1">
        <f t="array" ref="E3">size_from_connection(Table1[[#This Row],[Connection]])</f>
        <v>2</v>
      </c>
      <c r="F3" t="b">
        <f>ISERROR(MATCH(Table1[[#This Row],[Find]],Table3[Valve FN],0))</f>
        <v>0</v>
      </c>
      <c r="H3" t="s">
        <v>95</v>
      </c>
      <c r="I3">
        <v>0.25</v>
      </c>
      <c r="L3">
        <v>0.5</v>
      </c>
      <c r="M3" s="9">
        <v>0</v>
      </c>
      <c r="N3" s="9">
        <v>3</v>
      </c>
      <c r="O3" s="9">
        <v>0</v>
      </c>
      <c r="P3" s="9">
        <v>3</v>
      </c>
    </row>
    <row r="4" spans="1:16" x14ac:dyDescent="0.2">
      <c r="A4" t="s">
        <v>25</v>
      </c>
      <c r="B4" t="s">
        <v>51</v>
      </c>
      <c r="C4" t="s">
        <v>84</v>
      </c>
      <c r="D4" t="s">
        <v>82</v>
      </c>
      <c r="E4" cm="1">
        <f t="array" ref="E4">size_from_connection(Table1[[#This Row],[Connection]])</f>
        <v>2</v>
      </c>
      <c r="F4" t="b">
        <f>ISERROR(MATCH(Table1[[#This Row],[Find]],Table3[Valve FN],0))</f>
        <v>0</v>
      </c>
      <c r="H4" t="s">
        <v>53</v>
      </c>
      <c r="I4">
        <v>0.5</v>
      </c>
      <c r="L4">
        <v>0.75</v>
      </c>
      <c r="M4" s="9">
        <v>0</v>
      </c>
      <c r="N4" s="9">
        <v>3</v>
      </c>
      <c r="O4" s="9">
        <v>0</v>
      </c>
      <c r="P4" s="9">
        <v>3</v>
      </c>
    </row>
    <row r="5" spans="1:16" x14ac:dyDescent="0.2">
      <c r="A5" t="s">
        <v>113</v>
      </c>
      <c r="B5" t="s">
        <v>51</v>
      </c>
      <c r="C5" t="s">
        <v>85</v>
      </c>
      <c r="D5" t="s">
        <v>82</v>
      </c>
      <c r="E5" cm="1">
        <f t="array" ref="E5">size_from_connection(Table1[[#This Row],[Connection]])</f>
        <v>2</v>
      </c>
      <c r="F5" t="b">
        <f>ISERROR(MATCH(Table1[[#This Row],[Find]],Table3[Valve FN],0))</f>
        <v>1</v>
      </c>
      <c r="H5" t="s">
        <v>111</v>
      </c>
      <c r="I5">
        <v>0.75</v>
      </c>
      <c r="L5">
        <v>1</v>
      </c>
      <c r="M5" s="9">
        <v>0</v>
      </c>
      <c r="N5" s="9">
        <v>3</v>
      </c>
      <c r="O5" s="9">
        <v>0</v>
      </c>
      <c r="P5" s="9">
        <v>3</v>
      </c>
    </row>
    <row r="6" spans="1:16" x14ac:dyDescent="0.2">
      <c r="A6" t="s">
        <v>26</v>
      </c>
      <c r="B6" t="s">
        <v>51</v>
      </c>
      <c r="C6" t="s">
        <v>86</v>
      </c>
      <c r="D6" t="s">
        <v>82</v>
      </c>
      <c r="E6" cm="1">
        <f t="array" ref="E6">size_from_connection(Table1[[#This Row],[Connection]])</f>
        <v>2</v>
      </c>
      <c r="F6" t="b">
        <f>ISERROR(MATCH(Table1[[#This Row],[Find]],Table3[Valve FN],0))</f>
        <v>0</v>
      </c>
      <c r="H6" t="s">
        <v>91</v>
      </c>
      <c r="I6">
        <v>0.75</v>
      </c>
      <c r="L6">
        <v>1.5</v>
      </c>
      <c r="M6" s="9">
        <v>0</v>
      </c>
      <c r="N6" s="9">
        <v>3</v>
      </c>
      <c r="O6" s="9">
        <v>0</v>
      </c>
      <c r="P6" s="9">
        <v>3</v>
      </c>
    </row>
    <row r="7" spans="1:16" x14ac:dyDescent="0.2">
      <c r="A7" t="s">
        <v>27</v>
      </c>
      <c r="B7" t="s">
        <v>51</v>
      </c>
      <c r="C7" t="s">
        <v>87</v>
      </c>
      <c r="D7" t="s">
        <v>82</v>
      </c>
      <c r="E7" cm="1">
        <f t="array" ref="E7">size_from_connection(Table1[[#This Row],[Connection]])</f>
        <v>2</v>
      </c>
      <c r="F7" t="b">
        <f>ISERROR(MATCH(Table1[[#This Row],[Find]],Table3[Valve FN],0))</f>
        <v>0</v>
      </c>
      <c r="H7" t="s">
        <v>61</v>
      </c>
      <c r="I7">
        <v>1</v>
      </c>
      <c r="L7">
        <v>2</v>
      </c>
      <c r="M7" s="9">
        <v>0</v>
      </c>
      <c r="N7" s="9">
        <v>3</v>
      </c>
      <c r="O7" s="9">
        <v>0</v>
      </c>
      <c r="P7" s="9">
        <v>3</v>
      </c>
    </row>
    <row r="8" spans="1:16" x14ac:dyDescent="0.2">
      <c r="A8" t="s">
        <v>28</v>
      </c>
      <c r="B8" t="s">
        <v>51</v>
      </c>
      <c r="C8" t="s">
        <v>88</v>
      </c>
      <c r="D8" t="s">
        <v>82</v>
      </c>
      <c r="E8" cm="1">
        <f t="array" ref="E8">size_from_connection(Table1[[#This Row],[Connection]])</f>
        <v>2</v>
      </c>
      <c r="F8" t="b">
        <f>ISERROR(MATCH(Table1[[#This Row],[Find]],Table3[Valve FN],0))</f>
        <v>0</v>
      </c>
      <c r="H8" t="s">
        <v>104</v>
      </c>
      <c r="I8">
        <v>1</v>
      </c>
      <c r="L8">
        <v>3</v>
      </c>
      <c r="M8" s="9">
        <v>0</v>
      </c>
      <c r="N8" s="9">
        <v>10</v>
      </c>
      <c r="O8" s="9">
        <v>0</v>
      </c>
      <c r="P8" s="9">
        <v>10</v>
      </c>
    </row>
    <row r="9" spans="1:16" x14ac:dyDescent="0.2">
      <c r="A9" t="s">
        <v>29</v>
      </c>
      <c r="B9" t="s">
        <v>51</v>
      </c>
      <c r="C9" t="s">
        <v>89</v>
      </c>
      <c r="D9" t="s">
        <v>82</v>
      </c>
      <c r="E9" cm="1">
        <f t="array" ref="E9">size_from_connection(Table1[[#This Row],[Connection]])</f>
        <v>2</v>
      </c>
      <c r="F9" t="b">
        <f>ISERROR(MATCH(Table1[[#This Row],[Find]],Table3[Valve FN],0))</f>
        <v>0</v>
      </c>
      <c r="H9" t="s">
        <v>59</v>
      </c>
      <c r="I9">
        <v>1.5</v>
      </c>
      <c r="L9">
        <v>6</v>
      </c>
      <c r="M9" s="9">
        <v>0</v>
      </c>
      <c r="N9" s="9">
        <v>10</v>
      </c>
      <c r="O9" s="9">
        <v>0</v>
      </c>
      <c r="P9" s="9">
        <v>10</v>
      </c>
    </row>
    <row r="10" spans="1:16" x14ac:dyDescent="0.2">
      <c r="A10" t="s">
        <v>30</v>
      </c>
      <c r="B10" t="s">
        <v>51</v>
      </c>
      <c r="C10" t="s">
        <v>58</v>
      </c>
      <c r="D10" t="s">
        <v>59</v>
      </c>
      <c r="E10" cm="1">
        <f t="array" ref="E10">size_from_connection(Table1[[#This Row],[Connection]])</f>
        <v>1.5</v>
      </c>
      <c r="F10" t="b">
        <f>ISERROR(MATCH(Table1[[#This Row],[Find]],Table3[Valve FN],0))</f>
        <v>0</v>
      </c>
      <c r="H10" t="s">
        <v>79</v>
      </c>
      <c r="I10">
        <v>2</v>
      </c>
      <c r="L10">
        <v>8</v>
      </c>
      <c r="M10" s="9">
        <v>0</v>
      </c>
      <c r="N10" s="9">
        <v>10</v>
      </c>
      <c r="O10" s="9">
        <v>0</v>
      </c>
      <c r="P10" s="9">
        <v>10</v>
      </c>
    </row>
    <row r="11" spans="1:16" x14ac:dyDescent="0.2">
      <c r="A11" t="s">
        <v>18</v>
      </c>
      <c r="B11" t="s">
        <v>51</v>
      </c>
      <c r="C11" t="s">
        <v>60</v>
      </c>
      <c r="D11" t="s">
        <v>61</v>
      </c>
      <c r="E11" cm="1">
        <f t="array" ref="E11">size_from_connection(Table1[[#This Row],[Connection]])</f>
        <v>1</v>
      </c>
      <c r="F11" t="b">
        <f>ISERROR(MATCH(Table1[[#This Row],[Find]],Table3[Valve FN],0))</f>
        <v>0</v>
      </c>
      <c r="H11" t="s">
        <v>82</v>
      </c>
      <c r="I11">
        <v>2</v>
      </c>
    </row>
    <row r="12" spans="1:16" x14ac:dyDescent="0.2">
      <c r="A12" t="s">
        <v>17</v>
      </c>
      <c r="B12" t="s">
        <v>51</v>
      </c>
      <c r="C12" t="s">
        <v>62</v>
      </c>
      <c r="D12" t="s">
        <v>59</v>
      </c>
      <c r="E12" cm="1">
        <f t="array" ref="E12">size_from_connection(Table1[[#This Row],[Connection]])</f>
        <v>1.5</v>
      </c>
      <c r="F12" t="b">
        <f>ISERROR(MATCH(Table1[[#This Row],[Find]],Table3[Valve FN],0))</f>
        <v>0</v>
      </c>
      <c r="H12" t="s">
        <v>65</v>
      </c>
      <c r="I12">
        <v>3</v>
      </c>
    </row>
    <row r="13" spans="1:16" ht="21" x14ac:dyDescent="0.25">
      <c r="A13" t="s">
        <v>19</v>
      </c>
      <c r="B13" t="s">
        <v>51</v>
      </c>
      <c r="C13" t="s">
        <v>63</v>
      </c>
      <c r="D13" t="s">
        <v>61</v>
      </c>
      <c r="E13" cm="1">
        <f t="array" ref="E13">size_from_connection(Table1[[#This Row],[Connection]])</f>
        <v>1</v>
      </c>
      <c r="F13" t="b">
        <f>ISERROR(MATCH(Table1[[#This Row],[Find]],Table3[Valve FN],0))</f>
        <v>0</v>
      </c>
      <c r="H13" t="s">
        <v>99</v>
      </c>
      <c r="I13">
        <v>6</v>
      </c>
      <c r="K13" s="8"/>
      <c r="M13" s="8" t="s">
        <v>126</v>
      </c>
      <c r="N13" s="8" t="s">
        <v>127</v>
      </c>
      <c r="O13" s="8" t="s">
        <v>128</v>
      </c>
      <c r="P13" s="8" t="s">
        <v>129</v>
      </c>
    </row>
    <row r="14" spans="1:16" x14ac:dyDescent="0.2">
      <c r="A14" t="s">
        <v>21</v>
      </c>
      <c r="B14" t="s">
        <v>51</v>
      </c>
      <c r="C14" t="s">
        <v>64</v>
      </c>
      <c r="D14" t="s">
        <v>65</v>
      </c>
      <c r="E14" cm="1">
        <f t="array" ref="E14">size_from_connection(Table1[[#This Row],[Connection]])</f>
        <v>3</v>
      </c>
      <c r="F14" t="b">
        <f>ISERROR(MATCH(Table1[[#This Row],[Find]],Table3[Valve FN],0))</f>
        <v>0</v>
      </c>
      <c r="H14" t="s">
        <v>101</v>
      </c>
      <c r="I14">
        <v>8</v>
      </c>
      <c r="K14" t="s">
        <v>122</v>
      </c>
      <c r="L14" t="s">
        <v>124</v>
      </c>
      <c r="M14" s="9">
        <v>1.5</v>
      </c>
      <c r="N14" s="9">
        <v>3</v>
      </c>
      <c r="O14" s="9">
        <v>0</v>
      </c>
      <c r="P14" s="9">
        <v>0.5</v>
      </c>
    </row>
    <row r="15" spans="1:16" x14ac:dyDescent="0.2">
      <c r="A15" t="s">
        <v>31</v>
      </c>
      <c r="B15" t="s">
        <v>51</v>
      </c>
      <c r="C15" t="s">
        <v>66</v>
      </c>
      <c r="D15" t="s">
        <v>65</v>
      </c>
      <c r="E15" cm="1">
        <f t="array" ref="E15">size_from_connection(Table1[[#This Row],[Connection]])</f>
        <v>3</v>
      </c>
      <c r="F15" t="b">
        <f>ISERROR(MATCH(Table1[[#This Row],[Find]],Table3[Valve FN],0))</f>
        <v>0</v>
      </c>
      <c r="K15" t="s">
        <v>123</v>
      </c>
      <c r="L15" t="s">
        <v>125</v>
      </c>
      <c r="M15" s="9">
        <v>0</v>
      </c>
      <c r="N15" s="9">
        <v>2</v>
      </c>
      <c r="O15" s="9">
        <v>0</v>
      </c>
      <c r="P15" s="9">
        <v>9</v>
      </c>
    </row>
    <row r="16" spans="1:16" x14ac:dyDescent="0.2">
      <c r="A16" t="s">
        <v>20</v>
      </c>
      <c r="B16" t="s">
        <v>51</v>
      </c>
      <c r="C16" t="s">
        <v>69</v>
      </c>
      <c r="D16" t="s">
        <v>59</v>
      </c>
      <c r="E16" cm="1">
        <f t="array" ref="E16">size_from_connection(Table1[[#This Row],[Connection]])</f>
        <v>1.5</v>
      </c>
      <c r="F16" t="b">
        <f>ISERROR(MATCH(Table1[[#This Row],[Find]],Table3[Valve FN],0))</f>
        <v>0</v>
      </c>
    </row>
    <row r="17" spans="1:12" x14ac:dyDescent="0.2">
      <c r="A17" t="s">
        <v>42</v>
      </c>
      <c r="B17" t="s">
        <v>51</v>
      </c>
      <c r="C17" t="s">
        <v>70</v>
      </c>
      <c r="D17" t="s">
        <v>59</v>
      </c>
      <c r="E17" cm="1">
        <f t="array" ref="E17">size_from_connection(Table1[[#This Row],[Connection]])</f>
        <v>1.5</v>
      </c>
      <c r="F17" t="b">
        <f>ISERROR(MATCH(Table1[[#This Row],[Find]],Table3[Valve FN],0))</f>
        <v>0</v>
      </c>
    </row>
    <row r="18" spans="1:12" x14ac:dyDescent="0.2">
      <c r="A18" t="s">
        <v>11</v>
      </c>
      <c r="B18" t="s">
        <v>51</v>
      </c>
      <c r="C18" t="s">
        <v>71</v>
      </c>
      <c r="D18" t="s">
        <v>59</v>
      </c>
      <c r="E18" cm="1">
        <f t="array" ref="E18">size_from_connection(Table1[[#This Row],[Connection]])</f>
        <v>1.5</v>
      </c>
      <c r="F18" t="b">
        <f>ISERROR(MATCH(Table1[[#This Row],[Find]],Table3[Valve FN],0))</f>
        <v>0</v>
      </c>
    </row>
    <row r="19" spans="1:12" x14ac:dyDescent="0.2">
      <c r="A19" t="s">
        <v>33</v>
      </c>
      <c r="B19" t="s">
        <v>51</v>
      </c>
      <c r="C19" t="s">
        <v>72</v>
      </c>
      <c r="D19" t="s">
        <v>59</v>
      </c>
      <c r="E19" cm="1">
        <f t="array" ref="E19">size_from_connection(Table1[[#This Row],[Connection]])</f>
        <v>1.5</v>
      </c>
      <c r="F19" t="b">
        <f>ISERROR(MATCH(Table1[[#This Row],[Find]],Table3[Valve FN],0))</f>
        <v>0</v>
      </c>
    </row>
    <row r="20" spans="1:12" x14ac:dyDescent="0.2">
      <c r="A20" t="s">
        <v>34</v>
      </c>
      <c r="B20" t="s">
        <v>51</v>
      </c>
      <c r="C20" t="s">
        <v>73</v>
      </c>
      <c r="D20" t="s">
        <v>59</v>
      </c>
      <c r="E20" cm="1">
        <f t="array" ref="E20">size_from_connection(Table1[[#This Row],[Connection]])</f>
        <v>1.5</v>
      </c>
      <c r="F20" t="b">
        <f>ISERROR(MATCH(Table1[[#This Row],[Find]],Table3[Valve FN],0))</f>
        <v>0</v>
      </c>
    </row>
    <row r="21" spans="1:12" x14ac:dyDescent="0.2">
      <c r="A21" t="s">
        <v>16</v>
      </c>
      <c r="B21" t="s">
        <v>51</v>
      </c>
      <c r="C21" t="s">
        <v>74</v>
      </c>
      <c r="D21" t="s">
        <v>59</v>
      </c>
      <c r="E21" cm="1">
        <f t="array" ref="E21">size_from_connection(Table1[[#This Row],[Connection]])</f>
        <v>1.5</v>
      </c>
      <c r="F21" t="b">
        <f>ISERROR(MATCH(Table1[[#This Row],[Find]],Table3[Valve FN],0))</f>
        <v>0</v>
      </c>
    </row>
    <row r="22" spans="1:12" x14ac:dyDescent="0.2">
      <c r="A22" t="s">
        <v>35</v>
      </c>
      <c r="B22" t="s">
        <v>51</v>
      </c>
      <c r="C22" t="s">
        <v>75</v>
      </c>
      <c r="D22" t="s">
        <v>59</v>
      </c>
      <c r="E22" cm="1">
        <f t="array" ref="E22">size_from_connection(Table1[[#This Row],[Connection]])</f>
        <v>1.5</v>
      </c>
      <c r="F22" t="b">
        <f>ISERROR(MATCH(Table1[[#This Row],[Find]],Table3[Valve FN],0))</f>
        <v>0</v>
      </c>
    </row>
    <row r="23" spans="1:12" x14ac:dyDescent="0.2">
      <c r="A23" t="s">
        <v>36</v>
      </c>
      <c r="B23" t="s">
        <v>51</v>
      </c>
      <c r="C23" t="s">
        <v>76</v>
      </c>
      <c r="D23" t="s">
        <v>59</v>
      </c>
      <c r="E23" cm="1">
        <f t="array" ref="E23">size_from_connection(Table1[[#This Row],[Connection]])</f>
        <v>1.5</v>
      </c>
      <c r="F23" t="b">
        <f>ISERROR(MATCH(Table1[[#This Row],[Find]],Table3[Valve FN],0))</f>
        <v>0</v>
      </c>
    </row>
    <row r="24" spans="1:12" x14ac:dyDescent="0.2">
      <c r="A24" t="s">
        <v>37</v>
      </c>
      <c r="B24" t="s">
        <v>51</v>
      </c>
      <c r="C24" t="s">
        <v>77</v>
      </c>
      <c r="D24" t="s">
        <v>59</v>
      </c>
      <c r="E24" cm="1">
        <f t="array" ref="E24">size_from_connection(Table1[[#This Row],[Connection]])</f>
        <v>1.5</v>
      </c>
      <c r="F24" t="b">
        <f>ISERROR(MATCH(Table1[[#This Row],[Find]],Table3[Valve FN],0))</f>
        <v>0</v>
      </c>
    </row>
    <row r="25" spans="1:12" ht="16" x14ac:dyDescent="0.2">
      <c r="A25" t="s">
        <v>38</v>
      </c>
      <c r="B25" t="s">
        <v>51</v>
      </c>
      <c r="C25" t="s">
        <v>67</v>
      </c>
      <c r="D25" t="s">
        <v>65</v>
      </c>
      <c r="E25" cm="1">
        <f t="array" ref="E25">size_from_connection(Table1[[#This Row],[Connection]])</f>
        <v>3</v>
      </c>
      <c r="F25" t="b">
        <f>ISERROR(MATCH(Table1[[#This Row],[Find]],Table3[Valve FN],0))</f>
        <v>0</v>
      </c>
      <c r="H25" s="14" t="s">
        <v>38</v>
      </c>
      <c r="I25" t="str">
        <f>VLOOKUP(H25,Table1[],4)</f>
        <v>3" Flanged</v>
      </c>
    </row>
    <row r="26" spans="1:12" x14ac:dyDescent="0.2">
      <c r="A26" t="s">
        <v>39</v>
      </c>
      <c r="B26" t="s">
        <v>51</v>
      </c>
      <c r="C26" t="s">
        <v>68</v>
      </c>
      <c r="D26" t="s">
        <v>65</v>
      </c>
      <c r="E26" cm="1">
        <f t="array" ref="E26">size_from_connection(Table1[[#This Row],[Connection]])</f>
        <v>3</v>
      </c>
      <c r="F26" t="b">
        <f>ISERROR(MATCH(Table1[[#This Row],[Find]],Table3[Valve FN],0))</f>
        <v>0</v>
      </c>
      <c r="I26">
        <f>INDEX(Table2[Size],MATCH(I25,Table2[BOM Connection]))</f>
        <v>3</v>
      </c>
    </row>
    <row r="27" spans="1:12" x14ac:dyDescent="0.2">
      <c r="A27" t="s">
        <v>40</v>
      </c>
      <c r="B27" t="s">
        <v>51</v>
      </c>
      <c r="C27" t="s">
        <v>78</v>
      </c>
      <c r="D27" t="s">
        <v>79</v>
      </c>
      <c r="E27" cm="1">
        <f t="array" ref="E27">size_from_connection(Table1[[#This Row],[Connection]])</f>
        <v>2</v>
      </c>
      <c r="F27" t="b">
        <f>ISERROR(MATCH(Table1[[#This Row],[Find]],Table3[Valve FN],0))</f>
        <v>0</v>
      </c>
      <c r="I27" s="9" cm="1">
        <f t="array" ref="I27:L27">INDEX(M2:P10,3,0)</f>
        <v>0</v>
      </c>
      <c r="J27">
        <v>3</v>
      </c>
      <c r="K27">
        <v>0</v>
      </c>
      <c r="L27">
        <v>3</v>
      </c>
    </row>
    <row r="28" spans="1:12" x14ac:dyDescent="0.2">
      <c r="A28" t="s">
        <v>41</v>
      </c>
      <c r="B28" t="s">
        <v>51</v>
      </c>
      <c r="C28" t="s">
        <v>80</v>
      </c>
      <c r="D28" t="s">
        <v>79</v>
      </c>
      <c r="E28" cm="1">
        <f t="array" ref="E28">size_from_connection(Table1[[#This Row],[Connection]])</f>
        <v>2</v>
      </c>
      <c r="F28" t="b">
        <f>ISERROR(MATCH(Table1[[#This Row],[Find]],Table3[Valve FN],0))</f>
        <v>0</v>
      </c>
    </row>
    <row r="29" spans="1:12" x14ac:dyDescent="0.2">
      <c r="A29" t="s">
        <v>43</v>
      </c>
      <c r="B29" t="s">
        <v>51</v>
      </c>
      <c r="C29" t="s">
        <v>90</v>
      </c>
      <c r="D29" t="s">
        <v>91</v>
      </c>
      <c r="E29" cm="1">
        <f t="array" ref="E29">size_from_connection(Table1[[#This Row],[Connection]])</f>
        <v>0.75</v>
      </c>
      <c r="F29" t="b">
        <f>ISERROR(MATCH(Table1[[#This Row],[Find]],Table3[Valve FN],0))</f>
        <v>0</v>
      </c>
      <c r="I29" s="9" cm="1">
        <f t="array" ref="I29:L29">INDEX(Table4[[Open_Min]:[Close_Max]],3,0)</f>
        <v>0</v>
      </c>
      <c r="J29">
        <v>3</v>
      </c>
      <c r="K29">
        <v>0</v>
      </c>
      <c r="L29">
        <v>3</v>
      </c>
    </row>
    <row r="30" spans="1:12" x14ac:dyDescent="0.2">
      <c r="A30" t="s">
        <v>112</v>
      </c>
      <c r="B30" t="s">
        <v>51</v>
      </c>
      <c r="C30" t="s">
        <v>54</v>
      </c>
      <c r="D30" t="s">
        <v>55</v>
      </c>
      <c r="E30" cm="1">
        <f t="array" ref="E30">size_from_connection(Table1[[#This Row],[Connection]])</f>
        <v>0.25</v>
      </c>
      <c r="F30" t="b">
        <f>ISERROR(MATCH(Table1[[#This Row],[Find]],Table3[Valve FN],0))</f>
        <v>1</v>
      </c>
    </row>
    <row r="31" spans="1:12" x14ac:dyDescent="0.2">
      <c r="A31" t="s">
        <v>6</v>
      </c>
      <c r="B31" t="s">
        <v>51</v>
      </c>
      <c r="C31" t="s">
        <v>56</v>
      </c>
      <c r="D31" t="s">
        <v>55</v>
      </c>
      <c r="E31" cm="1">
        <f t="array" ref="E31">size_from_connection(Table1[[#This Row],[Connection]])</f>
        <v>0.25</v>
      </c>
      <c r="F31" t="b">
        <f>ISERROR(MATCH(Table1[[#This Row],[Find]],Table3[Valve FN],0))</f>
        <v>0</v>
      </c>
    </row>
    <row r="32" spans="1:12" x14ac:dyDescent="0.2">
      <c r="A32" t="s">
        <v>7</v>
      </c>
      <c r="B32" t="s">
        <v>51</v>
      </c>
      <c r="C32" t="s">
        <v>57</v>
      </c>
      <c r="D32" t="s">
        <v>55</v>
      </c>
      <c r="E32" cm="1">
        <f t="array" ref="E32">size_from_connection(Table1[[#This Row],[Connection]])</f>
        <v>0.25</v>
      </c>
      <c r="F32" t="b">
        <f>ISERROR(MATCH(Table1[[#This Row],[Find]],Table3[Valve FN],0))</f>
        <v>0</v>
      </c>
    </row>
    <row r="33" spans="1:12" x14ac:dyDescent="0.2">
      <c r="A33" t="s">
        <v>13</v>
      </c>
      <c r="B33" t="s">
        <v>93</v>
      </c>
      <c r="C33" t="s">
        <v>106</v>
      </c>
      <c r="D33" t="s">
        <v>53</v>
      </c>
      <c r="E33" cm="1">
        <f t="array" ref="E33">size_from_connection(Table1[[#This Row],[Connection]])</f>
        <v>0.5</v>
      </c>
      <c r="F33" t="b">
        <f>ISERROR(MATCH(Table1[[#This Row],[Find]],Table3[Valve FN],0))</f>
        <v>0</v>
      </c>
    </row>
    <row r="34" spans="1:12" x14ac:dyDescent="0.2">
      <c r="A34" t="s">
        <v>44</v>
      </c>
      <c r="B34" t="s">
        <v>93</v>
      </c>
      <c r="C34" t="s">
        <v>108</v>
      </c>
      <c r="D34" t="s">
        <v>53</v>
      </c>
      <c r="E34" cm="1">
        <f t="array" ref="E34">size_from_connection(Table1[[#This Row],[Connection]])</f>
        <v>0.5</v>
      </c>
      <c r="F34" t="b">
        <f>ISERROR(MATCH(Table1[[#This Row],[Find]],Table3[Valve FN],0))</f>
        <v>0</v>
      </c>
      <c r="H34" t="s">
        <v>131</v>
      </c>
      <c r="I34" t="str" cm="1">
        <f t="array" ref="I34">connection_from_find(Table1[[#This Row],[Find]])</f>
        <v>1/2" Compression</v>
      </c>
    </row>
    <row r="35" spans="1:12" x14ac:dyDescent="0.2">
      <c r="A35" t="s">
        <v>10</v>
      </c>
      <c r="B35" t="s">
        <v>93</v>
      </c>
      <c r="C35" t="s">
        <v>94</v>
      </c>
      <c r="D35" t="s">
        <v>95</v>
      </c>
      <c r="E35" cm="1">
        <f t="array" ref="E35">size_from_connection(Table1[[#This Row],[Connection]])</f>
        <v>0.25</v>
      </c>
      <c r="F35" t="b">
        <f>ISERROR(MATCH(Table1[[#This Row],[Find]],Table3[Valve FN],0))</f>
        <v>0</v>
      </c>
      <c r="H35" t="s">
        <v>132</v>
      </c>
      <c r="I35" cm="1">
        <f t="array" ref="I35">size_from_connection(I34)</f>
        <v>0.5</v>
      </c>
    </row>
    <row r="36" spans="1:12" x14ac:dyDescent="0.2">
      <c r="A36" t="s">
        <v>9</v>
      </c>
      <c r="B36" t="s">
        <v>51</v>
      </c>
      <c r="C36" t="s">
        <v>110</v>
      </c>
      <c r="D36" t="s">
        <v>111</v>
      </c>
      <c r="E36" cm="1">
        <f t="array" ref="E36">size_from_connection(Table1[[#This Row],[Connection]])</f>
        <v>0.75</v>
      </c>
      <c r="F36" t="b">
        <f>ISERROR(MATCH(Table1[[#This Row],[Find]],Table3[Valve FN],0))</f>
        <v>0</v>
      </c>
      <c r="H36" t="s">
        <v>133</v>
      </c>
      <c r="I36" cm="1">
        <f t="array" ref="I36:L36">timing_from_size(I35)</f>
        <v>0</v>
      </c>
      <c r="J36">
        <v>3</v>
      </c>
      <c r="K36">
        <v>0</v>
      </c>
      <c r="L36">
        <v>3</v>
      </c>
    </row>
    <row r="37" spans="1:12" x14ac:dyDescent="0.2">
      <c r="A37" t="s">
        <v>8</v>
      </c>
      <c r="B37" t="s">
        <v>51</v>
      </c>
      <c r="C37" t="s">
        <v>109</v>
      </c>
      <c r="D37" t="s">
        <v>53</v>
      </c>
      <c r="E37" cm="1">
        <f t="array" ref="E37">size_from_connection(Table1[[#This Row],[Connection]])</f>
        <v>0.5</v>
      </c>
      <c r="F37" t="b">
        <f>ISERROR(MATCH(Table1[[#This Row],[Find]],Table3[Valve FN],0))</f>
        <v>0</v>
      </c>
      <c r="H37" t="s">
        <v>134</v>
      </c>
    </row>
    <row r="38" spans="1:12" x14ac:dyDescent="0.2">
      <c r="A38" t="s">
        <v>12</v>
      </c>
      <c r="B38" t="s">
        <v>51</v>
      </c>
      <c r="C38" t="s">
        <v>107</v>
      </c>
      <c r="D38" t="s">
        <v>53</v>
      </c>
      <c r="E38" cm="1">
        <f t="array" ref="E38">size_from_connection(Table1[[#This Row],[Connection]])</f>
        <v>0.5</v>
      </c>
      <c r="F38" t="b">
        <f>ISERROR(MATCH(Table1[[#This Row],[Find]],Table3[Valve FN],0))</f>
        <v>0</v>
      </c>
    </row>
    <row r="39" spans="1:12" x14ac:dyDescent="0.2">
      <c r="A39" t="s">
        <v>45</v>
      </c>
      <c r="B39" t="s">
        <v>51</v>
      </c>
      <c r="C39" t="s">
        <v>103</v>
      </c>
      <c r="D39" t="s">
        <v>104</v>
      </c>
      <c r="E39" cm="1">
        <f t="array" ref="E39">size_from_connection(Table1[[#This Row],[Connection]])</f>
        <v>1</v>
      </c>
      <c r="F39" t="b">
        <f>ISERROR(MATCH(Table1[[#This Row],[Find]],Table3[Valve FN],0))</f>
        <v>0</v>
      </c>
    </row>
    <row r="40" spans="1:12" x14ac:dyDescent="0.2">
      <c r="A40" t="s">
        <v>46</v>
      </c>
      <c r="B40" t="s">
        <v>51</v>
      </c>
      <c r="C40" t="s">
        <v>105</v>
      </c>
      <c r="D40" t="s">
        <v>104</v>
      </c>
      <c r="E40" cm="1">
        <f t="array" ref="E40">size_from_connection(Table1[[#This Row],[Connection]])</f>
        <v>1</v>
      </c>
      <c r="F40" t="b">
        <f>ISERROR(MATCH(Table1[[#This Row],[Find]],Table3[Valve FN],0))</f>
        <v>0</v>
      </c>
      <c r="H40" cm="1">
        <f t="array" ref="H40:K40">timing_from_find(Table1[[#This Row],[Find]])</f>
        <v>0</v>
      </c>
      <c r="I40">
        <v>3</v>
      </c>
      <c r="J40">
        <v>0</v>
      </c>
      <c r="K40">
        <v>3</v>
      </c>
    </row>
    <row r="41" spans="1:12" x14ac:dyDescent="0.2">
      <c r="A41" t="s">
        <v>47</v>
      </c>
      <c r="B41" t="s">
        <v>51</v>
      </c>
      <c r="C41" t="s">
        <v>52</v>
      </c>
      <c r="D41" t="s">
        <v>53</v>
      </c>
      <c r="E41" cm="1">
        <f t="array" ref="E41">size_from_connection(Table1[[#This Row],[Connection]])</f>
        <v>0.5</v>
      </c>
      <c r="F41" t="b">
        <f>ISERROR(MATCH(Table1[[#This Row],[Find]],Table3[Valve FN],0))</f>
        <v>0</v>
      </c>
    </row>
    <row r="42" spans="1:12" x14ac:dyDescent="0.2">
      <c r="A42" t="s">
        <v>48</v>
      </c>
      <c r="B42" t="s">
        <v>51</v>
      </c>
      <c r="C42" t="s">
        <v>92</v>
      </c>
      <c r="D42" t="s">
        <v>53</v>
      </c>
      <c r="E42" cm="1">
        <f t="array" ref="E42">size_from_connection(Table1[[#This Row],[Connection]])</f>
        <v>0.5</v>
      </c>
      <c r="F42" t="b">
        <f>ISERROR(MATCH(Table1[[#This Row],[Find]],Table3[Valve FN],0))</f>
        <v>0</v>
      </c>
    </row>
    <row r="43" spans="1:12" x14ac:dyDescent="0.2">
      <c r="A43" t="s">
        <v>114</v>
      </c>
      <c r="B43" t="s">
        <v>51</v>
      </c>
      <c r="C43" t="s">
        <v>96</v>
      </c>
      <c r="D43" t="e">
        <v>#N/A</v>
      </c>
      <c r="E43" t="e" cm="1">
        <f t="array" ref="E43">size_from_connection(Table1[[#This Row],[Connection]])</f>
        <v>#N/A</v>
      </c>
      <c r="F43" t="b">
        <f>ISERROR(MATCH(Table1[[#This Row],[Find]],Table3[Valve FN],0))</f>
        <v>1</v>
      </c>
    </row>
    <row r="44" spans="1:12" x14ac:dyDescent="0.2">
      <c r="A44" t="s">
        <v>3</v>
      </c>
      <c r="B44" t="s">
        <v>97</v>
      </c>
      <c r="C44" t="s">
        <v>98</v>
      </c>
      <c r="D44" t="s">
        <v>99</v>
      </c>
      <c r="E44" cm="1">
        <f t="array" ref="E44">size_from_connection(Table1[[#This Row],[Connection]])</f>
        <v>6</v>
      </c>
      <c r="F44" t="b">
        <f>ISERROR(MATCH(Table1[[#This Row],[Find]],Table3[Valve FN],0))</f>
        <v>0</v>
      </c>
    </row>
    <row r="45" spans="1:12" x14ac:dyDescent="0.2">
      <c r="A45" t="s">
        <v>4</v>
      </c>
      <c r="B45" t="s">
        <v>97</v>
      </c>
      <c r="C45" t="s">
        <v>100</v>
      </c>
      <c r="D45" t="s">
        <v>101</v>
      </c>
      <c r="E45" cm="1">
        <f t="array" ref="E45">size_from_connection(Table1[[#This Row],[Connection]])</f>
        <v>8</v>
      </c>
      <c r="F45" t="b">
        <f>ISERROR(MATCH(Table1[[#This Row],[Find]],Table3[Valve FN],0))</f>
        <v>0</v>
      </c>
    </row>
    <row r="46" spans="1:12" x14ac:dyDescent="0.2">
      <c r="A46" t="s">
        <v>5</v>
      </c>
      <c r="B46" t="s">
        <v>51</v>
      </c>
      <c r="C46" t="s">
        <v>102</v>
      </c>
      <c r="D46" t="s">
        <v>99</v>
      </c>
      <c r="E46" cm="1">
        <f t="array" ref="E46">size_from_connection(Table1[[#This Row],[Connection]])</f>
        <v>6</v>
      </c>
      <c r="F46" t="b">
        <f>ISERROR(MATCH(Table1[[#This Row],[Find]],Table3[Valve FN],0))</f>
        <v>0</v>
      </c>
    </row>
  </sheetData>
  <pageMargins left="0.7" right="0.7" top="0.75" bottom="0.75" header="0.3" footer="0.3"/>
  <drawing r:id="rId1"/>
  <tableParts count="3">
    <tablePart r:id="rId2"/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stopIfTrue="1" id="{A3320892-4123-F741-AA90-F46F9270784F}">
            <xm:f>ISERROR(MATCH(A2,Sheet1!$B$2:$B$44,0))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A2:A46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D7EAA-FF0C-3147-BEEB-00E6D4E70EED}">
  <dimension ref="A1:C3"/>
  <sheetViews>
    <sheetView workbookViewId="0">
      <selection activeCell="C19" sqref="C19"/>
    </sheetView>
  </sheetViews>
  <sheetFormatPr baseColWidth="10" defaultRowHeight="15" x14ac:dyDescent="0.2"/>
  <cols>
    <col min="3" max="3" width="42.6640625" bestFit="1" customWidth="1"/>
  </cols>
  <sheetData>
    <row r="1" spans="1:3" x14ac:dyDescent="0.2">
      <c r="A1" s="7" t="s">
        <v>113</v>
      </c>
      <c r="B1" s="7" t="s">
        <v>51</v>
      </c>
      <c r="C1" s="7" t="s">
        <v>85</v>
      </c>
    </row>
    <row r="2" spans="1:3" x14ac:dyDescent="0.2">
      <c r="A2" s="6" t="s">
        <v>112</v>
      </c>
      <c r="B2" s="6" t="s">
        <v>51</v>
      </c>
      <c r="C2" s="6" t="s">
        <v>54</v>
      </c>
    </row>
    <row r="3" spans="1:3" x14ac:dyDescent="0.2">
      <c r="A3" s="7" t="s">
        <v>114</v>
      </c>
      <c r="B3" s="7" t="s">
        <v>51</v>
      </c>
      <c r="C3" s="7" t="s">
        <v>96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stopIfTrue="1" id="{731E2B5C-7F50-F344-A3C4-95DB57FC93D0}">
            <xm:f>ISERROR(MATCH(A1,Sheet1!$B$2:$B$44,0))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A1:A3</xm:sqref>
        </x14:conditionalFormatting>
      </x14:conditionalFormattings>
    </ext>
  </extLst>
</worksheet>
</file>

<file path=docMetadata/LabelInfo.xml><?xml version="1.0" encoding="utf-8"?>
<clbl:labelList xmlns:clbl="http://schemas.microsoft.com/office/2020/mipLabelMetadata">
  <clbl:label id="{a884dd1a-1fc4-43ed-b58d-85a6d360930b}" enabled="1" method="Standard" siteId="{52aa4300-0c9b-44f7-8b8d-23228882201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Requirements</vt:lpstr>
      <vt:lpstr>Sheet3</vt:lpstr>
      <vt:lpstr>BOM_TO_SIZE</vt:lpstr>
      <vt:lpstr>Requirements!Extract</vt:lpstr>
      <vt:lpstr>Table_normal_req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Austin Thomas</dc:creator>
  <cp:lastModifiedBy>Nick Counts</cp:lastModifiedBy>
  <dcterms:created xsi:type="dcterms:W3CDTF">2015-06-05T18:17:20Z</dcterms:created>
  <dcterms:modified xsi:type="dcterms:W3CDTF">2026-01-28T14:15:03Z</dcterms:modified>
</cp:coreProperties>
</file>