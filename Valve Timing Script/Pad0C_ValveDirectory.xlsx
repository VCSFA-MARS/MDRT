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https://marsspaceport.sharepoint.us/sites/MARS-Operations/Shared Documents/Pad 0C/Systems/PAD0C Data/"/>
    </mc:Choice>
  </mc:AlternateContent>
  <xr:revisionPtr revIDLastSave="100" documentId="8_{03BA04D5-B0C8-461C-9B23-6691E85C5469}" xr6:coauthVersionLast="47" xr6:coauthVersionMax="47" xr10:uidLastSave="{ACD4BDFC-72DF-4B77-8E6E-71CFAAF66981}"/>
  <bookViews>
    <workbookView xWindow="28680" yWindow="-120" windowWidth="29040" windowHeight="15840" firstSheet="1" activeTab="1" xr2:uid="{00000000-000D-0000-FFFF-FFFF00000000}"/>
  </bookViews>
  <sheets>
    <sheet name="Version Control" sheetId="1" r:id="rId1"/>
    <sheet name="Channel List" sheetId="2" r:id="rId2"/>
    <sheet name="SWE InputOutput List" sheetId="18" r:id="rId3"/>
    <sheet name="Review" sheetId="3" r:id="rId4"/>
    <sheet name="Rev 8 Changes" sheetId="4" r:id="rId5"/>
    <sheet name="IS Review" sheetId="5" r:id="rId6"/>
    <sheet name="Cable List Rev1" sheetId="6" r:id="rId7"/>
    <sheet name="Cable List Rev2" sheetId="7" r:id="rId8"/>
    <sheet name="Drawing Status" sheetId="8" r:id="rId9"/>
    <sheet name="ECS Heater Control Review " sheetId="9" r:id="rId10"/>
    <sheet name="Fusing" sheetId="10" r:id="rId11"/>
    <sheet name="DC Terminal designations" sheetId="11" r:id="rId12"/>
    <sheet name="REF - Interface Cards" sheetId="12" r:id="rId13"/>
    <sheet name="REF - System &amp; Subsystem" sheetId="13" r:id="rId14"/>
    <sheet name="FGSE LC-2 BOM" sheetId="14" r:id="rId15"/>
    <sheet name="Hydraulics BOM" sheetId="15" r:id="rId16"/>
    <sheet name="Copy of Legend" sheetId="16" r:id="rId17"/>
    <sheet name="RTDs" sheetId="17" r:id="rId18"/>
  </sheets>
  <definedNames>
    <definedName name="_xlnm._FilterDatabase" localSheetId="1" hidden="1">'Channel List'!$A$1:$P$829</definedName>
    <definedName name="_xlnm._FilterDatabase" localSheetId="5" hidden="1">'IS Review'!$A$6:$J$108</definedName>
    <definedName name="BoxName">'REF - System &amp; Subsystem'!$J$2:$J$1000</definedName>
    <definedName name="Chassis">'REF - System &amp; Subsystem'!$K:$K</definedName>
    <definedName name="Components">'REF - System &amp; Subsystem'!$E:$F</definedName>
    <definedName name="DO_9476">'REF - Interface Cards'!$N$3:$O$30</definedName>
    <definedName name="Interface_Cards">'REF - System &amp; Subsystem'!$L:$L</definedName>
    <definedName name="InterfaceCards">'REF - Interface Cards'!$B:$D</definedName>
    <definedName name="IO_Types">'REF - System &amp; Subsystem'!$M:$M</definedName>
    <definedName name="Locations">'REF - System &amp; Subsystem'!$I:$I</definedName>
    <definedName name="Metrics">'REF - System &amp; Subsystem'!$G:$H</definedName>
    <definedName name="Subsystems">'REF - System &amp; Subsystem'!$C:$D</definedName>
    <definedName name="Systems">'REF - System &amp; Subsystem'!$A:$B</definedName>
    <definedName name="Units">'REF - System &amp; Subsystem'!$N:$N</definedName>
    <definedName name="Z_01F646B7_0485_413E_A82A_E3D81AB42A15_.wvu.FilterData" localSheetId="1" hidden="1">'Channel List'!$A$1:$P$800</definedName>
    <definedName name="Z_29A3BF3D_CB98_4450_A9E3_CDD1603A5F48_.wvu.FilterData" localSheetId="1" hidden="1">'Channel List'!$A$1:$L$800</definedName>
    <definedName name="Z_2D2FE776_7B95_4E94_BE67_069406AAE06D_.wvu.FilterData" localSheetId="1" hidden="1">'Channel List'!$A$1:$P$760</definedName>
    <definedName name="Z_2D2FE776_7B95_4E94_BE67_069406AAE06D_.wvu.FilterData" localSheetId="12" hidden="1">'REF - Interface Cards'!$B$2:$Y$49</definedName>
    <definedName name="Z_56797E49_470F_47D9_93E5_43FD85CF278F_.wvu.FilterData" localSheetId="1" hidden="1">'Channel List'!$A$1:$P$800</definedName>
    <definedName name="Z_59EAE692_BB95_4A6A_AD01_8BBFA1080CC9_.wvu.FilterData" localSheetId="1" hidden="1">'Channel List'!$A$1:$N$793</definedName>
    <definedName name="Z_59EAE692_BB95_4A6A_AD01_8BBFA1080CC9_.wvu.FilterData" localSheetId="12" hidden="1">'REF - Interface Cards'!$B$1:$Y$69</definedName>
    <definedName name="Z_78BA4E64_C4E0_4459_BF93_8AA3E7DC1CE3_.wvu.FilterData" localSheetId="1" hidden="1">'Channel List'!$A$1:$P$760</definedName>
    <definedName name="Z_867D6050_DAED_4E31_8A23_756326E87753_.wvu.FilterData" localSheetId="1" hidden="1">'Channel List'!$A$1:$P$800</definedName>
    <definedName name="Z_8F9A93E5_38CD_444A_8C50_E67337D8B4C6_.wvu.FilterData" localSheetId="1" hidden="1">'Channel List'!$A$1:$L$800</definedName>
    <definedName name="Z_A2AC78AE_28DC_435C_BA12_3B308A889B0E_.wvu.FilterData" localSheetId="1" hidden="1">'Channel List'!$A$1:$P$800</definedName>
    <definedName name="Z_A2AC78AE_28DC_435C_BA12_3B308A889B0E_.wvu.FilterData" localSheetId="12" hidden="1">'REF - Interface Cards'!$B$1:$Y$70</definedName>
    <definedName name="Z_A2AC78AE_28DC_435C_BA12_3B308A889B0E_.wvu.FilterData" localSheetId="3" hidden="1">Review!$A$6:$J$513</definedName>
    <definedName name="Z_A692BA3E_DCED_4157_8340_C6216F1B5E02_.wvu.FilterData" localSheetId="1" hidden="1">'Channel List'!$A$1:$P$760</definedName>
    <definedName name="Z_A692BA3E_DCED_4157_8340_C6216F1B5E02_.wvu.FilterData" localSheetId="15" hidden="1">'Hydraulics BOM'!$A$4:$I$129</definedName>
    <definedName name="Z_A692BA3E_DCED_4157_8340_C6216F1B5E02_.wvu.FilterData" localSheetId="5" hidden="1">'IS Review'!$C$6:$C$194</definedName>
    <definedName name="Z_A692BA3E_DCED_4157_8340_C6216F1B5E02_.wvu.FilterData" localSheetId="12" hidden="1">'REF - Interface Cards'!$B$2:$W$53</definedName>
    <definedName name="Z_A692BA3E_DCED_4157_8340_C6216F1B5E02_.wvu.FilterData" localSheetId="4" hidden="1">'Rev 8 Changes'!$A$1:$E$51</definedName>
    <definedName name="Z_A692BA3E_DCED_4157_8340_C6216F1B5E02_.wvu.FilterData" localSheetId="3" hidden="1">Review!$C$6:$C$455</definedName>
    <definedName name="Z_A692BA3E_DCED_4157_8340_C6216F1B5E02_.wvu.FilterData" localSheetId="17" hidden="1">RTDs!$A$1:$N$1000</definedName>
    <definedName name="Z_DB50723B_586F_406C_8CA1_27F4DAECE29A_.wvu.FilterData" localSheetId="1" hidden="1">'Channel List'!$A$1:$P$760</definedName>
    <definedName name="Z_FFEAEDF0_55C1_4516_9CEE_864371BB5C28_.wvu.FilterData" localSheetId="1" hidden="1">'Channel List'!$A$1:$P$800</definedName>
  </definedNames>
  <calcPr calcId="191028"/>
  <customWorkbookViews>
    <customWorkbookView name="Jacob" guid="{29A3BF3D-CB98-4450-A9E3-CDD1603A5F48}" maximized="1" windowWidth="0" windowHeight="0" activeSheetId="0"/>
    <customWorkbookView name="Dave Sheerin" guid="{FFEAEDF0-55C1-4516-9CEE-864371BB5C28}" maximized="1" windowWidth="0" windowHeight="0" activeSheetId="0"/>
    <customWorkbookView name="Tim" guid="{59EAE692-BB95-4A6A-AD01-8BBFA1080CC9}" maximized="1" windowWidth="0" windowHeight="0" activeSheetId="0"/>
    <customWorkbookView name="Filter 1" guid="{A692BA3E-DCED-4157-8340-C6216F1B5E02}" maximized="1" windowWidth="0" windowHeight="0" activeSheetId="0"/>
    <customWorkbookView name="Gerhard" guid="{A2AC78AE-28DC-435C-BA12-3B308A889B0E}" maximized="1" windowWidth="0" windowHeight="0" activeSheetId="0"/>
    <customWorkbookView name="Stuart" guid="{DB50723B-586F-406C-8CA1-27F4DAECE29A}" maximized="1" windowWidth="0" windowHeight="0" activeSheetId="0"/>
    <customWorkbookView name="Filter 2" guid="{2D2FE776-7B95-4E94-BE67-069406AAE06D}" maximized="1" windowWidth="0" windowHeight="0" activeSheetId="0"/>
    <customWorkbookView name="Jesse" guid="{78BA4E64-C4E0-4459-BF93-8AA3E7DC1CE3}" maximized="1" windowWidth="0" windowHeight="0" activeSheetId="0"/>
    <customWorkbookView name="Copy of Dave Sheerin" guid="{8F9A93E5-38CD-444A-8C50-E67337D8B4C6}" maximized="1" windowWidth="0" windowHeight="0" activeSheetId="0"/>
    <customWorkbookView name="James" guid="{56797E49-470F-47D9-93E5-43FD85CF278F}" maximized="1" windowWidth="0" windowHeight="0" activeSheetId="0"/>
    <customWorkbookView name="Johnathan" guid="{01F646B7-0485-413E-A82A-E3D81AB42A15}" maximized="1" windowWidth="0" windowHeight="0" activeSheetId="0"/>
    <customWorkbookView name="Thomas" guid="{867D6050-DAED-4E31-8A23-756326E87753}"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71" i="2" l="1"/>
  <c r="C9" i="2"/>
  <c r="A808" i="2" l="1"/>
  <c r="A810" i="2" l="1"/>
  <c r="A811" i="2"/>
  <c r="A812" i="2"/>
  <c r="A813" i="2"/>
  <c r="C813" i="2"/>
  <c r="C812" i="2"/>
  <c r="C811" i="2"/>
  <c r="C810" i="2"/>
  <c r="A809" i="2" l="1"/>
  <c r="C809" i="2"/>
  <c r="C808" i="2"/>
  <c r="A829" i="2" l="1"/>
  <c r="A828" i="2"/>
  <c r="A827" i="2"/>
  <c r="A826" i="2"/>
  <c r="C829" i="2"/>
  <c r="C828" i="2"/>
  <c r="C827" i="2"/>
  <c r="C826" i="2"/>
  <c r="C725" i="2" l="1"/>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9" i="2"/>
  <c r="C770"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723" i="2"/>
  <c r="C724" i="2"/>
  <c r="C719" i="2"/>
  <c r="C720" i="2"/>
  <c r="C721" i="2"/>
  <c r="C722" i="2"/>
  <c r="C718" i="2"/>
  <c r="C717" i="2"/>
  <c r="C712" i="2"/>
  <c r="C713" i="2"/>
  <c r="C714" i="2"/>
  <c r="C715" i="2"/>
  <c r="C716"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640" i="2"/>
  <c r="C639" i="2"/>
  <c r="C636" i="2"/>
  <c r="C637" i="2"/>
  <c r="C638" i="2"/>
  <c r="C623" i="2"/>
  <c r="C624" i="2"/>
  <c r="C625" i="2"/>
  <c r="C626" i="2"/>
  <c r="C627" i="2"/>
  <c r="C628" i="2"/>
  <c r="C629" i="2"/>
  <c r="C630" i="2"/>
  <c r="C631" i="2"/>
  <c r="C632" i="2"/>
  <c r="C633" i="2"/>
  <c r="C634" i="2"/>
  <c r="C635" i="2"/>
  <c r="C621" i="2"/>
  <c r="C622"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533" i="2"/>
  <c r="C532" i="2"/>
  <c r="C531" i="2"/>
  <c r="C528" i="2"/>
  <c r="C529" i="2"/>
  <c r="C530" i="2"/>
  <c r="C526" i="2"/>
  <c r="C527" i="2"/>
  <c r="C523" i="2"/>
  <c r="C524" i="2"/>
  <c r="C525" i="2"/>
  <c r="C522"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495" i="2"/>
  <c r="C488" i="2"/>
  <c r="C489" i="2"/>
  <c r="C490" i="2"/>
  <c r="C491" i="2"/>
  <c r="C492" i="2"/>
  <c r="C493" i="2"/>
  <c r="C494" i="2"/>
  <c r="C487" i="2"/>
  <c r="C480" i="2"/>
  <c r="C481" i="2"/>
  <c r="C482" i="2"/>
  <c r="C483" i="2"/>
  <c r="C484" i="2"/>
  <c r="C485" i="2"/>
  <c r="C486" i="2"/>
  <c r="C479" i="2"/>
  <c r="C467" i="2"/>
  <c r="C468" i="2"/>
  <c r="C469" i="2"/>
  <c r="C470" i="2"/>
  <c r="C471" i="2"/>
  <c r="C472" i="2"/>
  <c r="C473" i="2"/>
  <c r="C474" i="2"/>
  <c r="C475" i="2"/>
  <c r="C476" i="2"/>
  <c r="C477" i="2"/>
  <c r="C478" i="2"/>
  <c r="C466" i="2"/>
  <c r="C457" i="2"/>
  <c r="C458" i="2"/>
  <c r="C459" i="2"/>
  <c r="C460" i="2"/>
  <c r="C461" i="2"/>
  <c r="C462" i="2"/>
  <c r="C463" i="2"/>
  <c r="C464" i="2"/>
  <c r="C465" i="2"/>
  <c r="C455" i="2"/>
  <c r="C456"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197" i="2"/>
  <c r="C198" i="2"/>
  <c r="C123" i="2"/>
  <c r="C124" i="2"/>
  <c r="C125" i="2"/>
  <c r="C126" i="2"/>
  <c r="C127" i="2"/>
  <c r="C128" i="2"/>
  <c r="C129" i="2"/>
  <c r="C130" i="2"/>
  <c r="C131"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21" i="2"/>
  <c r="C122" i="2"/>
  <c r="C3" i="2"/>
  <c r="C4" i="2"/>
  <c r="C5" i="2"/>
  <c r="C6" i="2"/>
  <c r="C7" i="2"/>
  <c r="C8"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99" i="2"/>
  <c r="C100" i="2"/>
  <c r="C101" i="2"/>
  <c r="C102" i="2"/>
  <c r="C103" i="2"/>
  <c r="C104" i="2"/>
  <c r="C105" i="2"/>
  <c r="C106" i="2"/>
  <c r="C107" i="2"/>
  <c r="C108" i="2"/>
  <c r="C109" i="2"/>
  <c r="C110" i="2"/>
  <c r="C111" i="2"/>
  <c r="C112" i="2"/>
  <c r="C113" i="2"/>
  <c r="C114" i="2"/>
  <c r="C115" i="2"/>
  <c r="C116" i="2"/>
  <c r="C117" i="2"/>
  <c r="C118" i="2"/>
  <c r="C119" i="2"/>
  <c r="C120" i="2"/>
  <c r="A419" i="2" l="1"/>
  <c r="A420"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2" i="2"/>
  <c r="I46" i="17" l="1"/>
  <c r="J46" i="17" s="1"/>
  <c r="I45" i="17"/>
  <c r="J45" i="17" s="1"/>
  <c r="I44" i="17"/>
  <c r="J44" i="17" s="1"/>
  <c r="I43" i="17"/>
  <c r="J43" i="17" s="1"/>
  <c r="I42" i="17"/>
  <c r="J42" i="17" s="1"/>
  <c r="I41" i="17"/>
  <c r="J41" i="17" s="1"/>
  <c r="I40" i="17"/>
  <c r="J40" i="17" s="1"/>
  <c r="I39" i="17"/>
  <c r="J39" i="17" s="1"/>
  <c r="I38" i="17"/>
  <c r="J38" i="17" s="1"/>
  <c r="I37" i="17"/>
  <c r="J37" i="17" s="1"/>
  <c r="I36" i="17"/>
  <c r="J36" i="17" s="1"/>
  <c r="I35" i="17"/>
  <c r="J35" i="17" s="1"/>
  <c r="I34" i="17"/>
  <c r="J34" i="17" s="1"/>
  <c r="I33" i="17"/>
  <c r="J33" i="17" s="1"/>
  <c r="I32" i="17"/>
  <c r="J32" i="17" s="1"/>
  <c r="I31" i="17"/>
  <c r="J31" i="17" s="1"/>
  <c r="I30" i="17"/>
  <c r="J30" i="17" s="1"/>
  <c r="I29" i="17"/>
  <c r="J29" i="17" s="1"/>
  <c r="I28" i="17"/>
  <c r="J28" i="17" s="1"/>
  <c r="I27" i="17"/>
  <c r="J27" i="17" s="1"/>
  <c r="I26" i="17"/>
  <c r="J26" i="17" s="1"/>
  <c r="I25" i="17"/>
  <c r="J25" i="17" s="1"/>
  <c r="I24" i="17"/>
  <c r="J24" i="17" s="1"/>
  <c r="I23" i="17"/>
  <c r="J23" i="17" s="1"/>
  <c r="I22" i="17"/>
  <c r="J22" i="17" s="1"/>
  <c r="I21" i="17"/>
  <c r="J21" i="17" s="1"/>
  <c r="I20" i="17"/>
  <c r="J20" i="17" s="1"/>
  <c r="I19" i="17"/>
  <c r="J19" i="17" s="1"/>
  <c r="I18" i="17"/>
  <c r="J18" i="17" s="1"/>
  <c r="I17" i="17"/>
  <c r="J17" i="17" s="1"/>
  <c r="I16" i="17"/>
  <c r="J16" i="17" s="1"/>
  <c r="I15" i="17"/>
  <c r="J15" i="17" s="1"/>
  <c r="I14" i="17"/>
  <c r="J14" i="17" s="1"/>
  <c r="I13" i="17"/>
  <c r="J13" i="17" s="1"/>
  <c r="I12" i="17"/>
  <c r="J12" i="17" s="1"/>
  <c r="I11" i="17"/>
  <c r="J11" i="17" s="1"/>
  <c r="I10" i="17"/>
  <c r="J10" i="17" s="1"/>
  <c r="I9" i="17"/>
  <c r="J9" i="17" s="1"/>
  <c r="I8" i="17"/>
  <c r="J8" i="17" s="1"/>
  <c r="I7" i="17"/>
  <c r="J7" i="17" s="1"/>
  <c r="I6" i="17"/>
  <c r="J6" i="17" s="1"/>
  <c r="I5" i="17"/>
  <c r="J5" i="17" s="1"/>
  <c r="I4" i="17"/>
  <c r="J4" i="17" s="1"/>
  <c r="I3" i="17"/>
  <c r="J3" i="17" s="1"/>
  <c r="Y1000" i="15"/>
  <c r="X1000" i="15"/>
  <c r="W1000" i="15"/>
  <c r="V1000" i="15"/>
  <c r="U1000" i="15"/>
  <c r="T1000" i="15"/>
  <c r="S1000" i="15"/>
  <c r="R1000" i="15"/>
  <c r="Q1000" i="15"/>
  <c r="P1000" i="15"/>
  <c r="O1000" i="15"/>
  <c r="N1000" i="15"/>
  <c r="M1000" i="15"/>
  <c r="L1000" i="15"/>
  <c r="K1000" i="15"/>
  <c r="J1000" i="15"/>
  <c r="I1000" i="15"/>
  <c r="H1000" i="15"/>
  <c r="G1000" i="15"/>
  <c r="F1000" i="15"/>
  <c r="E1000" i="15"/>
  <c r="D1000" i="15"/>
  <c r="C1000" i="15"/>
  <c r="B1000" i="15"/>
  <c r="A1000" i="15"/>
  <c r="Y999" i="15"/>
  <c r="X999" i="15"/>
  <c r="W999" i="15"/>
  <c r="V999" i="15"/>
  <c r="U999" i="15"/>
  <c r="T999" i="15"/>
  <c r="S999" i="15"/>
  <c r="R999" i="15"/>
  <c r="Q999" i="15"/>
  <c r="P999" i="15"/>
  <c r="O999" i="15"/>
  <c r="N999" i="15"/>
  <c r="M999" i="15"/>
  <c r="L999" i="15"/>
  <c r="K999" i="15"/>
  <c r="J999" i="15"/>
  <c r="I999" i="15"/>
  <c r="H999" i="15"/>
  <c r="G999" i="15"/>
  <c r="F999" i="15"/>
  <c r="E999" i="15"/>
  <c r="D999" i="15"/>
  <c r="C999" i="15"/>
  <c r="B999" i="15"/>
  <c r="A999" i="15"/>
  <c r="Y998" i="15"/>
  <c r="X998" i="15"/>
  <c r="W998" i="15"/>
  <c r="V998" i="15"/>
  <c r="U998" i="15"/>
  <c r="T998" i="15"/>
  <c r="S998" i="15"/>
  <c r="R998" i="15"/>
  <c r="Q998" i="15"/>
  <c r="P998" i="15"/>
  <c r="O998" i="15"/>
  <c r="N998" i="15"/>
  <c r="M998" i="15"/>
  <c r="L998" i="15"/>
  <c r="K998" i="15"/>
  <c r="J998" i="15"/>
  <c r="I998" i="15"/>
  <c r="H998" i="15"/>
  <c r="G998" i="15"/>
  <c r="F998" i="15"/>
  <c r="E998" i="15"/>
  <c r="D998" i="15"/>
  <c r="C998" i="15"/>
  <c r="B998" i="15"/>
  <c r="A998" i="15"/>
  <c r="Y997" i="15"/>
  <c r="X997" i="15"/>
  <c r="W997" i="15"/>
  <c r="V997" i="15"/>
  <c r="U997" i="15"/>
  <c r="T997" i="15"/>
  <c r="S997" i="15"/>
  <c r="R997" i="15"/>
  <c r="Q997" i="15"/>
  <c r="P997" i="15"/>
  <c r="O997" i="15"/>
  <c r="N997" i="15"/>
  <c r="M997" i="15"/>
  <c r="L997" i="15"/>
  <c r="K997" i="15"/>
  <c r="J997" i="15"/>
  <c r="I997" i="15"/>
  <c r="H997" i="15"/>
  <c r="G997" i="15"/>
  <c r="F997" i="15"/>
  <c r="E997" i="15"/>
  <c r="D997" i="15"/>
  <c r="C997" i="15"/>
  <c r="B997" i="15"/>
  <c r="A997" i="15"/>
  <c r="Y996" i="15"/>
  <c r="X996" i="15"/>
  <c r="W996" i="15"/>
  <c r="V996" i="15"/>
  <c r="U996" i="15"/>
  <c r="T996" i="15"/>
  <c r="S996" i="15"/>
  <c r="R996" i="15"/>
  <c r="Q996" i="15"/>
  <c r="P996" i="15"/>
  <c r="O996" i="15"/>
  <c r="N996" i="15"/>
  <c r="M996" i="15"/>
  <c r="L996" i="15"/>
  <c r="K996" i="15"/>
  <c r="J996" i="15"/>
  <c r="I996" i="15"/>
  <c r="H996" i="15"/>
  <c r="G996" i="15"/>
  <c r="F996" i="15"/>
  <c r="E996" i="15"/>
  <c r="D996" i="15"/>
  <c r="C996" i="15"/>
  <c r="B996" i="15"/>
  <c r="A996" i="15"/>
  <c r="Y995" i="15"/>
  <c r="X995" i="15"/>
  <c r="W995" i="15"/>
  <c r="V995" i="15"/>
  <c r="U995" i="15"/>
  <c r="T995" i="15"/>
  <c r="S995" i="15"/>
  <c r="R995" i="15"/>
  <c r="Q995" i="15"/>
  <c r="P995" i="15"/>
  <c r="O995" i="15"/>
  <c r="N995" i="15"/>
  <c r="M995" i="15"/>
  <c r="L995" i="15"/>
  <c r="K995" i="15"/>
  <c r="J995" i="15"/>
  <c r="I995" i="15"/>
  <c r="H995" i="15"/>
  <c r="G995" i="15"/>
  <c r="F995" i="15"/>
  <c r="E995" i="15"/>
  <c r="D995" i="15"/>
  <c r="C995" i="15"/>
  <c r="B995" i="15"/>
  <c r="A995" i="15"/>
  <c r="Y994" i="15"/>
  <c r="X994" i="15"/>
  <c r="W994" i="15"/>
  <c r="V994" i="15"/>
  <c r="U994" i="15"/>
  <c r="T994" i="15"/>
  <c r="S994" i="15"/>
  <c r="R994" i="15"/>
  <c r="Q994" i="15"/>
  <c r="P994" i="15"/>
  <c r="O994" i="15"/>
  <c r="N994" i="15"/>
  <c r="M994" i="15"/>
  <c r="L994" i="15"/>
  <c r="K994" i="15"/>
  <c r="J994" i="15"/>
  <c r="I994" i="15"/>
  <c r="H994" i="15"/>
  <c r="G994" i="15"/>
  <c r="F994" i="15"/>
  <c r="E994" i="15"/>
  <c r="D994" i="15"/>
  <c r="C994" i="15"/>
  <c r="B994" i="15"/>
  <c r="A994" i="15"/>
  <c r="Y993" i="15"/>
  <c r="X993" i="15"/>
  <c r="W993" i="15"/>
  <c r="V993" i="15"/>
  <c r="U993" i="15"/>
  <c r="T993" i="15"/>
  <c r="S993" i="15"/>
  <c r="R993" i="15"/>
  <c r="Q993" i="15"/>
  <c r="P993" i="15"/>
  <c r="O993" i="15"/>
  <c r="N993" i="15"/>
  <c r="M993" i="15"/>
  <c r="L993" i="15"/>
  <c r="K993" i="15"/>
  <c r="J993" i="15"/>
  <c r="I993" i="15"/>
  <c r="H993" i="15"/>
  <c r="G993" i="15"/>
  <c r="F993" i="15"/>
  <c r="E993" i="15"/>
  <c r="D993" i="15"/>
  <c r="C993" i="15"/>
  <c r="B993" i="15"/>
  <c r="A993" i="15"/>
  <c r="Y992" i="15"/>
  <c r="X992" i="15"/>
  <c r="W992" i="15"/>
  <c r="V992" i="15"/>
  <c r="U992" i="15"/>
  <c r="T992" i="15"/>
  <c r="S992" i="15"/>
  <c r="R992" i="15"/>
  <c r="Q992" i="15"/>
  <c r="P992" i="15"/>
  <c r="O992" i="15"/>
  <c r="N992" i="15"/>
  <c r="M992" i="15"/>
  <c r="L992" i="15"/>
  <c r="K992" i="15"/>
  <c r="J992" i="15"/>
  <c r="I992" i="15"/>
  <c r="H992" i="15"/>
  <c r="G992" i="15"/>
  <c r="F992" i="15"/>
  <c r="E992" i="15"/>
  <c r="D992" i="15"/>
  <c r="C992" i="15"/>
  <c r="B992" i="15"/>
  <c r="A992" i="15"/>
  <c r="Y991" i="15"/>
  <c r="X991" i="15"/>
  <c r="W991" i="15"/>
  <c r="V991" i="15"/>
  <c r="U991" i="15"/>
  <c r="T991" i="15"/>
  <c r="S991" i="15"/>
  <c r="R991" i="15"/>
  <c r="Q991" i="15"/>
  <c r="P991" i="15"/>
  <c r="O991" i="15"/>
  <c r="N991" i="15"/>
  <c r="M991" i="15"/>
  <c r="L991" i="15"/>
  <c r="K991" i="15"/>
  <c r="J991" i="15"/>
  <c r="I991" i="15"/>
  <c r="H991" i="15"/>
  <c r="G991" i="15"/>
  <c r="F991" i="15"/>
  <c r="E991" i="15"/>
  <c r="D991" i="15"/>
  <c r="C991" i="15"/>
  <c r="B991" i="15"/>
  <c r="A991" i="15"/>
  <c r="Y990" i="15"/>
  <c r="X990" i="15"/>
  <c r="W990" i="15"/>
  <c r="V990" i="15"/>
  <c r="U990" i="15"/>
  <c r="T990" i="15"/>
  <c r="S990" i="15"/>
  <c r="R990" i="15"/>
  <c r="Q990" i="15"/>
  <c r="P990" i="15"/>
  <c r="O990" i="15"/>
  <c r="N990" i="15"/>
  <c r="M990" i="15"/>
  <c r="L990" i="15"/>
  <c r="K990" i="15"/>
  <c r="J990" i="15"/>
  <c r="I990" i="15"/>
  <c r="H990" i="15"/>
  <c r="G990" i="15"/>
  <c r="F990" i="15"/>
  <c r="E990" i="15"/>
  <c r="D990" i="15"/>
  <c r="C990" i="15"/>
  <c r="B990" i="15"/>
  <c r="A990" i="15"/>
  <c r="Y989" i="15"/>
  <c r="X989" i="15"/>
  <c r="W989" i="15"/>
  <c r="V989" i="15"/>
  <c r="U989" i="15"/>
  <c r="T989" i="15"/>
  <c r="S989" i="15"/>
  <c r="R989" i="15"/>
  <c r="Q989" i="15"/>
  <c r="P989" i="15"/>
  <c r="O989" i="15"/>
  <c r="N989" i="15"/>
  <c r="M989" i="15"/>
  <c r="L989" i="15"/>
  <c r="K989" i="15"/>
  <c r="J989" i="15"/>
  <c r="I989" i="15"/>
  <c r="H989" i="15"/>
  <c r="G989" i="15"/>
  <c r="F989" i="15"/>
  <c r="E989" i="15"/>
  <c r="D989" i="15"/>
  <c r="C989" i="15"/>
  <c r="B989" i="15"/>
  <c r="A989" i="15"/>
  <c r="Y988" i="15"/>
  <c r="X988" i="15"/>
  <c r="W988" i="15"/>
  <c r="V988" i="15"/>
  <c r="U988" i="15"/>
  <c r="T988" i="15"/>
  <c r="S988" i="15"/>
  <c r="R988" i="15"/>
  <c r="Q988" i="15"/>
  <c r="P988" i="15"/>
  <c r="O988" i="15"/>
  <c r="N988" i="15"/>
  <c r="M988" i="15"/>
  <c r="L988" i="15"/>
  <c r="K988" i="15"/>
  <c r="J988" i="15"/>
  <c r="I988" i="15"/>
  <c r="H988" i="15"/>
  <c r="G988" i="15"/>
  <c r="F988" i="15"/>
  <c r="E988" i="15"/>
  <c r="D988" i="15"/>
  <c r="C988" i="15"/>
  <c r="B988" i="15"/>
  <c r="A988" i="15"/>
  <c r="Y987" i="15"/>
  <c r="X987" i="15"/>
  <c r="W987" i="15"/>
  <c r="V987" i="15"/>
  <c r="U987" i="15"/>
  <c r="T987" i="15"/>
  <c r="S987" i="15"/>
  <c r="R987" i="15"/>
  <c r="Q987" i="15"/>
  <c r="P987" i="15"/>
  <c r="O987" i="15"/>
  <c r="N987" i="15"/>
  <c r="M987" i="15"/>
  <c r="L987" i="15"/>
  <c r="K987" i="15"/>
  <c r="J987" i="15"/>
  <c r="I987" i="15"/>
  <c r="H987" i="15"/>
  <c r="G987" i="15"/>
  <c r="F987" i="15"/>
  <c r="E987" i="15"/>
  <c r="D987" i="15"/>
  <c r="C987" i="15"/>
  <c r="B987" i="15"/>
  <c r="A987" i="15"/>
  <c r="Y986" i="15"/>
  <c r="X986" i="15"/>
  <c r="W986" i="15"/>
  <c r="V986" i="15"/>
  <c r="U986" i="15"/>
  <c r="T986" i="15"/>
  <c r="S986" i="15"/>
  <c r="R986" i="15"/>
  <c r="Q986" i="15"/>
  <c r="P986" i="15"/>
  <c r="O986" i="15"/>
  <c r="N986" i="15"/>
  <c r="M986" i="15"/>
  <c r="L986" i="15"/>
  <c r="K986" i="15"/>
  <c r="J986" i="15"/>
  <c r="I986" i="15"/>
  <c r="H986" i="15"/>
  <c r="G986" i="15"/>
  <c r="F986" i="15"/>
  <c r="E986" i="15"/>
  <c r="D986" i="15"/>
  <c r="C986" i="15"/>
  <c r="B986" i="15"/>
  <c r="A986" i="15"/>
  <c r="Y985" i="15"/>
  <c r="X985" i="15"/>
  <c r="W985" i="15"/>
  <c r="V985" i="15"/>
  <c r="U985" i="15"/>
  <c r="T985" i="15"/>
  <c r="S985" i="15"/>
  <c r="R985" i="15"/>
  <c r="Q985" i="15"/>
  <c r="P985" i="15"/>
  <c r="O985" i="15"/>
  <c r="N985" i="15"/>
  <c r="M985" i="15"/>
  <c r="L985" i="15"/>
  <c r="K985" i="15"/>
  <c r="J985" i="15"/>
  <c r="I985" i="15"/>
  <c r="H985" i="15"/>
  <c r="G985" i="15"/>
  <c r="F985" i="15"/>
  <c r="E985" i="15"/>
  <c r="D985" i="15"/>
  <c r="C985" i="15"/>
  <c r="B985" i="15"/>
  <c r="A985" i="15"/>
  <c r="Y984" i="15"/>
  <c r="X984" i="15"/>
  <c r="W984" i="15"/>
  <c r="V984" i="15"/>
  <c r="U984" i="15"/>
  <c r="T984" i="15"/>
  <c r="S984" i="15"/>
  <c r="R984" i="15"/>
  <c r="Q984" i="15"/>
  <c r="P984" i="15"/>
  <c r="O984" i="15"/>
  <c r="N984" i="15"/>
  <c r="M984" i="15"/>
  <c r="L984" i="15"/>
  <c r="K984" i="15"/>
  <c r="J984" i="15"/>
  <c r="I984" i="15"/>
  <c r="H984" i="15"/>
  <c r="G984" i="15"/>
  <c r="F984" i="15"/>
  <c r="E984" i="15"/>
  <c r="D984" i="15"/>
  <c r="C984" i="15"/>
  <c r="B984" i="15"/>
  <c r="A984" i="15"/>
  <c r="Y983" i="15"/>
  <c r="X983" i="15"/>
  <c r="W983" i="15"/>
  <c r="V983" i="15"/>
  <c r="U983" i="15"/>
  <c r="T983" i="15"/>
  <c r="S983" i="15"/>
  <c r="R983" i="15"/>
  <c r="Q983" i="15"/>
  <c r="P983" i="15"/>
  <c r="O983" i="15"/>
  <c r="N983" i="15"/>
  <c r="M983" i="15"/>
  <c r="L983" i="15"/>
  <c r="K983" i="15"/>
  <c r="J983" i="15"/>
  <c r="I983" i="15"/>
  <c r="H983" i="15"/>
  <c r="G983" i="15"/>
  <c r="F983" i="15"/>
  <c r="E983" i="15"/>
  <c r="D983" i="15"/>
  <c r="C983" i="15"/>
  <c r="B983" i="15"/>
  <c r="A983" i="15"/>
  <c r="Y982" i="15"/>
  <c r="X982" i="15"/>
  <c r="W982" i="15"/>
  <c r="V982" i="15"/>
  <c r="U982" i="15"/>
  <c r="T982" i="15"/>
  <c r="S982" i="15"/>
  <c r="R982" i="15"/>
  <c r="Q982" i="15"/>
  <c r="P982" i="15"/>
  <c r="O982" i="15"/>
  <c r="N982" i="15"/>
  <c r="M982" i="15"/>
  <c r="L982" i="15"/>
  <c r="K982" i="15"/>
  <c r="J982" i="15"/>
  <c r="I982" i="15"/>
  <c r="H982" i="15"/>
  <c r="G982" i="15"/>
  <c r="F982" i="15"/>
  <c r="E982" i="15"/>
  <c r="D982" i="15"/>
  <c r="C982" i="15"/>
  <c r="B982" i="15"/>
  <c r="A982" i="15"/>
  <c r="Y981" i="15"/>
  <c r="X981" i="15"/>
  <c r="W981" i="15"/>
  <c r="V981" i="15"/>
  <c r="U981" i="15"/>
  <c r="T981" i="15"/>
  <c r="S981" i="15"/>
  <c r="R981" i="15"/>
  <c r="Q981" i="15"/>
  <c r="P981" i="15"/>
  <c r="O981" i="15"/>
  <c r="N981" i="15"/>
  <c r="M981" i="15"/>
  <c r="L981" i="15"/>
  <c r="K981" i="15"/>
  <c r="J981" i="15"/>
  <c r="I981" i="15"/>
  <c r="H981" i="15"/>
  <c r="G981" i="15"/>
  <c r="F981" i="15"/>
  <c r="E981" i="15"/>
  <c r="D981" i="15"/>
  <c r="C981" i="15"/>
  <c r="B981" i="15"/>
  <c r="A981" i="15"/>
  <c r="Y980" i="15"/>
  <c r="X980" i="15"/>
  <c r="W980" i="15"/>
  <c r="V980" i="15"/>
  <c r="U980" i="15"/>
  <c r="T980" i="15"/>
  <c r="S980" i="15"/>
  <c r="R980" i="15"/>
  <c r="Q980" i="15"/>
  <c r="P980" i="15"/>
  <c r="O980" i="15"/>
  <c r="N980" i="15"/>
  <c r="M980" i="15"/>
  <c r="L980" i="15"/>
  <c r="K980" i="15"/>
  <c r="J980" i="15"/>
  <c r="I980" i="15"/>
  <c r="H980" i="15"/>
  <c r="G980" i="15"/>
  <c r="F980" i="15"/>
  <c r="E980" i="15"/>
  <c r="D980" i="15"/>
  <c r="C980" i="15"/>
  <c r="B980" i="15"/>
  <c r="A980" i="15"/>
  <c r="Y979" i="15"/>
  <c r="X979" i="15"/>
  <c r="W979" i="15"/>
  <c r="V979" i="15"/>
  <c r="U979" i="15"/>
  <c r="T979" i="15"/>
  <c r="S979" i="15"/>
  <c r="R979" i="15"/>
  <c r="Q979" i="15"/>
  <c r="P979" i="15"/>
  <c r="O979" i="15"/>
  <c r="N979" i="15"/>
  <c r="M979" i="15"/>
  <c r="L979" i="15"/>
  <c r="K979" i="15"/>
  <c r="J979" i="15"/>
  <c r="I979" i="15"/>
  <c r="H979" i="15"/>
  <c r="G979" i="15"/>
  <c r="F979" i="15"/>
  <c r="E979" i="15"/>
  <c r="D979" i="15"/>
  <c r="C979" i="15"/>
  <c r="B979" i="15"/>
  <c r="A979" i="15"/>
  <c r="Y978" i="15"/>
  <c r="X978" i="15"/>
  <c r="W978" i="15"/>
  <c r="V978" i="15"/>
  <c r="U978" i="15"/>
  <c r="T978" i="15"/>
  <c r="S978" i="15"/>
  <c r="R978" i="15"/>
  <c r="Q978" i="15"/>
  <c r="P978" i="15"/>
  <c r="O978" i="15"/>
  <c r="N978" i="15"/>
  <c r="M978" i="15"/>
  <c r="L978" i="15"/>
  <c r="K978" i="15"/>
  <c r="J978" i="15"/>
  <c r="I978" i="15"/>
  <c r="H978" i="15"/>
  <c r="G978" i="15"/>
  <c r="F978" i="15"/>
  <c r="E978" i="15"/>
  <c r="D978" i="15"/>
  <c r="C978" i="15"/>
  <c r="B978" i="15"/>
  <c r="A978" i="15"/>
  <c r="Y977" i="15"/>
  <c r="X977" i="15"/>
  <c r="W977" i="15"/>
  <c r="V977" i="15"/>
  <c r="U977" i="15"/>
  <c r="T977" i="15"/>
  <c r="S977" i="15"/>
  <c r="R977" i="15"/>
  <c r="Q977" i="15"/>
  <c r="P977" i="15"/>
  <c r="O977" i="15"/>
  <c r="N977" i="15"/>
  <c r="M977" i="15"/>
  <c r="L977" i="15"/>
  <c r="K977" i="15"/>
  <c r="J977" i="15"/>
  <c r="I977" i="15"/>
  <c r="H977" i="15"/>
  <c r="G977" i="15"/>
  <c r="F977" i="15"/>
  <c r="E977" i="15"/>
  <c r="D977" i="15"/>
  <c r="C977" i="15"/>
  <c r="B977" i="15"/>
  <c r="A977" i="15"/>
  <c r="Y976" i="15"/>
  <c r="X976" i="15"/>
  <c r="W976" i="15"/>
  <c r="V976" i="15"/>
  <c r="U976" i="15"/>
  <c r="T976" i="15"/>
  <c r="S976" i="15"/>
  <c r="R976" i="15"/>
  <c r="Q976" i="15"/>
  <c r="P976" i="15"/>
  <c r="O976" i="15"/>
  <c r="N976" i="15"/>
  <c r="M976" i="15"/>
  <c r="L976" i="15"/>
  <c r="K976" i="15"/>
  <c r="J976" i="15"/>
  <c r="I976" i="15"/>
  <c r="H976" i="15"/>
  <c r="G976" i="15"/>
  <c r="F976" i="15"/>
  <c r="E976" i="15"/>
  <c r="D976" i="15"/>
  <c r="C976" i="15"/>
  <c r="B976" i="15"/>
  <c r="A976" i="15"/>
  <c r="Y975" i="15"/>
  <c r="X975" i="15"/>
  <c r="W975" i="15"/>
  <c r="V975" i="15"/>
  <c r="U975" i="15"/>
  <c r="T975" i="15"/>
  <c r="S975" i="15"/>
  <c r="R975" i="15"/>
  <c r="Q975" i="15"/>
  <c r="P975" i="15"/>
  <c r="O975" i="15"/>
  <c r="N975" i="15"/>
  <c r="M975" i="15"/>
  <c r="L975" i="15"/>
  <c r="K975" i="15"/>
  <c r="J975" i="15"/>
  <c r="I975" i="15"/>
  <c r="H975" i="15"/>
  <c r="G975" i="15"/>
  <c r="F975" i="15"/>
  <c r="E975" i="15"/>
  <c r="D975" i="15"/>
  <c r="C975" i="15"/>
  <c r="B975" i="15"/>
  <c r="A975" i="15"/>
  <c r="Y974" i="15"/>
  <c r="X974" i="15"/>
  <c r="W974" i="15"/>
  <c r="V974" i="15"/>
  <c r="U974" i="15"/>
  <c r="T974" i="15"/>
  <c r="S974" i="15"/>
  <c r="R974" i="15"/>
  <c r="Q974" i="15"/>
  <c r="P974" i="15"/>
  <c r="O974" i="15"/>
  <c r="N974" i="15"/>
  <c r="M974" i="15"/>
  <c r="L974" i="15"/>
  <c r="K974" i="15"/>
  <c r="J974" i="15"/>
  <c r="I974" i="15"/>
  <c r="H974" i="15"/>
  <c r="G974" i="15"/>
  <c r="F974" i="15"/>
  <c r="E974" i="15"/>
  <c r="D974" i="15"/>
  <c r="C974" i="15"/>
  <c r="B974" i="15"/>
  <c r="A974" i="15"/>
  <c r="Y973" i="15"/>
  <c r="X973" i="15"/>
  <c r="W973" i="15"/>
  <c r="V973" i="15"/>
  <c r="U973" i="15"/>
  <c r="T973" i="15"/>
  <c r="S973" i="15"/>
  <c r="R973" i="15"/>
  <c r="Q973" i="15"/>
  <c r="P973" i="15"/>
  <c r="O973" i="15"/>
  <c r="N973" i="15"/>
  <c r="M973" i="15"/>
  <c r="L973" i="15"/>
  <c r="K973" i="15"/>
  <c r="J973" i="15"/>
  <c r="I973" i="15"/>
  <c r="H973" i="15"/>
  <c r="G973" i="15"/>
  <c r="F973" i="15"/>
  <c r="E973" i="15"/>
  <c r="D973" i="15"/>
  <c r="C973" i="15"/>
  <c r="B973" i="15"/>
  <c r="A973" i="15"/>
  <c r="Y972" i="15"/>
  <c r="X972" i="15"/>
  <c r="W972" i="15"/>
  <c r="V972" i="15"/>
  <c r="U972" i="15"/>
  <c r="T972" i="15"/>
  <c r="S972" i="15"/>
  <c r="R972" i="15"/>
  <c r="Q972" i="15"/>
  <c r="P972" i="15"/>
  <c r="O972" i="15"/>
  <c r="N972" i="15"/>
  <c r="M972" i="15"/>
  <c r="L972" i="15"/>
  <c r="K972" i="15"/>
  <c r="J972" i="15"/>
  <c r="I972" i="15"/>
  <c r="H972" i="15"/>
  <c r="G972" i="15"/>
  <c r="F972" i="15"/>
  <c r="E972" i="15"/>
  <c r="D972" i="15"/>
  <c r="C972" i="15"/>
  <c r="B972" i="15"/>
  <c r="A972" i="15"/>
  <c r="Y971" i="15"/>
  <c r="X971" i="15"/>
  <c r="W971" i="15"/>
  <c r="V971" i="15"/>
  <c r="U971" i="15"/>
  <c r="T971" i="15"/>
  <c r="S971" i="15"/>
  <c r="R971" i="15"/>
  <c r="Q971" i="15"/>
  <c r="P971" i="15"/>
  <c r="O971" i="15"/>
  <c r="N971" i="15"/>
  <c r="M971" i="15"/>
  <c r="L971" i="15"/>
  <c r="K971" i="15"/>
  <c r="J971" i="15"/>
  <c r="I971" i="15"/>
  <c r="H971" i="15"/>
  <c r="G971" i="15"/>
  <c r="F971" i="15"/>
  <c r="E971" i="15"/>
  <c r="D971" i="15"/>
  <c r="C971" i="15"/>
  <c r="B971" i="15"/>
  <c r="A971" i="15"/>
  <c r="Y970" i="15"/>
  <c r="X970" i="15"/>
  <c r="W970" i="15"/>
  <c r="V970" i="15"/>
  <c r="U970" i="15"/>
  <c r="T970" i="15"/>
  <c r="S970" i="15"/>
  <c r="R970" i="15"/>
  <c r="Q970" i="15"/>
  <c r="P970" i="15"/>
  <c r="O970" i="15"/>
  <c r="N970" i="15"/>
  <c r="M970" i="15"/>
  <c r="L970" i="15"/>
  <c r="K970" i="15"/>
  <c r="J970" i="15"/>
  <c r="I970" i="15"/>
  <c r="H970" i="15"/>
  <c r="G970" i="15"/>
  <c r="F970" i="15"/>
  <c r="E970" i="15"/>
  <c r="D970" i="15"/>
  <c r="C970" i="15"/>
  <c r="B970" i="15"/>
  <c r="A970" i="15"/>
  <c r="Y969" i="15"/>
  <c r="X969" i="15"/>
  <c r="W969" i="15"/>
  <c r="V969" i="15"/>
  <c r="U969" i="15"/>
  <c r="T969" i="15"/>
  <c r="S969" i="15"/>
  <c r="R969" i="15"/>
  <c r="Q969" i="15"/>
  <c r="P969" i="15"/>
  <c r="O969" i="15"/>
  <c r="N969" i="15"/>
  <c r="M969" i="15"/>
  <c r="L969" i="15"/>
  <c r="K969" i="15"/>
  <c r="J969" i="15"/>
  <c r="I969" i="15"/>
  <c r="H969" i="15"/>
  <c r="G969" i="15"/>
  <c r="F969" i="15"/>
  <c r="E969" i="15"/>
  <c r="D969" i="15"/>
  <c r="C969" i="15"/>
  <c r="B969" i="15"/>
  <c r="A969" i="15"/>
  <c r="Y968" i="15"/>
  <c r="X968" i="15"/>
  <c r="W968" i="15"/>
  <c r="V968" i="15"/>
  <c r="U968" i="15"/>
  <c r="T968" i="15"/>
  <c r="S968" i="15"/>
  <c r="R968" i="15"/>
  <c r="Q968" i="15"/>
  <c r="P968" i="15"/>
  <c r="O968" i="15"/>
  <c r="N968" i="15"/>
  <c r="M968" i="15"/>
  <c r="L968" i="15"/>
  <c r="K968" i="15"/>
  <c r="J968" i="15"/>
  <c r="I968" i="15"/>
  <c r="H968" i="15"/>
  <c r="G968" i="15"/>
  <c r="F968" i="15"/>
  <c r="E968" i="15"/>
  <c r="D968" i="15"/>
  <c r="C968" i="15"/>
  <c r="B968" i="15"/>
  <c r="A968" i="15"/>
  <c r="Y967" i="15"/>
  <c r="X967" i="15"/>
  <c r="W967" i="15"/>
  <c r="V967" i="15"/>
  <c r="U967" i="15"/>
  <c r="T967" i="15"/>
  <c r="S967" i="15"/>
  <c r="R967" i="15"/>
  <c r="Q967" i="15"/>
  <c r="P967" i="15"/>
  <c r="O967" i="15"/>
  <c r="N967" i="15"/>
  <c r="M967" i="15"/>
  <c r="L967" i="15"/>
  <c r="K967" i="15"/>
  <c r="J967" i="15"/>
  <c r="I967" i="15"/>
  <c r="H967" i="15"/>
  <c r="G967" i="15"/>
  <c r="F967" i="15"/>
  <c r="E967" i="15"/>
  <c r="D967" i="15"/>
  <c r="C967" i="15"/>
  <c r="B967" i="15"/>
  <c r="A967" i="15"/>
  <c r="Y966" i="15"/>
  <c r="X966" i="15"/>
  <c r="W966" i="15"/>
  <c r="V966" i="15"/>
  <c r="U966" i="15"/>
  <c r="T966" i="15"/>
  <c r="S966" i="15"/>
  <c r="R966" i="15"/>
  <c r="Q966" i="15"/>
  <c r="P966" i="15"/>
  <c r="O966" i="15"/>
  <c r="N966" i="15"/>
  <c r="M966" i="15"/>
  <c r="L966" i="15"/>
  <c r="K966" i="15"/>
  <c r="J966" i="15"/>
  <c r="I966" i="15"/>
  <c r="H966" i="15"/>
  <c r="G966" i="15"/>
  <c r="F966" i="15"/>
  <c r="E966" i="15"/>
  <c r="D966" i="15"/>
  <c r="C966" i="15"/>
  <c r="B966" i="15"/>
  <c r="A966" i="15"/>
  <c r="Y965" i="15"/>
  <c r="X965" i="15"/>
  <c r="W965" i="15"/>
  <c r="V965" i="15"/>
  <c r="U965" i="15"/>
  <c r="T965" i="15"/>
  <c r="S965" i="15"/>
  <c r="R965" i="15"/>
  <c r="Q965" i="15"/>
  <c r="P965" i="15"/>
  <c r="O965" i="15"/>
  <c r="N965" i="15"/>
  <c r="M965" i="15"/>
  <c r="L965" i="15"/>
  <c r="K965" i="15"/>
  <c r="J965" i="15"/>
  <c r="I965" i="15"/>
  <c r="H965" i="15"/>
  <c r="G965" i="15"/>
  <c r="F965" i="15"/>
  <c r="E965" i="15"/>
  <c r="D965" i="15"/>
  <c r="C965" i="15"/>
  <c r="B965" i="15"/>
  <c r="A965" i="15"/>
  <c r="Y964" i="15"/>
  <c r="X964" i="15"/>
  <c r="W964" i="15"/>
  <c r="V964" i="15"/>
  <c r="U964" i="15"/>
  <c r="T964" i="15"/>
  <c r="S964" i="15"/>
  <c r="R964" i="15"/>
  <c r="Q964" i="15"/>
  <c r="P964" i="15"/>
  <c r="O964" i="15"/>
  <c r="N964" i="15"/>
  <c r="M964" i="15"/>
  <c r="L964" i="15"/>
  <c r="K964" i="15"/>
  <c r="J964" i="15"/>
  <c r="I964" i="15"/>
  <c r="H964" i="15"/>
  <c r="G964" i="15"/>
  <c r="F964" i="15"/>
  <c r="E964" i="15"/>
  <c r="D964" i="15"/>
  <c r="C964" i="15"/>
  <c r="B964" i="15"/>
  <c r="A964" i="15"/>
  <c r="Y963" i="15"/>
  <c r="X963" i="15"/>
  <c r="W963" i="15"/>
  <c r="V963" i="15"/>
  <c r="U963" i="15"/>
  <c r="T963" i="15"/>
  <c r="S963" i="15"/>
  <c r="R963" i="15"/>
  <c r="Q963" i="15"/>
  <c r="P963" i="15"/>
  <c r="O963" i="15"/>
  <c r="N963" i="15"/>
  <c r="M963" i="15"/>
  <c r="L963" i="15"/>
  <c r="K963" i="15"/>
  <c r="J963" i="15"/>
  <c r="I963" i="15"/>
  <c r="H963" i="15"/>
  <c r="G963" i="15"/>
  <c r="F963" i="15"/>
  <c r="E963" i="15"/>
  <c r="D963" i="15"/>
  <c r="C963" i="15"/>
  <c r="B963" i="15"/>
  <c r="A963" i="15"/>
  <c r="Y962" i="15"/>
  <c r="X962" i="15"/>
  <c r="W962" i="15"/>
  <c r="V962" i="15"/>
  <c r="U962" i="15"/>
  <c r="T962" i="15"/>
  <c r="S962" i="15"/>
  <c r="R962" i="15"/>
  <c r="Q962" i="15"/>
  <c r="P962" i="15"/>
  <c r="O962" i="15"/>
  <c r="N962" i="15"/>
  <c r="M962" i="15"/>
  <c r="L962" i="15"/>
  <c r="K962" i="15"/>
  <c r="J962" i="15"/>
  <c r="I962" i="15"/>
  <c r="H962" i="15"/>
  <c r="G962" i="15"/>
  <c r="F962" i="15"/>
  <c r="E962" i="15"/>
  <c r="D962" i="15"/>
  <c r="C962" i="15"/>
  <c r="B962" i="15"/>
  <c r="A962" i="15"/>
  <c r="Y961" i="15"/>
  <c r="X961" i="15"/>
  <c r="W961" i="15"/>
  <c r="V961" i="15"/>
  <c r="U961" i="15"/>
  <c r="T961" i="15"/>
  <c r="S961" i="15"/>
  <c r="R961" i="15"/>
  <c r="Q961" i="15"/>
  <c r="P961" i="15"/>
  <c r="O961" i="15"/>
  <c r="N961" i="15"/>
  <c r="M961" i="15"/>
  <c r="L961" i="15"/>
  <c r="K961" i="15"/>
  <c r="J961" i="15"/>
  <c r="I961" i="15"/>
  <c r="H961" i="15"/>
  <c r="G961" i="15"/>
  <c r="F961" i="15"/>
  <c r="E961" i="15"/>
  <c r="D961" i="15"/>
  <c r="C961" i="15"/>
  <c r="B961" i="15"/>
  <c r="A961" i="15"/>
  <c r="Y960" i="15"/>
  <c r="X960" i="15"/>
  <c r="W960" i="15"/>
  <c r="V960" i="15"/>
  <c r="U960" i="15"/>
  <c r="T960" i="15"/>
  <c r="S960" i="15"/>
  <c r="R960" i="15"/>
  <c r="Q960" i="15"/>
  <c r="P960" i="15"/>
  <c r="O960" i="15"/>
  <c r="N960" i="15"/>
  <c r="M960" i="15"/>
  <c r="L960" i="15"/>
  <c r="K960" i="15"/>
  <c r="J960" i="15"/>
  <c r="I960" i="15"/>
  <c r="H960" i="15"/>
  <c r="G960" i="15"/>
  <c r="F960" i="15"/>
  <c r="E960" i="15"/>
  <c r="D960" i="15"/>
  <c r="C960" i="15"/>
  <c r="B960" i="15"/>
  <c r="A960" i="15"/>
  <c r="Y959" i="15"/>
  <c r="X959" i="15"/>
  <c r="W959" i="15"/>
  <c r="V959" i="15"/>
  <c r="U959" i="15"/>
  <c r="T959" i="15"/>
  <c r="S959" i="15"/>
  <c r="R959" i="15"/>
  <c r="Q959" i="15"/>
  <c r="P959" i="15"/>
  <c r="O959" i="15"/>
  <c r="N959" i="15"/>
  <c r="M959" i="15"/>
  <c r="L959" i="15"/>
  <c r="K959" i="15"/>
  <c r="J959" i="15"/>
  <c r="I959" i="15"/>
  <c r="H959" i="15"/>
  <c r="G959" i="15"/>
  <c r="F959" i="15"/>
  <c r="E959" i="15"/>
  <c r="D959" i="15"/>
  <c r="C959" i="15"/>
  <c r="B959" i="15"/>
  <c r="A959" i="15"/>
  <c r="Y958" i="15"/>
  <c r="X958" i="15"/>
  <c r="W958" i="15"/>
  <c r="V958" i="15"/>
  <c r="U958" i="15"/>
  <c r="T958" i="15"/>
  <c r="S958" i="15"/>
  <c r="R958" i="15"/>
  <c r="Q958" i="15"/>
  <c r="P958" i="15"/>
  <c r="O958" i="15"/>
  <c r="N958" i="15"/>
  <c r="M958" i="15"/>
  <c r="L958" i="15"/>
  <c r="K958" i="15"/>
  <c r="J958" i="15"/>
  <c r="I958" i="15"/>
  <c r="H958" i="15"/>
  <c r="G958" i="15"/>
  <c r="F958" i="15"/>
  <c r="E958" i="15"/>
  <c r="D958" i="15"/>
  <c r="C958" i="15"/>
  <c r="B958" i="15"/>
  <c r="A958" i="15"/>
  <c r="Y957" i="15"/>
  <c r="X957" i="15"/>
  <c r="W957" i="15"/>
  <c r="V957" i="15"/>
  <c r="U957" i="15"/>
  <c r="T957" i="15"/>
  <c r="S957" i="15"/>
  <c r="R957" i="15"/>
  <c r="Q957" i="15"/>
  <c r="P957" i="15"/>
  <c r="O957" i="15"/>
  <c r="N957" i="15"/>
  <c r="M957" i="15"/>
  <c r="L957" i="15"/>
  <c r="K957" i="15"/>
  <c r="J957" i="15"/>
  <c r="I957" i="15"/>
  <c r="H957" i="15"/>
  <c r="G957" i="15"/>
  <c r="F957" i="15"/>
  <c r="E957" i="15"/>
  <c r="D957" i="15"/>
  <c r="C957" i="15"/>
  <c r="B957" i="15"/>
  <c r="A957" i="15"/>
  <c r="Y956" i="15"/>
  <c r="X956" i="15"/>
  <c r="W956" i="15"/>
  <c r="V956" i="15"/>
  <c r="U956" i="15"/>
  <c r="T956" i="15"/>
  <c r="S956" i="15"/>
  <c r="R956" i="15"/>
  <c r="Q956" i="15"/>
  <c r="P956" i="15"/>
  <c r="O956" i="15"/>
  <c r="N956" i="15"/>
  <c r="M956" i="15"/>
  <c r="L956" i="15"/>
  <c r="K956" i="15"/>
  <c r="J956" i="15"/>
  <c r="I956" i="15"/>
  <c r="H956" i="15"/>
  <c r="G956" i="15"/>
  <c r="F956" i="15"/>
  <c r="E956" i="15"/>
  <c r="D956" i="15"/>
  <c r="C956" i="15"/>
  <c r="B956" i="15"/>
  <c r="A956" i="15"/>
  <c r="Y955" i="15"/>
  <c r="X955" i="15"/>
  <c r="W955" i="15"/>
  <c r="V955" i="15"/>
  <c r="U955" i="15"/>
  <c r="T955" i="15"/>
  <c r="S955" i="15"/>
  <c r="R955" i="15"/>
  <c r="Q955" i="15"/>
  <c r="P955" i="15"/>
  <c r="O955" i="15"/>
  <c r="N955" i="15"/>
  <c r="M955" i="15"/>
  <c r="L955" i="15"/>
  <c r="K955" i="15"/>
  <c r="J955" i="15"/>
  <c r="I955" i="15"/>
  <c r="H955" i="15"/>
  <c r="G955" i="15"/>
  <c r="F955" i="15"/>
  <c r="E955" i="15"/>
  <c r="D955" i="15"/>
  <c r="C955" i="15"/>
  <c r="B955" i="15"/>
  <c r="A955" i="15"/>
  <c r="Y954" i="15"/>
  <c r="X954" i="15"/>
  <c r="W954" i="15"/>
  <c r="V954" i="15"/>
  <c r="U954" i="15"/>
  <c r="T954" i="15"/>
  <c r="S954" i="15"/>
  <c r="R954" i="15"/>
  <c r="Q954" i="15"/>
  <c r="P954" i="15"/>
  <c r="O954" i="15"/>
  <c r="N954" i="15"/>
  <c r="M954" i="15"/>
  <c r="L954" i="15"/>
  <c r="K954" i="15"/>
  <c r="J954" i="15"/>
  <c r="I954" i="15"/>
  <c r="H954" i="15"/>
  <c r="G954" i="15"/>
  <c r="F954" i="15"/>
  <c r="E954" i="15"/>
  <c r="D954" i="15"/>
  <c r="C954" i="15"/>
  <c r="B954" i="15"/>
  <c r="A954" i="15"/>
  <c r="Y953" i="15"/>
  <c r="X953" i="15"/>
  <c r="W953" i="15"/>
  <c r="V953" i="15"/>
  <c r="U953" i="15"/>
  <c r="T953" i="15"/>
  <c r="S953" i="15"/>
  <c r="R953" i="15"/>
  <c r="Q953" i="15"/>
  <c r="P953" i="15"/>
  <c r="O953" i="15"/>
  <c r="N953" i="15"/>
  <c r="M953" i="15"/>
  <c r="L953" i="15"/>
  <c r="K953" i="15"/>
  <c r="J953" i="15"/>
  <c r="I953" i="15"/>
  <c r="H953" i="15"/>
  <c r="G953" i="15"/>
  <c r="F953" i="15"/>
  <c r="E953" i="15"/>
  <c r="D953" i="15"/>
  <c r="C953" i="15"/>
  <c r="B953" i="15"/>
  <c r="A953" i="15"/>
  <c r="Y952" i="15"/>
  <c r="X952" i="15"/>
  <c r="W952" i="15"/>
  <c r="V952" i="15"/>
  <c r="U952" i="15"/>
  <c r="T952" i="15"/>
  <c r="S952" i="15"/>
  <c r="R952" i="15"/>
  <c r="Q952" i="15"/>
  <c r="P952" i="15"/>
  <c r="O952" i="15"/>
  <c r="N952" i="15"/>
  <c r="M952" i="15"/>
  <c r="L952" i="15"/>
  <c r="K952" i="15"/>
  <c r="J952" i="15"/>
  <c r="I952" i="15"/>
  <c r="H952" i="15"/>
  <c r="G952" i="15"/>
  <c r="F952" i="15"/>
  <c r="E952" i="15"/>
  <c r="D952" i="15"/>
  <c r="C952" i="15"/>
  <c r="B952" i="15"/>
  <c r="A952" i="15"/>
  <c r="Y951" i="15"/>
  <c r="X951" i="15"/>
  <c r="W951" i="15"/>
  <c r="V951" i="15"/>
  <c r="U951" i="15"/>
  <c r="T951" i="15"/>
  <c r="S951" i="15"/>
  <c r="R951" i="15"/>
  <c r="Q951" i="15"/>
  <c r="P951" i="15"/>
  <c r="O951" i="15"/>
  <c r="N951" i="15"/>
  <c r="M951" i="15"/>
  <c r="L951" i="15"/>
  <c r="K951" i="15"/>
  <c r="J951" i="15"/>
  <c r="I951" i="15"/>
  <c r="H951" i="15"/>
  <c r="G951" i="15"/>
  <c r="F951" i="15"/>
  <c r="E951" i="15"/>
  <c r="D951" i="15"/>
  <c r="C951" i="15"/>
  <c r="B951" i="15"/>
  <c r="A951" i="15"/>
  <c r="Y950" i="15"/>
  <c r="X950" i="15"/>
  <c r="W950" i="15"/>
  <c r="V950" i="15"/>
  <c r="U950" i="15"/>
  <c r="T950" i="15"/>
  <c r="S950" i="15"/>
  <c r="R950" i="15"/>
  <c r="Q950" i="15"/>
  <c r="P950" i="15"/>
  <c r="O950" i="15"/>
  <c r="N950" i="15"/>
  <c r="M950" i="15"/>
  <c r="L950" i="15"/>
  <c r="K950" i="15"/>
  <c r="J950" i="15"/>
  <c r="I950" i="15"/>
  <c r="H950" i="15"/>
  <c r="G950" i="15"/>
  <c r="F950" i="15"/>
  <c r="E950" i="15"/>
  <c r="D950" i="15"/>
  <c r="C950" i="15"/>
  <c r="B950" i="15"/>
  <c r="A950" i="15"/>
  <c r="Y949" i="15"/>
  <c r="X949" i="15"/>
  <c r="W949" i="15"/>
  <c r="V949" i="15"/>
  <c r="U949" i="15"/>
  <c r="T949" i="15"/>
  <c r="S949" i="15"/>
  <c r="R949" i="15"/>
  <c r="Q949" i="15"/>
  <c r="P949" i="15"/>
  <c r="O949" i="15"/>
  <c r="N949" i="15"/>
  <c r="M949" i="15"/>
  <c r="L949" i="15"/>
  <c r="K949" i="15"/>
  <c r="J949" i="15"/>
  <c r="I949" i="15"/>
  <c r="H949" i="15"/>
  <c r="G949" i="15"/>
  <c r="F949" i="15"/>
  <c r="E949" i="15"/>
  <c r="D949" i="15"/>
  <c r="C949" i="15"/>
  <c r="B949" i="15"/>
  <c r="A949" i="15"/>
  <c r="Y948" i="15"/>
  <c r="X948" i="15"/>
  <c r="W948" i="15"/>
  <c r="V948" i="15"/>
  <c r="U948" i="15"/>
  <c r="T948" i="15"/>
  <c r="S948" i="15"/>
  <c r="R948" i="15"/>
  <c r="Q948" i="15"/>
  <c r="P948" i="15"/>
  <c r="O948" i="15"/>
  <c r="N948" i="15"/>
  <c r="M948" i="15"/>
  <c r="L948" i="15"/>
  <c r="K948" i="15"/>
  <c r="J948" i="15"/>
  <c r="I948" i="15"/>
  <c r="H948" i="15"/>
  <c r="G948" i="15"/>
  <c r="F948" i="15"/>
  <c r="E948" i="15"/>
  <c r="D948" i="15"/>
  <c r="C948" i="15"/>
  <c r="B948" i="15"/>
  <c r="A948" i="15"/>
  <c r="Y947" i="15"/>
  <c r="X947" i="15"/>
  <c r="W947" i="15"/>
  <c r="V947" i="15"/>
  <c r="U947" i="15"/>
  <c r="T947" i="15"/>
  <c r="S947" i="15"/>
  <c r="R947" i="15"/>
  <c r="Q947" i="15"/>
  <c r="P947" i="15"/>
  <c r="O947" i="15"/>
  <c r="N947" i="15"/>
  <c r="M947" i="15"/>
  <c r="L947" i="15"/>
  <c r="K947" i="15"/>
  <c r="J947" i="15"/>
  <c r="I947" i="15"/>
  <c r="H947" i="15"/>
  <c r="G947" i="15"/>
  <c r="F947" i="15"/>
  <c r="E947" i="15"/>
  <c r="D947" i="15"/>
  <c r="C947" i="15"/>
  <c r="B947" i="15"/>
  <c r="A947" i="15"/>
  <c r="Y946" i="15"/>
  <c r="X946" i="15"/>
  <c r="W946" i="15"/>
  <c r="V946" i="15"/>
  <c r="U946" i="15"/>
  <c r="T946" i="15"/>
  <c r="S946" i="15"/>
  <c r="R946" i="15"/>
  <c r="Q946" i="15"/>
  <c r="P946" i="15"/>
  <c r="O946" i="15"/>
  <c r="N946" i="15"/>
  <c r="M946" i="15"/>
  <c r="L946" i="15"/>
  <c r="K946" i="15"/>
  <c r="J946" i="15"/>
  <c r="I946" i="15"/>
  <c r="H946" i="15"/>
  <c r="G946" i="15"/>
  <c r="F946" i="15"/>
  <c r="E946" i="15"/>
  <c r="D946" i="15"/>
  <c r="C946" i="15"/>
  <c r="B946" i="15"/>
  <c r="A946" i="15"/>
  <c r="Y945" i="15"/>
  <c r="X945" i="15"/>
  <c r="W945" i="15"/>
  <c r="V945" i="15"/>
  <c r="U945" i="15"/>
  <c r="T945" i="15"/>
  <c r="S945" i="15"/>
  <c r="R945" i="15"/>
  <c r="Q945" i="15"/>
  <c r="P945" i="15"/>
  <c r="O945" i="15"/>
  <c r="N945" i="15"/>
  <c r="M945" i="15"/>
  <c r="L945" i="15"/>
  <c r="K945" i="15"/>
  <c r="J945" i="15"/>
  <c r="I945" i="15"/>
  <c r="H945" i="15"/>
  <c r="G945" i="15"/>
  <c r="F945" i="15"/>
  <c r="E945" i="15"/>
  <c r="D945" i="15"/>
  <c r="C945" i="15"/>
  <c r="B945" i="15"/>
  <c r="A945" i="15"/>
  <c r="Y944" i="15"/>
  <c r="X944" i="15"/>
  <c r="W944" i="15"/>
  <c r="V944" i="15"/>
  <c r="U944" i="15"/>
  <c r="T944" i="15"/>
  <c r="S944" i="15"/>
  <c r="R944" i="15"/>
  <c r="Q944" i="15"/>
  <c r="P944" i="15"/>
  <c r="O944" i="15"/>
  <c r="N944" i="15"/>
  <c r="M944" i="15"/>
  <c r="L944" i="15"/>
  <c r="K944" i="15"/>
  <c r="J944" i="15"/>
  <c r="I944" i="15"/>
  <c r="H944" i="15"/>
  <c r="G944" i="15"/>
  <c r="F944" i="15"/>
  <c r="E944" i="15"/>
  <c r="D944" i="15"/>
  <c r="C944" i="15"/>
  <c r="B944" i="15"/>
  <c r="A944" i="15"/>
  <c r="Y943" i="15"/>
  <c r="X943" i="15"/>
  <c r="W943" i="15"/>
  <c r="V943" i="15"/>
  <c r="U943" i="15"/>
  <c r="T943" i="15"/>
  <c r="S943" i="15"/>
  <c r="R943" i="15"/>
  <c r="Q943" i="15"/>
  <c r="P943" i="15"/>
  <c r="O943" i="15"/>
  <c r="N943" i="15"/>
  <c r="M943" i="15"/>
  <c r="L943" i="15"/>
  <c r="K943" i="15"/>
  <c r="J943" i="15"/>
  <c r="I943" i="15"/>
  <c r="H943" i="15"/>
  <c r="G943" i="15"/>
  <c r="F943" i="15"/>
  <c r="E943" i="15"/>
  <c r="D943" i="15"/>
  <c r="C943" i="15"/>
  <c r="B943" i="15"/>
  <c r="A943" i="15"/>
  <c r="Y942" i="15"/>
  <c r="X942" i="15"/>
  <c r="W942" i="15"/>
  <c r="V942" i="15"/>
  <c r="U942" i="15"/>
  <c r="T942" i="15"/>
  <c r="S942" i="15"/>
  <c r="R942" i="15"/>
  <c r="Q942" i="15"/>
  <c r="P942" i="15"/>
  <c r="O942" i="15"/>
  <c r="N942" i="15"/>
  <c r="M942" i="15"/>
  <c r="L942" i="15"/>
  <c r="K942" i="15"/>
  <c r="J942" i="15"/>
  <c r="I942" i="15"/>
  <c r="H942" i="15"/>
  <c r="G942" i="15"/>
  <c r="F942" i="15"/>
  <c r="E942" i="15"/>
  <c r="D942" i="15"/>
  <c r="C942" i="15"/>
  <c r="B942" i="15"/>
  <c r="A942" i="15"/>
  <c r="Y941" i="15"/>
  <c r="X941" i="15"/>
  <c r="W941" i="15"/>
  <c r="V941" i="15"/>
  <c r="U941" i="15"/>
  <c r="T941" i="15"/>
  <c r="S941" i="15"/>
  <c r="R941" i="15"/>
  <c r="Q941" i="15"/>
  <c r="P941" i="15"/>
  <c r="O941" i="15"/>
  <c r="N941" i="15"/>
  <c r="M941" i="15"/>
  <c r="L941" i="15"/>
  <c r="K941" i="15"/>
  <c r="J941" i="15"/>
  <c r="I941" i="15"/>
  <c r="H941" i="15"/>
  <c r="G941" i="15"/>
  <c r="F941" i="15"/>
  <c r="E941" i="15"/>
  <c r="D941" i="15"/>
  <c r="C941" i="15"/>
  <c r="B941" i="15"/>
  <c r="A941" i="15"/>
  <c r="Y940" i="15"/>
  <c r="X940" i="15"/>
  <c r="W940" i="15"/>
  <c r="V940" i="15"/>
  <c r="U940" i="15"/>
  <c r="T940" i="15"/>
  <c r="S940" i="15"/>
  <c r="R940" i="15"/>
  <c r="Q940" i="15"/>
  <c r="P940" i="15"/>
  <c r="O940" i="15"/>
  <c r="N940" i="15"/>
  <c r="M940" i="15"/>
  <c r="L940" i="15"/>
  <c r="K940" i="15"/>
  <c r="J940" i="15"/>
  <c r="I940" i="15"/>
  <c r="H940" i="15"/>
  <c r="G940" i="15"/>
  <c r="F940" i="15"/>
  <c r="E940" i="15"/>
  <c r="D940" i="15"/>
  <c r="C940" i="15"/>
  <c r="B940" i="15"/>
  <c r="A940" i="15"/>
  <c r="Y939" i="15"/>
  <c r="X939" i="15"/>
  <c r="W939" i="15"/>
  <c r="V939" i="15"/>
  <c r="U939" i="15"/>
  <c r="T939" i="15"/>
  <c r="S939" i="15"/>
  <c r="R939" i="15"/>
  <c r="Q939" i="15"/>
  <c r="P939" i="15"/>
  <c r="O939" i="15"/>
  <c r="N939" i="15"/>
  <c r="M939" i="15"/>
  <c r="L939" i="15"/>
  <c r="K939" i="15"/>
  <c r="J939" i="15"/>
  <c r="I939" i="15"/>
  <c r="H939" i="15"/>
  <c r="G939" i="15"/>
  <c r="F939" i="15"/>
  <c r="E939" i="15"/>
  <c r="D939" i="15"/>
  <c r="C939" i="15"/>
  <c r="B939" i="15"/>
  <c r="A939" i="15"/>
  <c r="Y938" i="15"/>
  <c r="X938" i="15"/>
  <c r="W938" i="15"/>
  <c r="V938" i="15"/>
  <c r="U938" i="15"/>
  <c r="T938" i="15"/>
  <c r="S938" i="15"/>
  <c r="R938" i="15"/>
  <c r="Q938" i="15"/>
  <c r="P938" i="15"/>
  <c r="O938" i="15"/>
  <c r="N938" i="15"/>
  <c r="M938" i="15"/>
  <c r="L938" i="15"/>
  <c r="K938" i="15"/>
  <c r="J938" i="15"/>
  <c r="I938" i="15"/>
  <c r="H938" i="15"/>
  <c r="G938" i="15"/>
  <c r="F938" i="15"/>
  <c r="E938" i="15"/>
  <c r="D938" i="15"/>
  <c r="C938" i="15"/>
  <c r="B938" i="15"/>
  <c r="A938" i="15"/>
  <c r="Y937" i="15"/>
  <c r="X937" i="15"/>
  <c r="W937" i="15"/>
  <c r="V937" i="15"/>
  <c r="U937" i="15"/>
  <c r="T937" i="15"/>
  <c r="S937" i="15"/>
  <c r="R937" i="15"/>
  <c r="Q937" i="15"/>
  <c r="P937" i="15"/>
  <c r="O937" i="15"/>
  <c r="N937" i="15"/>
  <c r="M937" i="15"/>
  <c r="L937" i="15"/>
  <c r="K937" i="15"/>
  <c r="J937" i="15"/>
  <c r="I937" i="15"/>
  <c r="H937" i="15"/>
  <c r="G937" i="15"/>
  <c r="F937" i="15"/>
  <c r="E937" i="15"/>
  <c r="D937" i="15"/>
  <c r="C937" i="15"/>
  <c r="B937" i="15"/>
  <c r="A937" i="15"/>
  <c r="Y936" i="15"/>
  <c r="X936" i="15"/>
  <c r="W936" i="15"/>
  <c r="V936" i="15"/>
  <c r="U936" i="15"/>
  <c r="T936" i="15"/>
  <c r="S936" i="15"/>
  <c r="R936" i="15"/>
  <c r="Q936" i="15"/>
  <c r="P936" i="15"/>
  <c r="O936" i="15"/>
  <c r="N936" i="15"/>
  <c r="M936" i="15"/>
  <c r="L936" i="15"/>
  <c r="K936" i="15"/>
  <c r="J936" i="15"/>
  <c r="I936" i="15"/>
  <c r="H936" i="15"/>
  <c r="G936" i="15"/>
  <c r="F936" i="15"/>
  <c r="E936" i="15"/>
  <c r="D936" i="15"/>
  <c r="C936" i="15"/>
  <c r="B936" i="15"/>
  <c r="A936" i="15"/>
  <c r="Y935" i="15"/>
  <c r="X935" i="15"/>
  <c r="W935" i="15"/>
  <c r="V935" i="15"/>
  <c r="U935" i="15"/>
  <c r="T935" i="15"/>
  <c r="S935" i="15"/>
  <c r="R935" i="15"/>
  <c r="Q935" i="15"/>
  <c r="P935" i="15"/>
  <c r="O935" i="15"/>
  <c r="N935" i="15"/>
  <c r="M935" i="15"/>
  <c r="L935" i="15"/>
  <c r="K935" i="15"/>
  <c r="J935" i="15"/>
  <c r="I935" i="15"/>
  <c r="H935" i="15"/>
  <c r="G935" i="15"/>
  <c r="F935" i="15"/>
  <c r="E935" i="15"/>
  <c r="D935" i="15"/>
  <c r="C935" i="15"/>
  <c r="B935" i="15"/>
  <c r="A935" i="15"/>
  <c r="Y934" i="15"/>
  <c r="X934" i="15"/>
  <c r="W934" i="15"/>
  <c r="V934" i="15"/>
  <c r="U934" i="15"/>
  <c r="T934" i="15"/>
  <c r="S934" i="15"/>
  <c r="R934" i="15"/>
  <c r="Q934" i="15"/>
  <c r="P934" i="15"/>
  <c r="O934" i="15"/>
  <c r="N934" i="15"/>
  <c r="M934" i="15"/>
  <c r="L934" i="15"/>
  <c r="K934" i="15"/>
  <c r="J934" i="15"/>
  <c r="I934" i="15"/>
  <c r="H934" i="15"/>
  <c r="G934" i="15"/>
  <c r="F934" i="15"/>
  <c r="E934" i="15"/>
  <c r="D934" i="15"/>
  <c r="C934" i="15"/>
  <c r="B934" i="15"/>
  <c r="A934" i="15"/>
  <c r="Y933" i="15"/>
  <c r="X933" i="15"/>
  <c r="W933" i="15"/>
  <c r="V933" i="15"/>
  <c r="U933" i="15"/>
  <c r="T933" i="15"/>
  <c r="S933" i="15"/>
  <c r="R933" i="15"/>
  <c r="Q933" i="15"/>
  <c r="P933" i="15"/>
  <c r="O933" i="15"/>
  <c r="N933" i="15"/>
  <c r="M933" i="15"/>
  <c r="L933" i="15"/>
  <c r="K933" i="15"/>
  <c r="J933" i="15"/>
  <c r="I933" i="15"/>
  <c r="H933" i="15"/>
  <c r="G933" i="15"/>
  <c r="F933" i="15"/>
  <c r="E933" i="15"/>
  <c r="D933" i="15"/>
  <c r="C933" i="15"/>
  <c r="B933" i="15"/>
  <c r="A933" i="15"/>
  <c r="Y932" i="15"/>
  <c r="X932" i="15"/>
  <c r="W932" i="15"/>
  <c r="V932" i="15"/>
  <c r="U932" i="15"/>
  <c r="T932" i="15"/>
  <c r="S932" i="15"/>
  <c r="R932" i="15"/>
  <c r="Q932" i="15"/>
  <c r="P932" i="15"/>
  <c r="O932" i="15"/>
  <c r="N932" i="15"/>
  <c r="M932" i="15"/>
  <c r="L932" i="15"/>
  <c r="K932" i="15"/>
  <c r="J932" i="15"/>
  <c r="I932" i="15"/>
  <c r="H932" i="15"/>
  <c r="G932" i="15"/>
  <c r="F932" i="15"/>
  <c r="E932" i="15"/>
  <c r="D932" i="15"/>
  <c r="C932" i="15"/>
  <c r="B932" i="15"/>
  <c r="A932" i="15"/>
  <c r="Y931" i="15"/>
  <c r="X931" i="15"/>
  <c r="W931" i="15"/>
  <c r="V931" i="15"/>
  <c r="U931" i="15"/>
  <c r="T931" i="15"/>
  <c r="S931" i="15"/>
  <c r="R931" i="15"/>
  <c r="Q931" i="15"/>
  <c r="P931" i="15"/>
  <c r="O931" i="15"/>
  <c r="N931" i="15"/>
  <c r="M931" i="15"/>
  <c r="L931" i="15"/>
  <c r="K931" i="15"/>
  <c r="J931" i="15"/>
  <c r="I931" i="15"/>
  <c r="H931" i="15"/>
  <c r="G931" i="15"/>
  <c r="F931" i="15"/>
  <c r="E931" i="15"/>
  <c r="D931" i="15"/>
  <c r="C931" i="15"/>
  <c r="B931" i="15"/>
  <c r="A931" i="15"/>
  <c r="Y930" i="15"/>
  <c r="X930" i="15"/>
  <c r="W930" i="15"/>
  <c r="V930" i="15"/>
  <c r="U930" i="15"/>
  <c r="T930" i="15"/>
  <c r="S930" i="15"/>
  <c r="R930" i="15"/>
  <c r="Q930" i="15"/>
  <c r="P930" i="15"/>
  <c r="O930" i="15"/>
  <c r="N930" i="15"/>
  <c r="M930" i="15"/>
  <c r="L930" i="15"/>
  <c r="K930" i="15"/>
  <c r="J930" i="15"/>
  <c r="I930" i="15"/>
  <c r="H930" i="15"/>
  <c r="G930" i="15"/>
  <c r="F930" i="15"/>
  <c r="E930" i="15"/>
  <c r="D930" i="15"/>
  <c r="C930" i="15"/>
  <c r="B930" i="15"/>
  <c r="A930" i="15"/>
  <c r="Y929" i="15"/>
  <c r="X929" i="15"/>
  <c r="W929" i="15"/>
  <c r="V929" i="15"/>
  <c r="U929" i="15"/>
  <c r="T929" i="15"/>
  <c r="S929" i="15"/>
  <c r="R929" i="15"/>
  <c r="Q929" i="15"/>
  <c r="P929" i="15"/>
  <c r="O929" i="15"/>
  <c r="N929" i="15"/>
  <c r="M929" i="15"/>
  <c r="L929" i="15"/>
  <c r="K929" i="15"/>
  <c r="J929" i="15"/>
  <c r="I929" i="15"/>
  <c r="H929" i="15"/>
  <c r="G929" i="15"/>
  <c r="F929" i="15"/>
  <c r="E929" i="15"/>
  <c r="D929" i="15"/>
  <c r="C929" i="15"/>
  <c r="B929" i="15"/>
  <c r="A929" i="15"/>
  <c r="Y928" i="15"/>
  <c r="X928" i="15"/>
  <c r="W928" i="15"/>
  <c r="V928" i="15"/>
  <c r="U928" i="15"/>
  <c r="T928" i="15"/>
  <c r="S928" i="15"/>
  <c r="R928" i="15"/>
  <c r="Q928" i="15"/>
  <c r="P928" i="15"/>
  <c r="O928" i="15"/>
  <c r="N928" i="15"/>
  <c r="M928" i="15"/>
  <c r="L928" i="15"/>
  <c r="K928" i="15"/>
  <c r="J928" i="15"/>
  <c r="I928" i="15"/>
  <c r="H928" i="15"/>
  <c r="G928" i="15"/>
  <c r="F928" i="15"/>
  <c r="E928" i="15"/>
  <c r="D928" i="15"/>
  <c r="C928" i="15"/>
  <c r="B928" i="15"/>
  <c r="A928" i="15"/>
  <c r="Y927" i="15"/>
  <c r="X927" i="15"/>
  <c r="W927" i="15"/>
  <c r="V927" i="15"/>
  <c r="U927" i="15"/>
  <c r="T927" i="15"/>
  <c r="S927" i="15"/>
  <c r="R927" i="15"/>
  <c r="Q927" i="15"/>
  <c r="P927" i="15"/>
  <c r="O927" i="15"/>
  <c r="N927" i="15"/>
  <c r="M927" i="15"/>
  <c r="L927" i="15"/>
  <c r="K927" i="15"/>
  <c r="J927" i="15"/>
  <c r="I927" i="15"/>
  <c r="H927" i="15"/>
  <c r="G927" i="15"/>
  <c r="F927" i="15"/>
  <c r="E927" i="15"/>
  <c r="D927" i="15"/>
  <c r="C927" i="15"/>
  <c r="B927" i="15"/>
  <c r="A927" i="15"/>
  <c r="Y926" i="15"/>
  <c r="X926" i="15"/>
  <c r="W926" i="15"/>
  <c r="V926" i="15"/>
  <c r="U926" i="15"/>
  <c r="T926" i="15"/>
  <c r="S926" i="15"/>
  <c r="R926" i="15"/>
  <c r="Q926" i="15"/>
  <c r="P926" i="15"/>
  <c r="O926" i="15"/>
  <c r="N926" i="15"/>
  <c r="M926" i="15"/>
  <c r="L926" i="15"/>
  <c r="K926" i="15"/>
  <c r="J926" i="15"/>
  <c r="I926" i="15"/>
  <c r="H926" i="15"/>
  <c r="G926" i="15"/>
  <c r="F926" i="15"/>
  <c r="E926" i="15"/>
  <c r="D926" i="15"/>
  <c r="C926" i="15"/>
  <c r="B926" i="15"/>
  <c r="A926" i="15"/>
  <c r="Y925" i="15"/>
  <c r="X925" i="15"/>
  <c r="W925" i="15"/>
  <c r="V925" i="15"/>
  <c r="U925" i="15"/>
  <c r="T925" i="15"/>
  <c r="S925" i="15"/>
  <c r="R925" i="15"/>
  <c r="Q925" i="15"/>
  <c r="P925" i="15"/>
  <c r="O925" i="15"/>
  <c r="N925" i="15"/>
  <c r="M925" i="15"/>
  <c r="L925" i="15"/>
  <c r="K925" i="15"/>
  <c r="J925" i="15"/>
  <c r="I925" i="15"/>
  <c r="H925" i="15"/>
  <c r="G925" i="15"/>
  <c r="F925" i="15"/>
  <c r="E925" i="15"/>
  <c r="D925" i="15"/>
  <c r="C925" i="15"/>
  <c r="B925" i="15"/>
  <c r="A925" i="15"/>
  <c r="Y924" i="15"/>
  <c r="X924" i="15"/>
  <c r="W924" i="15"/>
  <c r="V924" i="15"/>
  <c r="U924" i="15"/>
  <c r="T924" i="15"/>
  <c r="S924" i="15"/>
  <c r="R924" i="15"/>
  <c r="Q924" i="15"/>
  <c r="P924" i="15"/>
  <c r="O924" i="15"/>
  <c r="N924" i="15"/>
  <c r="M924" i="15"/>
  <c r="L924" i="15"/>
  <c r="K924" i="15"/>
  <c r="J924" i="15"/>
  <c r="I924" i="15"/>
  <c r="H924" i="15"/>
  <c r="G924" i="15"/>
  <c r="F924" i="15"/>
  <c r="E924" i="15"/>
  <c r="D924" i="15"/>
  <c r="C924" i="15"/>
  <c r="B924" i="15"/>
  <c r="A924" i="15"/>
  <c r="Y923" i="15"/>
  <c r="X923" i="15"/>
  <c r="W923" i="15"/>
  <c r="V923" i="15"/>
  <c r="U923" i="15"/>
  <c r="T923" i="15"/>
  <c r="S923" i="15"/>
  <c r="R923" i="15"/>
  <c r="Q923" i="15"/>
  <c r="P923" i="15"/>
  <c r="O923" i="15"/>
  <c r="N923" i="15"/>
  <c r="M923" i="15"/>
  <c r="L923" i="15"/>
  <c r="K923" i="15"/>
  <c r="J923" i="15"/>
  <c r="I923" i="15"/>
  <c r="H923" i="15"/>
  <c r="G923" i="15"/>
  <c r="F923" i="15"/>
  <c r="E923" i="15"/>
  <c r="D923" i="15"/>
  <c r="C923" i="15"/>
  <c r="B923" i="15"/>
  <c r="A923" i="15"/>
  <c r="Y922" i="15"/>
  <c r="X922" i="15"/>
  <c r="W922" i="15"/>
  <c r="V922" i="15"/>
  <c r="U922" i="15"/>
  <c r="T922" i="15"/>
  <c r="S922" i="15"/>
  <c r="R922" i="15"/>
  <c r="Q922" i="15"/>
  <c r="P922" i="15"/>
  <c r="O922" i="15"/>
  <c r="N922" i="15"/>
  <c r="M922" i="15"/>
  <c r="L922" i="15"/>
  <c r="K922" i="15"/>
  <c r="J922" i="15"/>
  <c r="I922" i="15"/>
  <c r="H922" i="15"/>
  <c r="G922" i="15"/>
  <c r="F922" i="15"/>
  <c r="E922" i="15"/>
  <c r="D922" i="15"/>
  <c r="C922" i="15"/>
  <c r="B922" i="15"/>
  <c r="A922" i="15"/>
  <c r="Y921" i="15"/>
  <c r="X921" i="15"/>
  <c r="W921" i="15"/>
  <c r="V921" i="15"/>
  <c r="U921" i="15"/>
  <c r="T921" i="15"/>
  <c r="S921" i="15"/>
  <c r="R921" i="15"/>
  <c r="Q921" i="15"/>
  <c r="P921" i="15"/>
  <c r="O921" i="15"/>
  <c r="N921" i="15"/>
  <c r="M921" i="15"/>
  <c r="L921" i="15"/>
  <c r="K921" i="15"/>
  <c r="J921" i="15"/>
  <c r="I921" i="15"/>
  <c r="H921" i="15"/>
  <c r="G921" i="15"/>
  <c r="F921" i="15"/>
  <c r="E921" i="15"/>
  <c r="D921" i="15"/>
  <c r="C921" i="15"/>
  <c r="B921" i="15"/>
  <c r="A921" i="15"/>
  <c r="Y920" i="15"/>
  <c r="X920" i="15"/>
  <c r="W920" i="15"/>
  <c r="V920" i="15"/>
  <c r="U920" i="15"/>
  <c r="T920" i="15"/>
  <c r="S920" i="15"/>
  <c r="R920" i="15"/>
  <c r="Q920" i="15"/>
  <c r="P920" i="15"/>
  <c r="O920" i="15"/>
  <c r="N920" i="15"/>
  <c r="M920" i="15"/>
  <c r="L920" i="15"/>
  <c r="K920" i="15"/>
  <c r="J920" i="15"/>
  <c r="I920" i="15"/>
  <c r="H920" i="15"/>
  <c r="G920" i="15"/>
  <c r="F920" i="15"/>
  <c r="E920" i="15"/>
  <c r="D920" i="15"/>
  <c r="C920" i="15"/>
  <c r="B920" i="15"/>
  <c r="A920" i="15"/>
  <c r="Y919" i="15"/>
  <c r="X919" i="15"/>
  <c r="W919" i="15"/>
  <c r="V919" i="15"/>
  <c r="U919" i="15"/>
  <c r="T919" i="15"/>
  <c r="S919" i="15"/>
  <c r="R919" i="15"/>
  <c r="Q919" i="15"/>
  <c r="P919" i="15"/>
  <c r="O919" i="15"/>
  <c r="N919" i="15"/>
  <c r="M919" i="15"/>
  <c r="L919" i="15"/>
  <c r="K919" i="15"/>
  <c r="J919" i="15"/>
  <c r="I919" i="15"/>
  <c r="H919" i="15"/>
  <c r="G919" i="15"/>
  <c r="F919" i="15"/>
  <c r="E919" i="15"/>
  <c r="D919" i="15"/>
  <c r="C919" i="15"/>
  <c r="B919" i="15"/>
  <c r="A919" i="15"/>
  <c r="Y918" i="15"/>
  <c r="X918" i="15"/>
  <c r="W918" i="15"/>
  <c r="V918" i="15"/>
  <c r="U918" i="15"/>
  <c r="T918" i="15"/>
  <c r="S918" i="15"/>
  <c r="R918" i="15"/>
  <c r="Q918" i="15"/>
  <c r="P918" i="15"/>
  <c r="O918" i="15"/>
  <c r="N918" i="15"/>
  <c r="M918" i="15"/>
  <c r="L918" i="15"/>
  <c r="K918" i="15"/>
  <c r="J918" i="15"/>
  <c r="I918" i="15"/>
  <c r="H918" i="15"/>
  <c r="G918" i="15"/>
  <c r="F918" i="15"/>
  <c r="E918" i="15"/>
  <c r="D918" i="15"/>
  <c r="C918" i="15"/>
  <c r="B918" i="15"/>
  <c r="A918" i="15"/>
  <c r="Y917" i="15"/>
  <c r="X917" i="15"/>
  <c r="W917" i="15"/>
  <c r="V917" i="15"/>
  <c r="U917" i="15"/>
  <c r="T917" i="15"/>
  <c r="S917" i="15"/>
  <c r="R917" i="15"/>
  <c r="Q917" i="15"/>
  <c r="P917" i="15"/>
  <c r="O917" i="15"/>
  <c r="N917" i="15"/>
  <c r="M917" i="15"/>
  <c r="L917" i="15"/>
  <c r="K917" i="15"/>
  <c r="J917" i="15"/>
  <c r="I917" i="15"/>
  <c r="H917" i="15"/>
  <c r="G917" i="15"/>
  <c r="F917" i="15"/>
  <c r="E917" i="15"/>
  <c r="D917" i="15"/>
  <c r="C917" i="15"/>
  <c r="B917" i="15"/>
  <c r="A917" i="15"/>
  <c r="Y916" i="15"/>
  <c r="X916" i="15"/>
  <c r="W916" i="15"/>
  <c r="V916" i="15"/>
  <c r="U916" i="15"/>
  <c r="T916" i="15"/>
  <c r="S916" i="15"/>
  <c r="R916" i="15"/>
  <c r="Q916" i="15"/>
  <c r="P916" i="15"/>
  <c r="O916" i="15"/>
  <c r="N916" i="15"/>
  <c r="M916" i="15"/>
  <c r="L916" i="15"/>
  <c r="K916" i="15"/>
  <c r="J916" i="15"/>
  <c r="I916" i="15"/>
  <c r="H916" i="15"/>
  <c r="G916" i="15"/>
  <c r="F916" i="15"/>
  <c r="E916" i="15"/>
  <c r="D916" i="15"/>
  <c r="C916" i="15"/>
  <c r="B916" i="15"/>
  <c r="A916" i="15"/>
  <c r="Y915" i="15"/>
  <c r="X915" i="15"/>
  <c r="W915" i="15"/>
  <c r="V915" i="15"/>
  <c r="U915" i="15"/>
  <c r="T915" i="15"/>
  <c r="S915" i="15"/>
  <c r="R915" i="15"/>
  <c r="Q915" i="15"/>
  <c r="P915" i="15"/>
  <c r="O915" i="15"/>
  <c r="N915" i="15"/>
  <c r="M915" i="15"/>
  <c r="L915" i="15"/>
  <c r="K915" i="15"/>
  <c r="J915" i="15"/>
  <c r="I915" i="15"/>
  <c r="H915" i="15"/>
  <c r="G915" i="15"/>
  <c r="F915" i="15"/>
  <c r="E915" i="15"/>
  <c r="D915" i="15"/>
  <c r="C915" i="15"/>
  <c r="B915" i="15"/>
  <c r="A915" i="15"/>
  <c r="Y914" i="15"/>
  <c r="X914" i="15"/>
  <c r="W914" i="15"/>
  <c r="V914" i="15"/>
  <c r="U914" i="15"/>
  <c r="T914" i="15"/>
  <c r="S914" i="15"/>
  <c r="R914" i="15"/>
  <c r="Q914" i="15"/>
  <c r="P914" i="15"/>
  <c r="O914" i="15"/>
  <c r="N914" i="15"/>
  <c r="M914" i="15"/>
  <c r="L914" i="15"/>
  <c r="K914" i="15"/>
  <c r="J914" i="15"/>
  <c r="I914" i="15"/>
  <c r="H914" i="15"/>
  <c r="G914" i="15"/>
  <c r="F914" i="15"/>
  <c r="E914" i="15"/>
  <c r="D914" i="15"/>
  <c r="C914" i="15"/>
  <c r="B914" i="15"/>
  <c r="A914" i="15"/>
  <c r="Y913" i="15"/>
  <c r="X913" i="15"/>
  <c r="W913" i="15"/>
  <c r="V913" i="15"/>
  <c r="U913" i="15"/>
  <c r="T913" i="15"/>
  <c r="S913" i="15"/>
  <c r="R913" i="15"/>
  <c r="Q913" i="15"/>
  <c r="P913" i="15"/>
  <c r="O913" i="15"/>
  <c r="N913" i="15"/>
  <c r="M913" i="15"/>
  <c r="L913" i="15"/>
  <c r="K913" i="15"/>
  <c r="J913" i="15"/>
  <c r="I913" i="15"/>
  <c r="H913" i="15"/>
  <c r="G913" i="15"/>
  <c r="F913" i="15"/>
  <c r="E913" i="15"/>
  <c r="D913" i="15"/>
  <c r="C913" i="15"/>
  <c r="B913" i="15"/>
  <c r="A913" i="15"/>
  <c r="Y912" i="15"/>
  <c r="X912" i="15"/>
  <c r="W912" i="15"/>
  <c r="V912" i="15"/>
  <c r="U912" i="15"/>
  <c r="T912" i="15"/>
  <c r="S912" i="15"/>
  <c r="R912" i="15"/>
  <c r="Q912" i="15"/>
  <c r="P912" i="15"/>
  <c r="O912" i="15"/>
  <c r="N912" i="15"/>
  <c r="M912" i="15"/>
  <c r="L912" i="15"/>
  <c r="K912" i="15"/>
  <c r="J912" i="15"/>
  <c r="I912" i="15"/>
  <c r="H912" i="15"/>
  <c r="G912" i="15"/>
  <c r="F912" i="15"/>
  <c r="E912" i="15"/>
  <c r="D912" i="15"/>
  <c r="C912" i="15"/>
  <c r="B912" i="15"/>
  <c r="A912" i="15"/>
  <c r="Y911" i="15"/>
  <c r="X911" i="15"/>
  <c r="W911" i="15"/>
  <c r="V911" i="15"/>
  <c r="U911" i="15"/>
  <c r="T911" i="15"/>
  <c r="S911" i="15"/>
  <c r="R911" i="15"/>
  <c r="Q911" i="15"/>
  <c r="P911" i="15"/>
  <c r="O911" i="15"/>
  <c r="N911" i="15"/>
  <c r="M911" i="15"/>
  <c r="L911" i="15"/>
  <c r="K911" i="15"/>
  <c r="J911" i="15"/>
  <c r="I911" i="15"/>
  <c r="H911" i="15"/>
  <c r="G911" i="15"/>
  <c r="F911" i="15"/>
  <c r="E911" i="15"/>
  <c r="D911" i="15"/>
  <c r="C911" i="15"/>
  <c r="B911" i="15"/>
  <c r="A911" i="15"/>
  <c r="Y910" i="15"/>
  <c r="X910" i="15"/>
  <c r="W910" i="15"/>
  <c r="V910" i="15"/>
  <c r="U910" i="15"/>
  <c r="T910" i="15"/>
  <c r="S910" i="15"/>
  <c r="R910" i="15"/>
  <c r="Q910" i="15"/>
  <c r="P910" i="15"/>
  <c r="O910" i="15"/>
  <c r="N910" i="15"/>
  <c r="M910" i="15"/>
  <c r="L910" i="15"/>
  <c r="K910" i="15"/>
  <c r="J910" i="15"/>
  <c r="I910" i="15"/>
  <c r="H910" i="15"/>
  <c r="G910" i="15"/>
  <c r="F910" i="15"/>
  <c r="E910" i="15"/>
  <c r="D910" i="15"/>
  <c r="C910" i="15"/>
  <c r="B910" i="15"/>
  <c r="A910" i="15"/>
  <c r="Y909" i="15"/>
  <c r="X909" i="15"/>
  <c r="W909" i="15"/>
  <c r="V909" i="15"/>
  <c r="U909" i="15"/>
  <c r="T909" i="15"/>
  <c r="S909" i="15"/>
  <c r="R909" i="15"/>
  <c r="Q909" i="15"/>
  <c r="P909" i="15"/>
  <c r="O909" i="15"/>
  <c r="N909" i="15"/>
  <c r="M909" i="15"/>
  <c r="L909" i="15"/>
  <c r="K909" i="15"/>
  <c r="J909" i="15"/>
  <c r="I909" i="15"/>
  <c r="H909" i="15"/>
  <c r="G909" i="15"/>
  <c r="F909" i="15"/>
  <c r="E909" i="15"/>
  <c r="D909" i="15"/>
  <c r="C909" i="15"/>
  <c r="B909" i="15"/>
  <c r="A909" i="15"/>
  <c r="Y908" i="15"/>
  <c r="X908" i="15"/>
  <c r="W908" i="15"/>
  <c r="V908" i="15"/>
  <c r="U908" i="15"/>
  <c r="T908" i="15"/>
  <c r="S908" i="15"/>
  <c r="R908" i="15"/>
  <c r="Q908" i="15"/>
  <c r="P908" i="15"/>
  <c r="O908" i="15"/>
  <c r="N908" i="15"/>
  <c r="M908" i="15"/>
  <c r="L908" i="15"/>
  <c r="K908" i="15"/>
  <c r="J908" i="15"/>
  <c r="I908" i="15"/>
  <c r="H908" i="15"/>
  <c r="G908" i="15"/>
  <c r="F908" i="15"/>
  <c r="E908" i="15"/>
  <c r="D908" i="15"/>
  <c r="C908" i="15"/>
  <c r="B908" i="15"/>
  <c r="A908" i="15"/>
  <c r="Y907" i="15"/>
  <c r="X907" i="15"/>
  <c r="W907" i="15"/>
  <c r="V907" i="15"/>
  <c r="U907" i="15"/>
  <c r="T907" i="15"/>
  <c r="S907" i="15"/>
  <c r="R907" i="15"/>
  <c r="Q907" i="15"/>
  <c r="P907" i="15"/>
  <c r="O907" i="15"/>
  <c r="N907" i="15"/>
  <c r="M907" i="15"/>
  <c r="L907" i="15"/>
  <c r="K907" i="15"/>
  <c r="J907" i="15"/>
  <c r="I907" i="15"/>
  <c r="H907" i="15"/>
  <c r="G907" i="15"/>
  <c r="F907" i="15"/>
  <c r="E907" i="15"/>
  <c r="D907" i="15"/>
  <c r="C907" i="15"/>
  <c r="B907" i="15"/>
  <c r="A907" i="15"/>
  <c r="Y906" i="15"/>
  <c r="X906" i="15"/>
  <c r="W906" i="15"/>
  <c r="V906" i="15"/>
  <c r="U906" i="15"/>
  <c r="T906" i="15"/>
  <c r="S906" i="15"/>
  <c r="R906" i="15"/>
  <c r="Q906" i="15"/>
  <c r="P906" i="15"/>
  <c r="O906" i="15"/>
  <c r="N906" i="15"/>
  <c r="M906" i="15"/>
  <c r="L906" i="15"/>
  <c r="K906" i="15"/>
  <c r="J906" i="15"/>
  <c r="I906" i="15"/>
  <c r="H906" i="15"/>
  <c r="G906" i="15"/>
  <c r="F906" i="15"/>
  <c r="E906" i="15"/>
  <c r="D906" i="15"/>
  <c r="C906" i="15"/>
  <c r="B906" i="15"/>
  <c r="A906" i="15"/>
  <c r="Y905" i="15"/>
  <c r="X905" i="15"/>
  <c r="W905" i="15"/>
  <c r="V905" i="15"/>
  <c r="U905" i="15"/>
  <c r="T905" i="15"/>
  <c r="S905" i="15"/>
  <c r="R905" i="15"/>
  <c r="Q905" i="15"/>
  <c r="P905" i="15"/>
  <c r="O905" i="15"/>
  <c r="N905" i="15"/>
  <c r="M905" i="15"/>
  <c r="L905" i="15"/>
  <c r="K905" i="15"/>
  <c r="J905" i="15"/>
  <c r="I905" i="15"/>
  <c r="H905" i="15"/>
  <c r="G905" i="15"/>
  <c r="F905" i="15"/>
  <c r="E905" i="15"/>
  <c r="D905" i="15"/>
  <c r="C905" i="15"/>
  <c r="B905" i="15"/>
  <c r="A905" i="15"/>
  <c r="Y904" i="15"/>
  <c r="X904" i="15"/>
  <c r="W904" i="15"/>
  <c r="V904" i="15"/>
  <c r="U904" i="15"/>
  <c r="T904" i="15"/>
  <c r="S904" i="15"/>
  <c r="R904" i="15"/>
  <c r="Q904" i="15"/>
  <c r="P904" i="15"/>
  <c r="O904" i="15"/>
  <c r="N904" i="15"/>
  <c r="M904" i="15"/>
  <c r="L904" i="15"/>
  <c r="K904" i="15"/>
  <c r="J904" i="15"/>
  <c r="I904" i="15"/>
  <c r="H904" i="15"/>
  <c r="G904" i="15"/>
  <c r="F904" i="15"/>
  <c r="E904" i="15"/>
  <c r="D904" i="15"/>
  <c r="C904" i="15"/>
  <c r="B904" i="15"/>
  <c r="A904" i="15"/>
  <c r="Y903" i="15"/>
  <c r="X903" i="15"/>
  <c r="W903" i="15"/>
  <c r="V903" i="15"/>
  <c r="U903" i="15"/>
  <c r="T903" i="15"/>
  <c r="S903" i="15"/>
  <c r="R903" i="15"/>
  <c r="Q903" i="15"/>
  <c r="P903" i="15"/>
  <c r="O903" i="15"/>
  <c r="N903" i="15"/>
  <c r="M903" i="15"/>
  <c r="L903" i="15"/>
  <c r="K903" i="15"/>
  <c r="J903" i="15"/>
  <c r="I903" i="15"/>
  <c r="H903" i="15"/>
  <c r="G903" i="15"/>
  <c r="F903" i="15"/>
  <c r="E903" i="15"/>
  <c r="D903" i="15"/>
  <c r="C903" i="15"/>
  <c r="B903" i="15"/>
  <c r="A903" i="15"/>
  <c r="Y902" i="15"/>
  <c r="X902" i="15"/>
  <c r="W902" i="15"/>
  <c r="V902" i="15"/>
  <c r="U902" i="15"/>
  <c r="T902" i="15"/>
  <c r="S902" i="15"/>
  <c r="R902" i="15"/>
  <c r="Q902" i="15"/>
  <c r="P902" i="15"/>
  <c r="O902" i="15"/>
  <c r="N902" i="15"/>
  <c r="M902" i="15"/>
  <c r="L902" i="15"/>
  <c r="K902" i="15"/>
  <c r="J902" i="15"/>
  <c r="I902" i="15"/>
  <c r="H902" i="15"/>
  <c r="G902" i="15"/>
  <c r="F902" i="15"/>
  <c r="E902" i="15"/>
  <c r="D902" i="15"/>
  <c r="C902" i="15"/>
  <c r="B902" i="15"/>
  <c r="A902" i="15"/>
  <c r="Y901" i="15"/>
  <c r="X901" i="15"/>
  <c r="W901" i="15"/>
  <c r="V901" i="15"/>
  <c r="U901" i="15"/>
  <c r="T901" i="15"/>
  <c r="S901" i="15"/>
  <c r="R901" i="15"/>
  <c r="Q901" i="15"/>
  <c r="P901" i="15"/>
  <c r="O901" i="15"/>
  <c r="N901" i="15"/>
  <c r="M901" i="15"/>
  <c r="L901" i="15"/>
  <c r="K901" i="15"/>
  <c r="J901" i="15"/>
  <c r="I901" i="15"/>
  <c r="H901" i="15"/>
  <c r="G901" i="15"/>
  <c r="F901" i="15"/>
  <c r="E901" i="15"/>
  <c r="D901" i="15"/>
  <c r="C901" i="15"/>
  <c r="B901" i="15"/>
  <c r="A901" i="15"/>
  <c r="Y900" i="15"/>
  <c r="X900" i="15"/>
  <c r="W900" i="15"/>
  <c r="V900" i="15"/>
  <c r="U900" i="15"/>
  <c r="T900" i="15"/>
  <c r="S900" i="15"/>
  <c r="R900" i="15"/>
  <c r="Q900" i="15"/>
  <c r="P900" i="15"/>
  <c r="O900" i="15"/>
  <c r="N900" i="15"/>
  <c r="M900" i="15"/>
  <c r="L900" i="15"/>
  <c r="K900" i="15"/>
  <c r="J900" i="15"/>
  <c r="I900" i="15"/>
  <c r="H900" i="15"/>
  <c r="G900" i="15"/>
  <c r="F900" i="15"/>
  <c r="E900" i="15"/>
  <c r="D900" i="15"/>
  <c r="C900" i="15"/>
  <c r="B900" i="15"/>
  <c r="A900" i="15"/>
  <c r="Y899" i="15"/>
  <c r="X899" i="15"/>
  <c r="W899" i="15"/>
  <c r="V899" i="15"/>
  <c r="U899" i="15"/>
  <c r="T899" i="15"/>
  <c r="S899" i="15"/>
  <c r="R899" i="15"/>
  <c r="Q899" i="15"/>
  <c r="P899" i="15"/>
  <c r="O899" i="15"/>
  <c r="N899" i="15"/>
  <c r="M899" i="15"/>
  <c r="L899" i="15"/>
  <c r="K899" i="15"/>
  <c r="J899" i="15"/>
  <c r="I899" i="15"/>
  <c r="H899" i="15"/>
  <c r="G899" i="15"/>
  <c r="F899" i="15"/>
  <c r="E899" i="15"/>
  <c r="D899" i="15"/>
  <c r="C899" i="15"/>
  <c r="B899" i="15"/>
  <c r="A899" i="15"/>
  <c r="Y898" i="15"/>
  <c r="X898" i="15"/>
  <c r="W898" i="15"/>
  <c r="V898" i="15"/>
  <c r="U898" i="15"/>
  <c r="T898" i="15"/>
  <c r="S898" i="15"/>
  <c r="R898" i="15"/>
  <c r="Q898" i="15"/>
  <c r="P898" i="15"/>
  <c r="O898" i="15"/>
  <c r="N898" i="15"/>
  <c r="M898" i="15"/>
  <c r="L898" i="15"/>
  <c r="K898" i="15"/>
  <c r="J898" i="15"/>
  <c r="I898" i="15"/>
  <c r="H898" i="15"/>
  <c r="G898" i="15"/>
  <c r="F898" i="15"/>
  <c r="E898" i="15"/>
  <c r="D898" i="15"/>
  <c r="C898" i="15"/>
  <c r="B898" i="15"/>
  <c r="A898" i="15"/>
  <c r="Y897" i="15"/>
  <c r="X897" i="15"/>
  <c r="W897" i="15"/>
  <c r="V897" i="15"/>
  <c r="U897" i="15"/>
  <c r="T897" i="15"/>
  <c r="S897" i="15"/>
  <c r="R897" i="15"/>
  <c r="Q897" i="15"/>
  <c r="P897" i="15"/>
  <c r="O897" i="15"/>
  <c r="N897" i="15"/>
  <c r="M897" i="15"/>
  <c r="L897" i="15"/>
  <c r="K897" i="15"/>
  <c r="J897" i="15"/>
  <c r="I897" i="15"/>
  <c r="H897" i="15"/>
  <c r="G897" i="15"/>
  <c r="F897" i="15"/>
  <c r="E897" i="15"/>
  <c r="D897" i="15"/>
  <c r="C897" i="15"/>
  <c r="B897" i="15"/>
  <c r="A897" i="15"/>
  <c r="Y896" i="15"/>
  <c r="X896" i="15"/>
  <c r="W896" i="15"/>
  <c r="V896" i="15"/>
  <c r="U896" i="15"/>
  <c r="T896" i="15"/>
  <c r="S896" i="15"/>
  <c r="R896" i="15"/>
  <c r="Q896" i="15"/>
  <c r="P896" i="15"/>
  <c r="O896" i="15"/>
  <c r="N896" i="15"/>
  <c r="M896" i="15"/>
  <c r="L896" i="15"/>
  <c r="K896" i="15"/>
  <c r="J896" i="15"/>
  <c r="I896" i="15"/>
  <c r="H896" i="15"/>
  <c r="G896" i="15"/>
  <c r="F896" i="15"/>
  <c r="E896" i="15"/>
  <c r="D896" i="15"/>
  <c r="C896" i="15"/>
  <c r="B896" i="15"/>
  <c r="A896" i="15"/>
  <c r="Y895" i="15"/>
  <c r="X895" i="15"/>
  <c r="W895" i="15"/>
  <c r="V895" i="15"/>
  <c r="U895" i="15"/>
  <c r="T895" i="15"/>
  <c r="S895" i="15"/>
  <c r="R895" i="15"/>
  <c r="Q895" i="15"/>
  <c r="P895" i="15"/>
  <c r="O895" i="15"/>
  <c r="N895" i="15"/>
  <c r="M895" i="15"/>
  <c r="L895" i="15"/>
  <c r="K895" i="15"/>
  <c r="J895" i="15"/>
  <c r="I895" i="15"/>
  <c r="H895" i="15"/>
  <c r="G895" i="15"/>
  <c r="F895" i="15"/>
  <c r="E895" i="15"/>
  <c r="D895" i="15"/>
  <c r="C895" i="15"/>
  <c r="B895" i="15"/>
  <c r="A895" i="15"/>
  <c r="Y894" i="15"/>
  <c r="X894" i="15"/>
  <c r="W894" i="15"/>
  <c r="V894" i="15"/>
  <c r="U894" i="15"/>
  <c r="T894" i="15"/>
  <c r="S894" i="15"/>
  <c r="R894" i="15"/>
  <c r="Q894" i="15"/>
  <c r="P894" i="15"/>
  <c r="O894" i="15"/>
  <c r="N894" i="15"/>
  <c r="M894" i="15"/>
  <c r="L894" i="15"/>
  <c r="K894" i="15"/>
  <c r="J894" i="15"/>
  <c r="I894" i="15"/>
  <c r="H894" i="15"/>
  <c r="G894" i="15"/>
  <c r="F894" i="15"/>
  <c r="E894" i="15"/>
  <c r="D894" i="15"/>
  <c r="C894" i="15"/>
  <c r="B894" i="15"/>
  <c r="A894" i="15"/>
  <c r="Y893" i="15"/>
  <c r="X893" i="15"/>
  <c r="W893" i="15"/>
  <c r="V893" i="15"/>
  <c r="U893" i="15"/>
  <c r="T893" i="15"/>
  <c r="S893" i="15"/>
  <c r="R893" i="15"/>
  <c r="Q893" i="15"/>
  <c r="P893" i="15"/>
  <c r="O893" i="15"/>
  <c r="N893" i="15"/>
  <c r="M893" i="15"/>
  <c r="L893" i="15"/>
  <c r="K893" i="15"/>
  <c r="J893" i="15"/>
  <c r="I893" i="15"/>
  <c r="H893" i="15"/>
  <c r="G893" i="15"/>
  <c r="F893" i="15"/>
  <c r="E893" i="15"/>
  <c r="D893" i="15"/>
  <c r="C893" i="15"/>
  <c r="B893" i="15"/>
  <c r="A893" i="15"/>
  <c r="Y892" i="15"/>
  <c r="X892" i="15"/>
  <c r="W892" i="15"/>
  <c r="V892" i="15"/>
  <c r="U892" i="15"/>
  <c r="T892" i="15"/>
  <c r="S892" i="15"/>
  <c r="R892" i="15"/>
  <c r="Q892" i="15"/>
  <c r="P892" i="15"/>
  <c r="O892" i="15"/>
  <c r="N892" i="15"/>
  <c r="M892" i="15"/>
  <c r="L892" i="15"/>
  <c r="K892" i="15"/>
  <c r="J892" i="15"/>
  <c r="I892" i="15"/>
  <c r="H892" i="15"/>
  <c r="G892" i="15"/>
  <c r="F892" i="15"/>
  <c r="E892" i="15"/>
  <c r="D892" i="15"/>
  <c r="C892" i="15"/>
  <c r="B892" i="15"/>
  <c r="A892" i="15"/>
  <c r="Y891" i="15"/>
  <c r="X891" i="15"/>
  <c r="W891" i="15"/>
  <c r="V891" i="15"/>
  <c r="U891" i="15"/>
  <c r="T891" i="15"/>
  <c r="S891" i="15"/>
  <c r="R891" i="15"/>
  <c r="Q891" i="15"/>
  <c r="P891" i="15"/>
  <c r="O891" i="15"/>
  <c r="N891" i="15"/>
  <c r="M891" i="15"/>
  <c r="L891" i="15"/>
  <c r="K891" i="15"/>
  <c r="J891" i="15"/>
  <c r="I891" i="15"/>
  <c r="H891" i="15"/>
  <c r="G891" i="15"/>
  <c r="F891" i="15"/>
  <c r="E891" i="15"/>
  <c r="D891" i="15"/>
  <c r="C891" i="15"/>
  <c r="B891" i="15"/>
  <c r="A891" i="15"/>
  <c r="Y890" i="15"/>
  <c r="X890" i="15"/>
  <c r="W890" i="15"/>
  <c r="V890" i="15"/>
  <c r="U890" i="15"/>
  <c r="T890" i="15"/>
  <c r="S890" i="15"/>
  <c r="R890" i="15"/>
  <c r="Q890" i="15"/>
  <c r="P890" i="15"/>
  <c r="O890" i="15"/>
  <c r="N890" i="15"/>
  <c r="M890" i="15"/>
  <c r="L890" i="15"/>
  <c r="K890" i="15"/>
  <c r="J890" i="15"/>
  <c r="I890" i="15"/>
  <c r="H890" i="15"/>
  <c r="G890" i="15"/>
  <c r="F890" i="15"/>
  <c r="E890" i="15"/>
  <c r="D890" i="15"/>
  <c r="C890" i="15"/>
  <c r="B890" i="15"/>
  <c r="A890" i="15"/>
  <c r="Y889" i="15"/>
  <c r="X889" i="15"/>
  <c r="W889" i="15"/>
  <c r="V889" i="15"/>
  <c r="U889" i="15"/>
  <c r="T889" i="15"/>
  <c r="S889" i="15"/>
  <c r="R889" i="15"/>
  <c r="Q889" i="15"/>
  <c r="P889" i="15"/>
  <c r="O889" i="15"/>
  <c r="N889" i="15"/>
  <c r="M889" i="15"/>
  <c r="L889" i="15"/>
  <c r="K889" i="15"/>
  <c r="J889" i="15"/>
  <c r="I889" i="15"/>
  <c r="H889" i="15"/>
  <c r="G889" i="15"/>
  <c r="F889" i="15"/>
  <c r="E889" i="15"/>
  <c r="D889" i="15"/>
  <c r="C889" i="15"/>
  <c r="B889" i="15"/>
  <c r="A889" i="15"/>
  <c r="Y888" i="15"/>
  <c r="X888" i="15"/>
  <c r="W888" i="15"/>
  <c r="V888" i="15"/>
  <c r="U888" i="15"/>
  <c r="T888" i="15"/>
  <c r="S888" i="15"/>
  <c r="R888" i="15"/>
  <c r="Q888" i="15"/>
  <c r="P888" i="15"/>
  <c r="O888" i="15"/>
  <c r="N888" i="15"/>
  <c r="M888" i="15"/>
  <c r="L888" i="15"/>
  <c r="K888" i="15"/>
  <c r="J888" i="15"/>
  <c r="I888" i="15"/>
  <c r="H888" i="15"/>
  <c r="G888" i="15"/>
  <c r="F888" i="15"/>
  <c r="E888" i="15"/>
  <c r="D888" i="15"/>
  <c r="C888" i="15"/>
  <c r="B888" i="15"/>
  <c r="A888" i="15"/>
  <c r="Y887" i="15"/>
  <c r="X887" i="15"/>
  <c r="W887" i="15"/>
  <c r="V887" i="15"/>
  <c r="U887" i="15"/>
  <c r="T887" i="15"/>
  <c r="S887" i="15"/>
  <c r="R887" i="15"/>
  <c r="Q887" i="15"/>
  <c r="P887" i="15"/>
  <c r="O887" i="15"/>
  <c r="N887" i="15"/>
  <c r="M887" i="15"/>
  <c r="L887" i="15"/>
  <c r="K887" i="15"/>
  <c r="J887" i="15"/>
  <c r="I887" i="15"/>
  <c r="H887" i="15"/>
  <c r="G887" i="15"/>
  <c r="F887" i="15"/>
  <c r="E887" i="15"/>
  <c r="D887" i="15"/>
  <c r="C887" i="15"/>
  <c r="B887" i="15"/>
  <c r="A887" i="15"/>
  <c r="Y886" i="15"/>
  <c r="X886" i="15"/>
  <c r="W886" i="15"/>
  <c r="V886" i="15"/>
  <c r="U886" i="15"/>
  <c r="T886" i="15"/>
  <c r="S886" i="15"/>
  <c r="R886" i="15"/>
  <c r="Q886" i="15"/>
  <c r="P886" i="15"/>
  <c r="O886" i="15"/>
  <c r="N886" i="15"/>
  <c r="M886" i="15"/>
  <c r="L886" i="15"/>
  <c r="K886" i="15"/>
  <c r="J886" i="15"/>
  <c r="I886" i="15"/>
  <c r="H886" i="15"/>
  <c r="G886" i="15"/>
  <c r="F886" i="15"/>
  <c r="E886" i="15"/>
  <c r="D886" i="15"/>
  <c r="C886" i="15"/>
  <c r="B886" i="15"/>
  <c r="A886" i="15"/>
  <c r="Y885" i="15"/>
  <c r="X885" i="15"/>
  <c r="W885" i="15"/>
  <c r="V885" i="15"/>
  <c r="U885" i="15"/>
  <c r="T885" i="15"/>
  <c r="S885" i="15"/>
  <c r="R885" i="15"/>
  <c r="Q885" i="15"/>
  <c r="P885" i="15"/>
  <c r="O885" i="15"/>
  <c r="N885" i="15"/>
  <c r="M885" i="15"/>
  <c r="L885" i="15"/>
  <c r="K885" i="15"/>
  <c r="J885" i="15"/>
  <c r="I885" i="15"/>
  <c r="H885" i="15"/>
  <c r="G885" i="15"/>
  <c r="F885" i="15"/>
  <c r="E885" i="15"/>
  <c r="D885" i="15"/>
  <c r="C885" i="15"/>
  <c r="B885" i="15"/>
  <c r="A885" i="15"/>
  <c r="Y884" i="15"/>
  <c r="X884" i="15"/>
  <c r="W884" i="15"/>
  <c r="V884" i="15"/>
  <c r="U884" i="15"/>
  <c r="T884" i="15"/>
  <c r="S884" i="15"/>
  <c r="R884" i="15"/>
  <c r="Q884" i="15"/>
  <c r="P884" i="15"/>
  <c r="O884" i="15"/>
  <c r="N884" i="15"/>
  <c r="M884" i="15"/>
  <c r="L884" i="15"/>
  <c r="K884" i="15"/>
  <c r="J884" i="15"/>
  <c r="I884" i="15"/>
  <c r="H884" i="15"/>
  <c r="G884" i="15"/>
  <c r="F884" i="15"/>
  <c r="E884" i="15"/>
  <c r="D884" i="15"/>
  <c r="C884" i="15"/>
  <c r="B884" i="15"/>
  <c r="A884" i="15"/>
  <c r="Y883" i="15"/>
  <c r="X883" i="15"/>
  <c r="W883" i="15"/>
  <c r="V883" i="15"/>
  <c r="U883" i="15"/>
  <c r="T883" i="15"/>
  <c r="S883" i="15"/>
  <c r="R883" i="15"/>
  <c r="Q883" i="15"/>
  <c r="P883" i="15"/>
  <c r="O883" i="15"/>
  <c r="N883" i="15"/>
  <c r="M883" i="15"/>
  <c r="L883" i="15"/>
  <c r="K883" i="15"/>
  <c r="J883" i="15"/>
  <c r="I883" i="15"/>
  <c r="H883" i="15"/>
  <c r="G883" i="15"/>
  <c r="F883" i="15"/>
  <c r="E883" i="15"/>
  <c r="D883" i="15"/>
  <c r="C883" i="15"/>
  <c r="B883" i="15"/>
  <c r="A883" i="15"/>
  <c r="Y882" i="15"/>
  <c r="X882" i="15"/>
  <c r="W882" i="15"/>
  <c r="V882" i="15"/>
  <c r="U882" i="15"/>
  <c r="T882" i="15"/>
  <c r="S882" i="15"/>
  <c r="R882" i="15"/>
  <c r="Q882" i="15"/>
  <c r="P882" i="15"/>
  <c r="O882" i="15"/>
  <c r="N882" i="15"/>
  <c r="M882" i="15"/>
  <c r="L882" i="15"/>
  <c r="K882" i="15"/>
  <c r="J882" i="15"/>
  <c r="I882" i="15"/>
  <c r="H882" i="15"/>
  <c r="G882" i="15"/>
  <c r="F882" i="15"/>
  <c r="E882" i="15"/>
  <c r="D882" i="15"/>
  <c r="C882" i="15"/>
  <c r="B882" i="15"/>
  <c r="A882" i="15"/>
  <c r="Y881" i="15"/>
  <c r="X881" i="15"/>
  <c r="W881" i="15"/>
  <c r="V881" i="15"/>
  <c r="U881" i="15"/>
  <c r="T881" i="15"/>
  <c r="S881" i="15"/>
  <c r="R881" i="15"/>
  <c r="Q881" i="15"/>
  <c r="P881" i="15"/>
  <c r="O881" i="15"/>
  <c r="N881" i="15"/>
  <c r="M881" i="15"/>
  <c r="L881" i="15"/>
  <c r="K881" i="15"/>
  <c r="J881" i="15"/>
  <c r="I881" i="15"/>
  <c r="H881" i="15"/>
  <c r="G881" i="15"/>
  <c r="F881" i="15"/>
  <c r="E881" i="15"/>
  <c r="D881" i="15"/>
  <c r="C881" i="15"/>
  <c r="B881" i="15"/>
  <c r="A881" i="15"/>
  <c r="Y880" i="15"/>
  <c r="X880" i="15"/>
  <c r="W880" i="15"/>
  <c r="V880" i="15"/>
  <c r="U880" i="15"/>
  <c r="T880" i="15"/>
  <c r="S880" i="15"/>
  <c r="R880" i="15"/>
  <c r="Q880" i="15"/>
  <c r="P880" i="15"/>
  <c r="O880" i="15"/>
  <c r="N880" i="15"/>
  <c r="M880" i="15"/>
  <c r="L880" i="15"/>
  <c r="K880" i="15"/>
  <c r="J880" i="15"/>
  <c r="I880" i="15"/>
  <c r="H880" i="15"/>
  <c r="G880" i="15"/>
  <c r="F880" i="15"/>
  <c r="E880" i="15"/>
  <c r="D880" i="15"/>
  <c r="C880" i="15"/>
  <c r="B880" i="15"/>
  <c r="A880" i="15"/>
  <c r="Y879" i="15"/>
  <c r="X879" i="15"/>
  <c r="W879" i="15"/>
  <c r="V879" i="15"/>
  <c r="U879" i="15"/>
  <c r="T879" i="15"/>
  <c r="S879" i="15"/>
  <c r="R879" i="15"/>
  <c r="Q879" i="15"/>
  <c r="P879" i="15"/>
  <c r="O879" i="15"/>
  <c r="N879" i="15"/>
  <c r="M879" i="15"/>
  <c r="L879" i="15"/>
  <c r="K879" i="15"/>
  <c r="J879" i="15"/>
  <c r="I879" i="15"/>
  <c r="H879" i="15"/>
  <c r="G879" i="15"/>
  <c r="F879" i="15"/>
  <c r="E879" i="15"/>
  <c r="D879" i="15"/>
  <c r="C879" i="15"/>
  <c r="B879" i="15"/>
  <c r="A879" i="15"/>
  <c r="Y878" i="15"/>
  <c r="X878" i="15"/>
  <c r="W878" i="15"/>
  <c r="V878" i="15"/>
  <c r="U878" i="15"/>
  <c r="T878" i="15"/>
  <c r="S878" i="15"/>
  <c r="R878" i="15"/>
  <c r="Q878" i="15"/>
  <c r="P878" i="15"/>
  <c r="O878" i="15"/>
  <c r="N878" i="15"/>
  <c r="M878" i="15"/>
  <c r="L878" i="15"/>
  <c r="K878" i="15"/>
  <c r="J878" i="15"/>
  <c r="I878" i="15"/>
  <c r="H878" i="15"/>
  <c r="G878" i="15"/>
  <c r="F878" i="15"/>
  <c r="E878" i="15"/>
  <c r="D878" i="15"/>
  <c r="C878" i="15"/>
  <c r="B878" i="15"/>
  <c r="A878" i="15"/>
  <c r="Y877" i="15"/>
  <c r="X877" i="15"/>
  <c r="W877" i="15"/>
  <c r="V877" i="15"/>
  <c r="U877" i="15"/>
  <c r="T877" i="15"/>
  <c r="S877" i="15"/>
  <c r="R877" i="15"/>
  <c r="Q877" i="15"/>
  <c r="P877" i="15"/>
  <c r="O877" i="15"/>
  <c r="N877" i="15"/>
  <c r="M877" i="15"/>
  <c r="L877" i="15"/>
  <c r="K877" i="15"/>
  <c r="J877" i="15"/>
  <c r="I877" i="15"/>
  <c r="H877" i="15"/>
  <c r="G877" i="15"/>
  <c r="F877" i="15"/>
  <c r="E877" i="15"/>
  <c r="D877" i="15"/>
  <c r="C877" i="15"/>
  <c r="B877" i="15"/>
  <c r="A877" i="15"/>
  <c r="Y876" i="15"/>
  <c r="X876" i="15"/>
  <c r="W876" i="15"/>
  <c r="V876" i="15"/>
  <c r="U876" i="15"/>
  <c r="T876" i="15"/>
  <c r="S876" i="15"/>
  <c r="R876" i="15"/>
  <c r="Q876" i="15"/>
  <c r="P876" i="15"/>
  <c r="O876" i="15"/>
  <c r="N876" i="15"/>
  <c r="M876" i="15"/>
  <c r="L876" i="15"/>
  <c r="K876" i="15"/>
  <c r="J876" i="15"/>
  <c r="I876" i="15"/>
  <c r="H876" i="15"/>
  <c r="G876" i="15"/>
  <c r="F876" i="15"/>
  <c r="E876" i="15"/>
  <c r="D876" i="15"/>
  <c r="C876" i="15"/>
  <c r="B876" i="15"/>
  <c r="A876" i="15"/>
  <c r="Y875" i="15"/>
  <c r="X875" i="15"/>
  <c r="W875" i="15"/>
  <c r="V875" i="15"/>
  <c r="U875" i="15"/>
  <c r="T875" i="15"/>
  <c r="S875" i="15"/>
  <c r="R875" i="15"/>
  <c r="Q875" i="15"/>
  <c r="P875" i="15"/>
  <c r="O875" i="15"/>
  <c r="N875" i="15"/>
  <c r="M875" i="15"/>
  <c r="L875" i="15"/>
  <c r="K875" i="15"/>
  <c r="J875" i="15"/>
  <c r="I875" i="15"/>
  <c r="H875" i="15"/>
  <c r="G875" i="15"/>
  <c r="F875" i="15"/>
  <c r="E875" i="15"/>
  <c r="D875" i="15"/>
  <c r="C875" i="15"/>
  <c r="B875" i="15"/>
  <c r="A875" i="15"/>
  <c r="Y874" i="15"/>
  <c r="X874" i="15"/>
  <c r="W874" i="15"/>
  <c r="V874" i="15"/>
  <c r="U874" i="15"/>
  <c r="T874" i="15"/>
  <c r="S874" i="15"/>
  <c r="R874" i="15"/>
  <c r="Q874" i="15"/>
  <c r="P874" i="15"/>
  <c r="O874" i="15"/>
  <c r="N874" i="15"/>
  <c r="M874" i="15"/>
  <c r="L874" i="15"/>
  <c r="K874" i="15"/>
  <c r="J874" i="15"/>
  <c r="I874" i="15"/>
  <c r="H874" i="15"/>
  <c r="G874" i="15"/>
  <c r="F874" i="15"/>
  <c r="E874" i="15"/>
  <c r="D874" i="15"/>
  <c r="C874" i="15"/>
  <c r="B874" i="15"/>
  <c r="A874" i="15"/>
  <c r="Y873" i="15"/>
  <c r="X873" i="15"/>
  <c r="W873" i="15"/>
  <c r="V873" i="15"/>
  <c r="U873" i="15"/>
  <c r="T873" i="15"/>
  <c r="S873" i="15"/>
  <c r="R873" i="15"/>
  <c r="Q873" i="15"/>
  <c r="P873" i="15"/>
  <c r="O873" i="15"/>
  <c r="N873" i="15"/>
  <c r="M873" i="15"/>
  <c r="L873" i="15"/>
  <c r="K873" i="15"/>
  <c r="J873" i="15"/>
  <c r="I873" i="15"/>
  <c r="H873" i="15"/>
  <c r="G873" i="15"/>
  <c r="F873" i="15"/>
  <c r="E873" i="15"/>
  <c r="D873" i="15"/>
  <c r="C873" i="15"/>
  <c r="B873" i="15"/>
  <c r="A873" i="15"/>
  <c r="Y872" i="15"/>
  <c r="X872" i="15"/>
  <c r="W872" i="15"/>
  <c r="V872" i="15"/>
  <c r="U872" i="15"/>
  <c r="T872" i="15"/>
  <c r="S872" i="15"/>
  <c r="R872" i="15"/>
  <c r="Q872" i="15"/>
  <c r="P872" i="15"/>
  <c r="O872" i="15"/>
  <c r="N872" i="15"/>
  <c r="M872" i="15"/>
  <c r="L872" i="15"/>
  <c r="K872" i="15"/>
  <c r="J872" i="15"/>
  <c r="I872" i="15"/>
  <c r="H872" i="15"/>
  <c r="G872" i="15"/>
  <c r="F872" i="15"/>
  <c r="E872" i="15"/>
  <c r="D872" i="15"/>
  <c r="C872" i="15"/>
  <c r="B872" i="15"/>
  <c r="A872" i="15"/>
  <c r="Y871" i="15"/>
  <c r="X871" i="15"/>
  <c r="W871" i="15"/>
  <c r="V871" i="15"/>
  <c r="U871" i="15"/>
  <c r="T871" i="15"/>
  <c r="S871" i="15"/>
  <c r="R871" i="15"/>
  <c r="Q871" i="15"/>
  <c r="P871" i="15"/>
  <c r="O871" i="15"/>
  <c r="N871" i="15"/>
  <c r="M871" i="15"/>
  <c r="L871" i="15"/>
  <c r="K871" i="15"/>
  <c r="J871" i="15"/>
  <c r="I871" i="15"/>
  <c r="H871" i="15"/>
  <c r="G871" i="15"/>
  <c r="F871" i="15"/>
  <c r="E871" i="15"/>
  <c r="D871" i="15"/>
  <c r="C871" i="15"/>
  <c r="B871" i="15"/>
  <c r="A871" i="15"/>
  <c r="Y870" i="15"/>
  <c r="X870" i="15"/>
  <c r="W870" i="15"/>
  <c r="V870" i="15"/>
  <c r="U870" i="15"/>
  <c r="T870" i="15"/>
  <c r="S870" i="15"/>
  <c r="R870" i="15"/>
  <c r="Q870" i="15"/>
  <c r="P870" i="15"/>
  <c r="O870" i="15"/>
  <c r="N870" i="15"/>
  <c r="M870" i="15"/>
  <c r="L870" i="15"/>
  <c r="K870" i="15"/>
  <c r="J870" i="15"/>
  <c r="I870" i="15"/>
  <c r="H870" i="15"/>
  <c r="G870" i="15"/>
  <c r="F870" i="15"/>
  <c r="E870" i="15"/>
  <c r="D870" i="15"/>
  <c r="C870" i="15"/>
  <c r="B870" i="15"/>
  <c r="A870" i="15"/>
  <c r="Y869" i="15"/>
  <c r="X869" i="15"/>
  <c r="W869" i="15"/>
  <c r="V869" i="15"/>
  <c r="U869" i="15"/>
  <c r="T869" i="15"/>
  <c r="S869" i="15"/>
  <c r="R869" i="15"/>
  <c r="Q869" i="15"/>
  <c r="P869" i="15"/>
  <c r="O869" i="15"/>
  <c r="N869" i="15"/>
  <c r="M869" i="15"/>
  <c r="L869" i="15"/>
  <c r="K869" i="15"/>
  <c r="J869" i="15"/>
  <c r="I869" i="15"/>
  <c r="H869" i="15"/>
  <c r="G869" i="15"/>
  <c r="F869" i="15"/>
  <c r="E869" i="15"/>
  <c r="D869" i="15"/>
  <c r="C869" i="15"/>
  <c r="B869" i="15"/>
  <c r="A869" i="15"/>
  <c r="Y868" i="15"/>
  <c r="X868" i="15"/>
  <c r="W868" i="15"/>
  <c r="V868" i="15"/>
  <c r="U868" i="15"/>
  <c r="T868" i="15"/>
  <c r="S868" i="15"/>
  <c r="R868" i="15"/>
  <c r="Q868" i="15"/>
  <c r="P868" i="15"/>
  <c r="O868" i="15"/>
  <c r="N868" i="15"/>
  <c r="M868" i="15"/>
  <c r="L868" i="15"/>
  <c r="K868" i="15"/>
  <c r="J868" i="15"/>
  <c r="I868" i="15"/>
  <c r="H868" i="15"/>
  <c r="G868" i="15"/>
  <c r="F868" i="15"/>
  <c r="E868" i="15"/>
  <c r="D868" i="15"/>
  <c r="C868" i="15"/>
  <c r="B868" i="15"/>
  <c r="A868" i="15"/>
  <c r="Y867" i="15"/>
  <c r="X867" i="15"/>
  <c r="W867" i="15"/>
  <c r="V867" i="15"/>
  <c r="U867" i="15"/>
  <c r="T867" i="15"/>
  <c r="S867" i="15"/>
  <c r="R867" i="15"/>
  <c r="Q867" i="15"/>
  <c r="P867" i="15"/>
  <c r="O867" i="15"/>
  <c r="N867" i="15"/>
  <c r="M867" i="15"/>
  <c r="L867" i="15"/>
  <c r="K867" i="15"/>
  <c r="J867" i="15"/>
  <c r="I867" i="15"/>
  <c r="H867" i="15"/>
  <c r="G867" i="15"/>
  <c r="F867" i="15"/>
  <c r="E867" i="15"/>
  <c r="D867" i="15"/>
  <c r="C867" i="15"/>
  <c r="B867" i="15"/>
  <c r="A867" i="15"/>
  <c r="Y866" i="15"/>
  <c r="X866" i="15"/>
  <c r="W866" i="15"/>
  <c r="V866" i="15"/>
  <c r="U866" i="15"/>
  <c r="T866" i="15"/>
  <c r="S866" i="15"/>
  <c r="R866" i="15"/>
  <c r="Q866" i="15"/>
  <c r="P866" i="15"/>
  <c r="O866" i="15"/>
  <c r="N866" i="15"/>
  <c r="M866" i="15"/>
  <c r="L866" i="15"/>
  <c r="K866" i="15"/>
  <c r="J866" i="15"/>
  <c r="I866" i="15"/>
  <c r="H866" i="15"/>
  <c r="G866" i="15"/>
  <c r="F866" i="15"/>
  <c r="E866" i="15"/>
  <c r="D866" i="15"/>
  <c r="C866" i="15"/>
  <c r="B866" i="15"/>
  <c r="A866" i="15"/>
  <c r="Y865" i="15"/>
  <c r="X865" i="15"/>
  <c r="W865" i="15"/>
  <c r="V865" i="15"/>
  <c r="U865" i="15"/>
  <c r="T865" i="15"/>
  <c r="S865" i="15"/>
  <c r="R865" i="15"/>
  <c r="Q865" i="15"/>
  <c r="P865" i="15"/>
  <c r="O865" i="15"/>
  <c r="N865" i="15"/>
  <c r="M865" i="15"/>
  <c r="L865" i="15"/>
  <c r="K865" i="15"/>
  <c r="J865" i="15"/>
  <c r="I865" i="15"/>
  <c r="H865" i="15"/>
  <c r="G865" i="15"/>
  <c r="F865" i="15"/>
  <c r="E865" i="15"/>
  <c r="D865" i="15"/>
  <c r="C865" i="15"/>
  <c r="B865" i="15"/>
  <c r="A865" i="15"/>
  <c r="Y864" i="15"/>
  <c r="X864" i="15"/>
  <c r="W864" i="15"/>
  <c r="V864" i="15"/>
  <c r="U864" i="15"/>
  <c r="T864" i="15"/>
  <c r="S864" i="15"/>
  <c r="R864" i="15"/>
  <c r="Q864" i="15"/>
  <c r="P864" i="15"/>
  <c r="O864" i="15"/>
  <c r="N864" i="15"/>
  <c r="M864" i="15"/>
  <c r="L864" i="15"/>
  <c r="K864" i="15"/>
  <c r="J864" i="15"/>
  <c r="I864" i="15"/>
  <c r="H864" i="15"/>
  <c r="G864" i="15"/>
  <c r="F864" i="15"/>
  <c r="E864" i="15"/>
  <c r="D864" i="15"/>
  <c r="C864" i="15"/>
  <c r="B864" i="15"/>
  <c r="A864" i="15"/>
  <c r="Y863" i="15"/>
  <c r="X863" i="15"/>
  <c r="W863" i="15"/>
  <c r="V863" i="15"/>
  <c r="U863" i="15"/>
  <c r="T863" i="15"/>
  <c r="S863" i="15"/>
  <c r="R863" i="15"/>
  <c r="Q863" i="15"/>
  <c r="P863" i="15"/>
  <c r="O863" i="15"/>
  <c r="N863" i="15"/>
  <c r="M863" i="15"/>
  <c r="L863" i="15"/>
  <c r="K863" i="15"/>
  <c r="J863" i="15"/>
  <c r="I863" i="15"/>
  <c r="H863" i="15"/>
  <c r="G863" i="15"/>
  <c r="F863" i="15"/>
  <c r="E863" i="15"/>
  <c r="D863" i="15"/>
  <c r="C863" i="15"/>
  <c r="B863" i="15"/>
  <c r="A863" i="15"/>
  <c r="Y862" i="15"/>
  <c r="X862" i="15"/>
  <c r="W862" i="15"/>
  <c r="V862" i="15"/>
  <c r="U862" i="15"/>
  <c r="T862" i="15"/>
  <c r="S862" i="15"/>
  <c r="R862" i="15"/>
  <c r="Q862" i="15"/>
  <c r="P862" i="15"/>
  <c r="O862" i="15"/>
  <c r="N862" i="15"/>
  <c r="M862" i="15"/>
  <c r="L862" i="15"/>
  <c r="K862" i="15"/>
  <c r="J862" i="15"/>
  <c r="I862" i="15"/>
  <c r="H862" i="15"/>
  <c r="G862" i="15"/>
  <c r="F862" i="15"/>
  <c r="E862" i="15"/>
  <c r="D862" i="15"/>
  <c r="C862" i="15"/>
  <c r="B862" i="15"/>
  <c r="A862" i="15"/>
  <c r="Y861" i="15"/>
  <c r="X861" i="15"/>
  <c r="W861" i="15"/>
  <c r="V861" i="15"/>
  <c r="U861" i="15"/>
  <c r="T861" i="15"/>
  <c r="S861" i="15"/>
  <c r="R861" i="15"/>
  <c r="Q861" i="15"/>
  <c r="P861" i="15"/>
  <c r="O861" i="15"/>
  <c r="N861" i="15"/>
  <c r="M861" i="15"/>
  <c r="L861" i="15"/>
  <c r="K861" i="15"/>
  <c r="J861" i="15"/>
  <c r="I861" i="15"/>
  <c r="H861" i="15"/>
  <c r="G861" i="15"/>
  <c r="F861" i="15"/>
  <c r="E861" i="15"/>
  <c r="D861" i="15"/>
  <c r="C861" i="15"/>
  <c r="B861" i="15"/>
  <c r="A861" i="15"/>
  <c r="Y860" i="15"/>
  <c r="X860" i="15"/>
  <c r="W860" i="15"/>
  <c r="V860" i="15"/>
  <c r="U860" i="15"/>
  <c r="T860" i="15"/>
  <c r="S860" i="15"/>
  <c r="R860" i="15"/>
  <c r="Q860" i="15"/>
  <c r="P860" i="15"/>
  <c r="O860" i="15"/>
  <c r="N860" i="15"/>
  <c r="M860" i="15"/>
  <c r="L860" i="15"/>
  <c r="K860" i="15"/>
  <c r="J860" i="15"/>
  <c r="I860" i="15"/>
  <c r="H860" i="15"/>
  <c r="G860" i="15"/>
  <c r="F860" i="15"/>
  <c r="E860" i="15"/>
  <c r="D860" i="15"/>
  <c r="C860" i="15"/>
  <c r="B860" i="15"/>
  <c r="A860" i="15"/>
  <c r="Y859" i="15"/>
  <c r="X859" i="15"/>
  <c r="W859" i="15"/>
  <c r="V859" i="15"/>
  <c r="U859" i="15"/>
  <c r="T859" i="15"/>
  <c r="S859" i="15"/>
  <c r="R859" i="15"/>
  <c r="Q859" i="15"/>
  <c r="P859" i="15"/>
  <c r="O859" i="15"/>
  <c r="N859" i="15"/>
  <c r="M859" i="15"/>
  <c r="L859" i="15"/>
  <c r="K859" i="15"/>
  <c r="J859" i="15"/>
  <c r="I859" i="15"/>
  <c r="H859" i="15"/>
  <c r="G859" i="15"/>
  <c r="F859" i="15"/>
  <c r="E859" i="15"/>
  <c r="D859" i="15"/>
  <c r="C859" i="15"/>
  <c r="B859" i="15"/>
  <c r="A859" i="15"/>
  <c r="Y858" i="15"/>
  <c r="X858" i="15"/>
  <c r="W858" i="15"/>
  <c r="V858" i="15"/>
  <c r="U858" i="15"/>
  <c r="T858" i="15"/>
  <c r="S858" i="15"/>
  <c r="R858" i="15"/>
  <c r="Q858" i="15"/>
  <c r="P858" i="15"/>
  <c r="O858" i="15"/>
  <c r="N858" i="15"/>
  <c r="M858" i="15"/>
  <c r="L858" i="15"/>
  <c r="K858" i="15"/>
  <c r="J858" i="15"/>
  <c r="I858" i="15"/>
  <c r="H858" i="15"/>
  <c r="G858" i="15"/>
  <c r="F858" i="15"/>
  <c r="E858" i="15"/>
  <c r="D858" i="15"/>
  <c r="C858" i="15"/>
  <c r="B858" i="15"/>
  <c r="A858" i="15"/>
  <c r="Y857" i="15"/>
  <c r="X857" i="15"/>
  <c r="W857" i="15"/>
  <c r="V857" i="15"/>
  <c r="U857" i="15"/>
  <c r="T857" i="15"/>
  <c r="S857" i="15"/>
  <c r="R857" i="15"/>
  <c r="Q857" i="15"/>
  <c r="P857" i="15"/>
  <c r="O857" i="15"/>
  <c r="N857" i="15"/>
  <c r="M857" i="15"/>
  <c r="L857" i="15"/>
  <c r="K857" i="15"/>
  <c r="J857" i="15"/>
  <c r="I857" i="15"/>
  <c r="H857" i="15"/>
  <c r="G857" i="15"/>
  <c r="F857" i="15"/>
  <c r="E857" i="15"/>
  <c r="D857" i="15"/>
  <c r="C857" i="15"/>
  <c r="B857" i="15"/>
  <c r="A857" i="15"/>
  <c r="Y856" i="15"/>
  <c r="X856" i="15"/>
  <c r="W856" i="15"/>
  <c r="V856" i="15"/>
  <c r="U856" i="15"/>
  <c r="T856" i="15"/>
  <c r="S856" i="15"/>
  <c r="R856" i="15"/>
  <c r="Q856" i="15"/>
  <c r="P856" i="15"/>
  <c r="O856" i="15"/>
  <c r="N856" i="15"/>
  <c r="M856" i="15"/>
  <c r="L856" i="15"/>
  <c r="K856" i="15"/>
  <c r="J856" i="15"/>
  <c r="I856" i="15"/>
  <c r="H856" i="15"/>
  <c r="G856" i="15"/>
  <c r="F856" i="15"/>
  <c r="E856" i="15"/>
  <c r="D856" i="15"/>
  <c r="C856" i="15"/>
  <c r="B856" i="15"/>
  <c r="A856" i="15"/>
  <c r="Y855" i="15"/>
  <c r="X855" i="15"/>
  <c r="W855" i="15"/>
  <c r="V855" i="15"/>
  <c r="U855" i="15"/>
  <c r="T855" i="15"/>
  <c r="S855" i="15"/>
  <c r="R855" i="15"/>
  <c r="Q855" i="15"/>
  <c r="P855" i="15"/>
  <c r="O855" i="15"/>
  <c r="N855" i="15"/>
  <c r="M855" i="15"/>
  <c r="L855" i="15"/>
  <c r="K855" i="15"/>
  <c r="J855" i="15"/>
  <c r="I855" i="15"/>
  <c r="H855" i="15"/>
  <c r="G855" i="15"/>
  <c r="F855" i="15"/>
  <c r="E855" i="15"/>
  <c r="D855" i="15"/>
  <c r="C855" i="15"/>
  <c r="B855" i="15"/>
  <c r="A855" i="15"/>
  <c r="Y854" i="15"/>
  <c r="X854" i="15"/>
  <c r="W854" i="15"/>
  <c r="V854" i="15"/>
  <c r="U854" i="15"/>
  <c r="T854" i="15"/>
  <c r="S854" i="15"/>
  <c r="R854" i="15"/>
  <c r="Q854" i="15"/>
  <c r="P854" i="15"/>
  <c r="O854" i="15"/>
  <c r="N854" i="15"/>
  <c r="M854" i="15"/>
  <c r="L854" i="15"/>
  <c r="K854" i="15"/>
  <c r="J854" i="15"/>
  <c r="I854" i="15"/>
  <c r="H854" i="15"/>
  <c r="G854" i="15"/>
  <c r="F854" i="15"/>
  <c r="E854" i="15"/>
  <c r="D854" i="15"/>
  <c r="C854" i="15"/>
  <c r="B854" i="15"/>
  <c r="A854" i="15"/>
  <c r="Y853" i="15"/>
  <c r="X853" i="15"/>
  <c r="W853" i="15"/>
  <c r="V853" i="15"/>
  <c r="U853" i="15"/>
  <c r="T853" i="15"/>
  <c r="S853" i="15"/>
  <c r="R853" i="15"/>
  <c r="Q853" i="15"/>
  <c r="P853" i="15"/>
  <c r="O853" i="15"/>
  <c r="N853" i="15"/>
  <c r="M853" i="15"/>
  <c r="L853" i="15"/>
  <c r="K853" i="15"/>
  <c r="J853" i="15"/>
  <c r="I853" i="15"/>
  <c r="H853" i="15"/>
  <c r="G853" i="15"/>
  <c r="F853" i="15"/>
  <c r="E853" i="15"/>
  <c r="D853" i="15"/>
  <c r="C853" i="15"/>
  <c r="B853" i="15"/>
  <c r="A853" i="15"/>
  <c r="Y852" i="15"/>
  <c r="X852" i="15"/>
  <c r="W852" i="15"/>
  <c r="V852" i="15"/>
  <c r="U852" i="15"/>
  <c r="T852" i="15"/>
  <c r="S852" i="15"/>
  <c r="R852" i="15"/>
  <c r="Q852" i="15"/>
  <c r="P852" i="15"/>
  <c r="O852" i="15"/>
  <c r="N852" i="15"/>
  <c r="M852" i="15"/>
  <c r="L852" i="15"/>
  <c r="K852" i="15"/>
  <c r="J852" i="15"/>
  <c r="I852" i="15"/>
  <c r="H852" i="15"/>
  <c r="G852" i="15"/>
  <c r="F852" i="15"/>
  <c r="E852" i="15"/>
  <c r="D852" i="15"/>
  <c r="C852" i="15"/>
  <c r="B852" i="15"/>
  <c r="A852" i="15"/>
  <c r="Y851" i="15"/>
  <c r="X851" i="15"/>
  <c r="W851" i="15"/>
  <c r="V851" i="15"/>
  <c r="U851" i="15"/>
  <c r="T851" i="15"/>
  <c r="S851" i="15"/>
  <c r="R851" i="15"/>
  <c r="Q851" i="15"/>
  <c r="P851" i="15"/>
  <c r="O851" i="15"/>
  <c r="N851" i="15"/>
  <c r="M851" i="15"/>
  <c r="L851" i="15"/>
  <c r="K851" i="15"/>
  <c r="J851" i="15"/>
  <c r="I851" i="15"/>
  <c r="H851" i="15"/>
  <c r="G851" i="15"/>
  <c r="F851" i="15"/>
  <c r="E851" i="15"/>
  <c r="D851" i="15"/>
  <c r="C851" i="15"/>
  <c r="B851" i="15"/>
  <c r="A851" i="15"/>
  <c r="Y850" i="15"/>
  <c r="X850" i="15"/>
  <c r="W850" i="15"/>
  <c r="V850" i="15"/>
  <c r="U850" i="15"/>
  <c r="T850" i="15"/>
  <c r="S850" i="15"/>
  <c r="R850" i="15"/>
  <c r="Q850" i="15"/>
  <c r="P850" i="15"/>
  <c r="O850" i="15"/>
  <c r="N850" i="15"/>
  <c r="M850" i="15"/>
  <c r="L850" i="15"/>
  <c r="K850" i="15"/>
  <c r="J850" i="15"/>
  <c r="I850" i="15"/>
  <c r="H850" i="15"/>
  <c r="G850" i="15"/>
  <c r="F850" i="15"/>
  <c r="E850" i="15"/>
  <c r="D850" i="15"/>
  <c r="C850" i="15"/>
  <c r="B850" i="15"/>
  <c r="A850" i="15"/>
  <c r="Y849" i="15"/>
  <c r="X849" i="15"/>
  <c r="W849" i="15"/>
  <c r="V849" i="15"/>
  <c r="U849" i="15"/>
  <c r="T849" i="15"/>
  <c r="S849" i="15"/>
  <c r="R849" i="15"/>
  <c r="Q849" i="15"/>
  <c r="P849" i="15"/>
  <c r="O849" i="15"/>
  <c r="N849" i="15"/>
  <c r="M849" i="15"/>
  <c r="L849" i="15"/>
  <c r="K849" i="15"/>
  <c r="J849" i="15"/>
  <c r="I849" i="15"/>
  <c r="H849" i="15"/>
  <c r="G849" i="15"/>
  <c r="F849" i="15"/>
  <c r="E849" i="15"/>
  <c r="D849" i="15"/>
  <c r="C849" i="15"/>
  <c r="B849" i="15"/>
  <c r="A849" i="15"/>
  <c r="Y848" i="15"/>
  <c r="X848" i="15"/>
  <c r="W848" i="15"/>
  <c r="V848" i="15"/>
  <c r="U848" i="15"/>
  <c r="T848" i="15"/>
  <c r="S848" i="15"/>
  <c r="R848" i="15"/>
  <c r="Q848" i="15"/>
  <c r="P848" i="15"/>
  <c r="O848" i="15"/>
  <c r="N848" i="15"/>
  <c r="M848" i="15"/>
  <c r="L848" i="15"/>
  <c r="K848" i="15"/>
  <c r="J848" i="15"/>
  <c r="I848" i="15"/>
  <c r="H848" i="15"/>
  <c r="G848" i="15"/>
  <c r="F848" i="15"/>
  <c r="E848" i="15"/>
  <c r="D848" i="15"/>
  <c r="C848" i="15"/>
  <c r="B848" i="15"/>
  <c r="A848" i="15"/>
  <c r="Y847" i="15"/>
  <c r="X847" i="15"/>
  <c r="W847" i="15"/>
  <c r="V847" i="15"/>
  <c r="U847" i="15"/>
  <c r="T847" i="15"/>
  <c r="S847" i="15"/>
  <c r="R847" i="15"/>
  <c r="Q847" i="15"/>
  <c r="P847" i="15"/>
  <c r="O847" i="15"/>
  <c r="N847" i="15"/>
  <c r="M847" i="15"/>
  <c r="L847" i="15"/>
  <c r="K847" i="15"/>
  <c r="J847" i="15"/>
  <c r="I847" i="15"/>
  <c r="H847" i="15"/>
  <c r="G847" i="15"/>
  <c r="F847" i="15"/>
  <c r="E847" i="15"/>
  <c r="D847" i="15"/>
  <c r="C847" i="15"/>
  <c r="B847" i="15"/>
  <c r="A847" i="15"/>
  <c r="Y846" i="15"/>
  <c r="X846" i="15"/>
  <c r="W846" i="15"/>
  <c r="V846" i="15"/>
  <c r="U846" i="15"/>
  <c r="T846" i="15"/>
  <c r="S846" i="15"/>
  <c r="R846" i="15"/>
  <c r="Q846" i="15"/>
  <c r="P846" i="15"/>
  <c r="O846" i="15"/>
  <c r="N846" i="15"/>
  <c r="M846" i="15"/>
  <c r="L846" i="15"/>
  <c r="K846" i="15"/>
  <c r="J846" i="15"/>
  <c r="I846" i="15"/>
  <c r="H846" i="15"/>
  <c r="G846" i="15"/>
  <c r="F846" i="15"/>
  <c r="E846" i="15"/>
  <c r="D846" i="15"/>
  <c r="C846" i="15"/>
  <c r="B846" i="15"/>
  <c r="A846" i="15"/>
  <c r="Y845" i="15"/>
  <c r="X845" i="15"/>
  <c r="W845" i="15"/>
  <c r="V845" i="15"/>
  <c r="U845" i="15"/>
  <c r="T845" i="15"/>
  <c r="S845" i="15"/>
  <c r="R845" i="15"/>
  <c r="Q845" i="15"/>
  <c r="P845" i="15"/>
  <c r="O845" i="15"/>
  <c r="N845" i="15"/>
  <c r="M845" i="15"/>
  <c r="L845" i="15"/>
  <c r="K845" i="15"/>
  <c r="J845" i="15"/>
  <c r="I845" i="15"/>
  <c r="H845" i="15"/>
  <c r="G845" i="15"/>
  <c r="F845" i="15"/>
  <c r="E845" i="15"/>
  <c r="D845" i="15"/>
  <c r="C845" i="15"/>
  <c r="B845" i="15"/>
  <c r="A845" i="15"/>
  <c r="Y844" i="15"/>
  <c r="X844" i="15"/>
  <c r="W844" i="15"/>
  <c r="V844" i="15"/>
  <c r="U844" i="15"/>
  <c r="T844" i="15"/>
  <c r="S844" i="15"/>
  <c r="R844" i="15"/>
  <c r="Q844" i="15"/>
  <c r="P844" i="15"/>
  <c r="O844" i="15"/>
  <c r="N844" i="15"/>
  <c r="M844" i="15"/>
  <c r="L844" i="15"/>
  <c r="K844" i="15"/>
  <c r="J844" i="15"/>
  <c r="I844" i="15"/>
  <c r="H844" i="15"/>
  <c r="G844" i="15"/>
  <c r="F844" i="15"/>
  <c r="E844" i="15"/>
  <c r="D844" i="15"/>
  <c r="C844" i="15"/>
  <c r="B844" i="15"/>
  <c r="A844" i="15"/>
  <c r="Y843" i="15"/>
  <c r="X843" i="15"/>
  <c r="W843" i="15"/>
  <c r="V843" i="15"/>
  <c r="U843" i="15"/>
  <c r="T843" i="15"/>
  <c r="S843" i="15"/>
  <c r="R843" i="15"/>
  <c r="Q843" i="15"/>
  <c r="P843" i="15"/>
  <c r="O843" i="15"/>
  <c r="N843" i="15"/>
  <c r="M843" i="15"/>
  <c r="L843" i="15"/>
  <c r="K843" i="15"/>
  <c r="J843" i="15"/>
  <c r="I843" i="15"/>
  <c r="H843" i="15"/>
  <c r="G843" i="15"/>
  <c r="F843" i="15"/>
  <c r="E843" i="15"/>
  <c r="D843" i="15"/>
  <c r="C843" i="15"/>
  <c r="B843" i="15"/>
  <c r="A843" i="15"/>
  <c r="Y842" i="15"/>
  <c r="X842" i="15"/>
  <c r="W842" i="15"/>
  <c r="V842" i="15"/>
  <c r="U842" i="15"/>
  <c r="T842" i="15"/>
  <c r="S842" i="15"/>
  <c r="R842" i="15"/>
  <c r="Q842" i="15"/>
  <c r="P842" i="15"/>
  <c r="O842" i="15"/>
  <c r="N842" i="15"/>
  <c r="M842" i="15"/>
  <c r="L842" i="15"/>
  <c r="K842" i="15"/>
  <c r="J842" i="15"/>
  <c r="I842" i="15"/>
  <c r="H842" i="15"/>
  <c r="G842" i="15"/>
  <c r="F842" i="15"/>
  <c r="E842" i="15"/>
  <c r="D842" i="15"/>
  <c r="C842" i="15"/>
  <c r="B842" i="15"/>
  <c r="A842" i="15"/>
  <c r="Y841" i="15"/>
  <c r="X841" i="15"/>
  <c r="W841" i="15"/>
  <c r="V841" i="15"/>
  <c r="U841" i="15"/>
  <c r="T841" i="15"/>
  <c r="S841" i="15"/>
  <c r="R841" i="15"/>
  <c r="Q841" i="15"/>
  <c r="P841" i="15"/>
  <c r="O841" i="15"/>
  <c r="N841" i="15"/>
  <c r="M841" i="15"/>
  <c r="L841" i="15"/>
  <c r="K841" i="15"/>
  <c r="J841" i="15"/>
  <c r="I841" i="15"/>
  <c r="H841" i="15"/>
  <c r="G841" i="15"/>
  <c r="F841" i="15"/>
  <c r="E841" i="15"/>
  <c r="D841" i="15"/>
  <c r="C841" i="15"/>
  <c r="B841" i="15"/>
  <c r="A841" i="15"/>
  <c r="Y840" i="15"/>
  <c r="X840" i="15"/>
  <c r="W840" i="15"/>
  <c r="V840" i="15"/>
  <c r="U840" i="15"/>
  <c r="T840" i="15"/>
  <c r="S840" i="15"/>
  <c r="R840" i="15"/>
  <c r="Q840" i="15"/>
  <c r="P840" i="15"/>
  <c r="O840" i="15"/>
  <c r="N840" i="15"/>
  <c r="M840" i="15"/>
  <c r="L840" i="15"/>
  <c r="K840" i="15"/>
  <c r="J840" i="15"/>
  <c r="I840" i="15"/>
  <c r="H840" i="15"/>
  <c r="G840" i="15"/>
  <c r="F840" i="15"/>
  <c r="E840" i="15"/>
  <c r="D840" i="15"/>
  <c r="C840" i="15"/>
  <c r="B840" i="15"/>
  <c r="A840" i="15"/>
  <c r="Y839" i="15"/>
  <c r="X839" i="15"/>
  <c r="W839" i="15"/>
  <c r="V839" i="15"/>
  <c r="U839" i="15"/>
  <c r="T839" i="15"/>
  <c r="S839" i="15"/>
  <c r="R839" i="15"/>
  <c r="Q839" i="15"/>
  <c r="P839" i="15"/>
  <c r="O839" i="15"/>
  <c r="N839" i="15"/>
  <c r="M839" i="15"/>
  <c r="L839" i="15"/>
  <c r="K839" i="15"/>
  <c r="J839" i="15"/>
  <c r="I839" i="15"/>
  <c r="H839" i="15"/>
  <c r="G839" i="15"/>
  <c r="F839" i="15"/>
  <c r="E839" i="15"/>
  <c r="D839" i="15"/>
  <c r="C839" i="15"/>
  <c r="B839" i="15"/>
  <c r="A839" i="15"/>
  <c r="Y838" i="15"/>
  <c r="X838" i="15"/>
  <c r="W838" i="15"/>
  <c r="V838" i="15"/>
  <c r="U838" i="15"/>
  <c r="T838" i="15"/>
  <c r="S838" i="15"/>
  <c r="R838" i="15"/>
  <c r="Q838" i="15"/>
  <c r="P838" i="15"/>
  <c r="O838" i="15"/>
  <c r="N838" i="15"/>
  <c r="M838" i="15"/>
  <c r="L838" i="15"/>
  <c r="K838" i="15"/>
  <c r="J838" i="15"/>
  <c r="I838" i="15"/>
  <c r="H838" i="15"/>
  <c r="G838" i="15"/>
  <c r="F838" i="15"/>
  <c r="E838" i="15"/>
  <c r="D838" i="15"/>
  <c r="C838" i="15"/>
  <c r="B838" i="15"/>
  <c r="A838" i="15"/>
  <c r="Y837" i="15"/>
  <c r="X837" i="15"/>
  <c r="W837" i="15"/>
  <c r="V837" i="15"/>
  <c r="U837" i="15"/>
  <c r="T837" i="15"/>
  <c r="S837" i="15"/>
  <c r="R837" i="15"/>
  <c r="Q837" i="15"/>
  <c r="P837" i="15"/>
  <c r="O837" i="15"/>
  <c r="N837" i="15"/>
  <c r="M837" i="15"/>
  <c r="L837" i="15"/>
  <c r="K837" i="15"/>
  <c r="J837" i="15"/>
  <c r="I837" i="15"/>
  <c r="H837" i="15"/>
  <c r="G837" i="15"/>
  <c r="F837" i="15"/>
  <c r="E837" i="15"/>
  <c r="D837" i="15"/>
  <c r="C837" i="15"/>
  <c r="B837" i="15"/>
  <c r="A837" i="15"/>
  <c r="Y836" i="15"/>
  <c r="X836" i="15"/>
  <c r="W836" i="15"/>
  <c r="V836" i="15"/>
  <c r="U836" i="15"/>
  <c r="T836" i="15"/>
  <c r="S836" i="15"/>
  <c r="R836" i="15"/>
  <c r="Q836" i="15"/>
  <c r="P836" i="15"/>
  <c r="O836" i="15"/>
  <c r="N836" i="15"/>
  <c r="M836" i="15"/>
  <c r="L836" i="15"/>
  <c r="K836" i="15"/>
  <c r="J836" i="15"/>
  <c r="I836" i="15"/>
  <c r="H836" i="15"/>
  <c r="G836" i="15"/>
  <c r="F836" i="15"/>
  <c r="E836" i="15"/>
  <c r="D836" i="15"/>
  <c r="C836" i="15"/>
  <c r="B836" i="15"/>
  <c r="A836" i="15"/>
  <c r="Y835" i="15"/>
  <c r="X835" i="15"/>
  <c r="W835" i="15"/>
  <c r="V835" i="15"/>
  <c r="U835" i="15"/>
  <c r="T835" i="15"/>
  <c r="S835" i="15"/>
  <c r="R835" i="15"/>
  <c r="Q835" i="15"/>
  <c r="P835" i="15"/>
  <c r="O835" i="15"/>
  <c r="N835" i="15"/>
  <c r="M835" i="15"/>
  <c r="L835" i="15"/>
  <c r="K835" i="15"/>
  <c r="J835" i="15"/>
  <c r="I835" i="15"/>
  <c r="H835" i="15"/>
  <c r="G835" i="15"/>
  <c r="F835" i="15"/>
  <c r="E835" i="15"/>
  <c r="D835" i="15"/>
  <c r="C835" i="15"/>
  <c r="B835" i="15"/>
  <c r="A835" i="15"/>
  <c r="Y834" i="15"/>
  <c r="X834" i="15"/>
  <c r="W834" i="15"/>
  <c r="V834" i="15"/>
  <c r="U834" i="15"/>
  <c r="T834" i="15"/>
  <c r="S834" i="15"/>
  <c r="R834" i="15"/>
  <c r="Q834" i="15"/>
  <c r="P834" i="15"/>
  <c r="O834" i="15"/>
  <c r="N834" i="15"/>
  <c r="M834" i="15"/>
  <c r="L834" i="15"/>
  <c r="K834" i="15"/>
  <c r="J834" i="15"/>
  <c r="I834" i="15"/>
  <c r="H834" i="15"/>
  <c r="G834" i="15"/>
  <c r="F834" i="15"/>
  <c r="E834" i="15"/>
  <c r="D834" i="15"/>
  <c r="C834" i="15"/>
  <c r="B834" i="15"/>
  <c r="A834" i="15"/>
  <c r="Y833" i="15"/>
  <c r="X833" i="15"/>
  <c r="W833" i="15"/>
  <c r="V833" i="15"/>
  <c r="U833" i="15"/>
  <c r="T833" i="15"/>
  <c r="S833" i="15"/>
  <c r="R833" i="15"/>
  <c r="Q833" i="15"/>
  <c r="P833" i="15"/>
  <c r="O833" i="15"/>
  <c r="N833" i="15"/>
  <c r="M833" i="15"/>
  <c r="L833" i="15"/>
  <c r="K833" i="15"/>
  <c r="J833" i="15"/>
  <c r="I833" i="15"/>
  <c r="H833" i="15"/>
  <c r="G833" i="15"/>
  <c r="F833" i="15"/>
  <c r="E833" i="15"/>
  <c r="D833" i="15"/>
  <c r="C833" i="15"/>
  <c r="B833" i="15"/>
  <c r="A833" i="15"/>
  <c r="Y832" i="15"/>
  <c r="X832" i="15"/>
  <c r="W832" i="15"/>
  <c r="V832" i="15"/>
  <c r="U832" i="15"/>
  <c r="T832" i="15"/>
  <c r="S832" i="15"/>
  <c r="R832" i="15"/>
  <c r="Q832" i="15"/>
  <c r="P832" i="15"/>
  <c r="O832" i="15"/>
  <c r="N832" i="15"/>
  <c r="M832" i="15"/>
  <c r="L832" i="15"/>
  <c r="K832" i="15"/>
  <c r="J832" i="15"/>
  <c r="I832" i="15"/>
  <c r="H832" i="15"/>
  <c r="G832" i="15"/>
  <c r="F832" i="15"/>
  <c r="E832" i="15"/>
  <c r="D832" i="15"/>
  <c r="C832" i="15"/>
  <c r="B832" i="15"/>
  <c r="A832" i="15"/>
  <c r="Y831" i="15"/>
  <c r="X831" i="15"/>
  <c r="W831" i="15"/>
  <c r="V831" i="15"/>
  <c r="U831" i="15"/>
  <c r="T831" i="15"/>
  <c r="S831" i="15"/>
  <c r="R831" i="15"/>
  <c r="Q831" i="15"/>
  <c r="P831" i="15"/>
  <c r="O831" i="15"/>
  <c r="N831" i="15"/>
  <c r="M831" i="15"/>
  <c r="L831" i="15"/>
  <c r="K831" i="15"/>
  <c r="J831" i="15"/>
  <c r="I831" i="15"/>
  <c r="H831" i="15"/>
  <c r="G831" i="15"/>
  <c r="F831" i="15"/>
  <c r="E831" i="15"/>
  <c r="D831" i="15"/>
  <c r="C831" i="15"/>
  <c r="B831" i="15"/>
  <c r="A831" i="15"/>
  <c r="Y830" i="15"/>
  <c r="X830" i="15"/>
  <c r="W830" i="15"/>
  <c r="V830" i="15"/>
  <c r="U830" i="15"/>
  <c r="T830" i="15"/>
  <c r="S830" i="15"/>
  <c r="R830" i="15"/>
  <c r="Q830" i="15"/>
  <c r="P830" i="15"/>
  <c r="O830" i="15"/>
  <c r="N830" i="15"/>
  <c r="M830" i="15"/>
  <c r="L830" i="15"/>
  <c r="K830" i="15"/>
  <c r="J830" i="15"/>
  <c r="I830" i="15"/>
  <c r="H830" i="15"/>
  <c r="G830" i="15"/>
  <c r="F830" i="15"/>
  <c r="E830" i="15"/>
  <c r="D830" i="15"/>
  <c r="C830" i="15"/>
  <c r="B830" i="15"/>
  <c r="A830" i="15"/>
  <c r="Y829" i="15"/>
  <c r="X829" i="15"/>
  <c r="W829" i="15"/>
  <c r="V829" i="15"/>
  <c r="U829" i="15"/>
  <c r="T829" i="15"/>
  <c r="S829" i="15"/>
  <c r="R829" i="15"/>
  <c r="Q829" i="15"/>
  <c r="P829" i="15"/>
  <c r="O829" i="15"/>
  <c r="N829" i="15"/>
  <c r="M829" i="15"/>
  <c r="L829" i="15"/>
  <c r="K829" i="15"/>
  <c r="J829" i="15"/>
  <c r="I829" i="15"/>
  <c r="H829" i="15"/>
  <c r="G829" i="15"/>
  <c r="F829" i="15"/>
  <c r="E829" i="15"/>
  <c r="D829" i="15"/>
  <c r="C829" i="15"/>
  <c r="B829" i="15"/>
  <c r="A829" i="15"/>
  <c r="Y828" i="15"/>
  <c r="X828" i="15"/>
  <c r="W828" i="15"/>
  <c r="V828" i="15"/>
  <c r="U828" i="15"/>
  <c r="T828" i="15"/>
  <c r="S828" i="15"/>
  <c r="R828" i="15"/>
  <c r="Q828" i="15"/>
  <c r="P828" i="15"/>
  <c r="O828" i="15"/>
  <c r="N828" i="15"/>
  <c r="M828" i="15"/>
  <c r="L828" i="15"/>
  <c r="K828" i="15"/>
  <c r="J828" i="15"/>
  <c r="I828" i="15"/>
  <c r="H828" i="15"/>
  <c r="G828" i="15"/>
  <c r="F828" i="15"/>
  <c r="E828" i="15"/>
  <c r="D828" i="15"/>
  <c r="C828" i="15"/>
  <c r="B828" i="15"/>
  <c r="A828" i="15"/>
  <c r="Y827" i="15"/>
  <c r="X827" i="15"/>
  <c r="W827" i="15"/>
  <c r="V827" i="15"/>
  <c r="U827" i="15"/>
  <c r="T827" i="15"/>
  <c r="S827" i="15"/>
  <c r="R827" i="15"/>
  <c r="Q827" i="15"/>
  <c r="P827" i="15"/>
  <c r="O827" i="15"/>
  <c r="N827" i="15"/>
  <c r="M827" i="15"/>
  <c r="L827" i="15"/>
  <c r="K827" i="15"/>
  <c r="J827" i="15"/>
  <c r="I827" i="15"/>
  <c r="H827" i="15"/>
  <c r="G827" i="15"/>
  <c r="F827" i="15"/>
  <c r="E827" i="15"/>
  <c r="D827" i="15"/>
  <c r="C827" i="15"/>
  <c r="B827" i="15"/>
  <c r="A827" i="15"/>
  <c r="Y826" i="15"/>
  <c r="X826" i="15"/>
  <c r="W826" i="15"/>
  <c r="V826" i="15"/>
  <c r="U826" i="15"/>
  <c r="T826" i="15"/>
  <c r="S826" i="15"/>
  <c r="R826" i="15"/>
  <c r="Q826" i="15"/>
  <c r="P826" i="15"/>
  <c r="O826" i="15"/>
  <c r="N826" i="15"/>
  <c r="M826" i="15"/>
  <c r="L826" i="15"/>
  <c r="K826" i="15"/>
  <c r="J826" i="15"/>
  <c r="I826" i="15"/>
  <c r="H826" i="15"/>
  <c r="G826" i="15"/>
  <c r="F826" i="15"/>
  <c r="E826" i="15"/>
  <c r="D826" i="15"/>
  <c r="C826" i="15"/>
  <c r="B826" i="15"/>
  <c r="A826" i="15"/>
  <c r="Y825" i="15"/>
  <c r="X825" i="15"/>
  <c r="W825" i="15"/>
  <c r="V825" i="15"/>
  <c r="U825" i="15"/>
  <c r="T825" i="15"/>
  <c r="S825" i="15"/>
  <c r="R825" i="15"/>
  <c r="Q825" i="15"/>
  <c r="P825" i="15"/>
  <c r="O825" i="15"/>
  <c r="N825" i="15"/>
  <c r="M825" i="15"/>
  <c r="L825" i="15"/>
  <c r="K825" i="15"/>
  <c r="J825" i="15"/>
  <c r="I825" i="15"/>
  <c r="H825" i="15"/>
  <c r="G825" i="15"/>
  <c r="F825" i="15"/>
  <c r="E825" i="15"/>
  <c r="D825" i="15"/>
  <c r="C825" i="15"/>
  <c r="B825" i="15"/>
  <c r="A825" i="15"/>
  <c r="Y824" i="15"/>
  <c r="X824" i="15"/>
  <c r="W824" i="15"/>
  <c r="V824" i="15"/>
  <c r="U824" i="15"/>
  <c r="T824" i="15"/>
  <c r="S824" i="15"/>
  <c r="R824" i="15"/>
  <c r="Q824" i="15"/>
  <c r="P824" i="15"/>
  <c r="O824" i="15"/>
  <c r="N824" i="15"/>
  <c r="M824" i="15"/>
  <c r="L824" i="15"/>
  <c r="K824" i="15"/>
  <c r="J824" i="15"/>
  <c r="I824" i="15"/>
  <c r="H824" i="15"/>
  <c r="G824" i="15"/>
  <c r="F824" i="15"/>
  <c r="E824" i="15"/>
  <c r="D824" i="15"/>
  <c r="C824" i="15"/>
  <c r="B824" i="15"/>
  <c r="A824" i="15"/>
  <c r="Y823" i="15"/>
  <c r="X823" i="15"/>
  <c r="W823" i="15"/>
  <c r="V823" i="15"/>
  <c r="U823" i="15"/>
  <c r="T823" i="15"/>
  <c r="S823" i="15"/>
  <c r="R823" i="15"/>
  <c r="Q823" i="15"/>
  <c r="P823" i="15"/>
  <c r="O823" i="15"/>
  <c r="N823" i="15"/>
  <c r="M823" i="15"/>
  <c r="L823" i="15"/>
  <c r="K823" i="15"/>
  <c r="J823" i="15"/>
  <c r="I823" i="15"/>
  <c r="H823" i="15"/>
  <c r="G823" i="15"/>
  <c r="F823" i="15"/>
  <c r="E823" i="15"/>
  <c r="D823" i="15"/>
  <c r="C823" i="15"/>
  <c r="B823" i="15"/>
  <c r="A823" i="15"/>
  <c r="Y822" i="15"/>
  <c r="X822" i="15"/>
  <c r="W822" i="15"/>
  <c r="V822" i="15"/>
  <c r="U822" i="15"/>
  <c r="T822" i="15"/>
  <c r="S822" i="15"/>
  <c r="R822" i="15"/>
  <c r="Q822" i="15"/>
  <c r="P822" i="15"/>
  <c r="O822" i="15"/>
  <c r="N822" i="15"/>
  <c r="M822" i="15"/>
  <c r="L822" i="15"/>
  <c r="K822" i="15"/>
  <c r="J822" i="15"/>
  <c r="I822" i="15"/>
  <c r="H822" i="15"/>
  <c r="G822" i="15"/>
  <c r="F822" i="15"/>
  <c r="E822" i="15"/>
  <c r="D822" i="15"/>
  <c r="C822" i="15"/>
  <c r="B822" i="15"/>
  <c r="A822" i="15"/>
  <c r="Y821" i="15"/>
  <c r="X821" i="15"/>
  <c r="W821" i="15"/>
  <c r="V821" i="15"/>
  <c r="U821" i="15"/>
  <c r="T821" i="15"/>
  <c r="S821" i="15"/>
  <c r="R821" i="15"/>
  <c r="Q821" i="15"/>
  <c r="P821" i="15"/>
  <c r="O821" i="15"/>
  <c r="N821" i="15"/>
  <c r="M821" i="15"/>
  <c r="L821" i="15"/>
  <c r="K821" i="15"/>
  <c r="J821" i="15"/>
  <c r="I821" i="15"/>
  <c r="H821" i="15"/>
  <c r="G821" i="15"/>
  <c r="F821" i="15"/>
  <c r="E821" i="15"/>
  <c r="D821" i="15"/>
  <c r="C821" i="15"/>
  <c r="B821" i="15"/>
  <c r="A821" i="15"/>
  <c r="Y820" i="15"/>
  <c r="X820" i="15"/>
  <c r="W820" i="15"/>
  <c r="V820" i="15"/>
  <c r="U820" i="15"/>
  <c r="T820" i="15"/>
  <c r="S820" i="15"/>
  <c r="R820" i="15"/>
  <c r="Q820" i="15"/>
  <c r="P820" i="15"/>
  <c r="O820" i="15"/>
  <c r="N820" i="15"/>
  <c r="M820" i="15"/>
  <c r="L820" i="15"/>
  <c r="K820" i="15"/>
  <c r="J820" i="15"/>
  <c r="I820" i="15"/>
  <c r="H820" i="15"/>
  <c r="G820" i="15"/>
  <c r="F820" i="15"/>
  <c r="E820" i="15"/>
  <c r="D820" i="15"/>
  <c r="C820" i="15"/>
  <c r="B820" i="15"/>
  <c r="A820" i="15"/>
  <c r="Y819" i="15"/>
  <c r="X819" i="15"/>
  <c r="W819" i="15"/>
  <c r="V819" i="15"/>
  <c r="U819" i="15"/>
  <c r="T819" i="15"/>
  <c r="S819" i="15"/>
  <c r="R819" i="15"/>
  <c r="Q819" i="15"/>
  <c r="P819" i="15"/>
  <c r="O819" i="15"/>
  <c r="N819" i="15"/>
  <c r="M819" i="15"/>
  <c r="L819" i="15"/>
  <c r="K819" i="15"/>
  <c r="J819" i="15"/>
  <c r="I819" i="15"/>
  <c r="H819" i="15"/>
  <c r="G819" i="15"/>
  <c r="F819" i="15"/>
  <c r="E819" i="15"/>
  <c r="D819" i="15"/>
  <c r="C819" i="15"/>
  <c r="B819" i="15"/>
  <c r="A819" i="15"/>
  <c r="Y818" i="15"/>
  <c r="X818" i="15"/>
  <c r="W818" i="15"/>
  <c r="V818" i="15"/>
  <c r="U818" i="15"/>
  <c r="T818" i="15"/>
  <c r="S818" i="15"/>
  <c r="R818" i="15"/>
  <c r="Q818" i="15"/>
  <c r="P818" i="15"/>
  <c r="O818" i="15"/>
  <c r="N818" i="15"/>
  <c r="M818" i="15"/>
  <c r="L818" i="15"/>
  <c r="K818" i="15"/>
  <c r="J818" i="15"/>
  <c r="I818" i="15"/>
  <c r="H818" i="15"/>
  <c r="G818" i="15"/>
  <c r="F818" i="15"/>
  <c r="E818" i="15"/>
  <c r="D818" i="15"/>
  <c r="C818" i="15"/>
  <c r="B818" i="15"/>
  <c r="A818" i="15"/>
  <c r="Y817" i="15"/>
  <c r="X817" i="15"/>
  <c r="W817" i="15"/>
  <c r="V817" i="15"/>
  <c r="U817" i="15"/>
  <c r="T817" i="15"/>
  <c r="S817" i="15"/>
  <c r="R817" i="15"/>
  <c r="Q817" i="15"/>
  <c r="P817" i="15"/>
  <c r="O817" i="15"/>
  <c r="N817" i="15"/>
  <c r="M817" i="15"/>
  <c r="L817" i="15"/>
  <c r="K817" i="15"/>
  <c r="J817" i="15"/>
  <c r="I817" i="15"/>
  <c r="H817" i="15"/>
  <c r="G817" i="15"/>
  <c r="F817" i="15"/>
  <c r="E817" i="15"/>
  <c r="D817" i="15"/>
  <c r="C817" i="15"/>
  <c r="B817" i="15"/>
  <c r="A817" i="15"/>
  <c r="Y816" i="15"/>
  <c r="X816" i="15"/>
  <c r="W816" i="15"/>
  <c r="V816" i="15"/>
  <c r="U816" i="15"/>
  <c r="T816" i="15"/>
  <c r="S816" i="15"/>
  <c r="R816" i="15"/>
  <c r="Q816" i="15"/>
  <c r="P816" i="15"/>
  <c r="O816" i="15"/>
  <c r="N816" i="15"/>
  <c r="M816" i="15"/>
  <c r="L816" i="15"/>
  <c r="K816" i="15"/>
  <c r="J816" i="15"/>
  <c r="I816" i="15"/>
  <c r="H816" i="15"/>
  <c r="G816" i="15"/>
  <c r="F816" i="15"/>
  <c r="E816" i="15"/>
  <c r="D816" i="15"/>
  <c r="C816" i="15"/>
  <c r="B816" i="15"/>
  <c r="A816" i="15"/>
  <c r="Y815" i="15"/>
  <c r="X815" i="15"/>
  <c r="W815" i="15"/>
  <c r="V815" i="15"/>
  <c r="U815" i="15"/>
  <c r="T815" i="15"/>
  <c r="S815" i="15"/>
  <c r="R815" i="15"/>
  <c r="Q815" i="15"/>
  <c r="P815" i="15"/>
  <c r="O815" i="15"/>
  <c r="N815" i="15"/>
  <c r="M815" i="15"/>
  <c r="L815" i="15"/>
  <c r="K815" i="15"/>
  <c r="J815" i="15"/>
  <c r="I815" i="15"/>
  <c r="H815" i="15"/>
  <c r="G815" i="15"/>
  <c r="F815" i="15"/>
  <c r="E815" i="15"/>
  <c r="D815" i="15"/>
  <c r="C815" i="15"/>
  <c r="B815" i="15"/>
  <c r="A815" i="15"/>
  <c r="Y814" i="15"/>
  <c r="X814" i="15"/>
  <c r="W814" i="15"/>
  <c r="V814" i="15"/>
  <c r="U814" i="15"/>
  <c r="T814" i="15"/>
  <c r="S814" i="15"/>
  <c r="R814" i="15"/>
  <c r="Q814" i="15"/>
  <c r="P814" i="15"/>
  <c r="O814" i="15"/>
  <c r="N814" i="15"/>
  <c r="M814" i="15"/>
  <c r="L814" i="15"/>
  <c r="K814" i="15"/>
  <c r="J814" i="15"/>
  <c r="I814" i="15"/>
  <c r="H814" i="15"/>
  <c r="G814" i="15"/>
  <c r="F814" i="15"/>
  <c r="E814" i="15"/>
  <c r="D814" i="15"/>
  <c r="C814" i="15"/>
  <c r="B814" i="15"/>
  <c r="A814" i="15"/>
  <c r="Y813" i="15"/>
  <c r="X813" i="15"/>
  <c r="W813" i="15"/>
  <c r="V813" i="15"/>
  <c r="U813" i="15"/>
  <c r="T813" i="15"/>
  <c r="S813" i="15"/>
  <c r="R813" i="15"/>
  <c r="Q813" i="15"/>
  <c r="P813" i="15"/>
  <c r="O813" i="15"/>
  <c r="N813" i="15"/>
  <c r="M813" i="15"/>
  <c r="L813" i="15"/>
  <c r="K813" i="15"/>
  <c r="J813" i="15"/>
  <c r="I813" i="15"/>
  <c r="H813" i="15"/>
  <c r="G813" i="15"/>
  <c r="F813" i="15"/>
  <c r="E813" i="15"/>
  <c r="D813" i="15"/>
  <c r="C813" i="15"/>
  <c r="B813" i="15"/>
  <c r="A813" i="15"/>
  <c r="Y812" i="15"/>
  <c r="X812" i="15"/>
  <c r="W812" i="15"/>
  <c r="V812" i="15"/>
  <c r="U812" i="15"/>
  <c r="T812" i="15"/>
  <c r="S812" i="15"/>
  <c r="R812" i="15"/>
  <c r="Q812" i="15"/>
  <c r="P812" i="15"/>
  <c r="O812" i="15"/>
  <c r="N812" i="15"/>
  <c r="M812" i="15"/>
  <c r="L812" i="15"/>
  <c r="K812" i="15"/>
  <c r="J812" i="15"/>
  <c r="I812" i="15"/>
  <c r="H812" i="15"/>
  <c r="G812" i="15"/>
  <c r="F812" i="15"/>
  <c r="E812" i="15"/>
  <c r="D812" i="15"/>
  <c r="C812" i="15"/>
  <c r="B812" i="15"/>
  <c r="A812" i="15"/>
  <c r="Y811" i="15"/>
  <c r="X811" i="15"/>
  <c r="W811" i="15"/>
  <c r="V811" i="15"/>
  <c r="U811" i="15"/>
  <c r="T811" i="15"/>
  <c r="S811" i="15"/>
  <c r="R811" i="15"/>
  <c r="Q811" i="15"/>
  <c r="P811" i="15"/>
  <c r="O811" i="15"/>
  <c r="N811" i="15"/>
  <c r="M811" i="15"/>
  <c r="L811" i="15"/>
  <c r="K811" i="15"/>
  <c r="J811" i="15"/>
  <c r="I811" i="15"/>
  <c r="H811" i="15"/>
  <c r="G811" i="15"/>
  <c r="F811" i="15"/>
  <c r="E811" i="15"/>
  <c r="D811" i="15"/>
  <c r="C811" i="15"/>
  <c r="B811" i="15"/>
  <c r="A811" i="15"/>
  <c r="Y810" i="15"/>
  <c r="X810" i="15"/>
  <c r="W810" i="15"/>
  <c r="V810" i="15"/>
  <c r="U810" i="15"/>
  <c r="T810" i="15"/>
  <c r="S810" i="15"/>
  <c r="R810" i="15"/>
  <c r="Q810" i="15"/>
  <c r="P810" i="15"/>
  <c r="O810" i="15"/>
  <c r="N810" i="15"/>
  <c r="M810" i="15"/>
  <c r="L810" i="15"/>
  <c r="K810" i="15"/>
  <c r="J810" i="15"/>
  <c r="I810" i="15"/>
  <c r="H810" i="15"/>
  <c r="G810" i="15"/>
  <c r="F810" i="15"/>
  <c r="E810" i="15"/>
  <c r="D810" i="15"/>
  <c r="C810" i="15"/>
  <c r="B810" i="15"/>
  <c r="A810" i="15"/>
  <c r="Y809" i="15"/>
  <c r="X809" i="15"/>
  <c r="W809" i="15"/>
  <c r="V809" i="15"/>
  <c r="U809" i="15"/>
  <c r="T809" i="15"/>
  <c r="S809" i="15"/>
  <c r="R809" i="15"/>
  <c r="Q809" i="15"/>
  <c r="P809" i="15"/>
  <c r="O809" i="15"/>
  <c r="N809" i="15"/>
  <c r="M809" i="15"/>
  <c r="L809" i="15"/>
  <c r="K809" i="15"/>
  <c r="J809" i="15"/>
  <c r="I809" i="15"/>
  <c r="H809" i="15"/>
  <c r="G809" i="15"/>
  <c r="F809" i="15"/>
  <c r="E809" i="15"/>
  <c r="D809" i="15"/>
  <c r="C809" i="15"/>
  <c r="B809" i="15"/>
  <c r="A809" i="15"/>
  <c r="Y808" i="15"/>
  <c r="X808" i="15"/>
  <c r="W808" i="15"/>
  <c r="V808" i="15"/>
  <c r="U808" i="15"/>
  <c r="T808" i="15"/>
  <c r="S808" i="15"/>
  <c r="R808" i="15"/>
  <c r="Q808" i="15"/>
  <c r="P808" i="15"/>
  <c r="O808" i="15"/>
  <c r="N808" i="15"/>
  <c r="M808" i="15"/>
  <c r="L808" i="15"/>
  <c r="K808" i="15"/>
  <c r="J808" i="15"/>
  <c r="I808" i="15"/>
  <c r="H808" i="15"/>
  <c r="G808" i="15"/>
  <c r="F808" i="15"/>
  <c r="E808" i="15"/>
  <c r="D808" i="15"/>
  <c r="C808" i="15"/>
  <c r="B808" i="15"/>
  <c r="A808" i="15"/>
  <c r="Y807" i="15"/>
  <c r="X807" i="15"/>
  <c r="W807" i="15"/>
  <c r="V807" i="15"/>
  <c r="U807" i="15"/>
  <c r="T807" i="15"/>
  <c r="S807" i="15"/>
  <c r="R807" i="15"/>
  <c r="Q807" i="15"/>
  <c r="P807" i="15"/>
  <c r="O807" i="15"/>
  <c r="N807" i="15"/>
  <c r="M807" i="15"/>
  <c r="L807" i="15"/>
  <c r="K807" i="15"/>
  <c r="J807" i="15"/>
  <c r="I807" i="15"/>
  <c r="H807" i="15"/>
  <c r="G807" i="15"/>
  <c r="F807" i="15"/>
  <c r="E807" i="15"/>
  <c r="D807" i="15"/>
  <c r="C807" i="15"/>
  <c r="B807" i="15"/>
  <c r="A807" i="15"/>
  <c r="Y806" i="15"/>
  <c r="X806" i="15"/>
  <c r="W806" i="15"/>
  <c r="V806" i="15"/>
  <c r="U806" i="15"/>
  <c r="T806" i="15"/>
  <c r="S806" i="15"/>
  <c r="R806" i="15"/>
  <c r="Q806" i="15"/>
  <c r="P806" i="15"/>
  <c r="O806" i="15"/>
  <c r="N806" i="15"/>
  <c r="M806" i="15"/>
  <c r="L806" i="15"/>
  <c r="K806" i="15"/>
  <c r="J806" i="15"/>
  <c r="I806" i="15"/>
  <c r="H806" i="15"/>
  <c r="G806" i="15"/>
  <c r="F806" i="15"/>
  <c r="E806" i="15"/>
  <c r="D806" i="15"/>
  <c r="C806" i="15"/>
  <c r="B806" i="15"/>
  <c r="A806" i="15"/>
  <c r="Y805" i="15"/>
  <c r="X805" i="15"/>
  <c r="W805" i="15"/>
  <c r="V805" i="15"/>
  <c r="U805" i="15"/>
  <c r="T805" i="15"/>
  <c r="S805" i="15"/>
  <c r="R805" i="15"/>
  <c r="Q805" i="15"/>
  <c r="P805" i="15"/>
  <c r="O805" i="15"/>
  <c r="N805" i="15"/>
  <c r="M805" i="15"/>
  <c r="L805" i="15"/>
  <c r="K805" i="15"/>
  <c r="J805" i="15"/>
  <c r="I805" i="15"/>
  <c r="H805" i="15"/>
  <c r="G805" i="15"/>
  <c r="F805" i="15"/>
  <c r="E805" i="15"/>
  <c r="D805" i="15"/>
  <c r="C805" i="15"/>
  <c r="B805" i="15"/>
  <c r="A805" i="15"/>
  <c r="Y804" i="15"/>
  <c r="X804" i="15"/>
  <c r="W804" i="15"/>
  <c r="V804" i="15"/>
  <c r="U804" i="15"/>
  <c r="T804" i="15"/>
  <c r="S804" i="15"/>
  <c r="R804" i="15"/>
  <c r="Q804" i="15"/>
  <c r="P804" i="15"/>
  <c r="O804" i="15"/>
  <c r="N804" i="15"/>
  <c r="M804" i="15"/>
  <c r="L804" i="15"/>
  <c r="K804" i="15"/>
  <c r="J804" i="15"/>
  <c r="I804" i="15"/>
  <c r="H804" i="15"/>
  <c r="G804" i="15"/>
  <c r="F804" i="15"/>
  <c r="E804" i="15"/>
  <c r="D804" i="15"/>
  <c r="C804" i="15"/>
  <c r="B804" i="15"/>
  <c r="A804" i="15"/>
  <c r="Y803" i="15"/>
  <c r="X803" i="15"/>
  <c r="W803" i="15"/>
  <c r="V803" i="15"/>
  <c r="U803" i="15"/>
  <c r="T803" i="15"/>
  <c r="S803" i="15"/>
  <c r="R803" i="15"/>
  <c r="Q803" i="15"/>
  <c r="P803" i="15"/>
  <c r="O803" i="15"/>
  <c r="N803" i="15"/>
  <c r="M803" i="15"/>
  <c r="L803" i="15"/>
  <c r="K803" i="15"/>
  <c r="J803" i="15"/>
  <c r="I803" i="15"/>
  <c r="H803" i="15"/>
  <c r="G803" i="15"/>
  <c r="F803" i="15"/>
  <c r="E803" i="15"/>
  <c r="D803" i="15"/>
  <c r="C803" i="15"/>
  <c r="B803" i="15"/>
  <c r="A803" i="15"/>
  <c r="Y802" i="15"/>
  <c r="X802" i="15"/>
  <c r="W802" i="15"/>
  <c r="V802" i="15"/>
  <c r="U802" i="15"/>
  <c r="T802" i="15"/>
  <c r="S802" i="15"/>
  <c r="R802" i="15"/>
  <c r="Q802" i="15"/>
  <c r="P802" i="15"/>
  <c r="O802" i="15"/>
  <c r="N802" i="15"/>
  <c r="M802" i="15"/>
  <c r="L802" i="15"/>
  <c r="K802" i="15"/>
  <c r="J802" i="15"/>
  <c r="I802" i="15"/>
  <c r="H802" i="15"/>
  <c r="G802" i="15"/>
  <c r="F802" i="15"/>
  <c r="E802" i="15"/>
  <c r="D802" i="15"/>
  <c r="C802" i="15"/>
  <c r="B802" i="15"/>
  <c r="A802" i="15"/>
  <c r="Y801" i="15"/>
  <c r="X801" i="15"/>
  <c r="W801" i="15"/>
  <c r="V801" i="15"/>
  <c r="U801" i="15"/>
  <c r="T801" i="15"/>
  <c r="S801" i="15"/>
  <c r="R801" i="15"/>
  <c r="Q801" i="15"/>
  <c r="P801" i="15"/>
  <c r="O801" i="15"/>
  <c r="N801" i="15"/>
  <c r="M801" i="15"/>
  <c r="L801" i="15"/>
  <c r="K801" i="15"/>
  <c r="J801" i="15"/>
  <c r="I801" i="15"/>
  <c r="H801" i="15"/>
  <c r="G801" i="15"/>
  <c r="F801" i="15"/>
  <c r="E801" i="15"/>
  <c r="D801" i="15"/>
  <c r="C801" i="15"/>
  <c r="B801" i="15"/>
  <c r="A801" i="15"/>
  <c r="Y800" i="15"/>
  <c r="X800" i="15"/>
  <c r="W800" i="15"/>
  <c r="V800" i="15"/>
  <c r="U800" i="15"/>
  <c r="T800" i="15"/>
  <c r="S800" i="15"/>
  <c r="R800" i="15"/>
  <c r="Q800" i="15"/>
  <c r="P800" i="15"/>
  <c r="O800" i="15"/>
  <c r="N800" i="15"/>
  <c r="M800" i="15"/>
  <c r="L800" i="15"/>
  <c r="K800" i="15"/>
  <c r="J800" i="15"/>
  <c r="I800" i="15"/>
  <c r="H800" i="15"/>
  <c r="G800" i="15"/>
  <c r="F800" i="15"/>
  <c r="E800" i="15"/>
  <c r="D800" i="15"/>
  <c r="C800" i="15"/>
  <c r="B800" i="15"/>
  <c r="A800" i="15"/>
  <c r="Y799" i="15"/>
  <c r="X799" i="15"/>
  <c r="W799" i="15"/>
  <c r="V799" i="15"/>
  <c r="U799" i="15"/>
  <c r="T799" i="15"/>
  <c r="S799" i="15"/>
  <c r="R799" i="15"/>
  <c r="Q799" i="15"/>
  <c r="P799" i="15"/>
  <c r="O799" i="15"/>
  <c r="N799" i="15"/>
  <c r="M799" i="15"/>
  <c r="L799" i="15"/>
  <c r="K799" i="15"/>
  <c r="J799" i="15"/>
  <c r="I799" i="15"/>
  <c r="H799" i="15"/>
  <c r="G799" i="15"/>
  <c r="F799" i="15"/>
  <c r="E799" i="15"/>
  <c r="D799" i="15"/>
  <c r="C799" i="15"/>
  <c r="B799" i="15"/>
  <c r="A799" i="15"/>
  <c r="Y798" i="15"/>
  <c r="X798" i="15"/>
  <c r="W798" i="15"/>
  <c r="V798" i="15"/>
  <c r="U798" i="15"/>
  <c r="T798" i="15"/>
  <c r="S798" i="15"/>
  <c r="R798" i="15"/>
  <c r="Q798" i="15"/>
  <c r="P798" i="15"/>
  <c r="O798" i="15"/>
  <c r="N798" i="15"/>
  <c r="M798" i="15"/>
  <c r="L798" i="15"/>
  <c r="K798" i="15"/>
  <c r="J798" i="15"/>
  <c r="I798" i="15"/>
  <c r="H798" i="15"/>
  <c r="G798" i="15"/>
  <c r="F798" i="15"/>
  <c r="E798" i="15"/>
  <c r="D798" i="15"/>
  <c r="C798" i="15"/>
  <c r="B798" i="15"/>
  <c r="A798" i="15"/>
  <c r="Y797" i="15"/>
  <c r="X797" i="15"/>
  <c r="W797" i="15"/>
  <c r="V797" i="15"/>
  <c r="U797" i="15"/>
  <c r="T797" i="15"/>
  <c r="S797" i="15"/>
  <c r="R797" i="15"/>
  <c r="Q797" i="15"/>
  <c r="P797" i="15"/>
  <c r="O797" i="15"/>
  <c r="N797" i="15"/>
  <c r="M797" i="15"/>
  <c r="L797" i="15"/>
  <c r="K797" i="15"/>
  <c r="J797" i="15"/>
  <c r="I797" i="15"/>
  <c r="H797" i="15"/>
  <c r="G797" i="15"/>
  <c r="F797" i="15"/>
  <c r="E797" i="15"/>
  <c r="D797" i="15"/>
  <c r="C797" i="15"/>
  <c r="B797" i="15"/>
  <c r="A797" i="15"/>
  <c r="Y796" i="15"/>
  <c r="X796" i="15"/>
  <c r="W796" i="15"/>
  <c r="V796" i="15"/>
  <c r="U796" i="15"/>
  <c r="T796" i="15"/>
  <c r="S796" i="15"/>
  <c r="R796" i="15"/>
  <c r="Q796" i="15"/>
  <c r="P796" i="15"/>
  <c r="O796" i="15"/>
  <c r="N796" i="15"/>
  <c r="M796" i="15"/>
  <c r="L796" i="15"/>
  <c r="K796" i="15"/>
  <c r="J796" i="15"/>
  <c r="I796" i="15"/>
  <c r="H796" i="15"/>
  <c r="G796" i="15"/>
  <c r="F796" i="15"/>
  <c r="E796" i="15"/>
  <c r="D796" i="15"/>
  <c r="C796" i="15"/>
  <c r="B796" i="15"/>
  <c r="A796" i="15"/>
  <c r="Y795" i="15"/>
  <c r="X795" i="15"/>
  <c r="W795" i="15"/>
  <c r="V795" i="15"/>
  <c r="U795" i="15"/>
  <c r="T795" i="15"/>
  <c r="S795" i="15"/>
  <c r="R795" i="15"/>
  <c r="Q795" i="15"/>
  <c r="P795" i="15"/>
  <c r="O795" i="15"/>
  <c r="N795" i="15"/>
  <c r="M795" i="15"/>
  <c r="L795" i="15"/>
  <c r="K795" i="15"/>
  <c r="J795" i="15"/>
  <c r="I795" i="15"/>
  <c r="H795" i="15"/>
  <c r="G795" i="15"/>
  <c r="F795" i="15"/>
  <c r="E795" i="15"/>
  <c r="D795" i="15"/>
  <c r="C795" i="15"/>
  <c r="B795" i="15"/>
  <c r="A795" i="15"/>
  <c r="Y794" i="15"/>
  <c r="X794" i="15"/>
  <c r="W794" i="15"/>
  <c r="V794" i="15"/>
  <c r="U794" i="15"/>
  <c r="T794" i="15"/>
  <c r="S794" i="15"/>
  <c r="R794" i="15"/>
  <c r="Q794" i="15"/>
  <c r="P794" i="15"/>
  <c r="O794" i="15"/>
  <c r="N794" i="15"/>
  <c r="M794" i="15"/>
  <c r="L794" i="15"/>
  <c r="K794" i="15"/>
  <c r="J794" i="15"/>
  <c r="I794" i="15"/>
  <c r="H794" i="15"/>
  <c r="G794" i="15"/>
  <c r="F794" i="15"/>
  <c r="E794" i="15"/>
  <c r="D794" i="15"/>
  <c r="C794" i="15"/>
  <c r="B794" i="15"/>
  <c r="A794" i="15"/>
  <c r="Y793" i="15"/>
  <c r="X793" i="15"/>
  <c r="W793" i="15"/>
  <c r="V793" i="15"/>
  <c r="U793" i="15"/>
  <c r="T793" i="15"/>
  <c r="S793" i="15"/>
  <c r="R793" i="15"/>
  <c r="Q793" i="15"/>
  <c r="P793" i="15"/>
  <c r="O793" i="15"/>
  <c r="N793" i="15"/>
  <c r="M793" i="15"/>
  <c r="L793" i="15"/>
  <c r="K793" i="15"/>
  <c r="J793" i="15"/>
  <c r="I793" i="15"/>
  <c r="H793" i="15"/>
  <c r="G793" i="15"/>
  <c r="F793" i="15"/>
  <c r="E793" i="15"/>
  <c r="D793" i="15"/>
  <c r="C793" i="15"/>
  <c r="B793" i="15"/>
  <c r="A793" i="15"/>
  <c r="Y792" i="15"/>
  <c r="X792" i="15"/>
  <c r="W792" i="15"/>
  <c r="V792" i="15"/>
  <c r="U792" i="15"/>
  <c r="T792" i="15"/>
  <c r="S792" i="15"/>
  <c r="R792" i="15"/>
  <c r="Q792" i="15"/>
  <c r="P792" i="15"/>
  <c r="O792" i="15"/>
  <c r="N792" i="15"/>
  <c r="M792" i="15"/>
  <c r="L792" i="15"/>
  <c r="K792" i="15"/>
  <c r="J792" i="15"/>
  <c r="I792" i="15"/>
  <c r="H792" i="15"/>
  <c r="G792" i="15"/>
  <c r="F792" i="15"/>
  <c r="E792" i="15"/>
  <c r="D792" i="15"/>
  <c r="C792" i="15"/>
  <c r="B792" i="15"/>
  <c r="A792" i="15"/>
  <c r="Y791" i="15"/>
  <c r="X791" i="15"/>
  <c r="W791" i="15"/>
  <c r="V791" i="15"/>
  <c r="U791" i="15"/>
  <c r="T791" i="15"/>
  <c r="S791" i="15"/>
  <c r="R791" i="15"/>
  <c r="Q791" i="15"/>
  <c r="P791" i="15"/>
  <c r="O791" i="15"/>
  <c r="N791" i="15"/>
  <c r="M791" i="15"/>
  <c r="L791" i="15"/>
  <c r="K791" i="15"/>
  <c r="J791" i="15"/>
  <c r="I791" i="15"/>
  <c r="H791" i="15"/>
  <c r="G791" i="15"/>
  <c r="F791" i="15"/>
  <c r="E791" i="15"/>
  <c r="D791" i="15"/>
  <c r="C791" i="15"/>
  <c r="B791" i="15"/>
  <c r="A791" i="15"/>
  <c r="Y790" i="15"/>
  <c r="X790" i="15"/>
  <c r="W790" i="15"/>
  <c r="V790" i="15"/>
  <c r="U790" i="15"/>
  <c r="T790" i="15"/>
  <c r="S790" i="15"/>
  <c r="R790" i="15"/>
  <c r="Q790" i="15"/>
  <c r="P790" i="15"/>
  <c r="O790" i="15"/>
  <c r="N790" i="15"/>
  <c r="M790" i="15"/>
  <c r="L790" i="15"/>
  <c r="K790" i="15"/>
  <c r="J790" i="15"/>
  <c r="I790" i="15"/>
  <c r="H790" i="15"/>
  <c r="G790" i="15"/>
  <c r="F790" i="15"/>
  <c r="E790" i="15"/>
  <c r="D790" i="15"/>
  <c r="C790" i="15"/>
  <c r="B790" i="15"/>
  <c r="A790" i="15"/>
  <c r="Y789" i="15"/>
  <c r="X789" i="15"/>
  <c r="W789" i="15"/>
  <c r="V789" i="15"/>
  <c r="U789" i="15"/>
  <c r="T789" i="15"/>
  <c r="S789" i="15"/>
  <c r="R789" i="15"/>
  <c r="Q789" i="15"/>
  <c r="P789" i="15"/>
  <c r="O789" i="15"/>
  <c r="N789" i="15"/>
  <c r="M789" i="15"/>
  <c r="L789" i="15"/>
  <c r="K789" i="15"/>
  <c r="J789" i="15"/>
  <c r="I789" i="15"/>
  <c r="H789" i="15"/>
  <c r="G789" i="15"/>
  <c r="F789" i="15"/>
  <c r="E789" i="15"/>
  <c r="D789" i="15"/>
  <c r="C789" i="15"/>
  <c r="B789" i="15"/>
  <c r="A789" i="15"/>
  <c r="Y788" i="15"/>
  <c r="X788" i="15"/>
  <c r="W788" i="15"/>
  <c r="V788" i="15"/>
  <c r="U788" i="15"/>
  <c r="T788" i="15"/>
  <c r="S788" i="15"/>
  <c r="R788" i="15"/>
  <c r="Q788" i="15"/>
  <c r="P788" i="15"/>
  <c r="O788" i="15"/>
  <c r="N788" i="15"/>
  <c r="M788" i="15"/>
  <c r="L788" i="15"/>
  <c r="K788" i="15"/>
  <c r="J788" i="15"/>
  <c r="I788" i="15"/>
  <c r="H788" i="15"/>
  <c r="G788" i="15"/>
  <c r="F788" i="15"/>
  <c r="E788" i="15"/>
  <c r="D788" i="15"/>
  <c r="C788" i="15"/>
  <c r="B788" i="15"/>
  <c r="A788" i="15"/>
  <c r="Y787" i="15"/>
  <c r="X787" i="15"/>
  <c r="W787" i="15"/>
  <c r="V787" i="15"/>
  <c r="U787" i="15"/>
  <c r="T787" i="15"/>
  <c r="S787" i="15"/>
  <c r="R787" i="15"/>
  <c r="Q787" i="15"/>
  <c r="P787" i="15"/>
  <c r="O787" i="15"/>
  <c r="N787" i="15"/>
  <c r="M787" i="15"/>
  <c r="L787" i="15"/>
  <c r="K787" i="15"/>
  <c r="J787" i="15"/>
  <c r="I787" i="15"/>
  <c r="H787" i="15"/>
  <c r="G787" i="15"/>
  <c r="F787" i="15"/>
  <c r="E787" i="15"/>
  <c r="D787" i="15"/>
  <c r="C787" i="15"/>
  <c r="B787" i="15"/>
  <c r="A787" i="15"/>
  <c r="Y786" i="15"/>
  <c r="X786" i="15"/>
  <c r="W786" i="15"/>
  <c r="V786" i="15"/>
  <c r="U786" i="15"/>
  <c r="T786" i="15"/>
  <c r="S786" i="15"/>
  <c r="R786" i="15"/>
  <c r="Q786" i="15"/>
  <c r="P786" i="15"/>
  <c r="O786" i="15"/>
  <c r="N786" i="15"/>
  <c r="M786" i="15"/>
  <c r="L786" i="15"/>
  <c r="K786" i="15"/>
  <c r="J786" i="15"/>
  <c r="I786" i="15"/>
  <c r="H786" i="15"/>
  <c r="G786" i="15"/>
  <c r="F786" i="15"/>
  <c r="E786" i="15"/>
  <c r="D786" i="15"/>
  <c r="C786" i="15"/>
  <c r="B786" i="15"/>
  <c r="A786" i="15"/>
  <c r="Y785" i="15"/>
  <c r="X785" i="15"/>
  <c r="W785" i="15"/>
  <c r="V785" i="15"/>
  <c r="U785" i="15"/>
  <c r="T785" i="15"/>
  <c r="S785" i="15"/>
  <c r="R785" i="15"/>
  <c r="Q785" i="15"/>
  <c r="P785" i="15"/>
  <c r="O785" i="15"/>
  <c r="N785" i="15"/>
  <c r="M785" i="15"/>
  <c r="L785" i="15"/>
  <c r="K785" i="15"/>
  <c r="J785" i="15"/>
  <c r="I785" i="15"/>
  <c r="H785" i="15"/>
  <c r="G785" i="15"/>
  <c r="F785" i="15"/>
  <c r="E785" i="15"/>
  <c r="D785" i="15"/>
  <c r="C785" i="15"/>
  <c r="B785" i="15"/>
  <c r="A785" i="15"/>
  <c r="Y784" i="15"/>
  <c r="X784" i="15"/>
  <c r="W784" i="15"/>
  <c r="V784" i="15"/>
  <c r="U784" i="15"/>
  <c r="T784" i="15"/>
  <c r="S784" i="15"/>
  <c r="R784" i="15"/>
  <c r="Q784" i="15"/>
  <c r="P784" i="15"/>
  <c r="O784" i="15"/>
  <c r="N784" i="15"/>
  <c r="M784" i="15"/>
  <c r="L784" i="15"/>
  <c r="K784" i="15"/>
  <c r="J784" i="15"/>
  <c r="I784" i="15"/>
  <c r="H784" i="15"/>
  <c r="G784" i="15"/>
  <c r="F784" i="15"/>
  <c r="E784" i="15"/>
  <c r="D784" i="15"/>
  <c r="C784" i="15"/>
  <c r="B784" i="15"/>
  <c r="A784" i="15"/>
  <c r="Y783" i="15"/>
  <c r="X783" i="15"/>
  <c r="W783" i="15"/>
  <c r="V783" i="15"/>
  <c r="U783" i="15"/>
  <c r="T783" i="15"/>
  <c r="S783" i="15"/>
  <c r="R783" i="15"/>
  <c r="Q783" i="15"/>
  <c r="P783" i="15"/>
  <c r="O783" i="15"/>
  <c r="N783" i="15"/>
  <c r="M783" i="15"/>
  <c r="L783" i="15"/>
  <c r="K783" i="15"/>
  <c r="J783" i="15"/>
  <c r="I783" i="15"/>
  <c r="H783" i="15"/>
  <c r="G783" i="15"/>
  <c r="F783" i="15"/>
  <c r="E783" i="15"/>
  <c r="D783" i="15"/>
  <c r="C783" i="15"/>
  <c r="B783" i="15"/>
  <c r="A783" i="15"/>
  <c r="Y782" i="15"/>
  <c r="X782" i="15"/>
  <c r="W782" i="15"/>
  <c r="V782" i="15"/>
  <c r="U782" i="15"/>
  <c r="T782" i="15"/>
  <c r="S782" i="15"/>
  <c r="R782" i="15"/>
  <c r="Q782" i="15"/>
  <c r="P782" i="15"/>
  <c r="O782" i="15"/>
  <c r="N782" i="15"/>
  <c r="M782" i="15"/>
  <c r="L782" i="15"/>
  <c r="K782" i="15"/>
  <c r="J782" i="15"/>
  <c r="I782" i="15"/>
  <c r="H782" i="15"/>
  <c r="G782" i="15"/>
  <c r="F782" i="15"/>
  <c r="E782" i="15"/>
  <c r="D782" i="15"/>
  <c r="C782" i="15"/>
  <c r="B782" i="15"/>
  <c r="A782" i="15"/>
  <c r="Y781" i="15"/>
  <c r="X781" i="15"/>
  <c r="W781" i="15"/>
  <c r="V781" i="15"/>
  <c r="U781" i="15"/>
  <c r="T781" i="15"/>
  <c r="S781" i="15"/>
  <c r="R781" i="15"/>
  <c r="Q781" i="15"/>
  <c r="P781" i="15"/>
  <c r="O781" i="15"/>
  <c r="N781" i="15"/>
  <c r="M781" i="15"/>
  <c r="L781" i="15"/>
  <c r="K781" i="15"/>
  <c r="J781" i="15"/>
  <c r="I781" i="15"/>
  <c r="H781" i="15"/>
  <c r="G781" i="15"/>
  <c r="F781" i="15"/>
  <c r="E781" i="15"/>
  <c r="D781" i="15"/>
  <c r="C781" i="15"/>
  <c r="B781" i="15"/>
  <c r="A781" i="15"/>
  <c r="Y780" i="15"/>
  <c r="X780" i="15"/>
  <c r="W780" i="15"/>
  <c r="V780" i="15"/>
  <c r="U780" i="15"/>
  <c r="T780" i="15"/>
  <c r="S780" i="15"/>
  <c r="R780" i="15"/>
  <c r="Q780" i="15"/>
  <c r="P780" i="15"/>
  <c r="O780" i="15"/>
  <c r="N780" i="15"/>
  <c r="M780" i="15"/>
  <c r="L780" i="15"/>
  <c r="K780" i="15"/>
  <c r="J780" i="15"/>
  <c r="I780" i="15"/>
  <c r="H780" i="15"/>
  <c r="G780" i="15"/>
  <c r="F780" i="15"/>
  <c r="E780" i="15"/>
  <c r="D780" i="15"/>
  <c r="C780" i="15"/>
  <c r="B780" i="15"/>
  <c r="A780" i="15"/>
  <c r="Y779" i="15"/>
  <c r="X779" i="15"/>
  <c r="W779" i="15"/>
  <c r="V779" i="15"/>
  <c r="U779" i="15"/>
  <c r="T779" i="15"/>
  <c r="S779" i="15"/>
  <c r="R779" i="15"/>
  <c r="Q779" i="15"/>
  <c r="P779" i="15"/>
  <c r="O779" i="15"/>
  <c r="N779" i="15"/>
  <c r="M779" i="15"/>
  <c r="L779" i="15"/>
  <c r="K779" i="15"/>
  <c r="J779" i="15"/>
  <c r="I779" i="15"/>
  <c r="H779" i="15"/>
  <c r="G779" i="15"/>
  <c r="F779" i="15"/>
  <c r="E779" i="15"/>
  <c r="D779" i="15"/>
  <c r="C779" i="15"/>
  <c r="B779" i="15"/>
  <c r="A779" i="15"/>
  <c r="Y778" i="15"/>
  <c r="X778" i="15"/>
  <c r="W778" i="15"/>
  <c r="V778" i="15"/>
  <c r="U778" i="15"/>
  <c r="T778" i="15"/>
  <c r="S778" i="15"/>
  <c r="R778" i="15"/>
  <c r="Q778" i="15"/>
  <c r="P778" i="15"/>
  <c r="O778" i="15"/>
  <c r="N778" i="15"/>
  <c r="M778" i="15"/>
  <c r="L778" i="15"/>
  <c r="K778" i="15"/>
  <c r="J778" i="15"/>
  <c r="I778" i="15"/>
  <c r="H778" i="15"/>
  <c r="G778" i="15"/>
  <c r="F778" i="15"/>
  <c r="E778" i="15"/>
  <c r="D778" i="15"/>
  <c r="C778" i="15"/>
  <c r="B778" i="15"/>
  <c r="A778" i="15"/>
  <c r="Y777" i="15"/>
  <c r="X777" i="15"/>
  <c r="W777" i="15"/>
  <c r="V777" i="15"/>
  <c r="U777" i="15"/>
  <c r="T777" i="15"/>
  <c r="S777" i="15"/>
  <c r="R777" i="15"/>
  <c r="Q777" i="15"/>
  <c r="P777" i="15"/>
  <c r="O777" i="15"/>
  <c r="N777" i="15"/>
  <c r="M777" i="15"/>
  <c r="L777" i="15"/>
  <c r="K777" i="15"/>
  <c r="J777" i="15"/>
  <c r="I777" i="15"/>
  <c r="H777" i="15"/>
  <c r="G777" i="15"/>
  <c r="F777" i="15"/>
  <c r="E777" i="15"/>
  <c r="D777" i="15"/>
  <c r="C777" i="15"/>
  <c r="B777" i="15"/>
  <c r="A777" i="15"/>
  <c r="Y776" i="15"/>
  <c r="X776" i="15"/>
  <c r="W776" i="15"/>
  <c r="V776" i="15"/>
  <c r="U776" i="15"/>
  <c r="T776" i="15"/>
  <c r="S776" i="15"/>
  <c r="R776" i="15"/>
  <c r="Q776" i="15"/>
  <c r="P776" i="15"/>
  <c r="O776" i="15"/>
  <c r="N776" i="15"/>
  <c r="M776" i="15"/>
  <c r="L776" i="15"/>
  <c r="K776" i="15"/>
  <c r="J776" i="15"/>
  <c r="I776" i="15"/>
  <c r="H776" i="15"/>
  <c r="G776" i="15"/>
  <c r="F776" i="15"/>
  <c r="E776" i="15"/>
  <c r="D776" i="15"/>
  <c r="C776" i="15"/>
  <c r="B776" i="15"/>
  <c r="A776" i="15"/>
  <c r="Y775" i="15"/>
  <c r="X775" i="15"/>
  <c r="W775" i="15"/>
  <c r="V775" i="15"/>
  <c r="U775" i="15"/>
  <c r="T775" i="15"/>
  <c r="S775" i="15"/>
  <c r="R775" i="15"/>
  <c r="Q775" i="15"/>
  <c r="P775" i="15"/>
  <c r="O775" i="15"/>
  <c r="N775" i="15"/>
  <c r="M775" i="15"/>
  <c r="L775" i="15"/>
  <c r="K775" i="15"/>
  <c r="J775" i="15"/>
  <c r="I775" i="15"/>
  <c r="H775" i="15"/>
  <c r="G775" i="15"/>
  <c r="F775" i="15"/>
  <c r="E775" i="15"/>
  <c r="D775" i="15"/>
  <c r="C775" i="15"/>
  <c r="B775" i="15"/>
  <c r="A775" i="15"/>
  <c r="Y774" i="15"/>
  <c r="X774" i="15"/>
  <c r="W774" i="15"/>
  <c r="V774" i="15"/>
  <c r="U774" i="15"/>
  <c r="T774" i="15"/>
  <c r="S774" i="15"/>
  <c r="R774" i="15"/>
  <c r="Q774" i="15"/>
  <c r="P774" i="15"/>
  <c r="O774" i="15"/>
  <c r="N774" i="15"/>
  <c r="M774" i="15"/>
  <c r="L774" i="15"/>
  <c r="K774" i="15"/>
  <c r="J774" i="15"/>
  <c r="I774" i="15"/>
  <c r="H774" i="15"/>
  <c r="G774" i="15"/>
  <c r="F774" i="15"/>
  <c r="E774" i="15"/>
  <c r="D774" i="15"/>
  <c r="C774" i="15"/>
  <c r="B774" i="15"/>
  <c r="A774" i="15"/>
  <c r="Y773" i="15"/>
  <c r="X773" i="15"/>
  <c r="W773" i="15"/>
  <c r="V773" i="15"/>
  <c r="U773" i="15"/>
  <c r="T773" i="15"/>
  <c r="S773" i="15"/>
  <c r="R773" i="15"/>
  <c r="Q773" i="15"/>
  <c r="P773" i="15"/>
  <c r="O773" i="15"/>
  <c r="N773" i="15"/>
  <c r="M773" i="15"/>
  <c r="L773" i="15"/>
  <c r="K773" i="15"/>
  <c r="J773" i="15"/>
  <c r="I773" i="15"/>
  <c r="H773" i="15"/>
  <c r="G773" i="15"/>
  <c r="F773" i="15"/>
  <c r="E773" i="15"/>
  <c r="D773" i="15"/>
  <c r="C773" i="15"/>
  <c r="B773" i="15"/>
  <c r="A773" i="15"/>
  <c r="Y772" i="15"/>
  <c r="X772" i="15"/>
  <c r="W772" i="15"/>
  <c r="V772" i="15"/>
  <c r="U772" i="15"/>
  <c r="T772" i="15"/>
  <c r="S772" i="15"/>
  <c r="R772" i="15"/>
  <c r="Q772" i="15"/>
  <c r="P772" i="15"/>
  <c r="O772" i="15"/>
  <c r="N772" i="15"/>
  <c r="M772" i="15"/>
  <c r="L772" i="15"/>
  <c r="K772" i="15"/>
  <c r="J772" i="15"/>
  <c r="I772" i="15"/>
  <c r="H772" i="15"/>
  <c r="G772" i="15"/>
  <c r="F772" i="15"/>
  <c r="E772" i="15"/>
  <c r="D772" i="15"/>
  <c r="C772" i="15"/>
  <c r="B772" i="15"/>
  <c r="A772" i="15"/>
  <c r="Y771" i="15"/>
  <c r="X771" i="15"/>
  <c r="W771" i="15"/>
  <c r="V771" i="15"/>
  <c r="U771" i="15"/>
  <c r="T771" i="15"/>
  <c r="S771" i="15"/>
  <c r="R771" i="15"/>
  <c r="Q771" i="15"/>
  <c r="P771" i="15"/>
  <c r="O771" i="15"/>
  <c r="N771" i="15"/>
  <c r="M771" i="15"/>
  <c r="L771" i="15"/>
  <c r="K771" i="15"/>
  <c r="J771" i="15"/>
  <c r="I771" i="15"/>
  <c r="H771" i="15"/>
  <c r="G771" i="15"/>
  <c r="F771" i="15"/>
  <c r="E771" i="15"/>
  <c r="D771" i="15"/>
  <c r="C771" i="15"/>
  <c r="B771" i="15"/>
  <c r="A771" i="15"/>
  <c r="Y770" i="15"/>
  <c r="X770" i="15"/>
  <c r="W770" i="15"/>
  <c r="V770" i="15"/>
  <c r="U770" i="15"/>
  <c r="T770" i="15"/>
  <c r="S770" i="15"/>
  <c r="R770" i="15"/>
  <c r="Q770" i="15"/>
  <c r="P770" i="15"/>
  <c r="O770" i="15"/>
  <c r="N770" i="15"/>
  <c r="M770" i="15"/>
  <c r="L770" i="15"/>
  <c r="K770" i="15"/>
  <c r="J770" i="15"/>
  <c r="I770" i="15"/>
  <c r="H770" i="15"/>
  <c r="G770" i="15"/>
  <c r="F770" i="15"/>
  <c r="E770" i="15"/>
  <c r="D770" i="15"/>
  <c r="C770" i="15"/>
  <c r="B770" i="15"/>
  <c r="A770" i="15"/>
  <c r="Y769" i="15"/>
  <c r="X769" i="15"/>
  <c r="W769" i="15"/>
  <c r="V769" i="15"/>
  <c r="U769" i="15"/>
  <c r="T769" i="15"/>
  <c r="S769" i="15"/>
  <c r="R769" i="15"/>
  <c r="Q769" i="15"/>
  <c r="P769" i="15"/>
  <c r="O769" i="15"/>
  <c r="N769" i="15"/>
  <c r="M769" i="15"/>
  <c r="L769" i="15"/>
  <c r="K769" i="15"/>
  <c r="J769" i="15"/>
  <c r="I769" i="15"/>
  <c r="H769" i="15"/>
  <c r="G769" i="15"/>
  <c r="F769" i="15"/>
  <c r="E769" i="15"/>
  <c r="D769" i="15"/>
  <c r="C769" i="15"/>
  <c r="B769" i="15"/>
  <c r="A769" i="15"/>
  <c r="Y768" i="15"/>
  <c r="X768" i="15"/>
  <c r="W768" i="15"/>
  <c r="V768" i="15"/>
  <c r="U768" i="15"/>
  <c r="T768" i="15"/>
  <c r="S768" i="15"/>
  <c r="R768" i="15"/>
  <c r="Q768" i="15"/>
  <c r="P768" i="15"/>
  <c r="O768" i="15"/>
  <c r="N768" i="15"/>
  <c r="M768" i="15"/>
  <c r="L768" i="15"/>
  <c r="K768" i="15"/>
  <c r="J768" i="15"/>
  <c r="I768" i="15"/>
  <c r="H768" i="15"/>
  <c r="G768" i="15"/>
  <c r="F768" i="15"/>
  <c r="E768" i="15"/>
  <c r="D768" i="15"/>
  <c r="C768" i="15"/>
  <c r="B768" i="15"/>
  <c r="A768" i="15"/>
  <c r="Y767" i="15"/>
  <c r="X767" i="15"/>
  <c r="W767" i="15"/>
  <c r="V767" i="15"/>
  <c r="U767" i="15"/>
  <c r="T767" i="15"/>
  <c r="S767" i="15"/>
  <c r="R767" i="15"/>
  <c r="Q767" i="15"/>
  <c r="P767" i="15"/>
  <c r="O767" i="15"/>
  <c r="N767" i="15"/>
  <c r="M767" i="15"/>
  <c r="L767" i="15"/>
  <c r="K767" i="15"/>
  <c r="J767" i="15"/>
  <c r="I767" i="15"/>
  <c r="H767" i="15"/>
  <c r="G767" i="15"/>
  <c r="F767" i="15"/>
  <c r="E767" i="15"/>
  <c r="D767" i="15"/>
  <c r="C767" i="15"/>
  <c r="B767" i="15"/>
  <c r="A767" i="15"/>
  <c r="Y766" i="15"/>
  <c r="X766" i="15"/>
  <c r="W766" i="15"/>
  <c r="V766" i="15"/>
  <c r="U766" i="15"/>
  <c r="T766" i="15"/>
  <c r="S766" i="15"/>
  <c r="R766" i="15"/>
  <c r="Q766" i="15"/>
  <c r="P766" i="15"/>
  <c r="O766" i="15"/>
  <c r="N766" i="15"/>
  <c r="M766" i="15"/>
  <c r="L766" i="15"/>
  <c r="K766" i="15"/>
  <c r="J766" i="15"/>
  <c r="I766" i="15"/>
  <c r="H766" i="15"/>
  <c r="G766" i="15"/>
  <c r="F766" i="15"/>
  <c r="E766" i="15"/>
  <c r="D766" i="15"/>
  <c r="C766" i="15"/>
  <c r="B766" i="15"/>
  <c r="A766" i="15"/>
  <c r="Y765" i="15"/>
  <c r="X765" i="15"/>
  <c r="W765" i="15"/>
  <c r="V765" i="15"/>
  <c r="U765" i="15"/>
  <c r="T765" i="15"/>
  <c r="S765" i="15"/>
  <c r="R765" i="15"/>
  <c r="Q765" i="15"/>
  <c r="P765" i="15"/>
  <c r="O765" i="15"/>
  <c r="N765" i="15"/>
  <c r="M765" i="15"/>
  <c r="L765" i="15"/>
  <c r="K765" i="15"/>
  <c r="J765" i="15"/>
  <c r="I765" i="15"/>
  <c r="H765" i="15"/>
  <c r="G765" i="15"/>
  <c r="F765" i="15"/>
  <c r="E765" i="15"/>
  <c r="D765" i="15"/>
  <c r="C765" i="15"/>
  <c r="B765" i="15"/>
  <c r="A765" i="15"/>
  <c r="Y764" i="15"/>
  <c r="X764" i="15"/>
  <c r="W764" i="15"/>
  <c r="V764" i="15"/>
  <c r="U764" i="15"/>
  <c r="T764" i="15"/>
  <c r="S764" i="15"/>
  <c r="R764" i="15"/>
  <c r="Q764" i="15"/>
  <c r="P764" i="15"/>
  <c r="O764" i="15"/>
  <c r="N764" i="15"/>
  <c r="M764" i="15"/>
  <c r="L764" i="15"/>
  <c r="K764" i="15"/>
  <c r="J764" i="15"/>
  <c r="I764" i="15"/>
  <c r="H764" i="15"/>
  <c r="G764" i="15"/>
  <c r="F764" i="15"/>
  <c r="E764" i="15"/>
  <c r="D764" i="15"/>
  <c r="C764" i="15"/>
  <c r="B764" i="15"/>
  <c r="A764" i="15"/>
  <c r="Y763" i="15"/>
  <c r="X763" i="15"/>
  <c r="W763" i="15"/>
  <c r="V763" i="15"/>
  <c r="U763" i="15"/>
  <c r="T763" i="15"/>
  <c r="S763" i="15"/>
  <c r="R763" i="15"/>
  <c r="Q763" i="15"/>
  <c r="P763" i="15"/>
  <c r="O763" i="15"/>
  <c r="N763" i="15"/>
  <c r="M763" i="15"/>
  <c r="L763" i="15"/>
  <c r="K763" i="15"/>
  <c r="J763" i="15"/>
  <c r="I763" i="15"/>
  <c r="H763" i="15"/>
  <c r="G763" i="15"/>
  <c r="F763" i="15"/>
  <c r="E763" i="15"/>
  <c r="D763" i="15"/>
  <c r="C763" i="15"/>
  <c r="B763" i="15"/>
  <c r="A763" i="15"/>
  <c r="Y762" i="15"/>
  <c r="X762" i="15"/>
  <c r="W762" i="15"/>
  <c r="V762" i="15"/>
  <c r="U762" i="15"/>
  <c r="T762" i="15"/>
  <c r="S762" i="15"/>
  <c r="R762" i="15"/>
  <c r="Q762" i="15"/>
  <c r="P762" i="15"/>
  <c r="O762" i="15"/>
  <c r="N762" i="15"/>
  <c r="M762" i="15"/>
  <c r="L762" i="15"/>
  <c r="K762" i="15"/>
  <c r="J762" i="15"/>
  <c r="I762" i="15"/>
  <c r="H762" i="15"/>
  <c r="G762" i="15"/>
  <c r="F762" i="15"/>
  <c r="E762" i="15"/>
  <c r="D762" i="15"/>
  <c r="C762" i="15"/>
  <c r="B762" i="15"/>
  <c r="A762" i="15"/>
  <c r="Y761" i="15"/>
  <c r="X761" i="15"/>
  <c r="W761" i="15"/>
  <c r="V761" i="15"/>
  <c r="U761" i="15"/>
  <c r="T761" i="15"/>
  <c r="S761" i="15"/>
  <c r="R761" i="15"/>
  <c r="Q761" i="15"/>
  <c r="P761" i="15"/>
  <c r="O761" i="15"/>
  <c r="N761" i="15"/>
  <c r="M761" i="15"/>
  <c r="L761" i="15"/>
  <c r="K761" i="15"/>
  <c r="J761" i="15"/>
  <c r="I761" i="15"/>
  <c r="H761" i="15"/>
  <c r="G761" i="15"/>
  <c r="F761" i="15"/>
  <c r="E761" i="15"/>
  <c r="D761" i="15"/>
  <c r="C761" i="15"/>
  <c r="B761" i="15"/>
  <c r="A761" i="15"/>
  <c r="Y760" i="15"/>
  <c r="X760" i="15"/>
  <c r="W760" i="15"/>
  <c r="V760" i="15"/>
  <c r="U760" i="15"/>
  <c r="T760" i="15"/>
  <c r="S760" i="15"/>
  <c r="R760" i="15"/>
  <c r="Q760" i="15"/>
  <c r="P760" i="15"/>
  <c r="O760" i="15"/>
  <c r="N760" i="15"/>
  <c r="M760" i="15"/>
  <c r="L760" i="15"/>
  <c r="K760" i="15"/>
  <c r="J760" i="15"/>
  <c r="I760" i="15"/>
  <c r="H760" i="15"/>
  <c r="G760" i="15"/>
  <c r="F760" i="15"/>
  <c r="E760" i="15"/>
  <c r="D760" i="15"/>
  <c r="C760" i="15"/>
  <c r="B760" i="15"/>
  <c r="A760" i="15"/>
  <c r="Y759" i="15"/>
  <c r="X759" i="15"/>
  <c r="W759" i="15"/>
  <c r="V759" i="15"/>
  <c r="U759" i="15"/>
  <c r="T759" i="15"/>
  <c r="S759" i="15"/>
  <c r="R759" i="15"/>
  <c r="Q759" i="15"/>
  <c r="P759" i="15"/>
  <c r="O759" i="15"/>
  <c r="N759" i="15"/>
  <c r="M759" i="15"/>
  <c r="L759" i="15"/>
  <c r="K759" i="15"/>
  <c r="J759" i="15"/>
  <c r="I759" i="15"/>
  <c r="H759" i="15"/>
  <c r="G759" i="15"/>
  <c r="F759" i="15"/>
  <c r="E759" i="15"/>
  <c r="D759" i="15"/>
  <c r="C759" i="15"/>
  <c r="B759" i="15"/>
  <c r="A759" i="15"/>
  <c r="Y758" i="15"/>
  <c r="X758" i="15"/>
  <c r="W758" i="15"/>
  <c r="V758" i="15"/>
  <c r="U758" i="15"/>
  <c r="T758" i="15"/>
  <c r="S758" i="15"/>
  <c r="R758" i="15"/>
  <c r="Q758" i="15"/>
  <c r="P758" i="15"/>
  <c r="O758" i="15"/>
  <c r="N758" i="15"/>
  <c r="M758" i="15"/>
  <c r="L758" i="15"/>
  <c r="K758" i="15"/>
  <c r="J758" i="15"/>
  <c r="I758" i="15"/>
  <c r="H758" i="15"/>
  <c r="G758" i="15"/>
  <c r="F758" i="15"/>
  <c r="E758" i="15"/>
  <c r="D758" i="15"/>
  <c r="C758" i="15"/>
  <c r="B758" i="15"/>
  <c r="A758" i="15"/>
  <c r="Y757" i="15"/>
  <c r="X757" i="15"/>
  <c r="W757" i="15"/>
  <c r="V757" i="15"/>
  <c r="U757" i="15"/>
  <c r="T757" i="15"/>
  <c r="S757" i="15"/>
  <c r="R757" i="15"/>
  <c r="Q757" i="15"/>
  <c r="P757" i="15"/>
  <c r="O757" i="15"/>
  <c r="N757" i="15"/>
  <c r="M757" i="15"/>
  <c r="L757" i="15"/>
  <c r="K757" i="15"/>
  <c r="J757" i="15"/>
  <c r="I757" i="15"/>
  <c r="H757" i="15"/>
  <c r="G757" i="15"/>
  <c r="F757" i="15"/>
  <c r="E757" i="15"/>
  <c r="D757" i="15"/>
  <c r="C757" i="15"/>
  <c r="B757" i="15"/>
  <c r="A757" i="15"/>
  <c r="Y756" i="15"/>
  <c r="X756" i="15"/>
  <c r="W756" i="15"/>
  <c r="V756" i="15"/>
  <c r="U756" i="15"/>
  <c r="T756" i="15"/>
  <c r="S756" i="15"/>
  <c r="R756" i="15"/>
  <c r="Q756" i="15"/>
  <c r="P756" i="15"/>
  <c r="O756" i="15"/>
  <c r="N756" i="15"/>
  <c r="M756" i="15"/>
  <c r="L756" i="15"/>
  <c r="K756" i="15"/>
  <c r="J756" i="15"/>
  <c r="I756" i="15"/>
  <c r="H756" i="15"/>
  <c r="G756" i="15"/>
  <c r="F756" i="15"/>
  <c r="E756" i="15"/>
  <c r="D756" i="15"/>
  <c r="C756" i="15"/>
  <c r="B756" i="15"/>
  <c r="A756" i="15"/>
  <c r="Y755" i="15"/>
  <c r="X755" i="15"/>
  <c r="W755" i="15"/>
  <c r="V755" i="15"/>
  <c r="U755" i="15"/>
  <c r="T755" i="15"/>
  <c r="S755" i="15"/>
  <c r="R755" i="15"/>
  <c r="Q755" i="15"/>
  <c r="P755" i="15"/>
  <c r="O755" i="15"/>
  <c r="N755" i="15"/>
  <c r="M755" i="15"/>
  <c r="L755" i="15"/>
  <c r="K755" i="15"/>
  <c r="J755" i="15"/>
  <c r="I755" i="15"/>
  <c r="H755" i="15"/>
  <c r="G755" i="15"/>
  <c r="F755" i="15"/>
  <c r="E755" i="15"/>
  <c r="D755" i="15"/>
  <c r="C755" i="15"/>
  <c r="B755" i="15"/>
  <c r="A755" i="15"/>
  <c r="Y754" i="15"/>
  <c r="X754" i="15"/>
  <c r="W754" i="15"/>
  <c r="V754" i="15"/>
  <c r="U754" i="15"/>
  <c r="T754" i="15"/>
  <c r="S754" i="15"/>
  <c r="R754" i="15"/>
  <c r="Q754" i="15"/>
  <c r="P754" i="15"/>
  <c r="O754" i="15"/>
  <c r="N754" i="15"/>
  <c r="M754" i="15"/>
  <c r="L754" i="15"/>
  <c r="K754" i="15"/>
  <c r="J754" i="15"/>
  <c r="I754" i="15"/>
  <c r="H754" i="15"/>
  <c r="G754" i="15"/>
  <c r="F754" i="15"/>
  <c r="E754" i="15"/>
  <c r="D754" i="15"/>
  <c r="C754" i="15"/>
  <c r="B754" i="15"/>
  <c r="A754" i="15"/>
  <c r="Y753" i="15"/>
  <c r="X753" i="15"/>
  <c r="W753" i="15"/>
  <c r="V753" i="15"/>
  <c r="U753" i="15"/>
  <c r="T753" i="15"/>
  <c r="S753" i="15"/>
  <c r="R753" i="15"/>
  <c r="Q753" i="15"/>
  <c r="P753" i="15"/>
  <c r="O753" i="15"/>
  <c r="N753" i="15"/>
  <c r="M753" i="15"/>
  <c r="L753" i="15"/>
  <c r="K753" i="15"/>
  <c r="J753" i="15"/>
  <c r="I753" i="15"/>
  <c r="H753" i="15"/>
  <c r="G753" i="15"/>
  <c r="F753" i="15"/>
  <c r="E753" i="15"/>
  <c r="D753" i="15"/>
  <c r="C753" i="15"/>
  <c r="B753" i="15"/>
  <c r="A753" i="15"/>
  <c r="Y752" i="15"/>
  <c r="X752" i="15"/>
  <c r="W752" i="15"/>
  <c r="V752" i="15"/>
  <c r="U752" i="15"/>
  <c r="T752" i="15"/>
  <c r="S752" i="15"/>
  <c r="R752" i="15"/>
  <c r="Q752" i="15"/>
  <c r="P752" i="15"/>
  <c r="O752" i="15"/>
  <c r="N752" i="15"/>
  <c r="M752" i="15"/>
  <c r="L752" i="15"/>
  <c r="K752" i="15"/>
  <c r="J752" i="15"/>
  <c r="I752" i="15"/>
  <c r="H752" i="15"/>
  <c r="G752" i="15"/>
  <c r="F752" i="15"/>
  <c r="E752" i="15"/>
  <c r="D752" i="15"/>
  <c r="C752" i="15"/>
  <c r="B752" i="15"/>
  <c r="A752" i="15"/>
  <c r="Y751" i="15"/>
  <c r="X751" i="15"/>
  <c r="W751" i="15"/>
  <c r="V751" i="15"/>
  <c r="U751" i="15"/>
  <c r="T751" i="15"/>
  <c r="S751" i="15"/>
  <c r="R751" i="15"/>
  <c r="Q751" i="15"/>
  <c r="P751" i="15"/>
  <c r="O751" i="15"/>
  <c r="N751" i="15"/>
  <c r="M751" i="15"/>
  <c r="L751" i="15"/>
  <c r="K751" i="15"/>
  <c r="J751" i="15"/>
  <c r="I751" i="15"/>
  <c r="H751" i="15"/>
  <c r="G751" i="15"/>
  <c r="F751" i="15"/>
  <c r="E751" i="15"/>
  <c r="D751" i="15"/>
  <c r="C751" i="15"/>
  <c r="B751" i="15"/>
  <c r="A751" i="15"/>
  <c r="Y750" i="15"/>
  <c r="X750" i="15"/>
  <c r="W750" i="15"/>
  <c r="V750" i="15"/>
  <c r="U750" i="15"/>
  <c r="T750" i="15"/>
  <c r="S750" i="15"/>
  <c r="R750" i="15"/>
  <c r="Q750" i="15"/>
  <c r="P750" i="15"/>
  <c r="O750" i="15"/>
  <c r="N750" i="15"/>
  <c r="M750" i="15"/>
  <c r="L750" i="15"/>
  <c r="K750" i="15"/>
  <c r="J750" i="15"/>
  <c r="I750" i="15"/>
  <c r="H750" i="15"/>
  <c r="G750" i="15"/>
  <c r="F750" i="15"/>
  <c r="E750" i="15"/>
  <c r="D750" i="15"/>
  <c r="C750" i="15"/>
  <c r="B750" i="15"/>
  <c r="A750" i="15"/>
  <c r="Y749" i="15"/>
  <c r="X749" i="15"/>
  <c r="W749" i="15"/>
  <c r="V749" i="15"/>
  <c r="U749" i="15"/>
  <c r="T749" i="15"/>
  <c r="S749" i="15"/>
  <c r="R749" i="15"/>
  <c r="Q749" i="15"/>
  <c r="P749" i="15"/>
  <c r="O749" i="15"/>
  <c r="N749" i="15"/>
  <c r="M749" i="15"/>
  <c r="L749" i="15"/>
  <c r="K749" i="15"/>
  <c r="J749" i="15"/>
  <c r="I749" i="15"/>
  <c r="H749" i="15"/>
  <c r="G749" i="15"/>
  <c r="F749" i="15"/>
  <c r="E749" i="15"/>
  <c r="D749" i="15"/>
  <c r="C749" i="15"/>
  <c r="B749" i="15"/>
  <c r="A749" i="15"/>
  <c r="Y748" i="15"/>
  <c r="X748" i="15"/>
  <c r="W748" i="15"/>
  <c r="V748" i="15"/>
  <c r="U748" i="15"/>
  <c r="T748" i="15"/>
  <c r="S748" i="15"/>
  <c r="R748" i="15"/>
  <c r="Q748" i="15"/>
  <c r="P748" i="15"/>
  <c r="O748" i="15"/>
  <c r="N748" i="15"/>
  <c r="M748" i="15"/>
  <c r="L748" i="15"/>
  <c r="K748" i="15"/>
  <c r="J748" i="15"/>
  <c r="I748" i="15"/>
  <c r="H748" i="15"/>
  <c r="G748" i="15"/>
  <c r="F748" i="15"/>
  <c r="E748" i="15"/>
  <c r="D748" i="15"/>
  <c r="C748" i="15"/>
  <c r="B748" i="15"/>
  <c r="A748" i="15"/>
  <c r="Y747" i="15"/>
  <c r="X747" i="15"/>
  <c r="W747" i="15"/>
  <c r="V747" i="15"/>
  <c r="U747" i="15"/>
  <c r="T747" i="15"/>
  <c r="S747" i="15"/>
  <c r="R747" i="15"/>
  <c r="Q747" i="15"/>
  <c r="P747" i="15"/>
  <c r="O747" i="15"/>
  <c r="N747" i="15"/>
  <c r="M747" i="15"/>
  <c r="L747" i="15"/>
  <c r="K747" i="15"/>
  <c r="J747" i="15"/>
  <c r="I747" i="15"/>
  <c r="H747" i="15"/>
  <c r="G747" i="15"/>
  <c r="F747" i="15"/>
  <c r="E747" i="15"/>
  <c r="D747" i="15"/>
  <c r="C747" i="15"/>
  <c r="B747" i="15"/>
  <c r="A747" i="15"/>
  <c r="Y746" i="15"/>
  <c r="X746" i="15"/>
  <c r="W746" i="15"/>
  <c r="V746" i="15"/>
  <c r="U746" i="15"/>
  <c r="T746" i="15"/>
  <c r="S746" i="15"/>
  <c r="R746" i="15"/>
  <c r="Q746" i="15"/>
  <c r="P746" i="15"/>
  <c r="O746" i="15"/>
  <c r="N746" i="15"/>
  <c r="M746" i="15"/>
  <c r="L746" i="15"/>
  <c r="K746" i="15"/>
  <c r="J746" i="15"/>
  <c r="I746" i="15"/>
  <c r="H746" i="15"/>
  <c r="G746" i="15"/>
  <c r="F746" i="15"/>
  <c r="E746" i="15"/>
  <c r="D746" i="15"/>
  <c r="C746" i="15"/>
  <c r="B746" i="15"/>
  <c r="A746" i="15"/>
  <c r="Y745" i="15"/>
  <c r="X745" i="15"/>
  <c r="W745" i="15"/>
  <c r="V745" i="15"/>
  <c r="U745" i="15"/>
  <c r="T745" i="15"/>
  <c r="S745" i="15"/>
  <c r="R745" i="15"/>
  <c r="Q745" i="15"/>
  <c r="P745" i="15"/>
  <c r="O745" i="15"/>
  <c r="N745" i="15"/>
  <c r="M745" i="15"/>
  <c r="L745" i="15"/>
  <c r="K745" i="15"/>
  <c r="J745" i="15"/>
  <c r="I745" i="15"/>
  <c r="H745" i="15"/>
  <c r="G745" i="15"/>
  <c r="F745" i="15"/>
  <c r="E745" i="15"/>
  <c r="D745" i="15"/>
  <c r="C745" i="15"/>
  <c r="B745" i="15"/>
  <c r="A745" i="15"/>
  <c r="Y744" i="15"/>
  <c r="X744" i="15"/>
  <c r="W744" i="15"/>
  <c r="V744" i="15"/>
  <c r="U744" i="15"/>
  <c r="T744" i="15"/>
  <c r="S744" i="15"/>
  <c r="R744" i="15"/>
  <c r="Q744" i="15"/>
  <c r="P744" i="15"/>
  <c r="O744" i="15"/>
  <c r="N744" i="15"/>
  <c r="M744" i="15"/>
  <c r="L744" i="15"/>
  <c r="K744" i="15"/>
  <c r="J744" i="15"/>
  <c r="I744" i="15"/>
  <c r="H744" i="15"/>
  <c r="G744" i="15"/>
  <c r="F744" i="15"/>
  <c r="E744" i="15"/>
  <c r="D744" i="15"/>
  <c r="C744" i="15"/>
  <c r="B744" i="15"/>
  <c r="A744" i="15"/>
  <c r="Y743" i="15"/>
  <c r="X743" i="15"/>
  <c r="W743" i="15"/>
  <c r="V743" i="15"/>
  <c r="U743" i="15"/>
  <c r="T743" i="15"/>
  <c r="S743" i="15"/>
  <c r="R743" i="15"/>
  <c r="Q743" i="15"/>
  <c r="P743" i="15"/>
  <c r="O743" i="15"/>
  <c r="N743" i="15"/>
  <c r="M743" i="15"/>
  <c r="L743" i="15"/>
  <c r="K743" i="15"/>
  <c r="J743" i="15"/>
  <c r="I743" i="15"/>
  <c r="H743" i="15"/>
  <c r="G743" i="15"/>
  <c r="F743" i="15"/>
  <c r="E743" i="15"/>
  <c r="D743" i="15"/>
  <c r="C743" i="15"/>
  <c r="B743" i="15"/>
  <c r="A743" i="15"/>
  <c r="Y742" i="15"/>
  <c r="X742" i="15"/>
  <c r="W742" i="15"/>
  <c r="V742" i="15"/>
  <c r="U742" i="15"/>
  <c r="T742" i="15"/>
  <c r="S742" i="15"/>
  <c r="R742" i="15"/>
  <c r="Q742" i="15"/>
  <c r="P742" i="15"/>
  <c r="O742" i="15"/>
  <c r="N742" i="15"/>
  <c r="M742" i="15"/>
  <c r="L742" i="15"/>
  <c r="K742" i="15"/>
  <c r="J742" i="15"/>
  <c r="I742" i="15"/>
  <c r="H742" i="15"/>
  <c r="G742" i="15"/>
  <c r="F742" i="15"/>
  <c r="E742" i="15"/>
  <c r="D742" i="15"/>
  <c r="C742" i="15"/>
  <c r="B742" i="15"/>
  <c r="A742" i="15"/>
  <c r="Y741" i="15"/>
  <c r="X741" i="15"/>
  <c r="W741" i="15"/>
  <c r="V741" i="15"/>
  <c r="U741" i="15"/>
  <c r="T741" i="15"/>
  <c r="S741" i="15"/>
  <c r="R741" i="15"/>
  <c r="Q741" i="15"/>
  <c r="P741" i="15"/>
  <c r="O741" i="15"/>
  <c r="N741" i="15"/>
  <c r="M741" i="15"/>
  <c r="L741" i="15"/>
  <c r="K741" i="15"/>
  <c r="J741" i="15"/>
  <c r="I741" i="15"/>
  <c r="H741" i="15"/>
  <c r="G741" i="15"/>
  <c r="F741" i="15"/>
  <c r="E741" i="15"/>
  <c r="D741" i="15"/>
  <c r="C741" i="15"/>
  <c r="B741" i="15"/>
  <c r="A741" i="15"/>
  <c r="Y740" i="15"/>
  <c r="X740" i="15"/>
  <c r="W740" i="15"/>
  <c r="V740" i="15"/>
  <c r="U740" i="15"/>
  <c r="T740" i="15"/>
  <c r="S740" i="15"/>
  <c r="R740" i="15"/>
  <c r="Q740" i="15"/>
  <c r="P740" i="15"/>
  <c r="O740" i="15"/>
  <c r="N740" i="15"/>
  <c r="M740" i="15"/>
  <c r="L740" i="15"/>
  <c r="K740" i="15"/>
  <c r="J740" i="15"/>
  <c r="I740" i="15"/>
  <c r="H740" i="15"/>
  <c r="G740" i="15"/>
  <c r="F740" i="15"/>
  <c r="E740" i="15"/>
  <c r="D740" i="15"/>
  <c r="C740" i="15"/>
  <c r="B740" i="15"/>
  <c r="A740" i="15"/>
  <c r="Y739" i="15"/>
  <c r="X739" i="15"/>
  <c r="W739" i="15"/>
  <c r="V739" i="15"/>
  <c r="U739" i="15"/>
  <c r="T739" i="15"/>
  <c r="S739" i="15"/>
  <c r="R739" i="15"/>
  <c r="Q739" i="15"/>
  <c r="P739" i="15"/>
  <c r="O739" i="15"/>
  <c r="N739" i="15"/>
  <c r="M739" i="15"/>
  <c r="L739" i="15"/>
  <c r="K739" i="15"/>
  <c r="J739" i="15"/>
  <c r="I739" i="15"/>
  <c r="H739" i="15"/>
  <c r="G739" i="15"/>
  <c r="F739" i="15"/>
  <c r="E739" i="15"/>
  <c r="D739" i="15"/>
  <c r="C739" i="15"/>
  <c r="B739" i="15"/>
  <c r="A739" i="15"/>
  <c r="Y738" i="15"/>
  <c r="X738" i="15"/>
  <c r="W738" i="15"/>
  <c r="V738" i="15"/>
  <c r="U738" i="15"/>
  <c r="T738" i="15"/>
  <c r="S738" i="15"/>
  <c r="R738" i="15"/>
  <c r="Q738" i="15"/>
  <c r="P738" i="15"/>
  <c r="O738" i="15"/>
  <c r="N738" i="15"/>
  <c r="M738" i="15"/>
  <c r="L738" i="15"/>
  <c r="K738" i="15"/>
  <c r="J738" i="15"/>
  <c r="I738" i="15"/>
  <c r="H738" i="15"/>
  <c r="G738" i="15"/>
  <c r="F738" i="15"/>
  <c r="E738" i="15"/>
  <c r="D738" i="15"/>
  <c r="C738" i="15"/>
  <c r="B738" i="15"/>
  <c r="A738" i="15"/>
  <c r="Y737" i="15"/>
  <c r="X737" i="15"/>
  <c r="W737" i="15"/>
  <c r="V737" i="15"/>
  <c r="U737" i="15"/>
  <c r="T737" i="15"/>
  <c r="S737" i="15"/>
  <c r="R737" i="15"/>
  <c r="Q737" i="15"/>
  <c r="P737" i="15"/>
  <c r="O737" i="15"/>
  <c r="N737" i="15"/>
  <c r="M737" i="15"/>
  <c r="L737" i="15"/>
  <c r="K737" i="15"/>
  <c r="J737" i="15"/>
  <c r="I737" i="15"/>
  <c r="H737" i="15"/>
  <c r="G737" i="15"/>
  <c r="F737" i="15"/>
  <c r="E737" i="15"/>
  <c r="D737" i="15"/>
  <c r="C737" i="15"/>
  <c r="B737" i="15"/>
  <c r="A737" i="15"/>
  <c r="Y736" i="15"/>
  <c r="X736" i="15"/>
  <c r="W736" i="15"/>
  <c r="V736" i="15"/>
  <c r="U736" i="15"/>
  <c r="T736" i="15"/>
  <c r="S736" i="15"/>
  <c r="R736" i="15"/>
  <c r="Q736" i="15"/>
  <c r="P736" i="15"/>
  <c r="O736" i="15"/>
  <c r="N736" i="15"/>
  <c r="M736" i="15"/>
  <c r="L736" i="15"/>
  <c r="K736" i="15"/>
  <c r="J736" i="15"/>
  <c r="I736" i="15"/>
  <c r="H736" i="15"/>
  <c r="G736" i="15"/>
  <c r="F736" i="15"/>
  <c r="E736" i="15"/>
  <c r="D736" i="15"/>
  <c r="C736" i="15"/>
  <c r="B736" i="15"/>
  <c r="A736" i="15"/>
  <c r="Y735" i="15"/>
  <c r="X735" i="15"/>
  <c r="W735" i="15"/>
  <c r="V735" i="15"/>
  <c r="U735" i="15"/>
  <c r="T735" i="15"/>
  <c r="S735" i="15"/>
  <c r="R735" i="15"/>
  <c r="Q735" i="15"/>
  <c r="P735" i="15"/>
  <c r="O735" i="15"/>
  <c r="N735" i="15"/>
  <c r="M735" i="15"/>
  <c r="L735" i="15"/>
  <c r="K735" i="15"/>
  <c r="J735" i="15"/>
  <c r="I735" i="15"/>
  <c r="H735" i="15"/>
  <c r="G735" i="15"/>
  <c r="F735" i="15"/>
  <c r="E735" i="15"/>
  <c r="D735" i="15"/>
  <c r="C735" i="15"/>
  <c r="B735" i="15"/>
  <c r="A735" i="15"/>
  <c r="Y734" i="15"/>
  <c r="X734" i="15"/>
  <c r="W734" i="15"/>
  <c r="V734" i="15"/>
  <c r="U734" i="15"/>
  <c r="T734" i="15"/>
  <c r="S734" i="15"/>
  <c r="R734" i="15"/>
  <c r="Q734" i="15"/>
  <c r="P734" i="15"/>
  <c r="O734" i="15"/>
  <c r="N734" i="15"/>
  <c r="M734" i="15"/>
  <c r="L734" i="15"/>
  <c r="K734" i="15"/>
  <c r="J734" i="15"/>
  <c r="I734" i="15"/>
  <c r="H734" i="15"/>
  <c r="G734" i="15"/>
  <c r="F734" i="15"/>
  <c r="E734" i="15"/>
  <c r="D734" i="15"/>
  <c r="C734" i="15"/>
  <c r="B734" i="15"/>
  <c r="A734" i="15"/>
  <c r="Y733" i="15"/>
  <c r="X733" i="15"/>
  <c r="W733" i="15"/>
  <c r="V733" i="15"/>
  <c r="U733" i="15"/>
  <c r="T733" i="15"/>
  <c r="S733" i="15"/>
  <c r="R733" i="15"/>
  <c r="Q733" i="15"/>
  <c r="P733" i="15"/>
  <c r="O733" i="15"/>
  <c r="N733" i="15"/>
  <c r="M733" i="15"/>
  <c r="L733" i="15"/>
  <c r="K733" i="15"/>
  <c r="J733" i="15"/>
  <c r="I733" i="15"/>
  <c r="H733" i="15"/>
  <c r="G733" i="15"/>
  <c r="F733" i="15"/>
  <c r="E733" i="15"/>
  <c r="D733" i="15"/>
  <c r="C733" i="15"/>
  <c r="B733" i="15"/>
  <c r="A733" i="15"/>
  <c r="Y732" i="15"/>
  <c r="X732" i="15"/>
  <c r="W732" i="15"/>
  <c r="V732" i="15"/>
  <c r="U732" i="15"/>
  <c r="T732" i="15"/>
  <c r="S732" i="15"/>
  <c r="R732" i="15"/>
  <c r="Q732" i="15"/>
  <c r="P732" i="15"/>
  <c r="O732" i="15"/>
  <c r="N732" i="15"/>
  <c r="M732" i="15"/>
  <c r="L732" i="15"/>
  <c r="K732" i="15"/>
  <c r="J732" i="15"/>
  <c r="I732" i="15"/>
  <c r="H732" i="15"/>
  <c r="G732" i="15"/>
  <c r="F732" i="15"/>
  <c r="E732" i="15"/>
  <c r="D732" i="15"/>
  <c r="C732" i="15"/>
  <c r="B732" i="15"/>
  <c r="A732" i="15"/>
  <c r="Y731" i="15"/>
  <c r="X731" i="15"/>
  <c r="W731" i="15"/>
  <c r="V731" i="15"/>
  <c r="U731" i="15"/>
  <c r="T731" i="15"/>
  <c r="S731" i="15"/>
  <c r="R731" i="15"/>
  <c r="Q731" i="15"/>
  <c r="P731" i="15"/>
  <c r="O731" i="15"/>
  <c r="N731" i="15"/>
  <c r="M731" i="15"/>
  <c r="L731" i="15"/>
  <c r="K731" i="15"/>
  <c r="J731" i="15"/>
  <c r="I731" i="15"/>
  <c r="H731" i="15"/>
  <c r="G731" i="15"/>
  <c r="F731" i="15"/>
  <c r="E731" i="15"/>
  <c r="D731" i="15"/>
  <c r="C731" i="15"/>
  <c r="B731" i="15"/>
  <c r="A731" i="15"/>
  <c r="Y730" i="15"/>
  <c r="X730" i="15"/>
  <c r="W730" i="15"/>
  <c r="V730" i="15"/>
  <c r="U730" i="15"/>
  <c r="T730" i="15"/>
  <c r="S730" i="15"/>
  <c r="R730" i="15"/>
  <c r="Q730" i="15"/>
  <c r="P730" i="15"/>
  <c r="O730" i="15"/>
  <c r="N730" i="15"/>
  <c r="M730" i="15"/>
  <c r="L730" i="15"/>
  <c r="K730" i="15"/>
  <c r="J730" i="15"/>
  <c r="I730" i="15"/>
  <c r="H730" i="15"/>
  <c r="G730" i="15"/>
  <c r="F730" i="15"/>
  <c r="E730" i="15"/>
  <c r="D730" i="15"/>
  <c r="C730" i="15"/>
  <c r="B730" i="15"/>
  <c r="A730" i="15"/>
  <c r="Y729" i="15"/>
  <c r="X729" i="15"/>
  <c r="W729" i="15"/>
  <c r="V729" i="15"/>
  <c r="U729" i="15"/>
  <c r="T729" i="15"/>
  <c r="S729" i="15"/>
  <c r="R729" i="15"/>
  <c r="Q729" i="15"/>
  <c r="P729" i="15"/>
  <c r="O729" i="15"/>
  <c r="N729" i="15"/>
  <c r="M729" i="15"/>
  <c r="L729" i="15"/>
  <c r="K729" i="15"/>
  <c r="J729" i="15"/>
  <c r="I729" i="15"/>
  <c r="H729" i="15"/>
  <c r="G729" i="15"/>
  <c r="F729" i="15"/>
  <c r="E729" i="15"/>
  <c r="D729" i="15"/>
  <c r="C729" i="15"/>
  <c r="B729" i="15"/>
  <c r="A729" i="15"/>
  <c r="Y728" i="15"/>
  <c r="X728" i="15"/>
  <c r="W728" i="15"/>
  <c r="V728" i="15"/>
  <c r="U728" i="15"/>
  <c r="T728" i="15"/>
  <c r="S728" i="15"/>
  <c r="R728" i="15"/>
  <c r="Q728" i="15"/>
  <c r="P728" i="15"/>
  <c r="O728" i="15"/>
  <c r="N728" i="15"/>
  <c r="M728" i="15"/>
  <c r="L728" i="15"/>
  <c r="K728" i="15"/>
  <c r="J728" i="15"/>
  <c r="I728" i="15"/>
  <c r="H728" i="15"/>
  <c r="G728" i="15"/>
  <c r="F728" i="15"/>
  <c r="E728" i="15"/>
  <c r="D728" i="15"/>
  <c r="C728" i="15"/>
  <c r="B728" i="15"/>
  <c r="A728" i="15"/>
  <c r="Y727" i="15"/>
  <c r="X727" i="15"/>
  <c r="W727" i="15"/>
  <c r="V727" i="15"/>
  <c r="U727" i="15"/>
  <c r="T727" i="15"/>
  <c r="S727" i="15"/>
  <c r="R727" i="15"/>
  <c r="Q727" i="15"/>
  <c r="P727" i="15"/>
  <c r="O727" i="15"/>
  <c r="N727" i="15"/>
  <c r="M727" i="15"/>
  <c r="L727" i="15"/>
  <c r="K727" i="15"/>
  <c r="J727" i="15"/>
  <c r="I727" i="15"/>
  <c r="H727" i="15"/>
  <c r="G727" i="15"/>
  <c r="F727" i="15"/>
  <c r="E727" i="15"/>
  <c r="D727" i="15"/>
  <c r="C727" i="15"/>
  <c r="B727" i="15"/>
  <c r="A727" i="15"/>
  <c r="Y726" i="15"/>
  <c r="X726" i="15"/>
  <c r="W726" i="15"/>
  <c r="V726" i="15"/>
  <c r="U726" i="15"/>
  <c r="T726" i="15"/>
  <c r="S726" i="15"/>
  <c r="R726" i="15"/>
  <c r="Q726" i="15"/>
  <c r="P726" i="15"/>
  <c r="O726" i="15"/>
  <c r="N726" i="15"/>
  <c r="M726" i="15"/>
  <c r="L726" i="15"/>
  <c r="K726" i="15"/>
  <c r="J726" i="15"/>
  <c r="I726" i="15"/>
  <c r="H726" i="15"/>
  <c r="G726" i="15"/>
  <c r="F726" i="15"/>
  <c r="E726" i="15"/>
  <c r="D726" i="15"/>
  <c r="C726" i="15"/>
  <c r="B726" i="15"/>
  <c r="A726" i="15"/>
  <c r="Y725" i="15"/>
  <c r="X725" i="15"/>
  <c r="W725" i="15"/>
  <c r="V725" i="15"/>
  <c r="U725" i="15"/>
  <c r="T725" i="15"/>
  <c r="S725" i="15"/>
  <c r="R725" i="15"/>
  <c r="Q725" i="15"/>
  <c r="P725" i="15"/>
  <c r="O725" i="15"/>
  <c r="N725" i="15"/>
  <c r="M725" i="15"/>
  <c r="L725" i="15"/>
  <c r="K725" i="15"/>
  <c r="J725" i="15"/>
  <c r="I725" i="15"/>
  <c r="H725" i="15"/>
  <c r="G725" i="15"/>
  <c r="F725" i="15"/>
  <c r="E725" i="15"/>
  <c r="D725" i="15"/>
  <c r="C725" i="15"/>
  <c r="B725" i="15"/>
  <c r="A725" i="15"/>
  <c r="Y724" i="15"/>
  <c r="X724" i="15"/>
  <c r="W724" i="15"/>
  <c r="V724" i="15"/>
  <c r="U724" i="15"/>
  <c r="T724" i="15"/>
  <c r="S724" i="15"/>
  <c r="R724" i="15"/>
  <c r="Q724" i="15"/>
  <c r="P724" i="15"/>
  <c r="O724" i="15"/>
  <c r="N724" i="15"/>
  <c r="M724" i="15"/>
  <c r="L724" i="15"/>
  <c r="K724" i="15"/>
  <c r="J724" i="15"/>
  <c r="I724" i="15"/>
  <c r="H724" i="15"/>
  <c r="G724" i="15"/>
  <c r="F724" i="15"/>
  <c r="E724" i="15"/>
  <c r="D724" i="15"/>
  <c r="C724" i="15"/>
  <c r="B724" i="15"/>
  <c r="A724" i="15"/>
  <c r="Y723" i="15"/>
  <c r="X723" i="15"/>
  <c r="W723" i="15"/>
  <c r="V723" i="15"/>
  <c r="U723" i="15"/>
  <c r="T723" i="15"/>
  <c r="S723" i="15"/>
  <c r="R723" i="15"/>
  <c r="Q723" i="15"/>
  <c r="P723" i="15"/>
  <c r="O723" i="15"/>
  <c r="N723" i="15"/>
  <c r="M723" i="15"/>
  <c r="L723" i="15"/>
  <c r="K723" i="15"/>
  <c r="J723" i="15"/>
  <c r="I723" i="15"/>
  <c r="H723" i="15"/>
  <c r="G723" i="15"/>
  <c r="F723" i="15"/>
  <c r="E723" i="15"/>
  <c r="D723" i="15"/>
  <c r="C723" i="15"/>
  <c r="B723" i="15"/>
  <c r="A723" i="15"/>
  <c r="Y722" i="15"/>
  <c r="X722" i="15"/>
  <c r="W722" i="15"/>
  <c r="V722" i="15"/>
  <c r="U722" i="15"/>
  <c r="T722" i="15"/>
  <c r="S722" i="15"/>
  <c r="R722" i="15"/>
  <c r="Q722" i="15"/>
  <c r="P722" i="15"/>
  <c r="O722" i="15"/>
  <c r="N722" i="15"/>
  <c r="M722" i="15"/>
  <c r="L722" i="15"/>
  <c r="K722" i="15"/>
  <c r="J722" i="15"/>
  <c r="I722" i="15"/>
  <c r="H722" i="15"/>
  <c r="G722" i="15"/>
  <c r="F722" i="15"/>
  <c r="E722" i="15"/>
  <c r="D722" i="15"/>
  <c r="C722" i="15"/>
  <c r="B722" i="15"/>
  <c r="A722" i="15"/>
  <c r="Y721" i="15"/>
  <c r="X721" i="15"/>
  <c r="W721" i="15"/>
  <c r="V721" i="15"/>
  <c r="U721" i="15"/>
  <c r="T721" i="15"/>
  <c r="S721" i="15"/>
  <c r="R721" i="15"/>
  <c r="Q721" i="15"/>
  <c r="P721" i="15"/>
  <c r="O721" i="15"/>
  <c r="N721" i="15"/>
  <c r="M721" i="15"/>
  <c r="L721" i="15"/>
  <c r="K721" i="15"/>
  <c r="J721" i="15"/>
  <c r="I721" i="15"/>
  <c r="H721" i="15"/>
  <c r="G721" i="15"/>
  <c r="F721" i="15"/>
  <c r="E721" i="15"/>
  <c r="D721" i="15"/>
  <c r="C721" i="15"/>
  <c r="B721" i="15"/>
  <c r="A721" i="15"/>
  <c r="Y720" i="15"/>
  <c r="X720" i="15"/>
  <c r="W720" i="15"/>
  <c r="V720" i="15"/>
  <c r="U720" i="15"/>
  <c r="T720" i="15"/>
  <c r="S720" i="15"/>
  <c r="R720" i="15"/>
  <c r="Q720" i="15"/>
  <c r="P720" i="15"/>
  <c r="O720" i="15"/>
  <c r="N720" i="15"/>
  <c r="M720" i="15"/>
  <c r="L720" i="15"/>
  <c r="K720" i="15"/>
  <c r="J720" i="15"/>
  <c r="I720" i="15"/>
  <c r="H720" i="15"/>
  <c r="G720" i="15"/>
  <c r="F720" i="15"/>
  <c r="E720" i="15"/>
  <c r="D720" i="15"/>
  <c r="C720" i="15"/>
  <c r="B720" i="15"/>
  <c r="A720" i="15"/>
  <c r="Y719" i="15"/>
  <c r="X719" i="15"/>
  <c r="W719" i="15"/>
  <c r="V719" i="15"/>
  <c r="U719" i="15"/>
  <c r="T719" i="15"/>
  <c r="S719" i="15"/>
  <c r="R719" i="15"/>
  <c r="Q719" i="15"/>
  <c r="P719" i="15"/>
  <c r="O719" i="15"/>
  <c r="N719" i="15"/>
  <c r="M719" i="15"/>
  <c r="L719" i="15"/>
  <c r="K719" i="15"/>
  <c r="J719" i="15"/>
  <c r="I719" i="15"/>
  <c r="H719" i="15"/>
  <c r="G719" i="15"/>
  <c r="F719" i="15"/>
  <c r="E719" i="15"/>
  <c r="D719" i="15"/>
  <c r="C719" i="15"/>
  <c r="B719" i="15"/>
  <c r="A719" i="15"/>
  <c r="Y718" i="15"/>
  <c r="X718" i="15"/>
  <c r="W718" i="15"/>
  <c r="V718" i="15"/>
  <c r="U718" i="15"/>
  <c r="T718" i="15"/>
  <c r="S718" i="15"/>
  <c r="R718" i="15"/>
  <c r="Q718" i="15"/>
  <c r="P718" i="15"/>
  <c r="O718" i="15"/>
  <c r="N718" i="15"/>
  <c r="M718" i="15"/>
  <c r="L718" i="15"/>
  <c r="K718" i="15"/>
  <c r="J718" i="15"/>
  <c r="I718" i="15"/>
  <c r="H718" i="15"/>
  <c r="G718" i="15"/>
  <c r="F718" i="15"/>
  <c r="E718" i="15"/>
  <c r="D718" i="15"/>
  <c r="C718" i="15"/>
  <c r="B718" i="15"/>
  <c r="A718" i="15"/>
  <c r="Y717" i="15"/>
  <c r="X717" i="15"/>
  <c r="W717" i="15"/>
  <c r="V717" i="15"/>
  <c r="U717" i="15"/>
  <c r="T717" i="15"/>
  <c r="S717" i="15"/>
  <c r="R717" i="15"/>
  <c r="Q717" i="15"/>
  <c r="P717" i="15"/>
  <c r="O717" i="15"/>
  <c r="N717" i="15"/>
  <c r="M717" i="15"/>
  <c r="L717" i="15"/>
  <c r="K717" i="15"/>
  <c r="J717" i="15"/>
  <c r="I717" i="15"/>
  <c r="H717" i="15"/>
  <c r="G717" i="15"/>
  <c r="F717" i="15"/>
  <c r="E717" i="15"/>
  <c r="D717" i="15"/>
  <c r="C717" i="15"/>
  <c r="B717" i="15"/>
  <c r="A717" i="15"/>
  <c r="Y716" i="15"/>
  <c r="X716" i="15"/>
  <c r="W716" i="15"/>
  <c r="V716" i="15"/>
  <c r="U716" i="15"/>
  <c r="T716" i="15"/>
  <c r="S716" i="15"/>
  <c r="R716" i="15"/>
  <c r="Q716" i="15"/>
  <c r="P716" i="15"/>
  <c r="O716" i="15"/>
  <c r="N716" i="15"/>
  <c r="M716" i="15"/>
  <c r="L716" i="15"/>
  <c r="K716" i="15"/>
  <c r="J716" i="15"/>
  <c r="I716" i="15"/>
  <c r="H716" i="15"/>
  <c r="G716" i="15"/>
  <c r="F716" i="15"/>
  <c r="E716" i="15"/>
  <c r="D716" i="15"/>
  <c r="C716" i="15"/>
  <c r="B716" i="15"/>
  <c r="A716" i="15"/>
  <c r="Y715" i="15"/>
  <c r="X715" i="15"/>
  <c r="W715" i="15"/>
  <c r="V715" i="15"/>
  <c r="U715" i="15"/>
  <c r="T715" i="15"/>
  <c r="S715" i="15"/>
  <c r="R715" i="15"/>
  <c r="Q715" i="15"/>
  <c r="P715" i="15"/>
  <c r="O715" i="15"/>
  <c r="N715" i="15"/>
  <c r="M715" i="15"/>
  <c r="L715" i="15"/>
  <c r="K715" i="15"/>
  <c r="J715" i="15"/>
  <c r="I715" i="15"/>
  <c r="H715" i="15"/>
  <c r="G715" i="15"/>
  <c r="F715" i="15"/>
  <c r="E715" i="15"/>
  <c r="D715" i="15"/>
  <c r="C715" i="15"/>
  <c r="B715" i="15"/>
  <c r="A715" i="15"/>
  <c r="Y714" i="15"/>
  <c r="X714" i="15"/>
  <c r="W714" i="15"/>
  <c r="V714" i="15"/>
  <c r="U714" i="15"/>
  <c r="T714" i="15"/>
  <c r="S714" i="15"/>
  <c r="R714" i="15"/>
  <c r="Q714" i="15"/>
  <c r="P714" i="15"/>
  <c r="O714" i="15"/>
  <c r="N714" i="15"/>
  <c r="M714" i="15"/>
  <c r="L714" i="15"/>
  <c r="K714" i="15"/>
  <c r="J714" i="15"/>
  <c r="I714" i="15"/>
  <c r="H714" i="15"/>
  <c r="G714" i="15"/>
  <c r="F714" i="15"/>
  <c r="E714" i="15"/>
  <c r="D714" i="15"/>
  <c r="C714" i="15"/>
  <c r="B714" i="15"/>
  <c r="A714" i="15"/>
  <c r="Y713" i="15"/>
  <c r="X713" i="15"/>
  <c r="W713" i="15"/>
  <c r="V713" i="15"/>
  <c r="U713" i="15"/>
  <c r="T713" i="15"/>
  <c r="S713" i="15"/>
  <c r="R713" i="15"/>
  <c r="Q713" i="15"/>
  <c r="P713" i="15"/>
  <c r="O713" i="15"/>
  <c r="N713" i="15"/>
  <c r="M713" i="15"/>
  <c r="L713" i="15"/>
  <c r="K713" i="15"/>
  <c r="J713" i="15"/>
  <c r="I713" i="15"/>
  <c r="H713" i="15"/>
  <c r="G713" i="15"/>
  <c r="F713" i="15"/>
  <c r="E713" i="15"/>
  <c r="D713" i="15"/>
  <c r="C713" i="15"/>
  <c r="B713" i="15"/>
  <c r="A713" i="15"/>
  <c r="Y712" i="15"/>
  <c r="X712" i="15"/>
  <c r="W712" i="15"/>
  <c r="V712" i="15"/>
  <c r="U712" i="15"/>
  <c r="T712" i="15"/>
  <c r="S712" i="15"/>
  <c r="R712" i="15"/>
  <c r="Q712" i="15"/>
  <c r="P712" i="15"/>
  <c r="O712" i="15"/>
  <c r="N712" i="15"/>
  <c r="M712" i="15"/>
  <c r="L712" i="15"/>
  <c r="K712" i="15"/>
  <c r="J712" i="15"/>
  <c r="I712" i="15"/>
  <c r="H712" i="15"/>
  <c r="G712" i="15"/>
  <c r="F712" i="15"/>
  <c r="E712" i="15"/>
  <c r="D712" i="15"/>
  <c r="C712" i="15"/>
  <c r="B712" i="15"/>
  <c r="A712" i="15"/>
  <c r="Y711" i="15"/>
  <c r="X711" i="15"/>
  <c r="W711" i="15"/>
  <c r="V711" i="15"/>
  <c r="U711" i="15"/>
  <c r="T711" i="15"/>
  <c r="S711" i="15"/>
  <c r="R711" i="15"/>
  <c r="Q711" i="15"/>
  <c r="P711" i="15"/>
  <c r="O711" i="15"/>
  <c r="N711" i="15"/>
  <c r="M711" i="15"/>
  <c r="L711" i="15"/>
  <c r="K711" i="15"/>
  <c r="J711" i="15"/>
  <c r="I711" i="15"/>
  <c r="H711" i="15"/>
  <c r="G711" i="15"/>
  <c r="F711" i="15"/>
  <c r="E711" i="15"/>
  <c r="D711" i="15"/>
  <c r="C711" i="15"/>
  <c r="B711" i="15"/>
  <c r="A711" i="15"/>
  <c r="Y710" i="15"/>
  <c r="X710" i="15"/>
  <c r="W710" i="15"/>
  <c r="V710" i="15"/>
  <c r="U710" i="15"/>
  <c r="T710" i="15"/>
  <c r="S710" i="15"/>
  <c r="R710" i="15"/>
  <c r="Q710" i="15"/>
  <c r="P710" i="15"/>
  <c r="O710" i="15"/>
  <c r="N710" i="15"/>
  <c r="M710" i="15"/>
  <c r="L710" i="15"/>
  <c r="K710" i="15"/>
  <c r="J710" i="15"/>
  <c r="I710" i="15"/>
  <c r="H710" i="15"/>
  <c r="G710" i="15"/>
  <c r="F710" i="15"/>
  <c r="E710" i="15"/>
  <c r="D710" i="15"/>
  <c r="C710" i="15"/>
  <c r="B710" i="15"/>
  <c r="A710" i="15"/>
  <c r="Y709" i="15"/>
  <c r="X709" i="15"/>
  <c r="W709" i="15"/>
  <c r="V709" i="15"/>
  <c r="U709" i="15"/>
  <c r="T709" i="15"/>
  <c r="S709" i="15"/>
  <c r="R709" i="15"/>
  <c r="Q709" i="15"/>
  <c r="P709" i="15"/>
  <c r="O709" i="15"/>
  <c r="N709" i="15"/>
  <c r="M709" i="15"/>
  <c r="L709" i="15"/>
  <c r="K709" i="15"/>
  <c r="J709" i="15"/>
  <c r="I709" i="15"/>
  <c r="H709" i="15"/>
  <c r="G709" i="15"/>
  <c r="F709" i="15"/>
  <c r="E709" i="15"/>
  <c r="D709" i="15"/>
  <c r="C709" i="15"/>
  <c r="B709" i="15"/>
  <c r="A709" i="15"/>
  <c r="Y708" i="15"/>
  <c r="X708" i="15"/>
  <c r="W708" i="15"/>
  <c r="V708" i="15"/>
  <c r="U708" i="15"/>
  <c r="T708" i="15"/>
  <c r="S708" i="15"/>
  <c r="R708" i="15"/>
  <c r="Q708" i="15"/>
  <c r="P708" i="15"/>
  <c r="O708" i="15"/>
  <c r="N708" i="15"/>
  <c r="M708" i="15"/>
  <c r="L708" i="15"/>
  <c r="K708" i="15"/>
  <c r="J708" i="15"/>
  <c r="I708" i="15"/>
  <c r="H708" i="15"/>
  <c r="G708" i="15"/>
  <c r="F708" i="15"/>
  <c r="E708" i="15"/>
  <c r="D708" i="15"/>
  <c r="C708" i="15"/>
  <c r="B708" i="15"/>
  <c r="A708" i="15"/>
  <c r="Y707" i="15"/>
  <c r="X707" i="15"/>
  <c r="W707" i="15"/>
  <c r="V707" i="15"/>
  <c r="U707" i="15"/>
  <c r="T707" i="15"/>
  <c r="S707" i="15"/>
  <c r="R707" i="15"/>
  <c r="Q707" i="15"/>
  <c r="P707" i="15"/>
  <c r="O707" i="15"/>
  <c r="N707" i="15"/>
  <c r="M707" i="15"/>
  <c r="L707" i="15"/>
  <c r="K707" i="15"/>
  <c r="J707" i="15"/>
  <c r="I707" i="15"/>
  <c r="H707" i="15"/>
  <c r="G707" i="15"/>
  <c r="F707" i="15"/>
  <c r="E707" i="15"/>
  <c r="D707" i="15"/>
  <c r="C707" i="15"/>
  <c r="B707" i="15"/>
  <c r="A707" i="15"/>
  <c r="Y706" i="15"/>
  <c r="X706" i="15"/>
  <c r="W706" i="15"/>
  <c r="V706" i="15"/>
  <c r="U706" i="15"/>
  <c r="T706" i="15"/>
  <c r="S706" i="15"/>
  <c r="R706" i="15"/>
  <c r="Q706" i="15"/>
  <c r="P706" i="15"/>
  <c r="O706" i="15"/>
  <c r="N706" i="15"/>
  <c r="M706" i="15"/>
  <c r="L706" i="15"/>
  <c r="K706" i="15"/>
  <c r="J706" i="15"/>
  <c r="I706" i="15"/>
  <c r="H706" i="15"/>
  <c r="G706" i="15"/>
  <c r="F706" i="15"/>
  <c r="E706" i="15"/>
  <c r="D706" i="15"/>
  <c r="C706" i="15"/>
  <c r="B706" i="15"/>
  <c r="A706" i="15"/>
  <c r="Y705" i="15"/>
  <c r="X705" i="15"/>
  <c r="W705" i="15"/>
  <c r="V705" i="15"/>
  <c r="U705" i="15"/>
  <c r="T705" i="15"/>
  <c r="S705" i="15"/>
  <c r="R705" i="15"/>
  <c r="Q705" i="15"/>
  <c r="P705" i="15"/>
  <c r="O705" i="15"/>
  <c r="N705" i="15"/>
  <c r="M705" i="15"/>
  <c r="L705" i="15"/>
  <c r="K705" i="15"/>
  <c r="J705" i="15"/>
  <c r="I705" i="15"/>
  <c r="H705" i="15"/>
  <c r="G705" i="15"/>
  <c r="F705" i="15"/>
  <c r="E705" i="15"/>
  <c r="D705" i="15"/>
  <c r="C705" i="15"/>
  <c r="B705" i="15"/>
  <c r="A705" i="15"/>
  <c r="Y704" i="15"/>
  <c r="X704" i="15"/>
  <c r="W704" i="15"/>
  <c r="V704" i="15"/>
  <c r="U704" i="15"/>
  <c r="T704" i="15"/>
  <c r="S704" i="15"/>
  <c r="R704" i="15"/>
  <c r="Q704" i="15"/>
  <c r="P704" i="15"/>
  <c r="O704" i="15"/>
  <c r="N704" i="15"/>
  <c r="M704" i="15"/>
  <c r="L704" i="15"/>
  <c r="K704" i="15"/>
  <c r="J704" i="15"/>
  <c r="I704" i="15"/>
  <c r="H704" i="15"/>
  <c r="G704" i="15"/>
  <c r="F704" i="15"/>
  <c r="E704" i="15"/>
  <c r="D704" i="15"/>
  <c r="C704" i="15"/>
  <c r="B704" i="15"/>
  <c r="A704" i="15"/>
  <c r="Y703" i="15"/>
  <c r="X703" i="15"/>
  <c r="W703" i="15"/>
  <c r="V703" i="15"/>
  <c r="U703" i="15"/>
  <c r="T703" i="15"/>
  <c r="S703" i="15"/>
  <c r="R703" i="15"/>
  <c r="Q703" i="15"/>
  <c r="P703" i="15"/>
  <c r="O703" i="15"/>
  <c r="N703" i="15"/>
  <c r="M703" i="15"/>
  <c r="L703" i="15"/>
  <c r="K703" i="15"/>
  <c r="J703" i="15"/>
  <c r="I703" i="15"/>
  <c r="H703" i="15"/>
  <c r="G703" i="15"/>
  <c r="F703" i="15"/>
  <c r="E703" i="15"/>
  <c r="D703" i="15"/>
  <c r="C703" i="15"/>
  <c r="B703" i="15"/>
  <c r="A703" i="15"/>
  <c r="Y702" i="15"/>
  <c r="X702" i="15"/>
  <c r="W702" i="15"/>
  <c r="V702" i="15"/>
  <c r="U702" i="15"/>
  <c r="T702" i="15"/>
  <c r="S702" i="15"/>
  <c r="R702" i="15"/>
  <c r="Q702" i="15"/>
  <c r="P702" i="15"/>
  <c r="O702" i="15"/>
  <c r="N702" i="15"/>
  <c r="M702" i="15"/>
  <c r="L702" i="15"/>
  <c r="K702" i="15"/>
  <c r="J702" i="15"/>
  <c r="I702" i="15"/>
  <c r="H702" i="15"/>
  <c r="G702" i="15"/>
  <c r="F702" i="15"/>
  <c r="E702" i="15"/>
  <c r="D702" i="15"/>
  <c r="C702" i="15"/>
  <c r="B702" i="15"/>
  <c r="A702" i="15"/>
  <c r="Y701" i="15"/>
  <c r="X701" i="15"/>
  <c r="W701" i="15"/>
  <c r="V701" i="15"/>
  <c r="U701" i="15"/>
  <c r="T701" i="15"/>
  <c r="S701" i="15"/>
  <c r="R701" i="15"/>
  <c r="Q701" i="15"/>
  <c r="P701" i="15"/>
  <c r="O701" i="15"/>
  <c r="N701" i="15"/>
  <c r="M701" i="15"/>
  <c r="L701" i="15"/>
  <c r="K701" i="15"/>
  <c r="J701" i="15"/>
  <c r="I701" i="15"/>
  <c r="H701" i="15"/>
  <c r="G701" i="15"/>
  <c r="F701" i="15"/>
  <c r="E701" i="15"/>
  <c r="D701" i="15"/>
  <c r="C701" i="15"/>
  <c r="B701" i="15"/>
  <c r="A701" i="15"/>
  <c r="Y700" i="15"/>
  <c r="X700" i="15"/>
  <c r="W700" i="15"/>
  <c r="V700" i="15"/>
  <c r="U700" i="15"/>
  <c r="T700" i="15"/>
  <c r="S700" i="15"/>
  <c r="R700" i="15"/>
  <c r="Q700" i="15"/>
  <c r="P700" i="15"/>
  <c r="O700" i="15"/>
  <c r="N700" i="15"/>
  <c r="M700" i="15"/>
  <c r="L700" i="15"/>
  <c r="K700" i="15"/>
  <c r="J700" i="15"/>
  <c r="I700" i="15"/>
  <c r="H700" i="15"/>
  <c r="G700" i="15"/>
  <c r="F700" i="15"/>
  <c r="E700" i="15"/>
  <c r="D700" i="15"/>
  <c r="C700" i="15"/>
  <c r="B700" i="15"/>
  <c r="A700" i="15"/>
  <c r="Y699" i="15"/>
  <c r="X699" i="15"/>
  <c r="W699" i="15"/>
  <c r="V699" i="15"/>
  <c r="U699" i="15"/>
  <c r="T699" i="15"/>
  <c r="S699" i="15"/>
  <c r="R699" i="15"/>
  <c r="Q699" i="15"/>
  <c r="P699" i="15"/>
  <c r="O699" i="15"/>
  <c r="N699" i="15"/>
  <c r="M699" i="15"/>
  <c r="L699" i="15"/>
  <c r="K699" i="15"/>
  <c r="J699" i="15"/>
  <c r="I699" i="15"/>
  <c r="H699" i="15"/>
  <c r="G699" i="15"/>
  <c r="F699" i="15"/>
  <c r="E699" i="15"/>
  <c r="D699" i="15"/>
  <c r="C699" i="15"/>
  <c r="B699" i="15"/>
  <c r="A699" i="15"/>
  <c r="Y698" i="15"/>
  <c r="X698" i="15"/>
  <c r="W698" i="15"/>
  <c r="V698" i="15"/>
  <c r="U698" i="15"/>
  <c r="T698" i="15"/>
  <c r="S698" i="15"/>
  <c r="R698" i="15"/>
  <c r="Q698" i="15"/>
  <c r="P698" i="15"/>
  <c r="O698" i="15"/>
  <c r="N698" i="15"/>
  <c r="M698" i="15"/>
  <c r="L698" i="15"/>
  <c r="K698" i="15"/>
  <c r="J698" i="15"/>
  <c r="I698" i="15"/>
  <c r="H698" i="15"/>
  <c r="G698" i="15"/>
  <c r="F698" i="15"/>
  <c r="E698" i="15"/>
  <c r="D698" i="15"/>
  <c r="C698" i="15"/>
  <c r="B698" i="15"/>
  <c r="A698" i="15"/>
  <c r="Y697" i="15"/>
  <c r="X697" i="15"/>
  <c r="W697" i="15"/>
  <c r="V697" i="15"/>
  <c r="U697" i="15"/>
  <c r="T697" i="15"/>
  <c r="S697" i="15"/>
  <c r="R697" i="15"/>
  <c r="Q697" i="15"/>
  <c r="P697" i="15"/>
  <c r="O697" i="15"/>
  <c r="N697" i="15"/>
  <c r="M697" i="15"/>
  <c r="L697" i="15"/>
  <c r="K697" i="15"/>
  <c r="J697" i="15"/>
  <c r="I697" i="15"/>
  <c r="H697" i="15"/>
  <c r="G697" i="15"/>
  <c r="F697" i="15"/>
  <c r="E697" i="15"/>
  <c r="D697" i="15"/>
  <c r="C697" i="15"/>
  <c r="B697" i="15"/>
  <c r="A697" i="15"/>
  <c r="Y696" i="15"/>
  <c r="X696" i="15"/>
  <c r="W696" i="15"/>
  <c r="V696" i="15"/>
  <c r="U696" i="15"/>
  <c r="T696" i="15"/>
  <c r="S696" i="15"/>
  <c r="R696" i="15"/>
  <c r="Q696" i="15"/>
  <c r="P696" i="15"/>
  <c r="O696" i="15"/>
  <c r="N696" i="15"/>
  <c r="M696" i="15"/>
  <c r="L696" i="15"/>
  <c r="K696" i="15"/>
  <c r="J696" i="15"/>
  <c r="I696" i="15"/>
  <c r="H696" i="15"/>
  <c r="G696" i="15"/>
  <c r="F696" i="15"/>
  <c r="E696" i="15"/>
  <c r="D696" i="15"/>
  <c r="C696" i="15"/>
  <c r="B696" i="15"/>
  <c r="A696" i="15"/>
  <c r="Y695" i="15"/>
  <c r="X695" i="15"/>
  <c r="W695" i="15"/>
  <c r="V695" i="15"/>
  <c r="U695" i="15"/>
  <c r="T695" i="15"/>
  <c r="S695" i="15"/>
  <c r="R695" i="15"/>
  <c r="Q695" i="15"/>
  <c r="P695" i="15"/>
  <c r="O695" i="15"/>
  <c r="N695" i="15"/>
  <c r="M695" i="15"/>
  <c r="L695" i="15"/>
  <c r="K695" i="15"/>
  <c r="J695" i="15"/>
  <c r="I695" i="15"/>
  <c r="H695" i="15"/>
  <c r="G695" i="15"/>
  <c r="F695" i="15"/>
  <c r="E695" i="15"/>
  <c r="D695" i="15"/>
  <c r="C695" i="15"/>
  <c r="B695" i="15"/>
  <c r="A695" i="15"/>
  <c r="Y694" i="15"/>
  <c r="X694" i="15"/>
  <c r="W694" i="15"/>
  <c r="V694" i="15"/>
  <c r="U694" i="15"/>
  <c r="T694" i="15"/>
  <c r="S694" i="15"/>
  <c r="R694" i="15"/>
  <c r="Q694" i="15"/>
  <c r="P694" i="15"/>
  <c r="O694" i="15"/>
  <c r="N694" i="15"/>
  <c r="M694" i="15"/>
  <c r="L694" i="15"/>
  <c r="K694" i="15"/>
  <c r="J694" i="15"/>
  <c r="I694" i="15"/>
  <c r="H694" i="15"/>
  <c r="G694" i="15"/>
  <c r="F694" i="15"/>
  <c r="E694" i="15"/>
  <c r="D694" i="15"/>
  <c r="C694" i="15"/>
  <c r="B694" i="15"/>
  <c r="A694" i="15"/>
  <c r="Y693" i="15"/>
  <c r="X693" i="15"/>
  <c r="W693" i="15"/>
  <c r="V693" i="15"/>
  <c r="U693" i="15"/>
  <c r="T693" i="15"/>
  <c r="S693" i="15"/>
  <c r="R693" i="15"/>
  <c r="Q693" i="15"/>
  <c r="P693" i="15"/>
  <c r="O693" i="15"/>
  <c r="N693" i="15"/>
  <c r="M693" i="15"/>
  <c r="L693" i="15"/>
  <c r="K693" i="15"/>
  <c r="J693" i="15"/>
  <c r="I693" i="15"/>
  <c r="H693" i="15"/>
  <c r="G693" i="15"/>
  <c r="F693" i="15"/>
  <c r="E693" i="15"/>
  <c r="D693" i="15"/>
  <c r="C693" i="15"/>
  <c r="B693" i="15"/>
  <c r="A693" i="15"/>
  <c r="Y692" i="15"/>
  <c r="X692" i="15"/>
  <c r="W692" i="15"/>
  <c r="V692" i="15"/>
  <c r="U692" i="15"/>
  <c r="T692" i="15"/>
  <c r="S692" i="15"/>
  <c r="R692" i="15"/>
  <c r="Q692" i="15"/>
  <c r="P692" i="15"/>
  <c r="O692" i="15"/>
  <c r="N692" i="15"/>
  <c r="M692" i="15"/>
  <c r="L692" i="15"/>
  <c r="K692" i="15"/>
  <c r="J692" i="15"/>
  <c r="I692" i="15"/>
  <c r="H692" i="15"/>
  <c r="G692" i="15"/>
  <c r="F692" i="15"/>
  <c r="E692" i="15"/>
  <c r="D692" i="15"/>
  <c r="C692" i="15"/>
  <c r="B692" i="15"/>
  <c r="A692" i="15"/>
  <c r="Y691" i="15"/>
  <c r="X691" i="15"/>
  <c r="W691" i="15"/>
  <c r="V691" i="15"/>
  <c r="U691" i="15"/>
  <c r="T691" i="15"/>
  <c r="S691" i="15"/>
  <c r="R691" i="15"/>
  <c r="Q691" i="15"/>
  <c r="P691" i="15"/>
  <c r="O691" i="15"/>
  <c r="N691" i="15"/>
  <c r="M691" i="15"/>
  <c r="L691" i="15"/>
  <c r="K691" i="15"/>
  <c r="J691" i="15"/>
  <c r="I691" i="15"/>
  <c r="H691" i="15"/>
  <c r="G691" i="15"/>
  <c r="F691" i="15"/>
  <c r="E691" i="15"/>
  <c r="D691" i="15"/>
  <c r="C691" i="15"/>
  <c r="B691" i="15"/>
  <c r="A691" i="15"/>
  <c r="Y690" i="15"/>
  <c r="X690" i="15"/>
  <c r="W690" i="15"/>
  <c r="V690" i="15"/>
  <c r="U690" i="15"/>
  <c r="T690" i="15"/>
  <c r="S690" i="15"/>
  <c r="R690" i="15"/>
  <c r="Q690" i="15"/>
  <c r="P690" i="15"/>
  <c r="O690" i="15"/>
  <c r="N690" i="15"/>
  <c r="M690" i="15"/>
  <c r="L690" i="15"/>
  <c r="K690" i="15"/>
  <c r="J690" i="15"/>
  <c r="I690" i="15"/>
  <c r="H690" i="15"/>
  <c r="G690" i="15"/>
  <c r="F690" i="15"/>
  <c r="E690" i="15"/>
  <c r="D690" i="15"/>
  <c r="C690" i="15"/>
  <c r="B690" i="15"/>
  <c r="A690" i="15"/>
  <c r="Y689" i="15"/>
  <c r="X689" i="15"/>
  <c r="W689" i="15"/>
  <c r="V689" i="15"/>
  <c r="U689" i="15"/>
  <c r="T689" i="15"/>
  <c r="S689" i="15"/>
  <c r="R689" i="15"/>
  <c r="Q689" i="15"/>
  <c r="P689" i="15"/>
  <c r="O689" i="15"/>
  <c r="N689" i="15"/>
  <c r="M689" i="15"/>
  <c r="L689" i="15"/>
  <c r="K689" i="15"/>
  <c r="J689" i="15"/>
  <c r="I689" i="15"/>
  <c r="H689" i="15"/>
  <c r="G689" i="15"/>
  <c r="F689" i="15"/>
  <c r="E689" i="15"/>
  <c r="D689" i="15"/>
  <c r="C689" i="15"/>
  <c r="B689" i="15"/>
  <c r="A689" i="15"/>
  <c r="Y688" i="15"/>
  <c r="X688" i="15"/>
  <c r="W688" i="15"/>
  <c r="V688" i="15"/>
  <c r="U688" i="15"/>
  <c r="T688" i="15"/>
  <c r="S688" i="15"/>
  <c r="R688" i="15"/>
  <c r="Q688" i="15"/>
  <c r="P688" i="15"/>
  <c r="O688" i="15"/>
  <c r="N688" i="15"/>
  <c r="M688" i="15"/>
  <c r="L688" i="15"/>
  <c r="K688" i="15"/>
  <c r="J688" i="15"/>
  <c r="I688" i="15"/>
  <c r="H688" i="15"/>
  <c r="G688" i="15"/>
  <c r="F688" i="15"/>
  <c r="E688" i="15"/>
  <c r="D688" i="15"/>
  <c r="C688" i="15"/>
  <c r="B688" i="15"/>
  <c r="A688" i="15"/>
  <c r="Y687" i="15"/>
  <c r="X687" i="15"/>
  <c r="W687" i="15"/>
  <c r="V687" i="15"/>
  <c r="U687" i="15"/>
  <c r="T687" i="15"/>
  <c r="S687" i="15"/>
  <c r="R687" i="15"/>
  <c r="Q687" i="15"/>
  <c r="P687" i="15"/>
  <c r="O687" i="15"/>
  <c r="N687" i="15"/>
  <c r="M687" i="15"/>
  <c r="L687" i="15"/>
  <c r="K687" i="15"/>
  <c r="J687" i="15"/>
  <c r="I687" i="15"/>
  <c r="H687" i="15"/>
  <c r="G687" i="15"/>
  <c r="F687" i="15"/>
  <c r="E687" i="15"/>
  <c r="D687" i="15"/>
  <c r="C687" i="15"/>
  <c r="B687" i="15"/>
  <c r="A687" i="15"/>
  <c r="Y686" i="15"/>
  <c r="X686" i="15"/>
  <c r="W686" i="15"/>
  <c r="V686" i="15"/>
  <c r="U686" i="15"/>
  <c r="T686" i="15"/>
  <c r="S686" i="15"/>
  <c r="R686" i="15"/>
  <c r="Q686" i="15"/>
  <c r="P686" i="15"/>
  <c r="O686" i="15"/>
  <c r="N686" i="15"/>
  <c r="M686" i="15"/>
  <c r="L686" i="15"/>
  <c r="K686" i="15"/>
  <c r="J686" i="15"/>
  <c r="I686" i="15"/>
  <c r="H686" i="15"/>
  <c r="G686" i="15"/>
  <c r="F686" i="15"/>
  <c r="E686" i="15"/>
  <c r="D686" i="15"/>
  <c r="C686" i="15"/>
  <c r="B686" i="15"/>
  <c r="A686" i="15"/>
  <c r="Y685" i="15"/>
  <c r="X685" i="15"/>
  <c r="W685" i="15"/>
  <c r="V685" i="15"/>
  <c r="U685" i="15"/>
  <c r="T685" i="15"/>
  <c r="S685" i="15"/>
  <c r="R685" i="15"/>
  <c r="Q685" i="15"/>
  <c r="P685" i="15"/>
  <c r="O685" i="15"/>
  <c r="N685" i="15"/>
  <c r="M685" i="15"/>
  <c r="L685" i="15"/>
  <c r="K685" i="15"/>
  <c r="J685" i="15"/>
  <c r="I685" i="15"/>
  <c r="H685" i="15"/>
  <c r="G685" i="15"/>
  <c r="F685" i="15"/>
  <c r="E685" i="15"/>
  <c r="D685" i="15"/>
  <c r="C685" i="15"/>
  <c r="B685" i="15"/>
  <c r="A685" i="15"/>
  <c r="Y684" i="15"/>
  <c r="X684" i="15"/>
  <c r="W684" i="15"/>
  <c r="V684" i="15"/>
  <c r="U684" i="15"/>
  <c r="T684" i="15"/>
  <c r="S684" i="15"/>
  <c r="R684" i="15"/>
  <c r="Q684" i="15"/>
  <c r="P684" i="15"/>
  <c r="O684" i="15"/>
  <c r="N684" i="15"/>
  <c r="M684" i="15"/>
  <c r="L684" i="15"/>
  <c r="K684" i="15"/>
  <c r="J684" i="15"/>
  <c r="I684" i="15"/>
  <c r="H684" i="15"/>
  <c r="G684" i="15"/>
  <c r="F684" i="15"/>
  <c r="E684" i="15"/>
  <c r="D684" i="15"/>
  <c r="C684" i="15"/>
  <c r="B684" i="15"/>
  <c r="A684" i="15"/>
  <c r="Y683" i="15"/>
  <c r="X683" i="15"/>
  <c r="W683" i="15"/>
  <c r="V683" i="15"/>
  <c r="U683" i="15"/>
  <c r="T683" i="15"/>
  <c r="S683" i="15"/>
  <c r="R683" i="15"/>
  <c r="Q683" i="15"/>
  <c r="P683" i="15"/>
  <c r="O683" i="15"/>
  <c r="N683" i="15"/>
  <c r="M683" i="15"/>
  <c r="L683" i="15"/>
  <c r="K683" i="15"/>
  <c r="J683" i="15"/>
  <c r="I683" i="15"/>
  <c r="H683" i="15"/>
  <c r="G683" i="15"/>
  <c r="F683" i="15"/>
  <c r="E683" i="15"/>
  <c r="D683" i="15"/>
  <c r="C683" i="15"/>
  <c r="B683" i="15"/>
  <c r="A683" i="15"/>
  <c r="Y682" i="15"/>
  <c r="X682" i="15"/>
  <c r="W682" i="15"/>
  <c r="V682" i="15"/>
  <c r="U682" i="15"/>
  <c r="T682" i="15"/>
  <c r="S682" i="15"/>
  <c r="R682" i="15"/>
  <c r="Q682" i="15"/>
  <c r="P682" i="15"/>
  <c r="O682" i="15"/>
  <c r="N682" i="15"/>
  <c r="M682" i="15"/>
  <c r="L682" i="15"/>
  <c r="K682" i="15"/>
  <c r="J682" i="15"/>
  <c r="I682" i="15"/>
  <c r="H682" i="15"/>
  <c r="G682" i="15"/>
  <c r="F682" i="15"/>
  <c r="E682" i="15"/>
  <c r="D682" i="15"/>
  <c r="C682" i="15"/>
  <c r="B682" i="15"/>
  <c r="A682" i="15"/>
  <c r="Y681" i="15"/>
  <c r="X681" i="15"/>
  <c r="W681" i="15"/>
  <c r="V681" i="15"/>
  <c r="U681" i="15"/>
  <c r="T681" i="15"/>
  <c r="S681" i="15"/>
  <c r="R681" i="15"/>
  <c r="Q681" i="15"/>
  <c r="P681" i="15"/>
  <c r="O681" i="15"/>
  <c r="N681" i="15"/>
  <c r="M681" i="15"/>
  <c r="L681" i="15"/>
  <c r="K681" i="15"/>
  <c r="J681" i="15"/>
  <c r="I681" i="15"/>
  <c r="H681" i="15"/>
  <c r="G681" i="15"/>
  <c r="F681" i="15"/>
  <c r="E681" i="15"/>
  <c r="D681" i="15"/>
  <c r="C681" i="15"/>
  <c r="B681" i="15"/>
  <c r="A681" i="15"/>
  <c r="Y680" i="15"/>
  <c r="X680" i="15"/>
  <c r="W680" i="15"/>
  <c r="V680" i="15"/>
  <c r="U680" i="15"/>
  <c r="T680" i="15"/>
  <c r="S680" i="15"/>
  <c r="R680" i="15"/>
  <c r="Q680" i="15"/>
  <c r="P680" i="15"/>
  <c r="O680" i="15"/>
  <c r="N680" i="15"/>
  <c r="M680" i="15"/>
  <c r="L680" i="15"/>
  <c r="K680" i="15"/>
  <c r="J680" i="15"/>
  <c r="I680" i="15"/>
  <c r="H680" i="15"/>
  <c r="G680" i="15"/>
  <c r="F680" i="15"/>
  <c r="E680" i="15"/>
  <c r="D680" i="15"/>
  <c r="C680" i="15"/>
  <c r="B680" i="15"/>
  <c r="A680" i="15"/>
  <c r="Y679" i="15"/>
  <c r="X679" i="15"/>
  <c r="W679" i="15"/>
  <c r="V679" i="15"/>
  <c r="U679" i="15"/>
  <c r="T679" i="15"/>
  <c r="S679" i="15"/>
  <c r="R679" i="15"/>
  <c r="Q679" i="15"/>
  <c r="P679" i="15"/>
  <c r="O679" i="15"/>
  <c r="N679" i="15"/>
  <c r="M679" i="15"/>
  <c r="L679" i="15"/>
  <c r="K679" i="15"/>
  <c r="J679" i="15"/>
  <c r="I679" i="15"/>
  <c r="H679" i="15"/>
  <c r="G679" i="15"/>
  <c r="F679" i="15"/>
  <c r="E679" i="15"/>
  <c r="D679" i="15"/>
  <c r="C679" i="15"/>
  <c r="B679" i="15"/>
  <c r="A679" i="15"/>
  <c r="Y678" i="15"/>
  <c r="X678" i="15"/>
  <c r="W678" i="15"/>
  <c r="V678" i="15"/>
  <c r="U678" i="15"/>
  <c r="T678" i="15"/>
  <c r="S678" i="15"/>
  <c r="R678" i="15"/>
  <c r="Q678" i="15"/>
  <c r="P678" i="15"/>
  <c r="O678" i="15"/>
  <c r="N678" i="15"/>
  <c r="M678" i="15"/>
  <c r="L678" i="15"/>
  <c r="K678" i="15"/>
  <c r="J678" i="15"/>
  <c r="I678" i="15"/>
  <c r="H678" i="15"/>
  <c r="G678" i="15"/>
  <c r="F678" i="15"/>
  <c r="E678" i="15"/>
  <c r="D678" i="15"/>
  <c r="C678" i="15"/>
  <c r="B678" i="15"/>
  <c r="A678" i="15"/>
  <c r="Y677" i="15"/>
  <c r="X677" i="15"/>
  <c r="W677" i="15"/>
  <c r="V677" i="15"/>
  <c r="U677" i="15"/>
  <c r="T677" i="15"/>
  <c r="S677" i="15"/>
  <c r="R677" i="15"/>
  <c r="Q677" i="15"/>
  <c r="P677" i="15"/>
  <c r="O677" i="15"/>
  <c r="N677" i="15"/>
  <c r="M677" i="15"/>
  <c r="L677" i="15"/>
  <c r="K677" i="15"/>
  <c r="J677" i="15"/>
  <c r="I677" i="15"/>
  <c r="H677" i="15"/>
  <c r="G677" i="15"/>
  <c r="F677" i="15"/>
  <c r="E677" i="15"/>
  <c r="D677" i="15"/>
  <c r="C677" i="15"/>
  <c r="B677" i="15"/>
  <c r="A677" i="15"/>
  <c r="Y676" i="15"/>
  <c r="X676" i="15"/>
  <c r="W676" i="15"/>
  <c r="V676" i="15"/>
  <c r="U676" i="15"/>
  <c r="T676" i="15"/>
  <c r="S676" i="15"/>
  <c r="R676" i="15"/>
  <c r="Q676" i="15"/>
  <c r="P676" i="15"/>
  <c r="O676" i="15"/>
  <c r="N676" i="15"/>
  <c r="M676" i="15"/>
  <c r="L676" i="15"/>
  <c r="K676" i="15"/>
  <c r="J676" i="15"/>
  <c r="I676" i="15"/>
  <c r="H676" i="15"/>
  <c r="G676" i="15"/>
  <c r="F676" i="15"/>
  <c r="E676" i="15"/>
  <c r="D676" i="15"/>
  <c r="C676" i="15"/>
  <c r="B676" i="15"/>
  <c r="A676" i="15"/>
  <c r="Y675" i="15"/>
  <c r="X675" i="15"/>
  <c r="W675" i="15"/>
  <c r="V675" i="15"/>
  <c r="U675" i="15"/>
  <c r="T675" i="15"/>
  <c r="S675" i="15"/>
  <c r="R675" i="15"/>
  <c r="Q675" i="15"/>
  <c r="P675" i="15"/>
  <c r="O675" i="15"/>
  <c r="N675" i="15"/>
  <c r="M675" i="15"/>
  <c r="L675" i="15"/>
  <c r="K675" i="15"/>
  <c r="J675" i="15"/>
  <c r="I675" i="15"/>
  <c r="H675" i="15"/>
  <c r="G675" i="15"/>
  <c r="F675" i="15"/>
  <c r="E675" i="15"/>
  <c r="D675" i="15"/>
  <c r="C675" i="15"/>
  <c r="B675" i="15"/>
  <c r="A675" i="15"/>
  <c r="Y674" i="15"/>
  <c r="X674" i="15"/>
  <c r="W674" i="15"/>
  <c r="V674" i="15"/>
  <c r="U674" i="15"/>
  <c r="T674" i="15"/>
  <c r="S674" i="15"/>
  <c r="R674" i="15"/>
  <c r="Q674" i="15"/>
  <c r="P674" i="15"/>
  <c r="O674" i="15"/>
  <c r="N674" i="15"/>
  <c r="M674" i="15"/>
  <c r="L674" i="15"/>
  <c r="K674" i="15"/>
  <c r="J674" i="15"/>
  <c r="I674" i="15"/>
  <c r="H674" i="15"/>
  <c r="G674" i="15"/>
  <c r="F674" i="15"/>
  <c r="E674" i="15"/>
  <c r="D674" i="15"/>
  <c r="C674" i="15"/>
  <c r="B674" i="15"/>
  <c r="A674" i="15"/>
  <c r="Y673" i="15"/>
  <c r="X673" i="15"/>
  <c r="W673" i="15"/>
  <c r="V673" i="15"/>
  <c r="U673" i="15"/>
  <c r="T673" i="15"/>
  <c r="S673" i="15"/>
  <c r="R673" i="15"/>
  <c r="Q673" i="15"/>
  <c r="P673" i="15"/>
  <c r="O673" i="15"/>
  <c r="N673" i="15"/>
  <c r="M673" i="15"/>
  <c r="L673" i="15"/>
  <c r="K673" i="15"/>
  <c r="J673" i="15"/>
  <c r="I673" i="15"/>
  <c r="H673" i="15"/>
  <c r="G673" i="15"/>
  <c r="F673" i="15"/>
  <c r="E673" i="15"/>
  <c r="D673" i="15"/>
  <c r="C673" i="15"/>
  <c r="B673" i="15"/>
  <c r="A673" i="15"/>
  <c r="Y672" i="15"/>
  <c r="X672" i="15"/>
  <c r="W672" i="15"/>
  <c r="V672" i="15"/>
  <c r="U672" i="15"/>
  <c r="T672" i="15"/>
  <c r="S672" i="15"/>
  <c r="R672" i="15"/>
  <c r="Q672" i="15"/>
  <c r="P672" i="15"/>
  <c r="O672" i="15"/>
  <c r="N672" i="15"/>
  <c r="M672" i="15"/>
  <c r="L672" i="15"/>
  <c r="K672" i="15"/>
  <c r="J672" i="15"/>
  <c r="I672" i="15"/>
  <c r="H672" i="15"/>
  <c r="G672" i="15"/>
  <c r="F672" i="15"/>
  <c r="E672" i="15"/>
  <c r="D672" i="15"/>
  <c r="C672" i="15"/>
  <c r="B672" i="15"/>
  <c r="A672" i="15"/>
  <c r="Y671" i="15"/>
  <c r="X671" i="15"/>
  <c r="W671" i="15"/>
  <c r="V671" i="15"/>
  <c r="U671" i="15"/>
  <c r="T671" i="15"/>
  <c r="S671" i="15"/>
  <c r="R671" i="15"/>
  <c r="Q671" i="15"/>
  <c r="P671" i="15"/>
  <c r="O671" i="15"/>
  <c r="N671" i="15"/>
  <c r="M671" i="15"/>
  <c r="L671" i="15"/>
  <c r="K671" i="15"/>
  <c r="J671" i="15"/>
  <c r="I671" i="15"/>
  <c r="H671" i="15"/>
  <c r="G671" i="15"/>
  <c r="F671" i="15"/>
  <c r="E671" i="15"/>
  <c r="D671" i="15"/>
  <c r="C671" i="15"/>
  <c r="B671" i="15"/>
  <c r="A671" i="15"/>
  <c r="Y670" i="15"/>
  <c r="X670" i="15"/>
  <c r="W670" i="15"/>
  <c r="V670" i="15"/>
  <c r="U670" i="15"/>
  <c r="T670" i="15"/>
  <c r="S670" i="15"/>
  <c r="R670" i="15"/>
  <c r="Q670" i="15"/>
  <c r="P670" i="15"/>
  <c r="O670" i="15"/>
  <c r="N670" i="15"/>
  <c r="M670" i="15"/>
  <c r="L670" i="15"/>
  <c r="K670" i="15"/>
  <c r="J670" i="15"/>
  <c r="I670" i="15"/>
  <c r="H670" i="15"/>
  <c r="G670" i="15"/>
  <c r="F670" i="15"/>
  <c r="E670" i="15"/>
  <c r="D670" i="15"/>
  <c r="C670" i="15"/>
  <c r="B670" i="15"/>
  <c r="A670" i="15"/>
  <c r="Y669" i="15"/>
  <c r="X669" i="15"/>
  <c r="W669" i="15"/>
  <c r="V669" i="15"/>
  <c r="U669" i="15"/>
  <c r="T669" i="15"/>
  <c r="S669" i="15"/>
  <c r="R669" i="15"/>
  <c r="Q669" i="15"/>
  <c r="P669" i="15"/>
  <c r="O669" i="15"/>
  <c r="N669" i="15"/>
  <c r="M669" i="15"/>
  <c r="L669" i="15"/>
  <c r="K669" i="15"/>
  <c r="J669" i="15"/>
  <c r="I669" i="15"/>
  <c r="H669" i="15"/>
  <c r="G669" i="15"/>
  <c r="F669" i="15"/>
  <c r="E669" i="15"/>
  <c r="D669" i="15"/>
  <c r="C669" i="15"/>
  <c r="B669" i="15"/>
  <c r="A669" i="15"/>
  <c r="Y668" i="15"/>
  <c r="X668" i="15"/>
  <c r="W668" i="15"/>
  <c r="V668" i="15"/>
  <c r="U668" i="15"/>
  <c r="T668" i="15"/>
  <c r="S668" i="15"/>
  <c r="R668" i="15"/>
  <c r="Q668" i="15"/>
  <c r="P668" i="15"/>
  <c r="O668" i="15"/>
  <c r="N668" i="15"/>
  <c r="M668" i="15"/>
  <c r="L668" i="15"/>
  <c r="K668" i="15"/>
  <c r="J668" i="15"/>
  <c r="I668" i="15"/>
  <c r="H668" i="15"/>
  <c r="G668" i="15"/>
  <c r="F668" i="15"/>
  <c r="E668" i="15"/>
  <c r="D668" i="15"/>
  <c r="C668" i="15"/>
  <c r="B668" i="15"/>
  <c r="A668" i="15"/>
  <c r="Y667" i="15"/>
  <c r="X667" i="15"/>
  <c r="W667" i="15"/>
  <c r="V667" i="15"/>
  <c r="U667" i="15"/>
  <c r="T667" i="15"/>
  <c r="S667" i="15"/>
  <c r="R667" i="15"/>
  <c r="Q667" i="15"/>
  <c r="P667" i="15"/>
  <c r="O667" i="15"/>
  <c r="N667" i="15"/>
  <c r="M667" i="15"/>
  <c r="L667" i="15"/>
  <c r="K667" i="15"/>
  <c r="J667" i="15"/>
  <c r="I667" i="15"/>
  <c r="H667" i="15"/>
  <c r="G667" i="15"/>
  <c r="F667" i="15"/>
  <c r="E667" i="15"/>
  <c r="D667" i="15"/>
  <c r="C667" i="15"/>
  <c r="B667" i="15"/>
  <c r="A667" i="15"/>
  <c r="Y666" i="15"/>
  <c r="X666" i="15"/>
  <c r="W666" i="15"/>
  <c r="V666" i="15"/>
  <c r="U666" i="15"/>
  <c r="T666" i="15"/>
  <c r="S666" i="15"/>
  <c r="R666" i="15"/>
  <c r="Q666" i="15"/>
  <c r="P666" i="15"/>
  <c r="O666" i="15"/>
  <c r="N666" i="15"/>
  <c r="M666" i="15"/>
  <c r="L666" i="15"/>
  <c r="K666" i="15"/>
  <c r="J666" i="15"/>
  <c r="I666" i="15"/>
  <c r="H666" i="15"/>
  <c r="G666" i="15"/>
  <c r="F666" i="15"/>
  <c r="E666" i="15"/>
  <c r="D666" i="15"/>
  <c r="C666" i="15"/>
  <c r="B666" i="15"/>
  <c r="A666" i="15"/>
  <c r="Y665" i="15"/>
  <c r="X665" i="15"/>
  <c r="W665" i="15"/>
  <c r="V665" i="15"/>
  <c r="U665" i="15"/>
  <c r="T665" i="15"/>
  <c r="S665" i="15"/>
  <c r="R665" i="15"/>
  <c r="Q665" i="15"/>
  <c r="P665" i="15"/>
  <c r="O665" i="15"/>
  <c r="N665" i="15"/>
  <c r="M665" i="15"/>
  <c r="L665" i="15"/>
  <c r="K665" i="15"/>
  <c r="J665" i="15"/>
  <c r="I665" i="15"/>
  <c r="H665" i="15"/>
  <c r="G665" i="15"/>
  <c r="F665" i="15"/>
  <c r="E665" i="15"/>
  <c r="D665" i="15"/>
  <c r="C665" i="15"/>
  <c r="B665" i="15"/>
  <c r="A665" i="15"/>
  <c r="Y664" i="15"/>
  <c r="X664" i="15"/>
  <c r="W664" i="15"/>
  <c r="V664" i="15"/>
  <c r="U664" i="15"/>
  <c r="T664" i="15"/>
  <c r="S664" i="15"/>
  <c r="R664" i="15"/>
  <c r="Q664" i="15"/>
  <c r="P664" i="15"/>
  <c r="O664" i="15"/>
  <c r="N664" i="15"/>
  <c r="M664" i="15"/>
  <c r="L664" i="15"/>
  <c r="K664" i="15"/>
  <c r="J664" i="15"/>
  <c r="I664" i="15"/>
  <c r="H664" i="15"/>
  <c r="G664" i="15"/>
  <c r="F664" i="15"/>
  <c r="E664" i="15"/>
  <c r="D664" i="15"/>
  <c r="C664" i="15"/>
  <c r="B664" i="15"/>
  <c r="A664" i="15"/>
  <c r="Y663" i="15"/>
  <c r="X663" i="15"/>
  <c r="W663" i="15"/>
  <c r="V663" i="15"/>
  <c r="U663" i="15"/>
  <c r="T663" i="15"/>
  <c r="S663" i="15"/>
  <c r="R663" i="15"/>
  <c r="Q663" i="15"/>
  <c r="P663" i="15"/>
  <c r="O663" i="15"/>
  <c r="N663" i="15"/>
  <c r="M663" i="15"/>
  <c r="L663" i="15"/>
  <c r="K663" i="15"/>
  <c r="J663" i="15"/>
  <c r="I663" i="15"/>
  <c r="H663" i="15"/>
  <c r="G663" i="15"/>
  <c r="F663" i="15"/>
  <c r="E663" i="15"/>
  <c r="D663" i="15"/>
  <c r="C663" i="15"/>
  <c r="B663" i="15"/>
  <c r="A663" i="15"/>
  <c r="Y662" i="15"/>
  <c r="X662" i="15"/>
  <c r="W662" i="15"/>
  <c r="V662" i="15"/>
  <c r="U662" i="15"/>
  <c r="T662" i="15"/>
  <c r="S662" i="15"/>
  <c r="R662" i="15"/>
  <c r="Q662" i="15"/>
  <c r="P662" i="15"/>
  <c r="O662" i="15"/>
  <c r="N662" i="15"/>
  <c r="M662" i="15"/>
  <c r="L662" i="15"/>
  <c r="K662" i="15"/>
  <c r="J662" i="15"/>
  <c r="I662" i="15"/>
  <c r="H662" i="15"/>
  <c r="G662" i="15"/>
  <c r="F662" i="15"/>
  <c r="E662" i="15"/>
  <c r="D662" i="15"/>
  <c r="C662" i="15"/>
  <c r="B662" i="15"/>
  <c r="A662" i="15"/>
  <c r="Y661" i="15"/>
  <c r="X661" i="15"/>
  <c r="W661" i="15"/>
  <c r="V661" i="15"/>
  <c r="U661" i="15"/>
  <c r="T661" i="15"/>
  <c r="S661" i="15"/>
  <c r="R661" i="15"/>
  <c r="Q661" i="15"/>
  <c r="P661" i="15"/>
  <c r="O661" i="15"/>
  <c r="N661" i="15"/>
  <c r="M661" i="15"/>
  <c r="L661" i="15"/>
  <c r="K661" i="15"/>
  <c r="J661" i="15"/>
  <c r="I661" i="15"/>
  <c r="H661" i="15"/>
  <c r="G661" i="15"/>
  <c r="F661" i="15"/>
  <c r="E661" i="15"/>
  <c r="D661" i="15"/>
  <c r="C661" i="15"/>
  <c r="B661" i="15"/>
  <c r="A661" i="15"/>
  <c r="Y660" i="15"/>
  <c r="X660" i="15"/>
  <c r="W660" i="15"/>
  <c r="V660" i="15"/>
  <c r="U660" i="15"/>
  <c r="T660" i="15"/>
  <c r="S660" i="15"/>
  <c r="R660" i="15"/>
  <c r="Q660" i="15"/>
  <c r="P660" i="15"/>
  <c r="O660" i="15"/>
  <c r="N660" i="15"/>
  <c r="M660" i="15"/>
  <c r="L660" i="15"/>
  <c r="K660" i="15"/>
  <c r="J660" i="15"/>
  <c r="I660" i="15"/>
  <c r="H660" i="15"/>
  <c r="G660" i="15"/>
  <c r="F660" i="15"/>
  <c r="E660" i="15"/>
  <c r="D660" i="15"/>
  <c r="C660" i="15"/>
  <c r="B660" i="15"/>
  <c r="A660" i="15"/>
  <c r="Y659" i="15"/>
  <c r="X659" i="15"/>
  <c r="W659" i="15"/>
  <c r="V659" i="15"/>
  <c r="U659" i="15"/>
  <c r="T659" i="15"/>
  <c r="S659" i="15"/>
  <c r="R659" i="15"/>
  <c r="Q659" i="15"/>
  <c r="P659" i="15"/>
  <c r="O659" i="15"/>
  <c r="N659" i="15"/>
  <c r="M659" i="15"/>
  <c r="L659" i="15"/>
  <c r="K659" i="15"/>
  <c r="J659" i="15"/>
  <c r="I659" i="15"/>
  <c r="H659" i="15"/>
  <c r="G659" i="15"/>
  <c r="F659" i="15"/>
  <c r="E659" i="15"/>
  <c r="D659" i="15"/>
  <c r="C659" i="15"/>
  <c r="B659" i="15"/>
  <c r="A659" i="15"/>
  <c r="Y658" i="15"/>
  <c r="X658" i="15"/>
  <c r="W658" i="15"/>
  <c r="V658" i="15"/>
  <c r="U658" i="15"/>
  <c r="T658" i="15"/>
  <c r="S658" i="15"/>
  <c r="R658" i="15"/>
  <c r="Q658" i="15"/>
  <c r="P658" i="15"/>
  <c r="O658" i="15"/>
  <c r="N658" i="15"/>
  <c r="M658" i="15"/>
  <c r="L658" i="15"/>
  <c r="K658" i="15"/>
  <c r="J658" i="15"/>
  <c r="I658" i="15"/>
  <c r="H658" i="15"/>
  <c r="G658" i="15"/>
  <c r="F658" i="15"/>
  <c r="E658" i="15"/>
  <c r="D658" i="15"/>
  <c r="C658" i="15"/>
  <c r="B658" i="15"/>
  <c r="A658" i="15"/>
  <c r="Y657" i="15"/>
  <c r="X657" i="15"/>
  <c r="W657" i="15"/>
  <c r="V657" i="15"/>
  <c r="U657" i="15"/>
  <c r="T657" i="15"/>
  <c r="S657" i="15"/>
  <c r="R657" i="15"/>
  <c r="Q657" i="15"/>
  <c r="P657" i="15"/>
  <c r="O657" i="15"/>
  <c r="N657" i="15"/>
  <c r="M657" i="15"/>
  <c r="L657" i="15"/>
  <c r="K657" i="15"/>
  <c r="J657" i="15"/>
  <c r="I657" i="15"/>
  <c r="H657" i="15"/>
  <c r="G657" i="15"/>
  <c r="F657" i="15"/>
  <c r="E657" i="15"/>
  <c r="D657" i="15"/>
  <c r="C657" i="15"/>
  <c r="B657" i="15"/>
  <c r="A657" i="15"/>
  <c r="Y656" i="15"/>
  <c r="X656" i="15"/>
  <c r="W656" i="15"/>
  <c r="V656" i="15"/>
  <c r="U656" i="15"/>
  <c r="T656" i="15"/>
  <c r="S656" i="15"/>
  <c r="R656" i="15"/>
  <c r="Q656" i="15"/>
  <c r="P656" i="15"/>
  <c r="O656" i="15"/>
  <c r="N656" i="15"/>
  <c r="M656" i="15"/>
  <c r="L656" i="15"/>
  <c r="K656" i="15"/>
  <c r="J656" i="15"/>
  <c r="I656" i="15"/>
  <c r="H656" i="15"/>
  <c r="G656" i="15"/>
  <c r="F656" i="15"/>
  <c r="E656" i="15"/>
  <c r="D656" i="15"/>
  <c r="C656" i="15"/>
  <c r="B656" i="15"/>
  <c r="A656" i="15"/>
  <c r="Y655" i="15"/>
  <c r="X655" i="15"/>
  <c r="W655" i="15"/>
  <c r="V655" i="15"/>
  <c r="U655" i="15"/>
  <c r="T655" i="15"/>
  <c r="S655" i="15"/>
  <c r="R655" i="15"/>
  <c r="Q655" i="15"/>
  <c r="P655" i="15"/>
  <c r="O655" i="15"/>
  <c r="N655" i="15"/>
  <c r="M655" i="15"/>
  <c r="L655" i="15"/>
  <c r="K655" i="15"/>
  <c r="J655" i="15"/>
  <c r="I655" i="15"/>
  <c r="H655" i="15"/>
  <c r="G655" i="15"/>
  <c r="F655" i="15"/>
  <c r="E655" i="15"/>
  <c r="D655" i="15"/>
  <c r="C655" i="15"/>
  <c r="B655" i="15"/>
  <c r="A655" i="15"/>
  <c r="Y654" i="15"/>
  <c r="X654" i="15"/>
  <c r="W654" i="15"/>
  <c r="V654" i="15"/>
  <c r="U654" i="15"/>
  <c r="T654" i="15"/>
  <c r="S654" i="15"/>
  <c r="R654" i="15"/>
  <c r="Q654" i="15"/>
  <c r="P654" i="15"/>
  <c r="O654" i="15"/>
  <c r="N654" i="15"/>
  <c r="M654" i="15"/>
  <c r="L654" i="15"/>
  <c r="K654" i="15"/>
  <c r="J654" i="15"/>
  <c r="I654" i="15"/>
  <c r="H654" i="15"/>
  <c r="G654" i="15"/>
  <c r="F654" i="15"/>
  <c r="E654" i="15"/>
  <c r="D654" i="15"/>
  <c r="C654" i="15"/>
  <c r="B654" i="15"/>
  <c r="A654" i="15"/>
  <c r="Y653" i="15"/>
  <c r="X653" i="15"/>
  <c r="W653" i="15"/>
  <c r="V653" i="15"/>
  <c r="U653" i="15"/>
  <c r="T653" i="15"/>
  <c r="S653" i="15"/>
  <c r="R653" i="15"/>
  <c r="Q653" i="15"/>
  <c r="P653" i="15"/>
  <c r="O653" i="15"/>
  <c r="N653" i="15"/>
  <c r="M653" i="15"/>
  <c r="L653" i="15"/>
  <c r="K653" i="15"/>
  <c r="J653" i="15"/>
  <c r="I653" i="15"/>
  <c r="H653" i="15"/>
  <c r="G653" i="15"/>
  <c r="F653" i="15"/>
  <c r="E653" i="15"/>
  <c r="D653" i="15"/>
  <c r="C653" i="15"/>
  <c r="B653" i="15"/>
  <c r="A653" i="15"/>
  <c r="Y652" i="15"/>
  <c r="X652" i="15"/>
  <c r="W652" i="15"/>
  <c r="V652" i="15"/>
  <c r="U652" i="15"/>
  <c r="T652" i="15"/>
  <c r="S652" i="15"/>
  <c r="R652" i="15"/>
  <c r="Q652" i="15"/>
  <c r="P652" i="15"/>
  <c r="O652" i="15"/>
  <c r="N652" i="15"/>
  <c r="M652" i="15"/>
  <c r="L652" i="15"/>
  <c r="K652" i="15"/>
  <c r="J652" i="15"/>
  <c r="I652" i="15"/>
  <c r="H652" i="15"/>
  <c r="G652" i="15"/>
  <c r="F652" i="15"/>
  <c r="E652" i="15"/>
  <c r="D652" i="15"/>
  <c r="C652" i="15"/>
  <c r="B652" i="15"/>
  <c r="A652" i="15"/>
  <c r="Y651" i="15"/>
  <c r="X651" i="15"/>
  <c r="W651" i="15"/>
  <c r="V651" i="15"/>
  <c r="U651" i="15"/>
  <c r="T651" i="15"/>
  <c r="S651" i="15"/>
  <c r="R651" i="15"/>
  <c r="Q651" i="15"/>
  <c r="P651" i="15"/>
  <c r="O651" i="15"/>
  <c r="N651" i="15"/>
  <c r="M651" i="15"/>
  <c r="L651" i="15"/>
  <c r="K651" i="15"/>
  <c r="J651" i="15"/>
  <c r="I651" i="15"/>
  <c r="H651" i="15"/>
  <c r="G651" i="15"/>
  <c r="F651" i="15"/>
  <c r="E651" i="15"/>
  <c r="D651" i="15"/>
  <c r="C651" i="15"/>
  <c r="B651" i="15"/>
  <c r="A651" i="15"/>
  <c r="Y650" i="15"/>
  <c r="X650" i="15"/>
  <c r="W650" i="15"/>
  <c r="V650" i="15"/>
  <c r="U650" i="15"/>
  <c r="T650" i="15"/>
  <c r="S650" i="15"/>
  <c r="R650" i="15"/>
  <c r="Q650" i="15"/>
  <c r="P650" i="15"/>
  <c r="O650" i="15"/>
  <c r="N650" i="15"/>
  <c r="M650" i="15"/>
  <c r="L650" i="15"/>
  <c r="K650" i="15"/>
  <c r="J650" i="15"/>
  <c r="I650" i="15"/>
  <c r="H650" i="15"/>
  <c r="G650" i="15"/>
  <c r="F650" i="15"/>
  <c r="E650" i="15"/>
  <c r="D650" i="15"/>
  <c r="C650" i="15"/>
  <c r="B650" i="15"/>
  <c r="A650" i="15"/>
  <c r="Y649" i="15"/>
  <c r="X649" i="15"/>
  <c r="W649" i="15"/>
  <c r="V649" i="15"/>
  <c r="U649" i="15"/>
  <c r="T649" i="15"/>
  <c r="S649" i="15"/>
  <c r="R649" i="15"/>
  <c r="Q649" i="15"/>
  <c r="P649" i="15"/>
  <c r="O649" i="15"/>
  <c r="N649" i="15"/>
  <c r="M649" i="15"/>
  <c r="L649" i="15"/>
  <c r="K649" i="15"/>
  <c r="J649" i="15"/>
  <c r="I649" i="15"/>
  <c r="H649" i="15"/>
  <c r="G649" i="15"/>
  <c r="F649" i="15"/>
  <c r="E649" i="15"/>
  <c r="D649" i="15"/>
  <c r="C649" i="15"/>
  <c r="B649" i="15"/>
  <c r="A649" i="15"/>
  <c r="Y648" i="15"/>
  <c r="X648" i="15"/>
  <c r="W648" i="15"/>
  <c r="V648" i="15"/>
  <c r="U648" i="15"/>
  <c r="T648" i="15"/>
  <c r="S648" i="15"/>
  <c r="R648" i="15"/>
  <c r="Q648" i="15"/>
  <c r="P648" i="15"/>
  <c r="O648" i="15"/>
  <c r="N648" i="15"/>
  <c r="M648" i="15"/>
  <c r="L648" i="15"/>
  <c r="K648" i="15"/>
  <c r="J648" i="15"/>
  <c r="I648" i="15"/>
  <c r="H648" i="15"/>
  <c r="G648" i="15"/>
  <c r="F648" i="15"/>
  <c r="E648" i="15"/>
  <c r="D648" i="15"/>
  <c r="C648" i="15"/>
  <c r="B648" i="15"/>
  <c r="A648" i="15"/>
  <c r="Y647" i="15"/>
  <c r="X647" i="15"/>
  <c r="W647" i="15"/>
  <c r="V647" i="15"/>
  <c r="U647" i="15"/>
  <c r="T647" i="15"/>
  <c r="S647" i="15"/>
  <c r="R647" i="15"/>
  <c r="Q647" i="15"/>
  <c r="P647" i="15"/>
  <c r="O647" i="15"/>
  <c r="N647" i="15"/>
  <c r="M647" i="15"/>
  <c r="L647" i="15"/>
  <c r="K647" i="15"/>
  <c r="J647" i="15"/>
  <c r="I647" i="15"/>
  <c r="H647" i="15"/>
  <c r="G647" i="15"/>
  <c r="F647" i="15"/>
  <c r="E647" i="15"/>
  <c r="D647" i="15"/>
  <c r="C647" i="15"/>
  <c r="B647" i="15"/>
  <c r="A647" i="15"/>
  <c r="Y646" i="15"/>
  <c r="X646" i="15"/>
  <c r="W646" i="15"/>
  <c r="V646" i="15"/>
  <c r="U646" i="15"/>
  <c r="T646" i="15"/>
  <c r="S646" i="15"/>
  <c r="R646" i="15"/>
  <c r="Q646" i="15"/>
  <c r="P646" i="15"/>
  <c r="O646" i="15"/>
  <c r="N646" i="15"/>
  <c r="M646" i="15"/>
  <c r="L646" i="15"/>
  <c r="K646" i="15"/>
  <c r="J646" i="15"/>
  <c r="I646" i="15"/>
  <c r="H646" i="15"/>
  <c r="G646" i="15"/>
  <c r="F646" i="15"/>
  <c r="E646" i="15"/>
  <c r="D646" i="15"/>
  <c r="C646" i="15"/>
  <c r="B646" i="15"/>
  <c r="A646" i="15"/>
  <c r="Y645" i="15"/>
  <c r="X645" i="15"/>
  <c r="W645" i="15"/>
  <c r="V645" i="15"/>
  <c r="U645" i="15"/>
  <c r="T645" i="15"/>
  <c r="S645" i="15"/>
  <c r="R645" i="15"/>
  <c r="Q645" i="15"/>
  <c r="P645" i="15"/>
  <c r="O645" i="15"/>
  <c r="N645" i="15"/>
  <c r="M645" i="15"/>
  <c r="L645" i="15"/>
  <c r="K645" i="15"/>
  <c r="J645" i="15"/>
  <c r="I645" i="15"/>
  <c r="H645" i="15"/>
  <c r="G645" i="15"/>
  <c r="F645" i="15"/>
  <c r="E645" i="15"/>
  <c r="D645" i="15"/>
  <c r="C645" i="15"/>
  <c r="B645" i="15"/>
  <c r="A645" i="15"/>
  <c r="Y644" i="15"/>
  <c r="X644" i="15"/>
  <c r="W644" i="15"/>
  <c r="V644" i="15"/>
  <c r="U644" i="15"/>
  <c r="T644" i="15"/>
  <c r="S644" i="15"/>
  <c r="R644" i="15"/>
  <c r="Q644" i="15"/>
  <c r="P644" i="15"/>
  <c r="O644" i="15"/>
  <c r="N644" i="15"/>
  <c r="M644" i="15"/>
  <c r="L644" i="15"/>
  <c r="K644" i="15"/>
  <c r="J644" i="15"/>
  <c r="I644" i="15"/>
  <c r="H644" i="15"/>
  <c r="G644" i="15"/>
  <c r="F644" i="15"/>
  <c r="E644" i="15"/>
  <c r="D644" i="15"/>
  <c r="C644" i="15"/>
  <c r="B644" i="15"/>
  <c r="A644" i="15"/>
  <c r="Y643" i="15"/>
  <c r="X643" i="15"/>
  <c r="W643" i="15"/>
  <c r="V643" i="15"/>
  <c r="U643" i="15"/>
  <c r="T643" i="15"/>
  <c r="S643" i="15"/>
  <c r="R643" i="15"/>
  <c r="Q643" i="15"/>
  <c r="P643" i="15"/>
  <c r="O643" i="15"/>
  <c r="N643" i="15"/>
  <c r="M643" i="15"/>
  <c r="L643" i="15"/>
  <c r="K643" i="15"/>
  <c r="J643" i="15"/>
  <c r="I643" i="15"/>
  <c r="H643" i="15"/>
  <c r="G643" i="15"/>
  <c r="F643" i="15"/>
  <c r="E643" i="15"/>
  <c r="D643" i="15"/>
  <c r="C643" i="15"/>
  <c r="B643" i="15"/>
  <c r="A643" i="15"/>
  <c r="Y642" i="15"/>
  <c r="X642" i="15"/>
  <c r="W642" i="15"/>
  <c r="V642" i="15"/>
  <c r="U642" i="15"/>
  <c r="T642" i="15"/>
  <c r="S642" i="15"/>
  <c r="R642" i="15"/>
  <c r="Q642" i="15"/>
  <c r="P642" i="15"/>
  <c r="O642" i="15"/>
  <c r="N642" i="15"/>
  <c r="M642" i="15"/>
  <c r="L642" i="15"/>
  <c r="K642" i="15"/>
  <c r="J642" i="15"/>
  <c r="I642" i="15"/>
  <c r="H642" i="15"/>
  <c r="G642" i="15"/>
  <c r="F642" i="15"/>
  <c r="E642" i="15"/>
  <c r="D642" i="15"/>
  <c r="C642" i="15"/>
  <c r="B642" i="15"/>
  <c r="A642" i="15"/>
  <c r="Y641" i="15"/>
  <c r="X641" i="15"/>
  <c r="W641" i="15"/>
  <c r="V641" i="15"/>
  <c r="U641" i="15"/>
  <c r="T641" i="15"/>
  <c r="S641" i="15"/>
  <c r="R641" i="15"/>
  <c r="Q641" i="15"/>
  <c r="P641" i="15"/>
  <c r="O641" i="15"/>
  <c r="N641" i="15"/>
  <c r="M641" i="15"/>
  <c r="L641" i="15"/>
  <c r="K641" i="15"/>
  <c r="J641" i="15"/>
  <c r="I641" i="15"/>
  <c r="H641" i="15"/>
  <c r="G641" i="15"/>
  <c r="F641" i="15"/>
  <c r="E641" i="15"/>
  <c r="D641" i="15"/>
  <c r="C641" i="15"/>
  <c r="B641" i="15"/>
  <c r="A641" i="15"/>
  <c r="Y640" i="15"/>
  <c r="X640" i="15"/>
  <c r="W640" i="15"/>
  <c r="V640" i="15"/>
  <c r="U640" i="15"/>
  <c r="T640" i="15"/>
  <c r="S640" i="15"/>
  <c r="R640" i="15"/>
  <c r="Q640" i="15"/>
  <c r="P640" i="15"/>
  <c r="O640" i="15"/>
  <c r="N640" i="15"/>
  <c r="M640" i="15"/>
  <c r="L640" i="15"/>
  <c r="K640" i="15"/>
  <c r="J640" i="15"/>
  <c r="I640" i="15"/>
  <c r="H640" i="15"/>
  <c r="G640" i="15"/>
  <c r="F640" i="15"/>
  <c r="E640" i="15"/>
  <c r="D640" i="15"/>
  <c r="C640" i="15"/>
  <c r="B640" i="15"/>
  <c r="A640" i="15"/>
  <c r="Y639" i="15"/>
  <c r="X639" i="15"/>
  <c r="W639" i="15"/>
  <c r="V639" i="15"/>
  <c r="U639" i="15"/>
  <c r="T639" i="15"/>
  <c r="S639" i="15"/>
  <c r="R639" i="15"/>
  <c r="Q639" i="15"/>
  <c r="P639" i="15"/>
  <c r="O639" i="15"/>
  <c r="N639" i="15"/>
  <c r="M639" i="15"/>
  <c r="L639" i="15"/>
  <c r="K639" i="15"/>
  <c r="J639" i="15"/>
  <c r="I639" i="15"/>
  <c r="H639" i="15"/>
  <c r="G639" i="15"/>
  <c r="F639" i="15"/>
  <c r="E639" i="15"/>
  <c r="D639" i="15"/>
  <c r="C639" i="15"/>
  <c r="B639" i="15"/>
  <c r="A639" i="15"/>
  <c r="Y638" i="15"/>
  <c r="X638" i="15"/>
  <c r="W638" i="15"/>
  <c r="V638" i="15"/>
  <c r="U638" i="15"/>
  <c r="T638" i="15"/>
  <c r="S638" i="15"/>
  <c r="R638" i="15"/>
  <c r="Q638" i="15"/>
  <c r="P638" i="15"/>
  <c r="O638" i="15"/>
  <c r="N638" i="15"/>
  <c r="M638" i="15"/>
  <c r="L638" i="15"/>
  <c r="K638" i="15"/>
  <c r="J638" i="15"/>
  <c r="I638" i="15"/>
  <c r="H638" i="15"/>
  <c r="G638" i="15"/>
  <c r="F638" i="15"/>
  <c r="E638" i="15"/>
  <c r="D638" i="15"/>
  <c r="C638" i="15"/>
  <c r="B638" i="15"/>
  <c r="A638" i="15"/>
  <c r="Y637" i="15"/>
  <c r="X637" i="15"/>
  <c r="W637" i="15"/>
  <c r="V637" i="15"/>
  <c r="U637" i="15"/>
  <c r="T637" i="15"/>
  <c r="S637" i="15"/>
  <c r="R637" i="15"/>
  <c r="Q637" i="15"/>
  <c r="P637" i="15"/>
  <c r="O637" i="15"/>
  <c r="N637" i="15"/>
  <c r="M637" i="15"/>
  <c r="L637" i="15"/>
  <c r="K637" i="15"/>
  <c r="J637" i="15"/>
  <c r="I637" i="15"/>
  <c r="H637" i="15"/>
  <c r="G637" i="15"/>
  <c r="F637" i="15"/>
  <c r="E637" i="15"/>
  <c r="D637" i="15"/>
  <c r="C637" i="15"/>
  <c r="B637" i="15"/>
  <c r="A637" i="15"/>
  <c r="Y636" i="15"/>
  <c r="X636" i="15"/>
  <c r="W636" i="15"/>
  <c r="V636" i="15"/>
  <c r="U636" i="15"/>
  <c r="T636" i="15"/>
  <c r="S636" i="15"/>
  <c r="R636" i="15"/>
  <c r="Q636" i="15"/>
  <c r="P636" i="15"/>
  <c r="O636" i="15"/>
  <c r="N636" i="15"/>
  <c r="M636" i="15"/>
  <c r="L636" i="15"/>
  <c r="K636" i="15"/>
  <c r="J636" i="15"/>
  <c r="I636" i="15"/>
  <c r="H636" i="15"/>
  <c r="G636" i="15"/>
  <c r="F636" i="15"/>
  <c r="E636" i="15"/>
  <c r="D636" i="15"/>
  <c r="C636" i="15"/>
  <c r="B636" i="15"/>
  <c r="A636" i="15"/>
  <c r="Y635" i="15"/>
  <c r="X635" i="15"/>
  <c r="W635" i="15"/>
  <c r="V635" i="15"/>
  <c r="U635" i="15"/>
  <c r="T635" i="15"/>
  <c r="S635" i="15"/>
  <c r="R635" i="15"/>
  <c r="Q635" i="15"/>
  <c r="P635" i="15"/>
  <c r="O635" i="15"/>
  <c r="N635" i="15"/>
  <c r="M635" i="15"/>
  <c r="L635" i="15"/>
  <c r="K635" i="15"/>
  <c r="J635" i="15"/>
  <c r="I635" i="15"/>
  <c r="H635" i="15"/>
  <c r="G635" i="15"/>
  <c r="F635" i="15"/>
  <c r="E635" i="15"/>
  <c r="D635" i="15"/>
  <c r="C635" i="15"/>
  <c r="B635" i="15"/>
  <c r="A635" i="15"/>
  <c r="Y634" i="15"/>
  <c r="X634" i="15"/>
  <c r="W634" i="15"/>
  <c r="V634" i="15"/>
  <c r="U634" i="15"/>
  <c r="T634" i="15"/>
  <c r="S634" i="15"/>
  <c r="R634" i="15"/>
  <c r="Q634" i="15"/>
  <c r="P634" i="15"/>
  <c r="O634" i="15"/>
  <c r="N634" i="15"/>
  <c r="M634" i="15"/>
  <c r="L634" i="15"/>
  <c r="K634" i="15"/>
  <c r="J634" i="15"/>
  <c r="I634" i="15"/>
  <c r="H634" i="15"/>
  <c r="G634" i="15"/>
  <c r="F634" i="15"/>
  <c r="E634" i="15"/>
  <c r="D634" i="15"/>
  <c r="C634" i="15"/>
  <c r="B634" i="15"/>
  <c r="A634" i="15"/>
  <c r="Y633" i="15"/>
  <c r="X633" i="15"/>
  <c r="W633" i="15"/>
  <c r="V633" i="15"/>
  <c r="U633" i="15"/>
  <c r="T633" i="15"/>
  <c r="S633" i="15"/>
  <c r="R633" i="15"/>
  <c r="Q633" i="15"/>
  <c r="P633" i="15"/>
  <c r="O633" i="15"/>
  <c r="N633" i="15"/>
  <c r="M633" i="15"/>
  <c r="L633" i="15"/>
  <c r="K633" i="15"/>
  <c r="J633" i="15"/>
  <c r="I633" i="15"/>
  <c r="H633" i="15"/>
  <c r="G633" i="15"/>
  <c r="F633" i="15"/>
  <c r="E633" i="15"/>
  <c r="D633" i="15"/>
  <c r="C633" i="15"/>
  <c r="B633" i="15"/>
  <c r="A633" i="15"/>
  <c r="Y632" i="15"/>
  <c r="X632" i="15"/>
  <c r="W632" i="15"/>
  <c r="V632" i="15"/>
  <c r="U632" i="15"/>
  <c r="T632" i="15"/>
  <c r="S632" i="15"/>
  <c r="R632" i="15"/>
  <c r="Q632" i="15"/>
  <c r="P632" i="15"/>
  <c r="O632" i="15"/>
  <c r="N632" i="15"/>
  <c r="M632" i="15"/>
  <c r="L632" i="15"/>
  <c r="K632" i="15"/>
  <c r="J632" i="15"/>
  <c r="I632" i="15"/>
  <c r="H632" i="15"/>
  <c r="G632" i="15"/>
  <c r="F632" i="15"/>
  <c r="E632" i="15"/>
  <c r="D632" i="15"/>
  <c r="C632" i="15"/>
  <c r="B632" i="15"/>
  <c r="A632" i="15"/>
  <c r="Y631" i="15"/>
  <c r="X631" i="15"/>
  <c r="W631" i="15"/>
  <c r="V631" i="15"/>
  <c r="U631" i="15"/>
  <c r="T631" i="15"/>
  <c r="S631" i="15"/>
  <c r="R631" i="15"/>
  <c r="Q631" i="15"/>
  <c r="P631" i="15"/>
  <c r="O631" i="15"/>
  <c r="N631" i="15"/>
  <c r="M631" i="15"/>
  <c r="L631" i="15"/>
  <c r="K631" i="15"/>
  <c r="J631" i="15"/>
  <c r="I631" i="15"/>
  <c r="H631" i="15"/>
  <c r="G631" i="15"/>
  <c r="F631" i="15"/>
  <c r="E631" i="15"/>
  <c r="D631" i="15"/>
  <c r="C631" i="15"/>
  <c r="B631" i="15"/>
  <c r="A631" i="15"/>
  <c r="Y630" i="15"/>
  <c r="X630" i="15"/>
  <c r="W630" i="15"/>
  <c r="V630" i="15"/>
  <c r="U630" i="15"/>
  <c r="T630" i="15"/>
  <c r="S630" i="15"/>
  <c r="R630" i="15"/>
  <c r="Q630" i="15"/>
  <c r="P630" i="15"/>
  <c r="O630" i="15"/>
  <c r="N630" i="15"/>
  <c r="M630" i="15"/>
  <c r="L630" i="15"/>
  <c r="K630" i="15"/>
  <c r="J630" i="15"/>
  <c r="I630" i="15"/>
  <c r="H630" i="15"/>
  <c r="G630" i="15"/>
  <c r="F630" i="15"/>
  <c r="E630" i="15"/>
  <c r="D630" i="15"/>
  <c r="C630" i="15"/>
  <c r="B630" i="15"/>
  <c r="A630" i="15"/>
  <c r="Y629" i="15"/>
  <c r="X629" i="15"/>
  <c r="W629" i="15"/>
  <c r="V629" i="15"/>
  <c r="U629" i="15"/>
  <c r="T629" i="15"/>
  <c r="S629" i="15"/>
  <c r="R629" i="15"/>
  <c r="Q629" i="15"/>
  <c r="P629" i="15"/>
  <c r="O629" i="15"/>
  <c r="N629" i="15"/>
  <c r="M629" i="15"/>
  <c r="L629" i="15"/>
  <c r="K629" i="15"/>
  <c r="J629" i="15"/>
  <c r="I629" i="15"/>
  <c r="H629" i="15"/>
  <c r="G629" i="15"/>
  <c r="F629" i="15"/>
  <c r="E629" i="15"/>
  <c r="D629" i="15"/>
  <c r="C629" i="15"/>
  <c r="B629" i="15"/>
  <c r="A629" i="15"/>
  <c r="Y628" i="15"/>
  <c r="X628" i="15"/>
  <c r="W628" i="15"/>
  <c r="V628" i="15"/>
  <c r="U628" i="15"/>
  <c r="T628" i="15"/>
  <c r="S628" i="15"/>
  <c r="R628" i="15"/>
  <c r="Q628" i="15"/>
  <c r="P628" i="15"/>
  <c r="O628" i="15"/>
  <c r="N628" i="15"/>
  <c r="M628" i="15"/>
  <c r="L628" i="15"/>
  <c r="K628" i="15"/>
  <c r="J628" i="15"/>
  <c r="I628" i="15"/>
  <c r="H628" i="15"/>
  <c r="G628" i="15"/>
  <c r="F628" i="15"/>
  <c r="E628" i="15"/>
  <c r="D628" i="15"/>
  <c r="C628" i="15"/>
  <c r="B628" i="15"/>
  <c r="A628" i="15"/>
  <c r="Y627" i="15"/>
  <c r="X627" i="15"/>
  <c r="W627" i="15"/>
  <c r="V627" i="15"/>
  <c r="U627" i="15"/>
  <c r="T627" i="15"/>
  <c r="S627" i="15"/>
  <c r="R627" i="15"/>
  <c r="Q627" i="15"/>
  <c r="P627" i="15"/>
  <c r="O627" i="15"/>
  <c r="N627" i="15"/>
  <c r="M627" i="15"/>
  <c r="L627" i="15"/>
  <c r="K627" i="15"/>
  <c r="J627" i="15"/>
  <c r="I627" i="15"/>
  <c r="H627" i="15"/>
  <c r="G627" i="15"/>
  <c r="F627" i="15"/>
  <c r="E627" i="15"/>
  <c r="D627" i="15"/>
  <c r="C627" i="15"/>
  <c r="B627" i="15"/>
  <c r="A627" i="15"/>
  <c r="Y626" i="15"/>
  <c r="X626" i="15"/>
  <c r="W626" i="15"/>
  <c r="V626" i="15"/>
  <c r="U626" i="15"/>
  <c r="T626" i="15"/>
  <c r="S626" i="15"/>
  <c r="R626" i="15"/>
  <c r="Q626" i="15"/>
  <c r="P626" i="15"/>
  <c r="O626" i="15"/>
  <c r="N626" i="15"/>
  <c r="M626" i="15"/>
  <c r="L626" i="15"/>
  <c r="K626" i="15"/>
  <c r="J626" i="15"/>
  <c r="I626" i="15"/>
  <c r="H626" i="15"/>
  <c r="G626" i="15"/>
  <c r="F626" i="15"/>
  <c r="E626" i="15"/>
  <c r="D626" i="15"/>
  <c r="C626" i="15"/>
  <c r="B626" i="15"/>
  <c r="A626" i="15"/>
  <c r="Y625" i="15"/>
  <c r="X625" i="15"/>
  <c r="W625" i="15"/>
  <c r="V625" i="15"/>
  <c r="U625" i="15"/>
  <c r="T625" i="15"/>
  <c r="S625" i="15"/>
  <c r="R625" i="15"/>
  <c r="Q625" i="15"/>
  <c r="P625" i="15"/>
  <c r="O625" i="15"/>
  <c r="N625" i="15"/>
  <c r="M625" i="15"/>
  <c r="L625" i="15"/>
  <c r="K625" i="15"/>
  <c r="J625" i="15"/>
  <c r="I625" i="15"/>
  <c r="H625" i="15"/>
  <c r="G625" i="15"/>
  <c r="F625" i="15"/>
  <c r="E625" i="15"/>
  <c r="D625" i="15"/>
  <c r="C625" i="15"/>
  <c r="B625" i="15"/>
  <c r="A625" i="15"/>
  <c r="Y624" i="15"/>
  <c r="X624" i="15"/>
  <c r="W624" i="15"/>
  <c r="V624" i="15"/>
  <c r="U624" i="15"/>
  <c r="T624" i="15"/>
  <c r="S624" i="15"/>
  <c r="R624" i="15"/>
  <c r="Q624" i="15"/>
  <c r="P624" i="15"/>
  <c r="O624" i="15"/>
  <c r="N624" i="15"/>
  <c r="M624" i="15"/>
  <c r="L624" i="15"/>
  <c r="K624" i="15"/>
  <c r="J624" i="15"/>
  <c r="I624" i="15"/>
  <c r="H624" i="15"/>
  <c r="G624" i="15"/>
  <c r="F624" i="15"/>
  <c r="E624" i="15"/>
  <c r="D624" i="15"/>
  <c r="C624" i="15"/>
  <c r="B624" i="15"/>
  <c r="A624" i="15"/>
  <c r="Y623" i="15"/>
  <c r="X623" i="15"/>
  <c r="W623" i="15"/>
  <c r="V623" i="15"/>
  <c r="U623" i="15"/>
  <c r="T623" i="15"/>
  <c r="S623" i="15"/>
  <c r="R623" i="15"/>
  <c r="Q623" i="15"/>
  <c r="P623" i="15"/>
  <c r="O623" i="15"/>
  <c r="N623" i="15"/>
  <c r="M623" i="15"/>
  <c r="L623" i="15"/>
  <c r="K623" i="15"/>
  <c r="J623" i="15"/>
  <c r="I623" i="15"/>
  <c r="H623" i="15"/>
  <c r="G623" i="15"/>
  <c r="F623" i="15"/>
  <c r="E623" i="15"/>
  <c r="D623" i="15"/>
  <c r="C623" i="15"/>
  <c r="B623" i="15"/>
  <c r="A623" i="15"/>
  <c r="Y622" i="15"/>
  <c r="X622" i="15"/>
  <c r="W622" i="15"/>
  <c r="V622" i="15"/>
  <c r="U622" i="15"/>
  <c r="T622" i="15"/>
  <c r="S622" i="15"/>
  <c r="R622" i="15"/>
  <c r="Q622" i="15"/>
  <c r="P622" i="15"/>
  <c r="O622" i="15"/>
  <c r="N622" i="15"/>
  <c r="M622" i="15"/>
  <c r="L622" i="15"/>
  <c r="K622" i="15"/>
  <c r="J622" i="15"/>
  <c r="I622" i="15"/>
  <c r="H622" i="15"/>
  <c r="G622" i="15"/>
  <c r="F622" i="15"/>
  <c r="E622" i="15"/>
  <c r="D622" i="15"/>
  <c r="C622" i="15"/>
  <c r="B622" i="15"/>
  <c r="A622" i="15"/>
  <c r="Y621" i="15"/>
  <c r="X621" i="15"/>
  <c r="W621" i="15"/>
  <c r="V621" i="15"/>
  <c r="U621" i="15"/>
  <c r="T621" i="15"/>
  <c r="S621" i="15"/>
  <c r="R621" i="15"/>
  <c r="Q621" i="15"/>
  <c r="P621" i="15"/>
  <c r="O621" i="15"/>
  <c r="N621" i="15"/>
  <c r="M621" i="15"/>
  <c r="L621" i="15"/>
  <c r="K621" i="15"/>
  <c r="J621" i="15"/>
  <c r="I621" i="15"/>
  <c r="H621" i="15"/>
  <c r="G621" i="15"/>
  <c r="F621" i="15"/>
  <c r="E621" i="15"/>
  <c r="D621" i="15"/>
  <c r="C621" i="15"/>
  <c r="B621" i="15"/>
  <c r="A621" i="15"/>
  <c r="Y620" i="15"/>
  <c r="X620" i="15"/>
  <c r="W620" i="15"/>
  <c r="V620" i="15"/>
  <c r="U620" i="15"/>
  <c r="T620" i="15"/>
  <c r="S620" i="15"/>
  <c r="R620" i="15"/>
  <c r="Q620" i="15"/>
  <c r="P620" i="15"/>
  <c r="O620" i="15"/>
  <c r="N620" i="15"/>
  <c r="M620" i="15"/>
  <c r="L620" i="15"/>
  <c r="K620" i="15"/>
  <c r="J620" i="15"/>
  <c r="I620" i="15"/>
  <c r="H620" i="15"/>
  <c r="G620" i="15"/>
  <c r="F620" i="15"/>
  <c r="E620" i="15"/>
  <c r="D620" i="15"/>
  <c r="C620" i="15"/>
  <c r="B620" i="15"/>
  <c r="A620" i="15"/>
  <c r="Y619" i="15"/>
  <c r="X619" i="15"/>
  <c r="W619" i="15"/>
  <c r="V619" i="15"/>
  <c r="U619" i="15"/>
  <c r="T619" i="15"/>
  <c r="S619" i="15"/>
  <c r="R619" i="15"/>
  <c r="Q619" i="15"/>
  <c r="P619" i="15"/>
  <c r="O619" i="15"/>
  <c r="N619" i="15"/>
  <c r="M619" i="15"/>
  <c r="L619" i="15"/>
  <c r="K619" i="15"/>
  <c r="J619" i="15"/>
  <c r="I619" i="15"/>
  <c r="H619" i="15"/>
  <c r="G619" i="15"/>
  <c r="F619" i="15"/>
  <c r="E619" i="15"/>
  <c r="D619" i="15"/>
  <c r="C619" i="15"/>
  <c r="B619" i="15"/>
  <c r="A619" i="15"/>
  <c r="Y618" i="15"/>
  <c r="X618" i="15"/>
  <c r="W618" i="15"/>
  <c r="V618" i="15"/>
  <c r="U618" i="15"/>
  <c r="T618" i="15"/>
  <c r="S618" i="15"/>
  <c r="R618" i="15"/>
  <c r="Q618" i="15"/>
  <c r="P618" i="15"/>
  <c r="O618" i="15"/>
  <c r="N618" i="15"/>
  <c r="M618" i="15"/>
  <c r="L618" i="15"/>
  <c r="K618" i="15"/>
  <c r="J618" i="15"/>
  <c r="I618" i="15"/>
  <c r="H618" i="15"/>
  <c r="G618" i="15"/>
  <c r="F618" i="15"/>
  <c r="E618" i="15"/>
  <c r="D618" i="15"/>
  <c r="C618" i="15"/>
  <c r="B618" i="15"/>
  <c r="A618" i="15"/>
  <c r="Y617" i="15"/>
  <c r="X617" i="15"/>
  <c r="W617" i="15"/>
  <c r="V617" i="15"/>
  <c r="U617" i="15"/>
  <c r="T617" i="15"/>
  <c r="S617" i="15"/>
  <c r="R617" i="15"/>
  <c r="Q617" i="15"/>
  <c r="P617" i="15"/>
  <c r="O617" i="15"/>
  <c r="N617" i="15"/>
  <c r="M617" i="15"/>
  <c r="L617" i="15"/>
  <c r="K617" i="15"/>
  <c r="J617" i="15"/>
  <c r="I617" i="15"/>
  <c r="H617" i="15"/>
  <c r="G617" i="15"/>
  <c r="F617" i="15"/>
  <c r="E617" i="15"/>
  <c r="D617" i="15"/>
  <c r="C617" i="15"/>
  <c r="B617" i="15"/>
  <c r="A617" i="15"/>
  <c r="Y616" i="15"/>
  <c r="X616" i="15"/>
  <c r="W616" i="15"/>
  <c r="V616" i="15"/>
  <c r="U616" i="15"/>
  <c r="T616" i="15"/>
  <c r="S616" i="15"/>
  <c r="R616" i="15"/>
  <c r="Q616" i="15"/>
  <c r="P616" i="15"/>
  <c r="O616" i="15"/>
  <c r="N616" i="15"/>
  <c r="M616" i="15"/>
  <c r="L616" i="15"/>
  <c r="K616" i="15"/>
  <c r="J616" i="15"/>
  <c r="I616" i="15"/>
  <c r="H616" i="15"/>
  <c r="G616" i="15"/>
  <c r="F616" i="15"/>
  <c r="E616" i="15"/>
  <c r="D616" i="15"/>
  <c r="C616" i="15"/>
  <c r="B616" i="15"/>
  <c r="A616" i="15"/>
  <c r="Y615" i="15"/>
  <c r="X615" i="15"/>
  <c r="W615" i="15"/>
  <c r="V615" i="15"/>
  <c r="U615" i="15"/>
  <c r="T615" i="15"/>
  <c r="S615" i="15"/>
  <c r="R615" i="15"/>
  <c r="Q615" i="15"/>
  <c r="P615" i="15"/>
  <c r="O615" i="15"/>
  <c r="N615" i="15"/>
  <c r="M615" i="15"/>
  <c r="L615" i="15"/>
  <c r="K615" i="15"/>
  <c r="J615" i="15"/>
  <c r="I615" i="15"/>
  <c r="H615" i="15"/>
  <c r="G615" i="15"/>
  <c r="F615" i="15"/>
  <c r="E615" i="15"/>
  <c r="D615" i="15"/>
  <c r="C615" i="15"/>
  <c r="B615" i="15"/>
  <c r="A615" i="15"/>
  <c r="Y614" i="15"/>
  <c r="X614" i="15"/>
  <c r="W614" i="15"/>
  <c r="V614" i="15"/>
  <c r="U614" i="15"/>
  <c r="T614" i="15"/>
  <c r="S614" i="15"/>
  <c r="R614" i="15"/>
  <c r="Q614" i="15"/>
  <c r="P614" i="15"/>
  <c r="O614" i="15"/>
  <c r="N614" i="15"/>
  <c r="M614" i="15"/>
  <c r="L614" i="15"/>
  <c r="K614" i="15"/>
  <c r="J614" i="15"/>
  <c r="I614" i="15"/>
  <c r="H614" i="15"/>
  <c r="G614" i="15"/>
  <c r="F614" i="15"/>
  <c r="E614" i="15"/>
  <c r="D614" i="15"/>
  <c r="C614" i="15"/>
  <c r="B614" i="15"/>
  <c r="A614" i="15"/>
  <c r="Y613" i="15"/>
  <c r="X613" i="15"/>
  <c r="W613" i="15"/>
  <c r="V613" i="15"/>
  <c r="U613" i="15"/>
  <c r="T613" i="15"/>
  <c r="S613" i="15"/>
  <c r="R613" i="15"/>
  <c r="Q613" i="15"/>
  <c r="P613" i="15"/>
  <c r="O613" i="15"/>
  <c r="N613" i="15"/>
  <c r="M613" i="15"/>
  <c r="L613" i="15"/>
  <c r="K613" i="15"/>
  <c r="J613" i="15"/>
  <c r="I613" i="15"/>
  <c r="H613" i="15"/>
  <c r="G613" i="15"/>
  <c r="F613" i="15"/>
  <c r="E613" i="15"/>
  <c r="D613" i="15"/>
  <c r="C613" i="15"/>
  <c r="B613" i="15"/>
  <c r="A613" i="15"/>
  <c r="Y612" i="15"/>
  <c r="X612" i="15"/>
  <c r="W612" i="15"/>
  <c r="V612" i="15"/>
  <c r="U612" i="15"/>
  <c r="T612" i="15"/>
  <c r="S612" i="15"/>
  <c r="R612" i="15"/>
  <c r="Q612" i="15"/>
  <c r="P612" i="15"/>
  <c r="O612" i="15"/>
  <c r="N612" i="15"/>
  <c r="M612" i="15"/>
  <c r="L612" i="15"/>
  <c r="K612" i="15"/>
  <c r="J612" i="15"/>
  <c r="I612" i="15"/>
  <c r="H612" i="15"/>
  <c r="G612" i="15"/>
  <c r="F612" i="15"/>
  <c r="E612" i="15"/>
  <c r="D612" i="15"/>
  <c r="C612" i="15"/>
  <c r="B612" i="15"/>
  <c r="A612" i="15"/>
  <c r="Y611" i="15"/>
  <c r="X611" i="15"/>
  <c r="W611" i="15"/>
  <c r="V611" i="15"/>
  <c r="U611" i="15"/>
  <c r="T611" i="15"/>
  <c r="S611" i="15"/>
  <c r="R611" i="15"/>
  <c r="Q611" i="15"/>
  <c r="P611" i="15"/>
  <c r="O611" i="15"/>
  <c r="N611" i="15"/>
  <c r="M611" i="15"/>
  <c r="L611" i="15"/>
  <c r="K611" i="15"/>
  <c r="J611" i="15"/>
  <c r="I611" i="15"/>
  <c r="H611" i="15"/>
  <c r="G611" i="15"/>
  <c r="F611" i="15"/>
  <c r="E611" i="15"/>
  <c r="D611" i="15"/>
  <c r="C611" i="15"/>
  <c r="B611" i="15"/>
  <c r="A611" i="15"/>
  <c r="Y610" i="15"/>
  <c r="X610" i="15"/>
  <c r="W610" i="15"/>
  <c r="V610" i="15"/>
  <c r="U610" i="15"/>
  <c r="T610" i="15"/>
  <c r="S610" i="15"/>
  <c r="R610" i="15"/>
  <c r="Q610" i="15"/>
  <c r="P610" i="15"/>
  <c r="O610" i="15"/>
  <c r="N610" i="15"/>
  <c r="M610" i="15"/>
  <c r="L610" i="15"/>
  <c r="K610" i="15"/>
  <c r="J610" i="15"/>
  <c r="I610" i="15"/>
  <c r="H610" i="15"/>
  <c r="G610" i="15"/>
  <c r="F610" i="15"/>
  <c r="E610" i="15"/>
  <c r="D610" i="15"/>
  <c r="C610" i="15"/>
  <c r="B610" i="15"/>
  <c r="A610" i="15"/>
  <c r="Y609" i="15"/>
  <c r="X609" i="15"/>
  <c r="W609" i="15"/>
  <c r="V609" i="15"/>
  <c r="U609" i="15"/>
  <c r="T609" i="15"/>
  <c r="S609" i="15"/>
  <c r="R609" i="15"/>
  <c r="Q609" i="15"/>
  <c r="P609" i="15"/>
  <c r="O609" i="15"/>
  <c r="N609" i="15"/>
  <c r="M609" i="15"/>
  <c r="L609" i="15"/>
  <c r="K609" i="15"/>
  <c r="J609" i="15"/>
  <c r="I609" i="15"/>
  <c r="H609" i="15"/>
  <c r="G609" i="15"/>
  <c r="F609" i="15"/>
  <c r="E609" i="15"/>
  <c r="D609" i="15"/>
  <c r="C609" i="15"/>
  <c r="B609" i="15"/>
  <c r="A609" i="15"/>
  <c r="Y608" i="15"/>
  <c r="X608" i="15"/>
  <c r="W608" i="15"/>
  <c r="V608" i="15"/>
  <c r="U608" i="15"/>
  <c r="T608" i="15"/>
  <c r="S608" i="15"/>
  <c r="R608" i="15"/>
  <c r="Q608" i="15"/>
  <c r="P608" i="15"/>
  <c r="O608" i="15"/>
  <c r="N608" i="15"/>
  <c r="M608" i="15"/>
  <c r="L608" i="15"/>
  <c r="K608" i="15"/>
  <c r="J608" i="15"/>
  <c r="I608" i="15"/>
  <c r="H608" i="15"/>
  <c r="G608" i="15"/>
  <c r="F608" i="15"/>
  <c r="E608" i="15"/>
  <c r="D608" i="15"/>
  <c r="C608" i="15"/>
  <c r="B608" i="15"/>
  <c r="A608" i="15"/>
  <c r="Y607" i="15"/>
  <c r="X607" i="15"/>
  <c r="W607" i="15"/>
  <c r="V607" i="15"/>
  <c r="U607" i="15"/>
  <c r="T607" i="15"/>
  <c r="S607" i="15"/>
  <c r="R607" i="15"/>
  <c r="Q607" i="15"/>
  <c r="P607" i="15"/>
  <c r="O607" i="15"/>
  <c r="N607" i="15"/>
  <c r="M607" i="15"/>
  <c r="L607" i="15"/>
  <c r="K607" i="15"/>
  <c r="J607" i="15"/>
  <c r="I607" i="15"/>
  <c r="H607" i="15"/>
  <c r="G607" i="15"/>
  <c r="F607" i="15"/>
  <c r="E607" i="15"/>
  <c r="D607" i="15"/>
  <c r="C607" i="15"/>
  <c r="B607" i="15"/>
  <c r="A607" i="15"/>
  <c r="Y606" i="15"/>
  <c r="X606" i="15"/>
  <c r="W606" i="15"/>
  <c r="V606" i="15"/>
  <c r="U606" i="15"/>
  <c r="T606" i="15"/>
  <c r="S606" i="15"/>
  <c r="R606" i="15"/>
  <c r="Q606" i="15"/>
  <c r="P606" i="15"/>
  <c r="O606" i="15"/>
  <c r="N606" i="15"/>
  <c r="M606" i="15"/>
  <c r="L606" i="15"/>
  <c r="K606" i="15"/>
  <c r="J606" i="15"/>
  <c r="I606" i="15"/>
  <c r="H606" i="15"/>
  <c r="G606" i="15"/>
  <c r="F606" i="15"/>
  <c r="E606" i="15"/>
  <c r="D606" i="15"/>
  <c r="C606" i="15"/>
  <c r="B606" i="15"/>
  <c r="A606" i="15"/>
  <c r="Y605" i="15"/>
  <c r="X605" i="15"/>
  <c r="W605" i="15"/>
  <c r="V605" i="15"/>
  <c r="U605" i="15"/>
  <c r="T605" i="15"/>
  <c r="S605" i="15"/>
  <c r="R605" i="15"/>
  <c r="Q605" i="15"/>
  <c r="P605" i="15"/>
  <c r="O605" i="15"/>
  <c r="N605" i="15"/>
  <c r="M605" i="15"/>
  <c r="L605" i="15"/>
  <c r="K605" i="15"/>
  <c r="J605" i="15"/>
  <c r="I605" i="15"/>
  <c r="H605" i="15"/>
  <c r="G605" i="15"/>
  <c r="F605" i="15"/>
  <c r="E605" i="15"/>
  <c r="D605" i="15"/>
  <c r="C605" i="15"/>
  <c r="B605" i="15"/>
  <c r="A605" i="15"/>
  <c r="Y604" i="15"/>
  <c r="X604" i="15"/>
  <c r="W604" i="15"/>
  <c r="V604" i="15"/>
  <c r="U604" i="15"/>
  <c r="T604" i="15"/>
  <c r="S604" i="15"/>
  <c r="R604" i="15"/>
  <c r="Q604" i="15"/>
  <c r="P604" i="15"/>
  <c r="O604" i="15"/>
  <c r="N604" i="15"/>
  <c r="M604" i="15"/>
  <c r="L604" i="15"/>
  <c r="K604" i="15"/>
  <c r="J604" i="15"/>
  <c r="I604" i="15"/>
  <c r="H604" i="15"/>
  <c r="G604" i="15"/>
  <c r="F604" i="15"/>
  <c r="E604" i="15"/>
  <c r="D604" i="15"/>
  <c r="C604" i="15"/>
  <c r="B604" i="15"/>
  <c r="A604" i="15"/>
  <c r="Y603" i="15"/>
  <c r="X603" i="15"/>
  <c r="W603" i="15"/>
  <c r="V603" i="15"/>
  <c r="U603" i="15"/>
  <c r="T603" i="15"/>
  <c r="S603" i="15"/>
  <c r="R603" i="15"/>
  <c r="Q603" i="15"/>
  <c r="P603" i="15"/>
  <c r="O603" i="15"/>
  <c r="N603" i="15"/>
  <c r="M603" i="15"/>
  <c r="L603" i="15"/>
  <c r="K603" i="15"/>
  <c r="J603" i="15"/>
  <c r="I603" i="15"/>
  <c r="H603" i="15"/>
  <c r="G603" i="15"/>
  <c r="F603" i="15"/>
  <c r="E603" i="15"/>
  <c r="D603" i="15"/>
  <c r="C603" i="15"/>
  <c r="B603" i="15"/>
  <c r="A603" i="15"/>
  <c r="Y602" i="15"/>
  <c r="X602" i="15"/>
  <c r="W602" i="15"/>
  <c r="V602" i="15"/>
  <c r="U602" i="15"/>
  <c r="T602" i="15"/>
  <c r="S602" i="15"/>
  <c r="R602" i="15"/>
  <c r="Q602" i="15"/>
  <c r="P602" i="15"/>
  <c r="O602" i="15"/>
  <c r="N602" i="15"/>
  <c r="M602" i="15"/>
  <c r="L602" i="15"/>
  <c r="K602" i="15"/>
  <c r="J602" i="15"/>
  <c r="I602" i="15"/>
  <c r="H602" i="15"/>
  <c r="G602" i="15"/>
  <c r="F602" i="15"/>
  <c r="E602" i="15"/>
  <c r="D602" i="15"/>
  <c r="C602" i="15"/>
  <c r="B602" i="15"/>
  <c r="A602" i="15"/>
  <c r="Y601" i="15"/>
  <c r="X601" i="15"/>
  <c r="W601" i="15"/>
  <c r="V601" i="15"/>
  <c r="U601" i="15"/>
  <c r="T601" i="15"/>
  <c r="S601" i="15"/>
  <c r="R601" i="15"/>
  <c r="Q601" i="15"/>
  <c r="P601" i="15"/>
  <c r="O601" i="15"/>
  <c r="N601" i="15"/>
  <c r="M601" i="15"/>
  <c r="L601" i="15"/>
  <c r="K601" i="15"/>
  <c r="J601" i="15"/>
  <c r="I601" i="15"/>
  <c r="H601" i="15"/>
  <c r="G601" i="15"/>
  <c r="F601" i="15"/>
  <c r="E601" i="15"/>
  <c r="D601" i="15"/>
  <c r="C601" i="15"/>
  <c r="B601" i="15"/>
  <c r="A601" i="15"/>
  <c r="Y600" i="15"/>
  <c r="X600" i="15"/>
  <c r="W600" i="15"/>
  <c r="V600" i="15"/>
  <c r="U600" i="15"/>
  <c r="T600" i="15"/>
  <c r="S600" i="15"/>
  <c r="R600" i="15"/>
  <c r="Q600" i="15"/>
  <c r="P600" i="15"/>
  <c r="O600" i="15"/>
  <c r="N600" i="15"/>
  <c r="M600" i="15"/>
  <c r="L600" i="15"/>
  <c r="K600" i="15"/>
  <c r="J600" i="15"/>
  <c r="I600" i="15"/>
  <c r="H600" i="15"/>
  <c r="G600" i="15"/>
  <c r="F600" i="15"/>
  <c r="E600" i="15"/>
  <c r="D600" i="15"/>
  <c r="C600" i="15"/>
  <c r="B600" i="15"/>
  <c r="A600" i="15"/>
  <c r="Y599" i="15"/>
  <c r="X599" i="15"/>
  <c r="W599" i="15"/>
  <c r="V599" i="15"/>
  <c r="U599" i="15"/>
  <c r="T599" i="15"/>
  <c r="S599" i="15"/>
  <c r="R599" i="15"/>
  <c r="Q599" i="15"/>
  <c r="P599" i="15"/>
  <c r="O599" i="15"/>
  <c r="N599" i="15"/>
  <c r="M599" i="15"/>
  <c r="L599" i="15"/>
  <c r="K599" i="15"/>
  <c r="J599" i="15"/>
  <c r="I599" i="15"/>
  <c r="H599" i="15"/>
  <c r="G599" i="15"/>
  <c r="F599" i="15"/>
  <c r="E599" i="15"/>
  <c r="D599" i="15"/>
  <c r="C599" i="15"/>
  <c r="B599" i="15"/>
  <c r="A599" i="15"/>
  <c r="Y598" i="15"/>
  <c r="X598" i="15"/>
  <c r="W598" i="15"/>
  <c r="V598" i="15"/>
  <c r="U598" i="15"/>
  <c r="T598" i="15"/>
  <c r="S598" i="15"/>
  <c r="R598" i="15"/>
  <c r="Q598" i="15"/>
  <c r="P598" i="15"/>
  <c r="O598" i="15"/>
  <c r="N598" i="15"/>
  <c r="M598" i="15"/>
  <c r="L598" i="15"/>
  <c r="K598" i="15"/>
  <c r="J598" i="15"/>
  <c r="I598" i="15"/>
  <c r="H598" i="15"/>
  <c r="G598" i="15"/>
  <c r="F598" i="15"/>
  <c r="E598" i="15"/>
  <c r="D598" i="15"/>
  <c r="C598" i="15"/>
  <c r="B598" i="15"/>
  <c r="A598" i="15"/>
  <c r="Y597" i="15"/>
  <c r="X597" i="15"/>
  <c r="W597" i="15"/>
  <c r="V597" i="15"/>
  <c r="U597" i="15"/>
  <c r="T597" i="15"/>
  <c r="S597" i="15"/>
  <c r="R597" i="15"/>
  <c r="Q597" i="15"/>
  <c r="P597" i="15"/>
  <c r="O597" i="15"/>
  <c r="N597" i="15"/>
  <c r="M597" i="15"/>
  <c r="L597" i="15"/>
  <c r="K597" i="15"/>
  <c r="J597" i="15"/>
  <c r="I597" i="15"/>
  <c r="H597" i="15"/>
  <c r="G597" i="15"/>
  <c r="F597" i="15"/>
  <c r="E597" i="15"/>
  <c r="D597" i="15"/>
  <c r="C597" i="15"/>
  <c r="B597" i="15"/>
  <c r="A597" i="15"/>
  <c r="Y596" i="15"/>
  <c r="X596" i="15"/>
  <c r="W596" i="15"/>
  <c r="V596" i="15"/>
  <c r="U596" i="15"/>
  <c r="T596" i="15"/>
  <c r="S596" i="15"/>
  <c r="R596" i="15"/>
  <c r="Q596" i="15"/>
  <c r="P596" i="15"/>
  <c r="O596" i="15"/>
  <c r="N596" i="15"/>
  <c r="M596" i="15"/>
  <c r="L596" i="15"/>
  <c r="K596" i="15"/>
  <c r="J596" i="15"/>
  <c r="I596" i="15"/>
  <c r="H596" i="15"/>
  <c r="G596" i="15"/>
  <c r="F596" i="15"/>
  <c r="E596" i="15"/>
  <c r="D596" i="15"/>
  <c r="C596" i="15"/>
  <c r="B596" i="15"/>
  <c r="A596" i="15"/>
  <c r="Y595" i="15"/>
  <c r="X595" i="15"/>
  <c r="W595" i="15"/>
  <c r="V595" i="15"/>
  <c r="U595" i="15"/>
  <c r="T595" i="15"/>
  <c r="S595" i="15"/>
  <c r="R595" i="15"/>
  <c r="Q595" i="15"/>
  <c r="P595" i="15"/>
  <c r="O595" i="15"/>
  <c r="N595" i="15"/>
  <c r="M595" i="15"/>
  <c r="L595" i="15"/>
  <c r="K595" i="15"/>
  <c r="J595" i="15"/>
  <c r="I595" i="15"/>
  <c r="H595" i="15"/>
  <c r="G595" i="15"/>
  <c r="F595" i="15"/>
  <c r="E595" i="15"/>
  <c r="D595" i="15"/>
  <c r="C595" i="15"/>
  <c r="B595" i="15"/>
  <c r="A595" i="15"/>
  <c r="Y594" i="15"/>
  <c r="X594" i="15"/>
  <c r="W594" i="15"/>
  <c r="V594" i="15"/>
  <c r="U594" i="15"/>
  <c r="T594" i="15"/>
  <c r="S594" i="15"/>
  <c r="R594" i="15"/>
  <c r="Q594" i="15"/>
  <c r="P594" i="15"/>
  <c r="O594" i="15"/>
  <c r="N594" i="15"/>
  <c r="M594" i="15"/>
  <c r="L594" i="15"/>
  <c r="K594" i="15"/>
  <c r="J594" i="15"/>
  <c r="I594" i="15"/>
  <c r="H594" i="15"/>
  <c r="G594" i="15"/>
  <c r="F594" i="15"/>
  <c r="E594" i="15"/>
  <c r="D594" i="15"/>
  <c r="C594" i="15"/>
  <c r="B594" i="15"/>
  <c r="A594" i="15"/>
  <c r="Y593" i="15"/>
  <c r="X593" i="15"/>
  <c r="W593" i="15"/>
  <c r="V593" i="15"/>
  <c r="U593" i="15"/>
  <c r="T593" i="15"/>
  <c r="S593" i="15"/>
  <c r="R593" i="15"/>
  <c r="Q593" i="15"/>
  <c r="P593" i="15"/>
  <c r="O593" i="15"/>
  <c r="N593" i="15"/>
  <c r="M593" i="15"/>
  <c r="L593" i="15"/>
  <c r="K593" i="15"/>
  <c r="J593" i="15"/>
  <c r="I593" i="15"/>
  <c r="H593" i="15"/>
  <c r="G593" i="15"/>
  <c r="F593" i="15"/>
  <c r="E593" i="15"/>
  <c r="D593" i="15"/>
  <c r="C593" i="15"/>
  <c r="B593" i="15"/>
  <c r="A593" i="15"/>
  <c r="Y592" i="15"/>
  <c r="X592" i="15"/>
  <c r="W592" i="15"/>
  <c r="V592" i="15"/>
  <c r="U592" i="15"/>
  <c r="T592" i="15"/>
  <c r="S592" i="15"/>
  <c r="R592" i="15"/>
  <c r="Q592" i="15"/>
  <c r="P592" i="15"/>
  <c r="O592" i="15"/>
  <c r="N592" i="15"/>
  <c r="M592" i="15"/>
  <c r="L592" i="15"/>
  <c r="K592" i="15"/>
  <c r="J592" i="15"/>
  <c r="I592" i="15"/>
  <c r="H592" i="15"/>
  <c r="G592" i="15"/>
  <c r="F592" i="15"/>
  <c r="E592" i="15"/>
  <c r="D592" i="15"/>
  <c r="C592" i="15"/>
  <c r="B592" i="15"/>
  <c r="A592" i="15"/>
  <c r="Y591" i="15"/>
  <c r="X591" i="15"/>
  <c r="W591" i="15"/>
  <c r="V591" i="15"/>
  <c r="U591" i="15"/>
  <c r="T591" i="15"/>
  <c r="S591" i="15"/>
  <c r="R591" i="15"/>
  <c r="Q591" i="15"/>
  <c r="P591" i="15"/>
  <c r="O591" i="15"/>
  <c r="N591" i="15"/>
  <c r="M591" i="15"/>
  <c r="L591" i="15"/>
  <c r="K591" i="15"/>
  <c r="J591" i="15"/>
  <c r="I591" i="15"/>
  <c r="H591" i="15"/>
  <c r="G591" i="15"/>
  <c r="F591" i="15"/>
  <c r="E591" i="15"/>
  <c r="D591" i="15"/>
  <c r="C591" i="15"/>
  <c r="B591" i="15"/>
  <c r="A591" i="15"/>
  <c r="Y590" i="15"/>
  <c r="X590" i="15"/>
  <c r="W590" i="15"/>
  <c r="V590" i="15"/>
  <c r="U590" i="15"/>
  <c r="T590" i="15"/>
  <c r="S590" i="15"/>
  <c r="R590" i="15"/>
  <c r="Q590" i="15"/>
  <c r="P590" i="15"/>
  <c r="O590" i="15"/>
  <c r="N590" i="15"/>
  <c r="M590" i="15"/>
  <c r="L590" i="15"/>
  <c r="K590" i="15"/>
  <c r="J590" i="15"/>
  <c r="I590" i="15"/>
  <c r="H590" i="15"/>
  <c r="G590" i="15"/>
  <c r="F590" i="15"/>
  <c r="E590" i="15"/>
  <c r="D590" i="15"/>
  <c r="C590" i="15"/>
  <c r="B590" i="15"/>
  <c r="A590" i="15"/>
  <c r="Y589" i="15"/>
  <c r="X589" i="15"/>
  <c r="W589" i="15"/>
  <c r="V589" i="15"/>
  <c r="U589" i="15"/>
  <c r="T589" i="15"/>
  <c r="S589" i="15"/>
  <c r="R589" i="15"/>
  <c r="Q589" i="15"/>
  <c r="P589" i="15"/>
  <c r="O589" i="15"/>
  <c r="N589" i="15"/>
  <c r="M589" i="15"/>
  <c r="L589" i="15"/>
  <c r="K589" i="15"/>
  <c r="J589" i="15"/>
  <c r="I589" i="15"/>
  <c r="H589" i="15"/>
  <c r="G589" i="15"/>
  <c r="F589" i="15"/>
  <c r="E589" i="15"/>
  <c r="D589" i="15"/>
  <c r="C589" i="15"/>
  <c r="B589" i="15"/>
  <c r="A589" i="15"/>
  <c r="Y588" i="15"/>
  <c r="X588" i="15"/>
  <c r="W588" i="15"/>
  <c r="V588" i="15"/>
  <c r="U588" i="15"/>
  <c r="T588" i="15"/>
  <c r="S588" i="15"/>
  <c r="R588" i="15"/>
  <c r="Q588" i="15"/>
  <c r="P588" i="15"/>
  <c r="O588" i="15"/>
  <c r="N588" i="15"/>
  <c r="M588" i="15"/>
  <c r="L588" i="15"/>
  <c r="K588" i="15"/>
  <c r="J588" i="15"/>
  <c r="I588" i="15"/>
  <c r="H588" i="15"/>
  <c r="G588" i="15"/>
  <c r="F588" i="15"/>
  <c r="E588" i="15"/>
  <c r="D588" i="15"/>
  <c r="C588" i="15"/>
  <c r="B588" i="15"/>
  <c r="A588" i="15"/>
  <c r="Y587" i="15"/>
  <c r="X587" i="15"/>
  <c r="W587" i="15"/>
  <c r="V587" i="15"/>
  <c r="U587" i="15"/>
  <c r="T587" i="15"/>
  <c r="S587" i="15"/>
  <c r="R587" i="15"/>
  <c r="Q587" i="15"/>
  <c r="P587" i="15"/>
  <c r="O587" i="15"/>
  <c r="N587" i="15"/>
  <c r="M587" i="15"/>
  <c r="L587" i="15"/>
  <c r="K587" i="15"/>
  <c r="J587" i="15"/>
  <c r="I587" i="15"/>
  <c r="H587" i="15"/>
  <c r="G587" i="15"/>
  <c r="F587" i="15"/>
  <c r="E587" i="15"/>
  <c r="D587" i="15"/>
  <c r="C587" i="15"/>
  <c r="B587" i="15"/>
  <c r="A587" i="15"/>
  <c r="Y586" i="15"/>
  <c r="X586" i="15"/>
  <c r="W586" i="15"/>
  <c r="V586" i="15"/>
  <c r="U586" i="15"/>
  <c r="T586" i="15"/>
  <c r="S586" i="15"/>
  <c r="R586" i="15"/>
  <c r="Q586" i="15"/>
  <c r="P586" i="15"/>
  <c r="O586" i="15"/>
  <c r="N586" i="15"/>
  <c r="M586" i="15"/>
  <c r="L586" i="15"/>
  <c r="K586" i="15"/>
  <c r="J586" i="15"/>
  <c r="I586" i="15"/>
  <c r="H586" i="15"/>
  <c r="G586" i="15"/>
  <c r="F586" i="15"/>
  <c r="E586" i="15"/>
  <c r="D586" i="15"/>
  <c r="C586" i="15"/>
  <c r="B586" i="15"/>
  <c r="A586" i="15"/>
  <c r="Y585" i="15"/>
  <c r="X585" i="15"/>
  <c r="W585" i="15"/>
  <c r="V585" i="15"/>
  <c r="U585" i="15"/>
  <c r="T585" i="15"/>
  <c r="S585" i="15"/>
  <c r="R585" i="15"/>
  <c r="Q585" i="15"/>
  <c r="P585" i="15"/>
  <c r="O585" i="15"/>
  <c r="N585" i="15"/>
  <c r="M585" i="15"/>
  <c r="L585" i="15"/>
  <c r="K585" i="15"/>
  <c r="J585" i="15"/>
  <c r="I585" i="15"/>
  <c r="H585" i="15"/>
  <c r="G585" i="15"/>
  <c r="F585" i="15"/>
  <c r="E585" i="15"/>
  <c r="D585" i="15"/>
  <c r="C585" i="15"/>
  <c r="B585" i="15"/>
  <c r="A585" i="15"/>
  <c r="Y584" i="15"/>
  <c r="X584" i="15"/>
  <c r="W584" i="15"/>
  <c r="V584" i="15"/>
  <c r="U584" i="15"/>
  <c r="T584" i="15"/>
  <c r="S584" i="15"/>
  <c r="R584" i="15"/>
  <c r="Q584" i="15"/>
  <c r="P584" i="15"/>
  <c r="O584" i="15"/>
  <c r="N584" i="15"/>
  <c r="M584" i="15"/>
  <c r="L584" i="15"/>
  <c r="K584" i="15"/>
  <c r="J584" i="15"/>
  <c r="I584" i="15"/>
  <c r="H584" i="15"/>
  <c r="G584" i="15"/>
  <c r="F584" i="15"/>
  <c r="E584" i="15"/>
  <c r="D584" i="15"/>
  <c r="C584" i="15"/>
  <c r="B584" i="15"/>
  <c r="A584" i="15"/>
  <c r="Y583" i="15"/>
  <c r="X583" i="15"/>
  <c r="W583" i="15"/>
  <c r="V583" i="15"/>
  <c r="U583" i="15"/>
  <c r="T583" i="15"/>
  <c r="S583" i="15"/>
  <c r="R583" i="15"/>
  <c r="Q583" i="15"/>
  <c r="P583" i="15"/>
  <c r="O583" i="15"/>
  <c r="N583" i="15"/>
  <c r="M583" i="15"/>
  <c r="L583" i="15"/>
  <c r="K583" i="15"/>
  <c r="J583" i="15"/>
  <c r="I583" i="15"/>
  <c r="H583" i="15"/>
  <c r="G583" i="15"/>
  <c r="F583" i="15"/>
  <c r="E583" i="15"/>
  <c r="D583" i="15"/>
  <c r="C583" i="15"/>
  <c r="B583" i="15"/>
  <c r="A583" i="15"/>
  <c r="Y582" i="15"/>
  <c r="X582" i="15"/>
  <c r="W582" i="15"/>
  <c r="V582" i="15"/>
  <c r="U582" i="15"/>
  <c r="T582" i="15"/>
  <c r="S582" i="15"/>
  <c r="R582" i="15"/>
  <c r="Q582" i="15"/>
  <c r="P582" i="15"/>
  <c r="O582" i="15"/>
  <c r="N582" i="15"/>
  <c r="M582" i="15"/>
  <c r="L582" i="15"/>
  <c r="K582" i="15"/>
  <c r="J582" i="15"/>
  <c r="I582" i="15"/>
  <c r="H582" i="15"/>
  <c r="G582" i="15"/>
  <c r="F582" i="15"/>
  <c r="E582" i="15"/>
  <c r="D582" i="15"/>
  <c r="C582" i="15"/>
  <c r="B582" i="15"/>
  <c r="A582" i="15"/>
  <c r="Y581" i="15"/>
  <c r="X581" i="15"/>
  <c r="W581" i="15"/>
  <c r="V581" i="15"/>
  <c r="U581" i="15"/>
  <c r="T581" i="15"/>
  <c r="S581" i="15"/>
  <c r="R581" i="15"/>
  <c r="Q581" i="15"/>
  <c r="P581" i="15"/>
  <c r="O581" i="15"/>
  <c r="N581" i="15"/>
  <c r="M581" i="15"/>
  <c r="L581" i="15"/>
  <c r="K581" i="15"/>
  <c r="J581" i="15"/>
  <c r="I581" i="15"/>
  <c r="H581" i="15"/>
  <c r="G581" i="15"/>
  <c r="F581" i="15"/>
  <c r="E581" i="15"/>
  <c r="D581" i="15"/>
  <c r="C581" i="15"/>
  <c r="B581" i="15"/>
  <c r="A581" i="15"/>
  <c r="Y580" i="15"/>
  <c r="X580" i="15"/>
  <c r="W580" i="15"/>
  <c r="V580" i="15"/>
  <c r="U580" i="15"/>
  <c r="T580" i="15"/>
  <c r="S580" i="15"/>
  <c r="R580" i="15"/>
  <c r="Q580" i="15"/>
  <c r="P580" i="15"/>
  <c r="O580" i="15"/>
  <c r="N580" i="15"/>
  <c r="M580" i="15"/>
  <c r="L580" i="15"/>
  <c r="K580" i="15"/>
  <c r="J580" i="15"/>
  <c r="I580" i="15"/>
  <c r="H580" i="15"/>
  <c r="G580" i="15"/>
  <c r="F580" i="15"/>
  <c r="E580" i="15"/>
  <c r="D580" i="15"/>
  <c r="C580" i="15"/>
  <c r="B580" i="15"/>
  <c r="A580" i="15"/>
  <c r="Y579" i="15"/>
  <c r="X579" i="15"/>
  <c r="W579" i="15"/>
  <c r="V579" i="15"/>
  <c r="U579" i="15"/>
  <c r="T579" i="15"/>
  <c r="S579" i="15"/>
  <c r="R579" i="15"/>
  <c r="Q579" i="15"/>
  <c r="P579" i="15"/>
  <c r="O579" i="15"/>
  <c r="N579" i="15"/>
  <c r="M579" i="15"/>
  <c r="L579" i="15"/>
  <c r="K579" i="15"/>
  <c r="J579" i="15"/>
  <c r="I579" i="15"/>
  <c r="H579" i="15"/>
  <c r="G579" i="15"/>
  <c r="F579" i="15"/>
  <c r="E579" i="15"/>
  <c r="D579" i="15"/>
  <c r="C579" i="15"/>
  <c r="B579" i="15"/>
  <c r="A579" i="15"/>
  <c r="Y578" i="15"/>
  <c r="X578" i="15"/>
  <c r="W578" i="15"/>
  <c r="V578" i="15"/>
  <c r="U578" i="15"/>
  <c r="T578" i="15"/>
  <c r="S578" i="15"/>
  <c r="R578" i="15"/>
  <c r="Q578" i="15"/>
  <c r="P578" i="15"/>
  <c r="O578" i="15"/>
  <c r="N578" i="15"/>
  <c r="M578" i="15"/>
  <c r="L578" i="15"/>
  <c r="K578" i="15"/>
  <c r="J578" i="15"/>
  <c r="I578" i="15"/>
  <c r="H578" i="15"/>
  <c r="G578" i="15"/>
  <c r="F578" i="15"/>
  <c r="E578" i="15"/>
  <c r="D578" i="15"/>
  <c r="C578" i="15"/>
  <c r="B578" i="15"/>
  <c r="A578" i="15"/>
  <c r="Y577" i="15"/>
  <c r="X577" i="15"/>
  <c r="W577" i="15"/>
  <c r="V577" i="15"/>
  <c r="U577" i="15"/>
  <c r="T577" i="15"/>
  <c r="S577" i="15"/>
  <c r="R577" i="15"/>
  <c r="Q577" i="15"/>
  <c r="P577" i="15"/>
  <c r="O577" i="15"/>
  <c r="N577" i="15"/>
  <c r="M577" i="15"/>
  <c r="L577" i="15"/>
  <c r="K577" i="15"/>
  <c r="J577" i="15"/>
  <c r="I577" i="15"/>
  <c r="H577" i="15"/>
  <c r="G577" i="15"/>
  <c r="F577" i="15"/>
  <c r="E577" i="15"/>
  <c r="D577" i="15"/>
  <c r="C577" i="15"/>
  <c r="B577" i="15"/>
  <c r="A577" i="15"/>
  <c r="Y576" i="15"/>
  <c r="X576" i="15"/>
  <c r="W576" i="15"/>
  <c r="V576" i="15"/>
  <c r="U576" i="15"/>
  <c r="T576" i="15"/>
  <c r="S576" i="15"/>
  <c r="R576" i="15"/>
  <c r="Q576" i="15"/>
  <c r="P576" i="15"/>
  <c r="O576" i="15"/>
  <c r="N576" i="15"/>
  <c r="M576" i="15"/>
  <c r="L576" i="15"/>
  <c r="K576" i="15"/>
  <c r="J576" i="15"/>
  <c r="I576" i="15"/>
  <c r="H576" i="15"/>
  <c r="G576" i="15"/>
  <c r="F576" i="15"/>
  <c r="E576" i="15"/>
  <c r="D576" i="15"/>
  <c r="C576" i="15"/>
  <c r="B576" i="15"/>
  <c r="A576" i="15"/>
  <c r="Y575" i="15"/>
  <c r="X575" i="15"/>
  <c r="W575" i="15"/>
  <c r="V575" i="15"/>
  <c r="U575" i="15"/>
  <c r="T575" i="15"/>
  <c r="S575" i="15"/>
  <c r="R575" i="15"/>
  <c r="Q575" i="15"/>
  <c r="P575" i="15"/>
  <c r="O575" i="15"/>
  <c r="N575" i="15"/>
  <c r="M575" i="15"/>
  <c r="L575" i="15"/>
  <c r="K575" i="15"/>
  <c r="J575" i="15"/>
  <c r="I575" i="15"/>
  <c r="H575" i="15"/>
  <c r="G575" i="15"/>
  <c r="F575" i="15"/>
  <c r="E575" i="15"/>
  <c r="D575" i="15"/>
  <c r="C575" i="15"/>
  <c r="B575" i="15"/>
  <c r="A575" i="15"/>
  <c r="Y574" i="15"/>
  <c r="X574" i="15"/>
  <c r="W574" i="15"/>
  <c r="V574" i="15"/>
  <c r="U574" i="15"/>
  <c r="T574" i="15"/>
  <c r="S574" i="15"/>
  <c r="R574" i="15"/>
  <c r="Q574" i="15"/>
  <c r="P574" i="15"/>
  <c r="O574" i="15"/>
  <c r="N574" i="15"/>
  <c r="M574" i="15"/>
  <c r="L574" i="15"/>
  <c r="K574" i="15"/>
  <c r="J574" i="15"/>
  <c r="I574" i="15"/>
  <c r="H574" i="15"/>
  <c r="G574" i="15"/>
  <c r="F574" i="15"/>
  <c r="E574" i="15"/>
  <c r="D574" i="15"/>
  <c r="C574" i="15"/>
  <c r="B574" i="15"/>
  <c r="A574" i="15"/>
  <c r="Y573" i="15"/>
  <c r="X573" i="15"/>
  <c r="W573" i="15"/>
  <c r="V573" i="15"/>
  <c r="U573" i="15"/>
  <c r="T573" i="15"/>
  <c r="S573" i="15"/>
  <c r="R573" i="15"/>
  <c r="Q573" i="15"/>
  <c r="P573" i="15"/>
  <c r="O573" i="15"/>
  <c r="N573" i="15"/>
  <c r="M573" i="15"/>
  <c r="L573" i="15"/>
  <c r="K573" i="15"/>
  <c r="J573" i="15"/>
  <c r="I573" i="15"/>
  <c r="H573" i="15"/>
  <c r="G573" i="15"/>
  <c r="F573" i="15"/>
  <c r="E573" i="15"/>
  <c r="D573" i="15"/>
  <c r="C573" i="15"/>
  <c r="B573" i="15"/>
  <c r="A573" i="15"/>
  <c r="Y572" i="15"/>
  <c r="X572" i="15"/>
  <c r="W572" i="15"/>
  <c r="V572" i="15"/>
  <c r="U572" i="15"/>
  <c r="T572" i="15"/>
  <c r="S572" i="15"/>
  <c r="R572" i="15"/>
  <c r="Q572" i="15"/>
  <c r="P572" i="15"/>
  <c r="O572" i="15"/>
  <c r="N572" i="15"/>
  <c r="M572" i="15"/>
  <c r="L572" i="15"/>
  <c r="K572" i="15"/>
  <c r="J572" i="15"/>
  <c r="I572" i="15"/>
  <c r="H572" i="15"/>
  <c r="G572" i="15"/>
  <c r="F572" i="15"/>
  <c r="E572" i="15"/>
  <c r="D572" i="15"/>
  <c r="C572" i="15"/>
  <c r="B572" i="15"/>
  <c r="A572" i="15"/>
  <c r="Y571" i="15"/>
  <c r="X571" i="15"/>
  <c r="W571" i="15"/>
  <c r="V571" i="15"/>
  <c r="U571" i="15"/>
  <c r="T571" i="15"/>
  <c r="S571" i="15"/>
  <c r="R571" i="15"/>
  <c r="Q571" i="15"/>
  <c r="P571" i="15"/>
  <c r="O571" i="15"/>
  <c r="N571" i="15"/>
  <c r="M571" i="15"/>
  <c r="L571" i="15"/>
  <c r="K571" i="15"/>
  <c r="J571" i="15"/>
  <c r="I571" i="15"/>
  <c r="H571" i="15"/>
  <c r="G571" i="15"/>
  <c r="F571" i="15"/>
  <c r="E571" i="15"/>
  <c r="D571" i="15"/>
  <c r="C571" i="15"/>
  <c r="B571" i="15"/>
  <c r="A571" i="15"/>
  <c r="Y570" i="15"/>
  <c r="X570" i="15"/>
  <c r="W570" i="15"/>
  <c r="V570" i="15"/>
  <c r="U570" i="15"/>
  <c r="T570" i="15"/>
  <c r="S570" i="15"/>
  <c r="R570" i="15"/>
  <c r="Q570" i="15"/>
  <c r="P570" i="15"/>
  <c r="O570" i="15"/>
  <c r="N570" i="15"/>
  <c r="M570" i="15"/>
  <c r="L570" i="15"/>
  <c r="K570" i="15"/>
  <c r="J570" i="15"/>
  <c r="I570" i="15"/>
  <c r="H570" i="15"/>
  <c r="G570" i="15"/>
  <c r="F570" i="15"/>
  <c r="E570" i="15"/>
  <c r="D570" i="15"/>
  <c r="C570" i="15"/>
  <c r="B570" i="15"/>
  <c r="A570" i="15"/>
  <c r="Y569" i="15"/>
  <c r="X569" i="15"/>
  <c r="W569" i="15"/>
  <c r="V569" i="15"/>
  <c r="U569" i="15"/>
  <c r="T569" i="15"/>
  <c r="S569" i="15"/>
  <c r="R569" i="15"/>
  <c r="Q569" i="15"/>
  <c r="P569" i="15"/>
  <c r="O569" i="15"/>
  <c r="N569" i="15"/>
  <c r="M569" i="15"/>
  <c r="L569" i="15"/>
  <c r="K569" i="15"/>
  <c r="J569" i="15"/>
  <c r="I569" i="15"/>
  <c r="H569" i="15"/>
  <c r="G569" i="15"/>
  <c r="F569" i="15"/>
  <c r="E569" i="15"/>
  <c r="D569" i="15"/>
  <c r="C569" i="15"/>
  <c r="B569" i="15"/>
  <c r="A569" i="15"/>
  <c r="Y568" i="15"/>
  <c r="X568" i="15"/>
  <c r="W568" i="15"/>
  <c r="V568" i="15"/>
  <c r="U568" i="15"/>
  <c r="T568" i="15"/>
  <c r="S568" i="15"/>
  <c r="R568" i="15"/>
  <c r="Q568" i="15"/>
  <c r="P568" i="15"/>
  <c r="O568" i="15"/>
  <c r="N568" i="15"/>
  <c r="M568" i="15"/>
  <c r="L568" i="15"/>
  <c r="K568" i="15"/>
  <c r="J568" i="15"/>
  <c r="I568" i="15"/>
  <c r="H568" i="15"/>
  <c r="G568" i="15"/>
  <c r="F568" i="15"/>
  <c r="E568" i="15"/>
  <c r="D568" i="15"/>
  <c r="C568" i="15"/>
  <c r="B568" i="15"/>
  <c r="A568" i="15"/>
  <c r="Y567" i="15"/>
  <c r="X567" i="15"/>
  <c r="W567" i="15"/>
  <c r="V567" i="15"/>
  <c r="U567" i="15"/>
  <c r="T567" i="15"/>
  <c r="S567" i="15"/>
  <c r="R567" i="15"/>
  <c r="Q567" i="15"/>
  <c r="P567" i="15"/>
  <c r="O567" i="15"/>
  <c r="N567" i="15"/>
  <c r="M567" i="15"/>
  <c r="L567" i="15"/>
  <c r="K567" i="15"/>
  <c r="J567" i="15"/>
  <c r="I567" i="15"/>
  <c r="H567" i="15"/>
  <c r="G567" i="15"/>
  <c r="F567" i="15"/>
  <c r="E567" i="15"/>
  <c r="D567" i="15"/>
  <c r="C567" i="15"/>
  <c r="B567" i="15"/>
  <c r="A567" i="15"/>
  <c r="Y566" i="15"/>
  <c r="X566" i="15"/>
  <c r="W566" i="15"/>
  <c r="V566" i="15"/>
  <c r="U566" i="15"/>
  <c r="T566" i="15"/>
  <c r="S566" i="15"/>
  <c r="R566" i="15"/>
  <c r="Q566" i="15"/>
  <c r="P566" i="15"/>
  <c r="O566" i="15"/>
  <c r="N566" i="15"/>
  <c r="M566" i="15"/>
  <c r="L566" i="15"/>
  <c r="K566" i="15"/>
  <c r="J566" i="15"/>
  <c r="I566" i="15"/>
  <c r="H566" i="15"/>
  <c r="G566" i="15"/>
  <c r="F566" i="15"/>
  <c r="E566" i="15"/>
  <c r="D566" i="15"/>
  <c r="C566" i="15"/>
  <c r="B566" i="15"/>
  <c r="A566" i="15"/>
  <c r="Y565" i="15"/>
  <c r="X565" i="15"/>
  <c r="W565" i="15"/>
  <c r="V565" i="15"/>
  <c r="U565" i="15"/>
  <c r="T565" i="15"/>
  <c r="S565" i="15"/>
  <c r="R565" i="15"/>
  <c r="Q565" i="15"/>
  <c r="P565" i="15"/>
  <c r="O565" i="15"/>
  <c r="N565" i="15"/>
  <c r="M565" i="15"/>
  <c r="L565" i="15"/>
  <c r="K565" i="15"/>
  <c r="J565" i="15"/>
  <c r="I565" i="15"/>
  <c r="H565" i="15"/>
  <c r="G565" i="15"/>
  <c r="F565" i="15"/>
  <c r="E565" i="15"/>
  <c r="D565" i="15"/>
  <c r="C565" i="15"/>
  <c r="B565" i="15"/>
  <c r="A565" i="15"/>
  <c r="Y564" i="15"/>
  <c r="X564" i="15"/>
  <c r="W564" i="15"/>
  <c r="V564" i="15"/>
  <c r="U564" i="15"/>
  <c r="T564" i="15"/>
  <c r="S564" i="15"/>
  <c r="R564" i="15"/>
  <c r="Q564" i="15"/>
  <c r="P564" i="15"/>
  <c r="O564" i="15"/>
  <c r="N564" i="15"/>
  <c r="M564" i="15"/>
  <c r="L564" i="15"/>
  <c r="K564" i="15"/>
  <c r="J564" i="15"/>
  <c r="I564" i="15"/>
  <c r="H564" i="15"/>
  <c r="G564" i="15"/>
  <c r="F564" i="15"/>
  <c r="E564" i="15"/>
  <c r="D564" i="15"/>
  <c r="C564" i="15"/>
  <c r="B564" i="15"/>
  <c r="A564" i="15"/>
  <c r="Y563" i="15"/>
  <c r="X563" i="15"/>
  <c r="W563" i="15"/>
  <c r="V563" i="15"/>
  <c r="U563" i="15"/>
  <c r="T563" i="15"/>
  <c r="S563" i="15"/>
  <c r="R563" i="15"/>
  <c r="Q563" i="15"/>
  <c r="P563" i="15"/>
  <c r="O563" i="15"/>
  <c r="N563" i="15"/>
  <c r="M563" i="15"/>
  <c r="L563" i="15"/>
  <c r="K563" i="15"/>
  <c r="J563" i="15"/>
  <c r="I563" i="15"/>
  <c r="H563" i="15"/>
  <c r="G563" i="15"/>
  <c r="F563" i="15"/>
  <c r="E563" i="15"/>
  <c r="D563" i="15"/>
  <c r="C563" i="15"/>
  <c r="B563" i="15"/>
  <c r="A563" i="15"/>
  <c r="Y562" i="15"/>
  <c r="X562" i="15"/>
  <c r="W562" i="15"/>
  <c r="V562" i="15"/>
  <c r="U562" i="15"/>
  <c r="T562" i="15"/>
  <c r="S562" i="15"/>
  <c r="R562" i="15"/>
  <c r="Q562" i="15"/>
  <c r="P562" i="15"/>
  <c r="O562" i="15"/>
  <c r="N562" i="15"/>
  <c r="M562" i="15"/>
  <c r="L562" i="15"/>
  <c r="K562" i="15"/>
  <c r="J562" i="15"/>
  <c r="I562" i="15"/>
  <c r="H562" i="15"/>
  <c r="G562" i="15"/>
  <c r="F562" i="15"/>
  <c r="E562" i="15"/>
  <c r="D562" i="15"/>
  <c r="C562" i="15"/>
  <c r="B562" i="15"/>
  <c r="A562" i="15"/>
  <c r="Y561" i="15"/>
  <c r="X561" i="15"/>
  <c r="W561" i="15"/>
  <c r="V561" i="15"/>
  <c r="U561" i="15"/>
  <c r="T561" i="15"/>
  <c r="S561" i="15"/>
  <c r="R561" i="15"/>
  <c r="Q561" i="15"/>
  <c r="P561" i="15"/>
  <c r="O561" i="15"/>
  <c r="N561" i="15"/>
  <c r="M561" i="15"/>
  <c r="L561" i="15"/>
  <c r="K561" i="15"/>
  <c r="J561" i="15"/>
  <c r="I561" i="15"/>
  <c r="H561" i="15"/>
  <c r="G561" i="15"/>
  <c r="F561" i="15"/>
  <c r="E561" i="15"/>
  <c r="D561" i="15"/>
  <c r="C561" i="15"/>
  <c r="B561" i="15"/>
  <c r="A561" i="15"/>
  <c r="Y560" i="15"/>
  <c r="X560" i="15"/>
  <c r="W560" i="15"/>
  <c r="V560" i="15"/>
  <c r="U560" i="15"/>
  <c r="T560" i="15"/>
  <c r="S560" i="15"/>
  <c r="R560" i="15"/>
  <c r="Q560" i="15"/>
  <c r="P560" i="15"/>
  <c r="O560" i="15"/>
  <c r="N560" i="15"/>
  <c r="M560" i="15"/>
  <c r="L560" i="15"/>
  <c r="K560" i="15"/>
  <c r="J560" i="15"/>
  <c r="I560" i="15"/>
  <c r="H560" i="15"/>
  <c r="G560" i="15"/>
  <c r="F560" i="15"/>
  <c r="E560" i="15"/>
  <c r="D560" i="15"/>
  <c r="C560" i="15"/>
  <c r="B560" i="15"/>
  <c r="A560" i="15"/>
  <c r="Y559" i="15"/>
  <c r="X559" i="15"/>
  <c r="W559" i="15"/>
  <c r="V559" i="15"/>
  <c r="U559" i="15"/>
  <c r="T559" i="15"/>
  <c r="S559" i="15"/>
  <c r="R559" i="15"/>
  <c r="Q559" i="15"/>
  <c r="P559" i="15"/>
  <c r="O559" i="15"/>
  <c r="N559" i="15"/>
  <c r="M559" i="15"/>
  <c r="L559" i="15"/>
  <c r="K559" i="15"/>
  <c r="J559" i="15"/>
  <c r="I559" i="15"/>
  <c r="H559" i="15"/>
  <c r="G559" i="15"/>
  <c r="F559" i="15"/>
  <c r="E559" i="15"/>
  <c r="D559" i="15"/>
  <c r="C559" i="15"/>
  <c r="B559" i="15"/>
  <c r="A559" i="15"/>
  <c r="Y558" i="15"/>
  <c r="X558" i="15"/>
  <c r="W558" i="15"/>
  <c r="V558" i="15"/>
  <c r="U558" i="15"/>
  <c r="T558" i="15"/>
  <c r="S558" i="15"/>
  <c r="R558" i="15"/>
  <c r="Q558" i="15"/>
  <c r="P558" i="15"/>
  <c r="O558" i="15"/>
  <c r="N558" i="15"/>
  <c r="M558" i="15"/>
  <c r="L558" i="15"/>
  <c r="K558" i="15"/>
  <c r="J558" i="15"/>
  <c r="I558" i="15"/>
  <c r="H558" i="15"/>
  <c r="G558" i="15"/>
  <c r="F558" i="15"/>
  <c r="E558" i="15"/>
  <c r="D558" i="15"/>
  <c r="C558" i="15"/>
  <c r="B558" i="15"/>
  <c r="A558" i="15"/>
  <c r="Y557" i="15"/>
  <c r="X557" i="15"/>
  <c r="W557" i="15"/>
  <c r="V557" i="15"/>
  <c r="U557" i="15"/>
  <c r="T557" i="15"/>
  <c r="S557" i="15"/>
  <c r="R557" i="15"/>
  <c r="Q557" i="15"/>
  <c r="P557" i="15"/>
  <c r="O557" i="15"/>
  <c r="N557" i="15"/>
  <c r="M557" i="15"/>
  <c r="L557" i="15"/>
  <c r="K557" i="15"/>
  <c r="J557" i="15"/>
  <c r="I557" i="15"/>
  <c r="H557" i="15"/>
  <c r="G557" i="15"/>
  <c r="F557" i="15"/>
  <c r="E557" i="15"/>
  <c r="D557" i="15"/>
  <c r="C557" i="15"/>
  <c r="B557" i="15"/>
  <c r="A557" i="15"/>
  <c r="Y556" i="15"/>
  <c r="X556" i="15"/>
  <c r="W556" i="15"/>
  <c r="V556" i="15"/>
  <c r="U556" i="15"/>
  <c r="T556" i="15"/>
  <c r="S556" i="15"/>
  <c r="R556" i="15"/>
  <c r="Q556" i="15"/>
  <c r="P556" i="15"/>
  <c r="O556" i="15"/>
  <c r="N556" i="15"/>
  <c r="M556" i="15"/>
  <c r="L556" i="15"/>
  <c r="K556" i="15"/>
  <c r="J556" i="15"/>
  <c r="I556" i="15"/>
  <c r="H556" i="15"/>
  <c r="G556" i="15"/>
  <c r="F556" i="15"/>
  <c r="E556" i="15"/>
  <c r="D556" i="15"/>
  <c r="C556" i="15"/>
  <c r="B556" i="15"/>
  <c r="A556" i="15"/>
  <c r="Y555" i="15"/>
  <c r="X555" i="15"/>
  <c r="W555" i="15"/>
  <c r="V555" i="15"/>
  <c r="U555" i="15"/>
  <c r="T555" i="15"/>
  <c r="S555" i="15"/>
  <c r="R555" i="15"/>
  <c r="Q555" i="15"/>
  <c r="P555" i="15"/>
  <c r="O555" i="15"/>
  <c r="N555" i="15"/>
  <c r="M555" i="15"/>
  <c r="L555" i="15"/>
  <c r="K555" i="15"/>
  <c r="J555" i="15"/>
  <c r="I555" i="15"/>
  <c r="H555" i="15"/>
  <c r="G555" i="15"/>
  <c r="F555" i="15"/>
  <c r="E555" i="15"/>
  <c r="D555" i="15"/>
  <c r="C555" i="15"/>
  <c r="B555" i="15"/>
  <c r="A555" i="15"/>
  <c r="Y554" i="15"/>
  <c r="X554" i="15"/>
  <c r="W554" i="15"/>
  <c r="V554" i="15"/>
  <c r="U554" i="15"/>
  <c r="T554" i="15"/>
  <c r="S554" i="15"/>
  <c r="R554" i="15"/>
  <c r="Q554" i="15"/>
  <c r="P554" i="15"/>
  <c r="O554" i="15"/>
  <c r="N554" i="15"/>
  <c r="M554" i="15"/>
  <c r="L554" i="15"/>
  <c r="K554" i="15"/>
  <c r="J554" i="15"/>
  <c r="I554" i="15"/>
  <c r="H554" i="15"/>
  <c r="G554" i="15"/>
  <c r="F554" i="15"/>
  <c r="E554" i="15"/>
  <c r="D554" i="15"/>
  <c r="C554" i="15"/>
  <c r="B554" i="15"/>
  <c r="A554" i="15"/>
  <c r="Y553" i="15"/>
  <c r="X553" i="15"/>
  <c r="W553" i="15"/>
  <c r="V553" i="15"/>
  <c r="U553" i="15"/>
  <c r="T553" i="15"/>
  <c r="S553" i="15"/>
  <c r="R553" i="15"/>
  <c r="Q553" i="15"/>
  <c r="P553" i="15"/>
  <c r="O553" i="15"/>
  <c r="N553" i="15"/>
  <c r="M553" i="15"/>
  <c r="L553" i="15"/>
  <c r="K553" i="15"/>
  <c r="J553" i="15"/>
  <c r="I553" i="15"/>
  <c r="H553" i="15"/>
  <c r="G553" i="15"/>
  <c r="F553" i="15"/>
  <c r="E553" i="15"/>
  <c r="D553" i="15"/>
  <c r="C553" i="15"/>
  <c r="B553" i="15"/>
  <c r="A553" i="15"/>
  <c r="Y552" i="15"/>
  <c r="X552" i="15"/>
  <c r="W552" i="15"/>
  <c r="V552" i="15"/>
  <c r="U552" i="15"/>
  <c r="T552" i="15"/>
  <c r="S552" i="15"/>
  <c r="R552" i="15"/>
  <c r="Q552" i="15"/>
  <c r="P552" i="15"/>
  <c r="O552" i="15"/>
  <c r="N552" i="15"/>
  <c r="M552" i="15"/>
  <c r="L552" i="15"/>
  <c r="K552" i="15"/>
  <c r="J552" i="15"/>
  <c r="I552" i="15"/>
  <c r="H552" i="15"/>
  <c r="G552" i="15"/>
  <c r="F552" i="15"/>
  <c r="E552" i="15"/>
  <c r="D552" i="15"/>
  <c r="C552" i="15"/>
  <c r="B552" i="15"/>
  <c r="A552" i="15"/>
  <c r="Y551" i="15"/>
  <c r="X551" i="15"/>
  <c r="W551" i="15"/>
  <c r="V551" i="15"/>
  <c r="U551" i="15"/>
  <c r="T551" i="15"/>
  <c r="S551" i="15"/>
  <c r="R551" i="15"/>
  <c r="Q551" i="15"/>
  <c r="P551" i="15"/>
  <c r="O551" i="15"/>
  <c r="N551" i="15"/>
  <c r="M551" i="15"/>
  <c r="L551" i="15"/>
  <c r="K551" i="15"/>
  <c r="J551" i="15"/>
  <c r="I551" i="15"/>
  <c r="H551" i="15"/>
  <c r="G551" i="15"/>
  <c r="F551" i="15"/>
  <c r="E551" i="15"/>
  <c r="D551" i="15"/>
  <c r="C551" i="15"/>
  <c r="B551" i="15"/>
  <c r="A551" i="15"/>
  <c r="Y550" i="15"/>
  <c r="X550" i="15"/>
  <c r="W550" i="15"/>
  <c r="V550" i="15"/>
  <c r="U550" i="15"/>
  <c r="T550" i="15"/>
  <c r="S550" i="15"/>
  <c r="R550" i="15"/>
  <c r="Q550" i="15"/>
  <c r="P550" i="15"/>
  <c r="O550" i="15"/>
  <c r="N550" i="15"/>
  <c r="M550" i="15"/>
  <c r="L550" i="15"/>
  <c r="K550" i="15"/>
  <c r="J550" i="15"/>
  <c r="I550" i="15"/>
  <c r="H550" i="15"/>
  <c r="G550" i="15"/>
  <c r="F550" i="15"/>
  <c r="E550" i="15"/>
  <c r="D550" i="15"/>
  <c r="C550" i="15"/>
  <c r="B550" i="15"/>
  <c r="A550" i="15"/>
  <c r="Y549" i="15"/>
  <c r="X549" i="15"/>
  <c r="W549" i="15"/>
  <c r="V549" i="15"/>
  <c r="U549" i="15"/>
  <c r="T549" i="15"/>
  <c r="S549" i="15"/>
  <c r="R549" i="15"/>
  <c r="Q549" i="15"/>
  <c r="P549" i="15"/>
  <c r="O549" i="15"/>
  <c r="N549" i="15"/>
  <c r="M549" i="15"/>
  <c r="L549" i="15"/>
  <c r="K549" i="15"/>
  <c r="J549" i="15"/>
  <c r="I549" i="15"/>
  <c r="H549" i="15"/>
  <c r="G549" i="15"/>
  <c r="F549" i="15"/>
  <c r="E549" i="15"/>
  <c r="D549" i="15"/>
  <c r="C549" i="15"/>
  <c r="B549" i="15"/>
  <c r="A549" i="15"/>
  <c r="Y548" i="15"/>
  <c r="X548" i="15"/>
  <c r="W548" i="15"/>
  <c r="V548" i="15"/>
  <c r="U548" i="15"/>
  <c r="T548" i="15"/>
  <c r="S548" i="15"/>
  <c r="R548" i="15"/>
  <c r="Q548" i="15"/>
  <c r="P548" i="15"/>
  <c r="O548" i="15"/>
  <c r="N548" i="15"/>
  <c r="M548" i="15"/>
  <c r="L548" i="15"/>
  <c r="K548" i="15"/>
  <c r="J548" i="15"/>
  <c r="I548" i="15"/>
  <c r="H548" i="15"/>
  <c r="G548" i="15"/>
  <c r="F548" i="15"/>
  <c r="E548" i="15"/>
  <c r="D548" i="15"/>
  <c r="C548" i="15"/>
  <c r="B548" i="15"/>
  <c r="A548" i="15"/>
  <c r="Y547" i="15"/>
  <c r="X547" i="15"/>
  <c r="W547" i="15"/>
  <c r="V547" i="15"/>
  <c r="U547" i="15"/>
  <c r="T547" i="15"/>
  <c r="S547" i="15"/>
  <c r="R547" i="15"/>
  <c r="Q547" i="15"/>
  <c r="P547" i="15"/>
  <c r="O547" i="15"/>
  <c r="N547" i="15"/>
  <c r="M547" i="15"/>
  <c r="L547" i="15"/>
  <c r="K547" i="15"/>
  <c r="J547" i="15"/>
  <c r="I547" i="15"/>
  <c r="H547" i="15"/>
  <c r="G547" i="15"/>
  <c r="F547" i="15"/>
  <c r="E547" i="15"/>
  <c r="D547" i="15"/>
  <c r="C547" i="15"/>
  <c r="B547" i="15"/>
  <c r="A547" i="15"/>
  <c r="Y546" i="15"/>
  <c r="X546" i="15"/>
  <c r="W546" i="15"/>
  <c r="V546" i="15"/>
  <c r="U546" i="15"/>
  <c r="T546" i="15"/>
  <c r="S546" i="15"/>
  <c r="R546" i="15"/>
  <c r="Q546" i="15"/>
  <c r="P546" i="15"/>
  <c r="O546" i="15"/>
  <c r="N546" i="15"/>
  <c r="M546" i="15"/>
  <c r="L546" i="15"/>
  <c r="K546" i="15"/>
  <c r="J546" i="15"/>
  <c r="I546" i="15"/>
  <c r="H546" i="15"/>
  <c r="G546" i="15"/>
  <c r="F546" i="15"/>
  <c r="E546" i="15"/>
  <c r="D546" i="15"/>
  <c r="C546" i="15"/>
  <c r="B546" i="15"/>
  <c r="A546" i="15"/>
  <c r="Y545" i="15"/>
  <c r="X545" i="15"/>
  <c r="W545" i="15"/>
  <c r="V545" i="15"/>
  <c r="U545" i="15"/>
  <c r="T545" i="15"/>
  <c r="S545" i="15"/>
  <c r="R545" i="15"/>
  <c r="Q545" i="15"/>
  <c r="P545" i="15"/>
  <c r="O545" i="15"/>
  <c r="N545" i="15"/>
  <c r="M545" i="15"/>
  <c r="L545" i="15"/>
  <c r="K545" i="15"/>
  <c r="J545" i="15"/>
  <c r="I545" i="15"/>
  <c r="H545" i="15"/>
  <c r="G545" i="15"/>
  <c r="F545" i="15"/>
  <c r="E545" i="15"/>
  <c r="D545" i="15"/>
  <c r="C545" i="15"/>
  <c r="B545" i="15"/>
  <c r="A545" i="15"/>
  <c r="Y544" i="15"/>
  <c r="X544" i="15"/>
  <c r="W544" i="15"/>
  <c r="V544" i="15"/>
  <c r="U544" i="15"/>
  <c r="T544" i="15"/>
  <c r="S544" i="15"/>
  <c r="R544" i="15"/>
  <c r="Q544" i="15"/>
  <c r="P544" i="15"/>
  <c r="O544" i="15"/>
  <c r="N544" i="15"/>
  <c r="M544" i="15"/>
  <c r="L544" i="15"/>
  <c r="K544" i="15"/>
  <c r="J544" i="15"/>
  <c r="I544" i="15"/>
  <c r="H544" i="15"/>
  <c r="G544" i="15"/>
  <c r="F544" i="15"/>
  <c r="E544" i="15"/>
  <c r="D544" i="15"/>
  <c r="C544" i="15"/>
  <c r="B544" i="15"/>
  <c r="A544" i="15"/>
  <c r="Y543" i="15"/>
  <c r="X543" i="15"/>
  <c r="W543" i="15"/>
  <c r="V543" i="15"/>
  <c r="U543" i="15"/>
  <c r="T543" i="15"/>
  <c r="S543" i="15"/>
  <c r="R543" i="15"/>
  <c r="Q543" i="15"/>
  <c r="P543" i="15"/>
  <c r="O543" i="15"/>
  <c r="N543" i="15"/>
  <c r="M543" i="15"/>
  <c r="L543" i="15"/>
  <c r="K543" i="15"/>
  <c r="J543" i="15"/>
  <c r="I543" i="15"/>
  <c r="H543" i="15"/>
  <c r="G543" i="15"/>
  <c r="F543" i="15"/>
  <c r="E543" i="15"/>
  <c r="D543" i="15"/>
  <c r="C543" i="15"/>
  <c r="B543" i="15"/>
  <c r="A543" i="15"/>
  <c r="Y542" i="15"/>
  <c r="X542" i="15"/>
  <c r="W542" i="15"/>
  <c r="V542" i="15"/>
  <c r="U542" i="15"/>
  <c r="T542" i="15"/>
  <c r="S542" i="15"/>
  <c r="R542" i="15"/>
  <c r="Q542" i="15"/>
  <c r="P542" i="15"/>
  <c r="O542" i="15"/>
  <c r="N542" i="15"/>
  <c r="M542" i="15"/>
  <c r="L542" i="15"/>
  <c r="K542" i="15"/>
  <c r="J542" i="15"/>
  <c r="I542" i="15"/>
  <c r="H542" i="15"/>
  <c r="G542" i="15"/>
  <c r="F542" i="15"/>
  <c r="E542" i="15"/>
  <c r="D542" i="15"/>
  <c r="C542" i="15"/>
  <c r="B542" i="15"/>
  <c r="A542" i="15"/>
  <c r="Y541" i="15"/>
  <c r="X541" i="15"/>
  <c r="W541" i="15"/>
  <c r="V541" i="15"/>
  <c r="U541" i="15"/>
  <c r="T541" i="15"/>
  <c r="S541" i="15"/>
  <c r="R541" i="15"/>
  <c r="Q541" i="15"/>
  <c r="P541" i="15"/>
  <c r="O541" i="15"/>
  <c r="N541" i="15"/>
  <c r="M541" i="15"/>
  <c r="L541" i="15"/>
  <c r="K541" i="15"/>
  <c r="J541" i="15"/>
  <c r="I541" i="15"/>
  <c r="H541" i="15"/>
  <c r="G541" i="15"/>
  <c r="F541" i="15"/>
  <c r="E541" i="15"/>
  <c r="D541" i="15"/>
  <c r="C541" i="15"/>
  <c r="B541" i="15"/>
  <c r="A541" i="15"/>
  <c r="Y540" i="15"/>
  <c r="X540" i="15"/>
  <c r="W540" i="15"/>
  <c r="V540" i="15"/>
  <c r="U540" i="15"/>
  <c r="T540" i="15"/>
  <c r="S540" i="15"/>
  <c r="R540" i="15"/>
  <c r="Q540" i="15"/>
  <c r="P540" i="15"/>
  <c r="O540" i="15"/>
  <c r="N540" i="15"/>
  <c r="M540" i="15"/>
  <c r="L540" i="15"/>
  <c r="K540" i="15"/>
  <c r="J540" i="15"/>
  <c r="I540" i="15"/>
  <c r="H540" i="15"/>
  <c r="G540" i="15"/>
  <c r="F540" i="15"/>
  <c r="E540" i="15"/>
  <c r="D540" i="15"/>
  <c r="C540" i="15"/>
  <c r="B540" i="15"/>
  <c r="A540" i="15"/>
  <c r="Y539" i="15"/>
  <c r="X539" i="15"/>
  <c r="W539" i="15"/>
  <c r="V539" i="15"/>
  <c r="U539" i="15"/>
  <c r="T539" i="15"/>
  <c r="S539" i="15"/>
  <c r="R539" i="15"/>
  <c r="Q539" i="15"/>
  <c r="P539" i="15"/>
  <c r="O539" i="15"/>
  <c r="N539" i="15"/>
  <c r="M539" i="15"/>
  <c r="L539" i="15"/>
  <c r="K539" i="15"/>
  <c r="J539" i="15"/>
  <c r="I539" i="15"/>
  <c r="H539" i="15"/>
  <c r="G539" i="15"/>
  <c r="F539" i="15"/>
  <c r="E539" i="15"/>
  <c r="D539" i="15"/>
  <c r="C539" i="15"/>
  <c r="B539" i="15"/>
  <c r="A539" i="15"/>
  <c r="Y538" i="15"/>
  <c r="X538" i="15"/>
  <c r="W538" i="15"/>
  <c r="V538" i="15"/>
  <c r="U538" i="15"/>
  <c r="T538" i="15"/>
  <c r="S538" i="15"/>
  <c r="R538" i="15"/>
  <c r="Q538" i="15"/>
  <c r="P538" i="15"/>
  <c r="O538" i="15"/>
  <c r="N538" i="15"/>
  <c r="M538" i="15"/>
  <c r="L538" i="15"/>
  <c r="K538" i="15"/>
  <c r="J538" i="15"/>
  <c r="I538" i="15"/>
  <c r="H538" i="15"/>
  <c r="G538" i="15"/>
  <c r="F538" i="15"/>
  <c r="E538" i="15"/>
  <c r="D538" i="15"/>
  <c r="C538" i="15"/>
  <c r="B538" i="15"/>
  <c r="A538" i="15"/>
  <c r="Y537" i="15"/>
  <c r="X537" i="15"/>
  <c r="W537" i="15"/>
  <c r="V537" i="15"/>
  <c r="U537" i="15"/>
  <c r="T537" i="15"/>
  <c r="S537" i="15"/>
  <c r="R537" i="15"/>
  <c r="Q537" i="15"/>
  <c r="P537" i="15"/>
  <c r="O537" i="15"/>
  <c r="N537" i="15"/>
  <c r="M537" i="15"/>
  <c r="L537" i="15"/>
  <c r="K537" i="15"/>
  <c r="J537" i="15"/>
  <c r="I537" i="15"/>
  <c r="H537" i="15"/>
  <c r="G537" i="15"/>
  <c r="F537" i="15"/>
  <c r="E537" i="15"/>
  <c r="D537" i="15"/>
  <c r="C537" i="15"/>
  <c r="B537" i="15"/>
  <c r="A537" i="15"/>
  <c r="Y536" i="15"/>
  <c r="X536" i="15"/>
  <c r="W536" i="15"/>
  <c r="V536" i="15"/>
  <c r="U536" i="15"/>
  <c r="T536" i="15"/>
  <c r="S536" i="15"/>
  <c r="R536" i="15"/>
  <c r="Q536" i="15"/>
  <c r="P536" i="15"/>
  <c r="O536" i="15"/>
  <c r="N536" i="15"/>
  <c r="M536" i="15"/>
  <c r="L536" i="15"/>
  <c r="K536" i="15"/>
  <c r="J536" i="15"/>
  <c r="I536" i="15"/>
  <c r="H536" i="15"/>
  <c r="G536" i="15"/>
  <c r="F536" i="15"/>
  <c r="E536" i="15"/>
  <c r="D536" i="15"/>
  <c r="C536" i="15"/>
  <c r="B536" i="15"/>
  <c r="A536" i="15"/>
  <c r="Y535" i="15"/>
  <c r="X535" i="15"/>
  <c r="W535" i="15"/>
  <c r="V535" i="15"/>
  <c r="U535" i="15"/>
  <c r="T535" i="15"/>
  <c r="S535" i="15"/>
  <c r="R535" i="15"/>
  <c r="Q535" i="15"/>
  <c r="P535" i="15"/>
  <c r="O535" i="15"/>
  <c r="N535" i="15"/>
  <c r="M535" i="15"/>
  <c r="L535" i="15"/>
  <c r="K535" i="15"/>
  <c r="J535" i="15"/>
  <c r="I535" i="15"/>
  <c r="H535" i="15"/>
  <c r="G535" i="15"/>
  <c r="F535" i="15"/>
  <c r="E535" i="15"/>
  <c r="D535" i="15"/>
  <c r="C535" i="15"/>
  <c r="B535" i="15"/>
  <c r="A535" i="15"/>
  <c r="Y534" i="15"/>
  <c r="X534" i="15"/>
  <c r="W534" i="15"/>
  <c r="V534" i="15"/>
  <c r="U534" i="15"/>
  <c r="T534" i="15"/>
  <c r="S534" i="15"/>
  <c r="R534" i="15"/>
  <c r="Q534" i="15"/>
  <c r="P534" i="15"/>
  <c r="O534" i="15"/>
  <c r="N534" i="15"/>
  <c r="M534" i="15"/>
  <c r="L534" i="15"/>
  <c r="K534" i="15"/>
  <c r="J534" i="15"/>
  <c r="I534" i="15"/>
  <c r="H534" i="15"/>
  <c r="G534" i="15"/>
  <c r="F534" i="15"/>
  <c r="E534" i="15"/>
  <c r="D534" i="15"/>
  <c r="C534" i="15"/>
  <c r="B534" i="15"/>
  <c r="A534" i="15"/>
  <c r="Y533" i="15"/>
  <c r="X533" i="15"/>
  <c r="W533" i="15"/>
  <c r="V533" i="15"/>
  <c r="U533" i="15"/>
  <c r="T533" i="15"/>
  <c r="S533" i="15"/>
  <c r="R533" i="15"/>
  <c r="Q533" i="15"/>
  <c r="P533" i="15"/>
  <c r="O533" i="15"/>
  <c r="N533" i="15"/>
  <c r="M533" i="15"/>
  <c r="L533" i="15"/>
  <c r="K533" i="15"/>
  <c r="J533" i="15"/>
  <c r="I533" i="15"/>
  <c r="H533" i="15"/>
  <c r="G533" i="15"/>
  <c r="F533" i="15"/>
  <c r="E533" i="15"/>
  <c r="D533" i="15"/>
  <c r="C533" i="15"/>
  <c r="B533" i="15"/>
  <c r="A533" i="15"/>
  <c r="Y532" i="15"/>
  <c r="X532" i="15"/>
  <c r="W532" i="15"/>
  <c r="V532" i="15"/>
  <c r="U532" i="15"/>
  <c r="T532" i="15"/>
  <c r="S532" i="15"/>
  <c r="R532" i="15"/>
  <c r="Q532" i="15"/>
  <c r="P532" i="15"/>
  <c r="O532" i="15"/>
  <c r="N532" i="15"/>
  <c r="M532" i="15"/>
  <c r="L532" i="15"/>
  <c r="K532" i="15"/>
  <c r="J532" i="15"/>
  <c r="I532" i="15"/>
  <c r="H532" i="15"/>
  <c r="G532" i="15"/>
  <c r="F532" i="15"/>
  <c r="E532" i="15"/>
  <c r="D532" i="15"/>
  <c r="C532" i="15"/>
  <c r="B532" i="15"/>
  <c r="A532" i="15"/>
  <c r="Y531" i="15"/>
  <c r="X531" i="15"/>
  <c r="W531" i="15"/>
  <c r="V531" i="15"/>
  <c r="U531" i="15"/>
  <c r="T531" i="15"/>
  <c r="S531" i="15"/>
  <c r="R531" i="15"/>
  <c r="Q531" i="15"/>
  <c r="P531" i="15"/>
  <c r="O531" i="15"/>
  <c r="N531" i="15"/>
  <c r="M531" i="15"/>
  <c r="L531" i="15"/>
  <c r="K531" i="15"/>
  <c r="J531" i="15"/>
  <c r="I531" i="15"/>
  <c r="H531" i="15"/>
  <c r="G531" i="15"/>
  <c r="F531" i="15"/>
  <c r="E531" i="15"/>
  <c r="D531" i="15"/>
  <c r="C531" i="15"/>
  <c r="B531" i="15"/>
  <c r="A531" i="15"/>
  <c r="Y530" i="15"/>
  <c r="X530" i="15"/>
  <c r="W530" i="15"/>
  <c r="V530" i="15"/>
  <c r="U530" i="15"/>
  <c r="T530" i="15"/>
  <c r="S530" i="15"/>
  <c r="R530" i="15"/>
  <c r="Q530" i="15"/>
  <c r="P530" i="15"/>
  <c r="O530" i="15"/>
  <c r="N530" i="15"/>
  <c r="M530" i="15"/>
  <c r="L530" i="15"/>
  <c r="K530" i="15"/>
  <c r="J530" i="15"/>
  <c r="I530" i="15"/>
  <c r="H530" i="15"/>
  <c r="G530" i="15"/>
  <c r="F530" i="15"/>
  <c r="E530" i="15"/>
  <c r="D530" i="15"/>
  <c r="C530" i="15"/>
  <c r="B530" i="15"/>
  <c r="A530" i="15"/>
  <c r="Y529" i="15"/>
  <c r="X529" i="15"/>
  <c r="W529" i="15"/>
  <c r="V529" i="15"/>
  <c r="U529" i="15"/>
  <c r="T529" i="15"/>
  <c r="S529" i="15"/>
  <c r="R529" i="15"/>
  <c r="Q529" i="15"/>
  <c r="P529" i="15"/>
  <c r="O529" i="15"/>
  <c r="N529" i="15"/>
  <c r="M529" i="15"/>
  <c r="L529" i="15"/>
  <c r="K529" i="15"/>
  <c r="J529" i="15"/>
  <c r="I529" i="15"/>
  <c r="H529" i="15"/>
  <c r="G529" i="15"/>
  <c r="F529" i="15"/>
  <c r="E529" i="15"/>
  <c r="D529" i="15"/>
  <c r="C529" i="15"/>
  <c r="B529" i="15"/>
  <c r="A529" i="15"/>
  <c r="Y528" i="15"/>
  <c r="X528" i="15"/>
  <c r="W528" i="15"/>
  <c r="V528" i="15"/>
  <c r="U528" i="15"/>
  <c r="T528" i="15"/>
  <c r="S528" i="15"/>
  <c r="R528" i="15"/>
  <c r="Q528" i="15"/>
  <c r="P528" i="15"/>
  <c r="O528" i="15"/>
  <c r="N528" i="15"/>
  <c r="M528" i="15"/>
  <c r="L528" i="15"/>
  <c r="K528" i="15"/>
  <c r="J528" i="15"/>
  <c r="I528" i="15"/>
  <c r="H528" i="15"/>
  <c r="G528" i="15"/>
  <c r="F528" i="15"/>
  <c r="E528" i="15"/>
  <c r="D528" i="15"/>
  <c r="C528" i="15"/>
  <c r="B528" i="15"/>
  <c r="A528" i="15"/>
  <c r="Y527" i="15"/>
  <c r="X527" i="15"/>
  <c r="W527" i="15"/>
  <c r="V527" i="15"/>
  <c r="U527" i="15"/>
  <c r="T527" i="15"/>
  <c r="S527" i="15"/>
  <c r="R527" i="15"/>
  <c r="Q527" i="15"/>
  <c r="P527" i="15"/>
  <c r="O527" i="15"/>
  <c r="N527" i="15"/>
  <c r="M527" i="15"/>
  <c r="L527" i="15"/>
  <c r="K527" i="15"/>
  <c r="J527" i="15"/>
  <c r="I527" i="15"/>
  <c r="H527" i="15"/>
  <c r="G527" i="15"/>
  <c r="F527" i="15"/>
  <c r="E527" i="15"/>
  <c r="D527" i="15"/>
  <c r="C527" i="15"/>
  <c r="B527" i="15"/>
  <c r="A527" i="15"/>
  <c r="Y526" i="15"/>
  <c r="X526" i="15"/>
  <c r="W526" i="15"/>
  <c r="V526" i="15"/>
  <c r="U526" i="15"/>
  <c r="T526" i="15"/>
  <c r="S526" i="15"/>
  <c r="R526" i="15"/>
  <c r="Q526" i="15"/>
  <c r="P526" i="15"/>
  <c r="O526" i="15"/>
  <c r="N526" i="15"/>
  <c r="M526" i="15"/>
  <c r="L526" i="15"/>
  <c r="K526" i="15"/>
  <c r="J526" i="15"/>
  <c r="I526" i="15"/>
  <c r="H526" i="15"/>
  <c r="G526" i="15"/>
  <c r="F526" i="15"/>
  <c r="E526" i="15"/>
  <c r="D526" i="15"/>
  <c r="C526" i="15"/>
  <c r="B526" i="15"/>
  <c r="A526" i="15"/>
  <c r="Y525" i="15"/>
  <c r="X525" i="15"/>
  <c r="W525" i="15"/>
  <c r="V525" i="15"/>
  <c r="U525" i="15"/>
  <c r="T525" i="15"/>
  <c r="S525" i="15"/>
  <c r="R525" i="15"/>
  <c r="Q525" i="15"/>
  <c r="P525" i="15"/>
  <c r="O525" i="15"/>
  <c r="N525" i="15"/>
  <c r="M525" i="15"/>
  <c r="L525" i="15"/>
  <c r="K525" i="15"/>
  <c r="J525" i="15"/>
  <c r="I525" i="15"/>
  <c r="H525" i="15"/>
  <c r="G525" i="15"/>
  <c r="F525" i="15"/>
  <c r="E525" i="15"/>
  <c r="D525" i="15"/>
  <c r="C525" i="15"/>
  <c r="B525" i="15"/>
  <c r="A525" i="15"/>
  <c r="Y524" i="15"/>
  <c r="X524" i="15"/>
  <c r="W524" i="15"/>
  <c r="V524" i="15"/>
  <c r="U524" i="15"/>
  <c r="T524" i="15"/>
  <c r="S524" i="15"/>
  <c r="R524" i="15"/>
  <c r="Q524" i="15"/>
  <c r="P524" i="15"/>
  <c r="O524" i="15"/>
  <c r="N524" i="15"/>
  <c r="M524" i="15"/>
  <c r="L524" i="15"/>
  <c r="K524" i="15"/>
  <c r="J524" i="15"/>
  <c r="I524" i="15"/>
  <c r="H524" i="15"/>
  <c r="G524" i="15"/>
  <c r="F524" i="15"/>
  <c r="E524" i="15"/>
  <c r="D524" i="15"/>
  <c r="C524" i="15"/>
  <c r="B524" i="15"/>
  <c r="A524" i="15"/>
  <c r="Y523" i="15"/>
  <c r="X523" i="15"/>
  <c r="W523" i="15"/>
  <c r="V523" i="15"/>
  <c r="U523" i="15"/>
  <c r="T523" i="15"/>
  <c r="S523" i="15"/>
  <c r="R523" i="15"/>
  <c r="Q523" i="15"/>
  <c r="P523" i="15"/>
  <c r="O523" i="15"/>
  <c r="N523" i="15"/>
  <c r="M523" i="15"/>
  <c r="L523" i="15"/>
  <c r="K523" i="15"/>
  <c r="J523" i="15"/>
  <c r="I523" i="15"/>
  <c r="H523" i="15"/>
  <c r="G523" i="15"/>
  <c r="F523" i="15"/>
  <c r="E523" i="15"/>
  <c r="D523" i="15"/>
  <c r="C523" i="15"/>
  <c r="B523" i="15"/>
  <c r="A523" i="15"/>
  <c r="Y522" i="15"/>
  <c r="X522" i="15"/>
  <c r="W522" i="15"/>
  <c r="V522" i="15"/>
  <c r="U522" i="15"/>
  <c r="T522" i="15"/>
  <c r="S522" i="15"/>
  <c r="R522" i="15"/>
  <c r="Q522" i="15"/>
  <c r="P522" i="15"/>
  <c r="O522" i="15"/>
  <c r="N522" i="15"/>
  <c r="M522" i="15"/>
  <c r="L522" i="15"/>
  <c r="K522" i="15"/>
  <c r="J522" i="15"/>
  <c r="I522" i="15"/>
  <c r="H522" i="15"/>
  <c r="G522" i="15"/>
  <c r="F522" i="15"/>
  <c r="E522" i="15"/>
  <c r="D522" i="15"/>
  <c r="C522" i="15"/>
  <c r="B522" i="15"/>
  <c r="A522" i="15"/>
  <c r="Y521" i="15"/>
  <c r="X521" i="15"/>
  <c r="W521" i="15"/>
  <c r="V521" i="15"/>
  <c r="U521" i="15"/>
  <c r="T521" i="15"/>
  <c r="S521" i="15"/>
  <c r="R521" i="15"/>
  <c r="Q521" i="15"/>
  <c r="P521" i="15"/>
  <c r="O521" i="15"/>
  <c r="N521" i="15"/>
  <c r="M521" i="15"/>
  <c r="L521" i="15"/>
  <c r="K521" i="15"/>
  <c r="J521" i="15"/>
  <c r="I521" i="15"/>
  <c r="H521" i="15"/>
  <c r="G521" i="15"/>
  <c r="F521" i="15"/>
  <c r="E521" i="15"/>
  <c r="D521" i="15"/>
  <c r="C521" i="15"/>
  <c r="B521" i="15"/>
  <c r="A521" i="15"/>
  <c r="Y520" i="15"/>
  <c r="X520" i="15"/>
  <c r="W520" i="15"/>
  <c r="V520" i="15"/>
  <c r="U520" i="15"/>
  <c r="T520" i="15"/>
  <c r="S520" i="15"/>
  <c r="R520" i="15"/>
  <c r="Q520" i="15"/>
  <c r="P520" i="15"/>
  <c r="O520" i="15"/>
  <c r="N520" i="15"/>
  <c r="M520" i="15"/>
  <c r="L520" i="15"/>
  <c r="K520" i="15"/>
  <c r="J520" i="15"/>
  <c r="I520" i="15"/>
  <c r="H520" i="15"/>
  <c r="G520" i="15"/>
  <c r="F520" i="15"/>
  <c r="E520" i="15"/>
  <c r="D520" i="15"/>
  <c r="C520" i="15"/>
  <c r="B520" i="15"/>
  <c r="A520" i="15"/>
  <c r="Y519" i="15"/>
  <c r="X519" i="15"/>
  <c r="W519" i="15"/>
  <c r="V519" i="15"/>
  <c r="U519" i="15"/>
  <c r="T519" i="15"/>
  <c r="S519" i="15"/>
  <c r="R519" i="15"/>
  <c r="Q519" i="15"/>
  <c r="P519" i="15"/>
  <c r="O519" i="15"/>
  <c r="N519" i="15"/>
  <c r="M519" i="15"/>
  <c r="L519" i="15"/>
  <c r="K519" i="15"/>
  <c r="J519" i="15"/>
  <c r="I519" i="15"/>
  <c r="H519" i="15"/>
  <c r="G519" i="15"/>
  <c r="F519" i="15"/>
  <c r="E519" i="15"/>
  <c r="D519" i="15"/>
  <c r="C519" i="15"/>
  <c r="B519" i="15"/>
  <c r="A519" i="15"/>
  <c r="Y518" i="15"/>
  <c r="X518" i="15"/>
  <c r="W518" i="15"/>
  <c r="V518" i="15"/>
  <c r="U518" i="15"/>
  <c r="T518" i="15"/>
  <c r="S518" i="15"/>
  <c r="R518" i="15"/>
  <c r="Q518" i="15"/>
  <c r="P518" i="15"/>
  <c r="O518" i="15"/>
  <c r="N518" i="15"/>
  <c r="M518" i="15"/>
  <c r="L518" i="15"/>
  <c r="K518" i="15"/>
  <c r="J518" i="15"/>
  <c r="I518" i="15"/>
  <c r="H518" i="15"/>
  <c r="G518" i="15"/>
  <c r="F518" i="15"/>
  <c r="E518" i="15"/>
  <c r="D518" i="15"/>
  <c r="C518" i="15"/>
  <c r="B518" i="15"/>
  <c r="A518" i="15"/>
  <c r="Y517" i="15"/>
  <c r="X517" i="15"/>
  <c r="W517" i="15"/>
  <c r="V517" i="15"/>
  <c r="U517" i="15"/>
  <c r="T517" i="15"/>
  <c r="S517" i="15"/>
  <c r="R517" i="15"/>
  <c r="Q517" i="15"/>
  <c r="P517" i="15"/>
  <c r="O517" i="15"/>
  <c r="N517" i="15"/>
  <c r="M517" i="15"/>
  <c r="L517" i="15"/>
  <c r="K517" i="15"/>
  <c r="J517" i="15"/>
  <c r="I517" i="15"/>
  <c r="H517" i="15"/>
  <c r="G517" i="15"/>
  <c r="F517" i="15"/>
  <c r="E517" i="15"/>
  <c r="D517" i="15"/>
  <c r="C517" i="15"/>
  <c r="B517" i="15"/>
  <c r="A517" i="15"/>
  <c r="Y516" i="15"/>
  <c r="X516" i="15"/>
  <c r="W516" i="15"/>
  <c r="V516" i="15"/>
  <c r="U516" i="15"/>
  <c r="T516" i="15"/>
  <c r="S516" i="15"/>
  <c r="R516" i="15"/>
  <c r="Q516" i="15"/>
  <c r="P516" i="15"/>
  <c r="O516" i="15"/>
  <c r="N516" i="15"/>
  <c r="M516" i="15"/>
  <c r="L516" i="15"/>
  <c r="K516" i="15"/>
  <c r="J516" i="15"/>
  <c r="I516" i="15"/>
  <c r="H516" i="15"/>
  <c r="G516" i="15"/>
  <c r="F516" i="15"/>
  <c r="E516" i="15"/>
  <c r="D516" i="15"/>
  <c r="C516" i="15"/>
  <c r="B516" i="15"/>
  <c r="A516" i="15"/>
  <c r="Y515" i="15"/>
  <c r="X515" i="15"/>
  <c r="W515" i="15"/>
  <c r="V515" i="15"/>
  <c r="U515" i="15"/>
  <c r="T515" i="15"/>
  <c r="S515" i="15"/>
  <c r="R515" i="15"/>
  <c r="Q515" i="15"/>
  <c r="P515" i="15"/>
  <c r="O515" i="15"/>
  <c r="N515" i="15"/>
  <c r="M515" i="15"/>
  <c r="L515" i="15"/>
  <c r="K515" i="15"/>
  <c r="J515" i="15"/>
  <c r="I515" i="15"/>
  <c r="H515" i="15"/>
  <c r="G515" i="15"/>
  <c r="F515" i="15"/>
  <c r="E515" i="15"/>
  <c r="D515" i="15"/>
  <c r="C515" i="15"/>
  <c r="B515" i="15"/>
  <c r="A515" i="15"/>
  <c r="Y514" i="15"/>
  <c r="X514" i="15"/>
  <c r="W514" i="15"/>
  <c r="V514" i="15"/>
  <c r="U514" i="15"/>
  <c r="T514" i="15"/>
  <c r="S514" i="15"/>
  <c r="R514" i="15"/>
  <c r="Q514" i="15"/>
  <c r="P514" i="15"/>
  <c r="O514" i="15"/>
  <c r="N514" i="15"/>
  <c r="M514" i="15"/>
  <c r="L514" i="15"/>
  <c r="K514" i="15"/>
  <c r="J514" i="15"/>
  <c r="I514" i="15"/>
  <c r="H514" i="15"/>
  <c r="G514" i="15"/>
  <c r="F514" i="15"/>
  <c r="E514" i="15"/>
  <c r="D514" i="15"/>
  <c r="C514" i="15"/>
  <c r="B514" i="15"/>
  <c r="A514" i="15"/>
  <c r="Y513" i="15"/>
  <c r="X513" i="15"/>
  <c r="W513" i="15"/>
  <c r="V513" i="15"/>
  <c r="U513" i="15"/>
  <c r="T513" i="15"/>
  <c r="S513" i="15"/>
  <c r="R513" i="15"/>
  <c r="Q513" i="15"/>
  <c r="P513" i="15"/>
  <c r="O513" i="15"/>
  <c r="N513" i="15"/>
  <c r="M513" i="15"/>
  <c r="L513" i="15"/>
  <c r="K513" i="15"/>
  <c r="J513" i="15"/>
  <c r="I513" i="15"/>
  <c r="H513" i="15"/>
  <c r="G513" i="15"/>
  <c r="F513" i="15"/>
  <c r="E513" i="15"/>
  <c r="D513" i="15"/>
  <c r="C513" i="15"/>
  <c r="B513" i="15"/>
  <c r="A513" i="15"/>
  <c r="Y512" i="15"/>
  <c r="X512" i="15"/>
  <c r="W512" i="15"/>
  <c r="V512" i="15"/>
  <c r="U512" i="15"/>
  <c r="T512" i="15"/>
  <c r="S512" i="15"/>
  <c r="R512" i="15"/>
  <c r="Q512" i="15"/>
  <c r="P512" i="15"/>
  <c r="O512" i="15"/>
  <c r="N512" i="15"/>
  <c r="M512" i="15"/>
  <c r="L512" i="15"/>
  <c r="K512" i="15"/>
  <c r="J512" i="15"/>
  <c r="I512" i="15"/>
  <c r="H512" i="15"/>
  <c r="G512" i="15"/>
  <c r="F512" i="15"/>
  <c r="E512" i="15"/>
  <c r="D512" i="15"/>
  <c r="C512" i="15"/>
  <c r="B512" i="15"/>
  <c r="A512"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B511" i="15"/>
  <c r="A511" i="15"/>
  <c r="Y510" i="15"/>
  <c r="X510" i="15"/>
  <c r="W510" i="15"/>
  <c r="V510" i="15"/>
  <c r="U510" i="15"/>
  <c r="T510" i="15"/>
  <c r="S510" i="15"/>
  <c r="R510" i="15"/>
  <c r="Q510" i="15"/>
  <c r="P510" i="15"/>
  <c r="O510" i="15"/>
  <c r="N510" i="15"/>
  <c r="M510" i="15"/>
  <c r="L510" i="15"/>
  <c r="K510" i="15"/>
  <c r="J510" i="15"/>
  <c r="I510" i="15"/>
  <c r="H510" i="15"/>
  <c r="G510" i="15"/>
  <c r="F510" i="15"/>
  <c r="E510" i="15"/>
  <c r="D510" i="15"/>
  <c r="C510" i="15"/>
  <c r="B510" i="15"/>
  <c r="A510" i="15"/>
  <c r="Y509" i="15"/>
  <c r="X509" i="15"/>
  <c r="W509" i="15"/>
  <c r="V509" i="15"/>
  <c r="U509" i="15"/>
  <c r="T509" i="15"/>
  <c r="S509" i="15"/>
  <c r="R509" i="15"/>
  <c r="Q509" i="15"/>
  <c r="P509" i="15"/>
  <c r="O509" i="15"/>
  <c r="N509" i="15"/>
  <c r="M509" i="15"/>
  <c r="L509" i="15"/>
  <c r="K509" i="15"/>
  <c r="J509" i="15"/>
  <c r="I509" i="15"/>
  <c r="H509" i="15"/>
  <c r="G509" i="15"/>
  <c r="F509" i="15"/>
  <c r="E509" i="15"/>
  <c r="D509" i="15"/>
  <c r="C509" i="15"/>
  <c r="B509" i="15"/>
  <c r="A509" i="15"/>
  <c r="Y508" i="15"/>
  <c r="X508" i="15"/>
  <c r="W508" i="15"/>
  <c r="V508" i="15"/>
  <c r="U508" i="15"/>
  <c r="T508" i="15"/>
  <c r="S508" i="15"/>
  <c r="R508" i="15"/>
  <c r="Q508" i="15"/>
  <c r="P508" i="15"/>
  <c r="O508" i="15"/>
  <c r="N508" i="15"/>
  <c r="M508" i="15"/>
  <c r="L508" i="15"/>
  <c r="K508" i="15"/>
  <c r="J508" i="15"/>
  <c r="I508" i="15"/>
  <c r="H508" i="15"/>
  <c r="G508" i="15"/>
  <c r="F508" i="15"/>
  <c r="E508" i="15"/>
  <c r="D508" i="15"/>
  <c r="C508" i="15"/>
  <c r="B508" i="15"/>
  <c r="A508" i="15"/>
  <c r="Y507" i="15"/>
  <c r="X507" i="15"/>
  <c r="W507" i="15"/>
  <c r="V507" i="15"/>
  <c r="U507" i="15"/>
  <c r="T507" i="15"/>
  <c r="S507" i="15"/>
  <c r="R507" i="15"/>
  <c r="Q507" i="15"/>
  <c r="P507" i="15"/>
  <c r="O507" i="15"/>
  <c r="N507" i="15"/>
  <c r="M507" i="15"/>
  <c r="L507" i="15"/>
  <c r="K507" i="15"/>
  <c r="J507" i="15"/>
  <c r="I507" i="15"/>
  <c r="H507" i="15"/>
  <c r="G507" i="15"/>
  <c r="F507" i="15"/>
  <c r="E507" i="15"/>
  <c r="D507" i="15"/>
  <c r="C507" i="15"/>
  <c r="B507" i="15"/>
  <c r="A507" i="15"/>
  <c r="Y506" i="15"/>
  <c r="X506" i="15"/>
  <c r="W506" i="15"/>
  <c r="V506" i="15"/>
  <c r="U506" i="15"/>
  <c r="T506" i="15"/>
  <c r="S506" i="15"/>
  <c r="R506" i="15"/>
  <c r="Q506" i="15"/>
  <c r="P506" i="15"/>
  <c r="O506" i="15"/>
  <c r="N506" i="15"/>
  <c r="M506" i="15"/>
  <c r="L506" i="15"/>
  <c r="K506" i="15"/>
  <c r="J506" i="15"/>
  <c r="I506" i="15"/>
  <c r="H506" i="15"/>
  <c r="G506" i="15"/>
  <c r="F506" i="15"/>
  <c r="E506" i="15"/>
  <c r="D506" i="15"/>
  <c r="C506" i="15"/>
  <c r="B506" i="15"/>
  <c r="A506" i="15"/>
  <c r="Y505" i="15"/>
  <c r="X505" i="15"/>
  <c r="W505" i="15"/>
  <c r="V505" i="15"/>
  <c r="U505" i="15"/>
  <c r="T505" i="15"/>
  <c r="S505" i="15"/>
  <c r="R505" i="15"/>
  <c r="Q505" i="15"/>
  <c r="P505" i="15"/>
  <c r="O505" i="15"/>
  <c r="N505" i="15"/>
  <c r="M505" i="15"/>
  <c r="L505" i="15"/>
  <c r="K505" i="15"/>
  <c r="J505" i="15"/>
  <c r="I505" i="15"/>
  <c r="H505" i="15"/>
  <c r="G505" i="15"/>
  <c r="F505" i="15"/>
  <c r="E505" i="15"/>
  <c r="D505" i="15"/>
  <c r="C505" i="15"/>
  <c r="B505" i="15"/>
  <c r="A505" i="15"/>
  <c r="Y504" i="15"/>
  <c r="X504" i="15"/>
  <c r="W504" i="15"/>
  <c r="V504" i="15"/>
  <c r="U504" i="15"/>
  <c r="T504" i="15"/>
  <c r="S504" i="15"/>
  <c r="R504" i="15"/>
  <c r="Q504" i="15"/>
  <c r="P504" i="15"/>
  <c r="O504" i="15"/>
  <c r="N504" i="15"/>
  <c r="M504" i="15"/>
  <c r="L504" i="15"/>
  <c r="K504" i="15"/>
  <c r="J504" i="15"/>
  <c r="I504" i="15"/>
  <c r="H504" i="15"/>
  <c r="G504" i="15"/>
  <c r="F504" i="15"/>
  <c r="E504" i="15"/>
  <c r="D504" i="15"/>
  <c r="C504" i="15"/>
  <c r="B504" i="15"/>
  <c r="A504" i="15"/>
  <c r="Y503" i="15"/>
  <c r="X503" i="15"/>
  <c r="W503" i="15"/>
  <c r="V503" i="15"/>
  <c r="U503" i="15"/>
  <c r="T503" i="15"/>
  <c r="S503" i="15"/>
  <c r="R503" i="15"/>
  <c r="Q503" i="15"/>
  <c r="P503" i="15"/>
  <c r="O503" i="15"/>
  <c r="N503" i="15"/>
  <c r="M503" i="15"/>
  <c r="L503" i="15"/>
  <c r="K503" i="15"/>
  <c r="J503" i="15"/>
  <c r="I503" i="15"/>
  <c r="H503" i="15"/>
  <c r="G503" i="15"/>
  <c r="F503" i="15"/>
  <c r="E503" i="15"/>
  <c r="D503" i="15"/>
  <c r="C503" i="15"/>
  <c r="B503" i="15"/>
  <c r="A503" i="15"/>
  <c r="Y502" i="15"/>
  <c r="X502" i="15"/>
  <c r="W502" i="15"/>
  <c r="V502" i="15"/>
  <c r="U502" i="15"/>
  <c r="T502" i="15"/>
  <c r="S502" i="15"/>
  <c r="R502" i="15"/>
  <c r="Q502" i="15"/>
  <c r="P502" i="15"/>
  <c r="O502" i="15"/>
  <c r="N502" i="15"/>
  <c r="M502" i="15"/>
  <c r="L502" i="15"/>
  <c r="K502" i="15"/>
  <c r="J502" i="15"/>
  <c r="I502" i="15"/>
  <c r="H502" i="15"/>
  <c r="G502" i="15"/>
  <c r="F502" i="15"/>
  <c r="E502" i="15"/>
  <c r="D502" i="15"/>
  <c r="C502" i="15"/>
  <c r="B502" i="15"/>
  <c r="A502" i="15"/>
  <c r="Y501" i="15"/>
  <c r="X501" i="15"/>
  <c r="W501" i="15"/>
  <c r="V501" i="15"/>
  <c r="U501" i="15"/>
  <c r="T501" i="15"/>
  <c r="S501" i="15"/>
  <c r="R501" i="15"/>
  <c r="Q501" i="15"/>
  <c r="P501" i="15"/>
  <c r="O501" i="15"/>
  <c r="N501" i="15"/>
  <c r="M501" i="15"/>
  <c r="L501" i="15"/>
  <c r="K501" i="15"/>
  <c r="J501" i="15"/>
  <c r="I501" i="15"/>
  <c r="H501" i="15"/>
  <c r="G501" i="15"/>
  <c r="F501" i="15"/>
  <c r="E501" i="15"/>
  <c r="D501" i="15"/>
  <c r="C501" i="15"/>
  <c r="B501" i="15"/>
  <c r="A501" i="15"/>
  <c r="Y500" i="15"/>
  <c r="X500" i="15"/>
  <c r="W500" i="15"/>
  <c r="V500" i="15"/>
  <c r="U500" i="15"/>
  <c r="T500" i="15"/>
  <c r="S500" i="15"/>
  <c r="R500" i="15"/>
  <c r="Q500" i="15"/>
  <c r="P500" i="15"/>
  <c r="O500" i="15"/>
  <c r="N500" i="15"/>
  <c r="M500" i="15"/>
  <c r="L500" i="15"/>
  <c r="K500" i="15"/>
  <c r="J500" i="15"/>
  <c r="I500" i="15"/>
  <c r="H500" i="15"/>
  <c r="G500" i="15"/>
  <c r="F500" i="15"/>
  <c r="E500" i="15"/>
  <c r="D500" i="15"/>
  <c r="C500" i="15"/>
  <c r="B500" i="15"/>
  <c r="A500" i="15"/>
  <c r="Y499" i="15"/>
  <c r="X499" i="15"/>
  <c r="W499" i="15"/>
  <c r="V499" i="15"/>
  <c r="U499" i="15"/>
  <c r="T499" i="15"/>
  <c r="S499" i="15"/>
  <c r="R499" i="15"/>
  <c r="Q499" i="15"/>
  <c r="P499" i="15"/>
  <c r="O499" i="15"/>
  <c r="N499" i="15"/>
  <c r="M499" i="15"/>
  <c r="L499" i="15"/>
  <c r="K499" i="15"/>
  <c r="J499" i="15"/>
  <c r="I499" i="15"/>
  <c r="H499" i="15"/>
  <c r="G499" i="15"/>
  <c r="F499" i="15"/>
  <c r="E499" i="15"/>
  <c r="D499" i="15"/>
  <c r="C499" i="15"/>
  <c r="B499" i="15"/>
  <c r="A499" i="15"/>
  <c r="Y498" i="15"/>
  <c r="X498" i="15"/>
  <c r="W498" i="15"/>
  <c r="V498" i="15"/>
  <c r="U498" i="15"/>
  <c r="T498" i="15"/>
  <c r="S498" i="15"/>
  <c r="R498" i="15"/>
  <c r="Q498" i="15"/>
  <c r="P498" i="15"/>
  <c r="O498" i="15"/>
  <c r="N498" i="15"/>
  <c r="M498" i="15"/>
  <c r="L498" i="15"/>
  <c r="K498" i="15"/>
  <c r="J498" i="15"/>
  <c r="I498" i="15"/>
  <c r="H498" i="15"/>
  <c r="G498" i="15"/>
  <c r="F498" i="15"/>
  <c r="E498" i="15"/>
  <c r="D498" i="15"/>
  <c r="C498" i="15"/>
  <c r="B498" i="15"/>
  <c r="A498" i="15"/>
  <c r="Y497" i="15"/>
  <c r="X497" i="15"/>
  <c r="W497" i="15"/>
  <c r="V497" i="15"/>
  <c r="U497" i="15"/>
  <c r="T497" i="15"/>
  <c r="S497" i="15"/>
  <c r="R497" i="15"/>
  <c r="Q497" i="15"/>
  <c r="P497" i="15"/>
  <c r="O497" i="15"/>
  <c r="N497" i="15"/>
  <c r="M497" i="15"/>
  <c r="L497" i="15"/>
  <c r="K497" i="15"/>
  <c r="J497" i="15"/>
  <c r="I497" i="15"/>
  <c r="H497" i="15"/>
  <c r="G497" i="15"/>
  <c r="F497" i="15"/>
  <c r="E497" i="15"/>
  <c r="D497" i="15"/>
  <c r="C497" i="15"/>
  <c r="B497" i="15"/>
  <c r="A497" i="15"/>
  <c r="Y496" i="15"/>
  <c r="X496" i="15"/>
  <c r="W496" i="15"/>
  <c r="V496" i="15"/>
  <c r="U496" i="15"/>
  <c r="T496" i="15"/>
  <c r="S496" i="15"/>
  <c r="R496" i="15"/>
  <c r="Q496" i="15"/>
  <c r="P496" i="15"/>
  <c r="O496" i="15"/>
  <c r="N496" i="15"/>
  <c r="M496" i="15"/>
  <c r="L496" i="15"/>
  <c r="K496" i="15"/>
  <c r="J496" i="15"/>
  <c r="I496" i="15"/>
  <c r="H496" i="15"/>
  <c r="G496" i="15"/>
  <c r="F496" i="15"/>
  <c r="E496" i="15"/>
  <c r="D496" i="15"/>
  <c r="C496" i="15"/>
  <c r="B496" i="15"/>
  <c r="A496" i="15"/>
  <c r="Y495" i="15"/>
  <c r="X495" i="15"/>
  <c r="W495" i="15"/>
  <c r="V495" i="15"/>
  <c r="U495" i="15"/>
  <c r="T495" i="15"/>
  <c r="S495" i="15"/>
  <c r="R495" i="15"/>
  <c r="Q495" i="15"/>
  <c r="P495" i="15"/>
  <c r="O495" i="15"/>
  <c r="N495" i="15"/>
  <c r="M495" i="15"/>
  <c r="L495" i="15"/>
  <c r="K495" i="15"/>
  <c r="J495" i="15"/>
  <c r="I495" i="15"/>
  <c r="H495" i="15"/>
  <c r="G495" i="15"/>
  <c r="F495" i="15"/>
  <c r="E495" i="15"/>
  <c r="D495" i="15"/>
  <c r="C495" i="15"/>
  <c r="B495" i="15"/>
  <c r="A495" i="15"/>
  <c r="Y494" i="15"/>
  <c r="X494" i="15"/>
  <c r="W494" i="15"/>
  <c r="V494" i="15"/>
  <c r="U494" i="15"/>
  <c r="T494" i="15"/>
  <c r="S494" i="15"/>
  <c r="R494" i="15"/>
  <c r="Q494" i="15"/>
  <c r="P494" i="15"/>
  <c r="O494" i="15"/>
  <c r="N494" i="15"/>
  <c r="M494" i="15"/>
  <c r="L494" i="15"/>
  <c r="K494" i="15"/>
  <c r="J494" i="15"/>
  <c r="I494" i="15"/>
  <c r="H494" i="15"/>
  <c r="G494" i="15"/>
  <c r="F494" i="15"/>
  <c r="E494" i="15"/>
  <c r="D494" i="15"/>
  <c r="C494" i="15"/>
  <c r="B494" i="15"/>
  <c r="A494" i="15"/>
  <c r="Y493" i="15"/>
  <c r="X493" i="15"/>
  <c r="W493" i="15"/>
  <c r="V493" i="15"/>
  <c r="U493" i="15"/>
  <c r="T493" i="15"/>
  <c r="S493" i="15"/>
  <c r="R493" i="15"/>
  <c r="Q493" i="15"/>
  <c r="P493" i="15"/>
  <c r="O493" i="15"/>
  <c r="N493" i="15"/>
  <c r="M493" i="15"/>
  <c r="L493" i="15"/>
  <c r="K493" i="15"/>
  <c r="J493" i="15"/>
  <c r="I493" i="15"/>
  <c r="H493" i="15"/>
  <c r="G493" i="15"/>
  <c r="F493" i="15"/>
  <c r="E493" i="15"/>
  <c r="D493" i="15"/>
  <c r="C493" i="15"/>
  <c r="B493" i="15"/>
  <c r="A493" i="15"/>
  <c r="Y492" i="15"/>
  <c r="X492" i="15"/>
  <c r="W492" i="15"/>
  <c r="V492" i="15"/>
  <c r="U492" i="15"/>
  <c r="T492" i="15"/>
  <c r="S492" i="15"/>
  <c r="R492" i="15"/>
  <c r="Q492" i="15"/>
  <c r="P492" i="15"/>
  <c r="O492" i="15"/>
  <c r="N492" i="15"/>
  <c r="M492" i="15"/>
  <c r="L492" i="15"/>
  <c r="K492" i="15"/>
  <c r="J492" i="15"/>
  <c r="I492" i="15"/>
  <c r="H492" i="15"/>
  <c r="G492" i="15"/>
  <c r="F492" i="15"/>
  <c r="E492" i="15"/>
  <c r="D492" i="15"/>
  <c r="C492" i="15"/>
  <c r="B492" i="15"/>
  <c r="A492" i="15"/>
  <c r="Y491" i="15"/>
  <c r="X491" i="15"/>
  <c r="W491" i="15"/>
  <c r="V491" i="15"/>
  <c r="U491" i="15"/>
  <c r="T491" i="15"/>
  <c r="S491" i="15"/>
  <c r="R491" i="15"/>
  <c r="Q491" i="15"/>
  <c r="P491" i="15"/>
  <c r="O491" i="15"/>
  <c r="N491" i="15"/>
  <c r="M491" i="15"/>
  <c r="L491" i="15"/>
  <c r="K491" i="15"/>
  <c r="J491" i="15"/>
  <c r="I491" i="15"/>
  <c r="H491" i="15"/>
  <c r="G491" i="15"/>
  <c r="F491" i="15"/>
  <c r="E491" i="15"/>
  <c r="D491" i="15"/>
  <c r="C491" i="15"/>
  <c r="B491" i="15"/>
  <c r="A491" i="15"/>
  <c r="Y490" i="15"/>
  <c r="X490" i="15"/>
  <c r="W490" i="15"/>
  <c r="V490" i="15"/>
  <c r="U490" i="15"/>
  <c r="T490" i="15"/>
  <c r="S490" i="15"/>
  <c r="R490" i="15"/>
  <c r="Q490" i="15"/>
  <c r="P490" i="15"/>
  <c r="O490" i="15"/>
  <c r="N490" i="15"/>
  <c r="M490" i="15"/>
  <c r="L490" i="15"/>
  <c r="K490" i="15"/>
  <c r="J490" i="15"/>
  <c r="I490" i="15"/>
  <c r="H490" i="15"/>
  <c r="G490" i="15"/>
  <c r="F490" i="15"/>
  <c r="E490" i="15"/>
  <c r="D490" i="15"/>
  <c r="C490" i="15"/>
  <c r="B490" i="15"/>
  <c r="A490" i="15"/>
  <c r="Y489" i="15"/>
  <c r="X489" i="15"/>
  <c r="W489" i="15"/>
  <c r="V489" i="15"/>
  <c r="U489" i="15"/>
  <c r="T489" i="15"/>
  <c r="S489" i="15"/>
  <c r="R489" i="15"/>
  <c r="Q489" i="15"/>
  <c r="P489" i="15"/>
  <c r="O489" i="15"/>
  <c r="N489" i="15"/>
  <c r="M489" i="15"/>
  <c r="L489" i="15"/>
  <c r="K489" i="15"/>
  <c r="J489" i="15"/>
  <c r="I489" i="15"/>
  <c r="H489" i="15"/>
  <c r="G489" i="15"/>
  <c r="F489" i="15"/>
  <c r="E489" i="15"/>
  <c r="D489" i="15"/>
  <c r="C489" i="15"/>
  <c r="B489" i="15"/>
  <c r="A489" i="15"/>
  <c r="Y488" i="15"/>
  <c r="X488" i="15"/>
  <c r="W488" i="15"/>
  <c r="V488" i="15"/>
  <c r="U488" i="15"/>
  <c r="T488" i="15"/>
  <c r="S488" i="15"/>
  <c r="R488" i="15"/>
  <c r="Q488" i="15"/>
  <c r="P488" i="15"/>
  <c r="O488" i="15"/>
  <c r="N488" i="15"/>
  <c r="M488" i="15"/>
  <c r="L488" i="15"/>
  <c r="K488" i="15"/>
  <c r="J488" i="15"/>
  <c r="I488" i="15"/>
  <c r="H488" i="15"/>
  <c r="G488" i="15"/>
  <c r="F488" i="15"/>
  <c r="E488" i="15"/>
  <c r="D488" i="15"/>
  <c r="C488" i="15"/>
  <c r="B488" i="15"/>
  <c r="A488" i="15"/>
  <c r="Y487" i="15"/>
  <c r="X487" i="15"/>
  <c r="W487" i="15"/>
  <c r="V487" i="15"/>
  <c r="U487" i="15"/>
  <c r="T487" i="15"/>
  <c r="S487" i="15"/>
  <c r="R487" i="15"/>
  <c r="Q487" i="15"/>
  <c r="P487" i="15"/>
  <c r="O487" i="15"/>
  <c r="N487" i="15"/>
  <c r="M487" i="15"/>
  <c r="L487" i="15"/>
  <c r="K487" i="15"/>
  <c r="J487" i="15"/>
  <c r="I487" i="15"/>
  <c r="H487" i="15"/>
  <c r="G487" i="15"/>
  <c r="F487" i="15"/>
  <c r="E487" i="15"/>
  <c r="D487" i="15"/>
  <c r="C487" i="15"/>
  <c r="B487" i="15"/>
  <c r="A487" i="15"/>
  <c r="Y486" i="15"/>
  <c r="X486" i="15"/>
  <c r="W486" i="15"/>
  <c r="V486" i="15"/>
  <c r="U486" i="15"/>
  <c r="T486" i="15"/>
  <c r="S486" i="15"/>
  <c r="R486" i="15"/>
  <c r="Q486" i="15"/>
  <c r="P486" i="15"/>
  <c r="O486" i="15"/>
  <c r="N486" i="15"/>
  <c r="M486" i="15"/>
  <c r="L486" i="15"/>
  <c r="K486" i="15"/>
  <c r="J486" i="15"/>
  <c r="I486" i="15"/>
  <c r="H486" i="15"/>
  <c r="G486" i="15"/>
  <c r="F486" i="15"/>
  <c r="E486" i="15"/>
  <c r="D486" i="15"/>
  <c r="C486" i="15"/>
  <c r="B486" i="15"/>
  <c r="A486" i="15"/>
  <c r="Y485" i="15"/>
  <c r="X485" i="15"/>
  <c r="W485" i="15"/>
  <c r="V485" i="15"/>
  <c r="U485" i="15"/>
  <c r="T485" i="15"/>
  <c r="S485" i="15"/>
  <c r="R485" i="15"/>
  <c r="Q485" i="15"/>
  <c r="P485" i="15"/>
  <c r="O485" i="15"/>
  <c r="N485" i="15"/>
  <c r="M485" i="15"/>
  <c r="L485" i="15"/>
  <c r="K485" i="15"/>
  <c r="J485" i="15"/>
  <c r="I485" i="15"/>
  <c r="H485" i="15"/>
  <c r="G485" i="15"/>
  <c r="F485" i="15"/>
  <c r="E485" i="15"/>
  <c r="D485" i="15"/>
  <c r="C485" i="15"/>
  <c r="B485" i="15"/>
  <c r="A485" i="15"/>
  <c r="Y484" i="15"/>
  <c r="X484" i="15"/>
  <c r="W484" i="15"/>
  <c r="V484" i="15"/>
  <c r="U484" i="15"/>
  <c r="T484" i="15"/>
  <c r="S484" i="15"/>
  <c r="R484" i="15"/>
  <c r="Q484" i="15"/>
  <c r="P484" i="15"/>
  <c r="O484" i="15"/>
  <c r="N484" i="15"/>
  <c r="M484" i="15"/>
  <c r="L484" i="15"/>
  <c r="K484" i="15"/>
  <c r="J484" i="15"/>
  <c r="I484" i="15"/>
  <c r="H484" i="15"/>
  <c r="G484" i="15"/>
  <c r="F484" i="15"/>
  <c r="E484" i="15"/>
  <c r="D484" i="15"/>
  <c r="C484" i="15"/>
  <c r="B484" i="15"/>
  <c r="A484" i="15"/>
  <c r="Y483" i="15"/>
  <c r="X483" i="15"/>
  <c r="W483" i="15"/>
  <c r="V483" i="15"/>
  <c r="U483" i="15"/>
  <c r="T483" i="15"/>
  <c r="S483" i="15"/>
  <c r="R483" i="15"/>
  <c r="Q483" i="15"/>
  <c r="P483" i="15"/>
  <c r="O483" i="15"/>
  <c r="N483" i="15"/>
  <c r="M483" i="15"/>
  <c r="L483" i="15"/>
  <c r="K483" i="15"/>
  <c r="J483" i="15"/>
  <c r="I483" i="15"/>
  <c r="H483" i="15"/>
  <c r="G483" i="15"/>
  <c r="F483" i="15"/>
  <c r="E483" i="15"/>
  <c r="D483" i="15"/>
  <c r="C483" i="15"/>
  <c r="B483" i="15"/>
  <c r="A483" i="15"/>
  <c r="Y482" i="15"/>
  <c r="X482" i="15"/>
  <c r="W482" i="15"/>
  <c r="V482" i="15"/>
  <c r="U482" i="15"/>
  <c r="T482" i="15"/>
  <c r="S482" i="15"/>
  <c r="R482" i="15"/>
  <c r="Q482" i="15"/>
  <c r="P482" i="15"/>
  <c r="O482" i="15"/>
  <c r="N482" i="15"/>
  <c r="M482" i="15"/>
  <c r="L482" i="15"/>
  <c r="K482" i="15"/>
  <c r="J482" i="15"/>
  <c r="I482" i="15"/>
  <c r="H482" i="15"/>
  <c r="G482" i="15"/>
  <c r="F482" i="15"/>
  <c r="E482" i="15"/>
  <c r="D482" i="15"/>
  <c r="C482" i="15"/>
  <c r="B482" i="15"/>
  <c r="A482" i="15"/>
  <c r="Y481" i="15"/>
  <c r="X481" i="15"/>
  <c r="W481" i="15"/>
  <c r="V481" i="15"/>
  <c r="U481" i="15"/>
  <c r="T481" i="15"/>
  <c r="S481" i="15"/>
  <c r="R481" i="15"/>
  <c r="Q481" i="15"/>
  <c r="P481" i="15"/>
  <c r="O481" i="15"/>
  <c r="N481" i="15"/>
  <c r="M481" i="15"/>
  <c r="L481" i="15"/>
  <c r="K481" i="15"/>
  <c r="J481" i="15"/>
  <c r="I481" i="15"/>
  <c r="H481" i="15"/>
  <c r="G481" i="15"/>
  <c r="F481" i="15"/>
  <c r="E481" i="15"/>
  <c r="D481" i="15"/>
  <c r="C481" i="15"/>
  <c r="B481" i="15"/>
  <c r="A481" i="15"/>
  <c r="Y480" i="15"/>
  <c r="X480" i="15"/>
  <c r="W480" i="15"/>
  <c r="V480" i="15"/>
  <c r="U480" i="15"/>
  <c r="T480" i="15"/>
  <c r="S480" i="15"/>
  <c r="R480" i="15"/>
  <c r="Q480" i="15"/>
  <c r="P480" i="15"/>
  <c r="O480" i="15"/>
  <c r="N480" i="15"/>
  <c r="M480" i="15"/>
  <c r="L480" i="15"/>
  <c r="K480" i="15"/>
  <c r="J480" i="15"/>
  <c r="I480" i="15"/>
  <c r="H480" i="15"/>
  <c r="G480" i="15"/>
  <c r="F480" i="15"/>
  <c r="E480" i="15"/>
  <c r="D480" i="15"/>
  <c r="C480" i="15"/>
  <c r="B480" i="15"/>
  <c r="A480" i="15"/>
  <c r="Y479" i="15"/>
  <c r="X479" i="15"/>
  <c r="W479" i="15"/>
  <c r="V479" i="15"/>
  <c r="U479" i="15"/>
  <c r="T479" i="15"/>
  <c r="S479" i="15"/>
  <c r="R479" i="15"/>
  <c r="Q479" i="15"/>
  <c r="P479" i="15"/>
  <c r="O479" i="15"/>
  <c r="N479" i="15"/>
  <c r="M479" i="15"/>
  <c r="L479" i="15"/>
  <c r="K479" i="15"/>
  <c r="J479" i="15"/>
  <c r="I479" i="15"/>
  <c r="H479" i="15"/>
  <c r="G479" i="15"/>
  <c r="F479" i="15"/>
  <c r="E479" i="15"/>
  <c r="D479" i="15"/>
  <c r="C479" i="15"/>
  <c r="B479" i="15"/>
  <c r="A479" i="15"/>
  <c r="Y478" i="15"/>
  <c r="X478" i="15"/>
  <c r="W478" i="15"/>
  <c r="V478" i="15"/>
  <c r="U478" i="15"/>
  <c r="T478" i="15"/>
  <c r="S478" i="15"/>
  <c r="R478" i="15"/>
  <c r="Q478" i="15"/>
  <c r="P478" i="15"/>
  <c r="O478" i="15"/>
  <c r="N478" i="15"/>
  <c r="M478" i="15"/>
  <c r="L478" i="15"/>
  <c r="K478" i="15"/>
  <c r="J478" i="15"/>
  <c r="I478" i="15"/>
  <c r="H478" i="15"/>
  <c r="G478" i="15"/>
  <c r="F478" i="15"/>
  <c r="E478" i="15"/>
  <c r="D478" i="15"/>
  <c r="C478" i="15"/>
  <c r="B478" i="15"/>
  <c r="A478" i="15"/>
  <c r="Y477" i="15"/>
  <c r="X477" i="15"/>
  <c r="W477" i="15"/>
  <c r="V477" i="15"/>
  <c r="U477" i="15"/>
  <c r="T477" i="15"/>
  <c r="S477" i="15"/>
  <c r="R477" i="15"/>
  <c r="Q477" i="15"/>
  <c r="P477" i="15"/>
  <c r="O477" i="15"/>
  <c r="N477" i="15"/>
  <c r="M477" i="15"/>
  <c r="L477" i="15"/>
  <c r="K477" i="15"/>
  <c r="J477" i="15"/>
  <c r="I477" i="15"/>
  <c r="H477" i="15"/>
  <c r="G477" i="15"/>
  <c r="F477" i="15"/>
  <c r="E477" i="15"/>
  <c r="D477" i="15"/>
  <c r="C477" i="15"/>
  <c r="B477" i="15"/>
  <c r="A477" i="15"/>
  <c r="Y476" i="15"/>
  <c r="X476" i="15"/>
  <c r="W476" i="15"/>
  <c r="V476" i="15"/>
  <c r="U476" i="15"/>
  <c r="T476" i="15"/>
  <c r="S476" i="15"/>
  <c r="R476" i="15"/>
  <c r="Q476" i="15"/>
  <c r="P476" i="15"/>
  <c r="O476" i="15"/>
  <c r="N476" i="15"/>
  <c r="M476" i="15"/>
  <c r="L476" i="15"/>
  <c r="K476" i="15"/>
  <c r="J476" i="15"/>
  <c r="I476" i="15"/>
  <c r="H476" i="15"/>
  <c r="G476" i="15"/>
  <c r="F476" i="15"/>
  <c r="E476" i="15"/>
  <c r="D476" i="15"/>
  <c r="C476" i="15"/>
  <c r="B476" i="15"/>
  <c r="A476" i="15"/>
  <c r="Y475" i="15"/>
  <c r="X475" i="15"/>
  <c r="W475" i="15"/>
  <c r="V475" i="15"/>
  <c r="U475" i="15"/>
  <c r="T475" i="15"/>
  <c r="S475" i="15"/>
  <c r="R475" i="15"/>
  <c r="Q475" i="15"/>
  <c r="P475" i="15"/>
  <c r="O475" i="15"/>
  <c r="N475" i="15"/>
  <c r="M475" i="15"/>
  <c r="L475" i="15"/>
  <c r="K475" i="15"/>
  <c r="J475" i="15"/>
  <c r="I475" i="15"/>
  <c r="H475" i="15"/>
  <c r="G475" i="15"/>
  <c r="F475" i="15"/>
  <c r="E475" i="15"/>
  <c r="D475" i="15"/>
  <c r="C475" i="15"/>
  <c r="B475" i="15"/>
  <c r="A475" i="15"/>
  <c r="Y474" i="15"/>
  <c r="X474" i="15"/>
  <c r="W474" i="15"/>
  <c r="V474" i="15"/>
  <c r="U474" i="15"/>
  <c r="T474" i="15"/>
  <c r="S474" i="15"/>
  <c r="R474" i="15"/>
  <c r="Q474" i="15"/>
  <c r="P474" i="15"/>
  <c r="O474" i="15"/>
  <c r="N474" i="15"/>
  <c r="M474" i="15"/>
  <c r="L474" i="15"/>
  <c r="K474" i="15"/>
  <c r="J474" i="15"/>
  <c r="I474" i="15"/>
  <c r="H474" i="15"/>
  <c r="G474" i="15"/>
  <c r="F474" i="15"/>
  <c r="E474" i="15"/>
  <c r="D474" i="15"/>
  <c r="C474" i="15"/>
  <c r="B474" i="15"/>
  <c r="A474" i="15"/>
  <c r="Y473" i="15"/>
  <c r="X473" i="15"/>
  <c r="W473" i="15"/>
  <c r="V473" i="15"/>
  <c r="U473" i="15"/>
  <c r="T473" i="15"/>
  <c r="S473" i="15"/>
  <c r="R473" i="15"/>
  <c r="Q473" i="15"/>
  <c r="P473" i="15"/>
  <c r="O473" i="15"/>
  <c r="N473" i="15"/>
  <c r="M473" i="15"/>
  <c r="L473" i="15"/>
  <c r="K473" i="15"/>
  <c r="J473" i="15"/>
  <c r="I473" i="15"/>
  <c r="H473" i="15"/>
  <c r="G473" i="15"/>
  <c r="F473" i="15"/>
  <c r="E473" i="15"/>
  <c r="D473" i="15"/>
  <c r="C473" i="15"/>
  <c r="B473" i="15"/>
  <c r="A473" i="15"/>
  <c r="Y472" i="15"/>
  <c r="X472" i="15"/>
  <c r="W472" i="15"/>
  <c r="V472" i="15"/>
  <c r="U472" i="15"/>
  <c r="T472" i="15"/>
  <c r="S472" i="15"/>
  <c r="R472" i="15"/>
  <c r="Q472" i="15"/>
  <c r="P472" i="15"/>
  <c r="O472" i="15"/>
  <c r="N472" i="15"/>
  <c r="M472" i="15"/>
  <c r="L472" i="15"/>
  <c r="K472" i="15"/>
  <c r="J472" i="15"/>
  <c r="I472" i="15"/>
  <c r="H472" i="15"/>
  <c r="G472" i="15"/>
  <c r="F472" i="15"/>
  <c r="E472" i="15"/>
  <c r="D472" i="15"/>
  <c r="C472" i="15"/>
  <c r="B472" i="15"/>
  <c r="A472" i="15"/>
  <c r="Y471" i="15"/>
  <c r="X471" i="15"/>
  <c r="W471" i="15"/>
  <c r="V471" i="15"/>
  <c r="U471" i="15"/>
  <c r="T471" i="15"/>
  <c r="S471" i="15"/>
  <c r="R471" i="15"/>
  <c r="Q471" i="15"/>
  <c r="P471" i="15"/>
  <c r="O471" i="15"/>
  <c r="N471" i="15"/>
  <c r="M471" i="15"/>
  <c r="L471" i="15"/>
  <c r="K471" i="15"/>
  <c r="J471" i="15"/>
  <c r="I471" i="15"/>
  <c r="H471" i="15"/>
  <c r="G471" i="15"/>
  <c r="F471" i="15"/>
  <c r="E471" i="15"/>
  <c r="D471" i="15"/>
  <c r="C471" i="15"/>
  <c r="B471" i="15"/>
  <c r="A471" i="15"/>
  <c r="Y470" i="15"/>
  <c r="X470" i="15"/>
  <c r="W470" i="15"/>
  <c r="V470" i="15"/>
  <c r="U470" i="15"/>
  <c r="T470" i="15"/>
  <c r="S470" i="15"/>
  <c r="R470" i="15"/>
  <c r="Q470" i="15"/>
  <c r="P470" i="15"/>
  <c r="O470" i="15"/>
  <c r="N470" i="15"/>
  <c r="M470" i="15"/>
  <c r="L470" i="15"/>
  <c r="K470" i="15"/>
  <c r="J470" i="15"/>
  <c r="I470" i="15"/>
  <c r="H470" i="15"/>
  <c r="G470" i="15"/>
  <c r="F470" i="15"/>
  <c r="E470" i="15"/>
  <c r="D470" i="15"/>
  <c r="C470" i="15"/>
  <c r="B470" i="15"/>
  <c r="A470" i="15"/>
  <c r="Y469" i="15"/>
  <c r="X469" i="15"/>
  <c r="W469" i="15"/>
  <c r="V469" i="15"/>
  <c r="U469" i="15"/>
  <c r="T469" i="15"/>
  <c r="S469" i="15"/>
  <c r="R469" i="15"/>
  <c r="Q469" i="15"/>
  <c r="P469" i="15"/>
  <c r="O469" i="15"/>
  <c r="N469" i="15"/>
  <c r="M469" i="15"/>
  <c r="L469" i="15"/>
  <c r="K469" i="15"/>
  <c r="J469" i="15"/>
  <c r="I469" i="15"/>
  <c r="H469" i="15"/>
  <c r="G469" i="15"/>
  <c r="F469" i="15"/>
  <c r="E469" i="15"/>
  <c r="D469" i="15"/>
  <c r="C469" i="15"/>
  <c r="B469" i="15"/>
  <c r="A469" i="15"/>
  <c r="Y468" i="15"/>
  <c r="X468" i="15"/>
  <c r="W468" i="15"/>
  <c r="V468" i="15"/>
  <c r="U468" i="15"/>
  <c r="T468" i="15"/>
  <c r="S468" i="15"/>
  <c r="R468" i="15"/>
  <c r="Q468" i="15"/>
  <c r="P468" i="15"/>
  <c r="O468" i="15"/>
  <c r="N468" i="15"/>
  <c r="M468" i="15"/>
  <c r="L468" i="15"/>
  <c r="K468" i="15"/>
  <c r="J468" i="15"/>
  <c r="I468" i="15"/>
  <c r="H468" i="15"/>
  <c r="G468" i="15"/>
  <c r="F468" i="15"/>
  <c r="E468" i="15"/>
  <c r="D468" i="15"/>
  <c r="C468" i="15"/>
  <c r="B468" i="15"/>
  <c r="A468" i="15"/>
  <c r="Y467" i="15"/>
  <c r="X467" i="15"/>
  <c r="W467" i="15"/>
  <c r="V467" i="15"/>
  <c r="U467" i="15"/>
  <c r="T467" i="15"/>
  <c r="S467" i="15"/>
  <c r="R467" i="15"/>
  <c r="Q467" i="15"/>
  <c r="P467" i="15"/>
  <c r="O467" i="15"/>
  <c r="N467" i="15"/>
  <c r="M467" i="15"/>
  <c r="L467" i="15"/>
  <c r="K467" i="15"/>
  <c r="J467" i="15"/>
  <c r="I467" i="15"/>
  <c r="H467" i="15"/>
  <c r="G467" i="15"/>
  <c r="F467" i="15"/>
  <c r="E467" i="15"/>
  <c r="D467" i="15"/>
  <c r="C467" i="15"/>
  <c r="B467" i="15"/>
  <c r="A467" i="15"/>
  <c r="Y466" i="15"/>
  <c r="X466" i="15"/>
  <c r="W466" i="15"/>
  <c r="V466" i="15"/>
  <c r="U466" i="15"/>
  <c r="T466" i="15"/>
  <c r="S466" i="15"/>
  <c r="R466" i="15"/>
  <c r="Q466" i="15"/>
  <c r="P466" i="15"/>
  <c r="O466" i="15"/>
  <c r="N466" i="15"/>
  <c r="M466" i="15"/>
  <c r="L466" i="15"/>
  <c r="K466" i="15"/>
  <c r="J466" i="15"/>
  <c r="I466" i="15"/>
  <c r="H466" i="15"/>
  <c r="G466" i="15"/>
  <c r="F466" i="15"/>
  <c r="E466" i="15"/>
  <c r="D466" i="15"/>
  <c r="C466" i="15"/>
  <c r="B466" i="15"/>
  <c r="A466" i="15"/>
  <c r="Y465" i="15"/>
  <c r="X465" i="15"/>
  <c r="W465" i="15"/>
  <c r="V465" i="15"/>
  <c r="U465" i="15"/>
  <c r="T465" i="15"/>
  <c r="S465" i="15"/>
  <c r="R465" i="15"/>
  <c r="Q465" i="15"/>
  <c r="P465" i="15"/>
  <c r="O465" i="15"/>
  <c r="N465" i="15"/>
  <c r="M465" i="15"/>
  <c r="L465" i="15"/>
  <c r="K465" i="15"/>
  <c r="J465" i="15"/>
  <c r="I465" i="15"/>
  <c r="H465" i="15"/>
  <c r="G465" i="15"/>
  <c r="F465" i="15"/>
  <c r="E465" i="15"/>
  <c r="D465" i="15"/>
  <c r="C465" i="15"/>
  <c r="B465" i="15"/>
  <c r="A465" i="15"/>
  <c r="Y464" i="15"/>
  <c r="X464" i="15"/>
  <c r="W464" i="15"/>
  <c r="V464" i="15"/>
  <c r="U464" i="15"/>
  <c r="T464" i="15"/>
  <c r="S464" i="15"/>
  <c r="R464" i="15"/>
  <c r="Q464" i="15"/>
  <c r="P464" i="15"/>
  <c r="O464" i="15"/>
  <c r="N464" i="15"/>
  <c r="M464" i="15"/>
  <c r="L464" i="15"/>
  <c r="K464" i="15"/>
  <c r="J464" i="15"/>
  <c r="I464" i="15"/>
  <c r="H464" i="15"/>
  <c r="G464" i="15"/>
  <c r="F464" i="15"/>
  <c r="E464" i="15"/>
  <c r="D464" i="15"/>
  <c r="C464" i="15"/>
  <c r="B464" i="15"/>
  <c r="A464" i="15"/>
  <c r="Y463" i="15"/>
  <c r="X463" i="15"/>
  <c r="W463" i="15"/>
  <c r="V463" i="15"/>
  <c r="U463" i="15"/>
  <c r="T463" i="15"/>
  <c r="S463" i="15"/>
  <c r="R463" i="15"/>
  <c r="Q463" i="15"/>
  <c r="P463" i="15"/>
  <c r="O463" i="15"/>
  <c r="N463" i="15"/>
  <c r="M463" i="15"/>
  <c r="L463" i="15"/>
  <c r="K463" i="15"/>
  <c r="J463" i="15"/>
  <c r="I463" i="15"/>
  <c r="H463" i="15"/>
  <c r="G463" i="15"/>
  <c r="F463" i="15"/>
  <c r="E463" i="15"/>
  <c r="D463" i="15"/>
  <c r="C463" i="15"/>
  <c r="B463" i="15"/>
  <c r="A463" i="15"/>
  <c r="Y462" i="15"/>
  <c r="X462" i="15"/>
  <c r="W462" i="15"/>
  <c r="V462" i="15"/>
  <c r="U462" i="15"/>
  <c r="T462" i="15"/>
  <c r="S462" i="15"/>
  <c r="R462" i="15"/>
  <c r="Q462" i="15"/>
  <c r="P462" i="15"/>
  <c r="O462" i="15"/>
  <c r="N462" i="15"/>
  <c r="M462" i="15"/>
  <c r="L462" i="15"/>
  <c r="K462" i="15"/>
  <c r="J462" i="15"/>
  <c r="I462" i="15"/>
  <c r="H462" i="15"/>
  <c r="G462" i="15"/>
  <c r="F462" i="15"/>
  <c r="E462" i="15"/>
  <c r="D462" i="15"/>
  <c r="C462" i="15"/>
  <c r="B462" i="15"/>
  <c r="A462" i="15"/>
  <c r="Y461" i="15"/>
  <c r="X461" i="15"/>
  <c r="W461" i="15"/>
  <c r="V461" i="15"/>
  <c r="U461" i="15"/>
  <c r="T461" i="15"/>
  <c r="S461" i="15"/>
  <c r="R461" i="15"/>
  <c r="Q461" i="15"/>
  <c r="P461" i="15"/>
  <c r="O461" i="15"/>
  <c r="N461" i="15"/>
  <c r="M461" i="15"/>
  <c r="L461" i="15"/>
  <c r="K461" i="15"/>
  <c r="J461" i="15"/>
  <c r="I461" i="15"/>
  <c r="H461" i="15"/>
  <c r="G461" i="15"/>
  <c r="F461" i="15"/>
  <c r="E461" i="15"/>
  <c r="D461" i="15"/>
  <c r="C461" i="15"/>
  <c r="B461" i="15"/>
  <c r="A461" i="15"/>
  <c r="Y460" i="15"/>
  <c r="X460" i="15"/>
  <c r="W460" i="15"/>
  <c r="V460" i="15"/>
  <c r="U460" i="15"/>
  <c r="T460" i="15"/>
  <c r="S460" i="15"/>
  <c r="R460" i="15"/>
  <c r="Q460" i="15"/>
  <c r="P460" i="15"/>
  <c r="O460" i="15"/>
  <c r="N460" i="15"/>
  <c r="M460" i="15"/>
  <c r="L460" i="15"/>
  <c r="K460" i="15"/>
  <c r="J460" i="15"/>
  <c r="I460" i="15"/>
  <c r="H460" i="15"/>
  <c r="G460" i="15"/>
  <c r="F460" i="15"/>
  <c r="E460" i="15"/>
  <c r="D460" i="15"/>
  <c r="C460" i="15"/>
  <c r="B460" i="15"/>
  <c r="A460" i="15"/>
  <c r="Y459" i="15"/>
  <c r="X459" i="15"/>
  <c r="W459" i="15"/>
  <c r="V459" i="15"/>
  <c r="U459" i="15"/>
  <c r="T459" i="15"/>
  <c r="S459" i="15"/>
  <c r="R459" i="15"/>
  <c r="Q459" i="15"/>
  <c r="P459" i="15"/>
  <c r="O459" i="15"/>
  <c r="N459" i="15"/>
  <c r="M459" i="15"/>
  <c r="L459" i="15"/>
  <c r="K459" i="15"/>
  <c r="J459" i="15"/>
  <c r="I459" i="15"/>
  <c r="H459" i="15"/>
  <c r="G459" i="15"/>
  <c r="F459" i="15"/>
  <c r="E459" i="15"/>
  <c r="D459" i="15"/>
  <c r="C459" i="15"/>
  <c r="B459" i="15"/>
  <c r="A459" i="15"/>
  <c r="Y458" i="15"/>
  <c r="X458" i="15"/>
  <c r="W458" i="15"/>
  <c r="V458" i="15"/>
  <c r="U458" i="15"/>
  <c r="T458" i="15"/>
  <c r="S458" i="15"/>
  <c r="R458" i="15"/>
  <c r="Q458" i="15"/>
  <c r="P458" i="15"/>
  <c r="O458" i="15"/>
  <c r="N458" i="15"/>
  <c r="M458" i="15"/>
  <c r="L458" i="15"/>
  <c r="K458" i="15"/>
  <c r="J458" i="15"/>
  <c r="I458" i="15"/>
  <c r="H458" i="15"/>
  <c r="G458" i="15"/>
  <c r="F458" i="15"/>
  <c r="E458" i="15"/>
  <c r="D458" i="15"/>
  <c r="C458" i="15"/>
  <c r="B458" i="15"/>
  <c r="A458" i="15"/>
  <c r="Y457" i="15"/>
  <c r="X457" i="15"/>
  <c r="W457" i="15"/>
  <c r="V457" i="15"/>
  <c r="U457" i="15"/>
  <c r="T457" i="15"/>
  <c r="S457" i="15"/>
  <c r="R457" i="15"/>
  <c r="Q457" i="15"/>
  <c r="P457" i="15"/>
  <c r="O457" i="15"/>
  <c r="N457" i="15"/>
  <c r="M457" i="15"/>
  <c r="L457" i="15"/>
  <c r="K457" i="15"/>
  <c r="J457" i="15"/>
  <c r="I457" i="15"/>
  <c r="H457" i="15"/>
  <c r="G457" i="15"/>
  <c r="F457" i="15"/>
  <c r="E457" i="15"/>
  <c r="D457" i="15"/>
  <c r="C457" i="15"/>
  <c r="B457" i="15"/>
  <c r="A457" i="15"/>
  <c r="Y456" i="15"/>
  <c r="X456" i="15"/>
  <c r="W456" i="15"/>
  <c r="V456" i="15"/>
  <c r="U456" i="15"/>
  <c r="T456" i="15"/>
  <c r="S456" i="15"/>
  <c r="R456" i="15"/>
  <c r="Q456" i="15"/>
  <c r="P456" i="15"/>
  <c r="O456" i="15"/>
  <c r="N456" i="15"/>
  <c r="M456" i="15"/>
  <c r="L456" i="15"/>
  <c r="K456" i="15"/>
  <c r="J456" i="15"/>
  <c r="I456" i="15"/>
  <c r="H456" i="15"/>
  <c r="G456" i="15"/>
  <c r="F456" i="15"/>
  <c r="E456" i="15"/>
  <c r="D456" i="15"/>
  <c r="C456" i="15"/>
  <c r="B456" i="15"/>
  <c r="A456" i="15"/>
  <c r="Y455" i="15"/>
  <c r="X455" i="15"/>
  <c r="W455" i="15"/>
  <c r="V455" i="15"/>
  <c r="U455" i="15"/>
  <c r="T455" i="15"/>
  <c r="S455" i="15"/>
  <c r="R455" i="15"/>
  <c r="Q455" i="15"/>
  <c r="P455" i="15"/>
  <c r="O455" i="15"/>
  <c r="N455" i="15"/>
  <c r="M455" i="15"/>
  <c r="L455" i="15"/>
  <c r="K455" i="15"/>
  <c r="J455" i="15"/>
  <c r="I455" i="15"/>
  <c r="H455" i="15"/>
  <c r="G455" i="15"/>
  <c r="F455" i="15"/>
  <c r="E455" i="15"/>
  <c r="D455" i="15"/>
  <c r="C455" i="15"/>
  <c r="B455" i="15"/>
  <c r="A455" i="15"/>
  <c r="Y454" i="15"/>
  <c r="X454" i="15"/>
  <c r="W454" i="15"/>
  <c r="V454" i="15"/>
  <c r="U454" i="15"/>
  <c r="T454" i="15"/>
  <c r="S454" i="15"/>
  <c r="R454" i="15"/>
  <c r="Q454" i="15"/>
  <c r="P454" i="15"/>
  <c r="O454" i="15"/>
  <c r="N454" i="15"/>
  <c r="M454" i="15"/>
  <c r="L454" i="15"/>
  <c r="K454" i="15"/>
  <c r="J454" i="15"/>
  <c r="I454" i="15"/>
  <c r="H454" i="15"/>
  <c r="G454" i="15"/>
  <c r="F454" i="15"/>
  <c r="E454" i="15"/>
  <c r="D454" i="15"/>
  <c r="C454" i="15"/>
  <c r="B454" i="15"/>
  <c r="A454" i="15"/>
  <c r="Y453" i="15"/>
  <c r="X453" i="15"/>
  <c r="W453" i="15"/>
  <c r="V453" i="15"/>
  <c r="U453" i="15"/>
  <c r="T453" i="15"/>
  <c r="S453" i="15"/>
  <c r="R453" i="15"/>
  <c r="Q453" i="15"/>
  <c r="P453" i="15"/>
  <c r="O453" i="15"/>
  <c r="N453" i="15"/>
  <c r="M453" i="15"/>
  <c r="L453" i="15"/>
  <c r="K453" i="15"/>
  <c r="J453" i="15"/>
  <c r="I453" i="15"/>
  <c r="H453" i="15"/>
  <c r="G453" i="15"/>
  <c r="F453" i="15"/>
  <c r="E453" i="15"/>
  <c r="D453" i="15"/>
  <c r="C453" i="15"/>
  <c r="B453" i="15"/>
  <c r="A453" i="15"/>
  <c r="Y452" i="15"/>
  <c r="X452" i="15"/>
  <c r="W452" i="15"/>
  <c r="V452" i="15"/>
  <c r="U452" i="15"/>
  <c r="T452" i="15"/>
  <c r="S452" i="15"/>
  <c r="R452" i="15"/>
  <c r="Q452" i="15"/>
  <c r="P452" i="15"/>
  <c r="O452" i="15"/>
  <c r="N452" i="15"/>
  <c r="M452" i="15"/>
  <c r="L452" i="15"/>
  <c r="K452" i="15"/>
  <c r="J452" i="15"/>
  <c r="I452" i="15"/>
  <c r="H452" i="15"/>
  <c r="G452" i="15"/>
  <c r="F452" i="15"/>
  <c r="E452" i="15"/>
  <c r="D452" i="15"/>
  <c r="C452" i="15"/>
  <c r="B452" i="15"/>
  <c r="A452" i="15"/>
  <c r="Y451" i="15"/>
  <c r="X451" i="15"/>
  <c r="W451" i="15"/>
  <c r="V451" i="15"/>
  <c r="U451" i="15"/>
  <c r="T451" i="15"/>
  <c r="S451" i="15"/>
  <c r="R451" i="15"/>
  <c r="Q451" i="15"/>
  <c r="P451" i="15"/>
  <c r="O451" i="15"/>
  <c r="N451" i="15"/>
  <c r="M451" i="15"/>
  <c r="L451" i="15"/>
  <c r="K451" i="15"/>
  <c r="J451" i="15"/>
  <c r="I451" i="15"/>
  <c r="H451" i="15"/>
  <c r="G451" i="15"/>
  <c r="F451" i="15"/>
  <c r="E451" i="15"/>
  <c r="D451" i="15"/>
  <c r="C451" i="15"/>
  <c r="B451" i="15"/>
  <c r="A451" i="15"/>
  <c r="Y450" i="15"/>
  <c r="X450" i="15"/>
  <c r="W450" i="15"/>
  <c r="V450" i="15"/>
  <c r="U450" i="15"/>
  <c r="T450" i="15"/>
  <c r="S450" i="15"/>
  <c r="R450" i="15"/>
  <c r="Q450" i="15"/>
  <c r="P450" i="15"/>
  <c r="O450" i="15"/>
  <c r="N450" i="15"/>
  <c r="M450" i="15"/>
  <c r="L450" i="15"/>
  <c r="K450" i="15"/>
  <c r="J450" i="15"/>
  <c r="I450" i="15"/>
  <c r="H450" i="15"/>
  <c r="G450" i="15"/>
  <c r="F450" i="15"/>
  <c r="E450" i="15"/>
  <c r="D450" i="15"/>
  <c r="C450" i="15"/>
  <c r="B450" i="15"/>
  <c r="A450" i="15"/>
  <c r="Y449" i="15"/>
  <c r="X449" i="15"/>
  <c r="W449" i="15"/>
  <c r="V449" i="15"/>
  <c r="U449" i="15"/>
  <c r="T449" i="15"/>
  <c r="S449" i="15"/>
  <c r="R449" i="15"/>
  <c r="Q449" i="15"/>
  <c r="P449" i="15"/>
  <c r="O449" i="15"/>
  <c r="N449" i="15"/>
  <c r="M449" i="15"/>
  <c r="L449" i="15"/>
  <c r="K449" i="15"/>
  <c r="J449" i="15"/>
  <c r="I449" i="15"/>
  <c r="H449" i="15"/>
  <c r="G449" i="15"/>
  <c r="F449" i="15"/>
  <c r="E449" i="15"/>
  <c r="D449" i="15"/>
  <c r="C449" i="15"/>
  <c r="B449" i="15"/>
  <c r="A449" i="15"/>
  <c r="Y448" i="15"/>
  <c r="X448" i="15"/>
  <c r="W448" i="15"/>
  <c r="V448" i="15"/>
  <c r="U448" i="15"/>
  <c r="T448" i="15"/>
  <c r="S448" i="15"/>
  <c r="R448" i="15"/>
  <c r="Q448" i="15"/>
  <c r="P448" i="15"/>
  <c r="O448" i="15"/>
  <c r="N448" i="15"/>
  <c r="M448" i="15"/>
  <c r="L448" i="15"/>
  <c r="K448" i="15"/>
  <c r="J448" i="15"/>
  <c r="I448" i="15"/>
  <c r="H448" i="15"/>
  <c r="G448" i="15"/>
  <c r="F448" i="15"/>
  <c r="E448" i="15"/>
  <c r="D448" i="15"/>
  <c r="C448" i="15"/>
  <c r="B448" i="15"/>
  <c r="A448" i="15"/>
  <c r="Y447" i="15"/>
  <c r="X447" i="15"/>
  <c r="W447" i="15"/>
  <c r="V447" i="15"/>
  <c r="U447" i="15"/>
  <c r="T447" i="15"/>
  <c r="S447" i="15"/>
  <c r="R447" i="15"/>
  <c r="Q447" i="15"/>
  <c r="P447" i="15"/>
  <c r="O447" i="15"/>
  <c r="N447" i="15"/>
  <c r="M447" i="15"/>
  <c r="L447" i="15"/>
  <c r="K447" i="15"/>
  <c r="J447" i="15"/>
  <c r="I447" i="15"/>
  <c r="H447" i="15"/>
  <c r="G447" i="15"/>
  <c r="F447" i="15"/>
  <c r="E447" i="15"/>
  <c r="D447" i="15"/>
  <c r="C447" i="15"/>
  <c r="B447" i="15"/>
  <c r="A447" i="15"/>
  <c r="Y446" i="15"/>
  <c r="X446" i="15"/>
  <c r="W446" i="15"/>
  <c r="V446" i="15"/>
  <c r="U446" i="15"/>
  <c r="T446" i="15"/>
  <c r="S446" i="15"/>
  <c r="R446" i="15"/>
  <c r="Q446" i="15"/>
  <c r="P446" i="15"/>
  <c r="O446" i="15"/>
  <c r="N446" i="15"/>
  <c r="M446" i="15"/>
  <c r="L446" i="15"/>
  <c r="K446" i="15"/>
  <c r="J446" i="15"/>
  <c r="I446" i="15"/>
  <c r="H446" i="15"/>
  <c r="G446" i="15"/>
  <c r="F446" i="15"/>
  <c r="E446" i="15"/>
  <c r="D446" i="15"/>
  <c r="C446" i="15"/>
  <c r="B446" i="15"/>
  <c r="A446" i="15"/>
  <c r="Y445" i="15"/>
  <c r="X445" i="15"/>
  <c r="W445" i="15"/>
  <c r="V445" i="15"/>
  <c r="U445" i="15"/>
  <c r="T445" i="15"/>
  <c r="S445" i="15"/>
  <c r="R445" i="15"/>
  <c r="Q445" i="15"/>
  <c r="P445" i="15"/>
  <c r="O445" i="15"/>
  <c r="N445" i="15"/>
  <c r="M445" i="15"/>
  <c r="L445" i="15"/>
  <c r="K445" i="15"/>
  <c r="J445" i="15"/>
  <c r="I445" i="15"/>
  <c r="H445" i="15"/>
  <c r="G445" i="15"/>
  <c r="F445" i="15"/>
  <c r="E445" i="15"/>
  <c r="D445" i="15"/>
  <c r="C445" i="15"/>
  <c r="B445" i="15"/>
  <c r="A445" i="15"/>
  <c r="Y444" i="15"/>
  <c r="X444" i="15"/>
  <c r="W444" i="15"/>
  <c r="V444" i="15"/>
  <c r="U444" i="15"/>
  <c r="T444" i="15"/>
  <c r="S444" i="15"/>
  <c r="R444" i="15"/>
  <c r="Q444" i="15"/>
  <c r="P444" i="15"/>
  <c r="O444" i="15"/>
  <c r="N444" i="15"/>
  <c r="M444" i="15"/>
  <c r="L444" i="15"/>
  <c r="K444" i="15"/>
  <c r="J444" i="15"/>
  <c r="I444" i="15"/>
  <c r="H444" i="15"/>
  <c r="G444" i="15"/>
  <c r="F444" i="15"/>
  <c r="E444" i="15"/>
  <c r="D444" i="15"/>
  <c r="C444" i="15"/>
  <c r="B444" i="15"/>
  <c r="A444" i="15"/>
  <c r="Y443" i="15"/>
  <c r="X443" i="15"/>
  <c r="W443" i="15"/>
  <c r="V443" i="15"/>
  <c r="U443" i="15"/>
  <c r="T443" i="15"/>
  <c r="S443" i="15"/>
  <c r="R443" i="15"/>
  <c r="Q443" i="15"/>
  <c r="P443" i="15"/>
  <c r="O443" i="15"/>
  <c r="N443" i="15"/>
  <c r="M443" i="15"/>
  <c r="L443" i="15"/>
  <c r="K443" i="15"/>
  <c r="J443" i="15"/>
  <c r="I443" i="15"/>
  <c r="H443" i="15"/>
  <c r="G443" i="15"/>
  <c r="F443" i="15"/>
  <c r="E443" i="15"/>
  <c r="D443" i="15"/>
  <c r="C443" i="15"/>
  <c r="B443" i="15"/>
  <c r="A443" i="15"/>
  <c r="Y442" i="15"/>
  <c r="X442" i="15"/>
  <c r="W442" i="15"/>
  <c r="V442" i="15"/>
  <c r="U442" i="15"/>
  <c r="T442" i="15"/>
  <c r="S442" i="15"/>
  <c r="R442" i="15"/>
  <c r="Q442" i="15"/>
  <c r="P442" i="15"/>
  <c r="O442" i="15"/>
  <c r="N442" i="15"/>
  <c r="M442" i="15"/>
  <c r="L442" i="15"/>
  <c r="K442" i="15"/>
  <c r="J442" i="15"/>
  <c r="I442" i="15"/>
  <c r="H442" i="15"/>
  <c r="G442" i="15"/>
  <c r="F442" i="15"/>
  <c r="E442" i="15"/>
  <c r="D442" i="15"/>
  <c r="C442" i="15"/>
  <c r="B442" i="15"/>
  <c r="A442" i="15"/>
  <c r="Y441" i="15"/>
  <c r="X441" i="15"/>
  <c r="W441" i="15"/>
  <c r="V441" i="15"/>
  <c r="U441" i="15"/>
  <c r="T441" i="15"/>
  <c r="S441" i="15"/>
  <c r="R441" i="15"/>
  <c r="Q441" i="15"/>
  <c r="P441" i="15"/>
  <c r="O441" i="15"/>
  <c r="N441" i="15"/>
  <c r="M441" i="15"/>
  <c r="L441" i="15"/>
  <c r="K441" i="15"/>
  <c r="J441" i="15"/>
  <c r="I441" i="15"/>
  <c r="H441" i="15"/>
  <c r="G441" i="15"/>
  <c r="F441" i="15"/>
  <c r="E441" i="15"/>
  <c r="D441" i="15"/>
  <c r="C441" i="15"/>
  <c r="B441" i="15"/>
  <c r="A441" i="15"/>
  <c r="Y440" i="15"/>
  <c r="X440" i="15"/>
  <c r="W440" i="15"/>
  <c r="V440" i="15"/>
  <c r="U440" i="15"/>
  <c r="T440" i="15"/>
  <c r="S440" i="15"/>
  <c r="R440" i="15"/>
  <c r="Q440" i="15"/>
  <c r="P440" i="15"/>
  <c r="O440" i="15"/>
  <c r="N440" i="15"/>
  <c r="M440" i="15"/>
  <c r="L440" i="15"/>
  <c r="K440" i="15"/>
  <c r="J440" i="15"/>
  <c r="I440" i="15"/>
  <c r="H440" i="15"/>
  <c r="G440" i="15"/>
  <c r="F440" i="15"/>
  <c r="E440" i="15"/>
  <c r="D440" i="15"/>
  <c r="C440" i="15"/>
  <c r="B440" i="15"/>
  <c r="A440" i="15"/>
  <c r="Y439" i="15"/>
  <c r="X439" i="15"/>
  <c r="W439" i="15"/>
  <c r="V439" i="15"/>
  <c r="U439" i="15"/>
  <c r="T439" i="15"/>
  <c r="S439" i="15"/>
  <c r="R439" i="15"/>
  <c r="Q439" i="15"/>
  <c r="P439" i="15"/>
  <c r="O439" i="15"/>
  <c r="N439" i="15"/>
  <c r="M439" i="15"/>
  <c r="L439" i="15"/>
  <c r="K439" i="15"/>
  <c r="J439" i="15"/>
  <c r="I439" i="15"/>
  <c r="H439" i="15"/>
  <c r="G439" i="15"/>
  <c r="F439" i="15"/>
  <c r="E439" i="15"/>
  <c r="D439" i="15"/>
  <c r="C439" i="15"/>
  <c r="B439" i="15"/>
  <c r="A439" i="15"/>
  <c r="Y438" i="15"/>
  <c r="X438" i="15"/>
  <c r="W438" i="15"/>
  <c r="V438" i="15"/>
  <c r="U438" i="15"/>
  <c r="T438" i="15"/>
  <c r="S438" i="15"/>
  <c r="R438" i="15"/>
  <c r="Q438" i="15"/>
  <c r="P438" i="15"/>
  <c r="O438" i="15"/>
  <c r="N438" i="15"/>
  <c r="M438" i="15"/>
  <c r="L438" i="15"/>
  <c r="K438" i="15"/>
  <c r="J438" i="15"/>
  <c r="I438" i="15"/>
  <c r="H438" i="15"/>
  <c r="G438" i="15"/>
  <c r="F438" i="15"/>
  <c r="E438" i="15"/>
  <c r="D438" i="15"/>
  <c r="C438" i="15"/>
  <c r="B438" i="15"/>
  <c r="A438" i="15"/>
  <c r="Y437" i="15"/>
  <c r="X437" i="15"/>
  <c r="W437" i="15"/>
  <c r="V437" i="15"/>
  <c r="U437" i="15"/>
  <c r="T437" i="15"/>
  <c r="S437" i="15"/>
  <c r="R437" i="15"/>
  <c r="Q437" i="15"/>
  <c r="P437" i="15"/>
  <c r="O437" i="15"/>
  <c r="N437" i="15"/>
  <c r="M437" i="15"/>
  <c r="L437" i="15"/>
  <c r="K437" i="15"/>
  <c r="J437" i="15"/>
  <c r="I437" i="15"/>
  <c r="H437" i="15"/>
  <c r="G437" i="15"/>
  <c r="F437" i="15"/>
  <c r="E437" i="15"/>
  <c r="D437" i="15"/>
  <c r="C437" i="15"/>
  <c r="B437" i="15"/>
  <c r="A437" i="15"/>
  <c r="Y436" i="15"/>
  <c r="X436" i="15"/>
  <c r="W436" i="15"/>
  <c r="V436" i="15"/>
  <c r="U436" i="15"/>
  <c r="T436" i="15"/>
  <c r="S436" i="15"/>
  <c r="R436" i="15"/>
  <c r="Q436" i="15"/>
  <c r="P436" i="15"/>
  <c r="O436" i="15"/>
  <c r="N436" i="15"/>
  <c r="M436" i="15"/>
  <c r="L436" i="15"/>
  <c r="K436" i="15"/>
  <c r="J436" i="15"/>
  <c r="I436" i="15"/>
  <c r="H436" i="15"/>
  <c r="G436" i="15"/>
  <c r="F436" i="15"/>
  <c r="E436" i="15"/>
  <c r="D436" i="15"/>
  <c r="C436" i="15"/>
  <c r="B436" i="15"/>
  <c r="A436" i="15"/>
  <c r="Y435" i="15"/>
  <c r="X435" i="15"/>
  <c r="W435" i="15"/>
  <c r="V435" i="15"/>
  <c r="U435" i="15"/>
  <c r="T435" i="15"/>
  <c r="S435" i="15"/>
  <c r="R435" i="15"/>
  <c r="Q435" i="15"/>
  <c r="P435" i="15"/>
  <c r="O435" i="15"/>
  <c r="N435" i="15"/>
  <c r="M435" i="15"/>
  <c r="L435" i="15"/>
  <c r="K435" i="15"/>
  <c r="J435" i="15"/>
  <c r="I435" i="15"/>
  <c r="H435" i="15"/>
  <c r="G435" i="15"/>
  <c r="F435" i="15"/>
  <c r="E435" i="15"/>
  <c r="D435" i="15"/>
  <c r="C435" i="15"/>
  <c r="B435" i="15"/>
  <c r="A435" i="15"/>
  <c r="Y434" i="15"/>
  <c r="X434" i="15"/>
  <c r="W434" i="15"/>
  <c r="V434" i="15"/>
  <c r="U434" i="15"/>
  <c r="T434" i="15"/>
  <c r="S434" i="15"/>
  <c r="R434" i="15"/>
  <c r="Q434" i="15"/>
  <c r="P434" i="15"/>
  <c r="O434" i="15"/>
  <c r="N434" i="15"/>
  <c r="M434" i="15"/>
  <c r="L434" i="15"/>
  <c r="K434" i="15"/>
  <c r="J434" i="15"/>
  <c r="I434" i="15"/>
  <c r="H434" i="15"/>
  <c r="G434" i="15"/>
  <c r="F434" i="15"/>
  <c r="E434" i="15"/>
  <c r="D434" i="15"/>
  <c r="C434" i="15"/>
  <c r="B434" i="15"/>
  <c r="A434" i="15"/>
  <c r="Y433" i="15"/>
  <c r="X433" i="15"/>
  <c r="W433" i="15"/>
  <c r="V433" i="15"/>
  <c r="U433" i="15"/>
  <c r="T433" i="15"/>
  <c r="S433" i="15"/>
  <c r="R433" i="15"/>
  <c r="Q433" i="15"/>
  <c r="P433" i="15"/>
  <c r="O433" i="15"/>
  <c r="N433" i="15"/>
  <c r="M433" i="15"/>
  <c r="L433" i="15"/>
  <c r="K433" i="15"/>
  <c r="J433" i="15"/>
  <c r="I433" i="15"/>
  <c r="H433" i="15"/>
  <c r="G433" i="15"/>
  <c r="F433" i="15"/>
  <c r="E433" i="15"/>
  <c r="D433" i="15"/>
  <c r="C433" i="15"/>
  <c r="B433" i="15"/>
  <c r="A433" i="15"/>
  <c r="Y432" i="15"/>
  <c r="X432" i="15"/>
  <c r="W432" i="15"/>
  <c r="V432" i="15"/>
  <c r="U432" i="15"/>
  <c r="T432" i="15"/>
  <c r="S432" i="15"/>
  <c r="R432" i="15"/>
  <c r="Q432" i="15"/>
  <c r="P432" i="15"/>
  <c r="O432" i="15"/>
  <c r="N432" i="15"/>
  <c r="M432" i="15"/>
  <c r="L432" i="15"/>
  <c r="K432" i="15"/>
  <c r="J432" i="15"/>
  <c r="I432" i="15"/>
  <c r="H432" i="15"/>
  <c r="G432" i="15"/>
  <c r="F432" i="15"/>
  <c r="E432" i="15"/>
  <c r="D432" i="15"/>
  <c r="C432" i="15"/>
  <c r="B432" i="15"/>
  <c r="A432" i="15"/>
  <c r="Y431" i="15"/>
  <c r="X431" i="15"/>
  <c r="W431" i="15"/>
  <c r="V431" i="15"/>
  <c r="U431" i="15"/>
  <c r="T431" i="15"/>
  <c r="S431" i="15"/>
  <c r="R431" i="15"/>
  <c r="Q431" i="15"/>
  <c r="P431" i="15"/>
  <c r="O431" i="15"/>
  <c r="N431" i="15"/>
  <c r="M431" i="15"/>
  <c r="L431" i="15"/>
  <c r="K431" i="15"/>
  <c r="J431" i="15"/>
  <c r="I431" i="15"/>
  <c r="H431" i="15"/>
  <c r="G431" i="15"/>
  <c r="F431" i="15"/>
  <c r="E431" i="15"/>
  <c r="D431" i="15"/>
  <c r="C431" i="15"/>
  <c r="B431" i="15"/>
  <c r="A431" i="15"/>
  <c r="Y430" i="15"/>
  <c r="X430" i="15"/>
  <c r="W430" i="15"/>
  <c r="V430" i="15"/>
  <c r="U430" i="15"/>
  <c r="T430" i="15"/>
  <c r="S430" i="15"/>
  <c r="R430" i="15"/>
  <c r="Q430" i="15"/>
  <c r="P430" i="15"/>
  <c r="O430" i="15"/>
  <c r="N430" i="15"/>
  <c r="M430" i="15"/>
  <c r="L430" i="15"/>
  <c r="K430" i="15"/>
  <c r="J430" i="15"/>
  <c r="I430" i="15"/>
  <c r="H430" i="15"/>
  <c r="G430" i="15"/>
  <c r="F430" i="15"/>
  <c r="E430" i="15"/>
  <c r="D430" i="15"/>
  <c r="C430" i="15"/>
  <c r="B430" i="15"/>
  <c r="A430" i="15"/>
  <c r="Y429" i="15"/>
  <c r="X429" i="15"/>
  <c r="W429" i="15"/>
  <c r="V429" i="15"/>
  <c r="U429" i="15"/>
  <c r="T429" i="15"/>
  <c r="S429" i="15"/>
  <c r="R429" i="15"/>
  <c r="Q429" i="15"/>
  <c r="P429" i="15"/>
  <c r="O429" i="15"/>
  <c r="N429" i="15"/>
  <c r="M429" i="15"/>
  <c r="L429" i="15"/>
  <c r="K429" i="15"/>
  <c r="J429" i="15"/>
  <c r="I429" i="15"/>
  <c r="H429" i="15"/>
  <c r="G429" i="15"/>
  <c r="F429" i="15"/>
  <c r="E429" i="15"/>
  <c r="D429" i="15"/>
  <c r="C429" i="15"/>
  <c r="B429" i="15"/>
  <c r="A429" i="15"/>
  <c r="Y428" i="15"/>
  <c r="X428" i="15"/>
  <c r="W428" i="15"/>
  <c r="V428" i="15"/>
  <c r="U428" i="15"/>
  <c r="T428" i="15"/>
  <c r="S428" i="15"/>
  <c r="R428" i="15"/>
  <c r="Q428" i="15"/>
  <c r="P428" i="15"/>
  <c r="O428" i="15"/>
  <c r="N428" i="15"/>
  <c r="M428" i="15"/>
  <c r="L428" i="15"/>
  <c r="K428" i="15"/>
  <c r="J428" i="15"/>
  <c r="I428" i="15"/>
  <c r="H428" i="15"/>
  <c r="G428" i="15"/>
  <c r="F428" i="15"/>
  <c r="E428" i="15"/>
  <c r="D428" i="15"/>
  <c r="C428" i="15"/>
  <c r="B428" i="15"/>
  <c r="A428" i="15"/>
  <c r="Y427" i="15"/>
  <c r="X427" i="15"/>
  <c r="W427" i="15"/>
  <c r="V427" i="15"/>
  <c r="U427" i="15"/>
  <c r="T427" i="15"/>
  <c r="S427" i="15"/>
  <c r="R427" i="15"/>
  <c r="Q427" i="15"/>
  <c r="P427" i="15"/>
  <c r="O427" i="15"/>
  <c r="N427" i="15"/>
  <c r="M427" i="15"/>
  <c r="L427" i="15"/>
  <c r="K427" i="15"/>
  <c r="J427" i="15"/>
  <c r="I427" i="15"/>
  <c r="H427" i="15"/>
  <c r="G427" i="15"/>
  <c r="F427" i="15"/>
  <c r="E427" i="15"/>
  <c r="D427" i="15"/>
  <c r="C427" i="15"/>
  <c r="B427" i="15"/>
  <c r="A427" i="15"/>
  <c r="Y426" i="15"/>
  <c r="X426" i="15"/>
  <c r="W426" i="15"/>
  <c r="V426" i="15"/>
  <c r="U426" i="15"/>
  <c r="T426" i="15"/>
  <c r="S426" i="15"/>
  <c r="R426" i="15"/>
  <c r="Q426" i="15"/>
  <c r="P426" i="15"/>
  <c r="O426" i="15"/>
  <c r="N426" i="15"/>
  <c r="M426" i="15"/>
  <c r="L426" i="15"/>
  <c r="K426" i="15"/>
  <c r="J426" i="15"/>
  <c r="I426" i="15"/>
  <c r="H426" i="15"/>
  <c r="G426" i="15"/>
  <c r="F426" i="15"/>
  <c r="E426" i="15"/>
  <c r="D426" i="15"/>
  <c r="C426" i="15"/>
  <c r="B426" i="15"/>
  <c r="A426" i="15"/>
  <c r="Y425" i="15"/>
  <c r="X425" i="15"/>
  <c r="W425" i="15"/>
  <c r="V425" i="15"/>
  <c r="U425" i="15"/>
  <c r="T425" i="15"/>
  <c r="S425" i="15"/>
  <c r="R425" i="15"/>
  <c r="Q425" i="15"/>
  <c r="P425" i="15"/>
  <c r="O425" i="15"/>
  <c r="N425" i="15"/>
  <c r="M425" i="15"/>
  <c r="L425" i="15"/>
  <c r="K425" i="15"/>
  <c r="J425" i="15"/>
  <c r="I425" i="15"/>
  <c r="H425" i="15"/>
  <c r="G425" i="15"/>
  <c r="F425" i="15"/>
  <c r="E425" i="15"/>
  <c r="D425" i="15"/>
  <c r="C425" i="15"/>
  <c r="B425" i="15"/>
  <c r="A425" i="15"/>
  <c r="Y424" i="15"/>
  <c r="X424" i="15"/>
  <c r="W424" i="15"/>
  <c r="V424" i="15"/>
  <c r="U424" i="15"/>
  <c r="T424" i="15"/>
  <c r="S424" i="15"/>
  <c r="R424" i="15"/>
  <c r="Q424" i="15"/>
  <c r="P424" i="15"/>
  <c r="O424" i="15"/>
  <c r="N424" i="15"/>
  <c r="M424" i="15"/>
  <c r="L424" i="15"/>
  <c r="K424" i="15"/>
  <c r="J424" i="15"/>
  <c r="I424" i="15"/>
  <c r="H424" i="15"/>
  <c r="G424" i="15"/>
  <c r="F424" i="15"/>
  <c r="E424" i="15"/>
  <c r="D424" i="15"/>
  <c r="C424" i="15"/>
  <c r="B424" i="15"/>
  <c r="A424" i="15"/>
  <c r="Y423" i="15"/>
  <c r="X423" i="15"/>
  <c r="W423" i="15"/>
  <c r="V423" i="15"/>
  <c r="U423" i="15"/>
  <c r="T423" i="15"/>
  <c r="S423" i="15"/>
  <c r="R423" i="15"/>
  <c r="Q423" i="15"/>
  <c r="P423" i="15"/>
  <c r="O423" i="15"/>
  <c r="N423" i="15"/>
  <c r="M423" i="15"/>
  <c r="L423" i="15"/>
  <c r="K423" i="15"/>
  <c r="J423" i="15"/>
  <c r="I423" i="15"/>
  <c r="H423" i="15"/>
  <c r="G423" i="15"/>
  <c r="F423" i="15"/>
  <c r="E423" i="15"/>
  <c r="D423" i="15"/>
  <c r="C423" i="15"/>
  <c r="B423" i="15"/>
  <c r="A423" i="15"/>
  <c r="Y422" i="15"/>
  <c r="X422" i="15"/>
  <c r="W422" i="15"/>
  <c r="V422" i="15"/>
  <c r="U422" i="15"/>
  <c r="T422" i="15"/>
  <c r="S422" i="15"/>
  <c r="R422" i="15"/>
  <c r="Q422" i="15"/>
  <c r="P422" i="15"/>
  <c r="O422" i="15"/>
  <c r="N422" i="15"/>
  <c r="M422" i="15"/>
  <c r="L422" i="15"/>
  <c r="K422" i="15"/>
  <c r="J422" i="15"/>
  <c r="I422" i="15"/>
  <c r="H422" i="15"/>
  <c r="G422" i="15"/>
  <c r="F422" i="15"/>
  <c r="E422" i="15"/>
  <c r="D422" i="15"/>
  <c r="C422" i="15"/>
  <c r="B422" i="15"/>
  <c r="A422" i="15"/>
  <c r="Y421" i="15"/>
  <c r="X421" i="15"/>
  <c r="W421" i="15"/>
  <c r="V421" i="15"/>
  <c r="U421" i="15"/>
  <c r="T421" i="15"/>
  <c r="S421" i="15"/>
  <c r="R421" i="15"/>
  <c r="Q421" i="15"/>
  <c r="P421" i="15"/>
  <c r="O421" i="15"/>
  <c r="N421" i="15"/>
  <c r="M421" i="15"/>
  <c r="L421" i="15"/>
  <c r="K421" i="15"/>
  <c r="J421" i="15"/>
  <c r="I421" i="15"/>
  <c r="H421" i="15"/>
  <c r="G421" i="15"/>
  <c r="F421" i="15"/>
  <c r="E421" i="15"/>
  <c r="D421" i="15"/>
  <c r="C421" i="15"/>
  <c r="B421" i="15"/>
  <c r="A421" i="15"/>
  <c r="Y420" i="15"/>
  <c r="X420" i="15"/>
  <c r="W420" i="15"/>
  <c r="V420" i="15"/>
  <c r="U420" i="15"/>
  <c r="T420" i="15"/>
  <c r="S420" i="15"/>
  <c r="R420" i="15"/>
  <c r="Q420" i="15"/>
  <c r="P420" i="15"/>
  <c r="O420" i="15"/>
  <c r="N420" i="15"/>
  <c r="M420" i="15"/>
  <c r="L420" i="15"/>
  <c r="K420" i="15"/>
  <c r="J420" i="15"/>
  <c r="I420" i="15"/>
  <c r="H420" i="15"/>
  <c r="G420" i="15"/>
  <c r="F420" i="15"/>
  <c r="E420" i="15"/>
  <c r="D420" i="15"/>
  <c r="C420" i="15"/>
  <c r="B420" i="15"/>
  <c r="A420" i="15"/>
  <c r="Y419" i="15"/>
  <c r="X419" i="15"/>
  <c r="W419" i="15"/>
  <c r="V419" i="15"/>
  <c r="U419" i="15"/>
  <c r="T419" i="15"/>
  <c r="S419" i="15"/>
  <c r="R419" i="15"/>
  <c r="Q419" i="15"/>
  <c r="P419" i="15"/>
  <c r="O419" i="15"/>
  <c r="N419" i="15"/>
  <c r="M419" i="15"/>
  <c r="L419" i="15"/>
  <c r="K419" i="15"/>
  <c r="J419" i="15"/>
  <c r="I419" i="15"/>
  <c r="H419" i="15"/>
  <c r="G419" i="15"/>
  <c r="F419" i="15"/>
  <c r="E419" i="15"/>
  <c r="D419" i="15"/>
  <c r="C419" i="15"/>
  <c r="B419" i="15"/>
  <c r="A419" i="15"/>
  <c r="Y418" i="15"/>
  <c r="X418" i="15"/>
  <c r="W418" i="15"/>
  <c r="V418" i="15"/>
  <c r="U418" i="15"/>
  <c r="T418" i="15"/>
  <c r="S418" i="15"/>
  <c r="R418" i="15"/>
  <c r="Q418" i="15"/>
  <c r="P418" i="15"/>
  <c r="O418" i="15"/>
  <c r="N418" i="15"/>
  <c r="M418" i="15"/>
  <c r="L418" i="15"/>
  <c r="K418" i="15"/>
  <c r="J418" i="15"/>
  <c r="I418" i="15"/>
  <c r="H418" i="15"/>
  <c r="G418" i="15"/>
  <c r="F418" i="15"/>
  <c r="E418" i="15"/>
  <c r="D418" i="15"/>
  <c r="C418" i="15"/>
  <c r="B418" i="15"/>
  <c r="A418" i="15"/>
  <c r="Y417" i="15"/>
  <c r="X417" i="15"/>
  <c r="W417" i="15"/>
  <c r="V417" i="15"/>
  <c r="U417" i="15"/>
  <c r="T417" i="15"/>
  <c r="S417" i="15"/>
  <c r="R417" i="15"/>
  <c r="Q417" i="15"/>
  <c r="P417" i="15"/>
  <c r="O417" i="15"/>
  <c r="N417" i="15"/>
  <c r="M417" i="15"/>
  <c r="L417" i="15"/>
  <c r="K417" i="15"/>
  <c r="J417" i="15"/>
  <c r="I417" i="15"/>
  <c r="H417" i="15"/>
  <c r="G417" i="15"/>
  <c r="F417" i="15"/>
  <c r="E417" i="15"/>
  <c r="D417" i="15"/>
  <c r="C417" i="15"/>
  <c r="B417" i="15"/>
  <c r="A417" i="15"/>
  <c r="Y416" i="15"/>
  <c r="X416" i="15"/>
  <c r="W416" i="15"/>
  <c r="V416" i="15"/>
  <c r="U416" i="15"/>
  <c r="T416" i="15"/>
  <c r="S416" i="15"/>
  <c r="R416" i="15"/>
  <c r="Q416" i="15"/>
  <c r="P416" i="15"/>
  <c r="O416" i="15"/>
  <c r="N416" i="15"/>
  <c r="M416" i="15"/>
  <c r="L416" i="15"/>
  <c r="K416" i="15"/>
  <c r="J416" i="15"/>
  <c r="I416" i="15"/>
  <c r="H416" i="15"/>
  <c r="G416" i="15"/>
  <c r="F416" i="15"/>
  <c r="E416" i="15"/>
  <c r="D416" i="15"/>
  <c r="C416" i="15"/>
  <c r="B416" i="15"/>
  <c r="A416" i="15"/>
  <c r="Y415" i="15"/>
  <c r="X415" i="15"/>
  <c r="W415" i="15"/>
  <c r="V415" i="15"/>
  <c r="U415" i="15"/>
  <c r="T415" i="15"/>
  <c r="S415" i="15"/>
  <c r="R415" i="15"/>
  <c r="Q415" i="15"/>
  <c r="P415" i="15"/>
  <c r="O415" i="15"/>
  <c r="N415" i="15"/>
  <c r="M415" i="15"/>
  <c r="L415" i="15"/>
  <c r="K415" i="15"/>
  <c r="J415" i="15"/>
  <c r="I415" i="15"/>
  <c r="H415" i="15"/>
  <c r="G415" i="15"/>
  <c r="F415" i="15"/>
  <c r="E415" i="15"/>
  <c r="D415" i="15"/>
  <c r="C415" i="15"/>
  <c r="B415" i="15"/>
  <c r="A415" i="15"/>
  <c r="Y414" i="15"/>
  <c r="X414" i="15"/>
  <c r="W414" i="15"/>
  <c r="V414" i="15"/>
  <c r="U414" i="15"/>
  <c r="T414" i="15"/>
  <c r="S414" i="15"/>
  <c r="R414" i="15"/>
  <c r="Q414" i="15"/>
  <c r="P414" i="15"/>
  <c r="O414" i="15"/>
  <c r="N414" i="15"/>
  <c r="M414" i="15"/>
  <c r="L414" i="15"/>
  <c r="K414" i="15"/>
  <c r="J414" i="15"/>
  <c r="I414" i="15"/>
  <c r="H414" i="15"/>
  <c r="G414" i="15"/>
  <c r="F414" i="15"/>
  <c r="E414" i="15"/>
  <c r="D414" i="15"/>
  <c r="C414" i="15"/>
  <c r="B414" i="15"/>
  <c r="A414" i="15"/>
  <c r="Y413" i="15"/>
  <c r="X413" i="15"/>
  <c r="W413" i="15"/>
  <c r="V413" i="15"/>
  <c r="U413" i="15"/>
  <c r="T413" i="15"/>
  <c r="S413" i="15"/>
  <c r="R413" i="15"/>
  <c r="Q413" i="15"/>
  <c r="P413" i="15"/>
  <c r="O413" i="15"/>
  <c r="N413" i="15"/>
  <c r="M413" i="15"/>
  <c r="L413" i="15"/>
  <c r="K413" i="15"/>
  <c r="J413" i="15"/>
  <c r="I413" i="15"/>
  <c r="H413" i="15"/>
  <c r="G413" i="15"/>
  <c r="F413" i="15"/>
  <c r="E413" i="15"/>
  <c r="D413" i="15"/>
  <c r="C413" i="15"/>
  <c r="B413" i="15"/>
  <c r="A413" i="15"/>
  <c r="Y412" i="15"/>
  <c r="X412" i="15"/>
  <c r="W412" i="15"/>
  <c r="V412" i="15"/>
  <c r="U412" i="15"/>
  <c r="T412" i="15"/>
  <c r="S412" i="15"/>
  <c r="R412" i="15"/>
  <c r="Q412" i="15"/>
  <c r="P412" i="15"/>
  <c r="O412" i="15"/>
  <c r="N412" i="15"/>
  <c r="M412" i="15"/>
  <c r="L412" i="15"/>
  <c r="K412" i="15"/>
  <c r="J412" i="15"/>
  <c r="I412" i="15"/>
  <c r="H412" i="15"/>
  <c r="G412" i="15"/>
  <c r="F412" i="15"/>
  <c r="E412" i="15"/>
  <c r="D412" i="15"/>
  <c r="C412" i="15"/>
  <c r="B412" i="15"/>
  <c r="A412" i="15"/>
  <c r="Y411" i="15"/>
  <c r="X411" i="15"/>
  <c r="W411" i="15"/>
  <c r="V411" i="15"/>
  <c r="U411" i="15"/>
  <c r="T411" i="15"/>
  <c r="S411" i="15"/>
  <c r="R411" i="15"/>
  <c r="Q411" i="15"/>
  <c r="P411" i="15"/>
  <c r="O411" i="15"/>
  <c r="N411" i="15"/>
  <c r="M411" i="15"/>
  <c r="L411" i="15"/>
  <c r="K411" i="15"/>
  <c r="J411" i="15"/>
  <c r="I411" i="15"/>
  <c r="H411" i="15"/>
  <c r="G411" i="15"/>
  <c r="F411" i="15"/>
  <c r="E411" i="15"/>
  <c r="D411" i="15"/>
  <c r="C411" i="15"/>
  <c r="B411" i="15"/>
  <c r="A411" i="15"/>
  <c r="Y410" i="15"/>
  <c r="X410" i="15"/>
  <c r="W410" i="15"/>
  <c r="V410" i="15"/>
  <c r="U410" i="15"/>
  <c r="T410" i="15"/>
  <c r="S410" i="15"/>
  <c r="R410" i="15"/>
  <c r="Q410" i="15"/>
  <c r="P410" i="15"/>
  <c r="O410" i="15"/>
  <c r="N410" i="15"/>
  <c r="M410" i="15"/>
  <c r="L410" i="15"/>
  <c r="K410" i="15"/>
  <c r="J410" i="15"/>
  <c r="I410" i="15"/>
  <c r="H410" i="15"/>
  <c r="G410" i="15"/>
  <c r="F410" i="15"/>
  <c r="E410" i="15"/>
  <c r="D410" i="15"/>
  <c r="C410" i="15"/>
  <c r="B410" i="15"/>
  <c r="A410" i="15"/>
  <c r="Y409" i="15"/>
  <c r="X409" i="15"/>
  <c r="W409" i="15"/>
  <c r="V409" i="15"/>
  <c r="U409" i="15"/>
  <c r="T409" i="15"/>
  <c r="S409" i="15"/>
  <c r="R409" i="15"/>
  <c r="Q409" i="15"/>
  <c r="P409" i="15"/>
  <c r="O409" i="15"/>
  <c r="N409" i="15"/>
  <c r="M409" i="15"/>
  <c r="L409" i="15"/>
  <c r="K409" i="15"/>
  <c r="J409" i="15"/>
  <c r="I409" i="15"/>
  <c r="H409" i="15"/>
  <c r="G409" i="15"/>
  <c r="F409" i="15"/>
  <c r="E409" i="15"/>
  <c r="D409" i="15"/>
  <c r="C409" i="15"/>
  <c r="B409" i="15"/>
  <c r="A409" i="15"/>
  <c r="Y408" i="15"/>
  <c r="X408" i="15"/>
  <c r="W408" i="15"/>
  <c r="V408" i="15"/>
  <c r="U408" i="15"/>
  <c r="T408" i="15"/>
  <c r="S408" i="15"/>
  <c r="R408" i="15"/>
  <c r="Q408" i="15"/>
  <c r="P408" i="15"/>
  <c r="O408" i="15"/>
  <c r="N408" i="15"/>
  <c r="M408" i="15"/>
  <c r="L408" i="15"/>
  <c r="K408" i="15"/>
  <c r="J408" i="15"/>
  <c r="I408" i="15"/>
  <c r="H408" i="15"/>
  <c r="G408" i="15"/>
  <c r="F408" i="15"/>
  <c r="E408" i="15"/>
  <c r="D408" i="15"/>
  <c r="C408" i="15"/>
  <c r="B408" i="15"/>
  <c r="A408" i="15"/>
  <c r="Y407" i="15"/>
  <c r="X407" i="15"/>
  <c r="W407" i="15"/>
  <c r="V407" i="15"/>
  <c r="U407" i="15"/>
  <c r="T407" i="15"/>
  <c r="S407" i="15"/>
  <c r="R407" i="15"/>
  <c r="Q407" i="15"/>
  <c r="P407" i="15"/>
  <c r="O407" i="15"/>
  <c r="N407" i="15"/>
  <c r="M407" i="15"/>
  <c r="L407" i="15"/>
  <c r="K407" i="15"/>
  <c r="J407" i="15"/>
  <c r="I407" i="15"/>
  <c r="H407" i="15"/>
  <c r="G407" i="15"/>
  <c r="F407" i="15"/>
  <c r="E407" i="15"/>
  <c r="D407" i="15"/>
  <c r="C407" i="15"/>
  <c r="B407" i="15"/>
  <c r="A407" i="15"/>
  <c r="Y406" i="15"/>
  <c r="X406" i="15"/>
  <c r="W406" i="15"/>
  <c r="V406" i="15"/>
  <c r="U406" i="15"/>
  <c r="T406" i="15"/>
  <c r="S406" i="15"/>
  <c r="R406" i="15"/>
  <c r="Q406" i="15"/>
  <c r="P406" i="15"/>
  <c r="O406" i="15"/>
  <c r="N406" i="15"/>
  <c r="M406" i="15"/>
  <c r="L406" i="15"/>
  <c r="K406" i="15"/>
  <c r="J406" i="15"/>
  <c r="I406" i="15"/>
  <c r="H406" i="15"/>
  <c r="G406" i="15"/>
  <c r="F406" i="15"/>
  <c r="E406" i="15"/>
  <c r="D406" i="15"/>
  <c r="C406" i="15"/>
  <c r="B406" i="15"/>
  <c r="A406" i="15"/>
  <c r="Y405" i="15"/>
  <c r="X405" i="15"/>
  <c r="W405" i="15"/>
  <c r="V405" i="15"/>
  <c r="U405" i="15"/>
  <c r="T405" i="15"/>
  <c r="S405" i="15"/>
  <c r="R405" i="15"/>
  <c r="Q405" i="15"/>
  <c r="P405" i="15"/>
  <c r="O405" i="15"/>
  <c r="N405" i="15"/>
  <c r="M405" i="15"/>
  <c r="L405" i="15"/>
  <c r="K405" i="15"/>
  <c r="J405" i="15"/>
  <c r="I405" i="15"/>
  <c r="H405" i="15"/>
  <c r="G405" i="15"/>
  <c r="F405" i="15"/>
  <c r="E405" i="15"/>
  <c r="D405" i="15"/>
  <c r="C405" i="15"/>
  <c r="B405" i="15"/>
  <c r="A405" i="15"/>
  <c r="Y404" i="15"/>
  <c r="X404" i="15"/>
  <c r="W404" i="15"/>
  <c r="V404" i="15"/>
  <c r="U404" i="15"/>
  <c r="T404" i="15"/>
  <c r="S404" i="15"/>
  <c r="R404" i="15"/>
  <c r="Q404" i="15"/>
  <c r="P404" i="15"/>
  <c r="O404" i="15"/>
  <c r="N404" i="15"/>
  <c r="M404" i="15"/>
  <c r="L404" i="15"/>
  <c r="K404" i="15"/>
  <c r="J404" i="15"/>
  <c r="I404" i="15"/>
  <c r="H404" i="15"/>
  <c r="G404" i="15"/>
  <c r="F404" i="15"/>
  <c r="E404" i="15"/>
  <c r="D404" i="15"/>
  <c r="C404" i="15"/>
  <c r="B404" i="15"/>
  <c r="A404" i="15"/>
  <c r="Y403" i="15"/>
  <c r="X403" i="15"/>
  <c r="W403" i="15"/>
  <c r="V403" i="15"/>
  <c r="U403" i="15"/>
  <c r="T403" i="15"/>
  <c r="S403" i="15"/>
  <c r="R403" i="15"/>
  <c r="Q403" i="15"/>
  <c r="P403" i="15"/>
  <c r="O403" i="15"/>
  <c r="N403" i="15"/>
  <c r="M403" i="15"/>
  <c r="L403" i="15"/>
  <c r="K403" i="15"/>
  <c r="J403" i="15"/>
  <c r="I403" i="15"/>
  <c r="H403" i="15"/>
  <c r="G403" i="15"/>
  <c r="F403" i="15"/>
  <c r="E403" i="15"/>
  <c r="D403" i="15"/>
  <c r="C403" i="15"/>
  <c r="B403" i="15"/>
  <c r="A403" i="15"/>
  <c r="Y402" i="15"/>
  <c r="X402" i="15"/>
  <c r="W402" i="15"/>
  <c r="V402" i="15"/>
  <c r="U402" i="15"/>
  <c r="T402" i="15"/>
  <c r="S402" i="15"/>
  <c r="R402" i="15"/>
  <c r="Q402" i="15"/>
  <c r="P402" i="15"/>
  <c r="O402" i="15"/>
  <c r="N402" i="15"/>
  <c r="M402" i="15"/>
  <c r="L402" i="15"/>
  <c r="K402" i="15"/>
  <c r="J402" i="15"/>
  <c r="I402" i="15"/>
  <c r="H402" i="15"/>
  <c r="G402" i="15"/>
  <c r="F402" i="15"/>
  <c r="E402" i="15"/>
  <c r="D402" i="15"/>
  <c r="C402" i="15"/>
  <c r="B402" i="15"/>
  <c r="A402" i="15"/>
  <c r="Y401" i="15"/>
  <c r="X401" i="15"/>
  <c r="W401" i="15"/>
  <c r="V401" i="15"/>
  <c r="U401" i="15"/>
  <c r="T401" i="15"/>
  <c r="S401" i="15"/>
  <c r="R401" i="15"/>
  <c r="Q401" i="15"/>
  <c r="P401" i="15"/>
  <c r="O401" i="15"/>
  <c r="N401" i="15"/>
  <c r="M401" i="15"/>
  <c r="L401" i="15"/>
  <c r="K401" i="15"/>
  <c r="J401" i="15"/>
  <c r="I401" i="15"/>
  <c r="H401" i="15"/>
  <c r="G401" i="15"/>
  <c r="F401" i="15"/>
  <c r="E401" i="15"/>
  <c r="D401" i="15"/>
  <c r="C401" i="15"/>
  <c r="B401" i="15"/>
  <c r="A401" i="15"/>
  <c r="Y400" i="15"/>
  <c r="X400" i="15"/>
  <c r="W400" i="15"/>
  <c r="V400" i="15"/>
  <c r="U400" i="15"/>
  <c r="T400" i="15"/>
  <c r="S400" i="15"/>
  <c r="R400" i="15"/>
  <c r="Q400" i="15"/>
  <c r="P400" i="15"/>
  <c r="O400" i="15"/>
  <c r="N400" i="15"/>
  <c r="M400" i="15"/>
  <c r="L400" i="15"/>
  <c r="K400" i="15"/>
  <c r="J400" i="15"/>
  <c r="I400" i="15"/>
  <c r="H400" i="15"/>
  <c r="G400" i="15"/>
  <c r="F400" i="15"/>
  <c r="E400" i="15"/>
  <c r="D400" i="15"/>
  <c r="C400" i="15"/>
  <c r="B400" i="15"/>
  <c r="A400" i="15"/>
  <c r="Y399" i="15"/>
  <c r="X399" i="15"/>
  <c r="W399" i="15"/>
  <c r="V399" i="15"/>
  <c r="U399" i="15"/>
  <c r="T399" i="15"/>
  <c r="S399" i="15"/>
  <c r="R399" i="15"/>
  <c r="Q399" i="15"/>
  <c r="P399" i="15"/>
  <c r="O399" i="15"/>
  <c r="N399" i="15"/>
  <c r="M399" i="15"/>
  <c r="L399" i="15"/>
  <c r="K399" i="15"/>
  <c r="J399" i="15"/>
  <c r="I399" i="15"/>
  <c r="H399" i="15"/>
  <c r="G399" i="15"/>
  <c r="F399" i="15"/>
  <c r="E399" i="15"/>
  <c r="D399" i="15"/>
  <c r="C399" i="15"/>
  <c r="B399" i="15"/>
  <c r="A399" i="15"/>
  <c r="Y398" i="15"/>
  <c r="X398" i="15"/>
  <c r="W398" i="15"/>
  <c r="V398" i="15"/>
  <c r="U398" i="15"/>
  <c r="T398" i="15"/>
  <c r="S398" i="15"/>
  <c r="R398" i="15"/>
  <c r="Q398" i="15"/>
  <c r="P398" i="15"/>
  <c r="O398" i="15"/>
  <c r="N398" i="15"/>
  <c r="M398" i="15"/>
  <c r="L398" i="15"/>
  <c r="K398" i="15"/>
  <c r="J398" i="15"/>
  <c r="I398" i="15"/>
  <c r="H398" i="15"/>
  <c r="G398" i="15"/>
  <c r="F398" i="15"/>
  <c r="E398" i="15"/>
  <c r="D398" i="15"/>
  <c r="C398" i="15"/>
  <c r="B398" i="15"/>
  <c r="A398" i="15"/>
  <c r="Y397" i="15"/>
  <c r="X397" i="15"/>
  <c r="W397" i="15"/>
  <c r="V397" i="15"/>
  <c r="U397" i="15"/>
  <c r="T397" i="15"/>
  <c r="S397" i="15"/>
  <c r="R397" i="15"/>
  <c r="Q397" i="15"/>
  <c r="P397" i="15"/>
  <c r="O397" i="15"/>
  <c r="N397" i="15"/>
  <c r="M397" i="15"/>
  <c r="L397" i="15"/>
  <c r="K397" i="15"/>
  <c r="J397" i="15"/>
  <c r="I397" i="15"/>
  <c r="H397" i="15"/>
  <c r="G397" i="15"/>
  <c r="F397" i="15"/>
  <c r="E397" i="15"/>
  <c r="D397" i="15"/>
  <c r="C397" i="15"/>
  <c r="B397" i="15"/>
  <c r="A397" i="15"/>
  <c r="Y396" i="15"/>
  <c r="X396" i="15"/>
  <c r="W396" i="15"/>
  <c r="V396" i="15"/>
  <c r="U396" i="15"/>
  <c r="T396" i="15"/>
  <c r="S396" i="15"/>
  <c r="R396" i="15"/>
  <c r="Q396" i="15"/>
  <c r="P396" i="15"/>
  <c r="O396" i="15"/>
  <c r="N396" i="15"/>
  <c r="M396" i="15"/>
  <c r="L396" i="15"/>
  <c r="K396" i="15"/>
  <c r="J396" i="15"/>
  <c r="I396" i="15"/>
  <c r="H396" i="15"/>
  <c r="G396" i="15"/>
  <c r="F396" i="15"/>
  <c r="E396" i="15"/>
  <c r="D396" i="15"/>
  <c r="C396" i="15"/>
  <c r="B396" i="15"/>
  <c r="A396" i="15"/>
  <c r="Y395" i="15"/>
  <c r="X395" i="15"/>
  <c r="W395" i="15"/>
  <c r="V395" i="15"/>
  <c r="U395" i="15"/>
  <c r="T395" i="15"/>
  <c r="S395" i="15"/>
  <c r="R395" i="15"/>
  <c r="Q395" i="15"/>
  <c r="P395" i="15"/>
  <c r="O395" i="15"/>
  <c r="N395" i="15"/>
  <c r="M395" i="15"/>
  <c r="L395" i="15"/>
  <c r="K395" i="15"/>
  <c r="J395" i="15"/>
  <c r="I395" i="15"/>
  <c r="H395" i="15"/>
  <c r="G395" i="15"/>
  <c r="F395" i="15"/>
  <c r="E395" i="15"/>
  <c r="D395" i="15"/>
  <c r="C395" i="15"/>
  <c r="B395" i="15"/>
  <c r="A395" i="15"/>
  <c r="Y394" i="15"/>
  <c r="X394" i="15"/>
  <c r="W394" i="15"/>
  <c r="V394" i="15"/>
  <c r="U394" i="15"/>
  <c r="T394" i="15"/>
  <c r="S394" i="15"/>
  <c r="R394" i="15"/>
  <c r="Q394" i="15"/>
  <c r="P394" i="15"/>
  <c r="O394" i="15"/>
  <c r="N394" i="15"/>
  <c r="M394" i="15"/>
  <c r="L394" i="15"/>
  <c r="K394" i="15"/>
  <c r="J394" i="15"/>
  <c r="I394" i="15"/>
  <c r="H394" i="15"/>
  <c r="G394" i="15"/>
  <c r="F394" i="15"/>
  <c r="E394" i="15"/>
  <c r="D394" i="15"/>
  <c r="C394" i="15"/>
  <c r="B394" i="15"/>
  <c r="A394" i="15"/>
  <c r="Y393" i="15"/>
  <c r="X393" i="15"/>
  <c r="W393" i="15"/>
  <c r="V393" i="15"/>
  <c r="U393" i="15"/>
  <c r="T393" i="15"/>
  <c r="S393" i="15"/>
  <c r="R393" i="15"/>
  <c r="Q393" i="15"/>
  <c r="P393" i="15"/>
  <c r="O393" i="15"/>
  <c r="N393" i="15"/>
  <c r="M393" i="15"/>
  <c r="L393" i="15"/>
  <c r="K393" i="15"/>
  <c r="J393" i="15"/>
  <c r="I393" i="15"/>
  <c r="H393" i="15"/>
  <c r="G393" i="15"/>
  <c r="F393" i="15"/>
  <c r="E393" i="15"/>
  <c r="D393" i="15"/>
  <c r="C393" i="15"/>
  <c r="B393" i="15"/>
  <c r="A393" i="15"/>
  <c r="Y392" i="15"/>
  <c r="X392" i="15"/>
  <c r="W392" i="15"/>
  <c r="V392" i="15"/>
  <c r="U392" i="15"/>
  <c r="T392" i="15"/>
  <c r="S392" i="15"/>
  <c r="R392" i="15"/>
  <c r="Q392" i="15"/>
  <c r="P392" i="15"/>
  <c r="O392" i="15"/>
  <c r="N392" i="15"/>
  <c r="M392" i="15"/>
  <c r="L392" i="15"/>
  <c r="K392" i="15"/>
  <c r="J392" i="15"/>
  <c r="I392" i="15"/>
  <c r="H392" i="15"/>
  <c r="G392" i="15"/>
  <c r="F392" i="15"/>
  <c r="E392" i="15"/>
  <c r="D392" i="15"/>
  <c r="C392" i="15"/>
  <c r="B392" i="15"/>
  <c r="A392" i="15"/>
  <c r="Y391" i="15"/>
  <c r="X391" i="15"/>
  <c r="W391" i="15"/>
  <c r="V391" i="15"/>
  <c r="U391" i="15"/>
  <c r="T391" i="15"/>
  <c r="S391" i="15"/>
  <c r="R391" i="15"/>
  <c r="Q391" i="15"/>
  <c r="P391" i="15"/>
  <c r="O391" i="15"/>
  <c r="N391" i="15"/>
  <c r="M391" i="15"/>
  <c r="L391" i="15"/>
  <c r="K391" i="15"/>
  <c r="J391" i="15"/>
  <c r="I391" i="15"/>
  <c r="H391" i="15"/>
  <c r="G391" i="15"/>
  <c r="F391" i="15"/>
  <c r="E391" i="15"/>
  <c r="D391" i="15"/>
  <c r="C391" i="15"/>
  <c r="B391" i="15"/>
  <c r="A391" i="15"/>
  <c r="Y390" i="15"/>
  <c r="X390" i="15"/>
  <c r="W390" i="15"/>
  <c r="V390" i="15"/>
  <c r="U390" i="15"/>
  <c r="T390" i="15"/>
  <c r="S390" i="15"/>
  <c r="R390" i="15"/>
  <c r="Q390" i="15"/>
  <c r="P390" i="15"/>
  <c r="O390" i="15"/>
  <c r="N390" i="15"/>
  <c r="M390" i="15"/>
  <c r="L390" i="15"/>
  <c r="K390" i="15"/>
  <c r="J390" i="15"/>
  <c r="I390" i="15"/>
  <c r="H390" i="15"/>
  <c r="G390" i="15"/>
  <c r="F390" i="15"/>
  <c r="E390" i="15"/>
  <c r="D390" i="15"/>
  <c r="C390" i="15"/>
  <c r="B390" i="15"/>
  <c r="A390" i="15"/>
  <c r="Y389" i="15"/>
  <c r="X389" i="15"/>
  <c r="W389" i="15"/>
  <c r="V389" i="15"/>
  <c r="U389" i="15"/>
  <c r="T389" i="15"/>
  <c r="S389" i="15"/>
  <c r="R389" i="15"/>
  <c r="Q389" i="15"/>
  <c r="P389" i="15"/>
  <c r="O389" i="15"/>
  <c r="N389" i="15"/>
  <c r="M389" i="15"/>
  <c r="L389" i="15"/>
  <c r="K389" i="15"/>
  <c r="J389" i="15"/>
  <c r="I389" i="15"/>
  <c r="H389" i="15"/>
  <c r="G389" i="15"/>
  <c r="F389" i="15"/>
  <c r="E389" i="15"/>
  <c r="D389" i="15"/>
  <c r="C389" i="15"/>
  <c r="B389" i="15"/>
  <c r="A389" i="15"/>
  <c r="Y388" i="15"/>
  <c r="X388" i="15"/>
  <c r="W388" i="15"/>
  <c r="V388" i="15"/>
  <c r="U388" i="15"/>
  <c r="T388" i="15"/>
  <c r="S388" i="15"/>
  <c r="R388" i="15"/>
  <c r="Q388" i="15"/>
  <c r="P388" i="15"/>
  <c r="O388" i="15"/>
  <c r="N388" i="15"/>
  <c r="M388" i="15"/>
  <c r="L388" i="15"/>
  <c r="K388" i="15"/>
  <c r="J388" i="15"/>
  <c r="I388" i="15"/>
  <c r="H388" i="15"/>
  <c r="G388" i="15"/>
  <c r="F388" i="15"/>
  <c r="E388" i="15"/>
  <c r="D388" i="15"/>
  <c r="C388" i="15"/>
  <c r="B388" i="15"/>
  <c r="A388" i="15"/>
  <c r="Y387" i="15"/>
  <c r="X387" i="15"/>
  <c r="W387" i="15"/>
  <c r="V387" i="15"/>
  <c r="U387" i="15"/>
  <c r="T387" i="15"/>
  <c r="S387" i="15"/>
  <c r="R387" i="15"/>
  <c r="Q387" i="15"/>
  <c r="P387" i="15"/>
  <c r="O387" i="15"/>
  <c r="N387" i="15"/>
  <c r="M387" i="15"/>
  <c r="L387" i="15"/>
  <c r="K387" i="15"/>
  <c r="J387" i="15"/>
  <c r="I387" i="15"/>
  <c r="H387" i="15"/>
  <c r="G387" i="15"/>
  <c r="F387" i="15"/>
  <c r="E387" i="15"/>
  <c r="D387" i="15"/>
  <c r="C387" i="15"/>
  <c r="B387" i="15"/>
  <c r="A387" i="15"/>
  <c r="Y386" i="15"/>
  <c r="X386" i="15"/>
  <c r="W386" i="15"/>
  <c r="V386" i="15"/>
  <c r="U386" i="15"/>
  <c r="T386" i="15"/>
  <c r="S386" i="15"/>
  <c r="R386" i="15"/>
  <c r="Q386" i="15"/>
  <c r="P386" i="15"/>
  <c r="O386" i="15"/>
  <c r="N386" i="15"/>
  <c r="M386" i="15"/>
  <c r="L386" i="15"/>
  <c r="K386" i="15"/>
  <c r="J386" i="15"/>
  <c r="I386" i="15"/>
  <c r="H386" i="15"/>
  <c r="G386" i="15"/>
  <c r="F386" i="15"/>
  <c r="E386" i="15"/>
  <c r="D386" i="15"/>
  <c r="C386" i="15"/>
  <c r="B386" i="15"/>
  <c r="A386" i="15"/>
  <c r="Y385" i="15"/>
  <c r="X385" i="15"/>
  <c r="W385" i="15"/>
  <c r="V385" i="15"/>
  <c r="U385" i="15"/>
  <c r="T385" i="15"/>
  <c r="S385" i="15"/>
  <c r="R385" i="15"/>
  <c r="Q385" i="15"/>
  <c r="P385" i="15"/>
  <c r="O385" i="15"/>
  <c r="N385" i="15"/>
  <c r="M385" i="15"/>
  <c r="L385" i="15"/>
  <c r="K385" i="15"/>
  <c r="J385" i="15"/>
  <c r="I385" i="15"/>
  <c r="H385" i="15"/>
  <c r="G385" i="15"/>
  <c r="F385" i="15"/>
  <c r="E385" i="15"/>
  <c r="D385" i="15"/>
  <c r="C385" i="15"/>
  <c r="B385" i="15"/>
  <c r="A385" i="15"/>
  <c r="Y384" i="15"/>
  <c r="X384" i="15"/>
  <c r="W384" i="15"/>
  <c r="V384" i="15"/>
  <c r="U384" i="15"/>
  <c r="T384" i="15"/>
  <c r="S384" i="15"/>
  <c r="R384" i="15"/>
  <c r="Q384" i="15"/>
  <c r="P384" i="15"/>
  <c r="O384" i="15"/>
  <c r="N384" i="15"/>
  <c r="M384" i="15"/>
  <c r="L384" i="15"/>
  <c r="K384" i="15"/>
  <c r="J384" i="15"/>
  <c r="I384" i="15"/>
  <c r="H384" i="15"/>
  <c r="G384" i="15"/>
  <c r="F384" i="15"/>
  <c r="E384" i="15"/>
  <c r="D384" i="15"/>
  <c r="C384" i="15"/>
  <c r="B384" i="15"/>
  <c r="A384" i="15"/>
  <c r="Y383" i="15"/>
  <c r="X383" i="15"/>
  <c r="W383" i="15"/>
  <c r="V383" i="15"/>
  <c r="U383" i="15"/>
  <c r="T383" i="15"/>
  <c r="S383" i="15"/>
  <c r="R383" i="15"/>
  <c r="Q383" i="15"/>
  <c r="P383" i="15"/>
  <c r="O383" i="15"/>
  <c r="N383" i="15"/>
  <c r="M383" i="15"/>
  <c r="L383" i="15"/>
  <c r="K383" i="15"/>
  <c r="J383" i="15"/>
  <c r="I383" i="15"/>
  <c r="H383" i="15"/>
  <c r="G383" i="15"/>
  <c r="F383" i="15"/>
  <c r="E383" i="15"/>
  <c r="D383" i="15"/>
  <c r="C383" i="15"/>
  <c r="B383" i="15"/>
  <c r="A383" i="15"/>
  <c r="Y382" i="15"/>
  <c r="X382" i="15"/>
  <c r="W382" i="15"/>
  <c r="V382" i="15"/>
  <c r="U382" i="15"/>
  <c r="T382" i="15"/>
  <c r="S382" i="15"/>
  <c r="R382" i="15"/>
  <c r="Q382" i="15"/>
  <c r="P382" i="15"/>
  <c r="O382" i="15"/>
  <c r="N382" i="15"/>
  <c r="M382" i="15"/>
  <c r="L382" i="15"/>
  <c r="K382" i="15"/>
  <c r="J382" i="15"/>
  <c r="I382" i="15"/>
  <c r="H382" i="15"/>
  <c r="G382" i="15"/>
  <c r="F382" i="15"/>
  <c r="E382" i="15"/>
  <c r="D382" i="15"/>
  <c r="C382" i="15"/>
  <c r="B382" i="15"/>
  <c r="A382" i="15"/>
  <c r="Y381" i="15"/>
  <c r="X381" i="15"/>
  <c r="W381" i="15"/>
  <c r="V381" i="15"/>
  <c r="U381" i="15"/>
  <c r="T381" i="15"/>
  <c r="S381" i="15"/>
  <c r="R381" i="15"/>
  <c r="Q381" i="15"/>
  <c r="P381" i="15"/>
  <c r="O381" i="15"/>
  <c r="N381" i="15"/>
  <c r="M381" i="15"/>
  <c r="L381" i="15"/>
  <c r="K381" i="15"/>
  <c r="J381" i="15"/>
  <c r="I381" i="15"/>
  <c r="H381" i="15"/>
  <c r="G381" i="15"/>
  <c r="F381" i="15"/>
  <c r="E381" i="15"/>
  <c r="D381" i="15"/>
  <c r="C381" i="15"/>
  <c r="B381" i="15"/>
  <c r="A381" i="15"/>
  <c r="Y380" i="15"/>
  <c r="X380" i="15"/>
  <c r="W380" i="15"/>
  <c r="V380" i="15"/>
  <c r="U380" i="15"/>
  <c r="T380" i="15"/>
  <c r="S380" i="15"/>
  <c r="R380" i="15"/>
  <c r="Q380" i="15"/>
  <c r="P380" i="15"/>
  <c r="O380" i="15"/>
  <c r="N380" i="15"/>
  <c r="M380" i="15"/>
  <c r="L380" i="15"/>
  <c r="K380" i="15"/>
  <c r="J380" i="15"/>
  <c r="I380" i="15"/>
  <c r="H380" i="15"/>
  <c r="G380" i="15"/>
  <c r="F380" i="15"/>
  <c r="E380" i="15"/>
  <c r="D380" i="15"/>
  <c r="C380" i="15"/>
  <c r="B380" i="15"/>
  <c r="A380" i="15"/>
  <c r="Y379" i="15"/>
  <c r="X379" i="15"/>
  <c r="W379" i="15"/>
  <c r="V379" i="15"/>
  <c r="U379" i="15"/>
  <c r="T379" i="15"/>
  <c r="S379" i="15"/>
  <c r="R379" i="15"/>
  <c r="Q379" i="15"/>
  <c r="P379" i="15"/>
  <c r="O379" i="15"/>
  <c r="N379" i="15"/>
  <c r="M379" i="15"/>
  <c r="L379" i="15"/>
  <c r="K379" i="15"/>
  <c r="J379" i="15"/>
  <c r="I379" i="15"/>
  <c r="H379" i="15"/>
  <c r="G379" i="15"/>
  <c r="F379" i="15"/>
  <c r="E379" i="15"/>
  <c r="D379" i="15"/>
  <c r="C379" i="15"/>
  <c r="B379" i="15"/>
  <c r="A379" i="15"/>
  <c r="Y378" i="15"/>
  <c r="X378" i="15"/>
  <c r="W378" i="15"/>
  <c r="V378" i="15"/>
  <c r="U378" i="15"/>
  <c r="T378" i="15"/>
  <c r="S378" i="15"/>
  <c r="R378" i="15"/>
  <c r="Q378" i="15"/>
  <c r="P378" i="15"/>
  <c r="O378" i="15"/>
  <c r="N378" i="15"/>
  <c r="M378" i="15"/>
  <c r="L378" i="15"/>
  <c r="K378" i="15"/>
  <c r="J378" i="15"/>
  <c r="I378" i="15"/>
  <c r="H378" i="15"/>
  <c r="G378" i="15"/>
  <c r="F378" i="15"/>
  <c r="E378" i="15"/>
  <c r="D378" i="15"/>
  <c r="C378" i="15"/>
  <c r="B378" i="15"/>
  <c r="A378" i="15"/>
  <c r="Y377" i="15"/>
  <c r="X377" i="15"/>
  <c r="W377" i="15"/>
  <c r="V377" i="15"/>
  <c r="U377" i="15"/>
  <c r="T377" i="15"/>
  <c r="S377" i="15"/>
  <c r="R377" i="15"/>
  <c r="Q377" i="15"/>
  <c r="P377" i="15"/>
  <c r="O377" i="15"/>
  <c r="N377" i="15"/>
  <c r="M377" i="15"/>
  <c r="L377" i="15"/>
  <c r="K377" i="15"/>
  <c r="J377" i="15"/>
  <c r="I377" i="15"/>
  <c r="H377" i="15"/>
  <c r="G377" i="15"/>
  <c r="F377" i="15"/>
  <c r="E377" i="15"/>
  <c r="D377" i="15"/>
  <c r="C377" i="15"/>
  <c r="B377" i="15"/>
  <c r="A377" i="15"/>
  <c r="Y376" i="15"/>
  <c r="X376" i="15"/>
  <c r="W376" i="15"/>
  <c r="V376" i="15"/>
  <c r="U376" i="15"/>
  <c r="T376" i="15"/>
  <c r="S376" i="15"/>
  <c r="R376" i="15"/>
  <c r="Q376" i="15"/>
  <c r="P376" i="15"/>
  <c r="O376" i="15"/>
  <c r="N376" i="15"/>
  <c r="M376" i="15"/>
  <c r="L376" i="15"/>
  <c r="K376" i="15"/>
  <c r="J376" i="15"/>
  <c r="I376" i="15"/>
  <c r="H376" i="15"/>
  <c r="G376" i="15"/>
  <c r="F376" i="15"/>
  <c r="E376" i="15"/>
  <c r="D376" i="15"/>
  <c r="C376" i="15"/>
  <c r="B376" i="15"/>
  <c r="A376" i="15"/>
  <c r="Y375" i="15"/>
  <c r="X375" i="15"/>
  <c r="W375" i="15"/>
  <c r="V375" i="15"/>
  <c r="U375" i="15"/>
  <c r="T375" i="15"/>
  <c r="S375" i="15"/>
  <c r="R375" i="15"/>
  <c r="Q375" i="15"/>
  <c r="P375" i="15"/>
  <c r="O375" i="15"/>
  <c r="N375" i="15"/>
  <c r="M375" i="15"/>
  <c r="L375" i="15"/>
  <c r="K375" i="15"/>
  <c r="J375" i="15"/>
  <c r="I375" i="15"/>
  <c r="H375" i="15"/>
  <c r="G375" i="15"/>
  <c r="F375" i="15"/>
  <c r="E375" i="15"/>
  <c r="D375" i="15"/>
  <c r="C375" i="15"/>
  <c r="B375" i="15"/>
  <c r="A375" i="15"/>
  <c r="Y374" i="15"/>
  <c r="X374" i="15"/>
  <c r="W374" i="15"/>
  <c r="V374" i="15"/>
  <c r="U374" i="15"/>
  <c r="T374" i="15"/>
  <c r="S374" i="15"/>
  <c r="R374" i="15"/>
  <c r="Q374" i="15"/>
  <c r="P374" i="15"/>
  <c r="O374" i="15"/>
  <c r="N374" i="15"/>
  <c r="M374" i="15"/>
  <c r="L374" i="15"/>
  <c r="K374" i="15"/>
  <c r="J374" i="15"/>
  <c r="I374" i="15"/>
  <c r="H374" i="15"/>
  <c r="G374" i="15"/>
  <c r="F374" i="15"/>
  <c r="E374" i="15"/>
  <c r="D374" i="15"/>
  <c r="C374" i="15"/>
  <c r="B374" i="15"/>
  <c r="A374" i="15"/>
  <c r="Y373" i="15"/>
  <c r="X373" i="15"/>
  <c r="W373" i="15"/>
  <c r="V373" i="15"/>
  <c r="U373" i="15"/>
  <c r="T373" i="15"/>
  <c r="S373" i="15"/>
  <c r="R373" i="15"/>
  <c r="Q373" i="15"/>
  <c r="P373" i="15"/>
  <c r="O373" i="15"/>
  <c r="N373" i="15"/>
  <c r="M373" i="15"/>
  <c r="L373" i="15"/>
  <c r="K373" i="15"/>
  <c r="J373" i="15"/>
  <c r="I373" i="15"/>
  <c r="H373" i="15"/>
  <c r="G373" i="15"/>
  <c r="F373" i="15"/>
  <c r="E373" i="15"/>
  <c r="D373" i="15"/>
  <c r="C373" i="15"/>
  <c r="B373" i="15"/>
  <c r="A373" i="15"/>
  <c r="Y372" i="15"/>
  <c r="X372" i="15"/>
  <c r="W372" i="15"/>
  <c r="V372" i="15"/>
  <c r="U372" i="15"/>
  <c r="T372" i="15"/>
  <c r="S372" i="15"/>
  <c r="R372" i="15"/>
  <c r="Q372" i="15"/>
  <c r="P372" i="15"/>
  <c r="O372" i="15"/>
  <c r="N372" i="15"/>
  <c r="M372" i="15"/>
  <c r="L372" i="15"/>
  <c r="K372" i="15"/>
  <c r="J372" i="15"/>
  <c r="I372" i="15"/>
  <c r="H372" i="15"/>
  <c r="G372" i="15"/>
  <c r="F372" i="15"/>
  <c r="E372" i="15"/>
  <c r="D372" i="15"/>
  <c r="C372" i="15"/>
  <c r="B372" i="15"/>
  <c r="A372" i="15"/>
  <c r="Y371" i="15"/>
  <c r="X371" i="15"/>
  <c r="W371" i="15"/>
  <c r="V371" i="15"/>
  <c r="U371" i="15"/>
  <c r="T371" i="15"/>
  <c r="S371" i="15"/>
  <c r="R371" i="15"/>
  <c r="Q371" i="15"/>
  <c r="P371" i="15"/>
  <c r="O371" i="15"/>
  <c r="N371" i="15"/>
  <c r="M371" i="15"/>
  <c r="L371" i="15"/>
  <c r="K371" i="15"/>
  <c r="J371" i="15"/>
  <c r="I371" i="15"/>
  <c r="H371" i="15"/>
  <c r="G371" i="15"/>
  <c r="F371" i="15"/>
  <c r="E371" i="15"/>
  <c r="D371" i="15"/>
  <c r="C371" i="15"/>
  <c r="B371" i="15"/>
  <c r="A371" i="15"/>
  <c r="Y370" i="15"/>
  <c r="X370" i="15"/>
  <c r="W370" i="15"/>
  <c r="V370" i="15"/>
  <c r="U370" i="15"/>
  <c r="T370" i="15"/>
  <c r="S370" i="15"/>
  <c r="R370" i="15"/>
  <c r="Q370" i="15"/>
  <c r="P370" i="15"/>
  <c r="O370" i="15"/>
  <c r="N370" i="15"/>
  <c r="M370" i="15"/>
  <c r="L370" i="15"/>
  <c r="K370" i="15"/>
  <c r="J370" i="15"/>
  <c r="I370" i="15"/>
  <c r="H370" i="15"/>
  <c r="G370" i="15"/>
  <c r="F370" i="15"/>
  <c r="E370" i="15"/>
  <c r="D370" i="15"/>
  <c r="C370" i="15"/>
  <c r="B370" i="15"/>
  <c r="A370" i="15"/>
  <c r="Y369" i="15"/>
  <c r="X369" i="15"/>
  <c r="W369" i="15"/>
  <c r="V369" i="15"/>
  <c r="U369" i="15"/>
  <c r="T369" i="15"/>
  <c r="S369" i="15"/>
  <c r="R369" i="15"/>
  <c r="Q369" i="15"/>
  <c r="P369" i="15"/>
  <c r="O369" i="15"/>
  <c r="N369" i="15"/>
  <c r="M369" i="15"/>
  <c r="L369" i="15"/>
  <c r="K369" i="15"/>
  <c r="J369" i="15"/>
  <c r="I369" i="15"/>
  <c r="H369" i="15"/>
  <c r="G369" i="15"/>
  <c r="F369" i="15"/>
  <c r="E369" i="15"/>
  <c r="D369" i="15"/>
  <c r="C369" i="15"/>
  <c r="B369" i="15"/>
  <c r="A369" i="15"/>
  <c r="Y368" i="15"/>
  <c r="X368" i="15"/>
  <c r="W368" i="15"/>
  <c r="V368" i="15"/>
  <c r="U368" i="15"/>
  <c r="T368" i="15"/>
  <c r="S368" i="15"/>
  <c r="R368" i="15"/>
  <c r="Q368" i="15"/>
  <c r="P368" i="15"/>
  <c r="O368" i="15"/>
  <c r="N368" i="15"/>
  <c r="M368" i="15"/>
  <c r="L368" i="15"/>
  <c r="K368" i="15"/>
  <c r="J368" i="15"/>
  <c r="I368" i="15"/>
  <c r="H368" i="15"/>
  <c r="G368" i="15"/>
  <c r="F368" i="15"/>
  <c r="E368" i="15"/>
  <c r="D368" i="15"/>
  <c r="C368" i="15"/>
  <c r="B368" i="15"/>
  <c r="A368" i="15"/>
  <c r="Y367" i="15"/>
  <c r="X367" i="15"/>
  <c r="W367" i="15"/>
  <c r="V367" i="15"/>
  <c r="U367" i="15"/>
  <c r="T367" i="15"/>
  <c r="S367" i="15"/>
  <c r="R367" i="15"/>
  <c r="Q367" i="15"/>
  <c r="P367" i="15"/>
  <c r="O367" i="15"/>
  <c r="N367" i="15"/>
  <c r="M367" i="15"/>
  <c r="L367" i="15"/>
  <c r="K367" i="15"/>
  <c r="J367" i="15"/>
  <c r="I367" i="15"/>
  <c r="H367" i="15"/>
  <c r="G367" i="15"/>
  <c r="F367" i="15"/>
  <c r="E367" i="15"/>
  <c r="D367" i="15"/>
  <c r="C367" i="15"/>
  <c r="B367" i="15"/>
  <c r="A367" i="15"/>
  <c r="Y366" i="15"/>
  <c r="X366" i="15"/>
  <c r="W366" i="15"/>
  <c r="V366" i="15"/>
  <c r="U366" i="15"/>
  <c r="T366" i="15"/>
  <c r="S366" i="15"/>
  <c r="R366" i="15"/>
  <c r="Q366" i="15"/>
  <c r="P366" i="15"/>
  <c r="O366" i="15"/>
  <c r="N366" i="15"/>
  <c r="M366" i="15"/>
  <c r="L366" i="15"/>
  <c r="K366" i="15"/>
  <c r="J366" i="15"/>
  <c r="I366" i="15"/>
  <c r="H366" i="15"/>
  <c r="G366" i="15"/>
  <c r="F366" i="15"/>
  <c r="E366" i="15"/>
  <c r="D366" i="15"/>
  <c r="C366" i="15"/>
  <c r="B366" i="15"/>
  <c r="A366" i="15"/>
  <c r="Y365" i="15"/>
  <c r="X365" i="15"/>
  <c r="W365" i="15"/>
  <c r="V365" i="15"/>
  <c r="U365" i="15"/>
  <c r="T365" i="15"/>
  <c r="S365" i="15"/>
  <c r="R365" i="15"/>
  <c r="Q365" i="15"/>
  <c r="P365" i="15"/>
  <c r="O365" i="15"/>
  <c r="N365" i="15"/>
  <c r="M365" i="15"/>
  <c r="L365" i="15"/>
  <c r="K365" i="15"/>
  <c r="J365" i="15"/>
  <c r="I365" i="15"/>
  <c r="H365" i="15"/>
  <c r="G365" i="15"/>
  <c r="F365" i="15"/>
  <c r="E365" i="15"/>
  <c r="D365" i="15"/>
  <c r="C365" i="15"/>
  <c r="B365" i="15"/>
  <c r="A365" i="15"/>
  <c r="Y364" i="15"/>
  <c r="X364" i="15"/>
  <c r="W364" i="15"/>
  <c r="V364" i="15"/>
  <c r="U364" i="15"/>
  <c r="T364" i="15"/>
  <c r="S364" i="15"/>
  <c r="R364" i="15"/>
  <c r="Q364" i="15"/>
  <c r="P364" i="15"/>
  <c r="O364" i="15"/>
  <c r="N364" i="15"/>
  <c r="M364" i="15"/>
  <c r="L364" i="15"/>
  <c r="K364" i="15"/>
  <c r="J364" i="15"/>
  <c r="I364" i="15"/>
  <c r="H364" i="15"/>
  <c r="G364" i="15"/>
  <c r="F364" i="15"/>
  <c r="E364" i="15"/>
  <c r="D364" i="15"/>
  <c r="C364" i="15"/>
  <c r="B364" i="15"/>
  <c r="A364" i="15"/>
  <c r="Y363" i="15"/>
  <c r="X363" i="15"/>
  <c r="W363" i="15"/>
  <c r="V363" i="15"/>
  <c r="U363" i="15"/>
  <c r="T363" i="15"/>
  <c r="S363" i="15"/>
  <c r="R363" i="15"/>
  <c r="Q363" i="15"/>
  <c r="P363" i="15"/>
  <c r="O363" i="15"/>
  <c r="N363" i="15"/>
  <c r="M363" i="15"/>
  <c r="L363" i="15"/>
  <c r="K363" i="15"/>
  <c r="J363" i="15"/>
  <c r="I363" i="15"/>
  <c r="H363" i="15"/>
  <c r="G363" i="15"/>
  <c r="F363" i="15"/>
  <c r="E363" i="15"/>
  <c r="D363" i="15"/>
  <c r="C363" i="15"/>
  <c r="B363" i="15"/>
  <c r="A363" i="15"/>
  <c r="Y362" i="15"/>
  <c r="X362" i="15"/>
  <c r="W362" i="15"/>
  <c r="V362" i="15"/>
  <c r="U362" i="15"/>
  <c r="T362" i="15"/>
  <c r="S362" i="15"/>
  <c r="R362" i="15"/>
  <c r="Q362" i="15"/>
  <c r="P362" i="15"/>
  <c r="O362" i="15"/>
  <c r="N362" i="15"/>
  <c r="M362" i="15"/>
  <c r="L362" i="15"/>
  <c r="K362" i="15"/>
  <c r="J362" i="15"/>
  <c r="I362" i="15"/>
  <c r="H362" i="15"/>
  <c r="G362" i="15"/>
  <c r="F362" i="15"/>
  <c r="E362" i="15"/>
  <c r="D362" i="15"/>
  <c r="C362" i="15"/>
  <c r="B362" i="15"/>
  <c r="A362" i="15"/>
  <c r="Y361" i="15"/>
  <c r="X361" i="15"/>
  <c r="W361" i="15"/>
  <c r="V361" i="15"/>
  <c r="U361" i="15"/>
  <c r="T361" i="15"/>
  <c r="S361" i="15"/>
  <c r="R361" i="15"/>
  <c r="Q361" i="15"/>
  <c r="P361" i="15"/>
  <c r="O361" i="15"/>
  <c r="N361" i="15"/>
  <c r="M361" i="15"/>
  <c r="L361" i="15"/>
  <c r="K361" i="15"/>
  <c r="J361" i="15"/>
  <c r="I361" i="15"/>
  <c r="H361" i="15"/>
  <c r="G361" i="15"/>
  <c r="F361" i="15"/>
  <c r="E361" i="15"/>
  <c r="D361" i="15"/>
  <c r="C361" i="15"/>
  <c r="B361" i="15"/>
  <c r="A361" i="15"/>
  <c r="Y360" i="15"/>
  <c r="X360" i="15"/>
  <c r="W360" i="15"/>
  <c r="V360" i="15"/>
  <c r="U360" i="15"/>
  <c r="T360" i="15"/>
  <c r="S360" i="15"/>
  <c r="R360" i="15"/>
  <c r="Q360" i="15"/>
  <c r="P360" i="15"/>
  <c r="O360" i="15"/>
  <c r="N360" i="15"/>
  <c r="M360" i="15"/>
  <c r="L360" i="15"/>
  <c r="K360" i="15"/>
  <c r="J360" i="15"/>
  <c r="I360" i="15"/>
  <c r="H360" i="15"/>
  <c r="G360" i="15"/>
  <c r="F360" i="15"/>
  <c r="E360" i="15"/>
  <c r="D360" i="15"/>
  <c r="C360" i="15"/>
  <c r="B360" i="15"/>
  <c r="A360" i="15"/>
  <c r="Y359" i="15"/>
  <c r="X359" i="15"/>
  <c r="W359" i="15"/>
  <c r="V359" i="15"/>
  <c r="U359" i="15"/>
  <c r="T359" i="15"/>
  <c r="S359" i="15"/>
  <c r="R359" i="15"/>
  <c r="Q359" i="15"/>
  <c r="P359" i="15"/>
  <c r="O359" i="15"/>
  <c r="N359" i="15"/>
  <c r="M359" i="15"/>
  <c r="L359" i="15"/>
  <c r="K359" i="15"/>
  <c r="J359" i="15"/>
  <c r="I359" i="15"/>
  <c r="H359" i="15"/>
  <c r="G359" i="15"/>
  <c r="F359" i="15"/>
  <c r="E359" i="15"/>
  <c r="D359" i="15"/>
  <c r="C359" i="15"/>
  <c r="B359" i="15"/>
  <c r="A359" i="15"/>
  <c r="Y358" i="15"/>
  <c r="X358" i="15"/>
  <c r="W358" i="15"/>
  <c r="V358" i="15"/>
  <c r="U358" i="15"/>
  <c r="T358" i="15"/>
  <c r="S358" i="15"/>
  <c r="R358" i="15"/>
  <c r="Q358" i="15"/>
  <c r="P358" i="15"/>
  <c r="O358" i="15"/>
  <c r="N358" i="15"/>
  <c r="M358" i="15"/>
  <c r="L358" i="15"/>
  <c r="K358" i="15"/>
  <c r="J358" i="15"/>
  <c r="I358" i="15"/>
  <c r="H358" i="15"/>
  <c r="G358" i="15"/>
  <c r="F358" i="15"/>
  <c r="E358" i="15"/>
  <c r="D358" i="15"/>
  <c r="C358" i="15"/>
  <c r="B358" i="15"/>
  <c r="A358" i="15"/>
  <c r="Y357" i="15"/>
  <c r="X357" i="15"/>
  <c r="W357" i="15"/>
  <c r="V357" i="15"/>
  <c r="U357" i="15"/>
  <c r="T357" i="15"/>
  <c r="S357" i="15"/>
  <c r="R357" i="15"/>
  <c r="Q357" i="15"/>
  <c r="P357" i="15"/>
  <c r="O357" i="15"/>
  <c r="N357" i="15"/>
  <c r="M357" i="15"/>
  <c r="L357" i="15"/>
  <c r="K357" i="15"/>
  <c r="J357" i="15"/>
  <c r="I357" i="15"/>
  <c r="H357" i="15"/>
  <c r="G357" i="15"/>
  <c r="F357" i="15"/>
  <c r="E357" i="15"/>
  <c r="D357" i="15"/>
  <c r="C357" i="15"/>
  <c r="B357" i="15"/>
  <c r="A357" i="15"/>
  <c r="Y356" i="15"/>
  <c r="X356" i="15"/>
  <c r="W356" i="15"/>
  <c r="V356" i="15"/>
  <c r="U356" i="15"/>
  <c r="T356" i="15"/>
  <c r="S356" i="15"/>
  <c r="R356" i="15"/>
  <c r="Q356" i="15"/>
  <c r="P356" i="15"/>
  <c r="O356" i="15"/>
  <c r="N356" i="15"/>
  <c r="M356" i="15"/>
  <c r="L356" i="15"/>
  <c r="K356" i="15"/>
  <c r="J356" i="15"/>
  <c r="I356" i="15"/>
  <c r="H356" i="15"/>
  <c r="G356" i="15"/>
  <c r="F356" i="15"/>
  <c r="E356" i="15"/>
  <c r="D356" i="15"/>
  <c r="C356" i="15"/>
  <c r="B356" i="15"/>
  <c r="A356" i="15"/>
  <c r="Y355" i="15"/>
  <c r="X355" i="15"/>
  <c r="W355" i="15"/>
  <c r="V355" i="15"/>
  <c r="U355" i="15"/>
  <c r="T355" i="15"/>
  <c r="S355" i="15"/>
  <c r="R355" i="15"/>
  <c r="Q355" i="15"/>
  <c r="P355" i="15"/>
  <c r="O355" i="15"/>
  <c r="N355" i="15"/>
  <c r="M355" i="15"/>
  <c r="L355" i="15"/>
  <c r="K355" i="15"/>
  <c r="J355" i="15"/>
  <c r="I355" i="15"/>
  <c r="H355" i="15"/>
  <c r="G355" i="15"/>
  <c r="F355" i="15"/>
  <c r="E355" i="15"/>
  <c r="D355" i="15"/>
  <c r="C355" i="15"/>
  <c r="B355" i="15"/>
  <c r="A355" i="15"/>
  <c r="Y354" i="15"/>
  <c r="X354" i="15"/>
  <c r="W354" i="15"/>
  <c r="V354" i="15"/>
  <c r="U354" i="15"/>
  <c r="T354" i="15"/>
  <c r="S354" i="15"/>
  <c r="R354" i="15"/>
  <c r="Q354" i="15"/>
  <c r="P354" i="15"/>
  <c r="O354" i="15"/>
  <c r="N354" i="15"/>
  <c r="M354" i="15"/>
  <c r="L354" i="15"/>
  <c r="K354" i="15"/>
  <c r="J354" i="15"/>
  <c r="I354" i="15"/>
  <c r="H354" i="15"/>
  <c r="G354" i="15"/>
  <c r="F354" i="15"/>
  <c r="E354" i="15"/>
  <c r="D354" i="15"/>
  <c r="C354" i="15"/>
  <c r="B354" i="15"/>
  <c r="A354" i="15"/>
  <c r="Y353" i="15"/>
  <c r="X353" i="15"/>
  <c r="W353" i="15"/>
  <c r="V353" i="15"/>
  <c r="U353" i="15"/>
  <c r="T353" i="15"/>
  <c r="S353" i="15"/>
  <c r="R353" i="15"/>
  <c r="Q353" i="15"/>
  <c r="P353" i="15"/>
  <c r="O353" i="15"/>
  <c r="N353" i="15"/>
  <c r="M353" i="15"/>
  <c r="L353" i="15"/>
  <c r="K353" i="15"/>
  <c r="J353" i="15"/>
  <c r="I353" i="15"/>
  <c r="H353" i="15"/>
  <c r="G353" i="15"/>
  <c r="F353" i="15"/>
  <c r="E353" i="15"/>
  <c r="D353" i="15"/>
  <c r="C353" i="15"/>
  <c r="B353" i="15"/>
  <c r="A353" i="15"/>
  <c r="Y352" i="15"/>
  <c r="X352" i="15"/>
  <c r="W352" i="15"/>
  <c r="V352" i="15"/>
  <c r="U352" i="15"/>
  <c r="T352" i="15"/>
  <c r="S352" i="15"/>
  <c r="R352" i="15"/>
  <c r="Q352" i="15"/>
  <c r="P352" i="15"/>
  <c r="O352" i="15"/>
  <c r="N352" i="15"/>
  <c r="M352" i="15"/>
  <c r="L352" i="15"/>
  <c r="K352" i="15"/>
  <c r="J352" i="15"/>
  <c r="I352" i="15"/>
  <c r="H352" i="15"/>
  <c r="G352" i="15"/>
  <c r="F352" i="15"/>
  <c r="E352" i="15"/>
  <c r="D352" i="15"/>
  <c r="C352" i="15"/>
  <c r="B352" i="15"/>
  <c r="A352" i="15"/>
  <c r="Y351" i="15"/>
  <c r="X351" i="15"/>
  <c r="W351" i="15"/>
  <c r="V351" i="15"/>
  <c r="U351" i="15"/>
  <c r="T351" i="15"/>
  <c r="S351" i="15"/>
  <c r="R351" i="15"/>
  <c r="Q351" i="15"/>
  <c r="P351" i="15"/>
  <c r="O351" i="15"/>
  <c r="N351" i="15"/>
  <c r="M351" i="15"/>
  <c r="L351" i="15"/>
  <c r="K351" i="15"/>
  <c r="J351" i="15"/>
  <c r="I351" i="15"/>
  <c r="H351" i="15"/>
  <c r="G351" i="15"/>
  <c r="F351" i="15"/>
  <c r="E351" i="15"/>
  <c r="D351" i="15"/>
  <c r="C351" i="15"/>
  <c r="B351" i="15"/>
  <c r="A351" i="15"/>
  <c r="Y350" i="15"/>
  <c r="X350" i="15"/>
  <c r="W350" i="15"/>
  <c r="V350" i="15"/>
  <c r="U350" i="15"/>
  <c r="T350" i="15"/>
  <c r="S350" i="15"/>
  <c r="R350" i="15"/>
  <c r="Q350" i="15"/>
  <c r="P350" i="15"/>
  <c r="O350" i="15"/>
  <c r="N350" i="15"/>
  <c r="M350" i="15"/>
  <c r="L350" i="15"/>
  <c r="K350" i="15"/>
  <c r="J350" i="15"/>
  <c r="I350" i="15"/>
  <c r="H350" i="15"/>
  <c r="G350" i="15"/>
  <c r="F350" i="15"/>
  <c r="E350" i="15"/>
  <c r="D350" i="15"/>
  <c r="C350" i="15"/>
  <c r="B350" i="15"/>
  <c r="A350" i="15"/>
  <c r="Y349" i="15"/>
  <c r="X349" i="15"/>
  <c r="W349" i="15"/>
  <c r="V349" i="15"/>
  <c r="U349" i="15"/>
  <c r="T349" i="15"/>
  <c r="S349" i="15"/>
  <c r="R349" i="15"/>
  <c r="Q349" i="15"/>
  <c r="P349" i="15"/>
  <c r="O349" i="15"/>
  <c r="N349" i="15"/>
  <c r="M349" i="15"/>
  <c r="L349" i="15"/>
  <c r="K349" i="15"/>
  <c r="J349" i="15"/>
  <c r="I349" i="15"/>
  <c r="H349" i="15"/>
  <c r="G349" i="15"/>
  <c r="F349" i="15"/>
  <c r="E349" i="15"/>
  <c r="D349" i="15"/>
  <c r="C349" i="15"/>
  <c r="B349" i="15"/>
  <c r="A349" i="15"/>
  <c r="Y348" i="15"/>
  <c r="X348" i="15"/>
  <c r="W348" i="15"/>
  <c r="V348" i="15"/>
  <c r="U348" i="15"/>
  <c r="T348" i="15"/>
  <c r="S348" i="15"/>
  <c r="R348" i="15"/>
  <c r="Q348" i="15"/>
  <c r="P348" i="15"/>
  <c r="O348" i="15"/>
  <c r="N348" i="15"/>
  <c r="M348" i="15"/>
  <c r="L348" i="15"/>
  <c r="K348" i="15"/>
  <c r="J348" i="15"/>
  <c r="I348" i="15"/>
  <c r="H348" i="15"/>
  <c r="G348" i="15"/>
  <c r="F348" i="15"/>
  <c r="E348" i="15"/>
  <c r="D348" i="15"/>
  <c r="C348" i="15"/>
  <c r="B348" i="15"/>
  <c r="A348" i="15"/>
  <c r="Y347" i="15"/>
  <c r="X347" i="15"/>
  <c r="W347" i="15"/>
  <c r="V347" i="15"/>
  <c r="U347" i="15"/>
  <c r="T347" i="15"/>
  <c r="S347" i="15"/>
  <c r="R347" i="15"/>
  <c r="Q347" i="15"/>
  <c r="P347" i="15"/>
  <c r="O347" i="15"/>
  <c r="N347" i="15"/>
  <c r="M347" i="15"/>
  <c r="L347" i="15"/>
  <c r="K347" i="15"/>
  <c r="J347" i="15"/>
  <c r="I347" i="15"/>
  <c r="H347" i="15"/>
  <c r="G347" i="15"/>
  <c r="F347" i="15"/>
  <c r="E347" i="15"/>
  <c r="D347" i="15"/>
  <c r="C347" i="15"/>
  <c r="B347" i="15"/>
  <c r="A347" i="15"/>
  <c r="Y346" i="15"/>
  <c r="X346" i="15"/>
  <c r="W346" i="15"/>
  <c r="V346" i="15"/>
  <c r="U346" i="15"/>
  <c r="T346" i="15"/>
  <c r="S346" i="15"/>
  <c r="R346" i="15"/>
  <c r="Q346" i="15"/>
  <c r="P346" i="15"/>
  <c r="O346" i="15"/>
  <c r="N346" i="15"/>
  <c r="M346" i="15"/>
  <c r="L346" i="15"/>
  <c r="K346" i="15"/>
  <c r="J346" i="15"/>
  <c r="I346" i="15"/>
  <c r="H346" i="15"/>
  <c r="G346" i="15"/>
  <c r="F346" i="15"/>
  <c r="E346" i="15"/>
  <c r="D346" i="15"/>
  <c r="C346" i="15"/>
  <c r="B346" i="15"/>
  <c r="A346" i="15"/>
  <c r="Y345" i="15"/>
  <c r="X345" i="15"/>
  <c r="W345" i="15"/>
  <c r="V345" i="15"/>
  <c r="U345" i="15"/>
  <c r="T345" i="15"/>
  <c r="S345" i="15"/>
  <c r="R345" i="15"/>
  <c r="Q345" i="15"/>
  <c r="P345" i="15"/>
  <c r="O345" i="15"/>
  <c r="N345" i="15"/>
  <c r="M345" i="15"/>
  <c r="L345" i="15"/>
  <c r="K345" i="15"/>
  <c r="J345" i="15"/>
  <c r="I345" i="15"/>
  <c r="H345" i="15"/>
  <c r="G345" i="15"/>
  <c r="F345" i="15"/>
  <c r="E345" i="15"/>
  <c r="D345" i="15"/>
  <c r="C345" i="15"/>
  <c r="B345" i="15"/>
  <c r="A345" i="15"/>
  <c r="Y344" i="15"/>
  <c r="X344" i="15"/>
  <c r="W344" i="15"/>
  <c r="V344" i="15"/>
  <c r="U344" i="15"/>
  <c r="T344" i="15"/>
  <c r="S344" i="15"/>
  <c r="R344" i="15"/>
  <c r="Q344" i="15"/>
  <c r="P344" i="15"/>
  <c r="O344" i="15"/>
  <c r="N344" i="15"/>
  <c r="M344" i="15"/>
  <c r="L344" i="15"/>
  <c r="K344" i="15"/>
  <c r="J344" i="15"/>
  <c r="I344" i="15"/>
  <c r="H344" i="15"/>
  <c r="G344" i="15"/>
  <c r="F344" i="15"/>
  <c r="E344" i="15"/>
  <c r="D344" i="15"/>
  <c r="C344" i="15"/>
  <c r="B344" i="15"/>
  <c r="A344" i="15"/>
  <c r="Y343" i="15"/>
  <c r="X343" i="15"/>
  <c r="W343" i="15"/>
  <c r="V343" i="15"/>
  <c r="U343" i="15"/>
  <c r="T343" i="15"/>
  <c r="S343" i="15"/>
  <c r="R343" i="15"/>
  <c r="Q343" i="15"/>
  <c r="P343" i="15"/>
  <c r="O343" i="15"/>
  <c r="N343" i="15"/>
  <c r="M343" i="15"/>
  <c r="L343" i="15"/>
  <c r="K343" i="15"/>
  <c r="J343" i="15"/>
  <c r="I343" i="15"/>
  <c r="H343" i="15"/>
  <c r="G343" i="15"/>
  <c r="F343" i="15"/>
  <c r="E343" i="15"/>
  <c r="D343" i="15"/>
  <c r="C343" i="15"/>
  <c r="B343" i="15"/>
  <c r="A343" i="15"/>
  <c r="Y342" i="15"/>
  <c r="X342" i="15"/>
  <c r="W342" i="15"/>
  <c r="V342" i="15"/>
  <c r="U342" i="15"/>
  <c r="T342" i="15"/>
  <c r="S342" i="15"/>
  <c r="R342" i="15"/>
  <c r="Q342" i="15"/>
  <c r="P342" i="15"/>
  <c r="O342" i="15"/>
  <c r="N342" i="15"/>
  <c r="M342" i="15"/>
  <c r="L342" i="15"/>
  <c r="K342" i="15"/>
  <c r="J342" i="15"/>
  <c r="I342" i="15"/>
  <c r="H342" i="15"/>
  <c r="G342" i="15"/>
  <c r="F342" i="15"/>
  <c r="E342" i="15"/>
  <c r="D342" i="15"/>
  <c r="C342" i="15"/>
  <c r="B342" i="15"/>
  <c r="A342" i="15"/>
  <c r="Y341" i="15"/>
  <c r="X341" i="15"/>
  <c r="W341" i="15"/>
  <c r="V341" i="15"/>
  <c r="U341" i="15"/>
  <c r="T341" i="15"/>
  <c r="S341" i="15"/>
  <c r="R341" i="15"/>
  <c r="Q341" i="15"/>
  <c r="P341" i="15"/>
  <c r="O341" i="15"/>
  <c r="N341" i="15"/>
  <c r="M341" i="15"/>
  <c r="L341" i="15"/>
  <c r="K341" i="15"/>
  <c r="J341" i="15"/>
  <c r="I341" i="15"/>
  <c r="H341" i="15"/>
  <c r="G341" i="15"/>
  <c r="F341" i="15"/>
  <c r="E341" i="15"/>
  <c r="D341" i="15"/>
  <c r="C341" i="15"/>
  <c r="B341" i="15"/>
  <c r="A341" i="15"/>
  <c r="Y340" i="15"/>
  <c r="X340" i="15"/>
  <c r="W340" i="15"/>
  <c r="V340" i="15"/>
  <c r="U340" i="15"/>
  <c r="T340" i="15"/>
  <c r="S340" i="15"/>
  <c r="R340" i="15"/>
  <c r="Q340" i="15"/>
  <c r="P340" i="15"/>
  <c r="O340" i="15"/>
  <c r="N340" i="15"/>
  <c r="M340" i="15"/>
  <c r="L340" i="15"/>
  <c r="K340" i="15"/>
  <c r="J340" i="15"/>
  <c r="I340" i="15"/>
  <c r="H340" i="15"/>
  <c r="G340" i="15"/>
  <c r="F340" i="15"/>
  <c r="E340" i="15"/>
  <c r="D340" i="15"/>
  <c r="C340" i="15"/>
  <c r="B340" i="15"/>
  <c r="A340" i="15"/>
  <c r="Y339" i="15"/>
  <c r="X339" i="15"/>
  <c r="W339" i="15"/>
  <c r="V339" i="15"/>
  <c r="U339" i="15"/>
  <c r="T339" i="15"/>
  <c r="S339" i="15"/>
  <c r="R339" i="15"/>
  <c r="Q339" i="15"/>
  <c r="P339" i="15"/>
  <c r="O339" i="15"/>
  <c r="N339" i="15"/>
  <c r="M339" i="15"/>
  <c r="L339" i="15"/>
  <c r="K339" i="15"/>
  <c r="J339" i="15"/>
  <c r="I339" i="15"/>
  <c r="H339" i="15"/>
  <c r="G339" i="15"/>
  <c r="F339" i="15"/>
  <c r="E339" i="15"/>
  <c r="D339" i="15"/>
  <c r="C339" i="15"/>
  <c r="B339" i="15"/>
  <c r="A339" i="15"/>
  <c r="Y338" i="15"/>
  <c r="X338" i="15"/>
  <c r="W338" i="15"/>
  <c r="V338" i="15"/>
  <c r="U338" i="15"/>
  <c r="T338" i="15"/>
  <c r="S338" i="15"/>
  <c r="R338" i="15"/>
  <c r="Q338" i="15"/>
  <c r="P338" i="15"/>
  <c r="O338" i="15"/>
  <c r="N338" i="15"/>
  <c r="M338" i="15"/>
  <c r="L338" i="15"/>
  <c r="K338" i="15"/>
  <c r="J338" i="15"/>
  <c r="I338" i="15"/>
  <c r="H338" i="15"/>
  <c r="G338" i="15"/>
  <c r="F338" i="15"/>
  <c r="E338" i="15"/>
  <c r="D338" i="15"/>
  <c r="C338" i="15"/>
  <c r="B338" i="15"/>
  <c r="A338" i="15"/>
  <c r="Y337" i="15"/>
  <c r="X337" i="15"/>
  <c r="W337" i="15"/>
  <c r="V337" i="15"/>
  <c r="U337" i="15"/>
  <c r="T337" i="15"/>
  <c r="S337" i="15"/>
  <c r="R337" i="15"/>
  <c r="Q337" i="15"/>
  <c r="P337" i="15"/>
  <c r="O337" i="15"/>
  <c r="N337" i="15"/>
  <c r="M337" i="15"/>
  <c r="L337" i="15"/>
  <c r="K337" i="15"/>
  <c r="J337" i="15"/>
  <c r="I337" i="15"/>
  <c r="H337" i="15"/>
  <c r="G337" i="15"/>
  <c r="F337" i="15"/>
  <c r="E337" i="15"/>
  <c r="D337" i="15"/>
  <c r="C337" i="15"/>
  <c r="B337" i="15"/>
  <c r="A337" i="15"/>
  <c r="Y336" i="15"/>
  <c r="X336" i="15"/>
  <c r="W336" i="15"/>
  <c r="V336" i="15"/>
  <c r="U336" i="15"/>
  <c r="T336" i="15"/>
  <c r="S336" i="15"/>
  <c r="R336" i="15"/>
  <c r="Q336" i="15"/>
  <c r="P336" i="15"/>
  <c r="O336" i="15"/>
  <c r="N336" i="15"/>
  <c r="M336" i="15"/>
  <c r="L336" i="15"/>
  <c r="K336" i="15"/>
  <c r="J336" i="15"/>
  <c r="I336" i="15"/>
  <c r="H336" i="15"/>
  <c r="G336" i="15"/>
  <c r="F336" i="15"/>
  <c r="E336" i="15"/>
  <c r="D336" i="15"/>
  <c r="C336" i="15"/>
  <c r="B336" i="15"/>
  <c r="A336" i="15"/>
  <c r="Y335" i="15"/>
  <c r="X335" i="15"/>
  <c r="W335" i="15"/>
  <c r="V335" i="15"/>
  <c r="U335" i="15"/>
  <c r="T335" i="15"/>
  <c r="S335" i="15"/>
  <c r="R335" i="15"/>
  <c r="Q335" i="15"/>
  <c r="P335" i="15"/>
  <c r="O335" i="15"/>
  <c r="N335" i="15"/>
  <c r="M335" i="15"/>
  <c r="L335" i="15"/>
  <c r="K335" i="15"/>
  <c r="J335" i="15"/>
  <c r="I335" i="15"/>
  <c r="H335" i="15"/>
  <c r="G335" i="15"/>
  <c r="F335" i="15"/>
  <c r="E335" i="15"/>
  <c r="D335" i="15"/>
  <c r="C335" i="15"/>
  <c r="B335" i="15"/>
  <c r="A335" i="15"/>
  <c r="Y334" i="15"/>
  <c r="X334" i="15"/>
  <c r="W334" i="15"/>
  <c r="V334" i="15"/>
  <c r="U334" i="15"/>
  <c r="T334" i="15"/>
  <c r="S334" i="15"/>
  <c r="R334" i="15"/>
  <c r="Q334" i="15"/>
  <c r="P334" i="15"/>
  <c r="O334" i="15"/>
  <c r="N334" i="15"/>
  <c r="M334" i="15"/>
  <c r="L334" i="15"/>
  <c r="K334" i="15"/>
  <c r="J334" i="15"/>
  <c r="I334" i="15"/>
  <c r="H334" i="15"/>
  <c r="G334" i="15"/>
  <c r="F334" i="15"/>
  <c r="E334" i="15"/>
  <c r="D334" i="15"/>
  <c r="C334" i="15"/>
  <c r="B334" i="15"/>
  <c r="A334" i="15"/>
  <c r="Y333" i="15"/>
  <c r="X333" i="15"/>
  <c r="W333" i="15"/>
  <c r="V333" i="15"/>
  <c r="U333" i="15"/>
  <c r="T333" i="15"/>
  <c r="S333" i="15"/>
  <c r="R333" i="15"/>
  <c r="Q333" i="15"/>
  <c r="P333" i="15"/>
  <c r="O333" i="15"/>
  <c r="N333" i="15"/>
  <c r="M333" i="15"/>
  <c r="L333" i="15"/>
  <c r="K333" i="15"/>
  <c r="J333" i="15"/>
  <c r="I333" i="15"/>
  <c r="H333" i="15"/>
  <c r="G333" i="15"/>
  <c r="F333" i="15"/>
  <c r="E333" i="15"/>
  <c r="D333" i="15"/>
  <c r="C333" i="15"/>
  <c r="B333" i="15"/>
  <c r="A333" i="15"/>
  <c r="Y332" i="15"/>
  <c r="X332" i="15"/>
  <c r="W332" i="15"/>
  <c r="V332" i="15"/>
  <c r="U332" i="15"/>
  <c r="T332" i="15"/>
  <c r="S332" i="15"/>
  <c r="R332" i="15"/>
  <c r="Q332" i="15"/>
  <c r="P332" i="15"/>
  <c r="O332" i="15"/>
  <c r="N332" i="15"/>
  <c r="M332" i="15"/>
  <c r="L332" i="15"/>
  <c r="K332" i="15"/>
  <c r="J332" i="15"/>
  <c r="I332" i="15"/>
  <c r="H332" i="15"/>
  <c r="G332" i="15"/>
  <c r="F332" i="15"/>
  <c r="E332" i="15"/>
  <c r="D332" i="15"/>
  <c r="C332" i="15"/>
  <c r="B332" i="15"/>
  <c r="A332" i="15"/>
  <c r="Y331" i="15"/>
  <c r="X331" i="15"/>
  <c r="W331" i="15"/>
  <c r="V331" i="15"/>
  <c r="U331" i="15"/>
  <c r="T331" i="15"/>
  <c r="S331" i="15"/>
  <c r="R331" i="15"/>
  <c r="Q331" i="15"/>
  <c r="P331" i="15"/>
  <c r="O331" i="15"/>
  <c r="N331" i="15"/>
  <c r="M331" i="15"/>
  <c r="L331" i="15"/>
  <c r="K331" i="15"/>
  <c r="J331" i="15"/>
  <c r="I331" i="15"/>
  <c r="H331" i="15"/>
  <c r="G331" i="15"/>
  <c r="F331" i="15"/>
  <c r="E331" i="15"/>
  <c r="D331" i="15"/>
  <c r="C331" i="15"/>
  <c r="B331" i="15"/>
  <c r="A331" i="15"/>
  <c r="Y330" i="15"/>
  <c r="X330" i="15"/>
  <c r="W330" i="15"/>
  <c r="V330" i="15"/>
  <c r="U330" i="15"/>
  <c r="T330" i="15"/>
  <c r="S330" i="15"/>
  <c r="R330" i="15"/>
  <c r="Q330" i="15"/>
  <c r="P330" i="15"/>
  <c r="O330" i="15"/>
  <c r="N330" i="15"/>
  <c r="M330" i="15"/>
  <c r="L330" i="15"/>
  <c r="K330" i="15"/>
  <c r="J330" i="15"/>
  <c r="I330" i="15"/>
  <c r="H330" i="15"/>
  <c r="G330" i="15"/>
  <c r="F330" i="15"/>
  <c r="E330" i="15"/>
  <c r="D330" i="15"/>
  <c r="C330" i="15"/>
  <c r="B330" i="15"/>
  <c r="A330" i="15"/>
  <c r="Y329" i="15"/>
  <c r="X329" i="15"/>
  <c r="W329" i="15"/>
  <c r="V329" i="15"/>
  <c r="U329" i="15"/>
  <c r="T329" i="15"/>
  <c r="S329" i="15"/>
  <c r="R329" i="15"/>
  <c r="Q329" i="15"/>
  <c r="P329" i="15"/>
  <c r="O329" i="15"/>
  <c r="N329" i="15"/>
  <c r="M329" i="15"/>
  <c r="L329" i="15"/>
  <c r="K329" i="15"/>
  <c r="J329" i="15"/>
  <c r="I329" i="15"/>
  <c r="H329" i="15"/>
  <c r="G329" i="15"/>
  <c r="F329" i="15"/>
  <c r="E329" i="15"/>
  <c r="D329" i="15"/>
  <c r="C329" i="15"/>
  <c r="B329" i="15"/>
  <c r="A329" i="15"/>
  <c r="Y328" i="15"/>
  <c r="X328" i="15"/>
  <c r="W328" i="15"/>
  <c r="V328" i="15"/>
  <c r="U328" i="15"/>
  <c r="T328" i="15"/>
  <c r="S328" i="15"/>
  <c r="R328" i="15"/>
  <c r="Q328" i="15"/>
  <c r="P328" i="15"/>
  <c r="O328" i="15"/>
  <c r="N328" i="15"/>
  <c r="M328" i="15"/>
  <c r="L328" i="15"/>
  <c r="K328" i="15"/>
  <c r="J328" i="15"/>
  <c r="I328" i="15"/>
  <c r="H328" i="15"/>
  <c r="G328" i="15"/>
  <c r="F328" i="15"/>
  <c r="E328" i="15"/>
  <c r="D328" i="15"/>
  <c r="C328" i="15"/>
  <c r="B328" i="15"/>
  <c r="A328" i="15"/>
  <c r="Y327" i="15"/>
  <c r="X327" i="15"/>
  <c r="W327" i="15"/>
  <c r="V327" i="15"/>
  <c r="U327" i="15"/>
  <c r="T327" i="15"/>
  <c r="S327" i="15"/>
  <c r="R327" i="15"/>
  <c r="Q327" i="15"/>
  <c r="P327" i="15"/>
  <c r="O327" i="15"/>
  <c r="N327" i="15"/>
  <c r="M327" i="15"/>
  <c r="L327" i="15"/>
  <c r="K327" i="15"/>
  <c r="J327" i="15"/>
  <c r="I327" i="15"/>
  <c r="H327" i="15"/>
  <c r="G327" i="15"/>
  <c r="F327" i="15"/>
  <c r="E327" i="15"/>
  <c r="D327" i="15"/>
  <c r="C327" i="15"/>
  <c r="B327" i="15"/>
  <c r="A327" i="15"/>
  <c r="Y326" i="15"/>
  <c r="X326" i="15"/>
  <c r="W326" i="15"/>
  <c r="V326" i="15"/>
  <c r="U326" i="15"/>
  <c r="T326" i="15"/>
  <c r="S326" i="15"/>
  <c r="R326" i="15"/>
  <c r="Q326" i="15"/>
  <c r="P326" i="15"/>
  <c r="O326" i="15"/>
  <c r="N326" i="15"/>
  <c r="M326" i="15"/>
  <c r="L326" i="15"/>
  <c r="K326" i="15"/>
  <c r="J326" i="15"/>
  <c r="I326" i="15"/>
  <c r="H326" i="15"/>
  <c r="G326" i="15"/>
  <c r="F326" i="15"/>
  <c r="E326" i="15"/>
  <c r="D326" i="15"/>
  <c r="C326" i="15"/>
  <c r="B326" i="15"/>
  <c r="A326" i="15"/>
  <c r="Y325" i="15"/>
  <c r="X325" i="15"/>
  <c r="W325" i="15"/>
  <c r="V325" i="15"/>
  <c r="U325" i="15"/>
  <c r="T325" i="15"/>
  <c r="S325" i="15"/>
  <c r="R325" i="15"/>
  <c r="Q325" i="15"/>
  <c r="P325" i="15"/>
  <c r="O325" i="15"/>
  <c r="N325" i="15"/>
  <c r="M325" i="15"/>
  <c r="L325" i="15"/>
  <c r="K325" i="15"/>
  <c r="J325" i="15"/>
  <c r="I325" i="15"/>
  <c r="H325" i="15"/>
  <c r="G325" i="15"/>
  <c r="F325" i="15"/>
  <c r="E325" i="15"/>
  <c r="D325" i="15"/>
  <c r="C325" i="15"/>
  <c r="B325" i="15"/>
  <c r="A325" i="15"/>
  <c r="Y324" i="15"/>
  <c r="X324" i="15"/>
  <c r="W324" i="15"/>
  <c r="V324" i="15"/>
  <c r="U324" i="15"/>
  <c r="T324" i="15"/>
  <c r="S324" i="15"/>
  <c r="R324" i="15"/>
  <c r="Q324" i="15"/>
  <c r="P324" i="15"/>
  <c r="O324" i="15"/>
  <c r="N324" i="15"/>
  <c r="M324" i="15"/>
  <c r="L324" i="15"/>
  <c r="K324" i="15"/>
  <c r="J324" i="15"/>
  <c r="I324" i="15"/>
  <c r="H324" i="15"/>
  <c r="G324" i="15"/>
  <c r="F324" i="15"/>
  <c r="E324" i="15"/>
  <c r="D324" i="15"/>
  <c r="C324" i="15"/>
  <c r="B324" i="15"/>
  <c r="A324" i="15"/>
  <c r="Y323" i="15"/>
  <c r="X323" i="15"/>
  <c r="W323" i="15"/>
  <c r="V323" i="15"/>
  <c r="U323" i="15"/>
  <c r="T323" i="15"/>
  <c r="S323" i="15"/>
  <c r="R323" i="15"/>
  <c r="Q323" i="15"/>
  <c r="P323" i="15"/>
  <c r="O323" i="15"/>
  <c r="N323" i="15"/>
  <c r="M323" i="15"/>
  <c r="L323" i="15"/>
  <c r="K323" i="15"/>
  <c r="J323" i="15"/>
  <c r="I323" i="15"/>
  <c r="H323" i="15"/>
  <c r="G323" i="15"/>
  <c r="F323" i="15"/>
  <c r="E323" i="15"/>
  <c r="D323" i="15"/>
  <c r="C323" i="15"/>
  <c r="B323" i="15"/>
  <c r="A323" i="15"/>
  <c r="Y322" i="15"/>
  <c r="X322" i="15"/>
  <c r="W322" i="15"/>
  <c r="V322" i="15"/>
  <c r="U322" i="15"/>
  <c r="T322" i="15"/>
  <c r="S322" i="15"/>
  <c r="R322" i="15"/>
  <c r="Q322" i="15"/>
  <c r="P322" i="15"/>
  <c r="O322" i="15"/>
  <c r="N322" i="15"/>
  <c r="M322" i="15"/>
  <c r="L322" i="15"/>
  <c r="K322" i="15"/>
  <c r="J322" i="15"/>
  <c r="I322" i="15"/>
  <c r="H322" i="15"/>
  <c r="G322" i="15"/>
  <c r="F322" i="15"/>
  <c r="E322" i="15"/>
  <c r="D322" i="15"/>
  <c r="C322" i="15"/>
  <c r="B322" i="15"/>
  <c r="A322" i="15"/>
  <c r="Y321" i="15"/>
  <c r="X321" i="15"/>
  <c r="W321" i="15"/>
  <c r="V321" i="15"/>
  <c r="U321" i="15"/>
  <c r="T321" i="15"/>
  <c r="S321" i="15"/>
  <c r="R321" i="15"/>
  <c r="Q321" i="15"/>
  <c r="P321" i="15"/>
  <c r="O321" i="15"/>
  <c r="N321" i="15"/>
  <c r="M321" i="15"/>
  <c r="L321" i="15"/>
  <c r="K321" i="15"/>
  <c r="J321" i="15"/>
  <c r="I321" i="15"/>
  <c r="H321" i="15"/>
  <c r="G321" i="15"/>
  <c r="F321" i="15"/>
  <c r="E321" i="15"/>
  <c r="D321" i="15"/>
  <c r="C321" i="15"/>
  <c r="B321" i="15"/>
  <c r="A321" i="15"/>
  <c r="Y320" i="15"/>
  <c r="X320" i="15"/>
  <c r="W320" i="15"/>
  <c r="V320" i="15"/>
  <c r="U320" i="15"/>
  <c r="T320" i="15"/>
  <c r="S320" i="15"/>
  <c r="R320" i="15"/>
  <c r="Q320" i="15"/>
  <c r="P320" i="15"/>
  <c r="O320" i="15"/>
  <c r="N320" i="15"/>
  <c r="M320" i="15"/>
  <c r="L320" i="15"/>
  <c r="K320" i="15"/>
  <c r="J320" i="15"/>
  <c r="I320" i="15"/>
  <c r="H320" i="15"/>
  <c r="G320" i="15"/>
  <c r="F320" i="15"/>
  <c r="E320" i="15"/>
  <c r="D320" i="15"/>
  <c r="C320" i="15"/>
  <c r="B320" i="15"/>
  <c r="A320" i="15"/>
  <c r="Y319" i="15"/>
  <c r="X319" i="15"/>
  <c r="W319" i="15"/>
  <c r="V319" i="15"/>
  <c r="U319" i="15"/>
  <c r="T319" i="15"/>
  <c r="S319" i="15"/>
  <c r="R319" i="15"/>
  <c r="Q319" i="15"/>
  <c r="P319" i="15"/>
  <c r="O319" i="15"/>
  <c r="N319" i="15"/>
  <c r="M319" i="15"/>
  <c r="L319" i="15"/>
  <c r="K319" i="15"/>
  <c r="J319" i="15"/>
  <c r="I319" i="15"/>
  <c r="H319" i="15"/>
  <c r="G319" i="15"/>
  <c r="F319" i="15"/>
  <c r="E319" i="15"/>
  <c r="D319" i="15"/>
  <c r="C319" i="15"/>
  <c r="B319" i="15"/>
  <c r="A319" i="15"/>
  <c r="Y318" i="15"/>
  <c r="X318" i="15"/>
  <c r="W318" i="15"/>
  <c r="V318" i="15"/>
  <c r="U318" i="15"/>
  <c r="T318" i="15"/>
  <c r="S318" i="15"/>
  <c r="R318" i="15"/>
  <c r="Q318" i="15"/>
  <c r="P318" i="15"/>
  <c r="O318" i="15"/>
  <c r="N318" i="15"/>
  <c r="M318" i="15"/>
  <c r="L318" i="15"/>
  <c r="K318" i="15"/>
  <c r="J318" i="15"/>
  <c r="I318" i="15"/>
  <c r="H318" i="15"/>
  <c r="G318" i="15"/>
  <c r="F318" i="15"/>
  <c r="E318" i="15"/>
  <c r="D318" i="15"/>
  <c r="C318" i="15"/>
  <c r="B318" i="15"/>
  <c r="A318" i="15"/>
  <c r="Y317" i="15"/>
  <c r="X317" i="15"/>
  <c r="W317" i="15"/>
  <c r="V317" i="15"/>
  <c r="U317" i="15"/>
  <c r="T317" i="15"/>
  <c r="S317" i="15"/>
  <c r="R317" i="15"/>
  <c r="Q317" i="15"/>
  <c r="P317" i="15"/>
  <c r="O317" i="15"/>
  <c r="N317" i="15"/>
  <c r="M317" i="15"/>
  <c r="L317" i="15"/>
  <c r="K317" i="15"/>
  <c r="J317" i="15"/>
  <c r="I317" i="15"/>
  <c r="H317" i="15"/>
  <c r="G317" i="15"/>
  <c r="F317" i="15"/>
  <c r="E317" i="15"/>
  <c r="D317" i="15"/>
  <c r="C317" i="15"/>
  <c r="B317" i="15"/>
  <c r="A317" i="15"/>
  <c r="Y316" i="15"/>
  <c r="X316" i="15"/>
  <c r="W316" i="15"/>
  <c r="V316" i="15"/>
  <c r="U316" i="15"/>
  <c r="T316" i="15"/>
  <c r="S316" i="15"/>
  <c r="R316" i="15"/>
  <c r="Q316" i="15"/>
  <c r="P316" i="15"/>
  <c r="O316" i="15"/>
  <c r="N316" i="15"/>
  <c r="M316" i="15"/>
  <c r="L316" i="15"/>
  <c r="K316" i="15"/>
  <c r="J316" i="15"/>
  <c r="I316" i="15"/>
  <c r="H316" i="15"/>
  <c r="G316" i="15"/>
  <c r="F316" i="15"/>
  <c r="E316" i="15"/>
  <c r="D316" i="15"/>
  <c r="C316" i="15"/>
  <c r="B316" i="15"/>
  <c r="A316" i="15"/>
  <c r="Y315" i="15"/>
  <c r="X315" i="15"/>
  <c r="W315" i="15"/>
  <c r="V315" i="15"/>
  <c r="U315" i="15"/>
  <c r="T315" i="15"/>
  <c r="S315" i="15"/>
  <c r="R315" i="15"/>
  <c r="Q315" i="15"/>
  <c r="P315" i="15"/>
  <c r="O315" i="15"/>
  <c r="N315" i="15"/>
  <c r="M315" i="15"/>
  <c r="L315" i="15"/>
  <c r="K315" i="15"/>
  <c r="J315" i="15"/>
  <c r="I315" i="15"/>
  <c r="H315" i="15"/>
  <c r="G315" i="15"/>
  <c r="F315" i="15"/>
  <c r="E315" i="15"/>
  <c r="D315" i="15"/>
  <c r="C315" i="15"/>
  <c r="B315" i="15"/>
  <c r="A315" i="15"/>
  <c r="Y314" i="15"/>
  <c r="X314" i="15"/>
  <c r="W314" i="15"/>
  <c r="V314" i="15"/>
  <c r="U314" i="15"/>
  <c r="T314" i="15"/>
  <c r="S314" i="15"/>
  <c r="R314" i="15"/>
  <c r="Q314" i="15"/>
  <c r="P314" i="15"/>
  <c r="O314" i="15"/>
  <c r="N314" i="15"/>
  <c r="M314" i="15"/>
  <c r="L314" i="15"/>
  <c r="K314" i="15"/>
  <c r="J314" i="15"/>
  <c r="I314" i="15"/>
  <c r="H314" i="15"/>
  <c r="G314" i="15"/>
  <c r="F314" i="15"/>
  <c r="E314" i="15"/>
  <c r="D314" i="15"/>
  <c r="C314" i="15"/>
  <c r="B314" i="15"/>
  <c r="A314" i="15"/>
  <c r="Y313" i="15"/>
  <c r="X313" i="15"/>
  <c r="W313" i="15"/>
  <c r="V313" i="15"/>
  <c r="U313" i="15"/>
  <c r="T313" i="15"/>
  <c r="S313" i="15"/>
  <c r="R313" i="15"/>
  <c r="Q313" i="15"/>
  <c r="P313" i="15"/>
  <c r="O313" i="15"/>
  <c r="N313" i="15"/>
  <c r="M313" i="15"/>
  <c r="L313" i="15"/>
  <c r="K313" i="15"/>
  <c r="J313" i="15"/>
  <c r="I313" i="15"/>
  <c r="H313" i="15"/>
  <c r="G313" i="15"/>
  <c r="F313" i="15"/>
  <c r="E313" i="15"/>
  <c r="D313" i="15"/>
  <c r="C313" i="15"/>
  <c r="B313" i="15"/>
  <c r="A313" i="15"/>
  <c r="Y312" i="15"/>
  <c r="X312" i="15"/>
  <c r="W312" i="15"/>
  <c r="V312" i="15"/>
  <c r="U312" i="15"/>
  <c r="T312" i="15"/>
  <c r="S312" i="15"/>
  <c r="R312" i="15"/>
  <c r="Q312" i="15"/>
  <c r="P312" i="15"/>
  <c r="O312" i="15"/>
  <c r="N312" i="15"/>
  <c r="M312" i="15"/>
  <c r="L312" i="15"/>
  <c r="K312" i="15"/>
  <c r="J312" i="15"/>
  <c r="I312" i="15"/>
  <c r="H312" i="15"/>
  <c r="G312" i="15"/>
  <c r="F312" i="15"/>
  <c r="E312" i="15"/>
  <c r="D312" i="15"/>
  <c r="C312" i="15"/>
  <c r="B312" i="15"/>
  <c r="A312" i="15"/>
  <c r="Y311" i="15"/>
  <c r="X311" i="15"/>
  <c r="W311" i="15"/>
  <c r="V311" i="15"/>
  <c r="U311" i="15"/>
  <c r="T311" i="15"/>
  <c r="S311" i="15"/>
  <c r="R311" i="15"/>
  <c r="Q311" i="15"/>
  <c r="P311" i="15"/>
  <c r="O311" i="15"/>
  <c r="N311" i="15"/>
  <c r="M311" i="15"/>
  <c r="L311" i="15"/>
  <c r="K311" i="15"/>
  <c r="J311" i="15"/>
  <c r="I311" i="15"/>
  <c r="H311" i="15"/>
  <c r="G311" i="15"/>
  <c r="F311" i="15"/>
  <c r="E311" i="15"/>
  <c r="D311" i="15"/>
  <c r="C311" i="15"/>
  <c r="B311" i="15"/>
  <c r="A311" i="15"/>
  <c r="Y310" i="15"/>
  <c r="X310" i="15"/>
  <c r="W310" i="15"/>
  <c r="V310" i="15"/>
  <c r="U310" i="15"/>
  <c r="T310" i="15"/>
  <c r="S310" i="15"/>
  <c r="R310" i="15"/>
  <c r="Q310" i="15"/>
  <c r="P310" i="15"/>
  <c r="O310" i="15"/>
  <c r="N310" i="15"/>
  <c r="M310" i="15"/>
  <c r="L310" i="15"/>
  <c r="K310" i="15"/>
  <c r="J310" i="15"/>
  <c r="I310" i="15"/>
  <c r="H310" i="15"/>
  <c r="G310" i="15"/>
  <c r="F310" i="15"/>
  <c r="E310" i="15"/>
  <c r="D310" i="15"/>
  <c r="C310" i="15"/>
  <c r="B310" i="15"/>
  <c r="A310" i="15"/>
  <c r="Y309" i="15"/>
  <c r="X309" i="15"/>
  <c r="W309" i="15"/>
  <c r="V309" i="15"/>
  <c r="U309" i="15"/>
  <c r="T309" i="15"/>
  <c r="S309" i="15"/>
  <c r="R309" i="15"/>
  <c r="Q309" i="15"/>
  <c r="P309" i="15"/>
  <c r="O309" i="15"/>
  <c r="N309" i="15"/>
  <c r="M309" i="15"/>
  <c r="L309" i="15"/>
  <c r="K309" i="15"/>
  <c r="J309" i="15"/>
  <c r="I309" i="15"/>
  <c r="H309" i="15"/>
  <c r="G309" i="15"/>
  <c r="F309" i="15"/>
  <c r="E309" i="15"/>
  <c r="D309" i="15"/>
  <c r="C309" i="15"/>
  <c r="B309" i="15"/>
  <c r="A309" i="15"/>
  <c r="Y308" i="15"/>
  <c r="X308" i="15"/>
  <c r="W308" i="15"/>
  <c r="V308" i="15"/>
  <c r="U308" i="15"/>
  <c r="T308" i="15"/>
  <c r="S308" i="15"/>
  <c r="R308" i="15"/>
  <c r="Q308" i="15"/>
  <c r="P308" i="15"/>
  <c r="O308" i="15"/>
  <c r="N308" i="15"/>
  <c r="M308" i="15"/>
  <c r="L308" i="15"/>
  <c r="K308" i="15"/>
  <c r="J308" i="15"/>
  <c r="I308" i="15"/>
  <c r="H308" i="15"/>
  <c r="G308" i="15"/>
  <c r="F308" i="15"/>
  <c r="E308" i="15"/>
  <c r="D308" i="15"/>
  <c r="C308" i="15"/>
  <c r="B308" i="15"/>
  <c r="A308" i="15"/>
  <c r="Y307" i="15"/>
  <c r="X307" i="15"/>
  <c r="W307" i="15"/>
  <c r="V307" i="15"/>
  <c r="U307" i="15"/>
  <c r="T307" i="15"/>
  <c r="S307" i="15"/>
  <c r="R307" i="15"/>
  <c r="Q307" i="15"/>
  <c r="P307" i="15"/>
  <c r="O307" i="15"/>
  <c r="N307" i="15"/>
  <c r="M307" i="15"/>
  <c r="L307" i="15"/>
  <c r="K307" i="15"/>
  <c r="J307" i="15"/>
  <c r="I307" i="15"/>
  <c r="H307" i="15"/>
  <c r="G307" i="15"/>
  <c r="F307" i="15"/>
  <c r="E307" i="15"/>
  <c r="D307" i="15"/>
  <c r="C307" i="15"/>
  <c r="B307" i="15"/>
  <c r="A307" i="15"/>
  <c r="Y306" i="15"/>
  <c r="X306" i="15"/>
  <c r="W306" i="15"/>
  <c r="V306" i="15"/>
  <c r="U306" i="15"/>
  <c r="T306" i="15"/>
  <c r="S306" i="15"/>
  <c r="R306" i="15"/>
  <c r="Q306" i="15"/>
  <c r="P306" i="15"/>
  <c r="O306" i="15"/>
  <c r="N306" i="15"/>
  <c r="M306" i="15"/>
  <c r="L306" i="15"/>
  <c r="K306" i="15"/>
  <c r="J306" i="15"/>
  <c r="I306" i="15"/>
  <c r="H306" i="15"/>
  <c r="G306" i="15"/>
  <c r="F306" i="15"/>
  <c r="E306" i="15"/>
  <c r="D306" i="15"/>
  <c r="C306" i="15"/>
  <c r="B306" i="15"/>
  <c r="A306" i="15"/>
  <c r="Y305" i="15"/>
  <c r="X305" i="15"/>
  <c r="W305" i="15"/>
  <c r="V305" i="15"/>
  <c r="U305" i="15"/>
  <c r="T305" i="15"/>
  <c r="S305" i="15"/>
  <c r="R305" i="15"/>
  <c r="Q305" i="15"/>
  <c r="P305" i="15"/>
  <c r="O305" i="15"/>
  <c r="N305" i="15"/>
  <c r="M305" i="15"/>
  <c r="L305" i="15"/>
  <c r="K305" i="15"/>
  <c r="J305" i="15"/>
  <c r="I305" i="15"/>
  <c r="H305" i="15"/>
  <c r="G305" i="15"/>
  <c r="F305" i="15"/>
  <c r="E305" i="15"/>
  <c r="D305" i="15"/>
  <c r="C305" i="15"/>
  <c r="B305" i="15"/>
  <c r="A305" i="15"/>
  <c r="Y304" i="15"/>
  <c r="X304" i="15"/>
  <c r="W304" i="15"/>
  <c r="V304" i="15"/>
  <c r="U304" i="15"/>
  <c r="T304" i="15"/>
  <c r="S304" i="15"/>
  <c r="R304" i="15"/>
  <c r="Q304" i="15"/>
  <c r="P304" i="15"/>
  <c r="O304" i="15"/>
  <c r="N304" i="15"/>
  <c r="M304" i="15"/>
  <c r="L304" i="15"/>
  <c r="K304" i="15"/>
  <c r="J304" i="15"/>
  <c r="I304" i="15"/>
  <c r="H304" i="15"/>
  <c r="G304" i="15"/>
  <c r="F304" i="15"/>
  <c r="E304" i="15"/>
  <c r="D304" i="15"/>
  <c r="C304" i="15"/>
  <c r="B304" i="15"/>
  <c r="A304" i="15"/>
  <c r="Y303" i="15"/>
  <c r="X303" i="15"/>
  <c r="W303" i="15"/>
  <c r="V303" i="15"/>
  <c r="U303" i="15"/>
  <c r="T303" i="15"/>
  <c r="S303" i="15"/>
  <c r="R303" i="15"/>
  <c r="Q303" i="15"/>
  <c r="P303" i="15"/>
  <c r="O303" i="15"/>
  <c r="N303" i="15"/>
  <c r="M303" i="15"/>
  <c r="L303" i="15"/>
  <c r="K303" i="15"/>
  <c r="J303" i="15"/>
  <c r="I303" i="15"/>
  <c r="H303" i="15"/>
  <c r="G303" i="15"/>
  <c r="F303" i="15"/>
  <c r="E303" i="15"/>
  <c r="D303" i="15"/>
  <c r="C303" i="15"/>
  <c r="B303" i="15"/>
  <c r="A303" i="15"/>
  <c r="Y302" i="15"/>
  <c r="X302" i="15"/>
  <c r="W302" i="15"/>
  <c r="V302" i="15"/>
  <c r="U302" i="15"/>
  <c r="T302" i="15"/>
  <c r="S302" i="15"/>
  <c r="R302" i="15"/>
  <c r="Q302" i="15"/>
  <c r="P302" i="15"/>
  <c r="O302" i="15"/>
  <c r="N302" i="15"/>
  <c r="M302" i="15"/>
  <c r="L302" i="15"/>
  <c r="K302" i="15"/>
  <c r="J302" i="15"/>
  <c r="I302" i="15"/>
  <c r="H302" i="15"/>
  <c r="G302" i="15"/>
  <c r="F302" i="15"/>
  <c r="E302" i="15"/>
  <c r="D302" i="15"/>
  <c r="C302" i="15"/>
  <c r="B302" i="15"/>
  <c r="A302" i="15"/>
  <c r="Y301" i="15"/>
  <c r="X301" i="15"/>
  <c r="W301" i="15"/>
  <c r="V301" i="15"/>
  <c r="U301" i="15"/>
  <c r="T301" i="15"/>
  <c r="S301" i="15"/>
  <c r="R301" i="15"/>
  <c r="Q301" i="15"/>
  <c r="P301" i="15"/>
  <c r="O301" i="15"/>
  <c r="N301" i="15"/>
  <c r="M301" i="15"/>
  <c r="L301" i="15"/>
  <c r="K301" i="15"/>
  <c r="J301" i="15"/>
  <c r="I301" i="15"/>
  <c r="H301" i="15"/>
  <c r="G301" i="15"/>
  <c r="F301" i="15"/>
  <c r="E301" i="15"/>
  <c r="D301" i="15"/>
  <c r="C301" i="15"/>
  <c r="B301" i="15"/>
  <c r="A301" i="15"/>
  <c r="Y300" i="15"/>
  <c r="X300" i="15"/>
  <c r="W300" i="15"/>
  <c r="V300" i="15"/>
  <c r="U300" i="15"/>
  <c r="T300" i="15"/>
  <c r="S300" i="15"/>
  <c r="R300" i="15"/>
  <c r="Q300" i="15"/>
  <c r="P300" i="15"/>
  <c r="O300" i="15"/>
  <c r="N300" i="15"/>
  <c r="M300" i="15"/>
  <c r="L300" i="15"/>
  <c r="K300" i="15"/>
  <c r="J300" i="15"/>
  <c r="I300" i="15"/>
  <c r="H300" i="15"/>
  <c r="G300" i="15"/>
  <c r="F300" i="15"/>
  <c r="E300" i="15"/>
  <c r="D300" i="15"/>
  <c r="C300" i="15"/>
  <c r="B300" i="15"/>
  <c r="A300" i="15"/>
  <c r="Y299" i="15"/>
  <c r="X299" i="15"/>
  <c r="W299" i="15"/>
  <c r="V299" i="15"/>
  <c r="U299" i="15"/>
  <c r="T299" i="15"/>
  <c r="S299" i="15"/>
  <c r="R299" i="15"/>
  <c r="Q299" i="15"/>
  <c r="P299" i="15"/>
  <c r="O299" i="15"/>
  <c r="N299" i="15"/>
  <c r="M299" i="15"/>
  <c r="L299" i="15"/>
  <c r="K299" i="15"/>
  <c r="J299" i="15"/>
  <c r="I299" i="15"/>
  <c r="H299" i="15"/>
  <c r="G299" i="15"/>
  <c r="F299" i="15"/>
  <c r="E299" i="15"/>
  <c r="D299" i="15"/>
  <c r="C299" i="15"/>
  <c r="B299" i="15"/>
  <c r="A299" i="15"/>
  <c r="Y298" i="15"/>
  <c r="X298" i="15"/>
  <c r="W298" i="15"/>
  <c r="V298" i="15"/>
  <c r="U298" i="15"/>
  <c r="T298" i="15"/>
  <c r="S298" i="15"/>
  <c r="R298" i="15"/>
  <c r="Q298" i="15"/>
  <c r="P298" i="15"/>
  <c r="O298" i="15"/>
  <c r="N298" i="15"/>
  <c r="M298" i="15"/>
  <c r="L298" i="15"/>
  <c r="K298" i="15"/>
  <c r="J298" i="15"/>
  <c r="I298" i="15"/>
  <c r="H298" i="15"/>
  <c r="G298" i="15"/>
  <c r="F298" i="15"/>
  <c r="E298" i="15"/>
  <c r="D298" i="15"/>
  <c r="C298" i="15"/>
  <c r="B298" i="15"/>
  <c r="A298" i="15"/>
  <c r="Y297" i="15"/>
  <c r="X297" i="15"/>
  <c r="W297" i="15"/>
  <c r="V297" i="15"/>
  <c r="U297" i="15"/>
  <c r="T297" i="15"/>
  <c r="S297" i="15"/>
  <c r="R297" i="15"/>
  <c r="Q297" i="15"/>
  <c r="P297" i="15"/>
  <c r="O297" i="15"/>
  <c r="N297" i="15"/>
  <c r="M297" i="15"/>
  <c r="L297" i="15"/>
  <c r="K297" i="15"/>
  <c r="J297" i="15"/>
  <c r="I297" i="15"/>
  <c r="H297" i="15"/>
  <c r="G297" i="15"/>
  <c r="F297" i="15"/>
  <c r="E297" i="15"/>
  <c r="D297" i="15"/>
  <c r="C297" i="15"/>
  <c r="B297" i="15"/>
  <c r="A297" i="15"/>
  <c r="Y296" i="15"/>
  <c r="X296" i="15"/>
  <c r="W296" i="15"/>
  <c r="V296" i="15"/>
  <c r="U296" i="15"/>
  <c r="T296" i="15"/>
  <c r="S296" i="15"/>
  <c r="R296" i="15"/>
  <c r="Q296" i="15"/>
  <c r="P296" i="15"/>
  <c r="O296" i="15"/>
  <c r="N296" i="15"/>
  <c r="M296" i="15"/>
  <c r="L296" i="15"/>
  <c r="K296" i="15"/>
  <c r="J296" i="15"/>
  <c r="I296" i="15"/>
  <c r="H296" i="15"/>
  <c r="G296" i="15"/>
  <c r="F296" i="15"/>
  <c r="E296" i="15"/>
  <c r="D296" i="15"/>
  <c r="C296" i="15"/>
  <c r="B296" i="15"/>
  <c r="A296" i="15"/>
  <c r="Y295" i="15"/>
  <c r="X295" i="15"/>
  <c r="W295" i="15"/>
  <c r="V295" i="15"/>
  <c r="U295" i="15"/>
  <c r="T295" i="15"/>
  <c r="S295" i="15"/>
  <c r="R295" i="15"/>
  <c r="Q295" i="15"/>
  <c r="P295" i="15"/>
  <c r="O295" i="15"/>
  <c r="N295" i="15"/>
  <c r="M295" i="15"/>
  <c r="L295" i="15"/>
  <c r="K295" i="15"/>
  <c r="J295" i="15"/>
  <c r="I295" i="15"/>
  <c r="H295" i="15"/>
  <c r="G295" i="15"/>
  <c r="F295" i="15"/>
  <c r="E295" i="15"/>
  <c r="D295" i="15"/>
  <c r="C295" i="15"/>
  <c r="B295" i="15"/>
  <c r="A295" i="15"/>
  <c r="Y294" i="15"/>
  <c r="X294" i="15"/>
  <c r="W294" i="15"/>
  <c r="V294" i="15"/>
  <c r="U294" i="15"/>
  <c r="T294" i="15"/>
  <c r="S294" i="15"/>
  <c r="R294" i="15"/>
  <c r="Q294" i="15"/>
  <c r="P294" i="15"/>
  <c r="O294" i="15"/>
  <c r="N294" i="15"/>
  <c r="M294" i="15"/>
  <c r="L294" i="15"/>
  <c r="K294" i="15"/>
  <c r="J294" i="15"/>
  <c r="I294" i="15"/>
  <c r="H294" i="15"/>
  <c r="G294" i="15"/>
  <c r="F294" i="15"/>
  <c r="E294" i="15"/>
  <c r="D294" i="15"/>
  <c r="C294" i="15"/>
  <c r="B294" i="15"/>
  <c r="A294" i="15"/>
  <c r="Y293" i="15"/>
  <c r="X293" i="15"/>
  <c r="W293" i="15"/>
  <c r="V293" i="15"/>
  <c r="U293" i="15"/>
  <c r="T293" i="15"/>
  <c r="S293" i="15"/>
  <c r="R293" i="15"/>
  <c r="Q293" i="15"/>
  <c r="P293" i="15"/>
  <c r="O293" i="15"/>
  <c r="N293" i="15"/>
  <c r="M293" i="15"/>
  <c r="L293" i="15"/>
  <c r="K293" i="15"/>
  <c r="J293" i="15"/>
  <c r="I293" i="15"/>
  <c r="H293" i="15"/>
  <c r="G293" i="15"/>
  <c r="F293" i="15"/>
  <c r="E293" i="15"/>
  <c r="D293" i="15"/>
  <c r="C293" i="15"/>
  <c r="B293" i="15"/>
  <c r="A293" i="15"/>
  <c r="Y292" i="15"/>
  <c r="X292" i="15"/>
  <c r="W292" i="15"/>
  <c r="V292" i="15"/>
  <c r="U292" i="15"/>
  <c r="T292" i="15"/>
  <c r="S292" i="15"/>
  <c r="R292" i="15"/>
  <c r="Q292" i="15"/>
  <c r="P292" i="15"/>
  <c r="O292" i="15"/>
  <c r="N292" i="15"/>
  <c r="M292" i="15"/>
  <c r="L292" i="15"/>
  <c r="K292" i="15"/>
  <c r="J292" i="15"/>
  <c r="I292" i="15"/>
  <c r="H292" i="15"/>
  <c r="G292" i="15"/>
  <c r="F292" i="15"/>
  <c r="E292" i="15"/>
  <c r="D292" i="15"/>
  <c r="C292" i="15"/>
  <c r="B292" i="15"/>
  <c r="A292" i="15"/>
  <c r="Y291" i="15"/>
  <c r="X291" i="15"/>
  <c r="W291" i="15"/>
  <c r="V291" i="15"/>
  <c r="U291" i="15"/>
  <c r="T291" i="15"/>
  <c r="S291" i="15"/>
  <c r="R291" i="15"/>
  <c r="Q291" i="15"/>
  <c r="P291" i="15"/>
  <c r="O291" i="15"/>
  <c r="N291" i="15"/>
  <c r="M291" i="15"/>
  <c r="L291" i="15"/>
  <c r="K291" i="15"/>
  <c r="J291" i="15"/>
  <c r="I291" i="15"/>
  <c r="H291" i="15"/>
  <c r="G291" i="15"/>
  <c r="F291" i="15"/>
  <c r="E291" i="15"/>
  <c r="D291" i="15"/>
  <c r="C291" i="15"/>
  <c r="B291" i="15"/>
  <c r="A291" i="15"/>
  <c r="Y290" i="15"/>
  <c r="X290" i="15"/>
  <c r="W290" i="15"/>
  <c r="V290" i="15"/>
  <c r="U290" i="15"/>
  <c r="T290" i="15"/>
  <c r="S290" i="15"/>
  <c r="R290" i="15"/>
  <c r="Q290" i="15"/>
  <c r="P290" i="15"/>
  <c r="O290" i="15"/>
  <c r="N290" i="15"/>
  <c r="M290" i="15"/>
  <c r="L290" i="15"/>
  <c r="K290" i="15"/>
  <c r="J290" i="15"/>
  <c r="I290" i="15"/>
  <c r="H290" i="15"/>
  <c r="G290" i="15"/>
  <c r="F290" i="15"/>
  <c r="E290" i="15"/>
  <c r="D290" i="15"/>
  <c r="C290" i="15"/>
  <c r="B290" i="15"/>
  <c r="A290" i="15"/>
  <c r="Y289" i="15"/>
  <c r="X289" i="15"/>
  <c r="W289" i="15"/>
  <c r="V289" i="15"/>
  <c r="U289" i="15"/>
  <c r="T289" i="15"/>
  <c r="S289" i="15"/>
  <c r="R289" i="15"/>
  <c r="Q289" i="15"/>
  <c r="P289" i="15"/>
  <c r="O289" i="15"/>
  <c r="N289" i="15"/>
  <c r="M289" i="15"/>
  <c r="L289" i="15"/>
  <c r="K289" i="15"/>
  <c r="J289" i="15"/>
  <c r="I289" i="15"/>
  <c r="H289" i="15"/>
  <c r="G289" i="15"/>
  <c r="F289" i="15"/>
  <c r="E289" i="15"/>
  <c r="D289" i="15"/>
  <c r="C289" i="15"/>
  <c r="B289" i="15"/>
  <c r="A289" i="15"/>
  <c r="Y288" i="15"/>
  <c r="X288" i="15"/>
  <c r="W288" i="15"/>
  <c r="V288" i="15"/>
  <c r="U288" i="15"/>
  <c r="T288" i="15"/>
  <c r="S288" i="15"/>
  <c r="R288" i="15"/>
  <c r="Q288" i="15"/>
  <c r="P288" i="15"/>
  <c r="O288" i="15"/>
  <c r="N288" i="15"/>
  <c r="M288" i="15"/>
  <c r="L288" i="15"/>
  <c r="K288" i="15"/>
  <c r="J288" i="15"/>
  <c r="I288" i="15"/>
  <c r="H288" i="15"/>
  <c r="G288" i="15"/>
  <c r="F288" i="15"/>
  <c r="E288" i="15"/>
  <c r="D288" i="15"/>
  <c r="C288" i="15"/>
  <c r="B288" i="15"/>
  <c r="A288" i="15"/>
  <c r="Y287" i="15"/>
  <c r="X287" i="15"/>
  <c r="W287" i="15"/>
  <c r="V287" i="15"/>
  <c r="U287" i="15"/>
  <c r="T287" i="15"/>
  <c r="S287" i="15"/>
  <c r="R287" i="15"/>
  <c r="Q287" i="15"/>
  <c r="P287" i="15"/>
  <c r="O287" i="15"/>
  <c r="N287" i="15"/>
  <c r="M287" i="15"/>
  <c r="L287" i="15"/>
  <c r="K287" i="15"/>
  <c r="J287" i="15"/>
  <c r="I287" i="15"/>
  <c r="H287" i="15"/>
  <c r="G287" i="15"/>
  <c r="F287" i="15"/>
  <c r="E287" i="15"/>
  <c r="D287" i="15"/>
  <c r="C287" i="15"/>
  <c r="B287" i="15"/>
  <c r="A287" i="15"/>
  <c r="Y286" i="15"/>
  <c r="X286" i="15"/>
  <c r="W286" i="15"/>
  <c r="V286" i="15"/>
  <c r="U286" i="15"/>
  <c r="T286" i="15"/>
  <c r="S286" i="15"/>
  <c r="R286" i="15"/>
  <c r="Q286" i="15"/>
  <c r="P286" i="15"/>
  <c r="O286" i="15"/>
  <c r="N286" i="15"/>
  <c r="M286" i="15"/>
  <c r="L286" i="15"/>
  <c r="K286" i="15"/>
  <c r="J286" i="15"/>
  <c r="I286" i="15"/>
  <c r="H286" i="15"/>
  <c r="G286" i="15"/>
  <c r="F286" i="15"/>
  <c r="E286" i="15"/>
  <c r="D286" i="15"/>
  <c r="C286" i="15"/>
  <c r="B286" i="15"/>
  <c r="A286" i="15"/>
  <c r="Y285" i="15"/>
  <c r="X285" i="15"/>
  <c r="W285" i="15"/>
  <c r="V285" i="15"/>
  <c r="U285" i="15"/>
  <c r="T285" i="15"/>
  <c r="S285" i="15"/>
  <c r="R285" i="15"/>
  <c r="Q285" i="15"/>
  <c r="P285" i="15"/>
  <c r="O285" i="15"/>
  <c r="N285" i="15"/>
  <c r="M285" i="15"/>
  <c r="L285" i="15"/>
  <c r="K285" i="15"/>
  <c r="J285" i="15"/>
  <c r="I285" i="15"/>
  <c r="H285" i="15"/>
  <c r="G285" i="15"/>
  <c r="F285" i="15"/>
  <c r="E285" i="15"/>
  <c r="D285" i="15"/>
  <c r="C285" i="15"/>
  <c r="B285" i="15"/>
  <c r="A285" i="15"/>
  <c r="Y284" i="15"/>
  <c r="X284" i="15"/>
  <c r="W284" i="15"/>
  <c r="V284" i="15"/>
  <c r="U284" i="15"/>
  <c r="T284" i="15"/>
  <c r="S284" i="15"/>
  <c r="R284" i="15"/>
  <c r="Q284" i="15"/>
  <c r="P284" i="15"/>
  <c r="O284" i="15"/>
  <c r="N284" i="15"/>
  <c r="M284" i="15"/>
  <c r="L284" i="15"/>
  <c r="K284" i="15"/>
  <c r="J284" i="15"/>
  <c r="I284" i="15"/>
  <c r="H284" i="15"/>
  <c r="G284" i="15"/>
  <c r="F284" i="15"/>
  <c r="E284" i="15"/>
  <c r="D284" i="15"/>
  <c r="C284" i="15"/>
  <c r="B284" i="15"/>
  <c r="A284" i="15"/>
  <c r="Y283" i="15"/>
  <c r="X283" i="15"/>
  <c r="W283" i="15"/>
  <c r="V283" i="15"/>
  <c r="U283" i="15"/>
  <c r="T283" i="15"/>
  <c r="S283" i="15"/>
  <c r="R283" i="15"/>
  <c r="Q283" i="15"/>
  <c r="P283" i="15"/>
  <c r="O283" i="15"/>
  <c r="N283" i="15"/>
  <c r="M283" i="15"/>
  <c r="L283" i="15"/>
  <c r="K283" i="15"/>
  <c r="J283" i="15"/>
  <c r="I283" i="15"/>
  <c r="H283" i="15"/>
  <c r="G283" i="15"/>
  <c r="F283" i="15"/>
  <c r="E283" i="15"/>
  <c r="D283" i="15"/>
  <c r="C283" i="15"/>
  <c r="B283" i="15"/>
  <c r="A283" i="15"/>
  <c r="Y282" i="15"/>
  <c r="X282" i="15"/>
  <c r="W282" i="15"/>
  <c r="V282" i="15"/>
  <c r="U282" i="15"/>
  <c r="T282" i="15"/>
  <c r="S282" i="15"/>
  <c r="R282" i="15"/>
  <c r="Q282" i="15"/>
  <c r="P282" i="15"/>
  <c r="O282" i="15"/>
  <c r="N282" i="15"/>
  <c r="M282" i="15"/>
  <c r="L282" i="15"/>
  <c r="K282" i="15"/>
  <c r="J282" i="15"/>
  <c r="I282" i="15"/>
  <c r="H282" i="15"/>
  <c r="G282" i="15"/>
  <c r="F282" i="15"/>
  <c r="E282" i="15"/>
  <c r="D282" i="15"/>
  <c r="C282" i="15"/>
  <c r="B282" i="15"/>
  <c r="A282" i="15"/>
  <c r="Y281" i="15"/>
  <c r="X281" i="15"/>
  <c r="W281" i="15"/>
  <c r="V281" i="15"/>
  <c r="U281" i="15"/>
  <c r="T281" i="15"/>
  <c r="S281" i="15"/>
  <c r="R281" i="15"/>
  <c r="Q281" i="15"/>
  <c r="P281" i="15"/>
  <c r="O281" i="15"/>
  <c r="N281" i="15"/>
  <c r="M281" i="15"/>
  <c r="L281" i="15"/>
  <c r="K281" i="15"/>
  <c r="J281" i="15"/>
  <c r="I281" i="15"/>
  <c r="H281" i="15"/>
  <c r="G281" i="15"/>
  <c r="F281" i="15"/>
  <c r="E281" i="15"/>
  <c r="D281" i="15"/>
  <c r="C281" i="15"/>
  <c r="B281" i="15"/>
  <c r="A281" i="15"/>
  <c r="Y280" i="15"/>
  <c r="X280" i="15"/>
  <c r="W280" i="15"/>
  <c r="V280" i="15"/>
  <c r="U280" i="15"/>
  <c r="T280" i="15"/>
  <c r="S280" i="15"/>
  <c r="R280" i="15"/>
  <c r="Q280" i="15"/>
  <c r="P280" i="15"/>
  <c r="O280" i="15"/>
  <c r="N280" i="15"/>
  <c r="M280" i="15"/>
  <c r="L280" i="15"/>
  <c r="K280" i="15"/>
  <c r="J280" i="15"/>
  <c r="I280" i="15"/>
  <c r="H280" i="15"/>
  <c r="G280" i="15"/>
  <c r="F280" i="15"/>
  <c r="E280" i="15"/>
  <c r="D280" i="15"/>
  <c r="C280" i="15"/>
  <c r="B280" i="15"/>
  <c r="A280" i="15"/>
  <c r="Y279" i="15"/>
  <c r="X279" i="15"/>
  <c r="W279" i="15"/>
  <c r="V279" i="15"/>
  <c r="U279" i="15"/>
  <c r="T279" i="15"/>
  <c r="S279" i="15"/>
  <c r="R279" i="15"/>
  <c r="Q279" i="15"/>
  <c r="P279" i="15"/>
  <c r="O279" i="15"/>
  <c r="N279" i="15"/>
  <c r="M279" i="15"/>
  <c r="L279" i="15"/>
  <c r="K279" i="15"/>
  <c r="J279" i="15"/>
  <c r="I279" i="15"/>
  <c r="H279" i="15"/>
  <c r="G279" i="15"/>
  <c r="F279" i="15"/>
  <c r="E279" i="15"/>
  <c r="D279" i="15"/>
  <c r="C279" i="15"/>
  <c r="B279" i="15"/>
  <c r="A279" i="15"/>
  <c r="Y278" i="15"/>
  <c r="X278" i="15"/>
  <c r="W278" i="15"/>
  <c r="V278" i="15"/>
  <c r="U278" i="15"/>
  <c r="T278" i="15"/>
  <c r="S278" i="15"/>
  <c r="R278" i="15"/>
  <c r="Q278" i="15"/>
  <c r="P278" i="15"/>
  <c r="O278" i="15"/>
  <c r="N278" i="15"/>
  <c r="M278" i="15"/>
  <c r="L278" i="15"/>
  <c r="K278" i="15"/>
  <c r="J278" i="15"/>
  <c r="I278" i="15"/>
  <c r="H278" i="15"/>
  <c r="G278" i="15"/>
  <c r="F278" i="15"/>
  <c r="E278" i="15"/>
  <c r="D278" i="15"/>
  <c r="C278" i="15"/>
  <c r="B278" i="15"/>
  <c r="A278" i="15"/>
  <c r="Y277" i="15"/>
  <c r="X277" i="15"/>
  <c r="W277" i="15"/>
  <c r="V277" i="15"/>
  <c r="U277" i="15"/>
  <c r="T277" i="15"/>
  <c r="S277" i="15"/>
  <c r="R277" i="15"/>
  <c r="Q277" i="15"/>
  <c r="P277" i="15"/>
  <c r="O277" i="15"/>
  <c r="N277" i="15"/>
  <c r="M277" i="15"/>
  <c r="L277" i="15"/>
  <c r="K277" i="15"/>
  <c r="J277" i="15"/>
  <c r="I277" i="15"/>
  <c r="H277" i="15"/>
  <c r="G277" i="15"/>
  <c r="F277" i="15"/>
  <c r="E277" i="15"/>
  <c r="D277" i="15"/>
  <c r="C277" i="15"/>
  <c r="B277" i="15"/>
  <c r="A277" i="15"/>
  <c r="Y276" i="15"/>
  <c r="X276" i="15"/>
  <c r="W276" i="15"/>
  <c r="V276" i="15"/>
  <c r="U276" i="15"/>
  <c r="T276" i="15"/>
  <c r="S276" i="15"/>
  <c r="R276" i="15"/>
  <c r="Q276" i="15"/>
  <c r="P276" i="15"/>
  <c r="O276" i="15"/>
  <c r="N276" i="15"/>
  <c r="M276" i="15"/>
  <c r="L276" i="15"/>
  <c r="K276" i="15"/>
  <c r="J276" i="15"/>
  <c r="I276" i="15"/>
  <c r="H276" i="15"/>
  <c r="G276" i="15"/>
  <c r="F276" i="15"/>
  <c r="E276" i="15"/>
  <c r="D276" i="15"/>
  <c r="C276" i="15"/>
  <c r="B276" i="15"/>
  <c r="A276" i="15"/>
  <c r="Y275" i="15"/>
  <c r="X275" i="15"/>
  <c r="W275" i="15"/>
  <c r="V275" i="15"/>
  <c r="U275" i="15"/>
  <c r="T275" i="15"/>
  <c r="S275" i="15"/>
  <c r="R275" i="15"/>
  <c r="Q275" i="15"/>
  <c r="P275" i="15"/>
  <c r="O275" i="15"/>
  <c r="N275" i="15"/>
  <c r="M275" i="15"/>
  <c r="L275" i="15"/>
  <c r="K275" i="15"/>
  <c r="J275" i="15"/>
  <c r="I275" i="15"/>
  <c r="H275" i="15"/>
  <c r="G275" i="15"/>
  <c r="F275" i="15"/>
  <c r="E275" i="15"/>
  <c r="D275" i="15"/>
  <c r="C275" i="15"/>
  <c r="B275" i="15"/>
  <c r="A275" i="15"/>
  <c r="Y274" i="15"/>
  <c r="X274" i="15"/>
  <c r="W274" i="15"/>
  <c r="V274" i="15"/>
  <c r="U274" i="15"/>
  <c r="T274" i="15"/>
  <c r="S274" i="15"/>
  <c r="R274" i="15"/>
  <c r="Q274" i="15"/>
  <c r="P274" i="15"/>
  <c r="O274" i="15"/>
  <c r="N274" i="15"/>
  <c r="M274" i="15"/>
  <c r="L274" i="15"/>
  <c r="K274" i="15"/>
  <c r="J274" i="15"/>
  <c r="I274" i="15"/>
  <c r="H274" i="15"/>
  <c r="G274" i="15"/>
  <c r="F274" i="15"/>
  <c r="E274" i="15"/>
  <c r="D274" i="15"/>
  <c r="C274" i="15"/>
  <c r="B274" i="15"/>
  <c r="A274" i="15"/>
  <c r="Y273" i="15"/>
  <c r="X273" i="15"/>
  <c r="W273" i="15"/>
  <c r="V273" i="15"/>
  <c r="U273" i="15"/>
  <c r="T273" i="15"/>
  <c r="S273" i="15"/>
  <c r="R273" i="15"/>
  <c r="Q273" i="15"/>
  <c r="P273" i="15"/>
  <c r="O273" i="15"/>
  <c r="N273" i="15"/>
  <c r="M273" i="15"/>
  <c r="L273" i="15"/>
  <c r="K273" i="15"/>
  <c r="J273" i="15"/>
  <c r="I273" i="15"/>
  <c r="H273" i="15"/>
  <c r="G273" i="15"/>
  <c r="F273" i="15"/>
  <c r="E273" i="15"/>
  <c r="D273" i="15"/>
  <c r="C273" i="15"/>
  <c r="B273" i="15"/>
  <c r="A273" i="15"/>
  <c r="Y272" i="15"/>
  <c r="X272" i="15"/>
  <c r="W272" i="15"/>
  <c r="V272" i="15"/>
  <c r="U272" i="15"/>
  <c r="T272" i="15"/>
  <c r="S272" i="15"/>
  <c r="R272" i="15"/>
  <c r="Q272" i="15"/>
  <c r="P272" i="15"/>
  <c r="O272" i="15"/>
  <c r="N272" i="15"/>
  <c r="M272" i="15"/>
  <c r="L272" i="15"/>
  <c r="K272" i="15"/>
  <c r="J272" i="15"/>
  <c r="I272" i="15"/>
  <c r="H272" i="15"/>
  <c r="G272" i="15"/>
  <c r="F272" i="15"/>
  <c r="E272" i="15"/>
  <c r="D272" i="15"/>
  <c r="C272" i="15"/>
  <c r="B272" i="15"/>
  <c r="A272" i="15"/>
  <c r="Y271" i="15"/>
  <c r="X271" i="15"/>
  <c r="W271" i="15"/>
  <c r="V271" i="15"/>
  <c r="U271" i="15"/>
  <c r="T271" i="15"/>
  <c r="S271" i="15"/>
  <c r="R271" i="15"/>
  <c r="Q271" i="15"/>
  <c r="P271" i="15"/>
  <c r="O271" i="15"/>
  <c r="N271" i="15"/>
  <c r="M271" i="15"/>
  <c r="L271" i="15"/>
  <c r="K271" i="15"/>
  <c r="J271" i="15"/>
  <c r="I271" i="15"/>
  <c r="H271" i="15"/>
  <c r="G271" i="15"/>
  <c r="F271" i="15"/>
  <c r="E271" i="15"/>
  <c r="D271" i="15"/>
  <c r="C271" i="15"/>
  <c r="B271" i="15"/>
  <c r="A271" i="15"/>
  <c r="Y270" i="15"/>
  <c r="X270" i="15"/>
  <c r="W270" i="15"/>
  <c r="V270" i="15"/>
  <c r="U270" i="15"/>
  <c r="T270" i="15"/>
  <c r="S270" i="15"/>
  <c r="R270" i="15"/>
  <c r="Q270" i="15"/>
  <c r="P270" i="15"/>
  <c r="O270" i="15"/>
  <c r="N270" i="15"/>
  <c r="M270" i="15"/>
  <c r="L270" i="15"/>
  <c r="K270" i="15"/>
  <c r="J270" i="15"/>
  <c r="I270" i="15"/>
  <c r="H270" i="15"/>
  <c r="G270" i="15"/>
  <c r="F270" i="15"/>
  <c r="E270" i="15"/>
  <c r="D270" i="15"/>
  <c r="C270" i="15"/>
  <c r="B270" i="15"/>
  <c r="A270" i="15"/>
  <c r="Y269" i="15"/>
  <c r="X269" i="15"/>
  <c r="W269" i="15"/>
  <c r="V269" i="15"/>
  <c r="U269" i="15"/>
  <c r="T269" i="15"/>
  <c r="S269" i="15"/>
  <c r="R269" i="15"/>
  <c r="Q269" i="15"/>
  <c r="P269" i="15"/>
  <c r="O269" i="15"/>
  <c r="N269" i="15"/>
  <c r="M269" i="15"/>
  <c r="L269" i="15"/>
  <c r="K269" i="15"/>
  <c r="J269" i="15"/>
  <c r="I269" i="15"/>
  <c r="H269" i="15"/>
  <c r="G269" i="15"/>
  <c r="F269" i="15"/>
  <c r="E269" i="15"/>
  <c r="D269" i="15"/>
  <c r="C269" i="15"/>
  <c r="B269" i="15"/>
  <c r="A269" i="15"/>
  <c r="Y268" i="15"/>
  <c r="X268" i="15"/>
  <c r="W268" i="15"/>
  <c r="V268" i="15"/>
  <c r="U268" i="15"/>
  <c r="T268" i="15"/>
  <c r="S268" i="15"/>
  <c r="R268" i="15"/>
  <c r="Q268" i="15"/>
  <c r="P268" i="15"/>
  <c r="O268" i="15"/>
  <c r="N268" i="15"/>
  <c r="M268" i="15"/>
  <c r="L268" i="15"/>
  <c r="K268" i="15"/>
  <c r="J268" i="15"/>
  <c r="I268" i="15"/>
  <c r="H268" i="15"/>
  <c r="G268" i="15"/>
  <c r="F268" i="15"/>
  <c r="E268" i="15"/>
  <c r="D268" i="15"/>
  <c r="C268" i="15"/>
  <c r="B268" i="15"/>
  <c r="A268" i="15"/>
  <c r="Y267" i="15"/>
  <c r="X267" i="15"/>
  <c r="W267" i="15"/>
  <c r="V267" i="15"/>
  <c r="U267" i="15"/>
  <c r="T267" i="15"/>
  <c r="S267" i="15"/>
  <c r="R267" i="15"/>
  <c r="Q267" i="15"/>
  <c r="P267" i="15"/>
  <c r="O267" i="15"/>
  <c r="N267" i="15"/>
  <c r="M267" i="15"/>
  <c r="L267" i="15"/>
  <c r="K267" i="15"/>
  <c r="J267" i="15"/>
  <c r="I267" i="15"/>
  <c r="H267" i="15"/>
  <c r="G267" i="15"/>
  <c r="F267" i="15"/>
  <c r="E267" i="15"/>
  <c r="D267" i="15"/>
  <c r="C267" i="15"/>
  <c r="B267" i="15"/>
  <c r="A267" i="15"/>
  <c r="Y266" i="15"/>
  <c r="X266" i="15"/>
  <c r="W266" i="15"/>
  <c r="V266" i="15"/>
  <c r="U266" i="15"/>
  <c r="T266" i="15"/>
  <c r="S266" i="15"/>
  <c r="R266" i="15"/>
  <c r="Q266" i="15"/>
  <c r="P266" i="15"/>
  <c r="O266" i="15"/>
  <c r="N266" i="15"/>
  <c r="M266" i="15"/>
  <c r="L266" i="15"/>
  <c r="K266" i="15"/>
  <c r="J266" i="15"/>
  <c r="I266" i="15"/>
  <c r="H266" i="15"/>
  <c r="G266" i="15"/>
  <c r="F266" i="15"/>
  <c r="E266" i="15"/>
  <c r="D266" i="15"/>
  <c r="C266" i="15"/>
  <c r="B266" i="15"/>
  <c r="A266" i="15"/>
  <c r="Y265" i="15"/>
  <c r="X265" i="15"/>
  <c r="W265" i="15"/>
  <c r="V265" i="15"/>
  <c r="U265" i="15"/>
  <c r="T265" i="15"/>
  <c r="S265" i="15"/>
  <c r="R265" i="15"/>
  <c r="Q265" i="15"/>
  <c r="P265" i="15"/>
  <c r="O265" i="15"/>
  <c r="N265" i="15"/>
  <c r="M265" i="15"/>
  <c r="L265" i="15"/>
  <c r="K265" i="15"/>
  <c r="J265" i="15"/>
  <c r="I265" i="15"/>
  <c r="H265" i="15"/>
  <c r="G265" i="15"/>
  <c r="F265" i="15"/>
  <c r="E265" i="15"/>
  <c r="D265" i="15"/>
  <c r="C265" i="15"/>
  <c r="B265" i="15"/>
  <c r="A265" i="15"/>
  <c r="Y264" i="15"/>
  <c r="X264" i="15"/>
  <c r="W264" i="15"/>
  <c r="V264" i="15"/>
  <c r="U264" i="15"/>
  <c r="T264" i="15"/>
  <c r="S264" i="15"/>
  <c r="R264" i="15"/>
  <c r="Q264" i="15"/>
  <c r="P264" i="15"/>
  <c r="O264" i="15"/>
  <c r="N264" i="15"/>
  <c r="M264" i="15"/>
  <c r="L264" i="15"/>
  <c r="K264" i="15"/>
  <c r="J264" i="15"/>
  <c r="I264" i="15"/>
  <c r="H264" i="15"/>
  <c r="G264" i="15"/>
  <c r="F264" i="15"/>
  <c r="E264" i="15"/>
  <c r="D264" i="15"/>
  <c r="C264" i="15"/>
  <c r="B264" i="15"/>
  <c r="A264" i="15"/>
  <c r="Y263" i="15"/>
  <c r="X263" i="15"/>
  <c r="W263" i="15"/>
  <c r="V263" i="15"/>
  <c r="U263" i="15"/>
  <c r="T263" i="15"/>
  <c r="S263" i="15"/>
  <c r="R263" i="15"/>
  <c r="Q263" i="15"/>
  <c r="P263" i="15"/>
  <c r="O263" i="15"/>
  <c r="N263" i="15"/>
  <c r="M263" i="15"/>
  <c r="L263" i="15"/>
  <c r="K263" i="15"/>
  <c r="J263" i="15"/>
  <c r="I263" i="15"/>
  <c r="H263" i="15"/>
  <c r="G263" i="15"/>
  <c r="F263" i="15"/>
  <c r="E263" i="15"/>
  <c r="D263" i="15"/>
  <c r="C263" i="15"/>
  <c r="B263" i="15"/>
  <c r="A263" i="15"/>
  <c r="Y262" i="15"/>
  <c r="X262" i="15"/>
  <c r="W262" i="15"/>
  <c r="V262" i="15"/>
  <c r="U262" i="15"/>
  <c r="T262" i="15"/>
  <c r="S262" i="15"/>
  <c r="R262" i="15"/>
  <c r="Q262" i="15"/>
  <c r="P262" i="15"/>
  <c r="O262" i="15"/>
  <c r="N262" i="15"/>
  <c r="M262" i="15"/>
  <c r="L262" i="15"/>
  <c r="K262" i="15"/>
  <c r="J262" i="15"/>
  <c r="I262" i="15"/>
  <c r="H262" i="15"/>
  <c r="G262" i="15"/>
  <c r="F262" i="15"/>
  <c r="E262" i="15"/>
  <c r="D262" i="15"/>
  <c r="C262" i="15"/>
  <c r="B262" i="15"/>
  <c r="A262" i="15"/>
  <c r="Y261" i="15"/>
  <c r="X261" i="15"/>
  <c r="W261" i="15"/>
  <c r="V261" i="15"/>
  <c r="U261" i="15"/>
  <c r="T261" i="15"/>
  <c r="S261" i="15"/>
  <c r="R261" i="15"/>
  <c r="Q261" i="15"/>
  <c r="P261" i="15"/>
  <c r="O261" i="15"/>
  <c r="N261" i="15"/>
  <c r="M261" i="15"/>
  <c r="L261" i="15"/>
  <c r="K261" i="15"/>
  <c r="J261" i="15"/>
  <c r="I261" i="15"/>
  <c r="H261" i="15"/>
  <c r="G261" i="15"/>
  <c r="F261" i="15"/>
  <c r="E261" i="15"/>
  <c r="D261" i="15"/>
  <c r="C261" i="15"/>
  <c r="B261" i="15"/>
  <c r="A261" i="15"/>
  <c r="Y260" i="15"/>
  <c r="X260" i="15"/>
  <c r="W260" i="15"/>
  <c r="V260" i="15"/>
  <c r="U260" i="15"/>
  <c r="T260" i="15"/>
  <c r="S260" i="15"/>
  <c r="R260" i="15"/>
  <c r="Q260" i="15"/>
  <c r="P260" i="15"/>
  <c r="O260" i="15"/>
  <c r="N260" i="15"/>
  <c r="M260" i="15"/>
  <c r="L260" i="15"/>
  <c r="K260" i="15"/>
  <c r="J260" i="15"/>
  <c r="I260" i="15"/>
  <c r="H260" i="15"/>
  <c r="G260" i="15"/>
  <c r="F260" i="15"/>
  <c r="E260" i="15"/>
  <c r="D260" i="15"/>
  <c r="C260" i="15"/>
  <c r="B260" i="15"/>
  <c r="A260" i="15"/>
  <c r="Y259" i="15"/>
  <c r="X259" i="15"/>
  <c r="W259" i="15"/>
  <c r="V259" i="15"/>
  <c r="U259" i="15"/>
  <c r="T259" i="15"/>
  <c r="S259" i="15"/>
  <c r="R259" i="15"/>
  <c r="Q259" i="15"/>
  <c r="P259" i="15"/>
  <c r="O259" i="15"/>
  <c r="N259" i="15"/>
  <c r="M259" i="15"/>
  <c r="L259" i="15"/>
  <c r="K259" i="15"/>
  <c r="J259" i="15"/>
  <c r="I259" i="15"/>
  <c r="H259" i="15"/>
  <c r="G259" i="15"/>
  <c r="F259" i="15"/>
  <c r="E259" i="15"/>
  <c r="D259" i="15"/>
  <c r="C259" i="15"/>
  <c r="B259" i="15"/>
  <c r="A259" i="15"/>
  <c r="Y258" i="15"/>
  <c r="X258" i="15"/>
  <c r="W258" i="15"/>
  <c r="V258" i="15"/>
  <c r="U258" i="15"/>
  <c r="T258" i="15"/>
  <c r="S258" i="15"/>
  <c r="R258" i="15"/>
  <c r="Q258" i="15"/>
  <c r="P258" i="15"/>
  <c r="O258" i="15"/>
  <c r="N258" i="15"/>
  <c r="M258" i="15"/>
  <c r="L258" i="15"/>
  <c r="K258" i="15"/>
  <c r="J258" i="15"/>
  <c r="I258" i="15"/>
  <c r="H258" i="15"/>
  <c r="G258" i="15"/>
  <c r="F258" i="15"/>
  <c r="E258" i="15"/>
  <c r="D258" i="15"/>
  <c r="C258" i="15"/>
  <c r="B258" i="15"/>
  <c r="A258" i="15"/>
  <c r="Y257" i="15"/>
  <c r="X257" i="15"/>
  <c r="W257" i="15"/>
  <c r="V257" i="15"/>
  <c r="U257" i="15"/>
  <c r="T257" i="15"/>
  <c r="S257" i="15"/>
  <c r="R257" i="15"/>
  <c r="Q257" i="15"/>
  <c r="P257" i="15"/>
  <c r="O257" i="15"/>
  <c r="N257" i="15"/>
  <c r="M257" i="15"/>
  <c r="L257" i="15"/>
  <c r="K257" i="15"/>
  <c r="J257" i="15"/>
  <c r="I257" i="15"/>
  <c r="H257" i="15"/>
  <c r="G257" i="15"/>
  <c r="F257" i="15"/>
  <c r="E257" i="15"/>
  <c r="D257" i="15"/>
  <c r="C257" i="15"/>
  <c r="B257" i="15"/>
  <c r="A257" i="15"/>
  <c r="Y256" i="15"/>
  <c r="X256" i="15"/>
  <c r="W256" i="15"/>
  <c r="V256" i="15"/>
  <c r="U256" i="15"/>
  <c r="T256" i="15"/>
  <c r="S256" i="15"/>
  <c r="R256" i="15"/>
  <c r="Q256" i="15"/>
  <c r="P256" i="15"/>
  <c r="O256" i="15"/>
  <c r="N256" i="15"/>
  <c r="M256" i="15"/>
  <c r="L256" i="15"/>
  <c r="K256" i="15"/>
  <c r="J256" i="15"/>
  <c r="I256" i="15"/>
  <c r="H256" i="15"/>
  <c r="G256" i="15"/>
  <c r="F256" i="15"/>
  <c r="E256" i="15"/>
  <c r="D256" i="15"/>
  <c r="C256" i="15"/>
  <c r="B256" i="15"/>
  <c r="A256" i="15"/>
  <c r="Y255" i="15"/>
  <c r="X255" i="15"/>
  <c r="W255" i="15"/>
  <c r="V255" i="15"/>
  <c r="U255" i="15"/>
  <c r="T255" i="15"/>
  <c r="S255" i="15"/>
  <c r="R255" i="15"/>
  <c r="Q255" i="15"/>
  <c r="P255" i="15"/>
  <c r="O255" i="15"/>
  <c r="N255" i="15"/>
  <c r="M255" i="15"/>
  <c r="L255" i="15"/>
  <c r="K255" i="15"/>
  <c r="J255" i="15"/>
  <c r="I255" i="15"/>
  <c r="H255" i="15"/>
  <c r="G255" i="15"/>
  <c r="F255" i="15"/>
  <c r="E255" i="15"/>
  <c r="D255" i="15"/>
  <c r="C255" i="15"/>
  <c r="B255" i="15"/>
  <c r="A255" i="15"/>
  <c r="Y254" i="15"/>
  <c r="X254" i="15"/>
  <c r="W254" i="15"/>
  <c r="V254" i="15"/>
  <c r="U254" i="15"/>
  <c r="T254" i="15"/>
  <c r="S254" i="15"/>
  <c r="R254" i="15"/>
  <c r="Q254" i="15"/>
  <c r="P254" i="15"/>
  <c r="O254" i="15"/>
  <c r="N254" i="15"/>
  <c r="M254" i="15"/>
  <c r="L254" i="15"/>
  <c r="K254" i="15"/>
  <c r="J254" i="15"/>
  <c r="I254" i="15"/>
  <c r="H254" i="15"/>
  <c r="G254" i="15"/>
  <c r="F254" i="15"/>
  <c r="E254" i="15"/>
  <c r="D254" i="15"/>
  <c r="C254" i="15"/>
  <c r="B254" i="15"/>
  <c r="A254" i="15"/>
  <c r="Y253" i="15"/>
  <c r="X253" i="15"/>
  <c r="W253" i="15"/>
  <c r="V253" i="15"/>
  <c r="U253" i="15"/>
  <c r="T253" i="15"/>
  <c r="S253" i="15"/>
  <c r="R253" i="15"/>
  <c r="Q253" i="15"/>
  <c r="P253" i="15"/>
  <c r="O253" i="15"/>
  <c r="N253" i="15"/>
  <c r="M253" i="15"/>
  <c r="L253" i="15"/>
  <c r="K253" i="15"/>
  <c r="J253" i="15"/>
  <c r="I253" i="15"/>
  <c r="H253" i="15"/>
  <c r="G253" i="15"/>
  <c r="F253" i="15"/>
  <c r="E253" i="15"/>
  <c r="D253" i="15"/>
  <c r="C253" i="15"/>
  <c r="B253" i="15"/>
  <c r="A253" i="15"/>
  <c r="Y252" i="15"/>
  <c r="X252" i="15"/>
  <c r="W252" i="15"/>
  <c r="V252" i="15"/>
  <c r="U252" i="15"/>
  <c r="T252" i="15"/>
  <c r="S252" i="15"/>
  <c r="R252" i="15"/>
  <c r="Q252" i="15"/>
  <c r="P252" i="15"/>
  <c r="O252" i="15"/>
  <c r="N252" i="15"/>
  <c r="M252" i="15"/>
  <c r="L252" i="15"/>
  <c r="K252" i="15"/>
  <c r="J252" i="15"/>
  <c r="I252" i="15"/>
  <c r="H252" i="15"/>
  <c r="G252" i="15"/>
  <c r="F252" i="15"/>
  <c r="E252" i="15"/>
  <c r="D252" i="15"/>
  <c r="C252" i="15"/>
  <c r="B252" i="15"/>
  <c r="A252" i="15"/>
  <c r="Y251" i="15"/>
  <c r="X251" i="15"/>
  <c r="W251" i="15"/>
  <c r="V251" i="15"/>
  <c r="U251" i="15"/>
  <c r="T251" i="15"/>
  <c r="S251" i="15"/>
  <c r="R251" i="15"/>
  <c r="Q251" i="15"/>
  <c r="P251" i="15"/>
  <c r="O251" i="15"/>
  <c r="N251" i="15"/>
  <c r="M251" i="15"/>
  <c r="L251" i="15"/>
  <c r="K251" i="15"/>
  <c r="J251" i="15"/>
  <c r="I251" i="15"/>
  <c r="H251" i="15"/>
  <c r="G251" i="15"/>
  <c r="F251" i="15"/>
  <c r="E251" i="15"/>
  <c r="D251" i="15"/>
  <c r="C251" i="15"/>
  <c r="B251" i="15"/>
  <c r="A251" i="15"/>
  <c r="Y250" i="15"/>
  <c r="X250" i="15"/>
  <c r="W250" i="15"/>
  <c r="V250" i="15"/>
  <c r="U250" i="15"/>
  <c r="T250" i="15"/>
  <c r="S250" i="15"/>
  <c r="R250" i="15"/>
  <c r="Q250" i="15"/>
  <c r="P250" i="15"/>
  <c r="O250" i="15"/>
  <c r="N250" i="15"/>
  <c r="M250" i="15"/>
  <c r="L250" i="15"/>
  <c r="K250" i="15"/>
  <c r="J250" i="15"/>
  <c r="I250" i="15"/>
  <c r="H250" i="15"/>
  <c r="G250" i="15"/>
  <c r="F250" i="15"/>
  <c r="E250" i="15"/>
  <c r="D250" i="15"/>
  <c r="C250" i="15"/>
  <c r="B250" i="15"/>
  <c r="A250" i="15"/>
  <c r="Y249" i="15"/>
  <c r="X249" i="15"/>
  <c r="W249" i="15"/>
  <c r="V249" i="15"/>
  <c r="U249" i="15"/>
  <c r="T249" i="15"/>
  <c r="S249" i="15"/>
  <c r="R249" i="15"/>
  <c r="Q249" i="15"/>
  <c r="P249" i="15"/>
  <c r="O249" i="15"/>
  <c r="N249" i="15"/>
  <c r="M249" i="15"/>
  <c r="L249" i="15"/>
  <c r="K249" i="15"/>
  <c r="J249" i="15"/>
  <c r="I249" i="15"/>
  <c r="H249" i="15"/>
  <c r="G249" i="15"/>
  <c r="F249" i="15"/>
  <c r="E249" i="15"/>
  <c r="D249" i="15"/>
  <c r="C249" i="15"/>
  <c r="B249" i="15"/>
  <c r="A249" i="15"/>
  <c r="Y248" i="15"/>
  <c r="X248" i="15"/>
  <c r="W248" i="15"/>
  <c r="V248" i="15"/>
  <c r="U248" i="15"/>
  <c r="T248" i="15"/>
  <c r="S248" i="15"/>
  <c r="R248" i="15"/>
  <c r="Q248" i="15"/>
  <c r="P248" i="15"/>
  <c r="O248" i="15"/>
  <c r="N248" i="15"/>
  <c r="M248" i="15"/>
  <c r="L248" i="15"/>
  <c r="K248" i="15"/>
  <c r="J248" i="15"/>
  <c r="I248" i="15"/>
  <c r="H248" i="15"/>
  <c r="G248" i="15"/>
  <c r="F248" i="15"/>
  <c r="E248" i="15"/>
  <c r="D248" i="15"/>
  <c r="C248" i="15"/>
  <c r="B248" i="15"/>
  <c r="A248" i="15"/>
  <c r="Y247" i="15"/>
  <c r="X247" i="15"/>
  <c r="W247" i="15"/>
  <c r="V247" i="15"/>
  <c r="U247" i="15"/>
  <c r="T247" i="15"/>
  <c r="S247" i="15"/>
  <c r="R247" i="15"/>
  <c r="Q247" i="15"/>
  <c r="P247" i="15"/>
  <c r="O247" i="15"/>
  <c r="N247" i="15"/>
  <c r="M247" i="15"/>
  <c r="L247" i="15"/>
  <c r="K247" i="15"/>
  <c r="J247" i="15"/>
  <c r="I247" i="15"/>
  <c r="H247" i="15"/>
  <c r="G247" i="15"/>
  <c r="F247" i="15"/>
  <c r="E247" i="15"/>
  <c r="D247" i="15"/>
  <c r="C247" i="15"/>
  <c r="B247" i="15"/>
  <c r="A247" i="15"/>
  <c r="Y246" i="15"/>
  <c r="X246" i="15"/>
  <c r="W246" i="15"/>
  <c r="V246" i="15"/>
  <c r="U246" i="15"/>
  <c r="T246" i="15"/>
  <c r="S246" i="15"/>
  <c r="R246" i="15"/>
  <c r="Q246" i="15"/>
  <c r="P246" i="15"/>
  <c r="O246" i="15"/>
  <c r="N246" i="15"/>
  <c r="M246" i="15"/>
  <c r="L246" i="15"/>
  <c r="K246" i="15"/>
  <c r="J246" i="15"/>
  <c r="I246" i="15"/>
  <c r="H246" i="15"/>
  <c r="G246" i="15"/>
  <c r="F246" i="15"/>
  <c r="E246" i="15"/>
  <c r="D246" i="15"/>
  <c r="C246" i="15"/>
  <c r="B246" i="15"/>
  <c r="A246" i="15"/>
  <c r="Y245" i="15"/>
  <c r="X245" i="15"/>
  <c r="W245" i="15"/>
  <c r="V245" i="15"/>
  <c r="U245" i="15"/>
  <c r="T245" i="15"/>
  <c r="S245" i="15"/>
  <c r="R245" i="15"/>
  <c r="Q245" i="15"/>
  <c r="P245" i="15"/>
  <c r="O245" i="15"/>
  <c r="N245" i="15"/>
  <c r="M245" i="15"/>
  <c r="L245" i="15"/>
  <c r="K245" i="15"/>
  <c r="J245" i="15"/>
  <c r="I245" i="15"/>
  <c r="H245" i="15"/>
  <c r="G245" i="15"/>
  <c r="F245" i="15"/>
  <c r="E245" i="15"/>
  <c r="D245" i="15"/>
  <c r="C245" i="15"/>
  <c r="B245" i="15"/>
  <c r="A245" i="15"/>
  <c r="Y244" i="15"/>
  <c r="X244" i="15"/>
  <c r="W244" i="15"/>
  <c r="V244" i="15"/>
  <c r="U244" i="15"/>
  <c r="T244" i="15"/>
  <c r="S244" i="15"/>
  <c r="R244" i="15"/>
  <c r="Q244" i="15"/>
  <c r="P244" i="15"/>
  <c r="O244" i="15"/>
  <c r="N244" i="15"/>
  <c r="M244" i="15"/>
  <c r="L244" i="15"/>
  <c r="K244" i="15"/>
  <c r="J244" i="15"/>
  <c r="I244" i="15"/>
  <c r="H244" i="15"/>
  <c r="G244" i="15"/>
  <c r="F244" i="15"/>
  <c r="E244" i="15"/>
  <c r="D244" i="15"/>
  <c r="C244" i="15"/>
  <c r="B244" i="15"/>
  <c r="A244" i="15"/>
  <c r="Y243" i="15"/>
  <c r="X243" i="15"/>
  <c r="W243" i="15"/>
  <c r="V243" i="15"/>
  <c r="U243" i="15"/>
  <c r="T243" i="15"/>
  <c r="S243" i="15"/>
  <c r="R243" i="15"/>
  <c r="Q243" i="15"/>
  <c r="P243" i="15"/>
  <c r="O243" i="15"/>
  <c r="N243" i="15"/>
  <c r="M243" i="15"/>
  <c r="L243" i="15"/>
  <c r="K243" i="15"/>
  <c r="J243" i="15"/>
  <c r="I243" i="15"/>
  <c r="H243" i="15"/>
  <c r="G243" i="15"/>
  <c r="F243" i="15"/>
  <c r="E243" i="15"/>
  <c r="D243" i="15"/>
  <c r="C243" i="15"/>
  <c r="B243" i="15"/>
  <c r="A243" i="15"/>
  <c r="Y242" i="15"/>
  <c r="X242" i="15"/>
  <c r="W242" i="15"/>
  <c r="V242" i="15"/>
  <c r="U242" i="15"/>
  <c r="T242" i="15"/>
  <c r="S242" i="15"/>
  <c r="R242" i="15"/>
  <c r="Q242" i="15"/>
  <c r="P242" i="15"/>
  <c r="O242" i="15"/>
  <c r="N242" i="15"/>
  <c r="M242" i="15"/>
  <c r="L242" i="15"/>
  <c r="K242" i="15"/>
  <c r="J242" i="15"/>
  <c r="I242" i="15"/>
  <c r="H242" i="15"/>
  <c r="G242" i="15"/>
  <c r="F242" i="15"/>
  <c r="E242" i="15"/>
  <c r="D242" i="15"/>
  <c r="C242" i="15"/>
  <c r="B242" i="15"/>
  <c r="A242" i="15"/>
  <c r="Y241" i="15"/>
  <c r="X241" i="15"/>
  <c r="W241" i="15"/>
  <c r="V241" i="15"/>
  <c r="U241" i="15"/>
  <c r="T241" i="15"/>
  <c r="S241" i="15"/>
  <c r="R241" i="15"/>
  <c r="Q241" i="15"/>
  <c r="P241" i="15"/>
  <c r="O241" i="15"/>
  <c r="N241" i="15"/>
  <c r="M241" i="15"/>
  <c r="L241" i="15"/>
  <c r="K241" i="15"/>
  <c r="J241" i="15"/>
  <c r="I241" i="15"/>
  <c r="H241" i="15"/>
  <c r="G241" i="15"/>
  <c r="F241" i="15"/>
  <c r="E241" i="15"/>
  <c r="D241" i="15"/>
  <c r="C241" i="15"/>
  <c r="B241" i="15"/>
  <c r="A241" i="15"/>
  <c r="Y240" i="15"/>
  <c r="X240" i="15"/>
  <c r="W240" i="15"/>
  <c r="V240" i="15"/>
  <c r="U240" i="15"/>
  <c r="T240" i="15"/>
  <c r="S240" i="15"/>
  <c r="R240" i="15"/>
  <c r="Q240" i="15"/>
  <c r="P240" i="15"/>
  <c r="O240" i="15"/>
  <c r="N240" i="15"/>
  <c r="M240" i="15"/>
  <c r="L240" i="15"/>
  <c r="K240" i="15"/>
  <c r="J240" i="15"/>
  <c r="I240" i="15"/>
  <c r="H240" i="15"/>
  <c r="G240" i="15"/>
  <c r="F240" i="15"/>
  <c r="E240" i="15"/>
  <c r="D240" i="15"/>
  <c r="C240" i="15"/>
  <c r="B240" i="15"/>
  <c r="A240" i="15"/>
  <c r="Y239" i="15"/>
  <c r="X239" i="15"/>
  <c r="W239" i="15"/>
  <c r="V239" i="15"/>
  <c r="U239" i="15"/>
  <c r="T239" i="15"/>
  <c r="S239" i="15"/>
  <c r="R239" i="15"/>
  <c r="Q239" i="15"/>
  <c r="P239" i="15"/>
  <c r="O239" i="15"/>
  <c r="N239" i="15"/>
  <c r="M239" i="15"/>
  <c r="L239" i="15"/>
  <c r="K239" i="15"/>
  <c r="J239" i="15"/>
  <c r="I239" i="15"/>
  <c r="H239" i="15"/>
  <c r="G239" i="15"/>
  <c r="F239" i="15"/>
  <c r="E239" i="15"/>
  <c r="D239" i="15"/>
  <c r="C239" i="15"/>
  <c r="B239" i="15"/>
  <c r="A239" i="15"/>
  <c r="Y238" i="15"/>
  <c r="X238" i="15"/>
  <c r="W238" i="15"/>
  <c r="V238" i="15"/>
  <c r="U238" i="15"/>
  <c r="T238" i="15"/>
  <c r="S238" i="15"/>
  <c r="R238" i="15"/>
  <c r="Q238" i="15"/>
  <c r="P238" i="15"/>
  <c r="O238" i="15"/>
  <c r="N238" i="15"/>
  <c r="M238" i="15"/>
  <c r="L238" i="15"/>
  <c r="K238" i="15"/>
  <c r="J238" i="15"/>
  <c r="I238" i="15"/>
  <c r="H238" i="15"/>
  <c r="G238" i="15"/>
  <c r="F238" i="15"/>
  <c r="E238" i="15"/>
  <c r="D238" i="15"/>
  <c r="C238" i="15"/>
  <c r="B238" i="15"/>
  <c r="A238" i="15"/>
  <c r="Y237" i="15"/>
  <c r="X237" i="15"/>
  <c r="W237" i="15"/>
  <c r="V237" i="15"/>
  <c r="U237" i="15"/>
  <c r="T237" i="15"/>
  <c r="S237" i="15"/>
  <c r="R237" i="15"/>
  <c r="Q237" i="15"/>
  <c r="P237" i="15"/>
  <c r="O237" i="15"/>
  <c r="N237" i="15"/>
  <c r="M237" i="15"/>
  <c r="L237" i="15"/>
  <c r="K237" i="15"/>
  <c r="J237" i="15"/>
  <c r="I237" i="15"/>
  <c r="H237" i="15"/>
  <c r="G237" i="15"/>
  <c r="F237" i="15"/>
  <c r="E237" i="15"/>
  <c r="D237" i="15"/>
  <c r="C237" i="15"/>
  <c r="B237" i="15"/>
  <c r="A237" i="15"/>
  <c r="Y236" i="15"/>
  <c r="X236" i="15"/>
  <c r="W236" i="15"/>
  <c r="V236" i="15"/>
  <c r="U236" i="15"/>
  <c r="T236" i="15"/>
  <c r="S236" i="15"/>
  <c r="R236" i="15"/>
  <c r="Q236" i="15"/>
  <c r="P236" i="15"/>
  <c r="O236" i="15"/>
  <c r="N236" i="15"/>
  <c r="M236" i="15"/>
  <c r="L236" i="15"/>
  <c r="K236" i="15"/>
  <c r="J236" i="15"/>
  <c r="I236" i="15"/>
  <c r="H236" i="15"/>
  <c r="G236" i="15"/>
  <c r="F236" i="15"/>
  <c r="E236" i="15"/>
  <c r="D236" i="15"/>
  <c r="C236" i="15"/>
  <c r="B236" i="15"/>
  <c r="A236" i="15"/>
  <c r="Y235" i="15"/>
  <c r="X235" i="15"/>
  <c r="W235" i="15"/>
  <c r="V235" i="15"/>
  <c r="U235" i="15"/>
  <c r="T235" i="15"/>
  <c r="S235" i="15"/>
  <c r="R235" i="15"/>
  <c r="Q235" i="15"/>
  <c r="P235" i="15"/>
  <c r="O235" i="15"/>
  <c r="N235" i="15"/>
  <c r="M235" i="15"/>
  <c r="L235" i="15"/>
  <c r="K235" i="15"/>
  <c r="J235" i="15"/>
  <c r="I235" i="15"/>
  <c r="H235" i="15"/>
  <c r="G235" i="15"/>
  <c r="F235" i="15"/>
  <c r="E235" i="15"/>
  <c r="D235" i="15"/>
  <c r="C235" i="15"/>
  <c r="B235" i="15"/>
  <c r="A235" i="15"/>
  <c r="Y234" i="15"/>
  <c r="X234" i="15"/>
  <c r="W234" i="15"/>
  <c r="V234" i="15"/>
  <c r="U234" i="15"/>
  <c r="T234" i="15"/>
  <c r="S234" i="15"/>
  <c r="R234" i="15"/>
  <c r="Q234" i="15"/>
  <c r="P234" i="15"/>
  <c r="O234" i="15"/>
  <c r="N234" i="15"/>
  <c r="M234" i="15"/>
  <c r="L234" i="15"/>
  <c r="K234" i="15"/>
  <c r="J234" i="15"/>
  <c r="I234" i="15"/>
  <c r="H234" i="15"/>
  <c r="G234" i="15"/>
  <c r="F234" i="15"/>
  <c r="E234" i="15"/>
  <c r="D234" i="15"/>
  <c r="C234" i="15"/>
  <c r="B234" i="15"/>
  <c r="A234" i="15"/>
  <c r="Y233" i="15"/>
  <c r="X233" i="15"/>
  <c r="W233" i="15"/>
  <c r="V233" i="15"/>
  <c r="U233" i="15"/>
  <c r="T233" i="15"/>
  <c r="S233" i="15"/>
  <c r="R233" i="15"/>
  <c r="Q233" i="15"/>
  <c r="P233" i="15"/>
  <c r="O233" i="15"/>
  <c r="N233" i="15"/>
  <c r="M233" i="15"/>
  <c r="L233" i="15"/>
  <c r="K233" i="15"/>
  <c r="J233" i="15"/>
  <c r="I233" i="15"/>
  <c r="H233" i="15"/>
  <c r="G233" i="15"/>
  <c r="F233" i="15"/>
  <c r="E233" i="15"/>
  <c r="D233" i="15"/>
  <c r="C233" i="15"/>
  <c r="B233" i="15"/>
  <c r="A233" i="15"/>
  <c r="Y232" i="15"/>
  <c r="X232" i="15"/>
  <c r="W232" i="15"/>
  <c r="V232" i="15"/>
  <c r="U232" i="15"/>
  <c r="T232" i="15"/>
  <c r="S232" i="15"/>
  <c r="R232" i="15"/>
  <c r="Q232" i="15"/>
  <c r="P232" i="15"/>
  <c r="O232" i="15"/>
  <c r="N232" i="15"/>
  <c r="M232" i="15"/>
  <c r="L232" i="15"/>
  <c r="K232" i="15"/>
  <c r="J232" i="15"/>
  <c r="I232" i="15"/>
  <c r="H232" i="15"/>
  <c r="G232" i="15"/>
  <c r="F232" i="15"/>
  <c r="E232" i="15"/>
  <c r="D232" i="15"/>
  <c r="C232" i="15"/>
  <c r="B232" i="15"/>
  <c r="A232" i="15"/>
  <c r="Y231" i="15"/>
  <c r="X231" i="15"/>
  <c r="W231" i="15"/>
  <c r="V231" i="15"/>
  <c r="U231" i="15"/>
  <c r="T231" i="15"/>
  <c r="S231" i="15"/>
  <c r="R231" i="15"/>
  <c r="Q231" i="15"/>
  <c r="P231" i="15"/>
  <c r="O231" i="15"/>
  <c r="N231" i="15"/>
  <c r="M231" i="15"/>
  <c r="L231" i="15"/>
  <c r="K231" i="15"/>
  <c r="J231" i="15"/>
  <c r="I231" i="15"/>
  <c r="H231" i="15"/>
  <c r="G231" i="15"/>
  <c r="F231" i="15"/>
  <c r="E231" i="15"/>
  <c r="D231" i="15"/>
  <c r="C231" i="15"/>
  <c r="B231" i="15"/>
  <c r="A231" i="15"/>
  <c r="Y230" i="15"/>
  <c r="X230" i="15"/>
  <c r="W230" i="15"/>
  <c r="V230" i="15"/>
  <c r="U230" i="15"/>
  <c r="T230" i="15"/>
  <c r="S230" i="15"/>
  <c r="R230" i="15"/>
  <c r="Q230" i="15"/>
  <c r="P230" i="15"/>
  <c r="O230" i="15"/>
  <c r="N230" i="15"/>
  <c r="M230" i="15"/>
  <c r="L230" i="15"/>
  <c r="K230" i="15"/>
  <c r="J230" i="15"/>
  <c r="I230" i="15"/>
  <c r="H230" i="15"/>
  <c r="G230" i="15"/>
  <c r="F230" i="15"/>
  <c r="E230" i="15"/>
  <c r="D230" i="15"/>
  <c r="C230" i="15"/>
  <c r="B230" i="15"/>
  <c r="A230" i="15"/>
  <c r="Y229" i="15"/>
  <c r="X229" i="15"/>
  <c r="W229" i="15"/>
  <c r="V229" i="15"/>
  <c r="U229" i="15"/>
  <c r="T229" i="15"/>
  <c r="S229" i="15"/>
  <c r="R229" i="15"/>
  <c r="Q229" i="15"/>
  <c r="P229" i="15"/>
  <c r="O229" i="15"/>
  <c r="N229" i="15"/>
  <c r="M229" i="15"/>
  <c r="L229" i="15"/>
  <c r="K229" i="15"/>
  <c r="J229" i="15"/>
  <c r="I229" i="15"/>
  <c r="H229" i="15"/>
  <c r="G229" i="15"/>
  <c r="F229" i="15"/>
  <c r="E229" i="15"/>
  <c r="D229" i="15"/>
  <c r="C229" i="15"/>
  <c r="B229" i="15"/>
  <c r="A229" i="15"/>
  <c r="Y228" i="15"/>
  <c r="X228" i="15"/>
  <c r="W228" i="15"/>
  <c r="V228" i="15"/>
  <c r="U228" i="15"/>
  <c r="T228" i="15"/>
  <c r="S228" i="15"/>
  <c r="R228" i="15"/>
  <c r="Q228" i="15"/>
  <c r="P228" i="15"/>
  <c r="O228" i="15"/>
  <c r="N228" i="15"/>
  <c r="M228" i="15"/>
  <c r="L228" i="15"/>
  <c r="K228" i="15"/>
  <c r="J228" i="15"/>
  <c r="I228" i="15"/>
  <c r="H228" i="15"/>
  <c r="G228" i="15"/>
  <c r="F228" i="15"/>
  <c r="E228" i="15"/>
  <c r="D228" i="15"/>
  <c r="C228" i="15"/>
  <c r="B228" i="15"/>
  <c r="A228" i="15"/>
  <c r="Y227" i="15"/>
  <c r="X227" i="15"/>
  <c r="W227" i="15"/>
  <c r="V227" i="15"/>
  <c r="U227" i="15"/>
  <c r="T227" i="15"/>
  <c r="S227" i="15"/>
  <c r="R227" i="15"/>
  <c r="Q227" i="15"/>
  <c r="P227" i="15"/>
  <c r="O227" i="15"/>
  <c r="N227" i="15"/>
  <c r="M227" i="15"/>
  <c r="L227" i="15"/>
  <c r="K227" i="15"/>
  <c r="J227" i="15"/>
  <c r="I227" i="15"/>
  <c r="H227" i="15"/>
  <c r="G227" i="15"/>
  <c r="F227" i="15"/>
  <c r="E227" i="15"/>
  <c r="D227" i="15"/>
  <c r="C227" i="15"/>
  <c r="B227" i="15"/>
  <c r="A227" i="15"/>
  <c r="Y226" i="15"/>
  <c r="X226" i="15"/>
  <c r="W226" i="15"/>
  <c r="V226" i="15"/>
  <c r="U226" i="15"/>
  <c r="T226" i="15"/>
  <c r="S226" i="15"/>
  <c r="R226" i="15"/>
  <c r="Q226" i="15"/>
  <c r="P226" i="15"/>
  <c r="O226" i="15"/>
  <c r="N226" i="15"/>
  <c r="M226" i="15"/>
  <c r="L226" i="15"/>
  <c r="K226" i="15"/>
  <c r="J226" i="15"/>
  <c r="I226" i="15"/>
  <c r="H226" i="15"/>
  <c r="G226" i="15"/>
  <c r="F226" i="15"/>
  <c r="E226" i="15"/>
  <c r="D226" i="15"/>
  <c r="C226" i="15"/>
  <c r="B226" i="15"/>
  <c r="A226" i="15"/>
  <c r="Y225" i="15"/>
  <c r="X225" i="15"/>
  <c r="W225" i="15"/>
  <c r="V225" i="15"/>
  <c r="U225" i="15"/>
  <c r="T225" i="15"/>
  <c r="S225" i="15"/>
  <c r="R225" i="15"/>
  <c r="Q225" i="15"/>
  <c r="P225" i="15"/>
  <c r="O225" i="15"/>
  <c r="N225" i="15"/>
  <c r="M225" i="15"/>
  <c r="L225" i="15"/>
  <c r="K225" i="15"/>
  <c r="J225" i="15"/>
  <c r="I225" i="15"/>
  <c r="H225" i="15"/>
  <c r="G225" i="15"/>
  <c r="F225" i="15"/>
  <c r="E225" i="15"/>
  <c r="D225" i="15"/>
  <c r="C225" i="15"/>
  <c r="B225" i="15"/>
  <c r="A225" i="15"/>
  <c r="Y224" i="15"/>
  <c r="X224" i="15"/>
  <c r="W224" i="15"/>
  <c r="V224" i="15"/>
  <c r="U224" i="15"/>
  <c r="T224" i="15"/>
  <c r="S224" i="15"/>
  <c r="R224" i="15"/>
  <c r="Q224" i="15"/>
  <c r="P224" i="15"/>
  <c r="O224" i="15"/>
  <c r="N224" i="15"/>
  <c r="M224" i="15"/>
  <c r="L224" i="15"/>
  <c r="K224" i="15"/>
  <c r="J224" i="15"/>
  <c r="I224" i="15"/>
  <c r="H224" i="15"/>
  <c r="G224" i="15"/>
  <c r="F224" i="15"/>
  <c r="E224" i="15"/>
  <c r="D224" i="15"/>
  <c r="C224" i="15"/>
  <c r="B224" i="15"/>
  <c r="A224" i="15"/>
  <c r="Y223" i="15"/>
  <c r="X223" i="15"/>
  <c r="W223" i="15"/>
  <c r="V223" i="15"/>
  <c r="U223" i="15"/>
  <c r="T223" i="15"/>
  <c r="S223" i="15"/>
  <c r="R223" i="15"/>
  <c r="Q223" i="15"/>
  <c r="P223" i="15"/>
  <c r="O223" i="15"/>
  <c r="N223" i="15"/>
  <c r="M223" i="15"/>
  <c r="L223" i="15"/>
  <c r="K223" i="15"/>
  <c r="J223" i="15"/>
  <c r="I223" i="15"/>
  <c r="H223" i="15"/>
  <c r="G223" i="15"/>
  <c r="F223" i="15"/>
  <c r="E223" i="15"/>
  <c r="D223" i="15"/>
  <c r="C223" i="15"/>
  <c r="B223" i="15"/>
  <c r="A223" i="15"/>
  <c r="Y222" i="15"/>
  <c r="X222" i="15"/>
  <c r="W222" i="15"/>
  <c r="V222" i="15"/>
  <c r="U222" i="15"/>
  <c r="T222" i="15"/>
  <c r="S222" i="15"/>
  <c r="R222" i="15"/>
  <c r="Q222" i="15"/>
  <c r="P222" i="15"/>
  <c r="O222" i="15"/>
  <c r="N222" i="15"/>
  <c r="M222" i="15"/>
  <c r="L222" i="15"/>
  <c r="K222" i="15"/>
  <c r="J222" i="15"/>
  <c r="I222" i="15"/>
  <c r="H222" i="15"/>
  <c r="G222" i="15"/>
  <c r="F222" i="15"/>
  <c r="E222" i="15"/>
  <c r="D222" i="15"/>
  <c r="C222" i="15"/>
  <c r="B222" i="15"/>
  <c r="A222" i="15"/>
  <c r="Y221" i="15"/>
  <c r="X221" i="15"/>
  <c r="W221" i="15"/>
  <c r="V221" i="15"/>
  <c r="U221" i="15"/>
  <c r="T221" i="15"/>
  <c r="S221" i="15"/>
  <c r="R221" i="15"/>
  <c r="Q221" i="15"/>
  <c r="P221" i="15"/>
  <c r="O221" i="15"/>
  <c r="N221" i="15"/>
  <c r="M221" i="15"/>
  <c r="L221" i="15"/>
  <c r="K221" i="15"/>
  <c r="J221" i="15"/>
  <c r="I221" i="15"/>
  <c r="H221" i="15"/>
  <c r="G221" i="15"/>
  <c r="F221" i="15"/>
  <c r="E221" i="15"/>
  <c r="D221" i="15"/>
  <c r="C221" i="15"/>
  <c r="B221" i="15"/>
  <c r="A221" i="15"/>
  <c r="Y220" i="15"/>
  <c r="X220" i="15"/>
  <c r="W220" i="15"/>
  <c r="V220" i="15"/>
  <c r="U220" i="15"/>
  <c r="T220" i="15"/>
  <c r="S220" i="15"/>
  <c r="R220" i="15"/>
  <c r="Q220" i="15"/>
  <c r="P220" i="15"/>
  <c r="O220" i="15"/>
  <c r="N220" i="15"/>
  <c r="M220" i="15"/>
  <c r="L220" i="15"/>
  <c r="K220" i="15"/>
  <c r="J220" i="15"/>
  <c r="I220" i="15"/>
  <c r="H220" i="15"/>
  <c r="G220" i="15"/>
  <c r="F220" i="15"/>
  <c r="E220" i="15"/>
  <c r="D220" i="15"/>
  <c r="C220" i="15"/>
  <c r="B220" i="15"/>
  <c r="A220" i="15"/>
  <c r="Y219" i="15"/>
  <c r="X219" i="15"/>
  <c r="W219" i="15"/>
  <c r="V219" i="15"/>
  <c r="U219" i="15"/>
  <c r="T219" i="15"/>
  <c r="S219" i="15"/>
  <c r="R219" i="15"/>
  <c r="Q219" i="15"/>
  <c r="P219" i="15"/>
  <c r="O219" i="15"/>
  <c r="N219" i="15"/>
  <c r="M219" i="15"/>
  <c r="L219" i="15"/>
  <c r="K219" i="15"/>
  <c r="J219" i="15"/>
  <c r="I219" i="15"/>
  <c r="H219" i="15"/>
  <c r="G219" i="15"/>
  <c r="F219" i="15"/>
  <c r="E219" i="15"/>
  <c r="D219" i="15"/>
  <c r="C219" i="15"/>
  <c r="B219" i="15"/>
  <c r="A219" i="15"/>
  <c r="Y218" i="15"/>
  <c r="X218" i="15"/>
  <c r="W218" i="15"/>
  <c r="V218" i="15"/>
  <c r="U218" i="15"/>
  <c r="T218" i="15"/>
  <c r="S218" i="15"/>
  <c r="R218" i="15"/>
  <c r="Q218" i="15"/>
  <c r="P218" i="15"/>
  <c r="O218" i="15"/>
  <c r="N218" i="15"/>
  <c r="M218" i="15"/>
  <c r="L218" i="15"/>
  <c r="K218" i="15"/>
  <c r="J218" i="15"/>
  <c r="I218" i="15"/>
  <c r="H218" i="15"/>
  <c r="G218" i="15"/>
  <c r="F218" i="15"/>
  <c r="E218" i="15"/>
  <c r="D218" i="15"/>
  <c r="C218" i="15"/>
  <c r="B218" i="15"/>
  <c r="A218" i="15"/>
  <c r="Y217" i="15"/>
  <c r="X217" i="15"/>
  <c r="W217" i="15"/>
  <c r="V217" i="15"/>
  <c r="U217" i="15"/>
  <c r="T217" i="15"/>
  <c r="S217" i="15"/>
  <c r="R217" i="15"/>
  <c r="Q217" i="15"/>
  <c r="P217" i="15"/>
  <c r="O217" i="15"/>
  <c r="N217" i="15"/>
  <c r="M217" i="15"/>
  <c r="L217" i="15"/>
  <c r="K217" i="15"/>
  <c r="J217" i="15"/>
  <c r="I217" i="15"/>
  <c r="H217" i="15"/>
  <c r="G217" i="15"/>
  <c r="F217" i="15"/>
  <c r="E217" i="15"/>
  <c r="D217" i="15"/>
  <c r="C217" i="15"/>
  <c r="B217" i="15"/>
  <c r="A217" i="15"/>
  <c r="Y216" i="15"/>
  <c r="X216" i="15"/>
  <c r="W216" i="15"/>
  <c r="V216" i="15"/>
  <c r="U216" i="15"/>
  <c r="T216" i="15"/>
  <c r="S216" i="15"/>
  <c r="R216" i="15"/>
  <c r="Q216" i="15"/>
  <c r="P216" i="15"/>
  <c r="O216" i="15"/>
  <c r="N216" i="15"/>
  <c r="M216" i="15"/>
  <c r="L216" i="15"/>
  <c r="K216" i="15"/>
  <c r="J216" i="15"/>
  <c r="I216" i="15"/>
  <c r="H216" i="15"/>
  <c r="G216" i="15"/>
  <c r="F216" i="15"/>
  <c r="E216" i="15"/>
  <c r="D216" i="15"/>
  <c r="C216" i="15"/>
  <c r="B216" i="15"/>
  <c r="A216" i="15"/>
  <c r="Y215" i="15"/>
  <c r="X215" i="15"/>
  <c r="W215" i="15"/>
  <c r="V215" i="15"/>
  <c r="U215" i="15"/>
  <c r="T215" i="15"/>
  <c r="S215" i="15"/>
  <c r="R215" i="15"/>
  <c r="Q215" i="15"/>
  <c r="P215" i="15"/>
  <c r="O215" i="15"/>
  <c r="N215" i="15"/>
  <c r="M215" i="15"/>
  <c r="L215" i="15"/>
  <c r="K215" i="15"/>
  <c r="J215" i="15"/>
  <c r="I215" i="15"/>
  <c r="H215" i="15"/>
  <c r="G215" i="15"/>
  <c r="F215" i="15"/>
  <c r="E215" i="15"/>
  <c r="D215" i="15"/>
  <c r="C215" i="15"/>
  <c r="B215" i="15"/>
  <c r="A215" i="15"/>
  <c r="Y214" i="15"/>
  <c r="X214" i="15"/>
  <c r="W214" i="15"/>
  <c r="V214" i="15"/>
  <c r="U214" i="15"/>
  <c r="T214" i="15"/>
  <c r="S214" i="15"/>
  <c r="R214" i="15"/>
  <c r="Q214" i="15"/>
  <c r="P214" i="15"/>
  <c r="O214" i="15"/>
  <c r="N214" i="15"/>
  <c r="M214" i="15"/>
  <c r="L214" i="15"/>
  <c r="K214" i="15"/>
  <c r="J214" i="15"/>
  <c r="I214" i="15"/>
  <c r="H214" i="15"/>
  <c r="G214" i="15"/>
  <c r="F214" i="15"/>
  <c r="E214" i="15"/>
  <c r="D214" i="15"/>
  <c r="C214" i="15"/>
  <c r="B214" i="15"/>
  <c r="A214" i="15"/>
  <c r="Y213" i="15"/>
  <c r="X213" i="15"/>
  <c r="W213" i="15"/>
  <c r="V213" i="15"/>
  <c r="U213" i="15"/>
  <c r="T213" i="15"/>
  <c r="S213" i="15"/>
  <c r="R213" i="15"/>
  <c r="Q213" i="15"/>
  <c r="P213" i="15"/>
  <c r="O213" i="15"/>
  <c r="N213" i="15"/>
  <c r="M213" i="15"/>
  <c r="L213" i="15"/>
  <c r="K213" i="15"/>
  <c r="J213" i="15"/>
  <c r="I213" i="15"/>
  <c r="H213" i="15"/>
  <c r="G213" i="15"/>
  <c r="F213" i="15"/>
  <c r="E213" i="15"/>
  <c r="D213" i="15"/>
  <c r="C213" i="15"/>
  <c r="B213" i="15"/>
  <c r="A213" i="15"/>
  <c r="Y212" i="15"/>
  <c r="X212" i="15"/>
  <c r="W212" i="15"/>
  <c r="V212" i="15"/>
  <c r="U212" i="15"/>
  <c r="T212" i="15"/>
  <c r="S212" i="15"/>
  <c r="R212" i="15"/>
  <c r="Q212" i="15"/>
  <c r="P212" i="15"/>
  <c r="O212" i="15"/>
  <c r="N212" i="15"/>
  <c r="M212" i="15"/>
  <c r="L212" i="15"/>
  <c r="K212" i="15"/>
  <c r="J212" i="15"/>
  <c r="I212" i="15"/>
  <c r="H212" i="15"/>
  <c r="G212" i="15"/>
  <c r="F212" i="15"/>
  <c r="E212" i="15"/>
  <c r="D212" i="15"/>
  <c r="C212" i="15"/>
  <c r="B212" i="15"/>
  <c r="A212" i="15"/>
  <c r="Y211" i="15"/>
  <c r="X211" i="15"/>
  <c r="W211" i="15"/>
  <c r="V211" i="15"/>
  <c r="U211" i="15"/>
  <c r="T211" i="15"/>
  <c r="S211" i="15"/>
  <c r="R211" i="15"/>
  <c r="Q211" i="15"/>
  <c r="P211" i="15"/>
  <c r="O211" i="15"/>
  <c r="N211" i="15"/>
  <c r="M211" i="15"/>
  <c r="L211" i="15"/>
  <c r="K211" i="15"/>
  <c r="J211" i="15"/>
  <c r="I211" i="15"/>
  <c r="H211" i="15"/>
  <c r="G211" i="15"/>
  <c r="F211" i="15"/>
  <c r="E211" i="15"/>
  <c r="D211" i="15"/>
  <c r="C211" i="15"/>
  <c r="B211" i="15"/>
  <c r="A211" i="15"/>
  <c r="Y210" i="15"/>
  <c r="X210" i="15"/>
  <c r="W210" i="15"/>
  <c r="V210" i="15"/>
  <c r="U210" i="15"/>
  <c r="T210" i="15"/>
  <c r="S210" i="15"/>
  <c r="R210" i="15"/>
  <c r="Q210" i="15"/>
  <c r="P210" i="15"/>
  <c r="O210" i="15"/>
  <c r="N210" i="15"/>
  <c r="M210" i="15"/>
  <c r="L210" i="15"/>
  <c r="K210" i="15"/>
  <c r="J210" i="15"/>
  <c r="I210" i="15"/>
  <c r="H210" i="15"/>
  <c r="G210" i="15"/>
  <c r="F210" i="15"/>
  <c r="E210" i="15"/>
  <c r="D210" i="15"/>
  <c r="C210" i="15"/>
  <c r="B210" i="15"/>
  <c r="A210" i="15"/>
  <c r="Y209" i="15"/>
  <c r="X209" i="15"/>
  <c r="W209" i="15"/>
  <c r="V209" i="15"/>
  <c r="U209" i="15"/>
  <c r="T209" i="15"/>
  <c r="S209" i="15"/>
  <c r="R209" i="15"/>
  <c r="Q209" i="15"/>
  <c r="P209" i="15"/>
  <c r="O209" i="15"/>
  <c r="N209" i="15"/>
  <c r="M209" i="15"/>
  <c r="L209" i="15"/>
  <c r="K209" i="15"/>
  <c r="J209" i="15"/>
  <c r="I209" i="15"/>
  <c r="H209" i="15"/>
  <c r="G209" i="15"/>
  <c r="F209" i="15"/>
  <c r="E209" i="15"/>
  <c r="D209" i="15"/>
  <c r="C209" i="15"/>
  <c r="B209" i="15"/>
  <c r="A209" i="15"/>
  <c r="Y208" i="15"/>
  <c r="X208" i="15"/>
  <c r="W208" i="15"/>
  <c r="V208" i="15"/>
  <c r="U208" i="15"/>
  <c r="T208" i="15"/>
  <c r="S208" i="15"/>
  <c r="R208" i="15"/>
  <c r="Q208" i="15"/>
  <c r="P208" i="15"/>
  <c r="O208" i="15"/>
  <c r="N208" i="15"/>
  <c r="M208" i="15"/>
  <c r="L208" i="15"/>
  <c r="K208" i="15"/>
  <c r="J208" i="15"/>
  <c r="I208" i="15"/>
  <c r="H208" i="15"/>
  <c r="G208" i="15"/>
  <c r="F208" i="15"/>
  <c r="E208" i="15"/>
  <c r="D208" i="15"/>
  <c r="C208" i="15"/>
  <c r="B208" i="15"/>
  <c r="A208" i="15"/>
  <c r="Y207" i="15"/>
  <c r="X207" i="15"/>
  <c r="W207" i="15"/>
  <c r="V207" i="15"/>
  <c r="U207" i="15"/>
  <c r="T207" i="15"/>
  <c r="S207" i="15"/>
  <c r="R207" i="15"/>
  <c r="Q207" i="15"/>
  <c r="P207" i="15"/>
  <c r="O207" i="15"/>
  <c r="N207" i="15"/>
  <c r="M207" i="15"/>
  <c r="L207" i="15"/>
  <c r="K207" i="15"/>
  <c r="J207" i="15"/>
  <c r="I207" i="15"/>
  <c r="H207" i="15"/>
  <c r="G207" i="15"/>
  <c r="F207" i="15"/>
  <c r="E207" i="15"/>
  <c r="D207" i="15"/>
  <c r="C207" i="15"/>
  <c r="B207" i="15"/>
  <c r="A207" i="15"/>
  <c r="Y206" i="15"/>
  <c r="X206" i="15"/>
  <c r="W206" i="15"/>
  <c r="V206" i="15"/>
  <c r="U206" i="15"/>
  <c r="T206" i="15"/>
  <c r="S206" i="15"/>
  <c r="R206" i="15"/>
  <c r="Q206" i="15"/>
  <c r="P206" i="15"/>
  <c r="O206" i="15"/>
  <c r="N206" i="15"/>
  <c r="M206" i="15"/>
  <c r="L206" i="15"/>
  <c r="K206" i="15"/>
  <c r="J206" i="15"/>
  <c r="I206" i="15"/>
  <c r="H206" i="15"/>
  <c r="G206" i="15"/>
  <c r="F206" i="15"/>
  <c r="E206" i="15"/>
  <c r="D206" i="15"/>
  <c r="C206" i="15"/>
  <c r="B206" i="15"/>
  <c r="A206" i="15"/>
  <c r="Y205" i="15"/>
  <c r="X205" i="15"/>
  <c r="W205" i="15"/>
  <c r="V205" i="15"/>
  <c r="U205" i="15"/>
  <c r="T205" i="15"/>
  <c r="S205" i="15"/>
  <c r="R205" i="15"/>
  <c r="Q205" i="15"/>
  <c r="P205" i="15"/>
  <c r="O205" i="15"/>
  <c r="N205" i="15"/>
  <c r="M205" i="15"/>
  <c r="L205" i="15"/>
  <c r="K205" i="15"/>
  <c r="J205" i="15"/>
  <c r="I205" i="15"/>
  <c r="H205" i="15"/>
  <c r="G205" i="15"/>
  <c r="F205" i="15"/>
  <c r="E205" i="15"/>
  <c r="D205" i="15"/>
  <c r="C205" i="15"/>
  <c r="B205" i="15"/>
  <c r="A205" i="15"/>
  <c r="Y204" i="15"/>
  <c r="X204" i="15"/>
  <c r="W204" i="15"/>
  <c r="V204" i="15"/>
  <c r="U204" i="15"/>
  <c r="T204" i="15"/>
  <c r="S204" i="15"/>
  <c r="R204" i="15"/>
  <c r="Q204" i="15"/>
  <c r="P204" i="15"/>
  <c r="O204" i="15"/>
  <c r="N204" i="15"/>
  <c r="M204" i="15"/>
  <c r="L204" i="15"/>
  <c r="K204" i="15"/>
  <c r="J204" i="15"/>
  <c r="I204" i="15"/>
  <c r="H204" i="15"/>
  <c r="G204" i="15"/>
  <c r="F204" i="15"/>
  <c r="E204" i="15"/>
  <c r="D204" i="15"/>
  <c r="C204" i="15"/>
  <c r="B204" i="15"/>
  <c r="A204" i="15"/>
  <c r="Y203" i="15"/>
  <c r="X203" i="15"/>
  <c r="W203" i="15"/>
  <c r="V203" i="15"/>
  <c r="U203" i="15"/>
  <c r="T203" i="15"/>
  <c r="S203" i="15"/>
  <c r="R203" i="15"/>
  <c r="Q203" i="15"/>
  <c r="P203" i="15"/>
  <c r="O203" i="15"/>
  <c r="N203" i="15"/>
  <c r="M203" i="15"/>
  <c r="L203" i="15"/>
  <c r="K203" i="15"/>
  <c r="J203" i="15"/>
  <c r="I203" i="15"/>
  <c r="H203" i="15"/>
  <c r="G203" i="15"/>
  <c r="F203" i="15"/>
  <c r="E203" i="15"/>
  <c r="D203" i="15"/>
  <c r="C203" i="15"/>
  <c r="B203" i="15"/>
  <c r="A203" i="15"/>
  <c r="Y202" i="15"/>
  <c r="X202" i="15"/>
  <c r="W202" i="15"/>
  <c r="V202" i="15"/>
  <c r="U202" i="15"/>
  <c r="T202" i="15"/>
  <c r="S202" i="15"/>
  <c r="R202" i="15"/>
  <c r="Q202" i="15"/>
  <c r="P202" i="15"/>
  <c r="O202" i="15"/>
  <c r="N202" i="15"/>
  <c r="M202" i="15"/>
  <c r="L202" i="15"/>
  <c r="K202" i="15"/>
  <c r="J202" i="15"/>
  <c r="I202" i="15"/>
  <c r="H202" i="15"/>
  <c r="G202" i="15"/>
  <c r="F202" i="15"/>
  <c r="E202" i="15"/>
  <c r="D202" i="15"/>
  <c r="C202" i="15"/>
  <c r="B202" i="15"/>
  <c r="A202" i="15"/>
  <c r="Y201" i="15"/>
  <c r="X201" i="15"/>
  <c r="W201" i="15"/>
  <c r="V201" i="15"/>
  <c r="U201" i="15"/>
  <c r="T201" i="15"/>
  <c r="S201" i="15"/>
  <c r="R201" i="15"/>
  <c r="Q201" i="15"/>
  <c r="P201" i="15"/>
  <c r="O201" i="15"/>
  <c r="N201" i="15"/>
  <c r="M201" i="15"/>
  <c r="L201" i="15"/>
  <c r="K201" i="15"/>
  <c r="J201" i="15"/>
  <c r="I201" i="15"/>
  <c r="H201" i="15"/>
  <c r="G201" i="15"/>
  <c r="F201" i="15"/>
  <c r="E201" i="15"/>
  <c r="D201" i="15"/>
  <c r="C201" i="15"/>
  <c r="B201" i="15"/>
  <c r="A201" i="15"/>
  <c r="Y200" i="15"/>
  <c r="X200" i="15"/>
  <c r="W200" i="15"/>
  <c r="V200" i="15"/>
  <c r="U200" i="15"/>
  <c r="T200" i="15"/>
  <c r="S200" i="15"/>
  <c r="R200" i="15"/>
  <c r="Q200" i="15"/>
  <c r="P200" i="15"/>
  <c r="O200" i="15"/>
  <c r="N200" i="15"/>
  <c r="M200" i="15"/>
  <c r="L200" i="15"/>
  <c r="K200" i="15"/>
  <c r="J200" i="15"/>
  <c r="I200" i="15"/>
  <c r="H200" i="15"/>
  <c r="G200" i="15"/>
  <c r="F200" i="15"/>
  <c r="E200" i="15"/>
  <c r="D200" i="15"/>
  <c r="C200" i="15"/>
  <c r="B200" i="15"/>
  <c r="A200" i="15"/>
  <c r="Y199" i="15"/>
  <c r="X199" i="15"/>
  <c r="W199" i="15"/>
  <c r="V199" i="15"/>
  <c r="U199" i="15"/>
  <c r="T199" i="15"/>
  <c r="S199" i="15"/>
  <c r="R199" i="15"/>
  <c r="Q199" i="15"/>
  <c r="P199" i="15"/>
  <c r="O199" i="15"/>
  <c r="N199" i="15"/>
  <c r="M199" i="15"/>
  <c r="L199" i="15"/>
  <c r="K199" i="15"/>
  <c r="J199" i="15"/>
  <c r="I199" i="15"/>
  <c r="H199" i="15"/>
  <c r="G199" i="15"/>
  <c r="F199" i="15"/>
  <c r="E199" i="15"/>
  <c r="D199" i="15"/>
  <c r="C199" i="15"/>
  <c r="B199" i="15"/>
  <c r="A199" i="15"/>
  <c r="Y198" i="15"/>
  <c r="X198" i="15"/>
  <c r="W198" i="15"/>
  <c r="V198" i="15"/>
  <c r="U198" i="15"/>
  <c r="T198" i="15"/>
  <c r="S198" i="15"/>
  <c r="R198" i="15"/>
  <c r="Q198" i="15"/>
  <c r="P198" i="15"/>
  <c r="O198" i="15"/>
  <c r="N198" i="15"/>
  <c r="M198" i="15"/>
  <c r="L198" i="15"/>
  <c r="K198" i="15"/>
  <c r="J198" i="15"/>
  <c r="I198" i="15"/>
  <c r="H198" i="15"/>
  <c r="G198" i="15"/>
  <c r="F198" i="15"/>
  <c r="E198" i="15"/>
  <c r="D198" i="15"/>
  <c r="C198" i="15"/>
  <c r="B198" i="15"/>
  <c r="A198" i="15"/>
  <c r="Y197" i="15"/>
  <c r="X197" i="15"/>
  <c r="W197" i="15"/>
  <c r="V197" i="15"/>
  <c r="U197" i="15"/>
  <c r="T197" i="15"/>
  <c r="S197" i="15"/>
  <c r="R197" i="15"/>
  <c r="Q197" i="15"/>
  <c r="P197" i="15"/>
  <c r="O197" i="15"/>
  <c r="N197" i="15"/>
  <c r="M197" i="15"/>
  <c r="L197" i="15"/>
  <c r="K197" i="15"/>
  <c r="J197" i="15"/>
  <c r="I197" i="15"/>
  <c r="H197" i="15"/>
  <c r="G197" i="15"/>
  <c r="F197" i="15"/>
  <c r="E197" i="15"/>
  <c r="D197" i="15"/>
  <c r="C197" i="15"/>
  <c r="B197" i="15"/>
  <c r="A197" i="15"/>
  <c r="Y196" i="15"/>
  <c r="X196" i="15"/>
  <c r="W196" i="15"/>
  <c r="V196" i="15"/>
  <c r="U196" i="15"/>
  <c r="T196" i="15"/>
  <c r="S196" i="15"/>
  <c r="R196" i="15"/>
  <c r="Q196" i="15"/>
  <c r="P196" i="15"/>
  <c r="O196" i="15"/>
  <c r="N196" i="15"/>
  <c r="M196" i="15"/>
  <c r="L196" i="15"/>
  <c r="K196" i="15"/>
  <c r="J196" i="15"/>
  <c r="I196" i="15"/>
  <c r="H196" i="15"/>
  <c r="G196" i="15"/>
  <c r="F196" i="15"/>
  <c r="E196" i="15"/>
  <c r="D196" i="15"/>
  <c r="C196" i="15"/>
  <c r="B196" i="15"/>
  <c r="A196" i="15"/>
  <c r="Y195" i="15"/>
  <c r="X195" i="15"/>
  <c r="W195" i="15"/>
  <c r="V195" i="15"/>
  <c r="U195" i="15"/>
  <c r="T195" i="15"/>
  <c r="S195" i="15"/>
  <c r="R195" i="15"/>
  <c r="Q195" i="15"/>
  <c r="P195" i="15"/>
  <c r="O195" i="15"/>
  <c r="N195" i="15"/>
  <c r="M195" i="15"/>
  <c r="L195" i="15"/>
  <c r="K195" i="15"/>
  <c r="J195" i="15"/>
  <c r="I195" i="15"/>
  <c r="H195" i="15"/>
  <c r="G195" i="15"/>
  <c r="F195" i="15"/>
  <c r="E195" i="15"/>
  <c r="D195" i="15"/>
  <c r="C195" i="15"/>
  <c r="B195" i="15"/>
  <c r="A195" i="15"/>
  <c r="Y194" i="15"/>
  <c r="X194" i="15"/>
  <c r="W194" i="15"/>
  <c r="V194" i="15"/>
  <c r="U194" i="15"/>
  <c r="T194" i="15"/>
  <c r="S194" i="15"/>
  <c r="R194" i="15"/>
  <c r="Q194" i="15"/>
  <c r="P194" i="15"/>
  <c r="O194" i="15"/>
  <c r="N194" i="15"/>
  <c r="M194" i="15"/>
  <c r="L194" i="15"/>
  <c r="K194" i="15"/>
  <c r="J194" i="15"/>
  <c r="I194" i="15"/>
  <c r="H194" i="15"/>
  <c r="G194" i="15"/>
  <c r="F194" i="15"/>
  <c r="E194" i="15"/>
  <c r="D194" i="15"/>
  <c r="C194" i="15"/>
  <c r="B194" i="15"/>
  <c r="A194" i="15"/>
  <c r="Y193" i="15"/>
  <c r="X193" i="15"/>
  <c r="W193" i="15"/>
  <c r="V193" i="15"/>
  <c r="U193" i="15"/>
  <c r="T193" i="15"/>
  <c r="S193" i="15"/>
  <c r="R193" i="15"/>
  <c r="Q193" i="15"/>
  <c r="P193" i="15"/>
  <c r="O193" i="15"/>
  <c r="N193" i="15"/>
  <c r="M193" i="15"/>
  <c r="L193" i="15"/>
  <c r="K193" i="15"/>
  <c r="J193" i="15"/>
  <c r="I193" i="15"/>
  <c r="H193" i="15"/>
  <c r="G193" i="15"/>
  <c r="F193" i="15"/>
  <c r="E193" i="15"/>
  <c r="D193" i="15"/>
  <c r="C193" i="15"/>
  <c r="B193" i="15"/>
  <c r="A193" i="15"/>
  <c r="Y192" i="15"/>
  <c r="X192" i="15"/>
  <c r="W192" i="15"/>
  <c r="V192" i="15"/>
  <c r="U192" i="15"/>
  <c r="T192" i="15"/>
  <c r="S192" i="15"/>
  <c r="R192" i="15"/>
  <c r="Q192" i="15"/>
  <c r="P192" i="15"/>
  <c r="O192" i="15"/>
  <c r="N192" i="15"/>
  <c r="M192" i="15"/>
  <c r="L192" i="15"/>
  <c r="K192" i="15"/>
  <c r="J192" i="15"/>
  <c r="I192" i="15"/>
  <c r="H192" i="15"/>
  <c r="G192" i="15"/>
  <c r="F192" i="15"/>
  <c r="E192" i="15"/>
  <c r="D192" i="15"/>
  <c r="C192" i="15"/>
  <c r="B192" i="15"/>
  <c r="A192" i="15"/>
  <c r="Y191" i="15"/>
  <c r="X191" i="15"/>
  <c r="W191" i="15"/>
  <c r="V191" i="15"/>
  <c r="U191" i="15"/>
  <c r="T191" i="15"/>
  <c r="S191" i="15"/>
  <c r="R191" i="15"/>
  <c r="Q191" i="15"/>
  <c r="P191" i="15"/>
  <c r="O191" i="15"/>
  <c r="N191" i="15"/>
  <c r="M191" i="15"/>
  <c r="L191" i="15"/>
  <c r="K191" i="15"/>
  <c r="J191" i="15"/>
  <c r="I191" i="15"/>
  <c r="H191" i="15"/>
  <c r="G191" i="15"/>
  <c r="F191" i="15"/>
  <c r="E191" i="15"/>
  <c r="D191" i="15"/>
  <c r="C191" i="15"/>
  <c r="B191" i="15"/>
  <c r="A191" i="15"/>
  <c r="Y190" i="15"/>
  <c r="X190" i="15"/>
  <c r="W190" i="15"/>
  <c r="V190" i="15"/>
  <c r="U190" i="15"/>
  <c r="T190" i="15"/>
  <c r="S190" i="15"/>
  <c r="R190" i="15"/>
  <c r="Q190" i="15"/>
  <c r="P190" i="15"/>
  <c r="O190" i="15"/>
  <c r="N190" i="15"/>
  <c r="M190" i="15"/>
  <c r="L190" i="15"/>
  <c r="K190" i="15"/>
  <c r="J190" i="15"/>
  <c r="I190" i="15"/>
  <c r="H190" i="15"/>
  <c r="G190" i="15"/>
  <c r="F190" i="15"/>
  <c r="E190" i="15"/>
  <c r="D190" i="15"/>
  <c r="C190" i="15"/>
  <c r="B190" i="15"/>
  <c r="A190" i="15"/>
  <c r="Y189" i="15"/>
  <c r="X189" i="15"/>
  <c r="W189" i="15"/>
  <c r="V189" i="15"/>
  <c r="U189" i="15"/>
  <c r="T189" i="15"/>
  <c r="S189" i="15"/>
  <c r="R189" i="15"/>
  <c r="Q189" i="15"/>
  <c r="P189" i="15"/>
  <c r="O189" i="15"/>
  <c r="N189" i="15"/>
  <c r="M189" i="15"/>
  <c r="L189" i="15"/>
  <c r="K189" i="15"/>
  <c r="J189" i="15"/>
  <c r="I189" i="15"/>
  <c r="H189" i="15"/>
  <c r="G189" i="15"/>
  <c r="F189" i="15"/>
  <c r="E189" i="15"/>
  <c r="D189" i="15"/>
  <c r="C189" i="15"/>
  <c r="B189" i="15"/>
  <c r="A189" i="15"/>
  <c r="Y188" i="15"/>
  <c r="X188" i="15"/>
  <c r="W188" i="15"/>
  <c r="V188" i="15"/>
  <c r="U188" i="15"/>
  <c r="T188" i="15"/>
  <c r="S188" i="15"/>
  <c r="R188" i="15"/>
  <c r="Q188" i="15"/>
  <c r="P188" i="15"/>
  <c r="O188" i="15"/>
  <c r="N188" i="15"/>
  <c r="M188" i="15"/>
  <c r="L188" i="15"/>
  <c r="K188" i="15"/>
  <c r="J188" i="15"/>
  <c r="I188" i="15"/>
  <c r="H188" i="15"/>
  <c r="G188" i="15"/>
  <c r="F188" i="15"/>
  <c r="E188" i="15"/>
  <c r="D188" i="15"/>
  <c r="C188" i="15"/>
  <c r="B188" i="15"/>
  <c r="A188" i="15"/>
  <c r="Y187" i="15"/>
  <c r="X187" i="15"/>
  <c r="W187" i="15"/>
  <c r="V187" i="15"/>
  <c r="U187" i="15"/>
  <c r="T187" i="15"/>
  <c r="S187" i="15"/>
  <c r="R187" i="15"/>
  <c r="Q187" i="15"/>
  <c r="P187" i="15"/>
  <c r="O187" i="15"/>
  <c r="N187" i="15"/>
  <c r="M187" i="15"/>
  <c r="L187" i="15"/>
  <c r="K187" i="15"/>
  <c r="J187" i="15"/>
  <c r="I187" i="15"/>
  <c r="H187" i="15"/>
  <c r="G187" i="15"/>
  <c r="F187" i="15"/>
  <c r="E187" i="15"/>
  <c r="D187" i="15"/>
  <c r="C187" i="15"/>
  <c r="B187" i="15"/>
  <c r="A187" i="15"/>
  <c r="Y186" i="15"/>
  <c r="X186" i="15"/>
  <c r="W186" i="15"/>
  <c r="V186" i="15"/>
  <c r="U186" i="15"/>
  <c r="T186" i="15"/>
  <c r="S186" i="15"/>
  <c r="R186" i="15"/>
  <c r="Q186" i="15"/>
  <c r="P186" i="15"/>
  <c r="O186" i="15"/>
  <c r="N186" i="15"/>
  <c r="M186" i="15"/>
  <c r="L186" i="15"/>
  <c r="K186" i="15"/>
  <c r="J186" i="15"/>
  <c r="I186" i="15"/>
  <c r="H186" i="15"/>
  <c r="G186" i="15"/>
  <c r="F186" i="15"/>
  <c r="E186" i="15"/>
  <c r="D186" i="15"/>
  <c r="C186" i="15"/>
  <c r="B186" i="15"/>
  <c r="A186" i="15"/>
  <c r="Y185" i="15"/>
  <c r="X185" i="15"/>
  <c r="W185" i="15"/>
  <c r="V185" i="15"/>
  <c r="U185" i="15"/>
  <c r="T185" i="15"/>
  <c r="S185" i="15"/>
  <c r="R185" i="15"/>
  <c r="Q185" i="15"/>
  <c r="P185" i="15"/>
  <c r="O185" i="15"/>
  <c r="N185" i="15"/>
  <c r="M185" i="15"/>
  <c r="L185" i="15"/>
  <c r="K185" i="15"/>
  <c r="J185" i="15"/>
  <c r="I185" i="15"/>
  <c r="H185" i="15"/>
  <c r="G185" i="15"/>
  <c r="F185" i="15"/>
  <c r="E185" i="15"/>
  <c r="D185" i="15"/>
  <c r="C185" i="15"/>
  <c r="B185" i="15"/>
  <c r="A185" i="15"/>
  <c r="Y184" i="15"/>
  <c r="X184" i="15"/>
  <c r="W184" i="15"/>
  <c r="V184" i="15"/>
  <c r="U184" i="15"/>
  <c r="T184" i="15"/>
  <c r="S184" i="15"/>
  <c r="R184" i="15"/>
  <c r="Q184" i="15"/>
  <c r="P184" i="15"/>
  <c r="O184" i="15"/>
  <c r="N184" i="15"/>
  <c r="M184" i="15"/>
  <c r="L184" i="15"/>
  <c r="K184" i="15"/>
  <c r="J184" i="15"/>
  <c r="I184" i="15"/>
  <c r="H184" i="15"/>
  <c r="G184" i="15"/>
  <c r="F184" i="15"/>
  <c r="E184" i="15"/>
  <c r="D184" i="15"/>
  <c r="C184" i="15"/>
  <c r="B184" i="15"/>
  <c r="A184" i="15"/>
  <c r="Y183" i="15"/>
  <c r="X183" i="15"/>
  <c r="W183" i="15"/>
  <c r="V183" i="15"/>
  <c r="U183" i="15"/>
  <c r="T183" i="15"/>
  <c r="S183" i="15"/>
  <c r="R183" i="15"/>
  <c r="Q183" i="15"/>
  <c r="P183" i="15"/>
  <c r="O183" i="15"/>
  <c r="N183" i="15"/>
  <c r="M183" i="15"/>
  <c r="L183" i="15"/>
  <c r="K183" i="15"/>
  <c r="J183" i="15"/>
  <c r="I183" i="15"/>
  <c r="H183" i="15"/>
  <c r="G183" i="15"/>
  <c r="F183" i="15"/>
  <c r="E183" i="15"/>
  <c r="D183" i="15"/>
  <c r="C183" i="15"/>
  <c r="B183" i="15"/>
  <c r="A183" i="15"/>
  <c r="Y182" i="15"/>
  <c r="X182" i="15"/>
  <c r="W182" i="15"/>
  <c r="V182" i="15"/>
  <c r="U182" i="15"/>
  <c r="T182" i="15"/>
  <c r="S182" i="15"/>
  <c r="R182" i="15"/>
  <c r="Q182" i="15"/>
  <c r="P182" i="15"/>
  <c r="O182" i="15"/>
  <c r="N182" i="15"/>
  <c r="M182" i="15"/>
  <c r="L182" i="15"/>
  <c r="K182" i="15"/>
  <c r="J182" i="15"/>
  <c r="I182" i="15"/>
  <c r="H182" i="15"/>
  <c r="G182" i="15"/>
  <c r="F182" i="15"/>
  <c r="E182" i="15"/>
  <c r="D182" i="15"/>
  <c r="C182" i="15"/>
  <c r="B182" i="15"/>
  <c r="A182" i="15"/>
  <c r="Y181" i="15"/>
  <c r="X181" i="15"/>
  <c r="W181" i="15"/>
  <c r="V181" i="15"/>
  <c r="U181" i="15"/>
  <c r="T181" i="15"/>
  <c r="S181" i="15"/>
  <c r="R181" i="15"/>
  <c r="Q181" i="15"/>
  <c r="P181" i="15"/>
  <c r="O181" i="15"/>
  <c r="N181" i="15"/>
  <c r="M181" i="15"/>
  <c r="L181" i="15"/>
  <c r="K181" i="15"/>
  <c r="J181" i="15"/>
  <c r="I181" i="15"/>
  <c r="H181" i="15"/>
  <c r="G181" i="15"/>
  <c r="F181" i="15"/>
  <c r="E181" i="15"/>
  <c r="D181" i="15"/>
  <c r="C181" i="15"/>
  <c r="B181" i="15"/>
  <c r="A181" i="15"/>
  <c r="Y180" i="15"/>
  <c r="X180" i="15"/>
  <c r="W180" i="15"/>
  <c r="V180" i="15"/>
  <c r="U180" i="15"/>
  <c r="T180" i="15"/>
  <c r="S180" i="15"/>
  <c r="R180" i="15"/>
  <c r="Q180" i="15"/>
  <c r="P180" i="15"/>
  <c r="O180" i="15"/>
  <c r="N180" i="15"/>
  <c r="M180" i="15"/>
  <c r="L180" i="15"/>
  <c r="K180" i="15"/>
  <c r="J180" i="15"/>
  <c r="I180" i="15"/>
  <c r="H180" i="15"/>
  <c r="G180" i="15"/>
  <c r="F180" i="15"/>
  <c r="E180" i="15"/>
  <c r="D180" i="15"/>
  <c r="C180" i="15"/>
  <c r="B180" i="15"/>
  <c r="A180" i="15"/>
  <c r="Y179" i="15"/>
  <c r="X179" i="15"/>
  <c r="W179" i="15"/>
  <c r="V179" i="15"/>
  <c r="U179" i="15"/>
  <c r="T179" i="15"/>
  <c r="S179" i="15"/>
  <c r="R179" i="15"/>
  <c r="Q179" i="15"/>
  <c r="P179" i="15"/>
  <c r="O179" i="15"/>
  <c r="N179" i="15"/>
  <c r="M179" i="15"/>
  <c r="L179" i="15"/>
  <c r="K179" i="15"/>
  <c r="J179" i="15"/>
  <c r="I179" i="15"/>
  <c r="H179" i="15"/>
  <c r="G179" i="15"/>
  <c r="F179" i="15"/>
  <c r="E179" i="15"/>
  <c r="D179" i="15"/>
  <c r="C179" i="15"/>
  <c r="B179" i="15"/>
  <c r="A179" i="15"/>
  <c r="Y178" i="15"/>
  <c r="X178" i="15"/>
  <c r="W178" i="15"/>
  <c r="V178" i="15"/>
  <c r="U178" i="15"/>
  <c r="T178" i="15"/>
  <c r="S178" i="15"/>
  <c r="R178" i="15"/>
  <c r="Q178" i="15"/>
  <c r="P178" i="15"/>
  <c r="O178" i="15"/>
  <c r="N178" i="15"/>
  <c r="M178" i="15"/>
  <c r="L178" i="15"/>
  <c r="K178" i="15"/>
  <c r="J178" i="15"/>
  <c r="I178" i="15"/>
  <c r="H178" i="15"/>
  <c r="G178" i="15"/>
  <c r="F178" i="15"/>
  <c r="E178" i="15"/>
  <c r="D178" i="15"/>
  <c r="C178" i="15"/>
  <c r="B178" i="15"/>
  <c r="A178" i="15"/>
  <c r="Y177" i="15"/>
  <c r="X177" i="15"/>
  <c r="W177" i="15"/>
  <c r="V177" i="15"/>
  <c r="U177" i="15"/>
  <c r="T177" i="15"/>
  <c r="S177" i="15"/>
  <c r="R177" i="15"/>
  <c r="Q177" i="15"/>
  <c r="P177" i="15"/>
  <c r="O177" i="15"/>
  <c r="N177" i="15"/>
  <c r="M177" i="15"/>
  <c r="L177" i="15"/>
  <c r="K177" i="15"/>
  <c r="J177" i="15"/>
  <c r="I177" i="15"/>
  <c r="H177" i="15"/>
  <c r="G177" i="15"/>
  <c r="F177" i="15"/>
  <c r="E177" i="15"/>
  <c r="D177" i="15"/>
  <c r="C177" i="15"/>
  <c r="B177" i="15"/>
  <c r="A177" i="15"/>
  <c r="Y176" i="15"/>
  <c r="X176" i="15"/>
  <c r="W176" i="15"/>
  <c r="V176" i="15"/>
  <c r="U176" i="15"/>
  <c r="T176" i="15"/>
  <c r="S176" i="15"/>
  <c r="R176" i="15"/>
  <c r="Q176" i="15"/>
  <c r="P176" i="15"/>
  <c r="O176" i="15"/>
  <c r="N176" i="15"/>
  <c r="M176" i="15"/>
  <c r="L176" i="15"/>
  <c r="K176" i="15"/>
  <c r="J176" i="15"/>
  <c r="I176" i="15"/>
  <c r="H176" i="15"/>
  <c r="G176" i="15"/>
  <c r="F176" i="15"/>
  <c r="E176" i="15"/>
  <c r="D176" i="15"/>
  <c r="C176" i="15"/>
  <c r="B176" i="15"/>
  <c r="A176" i="15"/>
  <c r="Y175" i="15"/>
  <c r="X175" i="15"/>
  <c r="W175" i="15"/>
  <c r="V175" i="15"/>
  <c r="U175" i="15"/>
  <c r="T175" i="15"/>
  <c r="S175" i="15"/>
  <c r="R175" i="15"/>
  <c r="Q175" i="15"/>
  <c r="P175" i="15"/>
  <c r="O175" i="15"/>
  <c r="N175" i="15"/>
  <c r="M175" i="15"/>
  <c r="L175" i="15"/>
  <c r="K175" i="15"/>
  <c r="J175" i="15"/>
  <c r="I175" i="15"/>
  <c r="H175" i="15"/>
  <c r="G175" i="15"/>
  <c r="F175" i="15"/>
  <c r="E175" i="15"/>
  <c r="D175" i="15"/>
  <c r="C175" i="15"/>
  <c r="B175" i="15"/>
  <c r="A175" i="15"/>
  <c r="Y174" i="15"/>
  <c r="X174" i="15"/>
  <c r="W174" i="15"/>
  <c r="V174" i="15"/>
  <c r="U174" i="15"/>
  <c r="T174" i="15"/>
  <c r="S174" i="15"/>
  <c r="R174" i="15"/>
  <c r="Q174" i="15"/>
  <c r="P174" i="15"/>
  <c r="O174" i="15"/>
  <c r="N174" i="15"/>
  <c r="M174" i="15"/>
  <c r="L174" i="15"/>
  <c r="K174" i="15"/>
  <c r="J174" i="15"/>
  <c r="I174" i="15"/>
  <c r="H174" i="15"/>
  <c r="G174" i="15"/>
  <c r="F174" i="15"/>
  <c r="E174" i="15"/>
  <c r="D174" i="15"/>
  <c r="C174" i="15"/>
  <c r="B174" i="15"/>
  <c r="A174" i="15"/>
  <c r="Y173" i="15"/>
  <c r="X173" i="15"/>
  <c r="W173" i="15"/>
  <c r="V173" i="15"/>
  <c r="U173" i="15"/>
  <c r="T173" i="15"/>
  <c r="S173" i="15"/>
  <c r="R173" i="15"/>
  <c r="Q173" i="15"/>
  <c r="P173" i="15"/>
  <c r="O173" i="15"/>
  <c r="N173" i="15"/>
  <c r="M173" i="15"/>
  <c r="L173" i="15"/>
  <c r="K173" i="15"/>
  <c r="J173" i="15"/>
  <c r="I173" i="15"/>
  <c r="H173" i="15"/>
  <c r="G173" i="15"/>
  <c r="F173" i="15"/>
  <c r="E173" i="15"/>
  <c r="D173" i="15"/>
  <c r="C173" i="15"/>
  <c r="B173" i="15"/>
  <c r="A173" i="15"/>
  <c r="Y172" i="15"/>
  <c r="X172" i="15"/>
  <c r="W172" i="15"/>
  <c r="V172" i="15"/>
  <c r="U172" i="15"/>
  <c r="T172" i="15"/>
  <c r="S172" i="15"/>
  <c r="R172" i="15"/>
  <c r="Q172" i="15"/>
  <c r="P172" i="15"/>
  <c r="O172" i="15"/>
  <c r="N172" i="15"/>
  <c r="M172" i="15"/>
  <c r="L172" i="15"/>
  <c r="K172" i="15"/>
  <c r="J172" i="15"/>
  <c r="I172" i="15"/>
  <c r="H172" i="15"/>
  <c r="G172" i="15"/>
  <c r="F172" i="15"/>
  <c r="E172" i="15"/>
  <c r="D172" i="15"/>
  <c r="C172" i="15"/>
  <c r="B172" i="15"/>
  <c r="A172" i="15"/>
  <c r="Y171" i="15"/>
  <c r="X171" i="15"/>
  <c r="W171" i="15"/>
  <c r="V171" i="15"/>
  <c r="U171" i="15"/>
  <c r="T171" i="15"/>
  <c r="S171" i="15"/>
  <c r="R171" i="15"/>
  <c r="Q171" i="15"/>
  <c r="P171" i="15"/>
  <c r="O171" i="15"/>
  <c r="N171" i="15"/>
  <c r="M171" i="15"/>
  <c r="L171" i="15"/>
  <c r="K171" i="15"/>
  <c r="J171" i="15"/>
  <c r="I171" i="15"/>
  <c r="H171" i="15"/>
  <c r="G171" i="15"/>
  <c r="F171" i="15"/>
  <c r="E171" i="15"/>
  <c r="D171" i="15"/>
  <c r="C171" i="15"/>
  <c r="B171" i="15"/>
  <c r="A171" i="15"/>
  <c r="Y170" i="15"/>
  <c r="X170" i="15"/>
  <c r="W170" i="15"/>
  <c r="V170" i="15"/>
  <c r="U170" i="15"/>
  <c r="T170" i="15"/>
  <c r="S170" i="15"/>
  <c r="R170" i="15"/>
  <c r="Q170" i="15"/>
  <c r="P170" i="15"/>
  <c r="O170" i="15"/>
  <c r="N170" i="15"/>
  <c r="M170" i="15"/>
  <c r="L170" i="15"/>
  <c r="K170" i="15"/>
  <c r="J170" i="15"/>
  <c r="I170" i="15"/>
  <c r="H170" i="15"/>
  <c r="G170" i="15"/>
  <c r="F170" i="15"/>
  <c r="E170" i="15"/>
  <c r="D170" i="15"/>
  <c r="C170" i="15"/>
  <c r="B170" i="15"/>
  <c r="A170" i="15"/>
  <c r="Y169" i="15"/>
  <c r="X169" i="15"/>
  <c r="W169" i="15"/>
  <c r="V169" i="15"/>
  <c r="U169" i="15"/>
  <c r="T169" i="15"/>
  <c r="S169" i="15"/>
  <c r="R169" i="15"/>
  <c r="Q169" i="15"/>
  <c r="P169" i="15"/>
  <c r="O169" i="15"/>
  <c r="N169" i="15"/>
  <c r="M169" i="15"/>
  <c r="L169" i="15"/>
  <c r="K169" i="15"/>
  <c r="J169" i="15"/>
  <c r="I169" i="15"/>
  <c r="H169" i="15"/>
  <c r="G169" i="15"/>
  <c r="F169" i="15"/>
  <c r="E169" i="15"/>
  <c r="D169" i="15"/>
  <c r="C169" i="15"/>
  <c r="B169" i="15"/>
  <c r="A169" i="15"/>
  <c r="Y168" i="15"/>
  <c r="X168" i="15"/>
  <c r="W168" i="15"/>
  <c r="V168" i="15"/>
  <c r="U168" i="15"/>
  <c r="T168" i="15"/>
  <c r="S168" i="15"/>
  <c r="R168" i="15"/>
  <c r="Q168" i="15"/>
  <c r="P168" i="15"/>
  <c r="O168" i="15"/>
  <c r="N168" i="15"/>
  <c r="M168" i="15"/>
  <c r="L168" i="15"/>
  <c r="K168" i="15"/>
  <c r="J168" i="15"/>
  <c r="I168" i="15"/>
  <c r="H168" i="15"/>
  <c r="G168" i="15"/>
  <c r="F168" i="15"/>
  <c r="E168" i="15"/>
  <c r="D168" i="15"/>
  <c r="C168" i="15"/>
  <c r="B168" i="15"/>
  <c r="A168" i="15"/>
  <c r="Y167" i="15"/>
  <c r="X167" i="15"/>
  <c r="W167" i="15"/>
  <c r="V167" i="15"/>
  <c r="U167" i="15"/>
  <c r="T167" i="15"/>
  <c r="S167" i="15"/>
  <c r="R167" i="15"/>
  <c r="Q167" i="15"/>
  <c r="P167" i="15"/>
  <c r="O167" i="15"/>
  <c r="N167" i="15"/>
  <c r="M167" i="15"/>
  <c r="L167" i="15"/>
  <c r="K167" i="15"/>
  <c r="J167" i="15"/>
  <c r="I167" i="15"/>
  <c r="H167" i="15"/>
  <c r="G167" i="15"/>
  <c r="F167" i="15"/>
  <c r="E167" i="15"/>
  <c r="D167" i="15"/>
  <c r="C167" i="15"/>
  <c r="B167" i="15"/>
  <c r="A167" i="15"/>
  <c r="Y166" i="15"/>
  <c r="X166" i="15"/>
  <c r="W166" i="15"/>
  <c r="V166" i="15"/>
  <c r="U166" i="15"/>
  <c r="T166" i="15"/>
  <c r="S166" i="15"/>
  <c r="R166" i="15"/>
  <c r="Q166" i="15"/>
  <c r="P166" i="15"/>
  <c r="O166" i="15"/>
  <c r="N166" i="15"/>
  <c r="M166" i="15"/>
  <c r="L166" i="15"/>
  <c r="K166" i="15"/>
  <c r="J166" i="15"/>
  <c r="I166" i="15"/>
  <c r="H166" i="15"/>
  <c r="G166" i="15"/>
  <c r="F166" i="15"/>
  <c r="E166" i="15"/>
  <c r="D166" i="15"/>
  <c r="C166" i="15"/>
  <c r="B166" i="15"/>
  <c r="A166" i="15"/>
  <c r="Y165" i="15"/>
  <c r="X165" i="15"/>
  <c r="W165" i="15"/>
  <c r="V165" i="15"/>
  <c r="U165" i="15"/>
  <c r="T165" i="15"/>
  <c r="S165" i="15"/>
  <c r="R165" i="15"/>
  <c r="Q165" i="15"/>
  <c r="P165" i="15"/>
  <c r="O165" i="15"/>
  <c r="N165" i="15"/>
  <c r="M165" i="15"/>
  <c r="L165" i="15"/>
  <c r="K165" i="15"/>
  <c r="J165" i="15"/>
  <c r="I165" i="15"/>
  <c r="H165" i="15"/>
  <c r="G165" i="15"/>
  <c r="F165" i="15"/>
  <c r="E165" i="15"/>
  <c r="D165" i="15"/>
  <c r="C165" i="15"/>
  <c r="B165" i="15"/>
  <c r="A165" i="15"/>
  <c r="Y164" i="15"/>
  <c r="X164" i="15"/>
  <c r="W164" i="15"/>
  <c r="V164" i="15"/>
  <c r="U164" i="15"/>
  <c r="T164" i="15"/>
  <c r="S164" i="15"/>
  <c r="R164" i="15"/>
  <c r="Q164" i="15"/>
  <c r="P164" i="15"/>
  <c r="O164" i="15"/>
  <c r="N164" i="15"/>
  <c r="M164" i="15"/>
  <c r="L164" i="15"/>
  <c r="K164" i="15"/>
  <c r="J164" i="15"/>
  <c r="I164" i="15"/>
  <c r="H164" i="15"/>
  <c r="G164" i="15"/>
  <c r="F164" i="15"/>
  <c r="E164" i="15"/>
  <c r="D164" i="15"/>
  <c r="C164" i="15"/>
  <c r="B164" i="15"/>
  <c r="A164" i="15"/>
  <c r="Y163" i="15"/>
  <c r="X163" i="15"/>
  <c r="W163" i="15"/>
  <c r="V163" i="15"/>
  <c r="U163" i="15"/>
  <c r="T163" i="15"/>
  <c r="S163" i="15"/>
  <c r="R163" i="15"/>
  <c r="Q163" i="15"/>
  <c r="P163" i="15"/>
  <c r="O163" i="15"/>
  <c r="N163" i="15"/>
  <c r="M163" i="15"/>
  <c r="L163" i="15"/>
  <c r="K163" i="15"/>
  <c r="J163" i="15"/>
  <c r="I163" i="15"/>
  <c r="H163" i="15"/>
  <c r="G163" i="15"/>
  <c r="F163" i="15"/>
  <c r="E163" i="15"/>
  <c r="D163" i="15"/>
  <c r="C163" i="15"/>
  <c r="B163" i="15"/>
  <c r="A163" i="15"/>
  <c r="Y162" i="15"/>
  <c r="X162" i="15"/>
  <c r="W162" i="15"/>
  <c r="V162" i="15"/>
  <c r="U162" i="15"/>
  <c r="T162" i="15"/>
  <c r="S162" i="15"/>
  <c r="R162" i="15"/>
  <c r="Q162" i="15"/>
  <c r="P162" i="15"/>
  <c r="O162" i="15"/>
  <c r="N162" i="15"/>
  <c r="M162" i="15"/>
  <c r="L162" i="15"/>
  <c r="K162" i="15"/>
  <c r="J162" i="15"/>
  <c r="I162" i="15"/>
  <c r="H162" i="15"/>
  <c r="G162" i="15"/>
  <c r="F162" i="15"/>
  <c r="E162" i="15"/>
  <c r="D162" i="15"/>
  <c r="C162" i="15"/>
  <c r="B162" i="15"/>
  <c r="A162" i="15"/>
  <c r="Y161" i="15"/>
  <c r="X161" i="15"/>
  <c r="W161" i="15"/>
  <c r="V161" i="15"/>
  <c r="U161" i="15"/>
  <c r="T161" i="15"/>
  <c r="S161" i="15"/>
  <c r="R161" i="15"/>
  <c r="Q161" i="15"/>
  <c r="P161" i="15"/>
  <c r="O161" i="15"/>
  <c r="N161" i="15"/>
  <c r="M161" i="15"/>
  <c r="L161" i="15"/>
  <c r="K161" i="15"/>
  <c r="J161" i="15"/>
  <c r="I161" i="15"/>
  <c r="H161" i="15"/>
  <c r="G161" i="15"/>
  <c r="F161" i="15"/>
  <c r="E161" i="15"/>
  <c r="D161" i="15"/>
  <c r="C161" i="15"/>
  <c r="B161" i="15"/>
  <c r="A161" i="15"/>
  <c r="Y160" i="15"/>
  <c r="X160" i="15"/>
  <c r="W160" i="15"/>
  <c r="V160" i="15"/>
  <c r="U160" i="15"/>
  <c r="T160" i="15"/>
  <c r="S160" i="15"/>
  <c r="R160" i="15"/>
  <c r="Q160" i="15"/>
  <c r="P160" i="15"/>
  <c r="O160" i="15"/>
  <c r="N160" i="15"/>
  <c r="M160" i="15"/>
  <c r="L160" i="15"/>
  <c r="K160" i="15"/>
  <c r="J160" i="15"/>
  <c r="I160" i="15"/>
  <c r="H160" i="15"/>
  <c r="G160" i="15"/>
  <c r="F160" i="15"/>
  <c r="E160" i="15"/>
  <c r="D160" i="15"/>
  <c r="C160" i="15"/>
  <c r="B160" i="15"/>
  <c r="A160" i="15"/>
  <c r="Y159" i="15"/>
  <c r="X159" i="15"/>
  <c r="W159" i="15"/>
  <c r="V159" i="15"/>
  <c r="U159" i="15"/>
  <c r="T159" i="15"/>
  <c r="S159" i="15"/>
  <c r="R159" i="15"/>
  <c r="Q159" i="15"/>
  <c r="P159" i="15"/>
  <c r="O159" i="15"/>
  <c r="N159" i="15"/>
  <c r="M159" i="15"/>
  <c r="L159" i="15"/>
  <c r="K159" i="15"/>
  <c r="J159" i="15"/>
  <c r="I159" i="15"/>
  <c r="H159" i="15"/>
  <c r="G159" i="15"/>
  <c r="F159" i="15"/>
  <c r="E159" i="15"/>
  <c r="D159" i="15"/>
  <c r="C159" i="15"/>
  <c r="B159" i="15"/>
  <c r="A159" i="15"/>
  <c r="Y158" i="15"/>
  <c r="X158" i="15"/>
  <c r="W158" i="15"/>
  <c r="V158" i="15"/>
  <c r="U158" i="15"/>
  <c r="T158" i="15"/>
  <c r="S158" i="15"/>
  <c r="R158" i="15"/>
  <c r="Q158" i="15"/>
  <c r="P158" i="15"/>
  <c r="O158" i="15"/>
  <c r="N158" i="15"/>
  <c r="M158" i="15"/>
  <c r="L158" i="15"/>
  <c r="K158" i="15"/>
  <c r="J158" i="15"/>
  <c r="I158" i="15"/>
  <c r="H158" i="15"/>
  <c r="G158" i="15"/>
  <c r="F158" i="15"/>
  <c r="E158" i="15"/>
  <c r="D158" i="15"/>
  <c r="C158" i="15"/>
  <c r="B158" i="15"/>
  <c r="A158" i="15"/>
  <c r="Y157" i="15"/>
  <c r="X157" i="15"/>
  <c r="W157" i="15"/>
  <c r="V157" i="15"/>
  <c r="U157" i="15"/>
  <c r="T157" i="15"/>
  <c r="S157" i="15"/>
  <c r="R157" i="15"/>
  <c r="Q157" i="15"/>
  <c r="P157" i="15"/>
  <c r="O157" i="15"/>
  <c r="N157" i="15"/>
  <c r="M157" i="15"/>
  <c r="L157" i="15"/>
  <c r="K157" i="15"/>
  <c r="J157" i="15"/>
  <c r="I157" i="15"/>
  <c r="H157" i="15"/>
  <c r="G157" i="15"/>
  <c r="F157" i="15"/>
  <c r="E157" i="15"/>
  <c r="D157" i="15"/>
  <c r="C157" i="15"/>
  <c r="B157" i="15"/>
  <c r="A157" i="15"/>
  <c r="Y156" i="15"/>
  <c r="X156" i="15"/>
  <c r="W156" i="15"/>
  <c r="V156" i="15"/>
  <c r="U156" i="15"/>
  <c r="T156" i="15"/>
  <c r="S156" i="15"/>
  <c r="R156" i="15"/>
  <c r="Q156" i="15"/>
  <c r="P156" i="15"/>
  <c r="O156" i="15"/>
  <c r="N156" i="15"/>
  <c r="M156" i="15"/>
  <c r="L156" i="15"/>
  <c r="K156" i="15"/>
  <c r="J156" i="15"/>
  <c r="I156" i="15"/>
  <c r="H156" i="15"/>
  <c r="G156" i="15"/>
  <c r="F156" i="15"/>
  <c r="E156" i="15"/>
  <c r="D156" i="15"/>
  <c r="C156" i="15"/>
  <c r="B156" i="15"/>
  <c r="A156" i="15"/>
  <c r="Y155" i="15"/>
  <c r="X155" i="15"/>
  <c r="W155" i="15"/>
  <c r="V155" i="15"/>
  <c r="U155" i="15"/>
  <c r="T155" i="15"/>
  <c r="S155" i="15"/>
  <c r="R155" i="15"/>
  <c r="Q155" i="15"/>
  <c r="P155" i="15"/>
  <c r="O155" i="15"/>
  <c r="N155" i="15"/>
  <c r="M155" i="15"/>
  <c r="L155" i="15"/>
  <c r="K155" i="15"/>
  <c r="J155" i="15"/>
  <c r="I155" i="15"/>
  <c r="H155" i="15"/>
  <c r="G155" i="15"/>
  <c r="F155" i="15"/>
  <c r="E155" i="15"/>
  <c r="D155" i="15"/>
  <c r="C155" i="15"/>
  <c r="B155" i="15"/>
  <c r="A155" i="15"/>
  <c r="Y154" i="15"/>
  <c r="X154" i="15"/>
  <c r="W154" i="15"/>
  <c r="V154" i="15"/>
  <c r="U154" i="15"/>
  <c r="T154" i="15"/>
  <c r="S154" i="15"/>
  <c r="R154" i="15"/>
  <c r="Q154" i="15"/>
  <c r="P154" i="15"/>
  <c r="O154" i="15"/>
  <c r="N154" i="15"/>
  <c r="M154" i="15"/>
  <c r="L154" i="15"/>
  <c r="K154" i="15"/>
  <c r="J154" i="15"/>
  <c r="I154" i="15"/>
  <c r="H154" i="15"/>
  <c r="G154" i="15"/>
  <c r="F154" i="15"/>
  <c r="E154" i="15"/>
  <c r="D154" i="15"/>
  <c r="C154" i="15"/>
  <c r="B154" i="15"/>
  <c r="A154" i="15"/>
  <c r="Y153" i="15"/>
  <c r="X153" i="15"/>
  <c r="W153" i="15"/>
  <c r="V153" i="15"/>
  <c r="U153" i="15"/>
  <c r="T153" i="15"/>
  <c r="S153" i="15"/>
  <c r="R153" i="15"/>
  <c r="Q153" i="15"/>
  <c r="P153" i="15"/>
  <c r="O153" i="15"/>
  <c r="N153" i="15"/>
  <c r="M153" i="15"/>
  <c r="L153" i="15"/>
  <c r="K153" i="15"/>
  <c r="J153" i="15"/>
  <c r="I153" i="15"/>
  <c r="H153" i="15"/>
  <c r="G153" i="15"/>
  <c r="F153" i="15"/>
  <c r="E153" i="15"/>
  <c r="D153" i="15"/>
  <c r="C153" i="15"/>
  <c r="B153" i="15"/>
  <c r="A153" i="15"/>
  <c r="Y152" i="15"/>
  <c r="X152" i="15"/>
  <c r="W152" i="15"/>
  <c r="V152" i="15"/>
  <c r="U152" i="15"/>
  <c r="T152" i="15"/>
  <c r="S152" i="15"/>
  <c r="R152" i="15"/>
  <c r="Q152" i="15"/>
  <c r="P152" i="15"/>
  <c r="O152" i="15"/>
  <c r="N152" i="15"/>
  <c r="M152" i="15"/>
  <c r="L152" i="15"/>
  <c r="K152" i="15"/>
  <c r="J152" i="15"/>
  <c r="I152" i="15"/>
  <c r="H152" i="15"/>
  <c r="G152" i="15"/>
  <c r="F152" i="15"/>
  <c r="E152" i="15"/>
  <c r="D152" i="15"/>
  <c r="C152" i="15"/>
  <c r="B152" i="15"/>
  <c r="A152" i="15"/>
  <c r="Y151" i="15"/>
  <c r="X151" i="15"/>
  <c r="W151" i="15"/>
  <c r="V151" i="15"/>
  <c r="U151" i="15"/>
  <c r="T151" i="15"/>
  <c r="S151" i="15"/>
  <c r="R151" i="15"/>
  <c r="Q151" i="15"/>
  <c r="P151" i="15"/>
  <c r="O151" i="15"/>
  <c r="N151" i="15"/>
  <c r="M151" i="15"/>
  <c r="L151" i="15"/>
  <c r="K151" i="15"/>
  <c r="J151" i="15"/>
  <c r="I151" i="15"/>
  <c r="H151" i="15"/>
  <c r="G151" i="15"/>
  <c r="F151" i="15"/>
  <c r="E151" i="15"/>
  <c r="D151" i="15"/>
  <c r="C151" i="15"/>
  <c r="B151" i="15"/>
  <c r="A151" i="15"/>
  <c r="Y150" i="15"/>
  <c r="X150" i="15"/>
  <c r="W150" i="15"/>
  <c r="V150" i="15"/>
  <c r="U150" i="15"/>
  <c r="T150" i="15"/>
  <c r="S150" i="15"/>
  <c r="R150" i="15"/>
  <c r="Q150" i="15"/>
  <c r="P150" i="15"/>
  <c r="O150" i="15"/>
  <c r="N150" i="15"/>
  <c r="M150" i="15"/>
  <c r="L150" i="15"/>
  <c r="K150" i="15"/>
  <c r="J150" i="15"/>
  <c r="I150" i="15"/>
  <c r="H150" i="15"/>
  <c r="G150" i="15"/>
  <c r="F150" i="15"/>
  <c r="E150" i="15"/>
  <c r="D150" i="15"/>
  <c r="C150" i="15"/>
  <c r="B150" i="15"/>
  <c r="A150" i="15"/>
  <c r="Y149" i="15"/>
  <c r="X149" i="15"/>
  <c r="W149" i="15"/>
  <c r="V149" i="15"/>
  <c r="U149" i="15"/>
  <c r="T149" i="15"/>
  <c r="S149" i="15"/>
  <c r="R149" i="15"/>
  <c r="Q149" i="15"/>
  <c r="P149" i="15"/>
  <c r="O149" i="15"/>
  <c r="N149" i="15"/>
  <c r="M149" i="15"/>
  <c r="L149" i="15"/>
  <c r="K149" i="15"/>
  <c r="J149" i="15"/>
  <c r="I149" i="15"/>
  <c r="H149" i="15"/>
  <c r="G149" i="15"/>
  <c r="F149" i="15"/>
  <c r="E149" i="15"/>
  <c r="D149" i="15"/>
  <c r="C149" i="15"/>
  <c r="B149" i="15"/>
  <c r="A149" i="15"/>
  <c r="Y148" i="15"/>
  <c r="X148" i="15"/>
  <c r="W148" i="15"/>
  <c r="V148" i="15"/>
  <c r="U148" i="15"/>
  <c r="T148" i="15"/>
  <c r="S148" i="15"/>
  <c r="R148" i="15"/>
  <c r="Q148" i="15"/>
  <c r="P148" i="15"/>
  <c r="O148" i="15"/>
  <c r="N148" i="15"/>
  <c r="M148" i="15"/>
  <c r="L148" i="15"/>
  <c r="K148" i="15"/>
  <c r="J148" i="15"/>
  <c r="I148" i="15"/>
  <c r="H148" i="15"/>
  <c r="G148" i="15"/>
  <c r="F148" i="15"/>
  <c r="E148" i="15"/>
  <c r="D148" i="15"/>
  <c r="C148" i="15"/>
  <c r="B148" i="15"/>
  <c r="A148" i="15"/>
  <c r="Y147" i="15"/>
  <c r="X147" i="15"/>
  <c r="W147" i="15"/>
  <c r="V147" i="15"/>
  <c r="U147" i="15"/>
  <c r="T147" i="15"/>
  <c r="S147" i="15"/>
  <c r="R147" i="15"/>
  <c r="Q147" i="15"/>
  <c r="P147" i="15"/>
  <c r="O147" i="15"/>
  <c r="N147" i="15"/>
  <c r="M147" i="15"/>
  <c r="L147" i="15"/>
  <c r="K147" i="15"/>
  <c r="J147" i="15"/>
  <c r="I147" i="15"/>
  <c r="H147" i="15"/>
  <c r="G147" i="15"/>
  <c r="F147" i="15"/>
  <c r="E147" i="15"/>
  <c r="D147" i="15"/>
  <c r="C147" i="15"/>
  <c r="B147" i="15"/>
  <c r="A147" i="15"/>
  <c r="Y146" i="15"/>
  <c r="X146" i="15"/>
  <c r="W146" i="15"/>
  <c r="V146" i="15"/>
  <c r="U146" i="15"/>
  <c r="T146" i="15"/>
  <c r="S146" i="15"/>
  <c r="R146" i="15"/>
  <c r="Q146" i="15"/>
  <c r="P146" i="15"/>
  <c r="O146" i="15"/>
  <c r="N146" i="15"/>
  <c r="M146" i="15"/>
  <c r="L146" i="15"/>
  <c r="K146" i="15"/>
  <c r="J146" i="15"/>
  <c r="I146" i="15"/>
  <c r="H146" i="15"/>
  <c r="G146" i="15"/>
  <c r="F146" i="15"/>
  <c r="E146" i="15"/>
  <c r="D146" i="15"/>
  <c r="C146" i="15"/>
  <c r="B146" i="15"/>
  <c r="A146" i="15"/>
  <c r="Y145" i="15"/>
  <c r="X145" i="15"/>
  <c r="W145" i="15"/>
  <c r="V145" i="15"/>
  <c r="U145" i="15"/>
  <c r="T145" i="15"/>
  <c r="S145" i="15"/>
  <c r="R145" i="15"/>
  <c r="Q145" i="15"/>
  <c r="P145" i="15"/>
  <c r="O145" i="15"/>
  <c r="N145" i="15"/>
  <c r="M145" i="15"/>
  <c r="L145" i="15"/>
  <c r="K145" i="15"/>
  <c r="J145" i="15"/>
  <c r="I145" i="15"/>
  <c r="H145" i="15"/>
  <c r="G145" i="15"/>
  <c r="F145" i="15"/>
  <c r="E145" i="15"/>
  <c r="D145" i="15"/>
  <c r="C145" i="15"/>
  <c r="B145" i="15"/>
  <c r="A145" i="15"/>
  <c r="Y144" i="15"/>
  <c r="X144" i="15"/>
  <c r="W144" i="15"/>
  <c r="V144" i="15"/>
  <c r="U144" i="15"/>
  <c r="T144" i="15"/>
  <c r="S144" i="15"/>
  <c r="R144" i="15"/>
  <c r="Q144" i="15"/>
  <c r="P144" i="15"/>
  <c r="O144" i="15"/>
  <c r="N144" i="15"/>
  <c r="M144" i="15"/>
  <c r="L144" i="15"/>
  <c r="K144" i="15"/>
  <c r="J144" i="15"/>
  <c r="I144" i="15"/>
  <c r="H144" i="15"/>
  <c r="G144" i="15"/>
  <c r="F144" i="15"/>
  <c r="E144" i="15"/>
  <c r="D144" i="15"/>
  <c r="C144" i="15"/>
  <c r="B144" i="15"/>
  <c r="A144" i="15"/>
  <c r="Y143" i="15"/>
  <c r="X143" i="15"/>
  <c r="W143" i="15"/>
  <c r="V143" i="15"/>
  <c r="U143" i="15"/>
  <c r="T143" i="15"/>
  <c r="S143" i="15"/>
  <c r="R143" i="15"/>
  <c r="Q143" i="15"/>
  <c r="P143" i="15"/>
  <c r="O143" i="15"/>
  <c r="N143" i="15"/>
  <c r="M143" i="15"/>
  <c r="L143" i="15"/>
  <c r="K143" i="15"/>
  <c r="J143" i="15"/>
  <c r="I143" i="15"/>
  <c r="H143" i="15"/>
  <c r="G143" i="15"/>
  <c r="F143" i="15"/>
  <c r="E143" i="15"/>
  <c r="D143" i="15"/>
  <c r="C143" i="15"/>
  <c r="B143" i="15"/>
  <c r="A143" i="15"/>
  <c r="Y142" i="15"/>
  <c r="X142" i="15"/>
  <c r="W142" i="15"/>
  <c r="V142" i="15"/>
  <c r="U142" i="15"/>
  <c r="T142" i="15"/>
  <c r="S142" i="15"/>
  <c r="R142" i="15"/>
  <c r="Q142" i="15"/>
  <c r="P142" i="15"/>
  <c r="O142" i="15"/>
  <c r="N142" i="15"/>
  <c r="M142" i="15"/>
  <c r="L142" i="15"/>
  <c r="K142" i="15"/>
  <c r="J142" i="15"/>
  <c r="I142" i="15"/>
  <c r="H142" i="15"/>
  <c r="G142" i="15"/>
  <c r="F142" i="15"/>
  <c r="E142" i="15"/>
  <c r="D142" i="15"/>
  <c r="C142" i="15"/>
  <c r="B142" i="15"/>
  <c r="A142" i="15"/>
  <c r="Y141" i="15"/>
  <c r="X141" i="15"/>
  <c r="W141" i="15"/>
  <c r="V141" i="15"/>
  <c r="U141" i="15"/>
  <c r="T141" i="15"/>
  <c r="S141" i="15"/>
  <c r="R141" i="15"/>
  <c r="Q141" i="15"/>
  <c r="P141" i="15"/>
  <c r="O141" i="15"/>
  <c r="N141" i="15"/>
  <c r="M141" i="15"/>
  <c r="L141" i="15"/>
  <c r="K141" i="15"/>
  <c r="J141" i="15"/>
  <c r="I141" i="15"/>
  <c r="H141" i="15"/>
  <c r="G141" i="15"/>
  <c r="F141" i="15"/>
  <c r="E141" i="15"/>
  <c r="D141" i="15"/>
  <c r="C141" i="15"/>
  <c r="B141" i="15"/>
  <c r="A141" i="15"/>
  <c r="Y140" i="15"/>
  <c r="X140" i="15"/>
  <c r="W140" i="15"/>
  <c r="V140" i="15"/>
  <c r="U140" i="15"/>
  <c r="T140" i="15"/>
  <c r="S140" i="15"/>
  <c r="R140" i="15"/>
  <c r="Q140" i="15"/>
  <c r="P140" i="15"/>
  <c r="O140" i="15"/>
  <c r="N140" i="15"/>
  <c r="M140" i="15"/>
  <c r="L140" i="15"/>
  <c r="K140" i="15"/>
  <c r="J140" i="15"/>
  <c r="I140" i="15"/>
  <c r="H140" i="15"/>
  <c r="G140" i="15"/>
  <c r="F140" i="15"/>
  <c r="E140" i="15"/>
  <c r="D140" i="15"/>
  <c r="C140" i="15"/>
  <c r="B140" i="15"/>
  <c r="A140" i="15"/>
  <c r="Y139" i="15"/>
  <c r="X139" i="15"/>
  <c r="W139" i="15"/>
  <c r="V139" i="15"/>
  <c r="U139" i="15"/>
  <c r="T139" i="15"/>
  <c r="S139" i="15"/>
  <c r="R139" i="15"/>
  <c r="Q139" i="15"/>
  <c r="P139" i="15"/>
  <c r="O139" i="15"/>
  <c r="N139" i="15"/>
  <c r="M139" i="15"/>
  <c r="L139" i="15"/>
  <c r="K139" i="15"/>
  <c r="J139" i="15"/>
  <c r="I139" i="15"/>
  <c r="H139" i="15"/>
  <c r="G139" i="15"/>
  <c r="F139" i="15"/>
  <c r="E139" i="15"/>
  <c r="D139" i="15"/>
  <c r="C139" i="15"/>
  <c r="B139" i="15"/>
  <c r="A139" i="15"/>
  <c r="Y138" i="15"/>
  <c r="X138" i="15"/>
  <c r="W138" i="15"/>
  <c r="V138" i="15"/>
  <c r="U138" i="15"/>
  <c r="T138" i="15"/>
  <c r="S138" i="15"/>
  <c r="R138" i="15"/>
  <c r="Q138" i="15"/>
  <c r="P138" i="15"/>
  <c r="O138" i="15"/>
  <c r="N138" i="15"/>
  <c r="M138" i="15"/>
  <c r="L138" i="15"/>
  <c r="K138" i="15"/>
  <c r="J138" i="15"/>
  <c r="I138" i="15"/>
  <c r="H138" i="15"/>
  <c r="G138" i="15"/>
  <c r="F138" i="15"/>
  <c r="E138" i="15"/>
  <c r="D138" i="15"/>
  <c r="C138" i="15"/>
  <c r="B138" i="15"/>
  <c r="A138" i="15"/>
  <c r="Y137" i="15"/>
  <c r="X137" i="15"/>
  <c r="W137" i="15"/>
  <c r="V137" i="15"/>
  <c r="U137" i="15"/>
  <c r="T137" i="15"/>
  <c r="S137" i="15"/>
  <c r="R137" i="15"/>
  <c r="Q137" i="15"/>
  <c r="P137" i="15"/>
  <c r="O137" i="15"/>
  <c r="N137" i="15"/>
  <c r="M137" i="15"/>
  <c r="L137" i="15"/>
  <c r="K137" i="15"/>
  <c r="J137" i="15"/>
  <c r="I137" i="15"/>
  <c r="H137" i="15"/>
  <c r="G137" i="15"/>
  <c r="F137" i="15"/>
  <c r="E137" i="15"/>
  <c r="D137" i="15"/>
  <c r="C137" i="15"/>
  <c r="B137" i="15"/>
  <c r="A137" i="15"/>
  <c r="Y136" i="15"/>
  <c r="X136" i="15"/>
  <c r="W136" i="15"/>
  <c r="V136" i="15"/>
  <c r="U136" i="15"/>
  <c r="T136" i="15"/>
  <c r="S136" i="15"/>
  <c r="R136" i="15"/>
  <c r="Q136" i="15"/>
  <c r="P136" i="15"/>
  <c r="O136" i="15"/>
  <c r="N136" i="15"/>
  <c r="M136" i="15"/>
  <c r="L136" i="15"/>
  <c r="K136" i="15"/>
  <c r="J136" i="15"/>
  <c r="I136" i="15"/>
  <c r="H136" i="15"/>
  <c r="G136" i="15"/>
  <c r="F136" i="15"/>
  <c r="E136" i="15"/>
  <c r="D136" i="15"/>
  <c r="C136" i="15"/>
  <c r="B136" i="15"/>
  <c r="A136" i="15"/>
  <c r="Y135" i="15"/>
  <c r="X135" i="15"/>
  <c r="W135" i="15"/>
  <c r="V135" i="15"/>
  <c r="U135" i="15"/>
  <c r="T135" i="15"/>
  <c r="S135" i="15"/>
  <c r="R135" i="15"/>
  <c r="Q135" i="15"/>
  <c r="P135" i="15"/>
  <c r="O135" i="15"/>
  <c r="N135" i="15"/>
  <c r="M135" i="15"/>
  <c r="L135" i="15"/>
  <c r="K135" i="15"/>
  <c r="J135" i="15"/>
  <c r="I135" i="15"/>
  <c r="H135" i="15"/>
  <c r="G135" i="15"/>
  <c r="F135" i="15"/>
  <c r="E135" i="15"/>
  <c r="D135" i="15"/>
  <c r="C135" i="15"/>
  <c r="B135" i="15"/>
  <c r="A135" i="15"/>
  <c r="Y134" i="15"/>
  <c r="X134" i="15"/>
  <c r="W134" i="15"/>
  <c r="V134" i="15"/>
  <c r="U134" i="15"/>
  <c r="T134" i="15"/>
  <c r="S134" i="15"/>
  <c r="R134" i="15"/>
  <c r="Q134" i="15"/>
  <c r="P134" i="15"/>
  <c r="O134" i="15"/>
  <c r="N134" i="15"/>
  <c r="M134" i="15"/>
  <c r="L134" i="15"/>
  <c r="K134" i="15"/>
  <c r="J134" i="15"/>
  <c r="I134" i="15"/>
  <c r="H134" i="15"/>
  <c r="G134" i="15"/>
  <c r="F134" i="15"/>
  <c r="E134" i="15"/>
  <c r="D134" i="15"/>
  <c r="C134" i="15"/>
  <c r="B134" i="15"/>
  <c r="A134" i="15"/>
  <c r="Y133" i="15"/>
  <c r="X133" i="15"/>
  <c r="W133" i="15"/>
  <c r="V133" i="15"/>
  <c r="U133" i="15"/>
  <c r="T133" i="15"/>
  <c r="S133" i="15"/>
  <c r="R133" i="15"/>
  <c r="Q133" i="15"/>
  <c r="P133" i="15"/>
  <c r="O133" i="15"/>
  <c r="N133" i="15"/>
  <c r="M133" i="15"/>
  <c r="L133" i="15"/>
  <c r="K133" i="15"/>
  <c r="J133" i="15"/>
  <c r="I133" i="15"/>
  <c r="H133" i="15"/>
  <c r="G133" i="15"/>
  <c r="F133" i="15"/>
  <c r="E133" i="15"/>
  <c r="D133" i="15"/>
  <c r="C133" i="15"/>
  <c r="B133" i="15"/>
  <c r="A133" i="15"/>
  <c r="Y132" i="15"/>
  <c r="X132" i="15"/>
  <c r="W132" i="15"/>
  <c r="V132" i="15"/>
  <c r="U132" i="15"/>
  <c r="T132" i="15"/>
  <c r="S132" i="15"/>
  <c r="R132" i="15"/>
  <c r="Q132" i="15"/>
  <c r="P132" i="15"/>
  <c r="O132" i="15"/>
  <c r="N132" i="15"/>
  <c r="M132" i="15"/>
  <c r="L132" i="15"/>
  <c r="K132" i="15"/>
  <c r="J132" i="15"/>
  <c r="I132" i="15"/>
  <c r="H132" i="15"/>
  <c r="G132" i="15"/>
  <c r="F132" i="15"/>
  <c r="E132" i="15"/>
  <c r="D132" i="15"/>
  <c r="C132" i="15"/>
  <c r="B132" i="15"/>
  <c r="A132" i="15"/>
  <c r="Y131" i="15"/>
  <c r="X131" i="15"/>
  <c r="W131" i="15"/>
  <c r="V131" i="15"/>
  <c r="U131" i="15"/>
  <c r="T131" i="15"/>
  <c r="S131" i="15"/>
  <c r="R131" i="15"/>
  <c r="Q131" i="15"/>
  <c r="P131" i="15"/>
  <c r="O131" i="15"/>
  <c r="N131" i="15"/>
  <c r="M131" i="15"/>
  <c r="L131" i="15"/>
  <c r="K131" i="15"/>
  <c r="J131" i="15"/>
  <c r="I131" i="15"/>
  <c r="H131" i="15"/>
  <c r="G131" i="15"/>
  <c r="F131" i="15"/>
  <c r="E131" i="15"/>
  <c r="D131" i="15"/>
  <c r="C131" i="15"/>
  <c r="B131" i="15"/>
  <c r="A131" i="15"/>
  <c r="Y130" i="15"/>
  <c r="X130" i="15"/>
  <c r="W130" i="15"/>
  <c r="V130" i="15"/>
  <c r="U130" i="15"/>
  <c r="T130" i="15"/>
  <c r="S130" i="15"/>
  <c r="R130" i="15"/>
  <c r="Q130" i="15"/>
  <c r="P130" i="15"/>
  <c r="O130" i="15"/>
  <c r="N130" i="15"/>
  <c r="M130" i="15"/>
  <c r="L130" i="15"/>
  <c r="K130" i="15"/>
  <c r="J130" i="15"/>
  <c r="I130" i="15"/>
  <c r="H130" i="15"/>
  <c r="G130" i="15"/>
  <c r="F130" i="15"/>
  <c r="E130" i="15"/>
  <c r="D130" i="15"/>
  <c r="C130" i="15"/>
  <c r="B130" i="15"/>
  <c r="A130" i="15"/>
  <c r="Y129" i="15"/>
  <c r="X129" i="15"/>
  <c r="W129" i="15"/>
  <c r="V129" i="15"/>
  <c r="U129" i="15"/>
  <c r="T129" i="15"/>
  <c r="S129" i="15"/>
  <c r="R129" i="15"/>
  <c r="Q129" i="15"/>
  <c r="P129" i="15"/>
  <c r="O129" i="15"/>
  <c r="N129" i="15"/>
  <c r="M129" i="15"/>
  <c r="L129" i="15"/>
  <c r="K129" i="15"/>
  <c r="J129" i="15"/>
  <c r="I129" i="15"/>
  <c r="H129" i="15"/>
  <c r="G129" i="15"/>
  <c r="F129" i="15"/>
  <c r="E129" i="15"/>
  <c r="D129" i="15"/>
  <c r="C129" i="15"/>
  <c r="B129" i="15"/>
  <c r="A129" i="15"/>
  <c r="Y128" i="15"/>
  <c r="X128" i="15"/>
  <c r="W128" i="15"/>
  <c r="V128" i="15"/>
  <c r="U128" i="15"/>
  <c r="T128" i="15"/>
  <c r="S128" i="15"/>
  <c r="R128" i="15"/>
  <c r="Q128" i="15"/>
  <c r="P128" i="15"/>
  <c r="O128" i="15"/>
  <c r="N128" i="15"/>
  <c r="M128" i="15"/>
  <c r="L128" i="15"/>
  <c r="K128" i="15"/>
  <c r="J128" i="15"/>
  <c r="I128" i="15"/>
  <c r="H128" i="15"/>
  <c r="G128" i="15"/>
  <c r="F128" i="15"/>
  <c r="E128" i="15"/>
  <c r="D128" i="15"/>
  <c r="C128" i="15"/>
  <c r="B128" i="15"/>
  <c r="A128" i="15"/>
  <c r="Y127" i="15"/>
  <c r="X127" i="15"/>
  <c r="W127" i="15"/>
  <c r="V127" i="15"/>
  <c r="U127" i="15"/>
  <c r="T127" i="15"/>
  <c r="S127" i="15"/>
  <c r="R127" i="15"/>
  <c r="Q127" i="15"/>
  <c r="P127" i="15"/>
  <c r="O127" i="15"/>
  <c r="N127" i="15"/>
  <c r="M127" i="15"/>
  <c r="L127" i="15"/>
  <c r="K127" i="15"/>
  <c r="J127" i="15"/>
  <c r="I127" i="15"/>
  <c r="H127" i="15"/>
  <c r="G127" i="15"/>
  <c r="F127" i="15"/>
  <c r="E127" i="15"/>
  <c r="D127" i="15"/>
  <c r="C127" i="15"/>
  <c r="B127" i="15"/>
  <c r="A127" i="15"/>
  <c r="Y126" i="15"/>
  <c r="X126" i="15"/>
  <c r="W126" i="15"/>
  <c r="V126" i="15"/>
  <c r="U126" i="15"/>
  <c r="T126" i="15"/>
  <c r="S126" i="15"/>
  <c r="R126" i="15"/>
  <c r="Q126" i="15"/>
  <c r="P126" i="15"/>
  <c r="O126" i="15"/>
  <c r="N126" i="15"/>
  <c r="M126" i="15"/>
  <c r="L126" i="15"/>
  <c r="K126" i="15"/>
  <c r="J126" i="15"/>
  <c r="I126" i="15"/>
  <c r="H126" i="15"/>
  <c r="G126" i="15"/>
  <c r="F126" i="15"/>
  <c r="E126" i="15"/>
  <c r="D126" i="15"/>
  <c r="C126" i="15"/>
  <c r="B126" i="15"/>
  <c r="A126" i="15"/>
  <c r="Y125" i="15"/>
  <c r="X125" i="15"/>
  <c r="W125" i="15"/>
  <c r="V125" i="15"/>
  <c r="U125" i="15"/>
  <c r="T125" i="15"/>
  <c r="S125" i="15"/>
  <c r="R125" i="15"/>
  <c r="Q125" i="15"/>
  <c r="P125" i="15"/>
  <c r="O125" i="15"/>
  <c r="N125" i="15"/>
  <c r="M125" i="15"/>
  <c r="L125" i="15"/>
  <c r="K125" i="15"/>
  <c r="J125" i="15"/>
  <c r="I125" i="15"/>
  <c r="H125" i="15"/>
  <c r="G125" i="15"/>
  <c r="F125" i="15"/>
  <c r="E125" i="15"/>
  <c r="D125" i="15"/>
  <c r="C125" i="15"/>
  <c r="B125" i="15"/>
  <c r="A125" i="15"/>
  <c r="Y124" i="15"/>
  <c r="X124" i="15"/>
  <c r="W124" i="15"/>
  <c r="V124" i="15"/>
  <c r="U124" i="15"/>
  <c r="T124" i="15"/>
  <c r="S124" i="15"/>
  <c r="R124" i="15"/>
  <c r="Q124" i="15"/>
  <c r="P124" i="15"/>
  <c r="O124" i="15"/>
  <c r="N124" i="15"/>
  <c r="M124" i="15"/>
  <c r="L124" i="15"/>
  <c r="K124" i="15"/>
  <c r="J124" i="15"/>
  <c r="I124" i="15"/>
  <c r="H124" i="15"/>
  <c r="G124" i="15"/>
  <c r="F124" i="15"/>
  <c r="E124" i="15"/>
  <c r="D124" i="15"/>
  <c r="C124" i="15"/>
  <c r="B124" i="15"/>
  <c r="A124" i="15"/>
  <c r="Y123" i="15"/>
  <c r="X123" i="15"/>
  <c r="W123" i="15"/>
  <c r="V123" i="15"/>
  <c r="U123" i="15"/>
  <c r="T123" i="15"/>
  <c r="S123" i="15"/>
  <c r="R123" i="15"/>
  <c r="Q123" i="15"/>
  <c r="P123" i="15"/>
  <c r="O123" i="15"/>
  <c r="N123" i="15"/>
  <c r="M123" i="15"/>
  <c r="L123" i="15"/>
  <c r="K123" i="15"/>
  <c r="J123" i="15"/>
  <c r="I123" i="15"/>
  <c r="H123" i="15"/>
  <c r="G123" i="15"/>
  <c r="F123" i="15"/>
  <c r="E123" i="15"/>
  <c r="D123" i="15"/>
  <c r="C123" i="15"/>
  <c r="B123" i="15"/>
  <c r="A123" i="15"/>
  <c r="Y122" i="15"/>
  <c r="X122" i="15"/>
  <c r="W122" i="15"/>
  <c r="V122" i="15"/>
  <c r="U122" i="15"/>
  <c r="T122" i="15"/>
  <c r="S122" i="15"/>
  <c r="R122" i="15"/>
  <c r="Q122" i="15"/>
  <c r="P122" i="15"/>
  <c r="O122" i="15"/>
  <c r="N122" i="15"/>
  <c r="M122" i="15"/>
  <c r="L122" i="15"/>
  <c r="K122" i="15"/>
  <c r="J122" i="15"/>
  <c r="I122" i="15"/>
  <c r="H122" i="15"/>
  <c r="G122" i="15"/>
  <c r="F122" i="15"/>
  <c r="E122" i="15"/>
  <c r="D122" i="15"/>
  <c r="C122" i="15"/>
  <c r="B122" i="15"/>
  <c r="A122" i="15"/>
  <c r="Y121" i="15"/>
  <c r="X121" i="15"/>
  <c r="W121" i="15"/>
  <c r="V121" i="15"/>
  <c r="U121" i="15"/>
  <c r="T121" i="15"/>
  <c r="S121" i="15"/>
  <c r="R121" i="15"/>
  <c r="Q121" i="15"/>
  <c r="P121" i="15"/>
  <c r="O121" i="15"/>
  <c r="N121" i="15"/>
  <c r="M121" i="15"/>
  <c r="L121" i="15"/>
  <c r="K121" i="15"/>
  <c r="J121" i="15"/>
  <c r="I121" i="15"/>
  <c r="H121" i="15"/>
  <c r="G121" i="15"/>
  <c r="F121" i="15"/>
  <c r="E121" i="15"/>
  <c r="D121" i="15"/>
  <c r="C121" i="15"/>
  <c r="B121" i="15"/>
  <c r="A121" i="15"/>
  <c r="Y120" i="15"/>
  <c r="X120" i="15"/>
  <c r="W120" i="15"/>
  <c r="V120" i="15"/>
  <c r="U120" i="15"/>
  <c r="T120" i="15"/>
  <c r="S120" i="15"/>
  <c r="R120" i="15"/>
  <c r="Q120" i="15"/>
  <c r="P120" i="15"/>
  <c r="O120" i="15"/>
  <c r="N120" i="15"/>
  <c r="M120" i="15"/>
  <c r="L120" i="15"/>
  <c r="K120" i="15"/>
  <c r="J120" i="15"/>
  <c r="I120" i="15"/>
  <c r="H120" i="15"/>
  <c r="G120" i="15"/>
  <c r="F120" i="15"/>
  <c r="E120" i="15"/>
  <c r="D120" i="15"/>
  <c r="C120" i="15"/>
  <c r="B120" i="15"/>
  <c r="A120" i="15"/>
  <c r="Y119" i="15"/>
  <c r="X119" i="15"/>
  <c r="W119" i="15"/>
  <c r="V119" i="15"/>
  <c r="U119" i="15"/>
  <c r="T119" i="15"/>
  <c r="S119" i="15"/>
  <c r="R119" i="15"/>
  <c r="Q119" i="15"/>
  <c r="P119" i="15"/>
  <c r="O119" i="15"/>
  <c r="N119" i="15"/>
  <c r="M119" i="15"/>
  <c r="L119" i="15"/>
  <c r="K119" i="15"/>
  <c r="J119" i="15"/>
  <c r="I119" i="15"/>
  <c r="H119" i="15"/>
  <c r="G119" i="15"/>
  <c r="F119" i="15"/>
  <c r="E119" i="15"/>
  <c r="D119" i="15"/>
  <c r="C119" i="15"/>
  <c r="B119" i="15"/>
  <c r="A119" i="15"/>
  <c r="Y118" i="15"/>
  <c r="X118" i="15"/>
  <c r="W118" i="15"/>
  <c r="V118" i="15"/>
  <c r="U118" i="15"/>
  <c r="T118" i="15"/>
  <c r="S118" i="15"/>
  <c r="R118" i="15"/>
  <c r="Q118" i="15"/>
  <c r="P118" i="15"/>
  <c r="O118" i="15"/>
  <c r="N118" i="15"/>
  <c r="M118" i="15"/>
  <c r="L118" i="15"/>
  <c r="K118" i="15"/>
  <c r="J118" i="15"/>
  <c r="I118" i="15"/>
  <c r="H118" i="15"/>
  <c r="G118" i="15"/>
  <c r="F118" i="15"/>
  <c r="E118" i="15"/>
  <c r="D118" i="15"/>
  <c r="C118" i="15"/>
  <c r="B118" i="15"/>
  <c r="A118" i="15"/>
  <c r="Y117" i="15"/>
  <c r="X117" i="15"/>
  <c r="W117" i="15"/>
  <c r="V117" i="15"/>
  <c r="U117" i="15"/>
  <c r="T117" i="15"/>
  <c r="S117" i="15"/>
  <c r="R117" i="15"/>
  <c r="Q117" i="15"/>
  <c r="P117" i="15"/>
  <c r="O117" i="15"/>
  <c r="N117" i="15"/>
  <c r="M117" i="15"/>
  <c r="L117" i="15"/>
  <c r="K117" i="15"/>
  <c r="J117" i="15"/>
  <c r="I117" i="15"/>
  <c r="H117" i="15"/>
  <c r="G117" i="15"/>
  <c r="F117" i="15"/>
  <c r="E117" i="15"/>
  <c r="D117" i="15"/>
  <c r="C117" i="15"/>
  <c r="B117" i="15"/>
  <c r="A117" i="15"/>
  <c r="Y116" i="15"/>
  <c r="X116" i="15"/>
  <c r="W116" i="15"/>
  <c r="V116" i="15"/>
  <c r="U116" i="15"/>
  <c r="T116" i="15"/>
  <c r="S116" i="15"/>
  <c r="R116" i="15"/>
  <c r="Q116" i="15"/>
  <c r="P116" i="15"/>
  <c r="O116" i="15"/>
  <c r="N116" i="15"/>
  <c r="M116" i="15"/>
  <c r="L116" i="15"/>
  <c r="K116" i="15"/>
  <c r="J116" i="15"/>
  <c r="I116" i="15"/>
  <c r="H116" i="15"/>
  <c r="G116" i="15"/>
  <c r="F116" i="15"/>
  <c r="E116" i="15"/>
  <c r="D116" i="15"/>
  <c r="C116" i="15"/>
  <c r="B116" i="15"/>
  <c r="A116" i="15"/>
  <c r="Y115" i="15"/>
  <c r="X115" i="15"/>
  <c r="W115" i="15"/>
  <c r="V115" i="15"/>
  <c r="U115" i="15"/>
  <c r="T115" i="15"/>
  <c r="S115" i="15"/>
  <c r="R115" i="15"/>
  <c r="Q115" i="15"/>
  <c r="P115" i="15"/>
  <c r="O115" i="15"/>
  <c r="N115" i="15"/>
  <c r="M115" i="15"/>
  <c r="L115" i="15"/>
  <c r="K115" i="15"/>
  <c r="J115" i="15"/>
  <c r="I115" i="15"/>
  <c r="H115" i="15"/>
  <c r="G115" i="15"/>
  <c r="F115" i="15"/>
  <c r="E115" i="15"/>
  <c r="D115" i="15"/>
  <c r="C115" i="15"/>
  <c r="B115" i="15"/>
  <c r="A115" i="15"/>
  <c r="Y114" i="15"/>
  <c r="X114" i="15"/>
  <c r="W114" i="15"/>
  <c r="V114" i="15"/>
  <c r="U114" i="15"/>
  <c r="T114" i="15"/>
  <c r="S114" i="15"/>
  <c r="R114" i="15"/>
  <c r="Q114" i="15"/>
  <c r="P114" i="15"/>
  <c r="O114" i="15"/>
  <c r="N114" i="15"/>
  <c r="M114" i="15"/>
  <c r="L114" i="15"/>
  <c r="K114" i="15"/>
  <c r="J114" i="15"/>
  <c r="I114" i="15"/>
  <c r="H114" i="15"/>
  <c r="G114" i="15"/>
  <c r="F114" i="15"/>
  <c r="E114" i="15"/>
  <c r="D114" i="15"/>
  <c r="C114" i="15"/>
  <c r="B114" i="15"/>
  <c r="A114" i="15"/>
  <c r="Y113" i="15"/>
  <c r="X113" i="15"/>
  <c r="W113" i="15"/>
  <c r="V113" i="15"/>
  <c r="U113" i="15"/>
  <c r="T113" i="15"/>
  <c r="S113" i="15"/>
  <c r="R113" i="15"/>
  <c r="Q113" i="15"/>
  <c r="P113" i="15"/>
  <c r="O113" i="15"/>
  <c r="N113" i="15"/>
  <c r="M113" i="15"/>
  <c r="L113" i="15"/>
  <c r="K113" i="15"/>
  <c r="J113" i="15"/>
  <c r="I113" i="15"/>
  <c r="H113" i="15"/>
  <c r="G113" i="15"/>
  <c r="F113" i="15"/>
  <c r="E113" i="15"/>
  <c r="D113" i="15"/>
  <c r="C113" i="15"/>
  <c r="B113" i="15"/>
  <c r="A113" i="15"/>
  <c r="Y112" i="15"/>
  <c r="X112" i="15"/>
  <c r="W112" i="15"/>
  <c r="V112" i="15"/>
  <c r="U112" i="15"/>
  <c r="T112" i="15"/>
  <c r="S112" i="15"/>
  <c r="R112" i="15"/>
  <c r="Q112" i="15"/>
  <c r="P112" i="15"/>
  <c r="O112" i="15"/>
  <c r="N112" i="15"/>
  <c r="M112" i="15"/>
  <c r="L112" i="15"/>
  <c r="K112" i="15"/>
  <c r="J112" i="15"/>
  <c r="I112" i="15"/>
  <c r="H112" i="15"/>
  <c r="G112" i="15"/>
  <c r="F112" i="15"/>
  <c r="E112" i="15"/>
  <c r="D112" i="15"/>
  <c r="C112" i="15"/>
  <c r="B112" i="15"/>
  <c r="A112" i="15"/>
  <c r="Y111" i="15"/>
  <c r="X111" i="15"/>
  <c r="W111" i="15"/>
  <c r="V111" i="15"/>
  <c r="U111" i="15"/>
  <c r="T111" i="15"/>
  <c r="S111" i="15"/>
  <c r="R111" i="15"/>
  <c r="Q111" i="15"/>
  <c r="P111" i="15"/>
  <c r="O111" i="15"/>
  <c r="N111" i="15"/>
  <c r="M111" i="15"/>
  <c r="L111" i="15"/>
  <c r="K111" i="15"/>
  <c r="J111" i="15"/>
  <c r="I111" i="15"/>
  <c r="H111" i="15"/>
  <c r="G111" i="15"/>
  <c r="F111" i="15"/>
  <c r="E111" i="15"/>
  <c r="D111" i="15"/>
  <c r="C111" i="15"/>
  <c r="B111" i="15"/>
  <c r="A111" i="15"/>
  <c r="Y110" i="15"/>
  <c r="X110" i="15"/>
  <c r="W110" i="15"/>
  <c r="V110" i="15"/>
  <c r="U110" i="15"/>
  <c r="T110" i="15"/>
  <c r="S110" i="15"/>
  <c r="R110" i="15"/>
  <c r="Q110" i="15"/>
  <c r="P110" i="15"/>
  <c r="O110" i="15"/>
  <c r="N110" i="15"/>
  <c r="M110" i="15"/>
  <c r="L110" i="15"/>
  <c r="K110" i="15"/>
  <c r="J110" i="15"/>
  <c r="I110" i="15"/>
  <c r="H110" i="15"/>
  <c r="G110" i="15"/>
  <c r="F110" i="15"/>
  <c r="E110" i="15"/>
  <c r="D110" i="15"/>
  <c r="C110" i="15"/>
  <c r="B110" i="15"/>
  <c r="A110" i="15"/>
  <c r="Y109" i="15"/>
  <c r="X109" i="15"/>
  <c r="W109" i="15"/>
  <c r="V109" i="15"/>
  <c r="U109" i="15"/>
  <c r="T109" i="15"/>
  <c r="S109" i="15"/>
  <c r="R109" i="15"/>
  <c r="Q109" i="15"/>
  <c r="P109" i="15"/>
  <c r="O109" i="15"/>
  <c r="N109" i="15"/>
  <c r="M109" i="15"/>
  <c r="L109" i="15"/>
  <c r="K109" i="15"/>
  <c r="J109" i="15"/>
  <c r="I109" i="15"/>
  <c r="H109" i="15"/>
  <c r="G109" i="15"/>
  <c r="F109" i="15"/>
  <c r="E109" i="15"/>
  <c r="D109" i="15"/>
  <c r="C109" i="15"/>
  <c r="B109" i="15"/>
  <c r="A109" i="15"/>
  <c r="Y108" i="15"/>
  <c r="X108" i="15"/>
  <c r="W108" i="15"/>
  <c r="V108" i="15"/>
  <c r="U108" i="15"/>
  <c r="T108" i="15"/>
  <c r="S108" i="15"/>
  <c r="R108" i="15"/>
  <c r="Q108" i="15"/>
  <c r="P108" i="15"/>
  <c r="O108" i="15"/>
  <c r="N108" i="15"/>
  <c r="M108" i="15"/>
  <c r="L108" i="15"/>
  <c r="K108" i="15"/>
  <c r="J108" i="15"/>
  <c r="I108" i="15"/>
  <c r="H108" i="15"/>
  <c r="G108" i="15"/>
  <c r="F108" i="15"/>
  <c r="E108" i="15"/>
  <c r="D108" i="15"/>
  <c r="C108" i="15"/>
  <c r="B108" i="15"/>
  <c r="A108" i="15"/>
  <c r="Y107" i="15"/>
  <c r="X107" i="15"/>
  <c r="W107" i="15"/>
  <c r="V107" i="15"/>
  <c r="U107" i="15"/>
  <c r="T107" i="15"/>
  <c r="S107" i="15"/>
  <c r="R107" i="15"/>
  <c r="Q107" i="15"/>
  <c r="P107" i="15"/>
  <c r="O107" i="15"/>
  <c r="N107" i="15"/>
  <c r="M107" i="15"/>
  <c r="L107" i="15"/>
  <c r="K107" i="15"/>
  <c r="J107" i="15"/>
  <c r="I107" i="15"/>
  <c r="H107" i="15"/>
  <c r="G107" i="15"/>
  <c r="F107" i="15"/>
  <c r="E107" i="15"/>
  <c r="D107" i="15"/>
  <c r="C107" i="15"/>
  <c r="B107" i="15"/>
  <c r="A107" i="15"/>
  <c r="Y106" i="15"/>
  <c r="X106" i="15"/>
  <c r="W106" i="15"/>
  <c r="V106" i="15"/>
  <c r="U106" i="15"/>
  <c r="T106" i="15"/>
  <c r="S106" i="15"/>
  <c r="R106" i="15"/>
  <c r="Q106" i="15"/>
  <c r="P106" i="15"/>
  <c r="O106" i="15"/>
  <c r="N106" i="15"/>
  <c r="M106" i="15"/>
  <c r="L106" i="15"/>
  <c r="K106" i="15"/>
  <c r="J106" i="15"/>
  <c r="I106" i="15"/>
  <c r="H106" i="15"/>
  <c r="G106" i="15"/>
  <c r="F106" i="15"/>
  <c r="E106" i="15"/>
  <c r="D106" i="15"/>
  <c r="C106" i="15"/>
  <c r="B106" i="15"/>
  <c r="A106" i="15"/>
  <c r="Y105" i="15"/>
  <c r="X105" i="15"/>
  <c r="W105" i="15"/>
  <c r="V105" i="15"/>
  <c r="U105" i="15"/>
  <c r="T105" i="15"/>
  <c r="S105" i="15"/>
  <c r="R105" i="15"/>
  <c r="Q105" i="15"/>
  <c r="P105" i="15"/>
  <c r="O105" i="15"/>
  <c r="N105" i="15"/>
  <c r="M105" i="15"/>
  <c r="L105" i="15"/>
  <c r="K105" i="15"/>
  <c r="J105" i="15"/>
  <c r="I105" i="15"/>
  <c r="H105" i="15"/>
  <c r="G105" i="15"/>
  <c r="F105" i="15"/>
  <c r="E105" i="15"/>
  <c r="D105" i="15"/>
  <c r="C105" i="15"/>
  <c r="B105" i="15"/>
  <c r="A105" i="15"/>
  <c r="Y104" i="15"/>
  <c r="X104" i="15"/>
  <c r="W104" i="15"/>
  <c r="V104" i="15"/>
  <c r="U104" i="15"/>
  <c r="T104" i="15"/>
  <c r="S104" i="15"/>
  <c r="R104" i="15"/>
  <c r="Q104" i="15"/>
  <c r="P104" i="15"/>
  <c r="O104" i="15"/>
  <c r="N104" i="15"/>
  <c r="M104" i="15"/>
  <c r="L104" i="15"/>
  <c r="K104" i="15"/>
  <c r="J104" i="15"/>
  <c r="I104" i="15"/>
  <c r="H104" i="15"/>
  <c r="G104" i="15"/>
  <c r="F104" i="15"/>
  <c r="E104" i="15"/>
  <c r="D104" i="15"/>
  <c r="C104" i="15"/>
  <c r="B104" i="15"/>
  <c r="A104" i="15"/>
  <c r="Y103" i="15"/>
  <c r="X103" i="15"/>
  <c r="W103" i="15"/>
  <c r="V103" i="15"/>
  <c r="U103" i="15"/>
  <c r="T103" i="15"/>
  <c r="S103" i="15"/>
  <c r="R103" i="15"/>
  <c r="Q103" i="15"/>
  <c r="P103" i="15"/>
  <c r="O103" i="15"/>
  <c r="N103" i="15"/>
  <c r="M103" i="15"/>
  <c r="L103" i="15"/>
  <c r="K103" i="15"/>
  <c r="J103" i="15"/>
  <c r="I103" i="15"/>
  <c r="H103" i="15"/>
  <c r="G103" i="15"/>
  <c r="F103" i="15"/>
  <c r="E103" i="15"/>
  <c r="D103" i="15"/>
  <c r="C103" i="15"/>
  <c r="B103" i="15"/>
  <c r="A103" i="15"/>
  <c r="Y102" i="15"/>
  <c r="X102" i="15"/>
  <c r="W102" i="15"/>
  <c r="V102" i="15"/>
  <c r="U102" i="15"/>
  <c r="T102" i="15"/>
  <c r="S102" i="15"/>
  <c r="R102" i="15"/>
  <c r="Q102" i="15"/>
  <c r="P102" i="15"/>
  <c r="O102" i="15"/>
  <c r="N102" i="15"/>
  <c r="M102" i="15"/>
  <c r="L102" i="15"/>
  <c r="K102" i="15"/>
  <c r="J102" i="15"/>
  <c r="I102" i="15"/>
  <c r="H102" i="15"/>
  <c r="G102" i="15"/>
  <c r="F102" i="15"/>
  <c r="E102" i="15"/>
  <c r="D102" i="15"/>
  <c r="C102" i="15"/>
  <c r="B102" i="15"/>
  <c r="A102" i="15"/>
  <c r="Y101" i="15"/>
  <c r="X101" i="15"/>
  <c r="W101" i="15"/>
  <c r="V101" i="15"/>
  <c r="U101" i="15"/>
  <c r="T101" i="15"/>
  <c r="S101" i="15"/>
  <c r="R101" i="15"/>
  <c r="Q101" i="15"/>
  <c r="P101" i="15"/>
  <c r="O101" i="15"/>
  <c r="N101" i="15"/>
  <c r="M101" i="15"/>
  <c r="L101" i="15"/>
  <c r="K101" i="15"/>
  <c r="J101" i="15"/>
  <c r="I101" i="15"/>
  <c r="H101" i="15"/>
  <c r="G101" i="15"/>
  <c r="F101" i="15"/>
  <c r="E101" i="15"/>
  <c r="D101" i="15"/>
  <c r="C101" i="15"/>
  <c r="B101" i="15"/>
  <c r="A101" i="15"/>
  <c r="Y100" i="15"/>
  <c r="X100" i="15"/>
  <c r="W100" i="15"/>
  <c r="V100" i="15"/>
  <c r="U100" i="15"/>
  <c r="T100" i="15"/>
  <c r="S100" i="15"/>
  <c r="R100" i="15"/>
  <c r="Q100" i="15"/>
  <c r="P100" i="15"/>
  <c r="O100" i="15"/>
  <c r="N100" i="15"/>
  <c r="M100" i="15"/>
  <c r="L100" i="15"/>
  <c r="K100" i="15"/>
  <c r="J100" i="15"/>
  <c r="I100" i="15"/>
  <c r="H100" i="15"/>
  <c r="G100" i="15"/>
  <c r="F100" i="15"/>
  <c r="E100" i="15"/>
  <c r="D100" i="15"/>
  <c r="C100" i="15"/>
  <c r="B100" i="15"/>
  <c r="A100" i="15"/>
  <c r="Y99" i="15"/>
  <c r="X99" i="15"/>
  <c r="W99" i="15"/>
  <c r="V99" i="15"/>
  <c r="U99" i="15"/>
  <c r="T99" i="15"/>
  <c r="S99" i="15"/>
  <c r="R99" i="15"/>
  <c r="Q99" i="15"/>
  <c r="P99" i="15"/>
  <c r="O99" i="15"/>
  <c r="N99" i="15"/>
  <c r="M99" i="15"/>
  <c r="L99" i="15"/>
  <c r="K99" i="15"/>
  <c r="J99" i="15"/>
  <c r="I99" i="15"/>
  <c r="H99" i="15"/>
  <c r="G99" i="15"/>
  <c r="F99" i="15"/>
  <c r="E99" i="15"/>
  <c r="D99" i="15"/>
  <c r="C99" i="15"/>
  <c r="B99" i="15"/>
  <c r="A99" i="15"/>
  <c r="Y98" i="15"/>
  <c r="X98" i="15"/>
  <c r="W98" i="15"/>
  <c r="V98" i="15"/>
  <c r="U98" i="15"/>
  <c r="T98" i="15"/>
  <c r="S98" i="15"/>
  <c r="R98" i="15"/>
  <c r="Q98" i="15"/>
  <c r="P98" i="15"/>
  <c r="O98" i="15"/>
  <c r="N98" i="15"/>
  <c r="M98" i="15"/>
  <c r="L98" i="15"/>
  <c r="K98" i="15"/>
  <c r="J98" i="15"/>
  <c r="I98" i="15"/>
  <c r="H98" i="15"/>
  <c r="G98" i="15"/>
  <c r="F98" i="15"/>
  <c r="E98" i="15"/>
  <c r="D98" i="15"/>
  <c r="C98" i="15"/>
  <c r="B98" i="15"/>
  <c r="A98" i="15"/>
  <c r="Y97" i="15"/>
  <c r="X97" i="15"/>
  <c r="W97" i="15"/>
  <c r="V97" i="15"/>
  <c r="U97" i="15"/>
  <c r="T97" i="15"/>
  <c r="S97" i="15"/>
  <c r="R97" i="15"/>
  <c r="Q97" i="15"/>
  <c r="P97" i="15"/>
  <c r="O97" i="15"/>
  <c r="N97" i="15"/>
  <c r="M97" i="15"/>
  <c r="L97" i="15"/>
  <c r="K97" i="15"/>
  <c r="J97" i="15"/>
  <c r="I97" i="15"/>
  <c r="H97" i="15"/>
  <c r="G97" i="15"/>
  <c r="F97" i="15"/>
  <c r="E97" i="15"/>
  <c r="D97" i="15"/>
  <c r="C97" i="15"/>
  <c r="B97" i="15"/>
  <c r="A97" i="15"/>
  <c r="Y96" i="15"/>
  <c r="X96" i="15"/>
  <c r="W96" i="15"/>
  <c r="V96" i="15"/>
  <c r="U96" i="15"/>
  <c r="T96" i="15"/>
  <c r="S96" i="15"/>
  <c r="R96" i="15"/>
  <c r="Q96" i="15"/>
  <c r="P96" i="15"/>
  <c r="O96" i="15"/>
  <c r="N96" i="15"/>
  <c r="M96" i="15"/>
  <c r="L96" i="15"/>
  <c r="K96" i="15"/>
  <c r="J96" i="15"/>
  <c r="I96" i="15"/>
  <c r="H96" i="15"/>
  <c r="G96" i="15"/>
  <c r="F96" i="15"/>
  <c r="E96" i="15"/>
  <c r="D96" i="15"/>
  <c r="C96" i="15"/>
  <c r="B96" i="15"/>
  <c r="A96" i="15"/>
  <c r="Y95" i="15"/>
  <c r="X95" i="15"/>
  <c r="W95" i="15"/>
  <c r="V95" i="15"/>
  <c r="U95" i="15"/>
  <c r="T95" i="15"/>
  <c r="S95" i="15"/>
  <c r="R95" i="15"/>
  <c r="Q95" i="15"/>
  <c r="P95" i="15"/>
  <c r="O95" i="15"/>
  <c r="N95" i="15"/>
  <c r="M95" i="15"/>
  <c r="L95" i="15"/>
  <c r="K95" i="15"/>
  <c r="J95" i="15"/>
  <c r="I95" i="15"/>
  <c r="H95" i="15"/>
  <c r="G95" i="15"/>
  <c r="F95" i="15"/>
  <c r="E95" i="15"/>
  <c r="D95" i="15"/>
  <c r="C95" i="15"/>
  <c r="B95" i="15"/>
  <c r="A95" i="15"/>
  <c r="Y94" i="15"/>
  <c r="X94" i="15"/>
  <c r="W94" i="15"/>
  <c r="V94" i="15"/>
  <c r="U94" i="15"/>
  <c r="T94" i="15"/>
  <c r="S94" i="15"/>
  <c r="R94" i="15"/>
  <c r="Q94" i="15"/>
  <c r="P94" i="15"/>
  <c r="O94" i="15"/>
  <c r="N94" i="15"/>
  <c r="M94" i="15"/>
  <c r="L94" i="15"/>
  <c r="K94" i="15"/>
  <c r="J94" i="15"/>
  <c r="I94" i="15"/>
  <c r="H94" i="15"/>
  <c r="G94" i="15"/>
  <c r="F94" i="15"/>
  <c r="E94" i="15"/>
  <c r="D94" i="15"/>
  <c r="C94" i="15"/>
  <c r="B94" i="15"/>
  <c r="A94" i="15"/>
  <c r="Y93" i="15"/>
  <c r="X93" i="15"/>
  <c r="W93" i="15"/>
  <c r="V93" i="15"/>
  <c r="U93" i="15"/>
  <c r="T93" i="15"/>
  <c r="S93" i="15"/>
  <c r="R93" i="15"/>
  <c r="Q93" i="15"/>
  <c r="P93" i="15"/>
  <c r="O93" i="15"/>
  <c r="N93" i="15"/>
  <c r="M93" i="15"/>
  <c r="L93" i="15"/>
  <c r="K93" i="15"/>
  <c r="J93" i="15"/>
  <c r="I93" i="15"/>
  <c r="H93" i="15"/>
  <c r="G93" i="15"/>
  <c r="F93" i="15"/>
  <c r="E93" i="15"/>
  <c r="D93" i="15"/>
  <c r="C93" i="15"/>
  <c r="B93" i="15"/>
  <c r="A93" i="15"/>
  <c r="Y92" i="15"/>
  <c r="X92" i="15"/>
  <c r="W92" i="15"/>
  <c r="V92" i="15"/>
  <c r="U92" i="15"/>
  <c r="T92" i="15"/>
  <c r="S92" i="15"/>
  <c r="R92" i="15"/>
  <c r="Q92" i="15"/>
  <c r="P92" i="15"/>
  <c r="O92" i="15"/>
  <c r="N92" i="15"/>
  <c r="M92" i="15"/>
  <c r="L92" i="15"/>
  <c r="K92" i="15"/>
  <c r="J92" i="15"/>
  <c r="I92" i="15"/>
  <c r="H92" i="15"/>
  <c r="G92" i="15"/>
  <c r="F92" i="15"/>
  <c r="E92" i="15"/>
  <c r="D92" i="15"/>
  <c r="C92" i="15"/>
  <c r="B92" i="15"/>
  <c r="A92" i="15"/>
  <c r="Y91" i="15"/>
  <c r="X91" i="15"/>
  <c r="W91" i="15"/>
  <c r="V91" i="15"/>
  <c r="U91" i="15"/>
  <c r="T91" i="15"/>
  <c r="S91" i="15"/>
  <c r="R91" i="15"/>
  <c r="Q91" i="15"/>
  <c r="P91" i="15"/>
  <c r="O91" i="15"/>
  <c r="N91" i="15"/>
  <c r="M91" i="15"/>
  <c r="L91" i="15"/>
  <c r="K91" i="15"/>
  <c r="J91" i="15"/>
  <c r="I91" i="15"/>
  <c r="H91" i="15"/>
  <c r="G91" i="15"/>
  <c r="F91" i="15"/>
  <c r="E91" i="15"/>
  <c r="D91" i="15"/>
  <c r="C91" i="15"/>
  <c r="B91" i="15"/>
  <c r="A91" i="15"/>
  <c r="Y90" i="15"/>
  <c r="X90" i="15"/>
  <c r="W90" i="15"/>
  <c r="V90" i="15"/>
  <c r="U90" i="15"/>
  <c r="T90" i="15"/>
  <c r="S90" i="15"/>
  <c r="R90" i="15"/>
  <c r="Q90" i="15"/>
  <c r="P90" i="15"/>
  <c r="O90" i="15"/>
  <c r="N90" i="15"/>
  <c r="M90" i="15"/>
  <c r="L90" i="15"/>
  <c r="K90" i="15"/>
  <c r="J90" i="15"/>
  <c r="I90" i="15"/>
  <c r="H90" i="15"/>
  <c r="G90" i="15"/>
  <c r="F90" i="15"/>
  <c r="E90" i="15"/>
  <c r="D90" i="15"/>
  <c r="C90" i="15"/>
  <c r="B90" i="15"/>
  <c r="A90" i="15"/>
  <c r="Y89" i="15"/>
  <c r="X89" i="15"/>
  <c r="W89" i="15"/>
  <c r="V89" i="15"/>
  <c r="U89" i="15"/>
  <c r="T89" i="15"/>
  <c r="S89" i="15"/>
  <c r="R89" i="15"/>
  <c r="Q89" i="15"/>
  <c r="P89" i="15"/>
  <c r="O89" i="15"/>
  <c r="N89" i="15"/>
  <c r="M89" i="15"/>
  <c r="L89" i="15"/>
  <c r="K89" i="15"/>
  <c r="J89" i="15"/>
  <c r="I89" i="15"/>
  <c r="H89" i="15"/>
  <c r="G89" i="15"/>
  <c r="F89" i="15"/>
  <c r="E89" i="15"/>
  <c r="D89" i="15"/>
  <c r="C89" i="15"/>
  <c r="B89" i="15"/>
  <c r="A89" i="15"/>
  <c r="Y88" i="15"/>
  <c r="X88" i="15"/>
  <c r="W88" i="15"/>
  <c r="V88" i="15"/>
  <c r="U88" i="15"/>
  <c r="T88" i="15"/>
  <c r="S88" i="15"/>
  <c r="R88" i="15"/>
  <c r="Q88" i="15"/>
  <c r="P88" i="15"/>
  <c r="O88" i="15"/>
  <c r="N88" i="15"/>
  <c r="M88" i="15"/>
  <c r="L88" i="15"/>
  <c r="K88" i="15"/>
  <c r="J88" i="15"/>
  <c r="I88" i="15"/>
  <c r="H88" i="15"/>
  <c r="G88" i="15"/>
  <c r="F88" i="15"/>
  <c r="E88" i="15"/>
  <c r="D88" i="15"/>
  <c r="C88" i="15"/>
  <c r="B88" i="15"/>
  <c r="A88" i="15"/>
  <c r="Y87" i="15"/>
  <c r="X87" i="15"/>
  <c r="W87" i="15"/>
  <c r="V87" i="15"/>
  <c r="U87" i="15"/>
  <c r="T87" i="15"/>
  <c r="S87" i="15"/>
  <c r="R87" i="15"/>
  <c r="Q87" i="15"/>
  <c r="P87" i="15"/>
  <c r="O87" i="15"/>
  <c r="N87" i="15"/>
  <c r="M87" i="15"/>
  <c r="L87" i="15"/>
  <c r="K87" i="15"/>
  <c r="J87" i="15"/>
  <c r="I87" i="15"/>
  <c r="H87" i="15"/>
  <c r="G87" i="15"/>
  <c r="F87" i="15"/>
  <c r="E87" i="15"/>
  <c r="D87" i="15"/>
  <c r="C87" i="15"/>
  <c r="B87" i="15"/>
  <c r="A87" i="15"/>
  <c r="Y86" i="15"/>
  <c r="X86" i="15"/>
  <c r="W86" i="15"/>
  <c r="V86" i="15"/>
  <c r="U86" i="15"/>
  <c r="T86" i="15"/>
  <c r="S86" i="15"/>
  <c r="R86" i="15"/>
  <c r="Q86" i="15"/>
  <c r="P86" i="15"/>
  <c r="O86" i="15"/>
  <c r="N86" i="15"/>
  <c r="M86" i="15"/>
  <c r="L86" i="15"/>
  <c r="K86" i="15"/>
  <c r="J86" i="15"/>
  <c r="I86" i="15"/>
  <c r="H86" i="15"/>
  <c r="G86" i="15"/>
  <c r="F86" i="15"/>
  <c r="E86" i="15"/>
  <c r="D86" i="15"/>
  <c r="C86" i="15"/>
  <c r="B86" i="15"/>
  <c r="A86" i="15"/>
  <c r="Y85" i="15"/>
  <c r="X85" i="15"/>
  <c r="W85" i="15"/>
  <c r="V85" i="15"/>
  <c r="U85" i="15"/>
  <c r="T85" i="15"/>
  <c r="S85" i="15"/>
  <c r="R85" i="15"/>
  <c r="Q85" i="15"/>
  <c r="P85" i="15"/>
  <c r="O85" i="15"/>
  <c r="N85" i="15"/>
  <c r="M85" i="15"/>
  <c r="L85" i="15"/>
  <c r="K85" i="15"/>
  <c r="J85" i="15"/>
  <c r="I85" i="15"/>
  <c r="H85" i="15"/>
  <c r="G85" i="15"/>
  <c r="F85" i="15"/>
  <c r="E85" i="15"/>
  <c r="D85" i="15"/>
  <c r="C85" i="15"/>
  <c r="B85" i="15"/>
  <c r="A85" i="15"/>
  <c r="Y84" i="15"/>
  <c r="X84" i="15"/>
  <c r="W84" i="15"/>
  <c r="V84" i="15"/>
  <c r="U84" i="15"/>
  <c r="T84" i="15"/>
  <c r="S84" i="15"/>
  <c r="R84" i="15"/>
  <c r="Q84" i="15"/>
  <c r="P84" i="15"/>
  <c r="O84" i="15"/>
  <c r="N84" i="15"/>
  <c r="M84" i="15"/>
  <c r="L84" i="15"/>
  <c r="K84" i="15"/>
  <c r="J84" i="15"/>
  <c r="I84" i="15"/>
  <c r="H84" i="15"/>
  <c r="G84" i="15"/>
  <c r="F84" i="15"/>
  <c r="E84" i="15"/>
  <c r="D84" i="15"/>
  <c r="C84" i="15"/>
  <c r="B84" i="15"/>
  <c r="A84" i="15"/>
  <c r="Y83" i="15"/>
  <c r="X83" i="15"/>
  <c r="W83" i="15"/>
  <c r="V83" i="15"/>
  <c r="U83" i="15"/>
  <c r="T83" i="15"/>
  <c r="S83" i="15"/>
  <c r="R83" i="15"/>
  <c r="Q83" i="15"/>
  <c r="P83" i="15"/>
  <c r="O83" i="15"/>
  <c r="N83" i="15"/>
  <c r="M83" i="15"/>
  <c r="L83" i="15"/>
  <c r="K83" i="15"/>
  <c r="J83" i="15"/>
  <c r="I83" i="15"/>
  <c r="H83" i="15"/>
  <c r="G83" i="15"/>
  <c r="F83" i="15"/>
  <c r="E83" i="15"/>
  <c r="D83" i="15"/>
  <c r="C83" i="15"/>
  <c r="B83" i="15"/>
  <c r="A83" i="15"/>
  <c r="Y82" i="15"/>
  <c r="X82" i="15"/>
  <c r="W82" i="15"/>
  <c r="V82" i="15"/>
  <c r="U82" i="15"/>
  <c r="T82" i="15"/>
  <c r="S82" i="15"/>
  <c r="R82" i="15"/>
  <c r="Q82" i="15"/>
  <c r="P82" i="15"/>
  <c r="O82" i="15"/>
  <c r="N82" i="15"/>
  <c r="M82" i="15"/>
  <c r="L82" i="15"/>
  <c r="K82" i="15"/>
  <c r="J82" i="15"/>
  <c r="I82" i="15"/>
  <c r="H82" i="15"/>
  <c r="G82" i="15"/>
  <c r="F82" i="15"/>
  <c r="E82" i="15"/>
  <c r="D82" i="15"/>
  <c r="C82" i="15"/>
  <c r="B82" i="15"/>
  <c r="A82" i="15"/>
  <c r="Y81" i="15"/>
  <c r="X81" i="15"/>
  <c r="W81" i="15"/>
  <c r="V81" i="15"/>
  <c r="U81" i="15"/>
  <c r="T81" i="15"/>
  <c r="S81" i="15"/>
  <c r="R81" i="15"/>
  <c r="Q81" i="15"/>
  <c r="P81" i="15"/>
  <c r="O81" i="15"/>
  <c r="N81" i="15"/>
  <c r="M81" i="15"/>
  <c r="L81" i="15"/>
  <c r="K81" i="15"/>
  <c r="J81" i="15"/>
  <c r="I81" i="15"/>
  <c r="H81" i="15"/>
  <c r="G81" i="15"/>
  <c r="F81" i="15"/>
  <c r="E81" i="15"/>
  <c r="D81" i="15"/>
  <c r="C81" i="15"/>
  <c r="B81" i="15"/>
  <c r="A81" i="15"/>
  <c r="Y80" i="15"/>
  <c r="X80" i="15"/>
  <c r="W80" i="15"/>
  <c r="V80" i="15"/>
  <c r="U80" i="15"/>
  <c r="T80" i="15"/>
  <c r="S80" i="15"/>
  <c r="R80" i="15"/>
  <c r="Q80" i="15"/>
  <c r="P80" i="15"/>
  <c r="O80" i="15"/>
  <c r="N80" i="15"/>
  <c r="M80" i="15"/>
  <c r="L80" i="15"/>
  <c r="K80" i="15"/>
  <c r="J80" i="15"/>
  <c r="I80" i="15"/>
  <c r="H80" i="15"/>
  <c r="G80" i="15"/>
  <c r="F80" i="15"/>
  <c r="E80" i="15"/>
  <c r="D80" i="15"/>
  <c r="C80" i="15"/>
  <c r="B80" i="15"/>
  <c r="A80" i="15"/>
  <c r="Y79" i="15"/>
  <c r="X79" i="15"/>
  <c r="W79" i="15"/>
  <c r="V79" i="15"/>
  <c r="U79" i="15"/>
  <c r="T79" i="15"/>
  <c r="S79" i="15"/>
  <c r="R79" i="15"/>
  <c r="Q79" i="15"/>
  <c r="P79" i="15"/>
  <c r="O79" i="15"/>
  <c r="N79" i="15"/>
  <c r="M79" i="15"/>
  <c r="L79" i="15"/>
  <c r="K79" i="15"/>
  <c r="J79" i="15"/>
  <c r="I79" i="15"/>
  <c r="H79" i="15"/>
  <c r="G79" i="15"/>
  <c r="F79" i="15"/>
  <c r="E79" i="15"/>
  <c r="D79" i="15"/>
  <c r="C79" i="15"/>
  <c r="B79" i="15"/>
  <c r="A79" i="15"/>
  <c r="Y78" i="15"/>
  <c r="X78" i="15"/>
  <c r="W78" i="15"/>
  <c r="V78" i="15"/>
  <c r="U78" i="15"/>
  <c r="T78" i="15"/>
  <c r="S78" i="15"/>
  <c r="R78" i="15"/>
  <c r="Q78" i="15"/>
  <c r="P78" i="15"/>
  <c r="O78" i="15"/>
  <c r="N78" i="15"/>
  <c r="M78" i="15"/>
  <c r="L78" i="15"/>
  <c r="K78" i="15"/>
  <c r="J78" i="15"/>
  <c r="I78" i="15"/>
  <c r="H78" i="15"/>
  <c r="G78" i="15"/>
  <c r="F78" i="15"/>
  <c r="E78" i="15"/>
  <c r="D78" i="15"/>
  <c r="C78" i="15"/>
  <c r="B78" i="15"/>
  <c r="A78" i="15"/>
  <c r="Y77" i="15"/>
  <c r="X77" i="15"/>
  <c r="W77" i="15"/>
  <c r="V77" i="15"/>
  <c r="U77" i="15"/>
  <c r="T77" i="15"/>
  <c r="S77" i="15"/>
  <c r="R77" i="15"/>
  <c r="Q77" i="15"/>
  <c r="P77" i="15"/>
  <c r="O77" i="15"/>
  <c r="N77" i="15"/>
  <c r="M77" i="15"/>
  <c r="L77" i="15"/>
  <c r="K77" i="15"/>
  <c r="J77" i="15"/>
  <c r="I77" i="15"/>
  <c r="H77" i="15"/>
  <c r="G77" i="15"/>
  <c r="F77" i="15"/>
  <c r="E77" i="15"/>
  <c r="D77" i="15"/>
  <c r="C77" i="15"/>
  <c r="B77" i="15"/>
  <c r="A77" i="15"/>
  <c r="Y76" i="15"/>
  <c r="X76" i="15"/>
  <c r="W76" i="15"/>
  <c r="V76" i="15"/>
  <c r="U76" i="15"/>
  <c r="T76" i="15"/>
  <c r="S76" i="15"/>
  <c r="R76" i="15"/>
  <c r="Q76" i="15"/>
  <c r="P76" i="15"/>
  <c r="O76" i="15"/>
  <c r="N76" i="15"/>
  <c r="M76" i="15"/>
  <c r="L76" i="15"/>
  <c r="K76" i="15"/>
  <c r="J76" i="15"/>
  <c r="I76" i="15"/>
  <c r="H76" i="15"/>
  <c r="G76" i="15"/>
  <c r="F76" i="15"/>
  <c r="E76" i="15"/>
  <c r="D76" i="15"/>
  <c r="C76" i="15"/>
  <c r="B76" i="15"/>
  <c r="A76" i="15"/>
  <c r="Y75" i="15"/>
  <c r="X75" i="15"/>
  <c r="W75" i="15"/>
  <c r="V75" i="15"/>
  <c r="U75" i="15"/>
  <c r="T75" i="15"/>
  <c r="S75" i="15"/>
  <c r="R75" i="15"/>
  <c r="Q75" i="15"/>
  <c r="P75" i="15"/>
  <c r="O75" i="15"/>
  <c r="N75" i="15"/>
  <c r="M75" i="15"/>
  <c r="L75" i="15"/>
  <c r="K75" i="15"/>
  <c r="J75" i="15"/>
  <c r="I75" i="15"/>
  <c r="H75" i="15"/>
  <c r="G75" i="15"/>
  <c r="F75" i="15"/>
  <c r="E75" i="15"/>
  <c r="D75" i="15"/>
  <c r="C75" i="15"/>
  <c r="B75" i="15"/>
  <c r="A75" i="15"/>
  <c r="Y74" i="15"/>
  <c r="X74" i="15"/>
  <c r="W74" i="15"/>
  <c r="V74" i="15"/>
  <c r="U74" i="15"/>
  <c r="T74" i="15"/>
  <c r="S74" i="15"/>
  <c r="R74" i="15"/>
  <c r="Q74" i="15"/>
  <c r="P74" i="15"/>
  <c r="O74" i="15"/>
  <c r="N74" i="15"/>
  <c r="M74" i="15"/>
  <c r="L74" i="15"/>
  <c r="K74" i="15"/>
  <c r="J74" i="15"/>
  <c r="I74" i="15"/>
  <c r="H74" i="15"/>
  <c r="G74" i="15"/>
  <c r="F74" i="15"/>
  <c r="E74" i="15"/>
  <c r="D74" i="15"/>
  <c r="C74" i="15"/>
  <c r="B74" i="15"/>
  <c r="A74" i="15"/>
  <c r="Y73" i="15"/>
  <c r="X73" i="15"/>
  <c r="W73" i="15"/>
  <c r="V73" i="15"/>
  <c r="U73" i="15"/>
  <c r="T73" i="15"/>
  <c r="S73" i="15"/>
  <c r="R73" i="15"/>
  <c r="Q73" i="15"/>
  <c r="P73" i="15"/>
  <c r="O73" i="15"/>
  <c r="N73" i="15"/>
  <c r="M73" i="15"/>
  <c r="L73" i="15"/>
  <c r="K73" i="15"/>
  <c r="J73" i="15"/>
  <c r="I73" i="15"/>
  <c r="H73" i="15"/>
  <c r="G73" i="15"/>
  <c r="F73" i="15"/>
  <c r="E73" i="15"/>
  <c r="D73" i="15"/>
  <c r="C73" i="15"/>
  <c r="B73" i="15"/>
  <c r="A73" i="15"/>
  <c r="Y72" i="15"/>
  <c r="X72" i="15"/>
  <c r="W72" i="15"/>
  <c r="V72" i="15"/>
  <c r="U72" i="15"/>
  <c r="T72" i="15"/>
  <c r="S72" i="15"/>
  <c r="R72" i="15"/>
  <c r="Q72" i="15"/>
  <c r="P72" i="15"/>
  <c r="O72" i="15"/>
  <c r="N72" i="15"/>
  <c r="M72" i="15"/>
  <c r="L72" i="15"/>
  <c r="K72" i="15"/>
  <c r="J72" i="15"/>
  <c r="I72" i="15"/>
  <c r="H72" i="15"/>
  <c r="G72" i="15"/>
  <c r="F72" i="15"/>
  <c r="E72" i="15"/>
  <c r="D72" i="15"/>
  <c r="C72" i="15"/>
  <c r="B72" i="15"/>
  <c r="A72" i="15"/>
  <c r="Y71" i="15"/>
  <c r="X71" i="15"/>
  <c r="W71" i="15"/>
  <c r="V71" i="15"/>
  <c r="U71" i="15"/>
  <c r="T71" i="15"/>
  <c r="S71" i="15"/>
  <c r="R71" i="15"/>
  <c r="Q71" i="15"/>
  <c r="P71" i="15"/>
  <c r="O71" i="15"/>
  <c r="N71" i="15"/>
  <c r="M71" i="15"/>
  <c r="L71" i="15"/>
  <c r="K71" i="15"/>
  <c r="J71" i="15"/>
  <c r="I71" i="15"/>
  <c r="H71" i="15"/>
  <c r="G71" i="15"/>
  <c r="F71" i="15"/>
  <c r="E71" i="15"/>
  <c r="D71" i="15"/>
  <c r="C71" i="15"/>
  <c r="B71" i="15"/>
  <c r="A71" i="15"/>
  <c r="Y70" i="15"/>
  <c r="X70" i="15"/>
  <c r="W70" i="15"/>
  <c r="V70" i="15"/>
  <c r="U70" i="15"/>
  <c r="T70" i="15"/>
  <c r="S70" i="15"/>
  <c r="R70" i="15"/>
  <c r="Q70" i="15"/>
  <c r="P70" i="15"/>
  <c r="O70" i="15"/>
  <c r="N70" i="15"/>
  <c r="M70" i="15"/>
  <c r="L70" i="15"/>
  <c r="K70" i="15"/>
  <c r="J70" i="15"/>
  <c r="I70" i="15"/>
  <c r="H70" i="15"/>
  <c r="G70" i="15"/>
  <c r="F70" i="15"/>
  <c r="E70" i="15"/>
  <c r="D70" i="15"/>
  <c r="C70" i="15"/>
  <c r="B70" i="15"/>
  <c r="A70" i="15"/>
  <c r="Y69" i="15"/>
  <c r="X69" i="15"/>
  <c r="W69" i="15"/>
  <c r="V69" i="15"/>
  <c r="U69" i="15"/>
  <c r="T69" i="15"/>
  <c r="S69" i="15"/>
  <c r="R69" i="15"/>
  <c r="Q69" i="15"/>
  <c r="P69" i="15"/>
  <c r="O69" i="15"/>
  <c r="N69" i="15"/>
  <c r="M69" i="15"/>
  <c r="L69" i="15"/>
  <c r="K69" i="15"/>
  <c r="J69" i="15"/>
  <c r="I69" i="15"/>
  <c r="H69" i="15"/>
  <c r="G69" i="15"/>
  <c r="F69" i="15"/>
  <c r="E69" i="15"/>
  <c r="D69" i="15"/>
  <c r="C69" i="15"/>
  <c r="B69" i="15"/>
  <c r="A69" i="15"/>
  <c r="Y68" i="15"/>
  <c r="X68" i="15"/>
  <c r="W68" i="15"/>
  <c r="V68" i="15"/>
  <c r="U68" i="15"/>
  <c r="T68" i="15"/>
  <c r="S68" i="15"/>
  <c r="R68" i="15"/>
  <c r="Q68" i="15"/>
  <c r="P68" i="15"/>
  <c r="O68" i="15"/>
  <c r="N68" i="15"/>
  <c r="M68" i="15"/>
  <c r="L68" i="15"/>
  <c r="K68" i="15"/>
  <c r="J68" i="15"/>
  <c r="I68" i="15"/>
  <c r="H68" i="15"/>
  <c r="G68" i="15"/>
  <c r="F68" i="15"/>
  <c r="E68" i="15"/>
  <c r="D68" i="15"/>
  <c r="C68" i="15"/>
  <c r="B68" i="15"/>
  <c r="A68" i="15"/>
  <c r="Y67" i="15"/>
  <c r="X67" i="15"/>
  <c r="W67" i="15"/>
  <c r="V67" i="15"/>
  <c r="U67" i="15"/>
  <c r="T67" i="15"/>
  <c r="S67" i="15"/>
  <c r="R67" i="15"/>
  <c r="Q67" i="15"/>
  <c r="P67" i="15"/>
  <c r="O67" i="15"/>
  <c r="N67" i="15"/>
  <c r="M67" i="15"/>
  <c r="L67" i="15"/>
  <c r="K67" i="15"/>
  <c r="J67" i="15"/>
  <c r="I67" i="15"/>
  <c r="H67" i="15"/>
  <c r="G67" i="15"/>
  <c r="F67" i="15"/>
  <c r="E67" i="15"/>
  <c r="D67" i="15"/>
  <c r="C67" i="15"/>
  <c r="B67" i="15"/>
  <c r="A67" i="15"/>
  <c r="Y66" i="15"/>
  <c r="X66" i="15"/>
  <c r="W66" i="15"/>
  <c r="V66" i="15"/>
  <c r="U66" i="15"/>
  <c r="T66" i="15"/>
  <c r="S66" i="15"/>
  <c r="R66" i="15"/>
  <c r="Q66" i="15"/>
  <c r="P66" i="15"/>
  <c r="O66" i="15"/>
  <c r="N66" i="15"/>
  <c r="M66" i="15"/>
  <c r="L66" i="15"/>
  <c r="K66" i="15"/>
  <c r="J66" i="15"/>
  <c r="I66" i="15"/>
  <c r="H66" i="15"/>
  <c r="G66" i="15"/>
  <c r="F66" i="15"/>
  <c r="E66" i="15"/>
  <c r="D66" i="15"/>
  <c r="C66" i="15"/>
  <c r="B66" i="15"/>
  <c r="A66" i="15"/>
  <c r="Y65" i="15"/>
  <c r="X65" i="15"/>
  <c r="W65" i="15"/>
  <c r="V65" i="15"/>
  <c r="U65" i="15"/>
  <c r="T65" i="15"/>
  <c r="S65" i="15"/>
  <c r="R65" i="15"/>
  <c r="Q65" i="15"/>
  <c r="P65" i="15"/>
  <c r="O65" i="15"/>
  <c r="N65" i="15"/>
  <c r="M65" i="15"/>
  <c r="L65" i="15"/>
  <c r="K65" i="15"/>
  <c r="J65" i="15"/>
  <c r="I65" i="15"/>
  <c r="H65" i="15"/>
  <c r="G65" i="15"/>
  <c r="F65" i="15"/>
  <c r="E65" i="15"/>
  <c r="D65" i="15"/>
  <c r="C65" i="15"/>
  <c r="B65" i="15"/>
  <c r="A65" i="15"/>
  <c r="Y64" i="15"/>
  <c r="X64" i="15"/>
  <c r="W64" i="15"/>
  <c r="V64" i="15"/>
  <c r="U64" i="15"/>
  <c r="T64" i="15"/>
  <c r="S64" i="15"/>
  <c r="R64" i="15"/>
  <c r="Q64" i="15"/>
  <c r="P64" i="15"/>
  <c r="O64" i="15"/>
  <c r="N64" i="15"/>
  <c r="M64" i="15"/>
  <c r="L64" i="15"/>
  <c r="K64" i="15"/>
  <c r="J64" i="15"/>
  <c r="I64" i="15"/>
  <c r="H64" i="15"/>
  <c r="G64" i="15"/>
  <c r="F64" i="15"/>
  <c r="E64" i="15"/>
  <c r="D64" i="15"/>
  <c r="C64" i="15"/>
  <c r="B64" i="15"/>
  <c r="A64" i="15"/>
  <c r="Y63" i="15"/>
  <c r="X63" i="15"/>
  <c r="W63" i="15"/>
  <c r="V63" i="15"/>
  <c r="U63" i="15"/>
  <c r="T63" i="15"/>
  <c r="S63" i="15"/>
  <c r="R63" i="15"/>
  <c r="Q63" i="15"/>
  <c r="P63" i="15"/>
  <c r="O63" i="15"/>
  <c r="N63" i="15"/>
  <c r="M63" i="15"/>
  <c r="L63" i="15"/>
  <c r="K63" i="15"/>
  <c r="J63" i="15"/>
  <c r="I63" i="15"/>
  <c r="H63" i="15"/>
  <c r="G63" i="15"/>
  <c r="F63" i="15"/>
  <c r="E63" i="15"/>
  <c r="D63" i="15"/>
  <c r="C63" i="15"/>
  <c r="B63" i="15"/>
  <c r="A63" i="15"/>
  <c r="Y62" i="15"/>
  <c r="X62" i="15"/>
  <c r="W62" i="15"/>
  <c r="V62" i="15"/>
  <c r="U62" i="15"/>
  <c r="T62" i="15"/>
  <c r="S62" i="15"/>
  <c r="R62" i="15"/>
  <c r="Q62" i="15"/>
  <c r="P62" i="15"/>
  <c r="O62" i="15"/>
  <c r="N62" i="15"/>
  <c r="M62" i="15"/>
  <c r="L62" i="15"/>
  <c r="K62" i="15"/>
  <c r="J62" i="15"/>
  <c r="I62" i="15"/>
  <c r="H62" i="15"/>
  <c r="G62" i="15"/>
  <c r="F62" i="15"/>
  <c r="E62" i="15"/>
  <c r="D62" i="15"/>
  <c r="C62" i="15"/>
  <c r="B62" i="15"/>
  <c r="A62" i="15"/>
  <c r="Y61" i="15"/>
  <c r="X61" i="15"/>
  <c r="W61" i="15"/>
  <c r="V61" i="15"/>
  <c r="U61" i="15"/>
  <c r="T61" i="15"/>
  <c r="S61" i="15"/>
  <c r="R61" i="15"/>
  <c r="Q61" i="15"/>
  <c r="P61" i="15"/>
  <c r="O61" i="15"/>
  <c r="N61" i="15"/>
  <c r="M61" i="15"/>
  <c r="L61" i="15"/>
  <c r="K61" i="15"/>
  <c r="J61" i="15"/>
  <c r="I61" i="15"/>
  <c r="H61" i="15"/>
  <c r="G61" i="15"/>
  <c r="F61" i="15"/>
  <c r="E61" i="15"/>
  <c r="D61" i="15"/>
  <c r="C61" i="15"/>
  <c r="B61" i="15"/>
  <c r="A61" i="15"/>
  <c r="Y60" i="15"/>
  <c r="X60" i="15"/>
  <c r="W60" i="15"/>
  <c r="V60" i="15"/>
  <c r="U60" i="15"/>
  <c r="T60" i="15"/>
  <c r="S60" i="15"/>
  <c r="R60" i="15"/>
  <c r="Q60" i="15"/>
  <c r="P60" i="15"/>
  <c r="O60" i="15"/>
  <c r="N60" i="15"/>
  <c r="M60" i="15"/>
  <c r="L60" i="15"/>
  <c r="K60" i="15"/>
  <c r="J60" i="15"/>
  <c r="I60" i="15"/>
  <c r="H60" i="15"/>
  <c r="G60" i="15"/>
  <c r="F60" i="15"/>
  <c r="E60" i="15"/>
  <c r="D60" i="15"/>
  <c r="C60" i="15"/>
  <c r="B60" i="15"/>
  <c r="A60" i="15"/>
  <c r="Y59" i="15"/>
  <c r="X59" i="15"/>
  <c r="W59" i="15"/>
  <c r="V59" i="15"/>
  <c r="U59" i="15"/>
  <c r="T59" i="15"/>
  <c r="S59" i="15"/>
  <c r="R59" i="15"/>
  <c r="Q59" i="15"/>
  <c r="P59" i="15"/>
  <c r="O59" i="15"/>
  <c r="N59" i="15"/>
  <c r="M59" i="15"/>
  <c r="L59" i="15"/>
  <c r="K59" i="15"/>
  <c r="J59" i="15"/>
  <c r="I59" i="15"/>
  <c r="H59" i="15"/>
  <c r="G59" i="15"/>
  <c r="F59" i="15"/>
  <c r="E59" i="15"/>
  <c r="D59" i="15"/>
  <c r="C59" i="15"/>
  <c r="B59" i="15"/>
  <c r="A59" i="15"/>
  <c r="Y58" i="15"/>
  <c r="X58" i="15"/>
  <c r="W58" i="15"/>
  <c r="V58" i="15"/>
  <c r="U58" i="15"/>
  <c r="T58" i="15"/>
  <c r="S58" i="15"/>
  <c r="R58" i="15"/>
  <c r="Q58" i="15"/>
  <c r="P58" i="15"/>
  <c r="O58" i="15"/>
  <c r="N58" i="15"/>
  <c r="M58" i="15"/>
  <c r="L58" i="15"/>
  <c r="K58" i="15"/>
  <c r="J58" i="15"/>
  <c r="I58" i="15"/>
  <c r="H58" i="15"/>
  <c r="G58" i="15"/>
  <c r="F58" i="15"/>
  <c r="E58" i="15"/>
  <c r="D58" i="15"/>
  <c r="C58" i="15"/>
  <c r="B58" i="15"/>
  <c r="A58" i="15"/>
  <c r="Y57" i="15"/>
  <c r="X57" i="15"/>
  <c r="W57" i="15"/>
  <c r="V57" i="15"/>
  <c r="U57" i="15"/>
  <c r="T57" i="15"/>
  <c r="S57" i="15"/>
  <c r="R57" i="15"/>
  <c r="Q57" i="15"/>
  <c r="P57" i="15"/>
  <c r="O57" i="15"/>
  <c r="N57" i="15"/>
  <c r="M57" i="15"/>
  <c r="L57" i="15"/>
  <c r="K57" i="15"/>
  <c r="J57" i="15"/>
  <c r="I57" i="15"/>
  <c r="H57" i="15"/>
  <c r="G57" i="15"/>
  <c r="F57" i="15"/>
  <c r="E57" i="15"/>
  <c r="D57" i="15"/>
  <c r="C57" i="15"/>
  <c r="B57" i="15"/>
  <c r="A57" i="15"/>
  <c r="Y56" i="15"/>
  <c r="X56" i="15"/>
  <c r="W56" i="15"/>
  <c r="V56" i="15"/>
  <c r="U56" i="15"/>
  <c r="T56" i="15"/>
  <c r="S56" i="15"/>
  <c r="R56" i="15"/>
  <c r="Q56" i="15"/>
  <c r="P56" i="15"/>
  <c r="O56" i="15"/>
  <c r="N56" i="15"/>
  <c r="M56" i="15"/>
  <c r="L56" i="15"/>
  <c r="K56" i="15"/>
  <c r="J56" i="15"/>
  <c r="I56" i="15"/>
  <c r="H56" i="15"/>
  <c r="G56" i="15"/>
  <c r="F56" i="15"/>
  <c r="E56" i="15"/>
  <c r="D56" i="15"/>
  <c r="C56" i="15"/>
  <c r="B56" i="15"/>
  <c r="A56" i="15"/>
  <c r="Y55" i="15"/>
  <c r="X55" i="15"/>
  <c r="W55" i="15"/>
  <c r="V55" i="15"/>
  <c r="U55" i="15"/>
  <c r="T55" i="15"/>
  <c r="S55" i="15"/>
  <c r="R55" i="15"/>
  <c r="Q55" i="15"/>
  <c r="P55" i="15"/>
  <c r="O55" i="15"/>
  <c r="N55" i="15"/>
  <c r="M55" i="15"/>
  <c r="L55" i="15"/>
  <c r="K55" i="15"/>
  <c r="J55" i="15"/>
  <c r="I55" i="15"/>
  <c r="H55" i="15"/>
  <c r="G55" i="15"/>
  <c r="F55" i="15"/>
  <c r="E55" i="15"/>
  <c r="D55" i="15"/>
  <c r="C55" i="15"/>
  <c r="B55" i="15"/>
  <c r="A55" i="15"/>
  <c r="Y54" i="15"/>
  <c r="X54" i="15"/>
  <c r="W54" i="15"/>
  <c r="V54" i="15"/>
  <c r="U54" i="15"/>
  <c r="T54" i="15"/>
  <c r="S54" i="15"/>
  <c r="R54" i="15"/>
  <c r="Q54" i="15"/>
  <c r="P54" i="15"/>
  <c r="O54" i="15"/>
  <c r="N54" i="15"/>
  <c r="M54" i="15"/>
  <c r="L54" i="15"/>
  <c r="K54" i="15"/>
  <c r="J54" i="15"/>
  <c r="I54" i="15"/>
  <c r="H54" i="15"/>
  <c r="G54" i="15"/>
  <c r="F54" i="15"/>
  <c r="E54" i="15"/>
  <c r="D54" i="15"/>
  <c r="C54" i="15"/>
  <c r="B54" i="15"/>
  <c r="A54" i="15"/>
  <c r="Y53" i="15"/>
  <c r="X53" i="15"/>
  <c r="W53" i="15"/>
  <c r="V53" i="15"/>
  <c r="U53" i="15"/>
  <c r="T53" i="15"/>
  <c r="S53" i="15"/>
  <c r="R53" i="15"/>
  <c r="Q53" i="15"/>
  <c r="P53" i="15"/>
  <c r="O53" i="15"/>
  <c r="N53" i="15"/>
  <c r="M53" i="15"/>
  <c r="L53" i="15"/>
  <c r="K53" i="15"/>
  <c r="J53" i="15"/>
  <c r="I53" i="15"/>
  <c r="H53" i="15"/>
  <c r="G53" i="15"/>
  <c r="F53" i="15"/>
  <c r="E53" i="15"/>
  <c r="D53" i="15"/>
  <c r="C53" i="15"/>
  <c r="B53" i="15"/>
  <c r="A53" i="15"/>
  <c r="Y52" i="15"/>
  <c r="X52" i="15"/>
  <c r="W52" i="15"/>
  <c r="V52" i="15"/>
  <c r="U52" i="15"/>
  <c r="T52" i="15"/>
  <c r="S52" i="15"/>
  <c r="R52" i="15"/>
  <c r="Q52" i="15"/>
  <c r="P52" i="15"/>
  <c r="O52" i="15"/>
  <c r="N52" i="15"/>
  <c r="M52" i="15"/>
  <c r="L52" i="15"/>
  <c r="K52" i="15"/>
  <c r="J52" i="15"/>
  <c r="I52" i="15"/>
  <c r="H52" i="15"/>
  <c r="G52" i="15"/>
  <c r="F52" i="15"/>
  <c r="E52" i="15"/>
  <c r="D52" i="15"/>
  <c r="C52" i="15"/>
  <c r="B52" i="15"/>
  <c r="A52" i="15"/>
  <c r="Y51" i="15"/>
  <c r="X51" i="15"/>
  <c r="W51" i="15"/>
  <c r="V51" i="15"/>
  <c r="U51" i="15"/>
  <c r="T51" i="15"/>
  <c r="S51" i="15"/>
  <c r="R51" i="15"/>
  <c r="Q51" i="15"/>
  <c r="P51" i="15"/>
  <c r="O51" i="15"/>
  <c r="N51" i="15"/>
  <c r="M51" i="15"/>
  <c r="L51" i="15"/>
  <c r="K51" i="15"/>
  <c r="J51" i="15"/>
  <c r="I51" i="15"/>
  <c r="H51" i="15"/>
  <c r="G51" i="15"/>
  <c r="F51" i="15"/>
  <c r="E51" i="15"/>
  <c r="D51" i="15"/>
  <c r="C51" i="15"/>
  <c r="B51" i="15"/>
  <c r="A51" i="15"/>
  <c r="Y50" i="15"/>
  <c r="X50" i="15"/>
  <c r="W50" i="15"/>
  <c r="V50" i="15"/>
  <c r="U50" i="15"/>
  <c r="T50" i="15"/>
  <c r="S50" i="15"/>
  <c r="R50" i="15"/>
  <c r="Q50" i="15"/>
  <c r="P50" i="15"/>
  <c r="O50" i="15"/>
  <c r="N50" i="15"/>
  <c r="M50" i="15"/>
  <c r="L50" i="15"/>
  <c r="K50" i="15"/>
  <c r="J50" i="15"/>
  <c r="I50" i="15"/>
  <c r="H50" i="15"/>
  <c r="G50" i="15"/>
  <c r="F50" i="15"/>
  <c r="E50" i="15"/>
  <c r="D50" i="15"/>
  <c r="C50" i="15"/>
  <c r="B50" i="15"/>
  <c r="A50" i="15"/>
  <c r="Y49" i="15"/>
  <c r="X49" i="15"/>
  <c r="W49" i="15"/>
  <c r="V49" i="15"/>
  <c r="U49" i="15"/>
  <c r="T49" i="15"/>
  <c r="S49" i="15"/>
  <c r="R49" i="15"/>
  <c r="Q49" i="15"/>
  <c r="P49" i="15"/>
  <c r="O49" i="15"/>
  <c r="N49" i="15"/>
  <c r="M49" i="15"/>
  <c r="L49" i="15"/>
  <c r="K49" i="15"/>
  <c r="J49" i="15"/>
  <c r="I49" i="15"/>
  <c r="H49" i="15"/>
  <c r="G49" i="15"/>
  <c r="F49" i="15"/>
  <c r="E49" i="15"/>
  <c r="D49" i="15"/>
  <c r="C49" i="15"/>
  <c r="B49" i="15"/>
  <c r="A49" i="15"/>
  <c r="Y48" i="15"/>
  <c r="X48" i="15"/>
  <c r="W48" i="15"/>
  <c r="V48" i="15"/>
  <c r="U48" i="15"/>
  <c r="T48" i="15"/>
  <c r="S48" i="15"/>
  <c r="R48" i="15"/>
  <c r="Q48" i="15"/>
  <c r="P48" i="15"/>
  <c r="O48" i="15"/>
  <c r="N48" i="15"/>
  <c r="M48" i="15"/>
  <c r="L48" i="15"/>
  <c r="K48" i="15"/>
  <c r="J48" i="15"/>
  <c r="I48" i="15"/>
  <c r="H48" i="15"/>
  <c r="G48" i="15"/>
  <c r="F48" i="15"/>
  <c r="E48" i="15"/>
  <c r="D48" i="15"/>
  <c r="C48" i="15"/>
  <c r="B48" i="15"/>
  <c r="A48" i="15"/>
  <c r="Y47" i="15"/>
  <c r="X47" i="15"/>
  <c r="W47" i="15"/>
  <c r="V47" i="15"/>
  <c r="U47" i="15"/>
  <c r="T47" i="15"/>
  <c r="S47" i="15"/>
  <c r="R47" i="15"/>
  <c r="Q47" i="15"/>
  <c r="P47" i="15"/>
  <c r="O47" i="15"/>
  <c r="N47" i="15"/>
  <c r="M47" i="15"/>
  <c r="L47" i="15"/>
  <c r="K47" i="15"/>
  <c r="J47" i="15"/>
  <c r="I47" i="15"/>
  <c r="H47" i="15"/>
  <c r="G47" i="15"/>
  <c r="F47" i="15"/>
  <c r="E47" i="15"/>
  <c r="D47" i="15"/>
  <c r="C47" i="15"/>
  <c r="B47" i="15"/>
  <c r="A47" i="15"/>
  <c r="Y46" i="15"/>
  <c r="X46" i="15"/>
  <c r="W46" i="15"/>
  <c r="V46" i="15"/>
  <c r="U46" i="15"/>
  <c r="T46" i="15"/>
  <c r="S46" i="15"/>
  <c r="R46" i="15"/>
  <c r="Q46" i="15"/>
  <c r="P46" i="15"/>
  <c r="O46" i="15"/>
  <c r="N46" i="15"/>
  <c r="M46" i="15"/>
  <c r="L46" i="15"/>
  <c r="K46" i="15"/>
  <c r="J46" i="15"/>
  <c r="I46" i="15"/>
  <c r="H46" i="15"/>
  <c r="G46" i="15"/>
  <c r="F46" i="15"/>
  <c r="E46" i="15"/>
  <c r="D46" i="15"/>
  <c r="C46" i="15"/>
  <c r="B46" i="15"/>
  <c r="A46" i="15"/>
  <c r="Y45" i="15"/>
  <c r="X45" i="15"/>
  <c r="W45" i="15"/>
  <c r="V45" i="15"/>
  <c r="U45" i="15"/>
  <c r="T45" i="15"/>
  <c r="S45" i="15"/>
  <c r="R45" i="15"/>
  <c r="Q45" i="15"/>
  <c r="P45" i="15"/>
  <c r="O45" i="15"/>
  <c r="N45" i="15"/>
  <c r="M45" i="15"/>
  <c r="L45" i="15"/>
  <c r="K45" i="15"/>
  <c r="J45" i="15"/>
  <c r="I45" i="15"/>
  <c r="H45" i="15"/>
  <c r="G45" i="15"/>
  <c r="F45" i="15"/>
  <c r="E45" i="15"/>
  <c r="D45" i="15"/>
  <c r="C45" i="15"/>
  <c r="B45" i="15"/>
  <c r="A45" i="15"/>
  <c r="Y44" i="15"/>
  <c r="X44" i="15"/>
  <c r="W44" i="15"/>
  <c r="V44" i="15"/>
  <c r="U44" i="15"/>
  <c r="T44" i="15"/>
  <c r="S44" i="15"/>
  <c r="R44" i="15"/>
  <c r="Q44" i="15"/>
  <c r="P44" i="15"/>
  <c r="O44" i="15"/>
  <c r="N44" i="15"/>
  <c r="M44" i="15"/>
  <c r="L44" i="15"/>
  <c r="K44" i="15"/>
  <c r="J44" i="15"/>
  <c r="I44" i="15"/>
  <c r="H44" i="15"/>
  <c r="G44" i="15"/>
  <c r="F44" i="15"/>
  <c r="E44" i="15"/>
  <c r="D44" i="15"/>
  <c r="C44" i="15"/>
  <c r="B44" i="15"/>
  <c r="A44" i="15"/>
  <c r="Y43" i="15"/>
  <c r="X43" i="15"/>
  <c r="W43" i="15"/>
  <c r="V43" i="15"/>
  <c r="U43" i="15"/>
  <c r="T43" i="15"/>
  <c r="S43" i="15"/>
  <c r="R43" i="15"/>
  <c r="Q43" i="15"/>
  <c r="P43" i="15"/>
  <c r="O43" i="15"/>
  <c r="N43" i="15"/>
  <c r="M43" i="15"/>
  <c r="L43" i="15"/>
  <c r="K43" i="15"/>
  <c r="J43" i="15"/>
  <c r="I43" i="15"/>
  <c r="H43" i="15"/>
  <c r="G43" i="15"/>
  <c r="F43" i="15"/>
  <c r="E43" i="15"/>
  <c r="D43" i="15"/>
  <c r="C43" i="15"/>
  <c r="B43" i="15"/>
  <c r="A43" i="15"/>
  <c r="Y42" i="15"/>
  <c r="X42" i="15"/>
  <c r="W42" i="15"/>
  <c r="V42" i="15"/>
  <c r="U42" i="15"/>
  <c r="T42" i="15"/>
  <c r="S42" i="15"/>
  <c r="R42" i="15"/>
  <c r="Q42" i="15"/>
  <c r="P42" i="15"/>
  <c r="O42" i="15"/>
  <c r="N42" i="15"/>
  <c r="M42" i="15"/>
  <c r="L42" i="15"/>
  <c r="K42" i="15"/>
  <c r="J42" i="15"/>
  <c r="I42" i="15"/>
  <c r="H42" i="15"/>
  <c r="G42" i="15"/>
  <c r="F42" i="15"/>
  <c r="E42" i="15"/>
  <c r="D42" i="15"/>
  <c r="C42" i="15"/>
  <c r="B42" i="15"/>
  <c r="A42" i="15"/>
  <c r="Y41" i="15"/>
  <c r="X41" i="15"/>
  <c r="W41" i="15"/>
  <c r="V41" i="15"/>
  <c r="U41" i="15"/>
  <c r="T41" i="15"/>
  <c r="S41" i="15"/>
  <c r="R41" i="15"/>
  <c r="Q41" i="15"/>
  <c r="P41" i="15"/>
  <c r="O41" i="15"/>
  <c r="N41" i="15"/>
  <c r="M41" i="15"/>
  <c r="L41" i="15"/>
  <c r="K41" i="15"/>
  <c r="J41" i="15"/>
  <c r="I41" i="15"/>
  <c r="H41" i="15"/>
  <c r="G41" i="15"/>
  <c r="F41" i="15"/>
  <c r="E41" i="15"/>
  <c r="D41" i="15"/>
  <c r="C41" i="15"/>
  <c r="B41" i="15"/>
  <c r="A41" i="15"/>
  <c r="Y40" i="15"/>
  <c r="X40" i="15"/>
  <c r="W40" i="15"/>
  <c r="V40" i="15"/>
  <c r="U40" i="15"/>
  <c r="T40" i="15"/>
  <c r="S40" i="15"/>
  <c r="R40" i="15"/>
  <c r="Q40" i="15"/>
  <c r="P40" i="15"/>
  <c r="O40" i="15"/>
  <c r="N40" i="15"/>
  <c r="M40" i="15"/>
  <c r="L40" i="15"/>
  <c r="K40" i="15"/>
  <c r="J40" i="15"/>
  <c r="I40" i="15"/>
  <c r="H40" i="15"/>
  <c r="G40" i="15"/>
  <c r="F40" i="15"/>
  <c r="E40" i="15"/>
  <c r="D40" i="15"/>
  <c r="C40" i="15"/>
  <c r="B40" i="15"/>
  <c r="A40" i="15"/>
  <c r="Y39" i="15"/>
  <c r="X39" i="15"/>
  <c r="W39" i="15"/>
  <c r="V39" i="15"/>
  <c r="U39" i="15"/>
  <c r="T39" i="15"/>
  <c r="S39" i="15"/>
  <c r="R39" i="15"/>
  <c r="Q39" i="15"/>
  <c r="P39" i="15"/>
  <c r="O39" i="15"/>
  <c r="N39" i="15"/>
  <c r="M39" i="15"/>
  <c r="L39" i="15"/>
  <c r="K39" i="15"/>
  <c r="J39" i="15"/>
  <c r="I39" i="15"/>
  <c r="H39" i="15"/>
  <c r="G39" i="15"/>
  <c r="F39" i="15"/>
  <c r="E39" i="15"/>
  <c r="D39" i="15"/>
  <c r="C39" i="15"/>
  <c r="B39" i="15"/>
  <c r="A39" i="15"/>
  <c r="Y38" i="15"/>
  <c r="X38" i="15"/>
  <c r="W38" i="15"/>
  <c r="V38" i="15"/>
  <c r="U38" i="15"/>
  <c r="T38" i="15"/>
  <c r="S38" i="15"/>
  <c r="R38" i="15"/>
  <c r="Q38" i="15"/>
  <c r="P38" i="15"/>
  <c r="O38" i="15"/>
  <c r="N38" i="15"/>
  <c r="M38" i="15"/>
  <c r="L38" i="15"/>
  <c r="K38" i="15"/>
  <c r="J38" i="15"/>
  <c r="I38" i="15"/>
  <c r="H38" i="15"/>
  <c r="G38" i="15"/>
  <c r="F38" i="15"/>
  <c r="E38" i="15"/>
  <c r="D38" i="15"/>
  <c r="C38" i="15"/>
  <c r="B38" i="15"/>
  <c r="A38" i="15"/>
  <c r="Y37" i="15"/>
  <c r="X37" i="15"/>
  <c r="W37" i="15"/>
  <c r="V37" i="15"/>
  <c r="U37" i="15"/>
  <c r="T37" i="15"/>
  <c r="S37" i="15"/>
  <c r="R37" i="15"/>
  <c r="Q37" i="15"/>
  <c r="P37" i="15"/>
  <c r="O37" i="15"/>
  <c r="N37" i="15"/>
  <c r="M37" i="15"/>
  <c r="L37" i="15"/>
  <c r="K37" i="15"/>
  <c r="J37" i="15"/>
  <c r="I37" i="15"/>
  <c r="H37" i="15"/>
  <c r="G37" i="15"/>
  <c r="F37" i="15"/>
  <c r="E37" i="15"/>
  <c r="D37" i="15"/>
  <c r="C37" i="15"/>
  <c r="B37" i="15"/>
  <c r="A37" i="15"/>
  <c r="Y36" i="15"/>
  <c r="X36" i="15"/>
  <c r="W36" i="15"/>
  <c r="V36" i="15"/>
  <c r="U36" i="15"/>
  <c r="T36" i="15"/>
  <c r="S36" i="15"/>
  <c r="R36" i="15"/>
  <c r="Q36" i="15"/>
  <c r="P36" i="15"/>
  <c r="O36" i="15"/>
  <c r="N36" i="15"/>
  <c r="M36" i="15"/>
  <c r="L36" i="15"/>
  <c r="K36" i="15"/>
  <c r="J36" i="15"/>
  <c r="I36" i="15"/>
  <c r="H36" i="15"/>
  <c r="G36" i="15"/>
  <c r="F36" i="15"/>
  <c r="E36" i="15"/>
  <c r="D36" i="15"/>
  <c r="C36" i="15"/>
  <c r="B36" i="15"/>
  <c r="A36" i="15"/>
  <c r="Y35" i="15"/>
  <c r="X35" i="15"/>
  <c r="W35" i="15"/>
  <c r="V35" i="15"/>
  <c r="U35" i="15"/>
  <c r="T35" i="15"/>
  <c r="S35" i="15"/>
  <c r="R35" i="15"/>
  <c r="Q35" i="15"/>
  <c r="P35" i="15"/>
  <c r="O35" i="15"/>
  <c r="N35" i="15"/>
  <c r="M35" i="15"/>
  <c r="L35" i="15"/>
  <c r="K35" i="15"/>
  <c r="J35" i="15"/>
  <c r="I35" i="15"/>
  <c r="H35" i="15"/>
  <c r="G35" i="15"/>
  <c r="F35" i="15"/>
  <c r="E35" i="15"/>
  <c r="D35" i="15"/>
  <c r="C35" i="15"/>
  <c r="B35" i="15"/>
  <c r="A35" i="15"/>
  <c r="Y34" i="15"/>
  <c r="X34" i="15"/>
  <c r="W34" i="15"/>
  <c r="V34" i="15"/>
  <c r="U34" i="15"/>
  <c r="T34" i="15"/>
  <c r="S34" i="15"/>
  <c r="R34" i="15"/>
  <c r="Q34" i="15"/>
  <c r="P34" i="15"/>
  <c r="O34" i="15"/>
  <c r="N34" i="15"/>
  <c r="M34" i="15"/>
  <c r="L34" i="15"/>
  <c r="K34" i="15"/>
  <c r="J34" i="15"/>
  <c r="I34" i="15"/>
  <c r="H34" i="15"/>
  <c r="G34" i="15"/>
  <c r="F34" i="15"/>
  <c r="E34" i="15"/>
  <c r="D34" i="15"/>
  <c r="C34" i="15"/>
  <c r="B34" i="15"/>
  <c r="A34" i="15"/>
  <c r="Y33" i="15"/>
  <c r="X33" i="15"/>
  <c r="W33" i="15"/>
  <c r="V33" i="15"/>
  <c r="U33" i="15"/>
  <c r="T33" i="15"/>
  <c r="S33" i="15"/>
  <c r="R33" i="15"/>
  <c r="Q33" i="15"/>
  <c r="P33" i="15"/>
  <c r="O33" i="15"/>
  <c r="N33" i="15"/>
  <c r="M33" i="15"/>
  <c r="L33" i="15"/>
  <c r="K33" i="15"/>
  <c r="J33" i="15"/>
  <c r="I33" i="15"/>
  <c r="H33" i="15"/>
  <c r="G33" i="15"/>
  <c r="F33" i="15"/>
  <c r="E33" i="15"/>
  <c r="D33" i="15"/>
  <c r="C33" i="15"/>
  <c r="B33" i="15"/>
  <c r="A33" i="15"/>
  <c r="Y32" i="15"/>
  <c r="X32" i="15"/>
  <c r="W32" i="15"/>
  <c r="V32" i="15"/>
  <c r="U32" i="15"/>
  <c r="T32" i="15"/>
  <c r="S32" i="15"/>
  <c r="R32" i="15"/>
  <c r="Q32" i="15"/>
  <c r="P32" i="15"/>
  <c r="O32" i="15"/>
  <c r="N32" i="15"/>
  <c r="M32" i="15"/>
  <c r="L32" i="15"/>
  <c r="K32" i="15"/>
  <c r="J32" i="15"/>
  <c r="I32" i="15"/>
  <c r="H32" i="15"/>
  <c r="G32" i="15"/>
  <c r="F32" i="15"/>
  <c r="E32" i="15"/>
  <c r="D32" i="15"/>
  <c r="C32" i="15"/>
  <c r="B32" i="15"/>
  <c r="A32" i="15"/>
  <c r="Y31" i="15"/>
  <c r="X31" i="15"/>
  <c r="W31" i="15"/>
  <c r="V31" i="15"/>
  <c r="U31" i="15"/>
  <c r="T31" i="15"/>
  <c r="S31" i="15"/>
  <c r="R31" i="15"/>
  <c r="Q31" i="15"/>
  <c r="P31" i="15"/>
  <c r="O31" i="15"/>
  <c r="N31" i="15"/>
  <c r="M31" i="15"/>
  <c r="L31" i="15"/>
  <c r="K31" i="15"/>
  <c r="J31" i="15"/>
  <c r="I31" i="15"/>
  <c r="H31" i="15"/>
  <c r="G31" i="15"/>
  <c r="F31" i="15"/>
  <c r="E31" i="15"/>
  <c r="D31" i="15"/>
  <c r="C31" i="15"/>
  <c r="B31" i="15"/>
  <c r="A31" i="15"/>
  <c r="Y30" i="15"/>
  <c r="X30" i="15"/>
  <c r="W30" i="15"/>
  <c r="V30" i="15"/>
  <c r="U30" i="15"/>
  <c r="T30" i="15"/>
  <c r="S30" i="15"/>
  <c r="R30" i="15"/>
  <c r="Q30" i="15"/>
  <c r="P30" i="15"/>
  <c r="O30" i="15"/>
  <c r="N30" i="15"/>
  <c r="M30" i="15"/>
  <c r="L30" i="15"/>
  <c r="K30" i="15"/>
  <c r="J30" i="15"/>
  <c r="I30" i="15"/>
  <c r="H30" i="15"/>
  <c r="G30" i="15"/>
  <c r="F30" i="15"/>
  <c r="E30" i="15"/>
  <c r="D30" i="15"/>
  <c r="C30" i="15"/>
  <c r="B30" i="15"/>
  <c r="A30" i="15"/>
  <c r="Y29" i="15"/>
  <c r="X29" i="15"/>
  <c r="W29" i="15"/>
  <c r="V29" i="15"/>
  <c r="U29" i="15"/>
  <c r="T29" i="15"/>
  <c r="S29" i="15"/>
  <c r="R29" i="15"/>
  <c r="Q29" i="15"/>
  <c r="P29" i="15"/>
  <c r="O29" i="15"/>
  <c r="N29" i="15"/>
  <c r="M29" i="15"/>
  <c r="L29" i="15"/>
  <c r="K29" i="15"/>
  <c r="J29" i="15"/>
  <c r="I29" i="15"/>
  <c r="H29" i="15"/>
  <c r="G29" i="15"/>
  <c r="F29" i="15"/>
  <c r="E29" i="15"/>
  <c r="D29" i="15"/>
  <c r="C29" i="15"/>
  <c r="B29" i="15"/>
  <c r="A29" i="15"/>
  <c r="Y28" i="15"/>
  <c r="X28" i="15"/>
  <c r="W28" i="15"/>
  <c r="V28" i="15"/>
  <c r="U28" i="15"/>
  <c r="T28" i="15"/>
  <c r="S28" i="15"/>
  <c r="R28" i="15"/>
  <c r="Q28" i="15"/>
  <c r="P28" i="15"/>
  <c r="O28" i="15"/>
  <c r="N28" i="15"/>
  <c r="M28" i="15"/>
  <c r="L28" i="15"/>
  <c r="K28" i="15"/>
  <c r="J28" i="15"/>
  <c r="I28" i="15"/>
  <c r="H28" i="15"/>
  <c r="G28" i="15"/>
  <c r="F28" i="15"/>
  <c r="E28" i="15"/>
  <c r="D28" i="15"/>
  <c r="C28" i="15"/>
  <c r="B28" i="15"/>
  <c r="A28" i="15"/>
  <c r="Y27" i="15"/>
  <c r="X27" i="15"/>
  <c r="W27" i="15"/>
  <c r="V27" i="15"/>
  <c r="U27" i="15"/>
  <c r="T27" i="15"/>
  <c r="S27" i="15"/>
  <c r="R27" i="15"/>
  <c r="Q27" i="15"/>
  <c r="P27" i="15"/>
  <c r="O27" i="15"/>
  <c r="N27" i="15"/>
  <c r="M27" i="15"/>
  <c r="L27" i="15"/>
  <c r="K27" i="15"/>
  <c r="J27" i="15"/>
  <c r="I27" i="15"/>
  <c r="H27" i="15"/>
  <c r="G27" i="15"/>
  <c r="F27" i="15"/>
  <c r="E27" i="15"/>
  <c r="D27" i="15"/>
  <c r="C27" i="15"/>
  <c r="B27" i="15"/>
  <c r="A27" i="15"/>
  <c r="Y26" i="15"/>
  <c r="X26" i="15"/>
  <c r="W26" i="15"/>
  <c r="V26" i="15"/>
  <c r="U26" i="15"/>
  <c r="T26" i="15"/>
  <c r="S26" i="15"/>
  <c r="R26" i="15"/>
  <c r="Q26" i="15"/>
  <c r="P26" i="15"/>
  <c r="O26" i="15"/>
  <c r="N26" i="15"/>
  <c r="M26" i="15"/>
  <c r="L26" i="15"/>
  <c r="K26" i="15"/>
  <c r="J26" i="15"/>
  <c r="I26" i="15"/>
  <c r="H26" i="15"/>
  <c r="G26" i="15"/>
  <c r="F26" i="15"/>
  <c r="E26" i="15"/>
  <c r="D26" i="15"/>
  <c r="C26" i="15"/>
  <c r="B26" i="15"/>
  <c r="A26" i="15"/>
  <c r="Y25" i="15"/>
  <c r="X25" i="15"/>
  <c r="W25" i="15"/>
  <c r="V25" i="15"/>
  <c r="U25" i="15"/>
  <c r="T25" i="15"/>
  <c r="S25" i="15"/>
  <c r="R25" i="15"/>
  <c r="Q25" i="15"/>
  <c r="P25" i="15"/>
  <c r="O25" i="15"/>
  <c r="N25" i="15"/>
  <c r="M25" i="15"/>
  <c r="L25" i="15"/>
  <c r="K25" i="15"/>
  <c r="J25" i="15"/>
  <c r="I25" i="15"/>
  <c r="H25" i="15"/>
  <c r="G25" i="15"/>
  <c r="F25" i="15"/>
  <c r="E25" i="15"/>
  <c r="D25" i="15"/>
  <c r="C25" i="15"/>
  <c r="B25" i="15"/>
  <c r="A25" i="15"/>
  <c r="Y24" i="15"/>
  <c r="X24" i="15"/>
  <c r="W24" i="15"/>
  <c r="V24" i="15"/>
  <c r="U24" i="15"/>
  <c r="T24" i="15"/>
  <c r="S24" i="15"/>
  <c r="R24" i="15"/>
  <c r="Q24" i="15"/>
  <c r="P24" i="15"/>
  <c r="O24" i="15"/>
  <c r="N24" i="15"/>
  <c r="M24" i="15"/>
  <c r="L24" i="15"/>
  <c r="K24" i="15"/>
  <c r="J24" i="15"/>
  <c r="I24" i="15"/>
  <c r="H24" i="15"/>
  <c r="G24" i="15"/>
  <c r="F24" i="15"/>
  <c r="E24" i="15"/>
  <c r="D24" i="15"/>
  <c r="C24" i="15"/>
  <c r="B24" i="15"/>
  <c r="A24" i="15"/>
  <c r="Y23" i="15"/>
  <c r="X23" i="15"/>
  <c r="W23" i="15"/>
  <c r="V23" i="15"/>
  <c r="U23" i="15"/>
  <c r="T23" i="15"/>
  <c r="S23" i="15"/>
  <c r="R23" i="15"/>
  <c r="Q23" i="15"/>
  <c r="P23" i="15"/>
  <c r="O23" i="15"/>
  <c r="N23" i="15"/>
  <c r="M23" i="15"/>
  <c r="L23" i="15"/>
  <c r="K23" i="15"/>
  <c r="J23" i="15"/>
  <c r="I23" i="15"/>
  <c r="H23" i="15"/>
  <c r="G23" i="15"/>
  <c r="F23" i="15"/>
  <c r="E23" i="15"/>
  <c r="D23" i="15"/>
  <c r="C23" i="15"/>
  <c r="B23" i="15"/>
  <c r="A23" i="15"/>
  <c r="Y22" i="15"/>
  <c r="X22" i="15"/>
  <c r="W22" i="15"/>
  <c r="V22" i="15"/>
  <c r="U22" i="15"/>
  <c r="T22" i="15"/>
  <c r="S22" i="15"/>
  <c r="R22" i="15"/>
  <c r="Q22" i="15"/>
  <c r="P22" i="15"/>
  <c r="O22" i="15"/>
  <c r="N22" i="15"/>
  <c r="M22" i="15"/>
  <c r="L22" i="15"/>
  <c r="K22" i="15"/>
  <c r="J22" i="15"/>
  <c r="I22" i="15"/>
  <c r="H22" i="15"/>
  <c r="G22" i="15"/>
  <c r="F22" i="15"/>
  <c r="E22" i="15"/>
  <c r="D22" i="15"/>
  <c r="C22" i="15"/>
  <c r="B22" i="15"/>
  <c r="A22" i="15"/>
  <c r="Y21" i="15"/>
  <c r="X21" i="15"/>
  <c r="W21" i="15"/>
  <c r="V21" i="15"/>
  <c r="U21" i="15"/>
  <c r="T21" i="15"/>
  <c r="S21" i="15"/>
  <c r="R21" i="15"/>
  <c r="Q21" i="15"/>
  <c r="P21" i="15"/>
  <c r="O21" i="15"/>
  <c r="N21" i="15"/>
  <c r="M21" i="15"/>
  <c r="L21" i="15"/>
  <c r="K21" i="15"/>
  <c r="J21" i="15"/>
  <c r="I21" i="15"/>
  <c r="H21" i="15"/>
  <c r="G21" i="15"/>
  <c r="F21" i="15"/>
  <c r="E21" i="15"/>
  <c r="D21" i="15"/>
  <c r="C21" i="15"/>
  <c r="B21" i="15"/>
  <c r="A21" i="15"/>
  <c r="Y20" i="15"/>
  <c r="X20" i="15"/>
  <c r="W20" i="15"/>
  <c r="V20" i="15"/>
  <c r="U20" i="15"/>
  <c r="T20" i="15"/>
  <c r="S20" i="15"/>
  <c r="R20" i="15"/>
  <c r="Q20" i="15"/>
  <c r="P20" i="15"/>
  <c r="O20" i="15"/>
  <c r="N20" i="15"/>
  <c r="M20" i="15"/>
  <c r="L20" i="15"/>
  <c r="K20" i="15"/>
  <c r="J20" i="15"/>
  <c r="I20" i="15"/>
  <c r="H20" i="15"/>
  <c r="G20" i="15"/>
  <c r="F20" i="15"/>
  <c r="E20" i="15"/>
  <c r="D20" i="15"/>
  <c r="C20" i="15"/>
  <c r="B20" i="15"/>
  <c r="A20" i="15"/>
  <c r="Y19" i="15"/>
  <c r="X19" i="15"/>
  <c r="W19" i="15"/>
  <c r="V19" i="15"/>
  <c r="U19" i="15"/>
  <c r="T19" i="15"/>
  <c r="S19" i="15"/>
  <c r="R19" i="15"/>
  <c r="Q19" i="15"/>
  <c r="P19" i="15"/>
  <c r="O19" i="15"/>
  <c r="N19" i="15"/>
  <c r="M19" i="15"/>
  <c r="L19" i="15"/>
  <c r="K19" i="15"/>
  <c r="J19" i="15"/>
  <c r="I19" i="15"/>
  <c r="H19" i="15"/>
  <c r="G19" i="15"/>
  <c r="F19" i="15"/>
  <c r="E19" i="15"/>
  <c r="D19" i="15"/>
  <c r="C19" i="15"/>
  <c r="B19" i="15"/>
  <c r="A19" i="15"/>
  <c r="Y18" i="15"/>
  <c r="X18" i="15"/>
  <c r="W18" i="15"/>
  <c r="V18" i="15"/>
  <c r="U18" i="15"/>
  <c r="T18" i="15"/>
  <c r="S18" i="15"/>
  <c r="R18" i="15"/>
  <c r="Q18" i="15"/>
  <c r="P18" i="15"/>
  <c r="O18" i="15"/>
  <c r="N18" i="15"/>
  <c r="M18" i="15"/>
  <c r="L18" i="15"/>
  <c r="K18" i="15"/>
  <c r="J18" i="15"/>
  <c r="I18" i="15"/>
  <c r="H18" i="15"/>
  <c r="G18" i="15"/>
  <c r="F18" i="15"/>
  <c r="E18" i="15"/>
  <c r="D18" i="15"/>
  <c r="C18" i="15"/>
  <c r="B18" i="15"/>
  <c r="A18" i="15"/>
  <c r="Y17" i="15"/>
  <c r="X17" i="15"/>
  <c r="W17" i="15"/>
  <c r="V17" i="15"/>
  <c r="U17" i="15"/>
  <c r="T17" i="15"/>
  <c r="S17" i="15"/>
  <c r="R17" i="15"/>
  <c r="Q17" i="15"/>
  <c r="P17" i="15"/>
  <c r="O17" i="15"/>
  <c r="N17" i="15"/>
  <c r="M17" i="15"/>
  <c r="L17" i="15"/>
  <c r="K17" i="15"/>
  <c r="J17" i="15"/>
  <c r="I17" i="15"/>
  <c r="H17" i="15"/>
  <c r="G17" i="15"/>
  <c r="F17" i="15"/>
  <c r="E17" i="15"/>
  <c r="D17" i="15"/>
  <c r="C17" i="15"/>
  <c r="B17" i="15"/>
  <c r="A17" i="15"/>
  <c r="Y16" i="15"/>
  <c r="X16" i="15"/>
  <c r="W16" i="15"/>
  <c r="V16" i="15"/>
  <c r="U16" i="15"/>
  <c r="T16" i="15"/>
  <c r="S16" i="15"/>
  <c r="R16" i="15"/>
  <c r="Q16" i="15"/>
  <c r="P16" i="15"/>
  <c r="O16" i="15"/>
  <c r="N16" i="15"/>
  <c r="M16" i="15"/>
  <c r="L16" i="15"/>
  <c r="K16" i="15"/>
  <c r="J16" i="15"/>
  <c r="I16" i="15"/>
  <c r="H16" i="15"/>
  <c r="G16" i="15"/>
  <c r="F16" i="15"/>
  <c r="E16" i="15"/>
  <c r="D16" i="15"/>
  <c r="C16" i="15"/>
  <c r="B16" i="15"/>
  <c r="A16" i="15"/>
  <c r="Y15" i="15"/>
  <c r="X15" i="15"/>
  <c r="W15" i="15"/>
  <c r="V15" i="15"/>
  <c r="U15" i="15"/>
  <c r="T15" i="15"/>
  <c r="S15" i="15"/>
  <c r="R15" i="15"/>
  <c r="Q15" i="15"/>
  <c r="P15" i="15"/>
  <c r="O15" i="15"/>
  <c r="N15" i="15"/>
  <c r="M15" i="15"/>
  <c r="L15" i="15"/>
  <c r="K15" i="15"/>
  <c r="J15" i="15"/>
  <c r="I15" i="15"/>
  <c r="H15" i="15"/>
  <c r="G15" i="15"/>
  <c r="F15" i="15"/>
  <c r="E15" i="15"/>
  <c r="D15" i="15"/>
  <c r="C15" i="15"/>
  <c r="B15" i="15"/>
  <c r="A15" i="15"/>
  <c r="Y14" i="15"/>
  <c r="X14" i="15"/>
  <c r="W14" i="15"/>
  <c r="V14" i="15"/>
  <c r="U14" i="15"/>
  <c r="T14" i="15"/>
  <c r="S14" i="15"/>
  <c r="R14" i="15"/>
  <c r="Q14" i="15"/>
  <c r="P14" i="15"/>
  <c r="O14" i="15"/>
  <c r="N14" i="15"/>
  <c r="M14" i="15"/>
  <c r="L14" i="15"/>
  <c r="K14" i="15"/>
  <c r="J14" i="15"/>
  <c r="I14" i="15"/>
  <c r="H14" i="15"/>
  <c r="G14" i="15"/>
  <c r="F14" i="15"/>
  <c r="E14" i="15"/>
  <c r="D14" i="15"/>
  <c r="C14" i="15"/>
  <c r="B14" i="15"/>
  <c r="A14" i="15"/>
  <c r="Y13" i="15"/>
  <c r="X13" i="15"/>
  <c r="W13" i="15"/>
  <c r="V13" i="15"/>
  <c r="U13" i="15"/>
  <c r="T13" i="15"/>
  <c r="S13" i="15"/>
  <c r="R13" i="15"/>
  <c r="Q13" i="15"/>
  <c r="P13" i="15"/>
  <c r="O13" i="15"/>
  <c r="N13" i="15"/>
  <c r="M13" i="15"/>
  <c r="L13" i="15"/>
  <c r="K13" i="15"/>
  <c r="J13" i="15"/>
  <c r="I13" i="15"/>
  <c r="H13" i="15"/>
  <c r="G13" i="15"/>
  <c r="F13" i="15"/>
  <c r="E13" i="15"/>
  <c r="D13" i="15"/>
  <c r="C13" i="15"/>
  <c r="B13" i="15"/>
  <c r="A13" i="15"/>
  <c r="Y12" i="15"/>
  <c r="X12" i="15"/>
  <c r="W12" i="15"/>
  <c r="V12" i="15"/>
  <c r="U12" i="15"/>
  <c r="T12" i="15"/>
  <c r="S12" i="15"/>
  <c r="R12" i="15"/>
  <c r="Q12" i="15"/>
  <c r="P12" i="15"/>
  <c r="O12" i="15"/>
  <c r="N12" i="15"/>
  <c r="M12" i="15"/>
  <c r="L12" i="15"/>
  <c r="K12" i="15"/>
  <c r="J12" i="15"/>
  <c r="I12" i="15"/>
  <c r="H12" i="15"/>
  <c r="G12" i="15"/>
  <c r="F12" i="15"/>
  <c r="E12" i="15"/>
  <c r="D12" i="15"/>
  <c r="C12" i="15"/>
  <c r="B12" i="15"/>
  <c r="A12" i="15"/>
  <c r="Y11" i="15"/>
  <c r="X11" i="15"/>
  <c r="W11" i="15"/>
  <c r="V11" i="15"/>
  <c r="U11" i="15"/>
  <c r="T11" i="15"/>
  <c r="S11" i="15"/>
  <c r="R11" i="15"/>
  <c r="Q11" i="15"/>
  <c r="P11" i="15"/>
  <c r="O11" i="15"/>
  <c r="N11" i="15"/>
  <c r="M11" i="15"/>
  <c r="L11" i="15"/>
  <c r="K11" i="15"/>
  <c r="J11" i="15"/>
  <c r="I11" i="15"/>
  <c r="H11" i="15"/>
  <c r="G11" i="15"/>
  <c r="F11" i="15"/>
  <c r="E11" i="15"/>
  <c r="D11" i="15"/>
  <c r="C11" i="15"/>
  <c r="B11" i="15"/>
  <c r="A11" i="15"/>
  <c r="Y10" i="15"/>
  <c r="X10" i="15"/>
  <c r="W10" i="15"/>
  <c r="V10" i="15"/>
  <c r="U10" i="15"/>
  <c r="T10" i="15"/>
  <c r="S10" i="15"/>
  <c r="R10" i="15"/>
  <c r="Q10" i="15"/>
  <c r="P10" i="15"/>
  <c r="O10" i="15"/>
  <c r="N10" i="15"/>
  <c r="M10" i="15"/>
  <c r="L10" i="15"/>
  <c r="K10" i="15"/>
  <c r="J10" i="15"/>
  <c r="I10" i="15"/>
  <c r="H10" i="15"/>
  <c r="G10" i="15"/>
  <c r="F10" i="15"/>
  <c r="E10" i="15"/>
  <c r="D10" i="15"/>
  <c r="C10" i="15"/>
  <c r="B10" i="15"/>
  <c r="A10" i="15"/>
  <c r="Y9" i="15"/>
  <c r="X9" i="15"/>
  <c r="W9" i="15"/>
  <c r="V9" i="15"/>
  <c r="U9" i="15"/>
  <c r="T9" i="15"/>
  <c r="S9" i="15"/>
  <c r="R9" i="15"/>
  <c r="Q9" i="15"/>
  <c r="P9" i="15"/>
  <c r="O9" i="15"/>
  <c r="N9" i="15"/>
  <c r="M9" i="15"/>
  <c r="L9" i="15"/>
  <c r="K9" i="15"/>
  <c r="J9" i="15"/>
  <c r="I9" i="15"/>
  <c r="H9" i="15"/>
  <c r="G9" i="15"/>
  <c r="F9" i="15"/>
  <c r="E9" i="15"/>
  <c r="D9" i="15"/>
  <c r="C9" i="15"/>
  <c r="B9" i="15"/>
  <c r="A9" i="15"/>
  <c r="Y8" i="15"/>
  <c r="X8" i="15"/>
  <c r="W8" i="15"/>
  <c r="V8" i="15"/>
  <c r="U8" i="15"/>
  <c r="T8" i="15"/>
  <c r="S8" i="15"/>
  <c r="R8" i="15"/>
  <c r="Q8" i="15"/>
  <c r="P8" i="15"/>
  <c r="O8" i="15"/>
  <c r="N8" i="15"/>
  <c r="M8" i="15"/>
  <c r="L8" i="15"/>
  <c r="K8" i="15"/>
  <c r="J8" i="15"/>
  <c r="I8" i="15"/>
  <c r="H8" i="15"/>
  <c r="G8" i="15"/>
  <c r="F8" i="15"/>
  <c r="E8" i="15"/>
  <c r="D8" i="15"/>
  <c r="C8" i="15"/>
  <c r="B8" i="15"/>
  <c r="A8" i="15"/>
  <c r="Y7" i="15"/>
  <c r="X7" i="15"/>
  <c r="W7" i="15"/>
  <c r="V7" i="15"/>
  <c r="U7" i="15"/>
  <c r="T7" i="15"/>
  <c r="S7" i="15"/>
  <c r="R7" i="15"/>
  <c r="Q7" i="15"/>
  <c r="P7" i="15"/>
  <c r="O7" i="15"/>
  <c r="N7" i="15"/>
  <c r="M7" i="15"/>
  <c r="L7" i="15"/>
  <c r="K7" i="15"/>
  <c r="J7" i="15"/>
  <c r="I7" i="15"/>
  <c r="H7" i="15"/>
  <c r="G7" i="15"/>
  <c r="F7" i="15"/>
  <c r="E7" i="15"/>
  <c r="D7" i="15"/>
  <c r="C7" i="15"/>
  <c r="B7" i="15"/>
  <c r="A7" i="15"/>
  <c r="Y6" i="15"/>
  <c r="X6" i="15"/>
  <c r="W6" i="15"/>
  <c r="V6" i="15"/>
  <c r="U6" i="15"/>
  <c r="T6" i="15"/>
  <c r="S6" i="15"/>
  <c r="R6" i="15"/>
  <c r="Q6" i="15"/>
  <c r="P6" i="15"/>
  <c r="O6" i="15"/>
  <c r="N6" i="15"/>
  <c r="M6" i="15"/>
  <c r="L6" i="15"/>
  <c r="K6" i="15"/>
  <c r="J6" i="15"/>
  <c r="I6" i="15"/>
  <c r="H6" i="15"/>
  <c r="G6" i="15"/>
  <c r="F6" i="15"/>
  <c r="E6" i="15"/>
  <c r="D6" i="15"/>
  <c r="C6" i="15"/>
  <c r="B6" i="15"/>
  <c r="A6" i="15"/>
  <c r="Y5" i="15"/>
  <c r="X5" i="15"/>
  <c r="W5" i="15"/>
  <c r="V5" i="15"/>
  <c r="U5" i="15"/>
  <c r="T5" i="15"/>
  <c r="S5" i="15"/>
  <c r="R5" i="15"/>
  <c r="Q5" i="15"/>
  <c r="P5" i="15"/>
  <c r="O5" i="15"/>
  <c r="N5" i="15"/>
  <c r="M5" i="15"/>
  <c r="L5" i="15"/>
  <c r="K5" i="15"/>
  <c r="J5" i="15"/>
  <c r="I5" i="15"/>
  <c r="H5" i="15"/>
  <c r="G5" i="15"/>
  <c r="F5" i="15"/>
  <c r="E5" i="15"/>
  <c r="D5" i="15"/>
  <c r="C5" i="15"/>
  <c r="B5" i="15"/>
  <c r="A5" i="15"/>
  <c r="Y4" i="15"/>
  <c r="X4" i="15"/>
  <c r="W4" i="15"/>
  <c r="V4" i="15"/>
  <c r="U4" i="15"/>
  <c r="T4" i="15"/>
  <c r="S4" i="15"/>
  <c r="R4" i="15"/>
  <c r="Q4" i="15"/>
  <c r="P4" i="15"/>
  <c r="O4" i="15"/>
  <c r="N4" i="15"/>
  <c r="M4" i="15"/>
  <c r="L4" i="15"/>
  <c r="K4" i="15"/>
  <c r="J4" i="15"/>
  <c r="I4" i="15"/>
  <c r="H4" i="15"/>
  <c r="G4" i="15"/>
  <c r="F4" i="15"/>
  <c r="E4" i="15"/>
  <c r="D4" i="15"/>
  <c r="C4" i="15"/>
  <c r="B4" i="15"/>
  <c r="A4" i="15"/>
  <c r="A3" i="15"/>
  <c r="D1" i="14"/>
  <c r="I32" i="12"/>
  <c r="J31" i="12"/>
  <c r="I31" i="12"/>
  <c r="I33" i="12" s="1"/>
  <c r="K24" i="12"/>
  <c r="K23" i="12"/>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J3" i="10"/>
  <c r="I3" i="10"/>
  <c r="H3" i="10"/>
  <c r="G3" i="10"/>
  <c r="A3" i="10"/>
  <c r="A2" i="10"/>
  <c r="G17" i="9"/>
  <c r="G16" i="9"/>
  <c r="A1" i="5"/>
  <c r="D49" i="4"/>
  <c r="D48" i="4"/>
  <c r="D47" i="4"/>
  <c r="D46" i="4"/>
  <c r="D45" i="4"/>
  <c r="D44" i="4"/>
  <c r="D240" i="3"/>
  <c r="D39" i="3"/>
  <c r="D38" i="3"/>
  <c r="D37" i="3"/>
  <c r="A1" i="3"/>
  <c r="A807" i="2"/>
  <c r="A806" i="2"/>
  <c r="A805" i="2"/>
  <c r="A804" i="2"/>
  <c r="A803" i="2"/>
  <c r="A802" i="2"/>
  <c r="A801" i="2"/>
  <c r="A797" i="2"/>
  <c r="A796" i="2"/>
  <c r="A795" i="2"/>
  <c r="A794" i="2"/>
  <c r="A793" i="2"/>
  <c r="A792" i="2"/>
  <c r="A791" i="2"/>
  <c r="A790" i="2"/>
  <c r="A789" i="2"/>
  <c r="A788" i="2"/>
  <c r="A787" i="2"/>
  <c r="A786" i="2"/>
  <c r="A785" i="2"/>
  <c r="A784" i="2"/>
  <c r="A783" i="2"/>
  <c r="A782" i="2"/>
  <c r="A781" i="2"/>
  <c r="A780" i="2"/>
  <c r="A779" i="2"/>
  <c r="A778" i="2"/>
  <c r="A777" i="2"/>
  <c r="A776" i="2"/>
  <c r="A775" i="2"/>
  <c r="A774" i="2"/>
  <c r="A773" i="2"/>
  <c r="A772" i="2"/>
  <c r="A771" i="2"/>
  <c r="A770" i="2"/>
  <c r="A769" i="2"/>
  <c r="A768" i="2"/>
  <c r="E768" i="2" s="1"/>
  <c r="C768" i="2" s="1"/>
  <c r="A767" i="2"/>
  <c r="E767" i="2" s="1"/>
  <c r="C767" i="2" s="1"/>
  <c r="A766" i="2"/>
  <c r="E766" i="2" s="1"/>
  <c r="C766" i="2" s="1"/>
  <c r="A765" i="2"/>
  <c r="A764" i="2"/>
  <c r="A763" i="2"/>
  <c r="A762" i="2"/>
  <c r="A761" i="2"/>
  <c r="A760" i="2"/>
  <c r="A759" i="2"/>
  <c r="A758" i="2"/>
  <c r="A757" i="2"/>
  <c r="A756" i="2"/>
  <c r="A755" i="2"/>
  <c r="A754" i="2"/>
  <c r="A753" i="2"/>
  <c r="A752" i="2"/>
  <c r="A751" i="2"/>
  <c r="A750" i="2"/>
  <c r="A749" i="2"/>
  <c r="A748" i="2"/>
  <c r="A747" i="2"/>
  <c r="A746" i="2"/>
  <c r="A745" i="2"/>
  <c r="A744" i="2"/>
  <c r="A743" i="2"/>
  <c r="A742" i="2"/>
  <c r="A741" i="2"/>
  <c r="A740" i="2"/>
  <c r="A739" i="2"/>
  <c r="A738" i="2"/>
  <c r="A737" i="2"/>
  <c r="A736" i="2"/>
  <c r="A735" i="2"/>
  <c r="A734" i="2"/>
  <c r="A733" i="2"/>
  <c r="A732" i="2"/>
  <c r="A731" i="2"/>
  <c r="A730" i="2"/>
  <c r="A729" i="2"/>
  <c r="A728" i="2"/>
  <c r="A727" i="2"/>
  <c r="A726" i="2"/>
  <c r="A725" i="2"/>
  <c r="A722" i="2"/>
  <c r="A721" i="2"/>
  <c r="A720" i="2"/>
  <c r="A719" i="2"/>
  <c r="A717" i="2"/>
  <c r="A711" i="2"/>
  <c r="A710" i="2"/>
  <c r="A709" i="2"/>
  <c r="A708" i="2"/>
  <c r="A707" i="2"/>
  <c r="A706" i="2"/>
  <c r="A705" i="2"/>
  <c r="A704" i="2"/>
  <c r="A703" i="2"/>
  <c r="A702" i="2"/>
  <c r="A701" i="2"/>
  <c r="A700" i="2"/>
  <c r="A699" i="2"/>
  <c r="A698" i="2"/>
  <c r="A697" i="2"/>
  <c r="A696" i="2"/>
  <c r="A695" i="2"/>
  <c r="A694" i="2"/>
  <c r="A693" i="2"/>
  <c r="A692" i="2"/>
  <c r="A691" i="2"/>
  <c r="A690" i="2"/>
  <c r="A689" i="2"/>
  <c r="A688" i="2"/>
  <c r="A687" i="2"/>
  <c r="A686" i="2"/>
  <c r="A685" i="2"/>
  <c r="A684" i="2"/>
  <c r="A683" i="2"/>
  <c r="A682" i="2"/>
  <c r="A681" i="2"/>
  <c r="A680" i="2"/>
  <c r="A679" i="2"/>
  <c r="A678" i="2"/>
  <c r="A677" i="2"/>
  <c r="A676" i="2"/>
  <c r="A675" i="2"/>
  <c r="A674" i="2"/>
  <c r="A673" i="2"/>
  <c r="A672" i="2"/>
  <c r="A671" i="2"/>
  <c r="A670" i="2"/>
  <c r="A669" i="2"/>
  <c r="A668" i="2"/>
  <c r="A667" i="2"/>
  <c r="A666" i="2"/>
  <c r="A665" i="2"/>
  <c r="A664" i="2"/>
  <c r="A663" i="2"/>
  <c r="A662" i="2"/>
  <c r="A661" i="2"/>
  <c r="A660" i="2"/>
  <c r="A659" i="2"/>
  <c r="A658" i="2"/>
  <c r="A657" i="2"/>
  <c r="A656" i="2"/>
  <c r="A655" i="2"/>
  <c r="A654" i="2"/>
  <c r="A653" i="2"/>
  <c r="A652" i="2"/>
  <c r="A651" i="2"/>
  <c r="A650" i="2"/>
  <c r="A649" i="2"/>
  <c r="A648" i="2"/>
  <c r="A647" i="2"/>
  <c r="A646" i="2"/>
  <c r="A645" i="2"/>
  <c r="A644" i="2"/>
  <c r="A643" i="2"/>
  <c r="A642" i="2"/>
  <c r="A641" i="2"/>
  <c r="A639" i="2"/>
  <c r="A635" i="2"/>
  <c r="A634" i="2"/>
  <c r="A633" i="2"/>
  <c r="A632" i="2"/>
  <c r="A631" i="2"/>
  <c r="A630" i="2"/>
  <c r="A629" i="2"/>
  <c r="A628" i="2"/>
  <c r="A627" i="2"/>
  <c r="A626" i="2"/>
  <c r="A625" i="2"/>
  <c r="A624" i="2"/>
  <c r="A623" i="2"/>
  <c r="A620" i="2"/>
  <c r="A619" i="2"/>
  <c r="A618" i="2"/>
  <c r="A617" i="2"/>
  <c r="A616" i="2"/>
  <c r="A615" i="2"/>
  <c r="A614" i="2"/>
  <c r="A613" i="2"/>
  <c r="A612" i="2"/>
  <c r="A611" i="2"/>
  <c r="A610" i="2"/>
  <c r="A609" i="2"/>
  <c r="A608" i="2"/>
  <c r="A607" i="2"/>
  <c r="A606" i="2"/>
  <c r="A605" i="2"/>
  <c r="A604" i="2"/>
  <c r="A603" i="2"/>
  <c r="A602" i="2"/>
  <c r="A601" i="2"/>
  <c r="A600" i="2"/>
  <c r="A599" i="2"/>
  <c r="A598" i="2"/>
  <c r="A597" i="2"/>
  <c r="A596" i="2"/>
  <c r="A595" i="2"/>
  <c r="A594" i="2"/>
  <c r="A593" i="2"/>
  <c r="A592" i="2"/>
  <c r="A590" i="2"/>
  <c r="A589" i="2"/>
  <c r="A588" i="2"/>
  <c r="A587" i="2"/>
  <c r="A586" i="2"/>
  <c r="A585" i="2"/>
  <c r="A584" i="2"/>
  <c r="A583" i="2"/>
  <c r="A582" i="2"/>
  <c r="A581" i="2"/>
  <c r="A580" i="2"/>
  <c r="A579" i="2"/>
  <c r="A578" i="2"/>
  <c r="A577" i="2"/>
  <c r="A576" i="2"/>
  <c r="A575" i="2"/>
  <c r="A574" i="2"/>
  <c r="E574" i="2" s="1"/>
  <c r="C574" i="2" s="1"/>
  <c r="A573" i="2"/>
  <c r="A572" i="2"/>
  <c r="A571" i="2"/>
  <c r="A570" i="2"/>
  <c r="A569" i="2"/>
  <c r="A568" i="2"/>
  <c r="A567" i="2"/>
  <c r="A566" i="2"/>
  <c r="A565" i="2"/>
  <c r="A564" i="2"/>
  <c r="A563" i="2"/>
  <c r="A562" i="2"/>
  <c r="A561" i="2"/>
  <c r="A560" i="2"/>
  <c r="A559" i="2"/>
  <c r="A558" i="2"/>
  <c r="A557" i="2"/>
  <c r="A556" i="2"/>
  <c r="A555" i="2"/>
  <c r="A554" i="2"/>
  <c r="A553" i="2"/>
  <c r="A552" i="2"/>
  <c r="A551" i="2"/>
  <c r="A550" i="2"/>
  <c r="A549" i="2"/>
  <c r="A548" i="2"/>
  <c r="A547" i="2"/>
  <c r="A546" i="2"/>
  <c r="A545" i="2"/>
  <c r="A544" i="2"/>
  <c r="A543" i="2"/>
  <c r="A542" i="2"/>
  <c r="A541" i="2"/>
  <c r="A540" i="2"/>
  <c r="A539" i="2"/>
  <c r="A538" i="2"/>
  <c r="A537" i="2"/>
  <c r="A536" i="2"/>
  <c r="A535" i="2"/>
  <c r="A534" i="2"/>
  <c r="A532" i="2"/>
  <c r="A530" i="2"/>
  <c r="A529" i="2"/>
  <c r="A528" i="2"/>
  <c r="A525" i="2"/>
  <c r="A524" i="2"/>
  <c r="A523" i="2"/>
  <c r="A521" i="2"/>
  <c r="A520" i="2"/>
  <c r="A519" i="2"/>
  <c r="A518" i="2"/>
  <c r="A517" i="2"/>
  <c r="A516" i="2"/>
  <c r="A515" i="2"/>
  <c r="A514" i="2"/>
  <c r="A513" i="2"/>
  <c r="A512" i="2"/>
  <c r="A511" i="2"/>
  <c r="A510" i="2"/>
  <c r="A509" i="2"/>
  <c r="A508" i="2"/>
  <c r="A507" i="2"/>
  <c r="A506" i="2"/>
  <c r="A505" i="2"/>
  <c r="A504" i="2"/>
  <c r="A503" i="2"/>
  <c r="A502" i="2"/>
  <c r="A501" i="2"/>
  <c r="A500" i="2"/>
  <c r="A499" i="2"/>
  <c r="A498" i="2"/>
  <c r="A497" i="2"/>
  <c r="A496" i="2"/>
  <c r="A494" i="2"/>
  <c r="A493" i="2"/>
  <c r="A492" i="2"/>
  <c r="A491" i="2"/>
  <c r="A490" i="2"/>
  <c r="A489" i="2"/>
  <c r="A488" i="2"/>
  <c r="A486" i="2"/>
  <c r="A485" i="2"/>
  <c r="A484" i="2"/>
  <c r="A483" i="2"/>
  <c r="A482" i="2"/>
  <c r="A481" i="2"/>
  <c r="A480" i="2"/>
  <c r="A478" i="2"/>
  <c r="A477" i="2"/>
  <c r="A476" i="2"/>
  <c r="A475" i="2"/>
  <c r="A474" i="2"/>
  <c r="A473" i="2"/>
  <c r="A472" i="2"/>
  <c r="A471" i="2"/>
  <c r="A470" i="2"/>
  <c r="A469" i="2"/>
  <c r="A468" i="2"/>
  <c r="A467" i="2"/>
  <c r="A465" i="2"/>
  <c r="A464" i="2"/>
  <c r="A463" i="2"/>
  <c r="A462" i="2"/>
  <c r="A461" i="2"/>
  <c r="A460" i="2"/>
  <c r="A459" i="2"/>
  <c r="A458" i="2"/>
  <c r="A457" i="2"/>
  <c r="A454" i="2"/>
  <c r="A453" i="2"/>
  <c r="A452" i="2"/>
  <c r="A451" i="2"/>
  <c r="A450" i="2"/>
  <c r="A449" i="2"/>
  <c r="A448" i="2"/>
  <c r="A447" i="2"/>
  <c r="A446" i="2"/>
  <c r="A445" i="2"/>
  <c r="A444" i="2"/>
  <c r="A443" i="2"/>
  <c r="A442" i="2"/>
  <c r="A441" i="2"/>
  <c r="A440" i="2"/>
  <c r="A439" i="2"/>
  <c r="A438" i="2"/>
  <c r="A437" i="2"/>
  <c r="A436" i="2"/>
  <c r="A435" i="2"/>
  <c r="A434" i="2"/>
  <c r="A433" i="2"/>
  <c r="A432" i="2"/>
  <c r="A431" i="2"/>
  <c r="A430" i="2"/>
  <c r="A429" i="2"/>
  <c r="A428" i="2"/>
  <c r="A427" i="2"/>
  <c r="A426" i="2"/>
  <c r="A425" i="2"/>
  <c r="A424" i="2"/>
  <c r="A423" i="2"/>
  <c r="A422" i="2"/>
  <c r="A421" i="2"/>
  <c r="A418" i="2"/>
  <c r="A417" i="2"/>
  <c r="A416" i="2"/>
  <c r="A415" i="2"/>
  <c r="A414" i="2"/>
  <c r="A413" i="2"/>
  <c r="A412" i="2"/>
  <c r="A411" i="2"/>
  <c r="A410" i="2"/>
  <c r="A409" i="2"/>
  <c r="A408" i="2"/>
  <c r="A407" i="2"/>
  <c r="A406" i="2"/>
  <c r="A405" i="2"/>
  <c r="A404" i="2"/>
  <c r="A403" i="2"/>
  <c r="A402" i="2"/>
  <c r="A401" i="2"/>
  <c r="A400" i="2"/>
  <c r="A399" i="2"/>
  <c r="A398" i="2"/>
  <c r="A397" i="2"/>
  <c r="A396" i="2"/>
  <c r="A395" i="2"/>
  <c r="A394" i="2"/>
  <c r="A393" i="2"/>
  <c r="A392" i="2"/>
  <c r="A391" i="2"/>
  <c r="A390" i="2"/>
  <c r="A389" i="2"/>
  <c r="A388" i="2"/>
  <c r="A387" i="2"/>
  <c r="A386" i="2"/>
  <c r="A385" i="2"/>
  <c r="A384" i="2"/>
  <c r="A383" i="2"/>
  <c r="A382" i="2"/>
  <c r="A381" i="2"/>
  <c r="A380" i="2"/>
  <c r="A379" i="2"/>
  <c r="A378" i="2"/>
  <c r="A377" i="2"/>
  <c r="A376" i="2"/>
  <c r="A375" i="2"/>
  <c r="A374" i="2"/>
  <c r="A373" i="2"/>
  <c r="A372" i="2"/>
  <c r="A371" i="2"/>
  <c r="A370" i="2"/>
  <c r="A369" i="2"/>
  <c r="A368" i="2"/>
  <c r="A367" i="2"/>
  <c r="A366" i="2"/>
  <c r="A365" i="2"/>
  <c r="A364" i="2"/>
  <c r="A363"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4" i="2"/>
  <c r="A313" i="2"/>
  <c r="A312" i="2"/>
  <c r="A311" i="2"/>
  <c r="A310" i="2"/>
  <c r="A309" i="2"/>
  <c r="A307" i="2"/>
  <c r="A306" i="2"/>
  <c r="A305" i="2"/>
  <c r="A304" i="2"/>
  <c r="A303" i="2"/>
  <c r="A302" i="2"/>
  <c r="A301" i="2"/>
  <c r="A300" i="2"/>
  <c r="A299" i="2"/>
  <c r="A298" i="2"/>
  <c r="A297" i="2"/>
  <c r="A296"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1" i="2"/>
  <c r="A160" i="2"/>
  <c r="A159" i="2"/>
  <c r="A158" i="2"/>
  <c r="A157" i="2"/>
  <c r="A156" i="2"/>
  <c r="A152" i="2"/>
  <c r="A151" i="2"/>
  <c r="A150" i="2"/>
  <c r="A149" i="2"/>
  <c r="A148" i="2"/>
  <c r="A147" i="2"/>
  <c r="A146" i="2"/>
  <c r="A145" i="2"/>
  <c r="A144" i="2"/>
  <c r="A143" i="2"/>
  <c r="A142" i="2"/>
  <c r="A141" i="2"/>
  <c r="A140" i="2"/>
  <c r="A139" i="2"/>
  <c r="A138" i="2"/>
  <c r="A137" i="2"/>
  <c r="A132" i="2"/>
  <c r="E132" i="2" s="1"/>
  <c r="C132" i="2" s="1"/>
  <c r="A131" i="2"/>
  <c r="A130" i="2"/>
  <c r="A129" i="2"/>
  <c r="A128" i="2"/>
  <c r="A127" i="2"/>
  <c r="A126" i="2"/>
  <c r="A125" i="2"/>
  <c r="A124" i="2"/>
  <c r="A123" i="2"/>
  <c r="A120" i="2"/>
  <c r="A119" i="2"/>
  <c r="A118" i="2"/>
  <c r="A117" i="2"/>
  <c r="A116" i="2"/>
  <c r="A115" i="2"/>
  <c r="A114" i="2"/>
  <c r="A113" i="2"/>
  <c r="A112" i="2"/>
  <c r="A111" i="2"/>
  <c r="A110" i="2"/>
  <c r="A109" i="2"/>
  <c r="A108" i="2"/>
  <c r="A107" i="2"/>
  <c r="A106" i="2"/>
  <c r="A105" i="2"/>
  <c r="A104" i="2"/>
  <c r="A103" i="2"/>
  <c r="A102" i="2"/>
  <c r="A101" i="2"/>
  <c r="A100" i="2"/>
  <c r="A99" i="2"/>
  <c r="A98" i="2"/>
  <c r="E98" i="2" s="1"/>
  <c r="C98" i="2" s="1"/>
  <c r="A97" i="2"/>
  <c r="E97" i="2" s="1"/>
  <c r="C97" i="2" s="1"/>
  <c r="A96" i="2"/>
  <c r="E96" i="2" s="1"/>
  <c r="C96" i="2" s="1"/>
  <c r="A95" i="2"/>
  <c r="E95" i="2" s="1"/>
  <c r="C95" i="2" s="1"/>
  <c r="A94" i="2"/>
  <c r="E94" i="2" s="1"/>
  <c r="C94" i="2" s="1"/>
  <c r="A93" i="2"/>
  <c r="E93" i="2" s="1"/>
  <c r="C93" i="2" s="1"/>
  <c r="A92" i="2"/>
  <c r="E92" i="2" s="1"/>
  <c r="C92" i="2" s="1"/>
  <c r="A91" i="2"/>
  <c r="E91" i="2" s="1"/>
  <c r="C91" i="2" s="1"/>
  <c r="A90" i="2"/>
  <c r="E90" i="2" s="1"/>
  <c r="C90" i="2" s="1"/>
  <c r="A89" i="2"/>
  <c r="E89" i="2" s="1"/>
  <c r="C89" i="2" s="1"/>
  <c r="A88" i="2"/>
  <c r="E88" i="2" s="1"/>
  <c r="C88" i="2" s="1"/>
  <c r="A87" i="2"/>
  <c r="E87" i="2" s="1"/>
  <c r="C87" i="2" s="1"/>
  <c r="A86" i="2"/>
  <c r="E86" i="2" s="1"/>
  <c r="C86" i="2" s="1"/>
  <c r="A85" i="2"/>
  <c r="E85" i="2" s="1"/>
  <c r="C85" i="2" s="1"/>
  <c r="A84" i="2"/>
  <c r="E84" i="2" s="1"/>
  <c r="C84" i="2" s="1"/>
  <c r="A83" i="2"/>
  <c r="E83" i="2" s="1"/>
  <c r="C83" i="2" s="1"/>
  <c r="A82" i="2"/>
  <c r="E82" i="2" s="1"/>
  <c r="C82" i="2" s="1"/>
  <c r="A81" i="2"/>
  <c r="E81" i="2" s="1"/>
  <c r="C81" i="2" s="1"/>
  <c r="A80" i="2"/>
  <c r="E80" i="2" s="1"/>
  <c r="C80" i="2" s="1"/>
  <c r="A79" i="2"/>
  <c r="E79" i="2" s="1"/>
  <c r="C79" i="2" s="1"/>
  <c r="A78" i="2"/>
  <c r="E78" i="2" s="1"/>
  <c r="C78" i="2" s="1"/>
  <c r="A77" i="2"/>
  <c r="E77" i="2" s="1"/>
  <c r="C77" i="2" s="1"/>
  <c r="A76" i="2"/>
  <c r="E76" i="2" s="1"/>
  <c r="C76" i="2" s="1"/>
  <c r="A75" i="2"/>
  <c r="E75" i="2" s="1"/>
  <c r="C75" i="2" s="1"/>
  <c r="A74" i="2"/>
  <c r="E74" i="2" s="1"/>
  <c r="C74" i="2" s="1"/>
  <c r="A73" i="2"/>
  <c r="E73" i="2" s="1"/>
  <c r="C73" i="2" s="1"/>
  <c r="A72" i="2"/>
  <c r="E72" i="2" s="1"/>
  <c r="C72" i="2" s="1"/>
  <c r="A71" i="2"/>
  <c r="E71" i="2" s="1"/>
  <c r="C71" i="2" s="1"/>
  <c r="A70" i="2"/>
  <c r="E70" i="2" s="1"/>
  <c r="C70" i="2" s="1"/>
  <c r="A69" i="2"/>
  <c r="E69" i="2" s="1"/>
  <c r="C69" i="2" s="1"/>
  <c r="A68" i="2"/>
  <c r="E68" i="2" s="1"/>
  <c r="C68" i="2" s="1"/>
  <c r="A67" i="2"/>
  <c r="E67" i="2" s="1"/>
  <c r="C67" i="2" s="1"/>
  <c r="A66" i="2"/>
  <c r="E66" i="2" s="1"/>
  <c r="C66" i="2" s="1"/>
  <c r="A65" i="2"/>
  <c r="E65" i="2" s="1"/>
  <c r="C65" i="2" s="1"/>
  <c r="A64" i="2"/>
  <c r="E64" i="2" s="1"/>
  <c r="C64" i="2" s="1"/>
  <c r="A63" i="2"/>
  <c r="E63" i="2" s="1"/>
  <c r="C63" i="2" s="1"/>
  <c r="A62" i="2"/>
  <c r="E62" i="2" s="1"/>
  <c r="C62" i="2" s="1"/>
  <c r="A61" i="2"/>
  <c r="E61" i="2" s="1"/>
  <c r="C61" i="2" s="1"/>
  <c r="A60" i="2"/>
  <c r="E60" i="2" s="1"/>
  <c r="C60" i="2" s="1"/>
  <c r="A59" i="2"/>
  <c r="E59" i="2" s="1"/>
  <c r="C59" i="2" s="1"/>
  <c r="A58" i="2"/>
  <c r="E58" i="2" s="1"/>
  <c r="C58" i="2" s="1"/>
  <c r="A57" i="2"/>
  <c r="E57" i="2" s="1"/>
  <c r="C57" i="2" s="1"/>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c r="A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rPr>
          <t>Was 05CXXX MP115 PT Fitted to the accumulator
	-David Sheerin
----
This is not connected to the control system. It is a stand alone just for triggering the LOD relays in the S2 box
	-David Sheerin
----
MARs to check these
	-James Overton
----
+s.parkinson@rocketlab.co.nz 
would you rather this info here or in the SRS? I guess It's more of an operational config anyway that's independent of software, maybe we enter in current LC-1 values for now and task someone from test &amp; ops with characterizing all the LC-2 LCCs properly during commissioning
_Assigned to Stuart Parkinson_
	-James Overton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tc={F23EE104-F085-4718-B495-A2EB9AC5343D}</author>
  </authors>
  <commentList>
    <comment ref="C215" authorId="0" shapeId="0" xr:uid="{F23EE104-F085-4718-B495-A2EB9AC5343D}">
      <text>
        <t>[Threaded comment]
Your version of Excel allows you to read this threaded comment; however, any edits to it will get removed if the file is opened in a newer version of Excel. Learn more: https://go.microsoft.com/fwlink/?linkid=870924
Comment:
    @James Overton, is it possible to swap the NEXUS description of the two pre-valve changes. 
This will align the UI with the nexus description and I'll close #103811</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53" authorId="0" shapeId="0" xr:uid="{00000000-0006-0000-0200-000002000000}">
      <text>
        <r>
          <rPr>
            <sz val="10"/>
            <color rgb="FF000000"/>
            <rFont val="Arial"/>
          </rPr>
          <t>Use the last AO that is available as of now. Another card or setup will need to be accommodated going forward
	-David Sheerin</t>
        </r>
      </text>
    </comment>
    <comment ref="C163" authorId="0" shapeId="0" xr:uid="{00000000-0006-0000-0200-000001000000}">
      <text>
        <r>
          <rPr>
            <sz val="10"/>
            <color rgb="FF000000"/>
            <rFont val="Arial"/>
          </rPr>
          <t>Was 05CXXX MP115 PT Fitted to the accumulator
	-David Sheerin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16" authorId="0" shapeId="0" xr:uid="{00000000-0006-0000-0700-000002000000}">
      <text>
        <r>
          <rPr>
            <sz val="10"/>
            <color rgb="FF000000"/>
            <rFont val="Arial"/>
          </rPr>
          <t>Blank PID
	-g.kaalsen</t>
        </r>
      </text>
    </comment>
    <comment ref="A19" authorId="0" shapeId="0" xr:uid="{00000000-0006-0000-0700-000001000000}">
      <text>
        <r>
          <rPr>
            <sz val="10"/>
            <color rgb="FF000000"/>
            <rFont val="Arial"/>
          </rPr>
          <t>Blank PID
	-g.kaalsen</t>
        </r>
      </text>
    </comment>
    <comment ref="B19" authorId="0" shapeId="0" xr:uid="{00000000-0006-0000-0700-000004000000}">
      <text>
        <r>
          <rPr>
            <sz val="10"/>
            <color rgb="FF000000"/>
            <rFont val="Arial"/>
          </rPr>
          <t>+d.sheerin@rocketlab.co.nz 
which file is this in?
_Assigned to David Sheerin_
	-James Overton</t>
        </r>
      </text>
    </comment>
    <comment ref="B20" authorId="0" shapeId="0" xr:uid="{00000000-0006-0000-0700-000003000000}">
      <text>
        <r>
          <rPr>
            <sz val="10"/>
            <color rgb="FF000000"/>
            <rFont val="Arial"/>
          </rPr>
          <t>+d.sheerin@rocketlab.co.nz 
which file is this in?
_Assigned to David Sheerin_
	-James Overton</t>
        </r>
      </text>
    </comment>
    <comment ref="B21" authorId="0" shapeId="0" xr:uid="{00000000-0006-0000-0700-000006000000}">
      <text>
        <r>
          <rPr>
            <sz val="10"/>
            <color rgb="FF000000"/>
            <rFont val="Arial"/>
          </rPr>
          <t>+d.sheerin@rocketlab.co.nz 
I can't see any control items on this drawing (Rev 2)
_Assigned to David Sheerin_
	-James Overton</t>
        </r>
      </text>
    </comment>
    <comment ref="B22" authorId="0" shapeId="0" xr:uid="{00000000-0006-0000-0700-000005000000}">
      <text>
        <r>
          <rPr>
            <sz val="10"/>
            <color rgb="FF000000"/>
            <rFont val="Arial"/>
          </rPr>
          <t>+d.sheerin@rocketlab.co.nz 
which file is MP-120 in?
_Assigned to David Sheerin_
	-James Overton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17" authorId="0" shapeId="0" xr:uid="{00000000-0006-0000-0B00-000007000000}">
      <text>
        <r>
          <rPr>
            <sz val="10"/>
            <color rgb="FF000000"/>
            <rFont val="Arial"/>
          </rPr>
          <t>New for the outputs of the VSDs. Not previously assigned and was missed out
	-David Sheerin</t>
        </r>
      </text>
    </comment>
    <comment ref="B22" authorId="0" shapeId="0" xr:uid="{00000000-0006-0000-0B00-000002000000}">
      <text>
        <r>
          <rPr>
            <sz val="10"/>
            <color rgb="FF000000"/>
            <rFont val="Arial"/>
          </rPr>
          <t>DIO7 IS NOT IN THE DESIGN. MAX NO OF DIO CARDS ARE 4
	-g.kaalsen</t>
        </r>
      </text>
    </comment>
    <comment ref="H28" authorId="0" shapeId="0" xr:uid="{00000000-0006-0000-0B00-000001000000}">
      <text>
        <r>
          <rPr>
            <sz val="10"/>
            <color rgb="FF000000"/>
            <rFont val="Arial"/>
          </rPr>
          <t xml:space="preserve">This was in the initial BOM but was later removed as it is not used in the latest design.
</t>
        </r>
      </text>
    </comment>
    <comment ref="B31" authorId="0" shapeId="0" xr:uid="{00000000-0006-0000-0B00-000005000000}">
      <text>
        <r>
          <rPr>
            <sz val="10"/>
            <color rgb="FF000000"/>
            <rFont val="Arial"/>
          </rPr>
          <t>Moved from C1
	-g.kaalsen</t>
        </r>
      </text>
    </comment>
    <comment ref="B32" authorId="0" shapeId="0" xr:uid="{00000000-0006-0000-0B00-000004000000}">
      <text>
        <r>
          <rPr>
            <sz val="10"/>
            <color rgb="FF000000"/>
            <rFont val="Arial"/>
          </rPr>
          <t>Moved from C1
	-g.kaalsen</t>
        </r>
      </text>
    </comment>
    <comment ref="B33" authorId="0" shapeId="0" xr:uid="{00000000-0006-0000-0B00-000003000000}">
      <text>
        <r>
          <rPr>
            <sz val="10"/>
            <color rgb="FF000000"/>
            <rFont val="Arial"/>
          </rPr>
          <t>Moved from C1
	-g.kaalsen</t>
        </r>
      </text>
    </comment>
    <comment ref="B40" authorId="0" shapeId="0" xr:uid="{00000000-0006-0000-0B00-000008000000}">
      <text>
        <r>
          <rPr>
            <sz val="10"/>
            <color rgb="FF000000"/>
            <rFont val="Arial"/>
          </rPr>
          <t>new AI added
	-g.kaalsen
This was to accommodate for the purges in the erector
	-David Sheerin</t>
        </r>
      </text>
    </comment>
    <comment ref="B61" authorId="0" shapeId="0" xr:uid="{00000000-0006-0000-0B00-000006000000}">
      <text>
        <r>
          <rPr>
            <sz val="10"/>
            <color rgb="FF000000"/>
            <rFont val="Arial"/>
          </rPr>
          <t>New Card for Chromalox setpoint PID
	-g.kaalsen</t>
        </r>
      </text>
    </comment>
  </commentList>
</comments>
</file>

<file path=xl/sharedStrings.xml><?xml version="1.0" encoding="utf-8"?>
<sst xmlns="http://schemas.openxmlformats.org/spreadsheetml/2006/main" count="23803" uniqueCount="5310">
  <si>
    <t>Book</t>
  </si>
  <si>
    <t>Drawing/Document Number</t>
  </si>
  <si>
    <t>Document Name</t>
  </si>
  <si>
    <t>Revision</t>
  </si>
  <si>
    <t>Release Date</t>
  </si>
  <si>
    <t>Sent to</t>
  </si>
  <si>
    <t>Review Completed</t>
  </si>
  <si>
    <t>MARS Review Completed</t>
  </si>
  <si>
    <t>Released For Construction</t>
  </si>
  <si>
    <t>Date Released</t>
  </si>
  <si>
    <t>Notes</t>
  </si>
  <si>
    <t>DS</t>
  </si>
  <si>
    <t>JO</t>
  </si>
  <si>
    <t>SP</t>
  </si>
  <si>
    <t>TS</t>
  </si>
  <si>
    <t>SB</t>
  </si>
  <si>
    <t>CNTRL-1</t>
  </si>
  <si>
    <t>LC2 IO</t>
  </si>
  <si>
    <t>A1</t>
  </si>
  <si>
    <t>Aaron Kuipers, Walter Taraila, Nick Counts, Rickie Smith</t>
  </si>
  <si>
    <t>Y</t>
  </si>
  <si>
    <t>A2</t>
  </si>
  <si>
    <t>A3</t>
  </si>
  <si>
    <t>A4</t>
  </si>
  <si>
    <t>In house</t>
  </si>
  <si>
    <t>Updated Sheet due to the change in the IO grouping</t>
  </si>
  <si>
    <t>A5</t>
  </si>
  <si>
    <t>I/O Code</t>
  </si>
  <si>
    <t>IO Code Number</t>
  </si>
  <si>
    <t>NEXUS Description</t>
  </si>
  <si>
    <t>Description</t>
  </si>
  <si>
    <t>End Device/P&amp;ID Designator</t>
  </si>
  <si>
    <t>System</t>
  </si>
  <si>
    <t>Subsystem</t>
  </si>
  <si>
    <t>End Device Type</t>
  </si>
  <si>
    <t>IO Type</t>
  </si>
  <si>
    <t>Chassis</t>
  </si>
  <si>
    <t>Metric</t>
  </si>
  <si>
    <t>Units</t>
  </si>
  <si>
    <t>Ops Criticality (Crititical channels will be mode gated)</t>
  </si>
  <si>
    <t>Failure Worst Case Effect</t>
  </si>
  <si>
    <t>Failure Worst Case Severity</t>
  </si>
  <si>
    <t>Safety review needed</t>
  </si>
  <si>
    <t>Stage 1 Anti-Geysering High Flow Valve - Cmd</t>
  </si>
  <si>
    <t>04C346</t>
  </si>
  <si>
    <t>Anti-Geysering</t>
  </si>
  <si>
    <t>High Flow</t>
  </si>
  <si>
    <t>Discrete Valve</t>
  </si>
  <si>
    <t>Digital Output (24V)</t>
  </si>
  <si>
    <t>Valve Position</t>
  </si>
  <si>
    <t>True/False</t>
  </si>
  <si>
    <t>Stage 1 Anti-Geysering Delivery Pressure</t>
  </si>
  <si>
    <t>04C932</t>
  </si>
  <si>
    <t>Stage 1 Umbilical</t>
  </si>
  <si>
    <t>Pressure Sensor</t>
  </si>
  <si>
    <t>Analog Input (4-20mA, sinking)</t>
  </si>
  <si>
    <t>Pressure</t>
  </si>
  <si>
    <t>PSI-G</t>
  </si>
  <si>
    <t>Stage 2 Anti Geysering Delivery Pressure</t>
  </si>
  <si>
    <t>04C930</t>
  </si>
  <si>
    <t>Stage 2 Umbilical</t>
  </si>
  <si>
    <t>Stage 2 Anti-Geysering High Flow Valve Controller</t>
  </si>
  <si>
    <t>04C386</t>
  </si>
  <si>
    <t>Stage 1 Anti-Geysering Low Flow Valve - Cmd</t>
  </si>
  <si>
    <t>04C345</t>
  </si>
  <si>
    <t>Low Flow</t>
  </si>
  <si>
    <t>Stage 2 Anti-Geysering Low Flow Valve Controller</t>
  </si>
  <si>
    <t>04C385</t>
  </si>
  <si>
    <t>Power Isolation Contactor FTS-ISO(A)</t>
  </si>
  <si>
    <t>FTS-ISO(A)</t>
  </si>
  <si>
    <t>Avionics Shore Power</t>
  </si>
  <si>
    <t>BLANK</t>
  </si>
  <si>
    <t>Auxiliary Contact</t>
  </si>
  <si>
    <t>Digital Input (24V)</t>
  </si>
  <si>
    <t>State</t>
  </si>
  <si>
    <t>Power Isolation Contactor S3-ISO(A)</t>
  </si>
  <si>
    <t>S3-ISO(A)</t>
  </si>
  <si>
    <t>Power Isolation Contactor S2L-ISO(A)</t>
  </si>
  <si>
    <t>S2L-ISO(A)</t>
  </si>
  <si>
    <t>Power Isolation Contactor S1U-ISO(A)</t>
  </si>
  <si>
    <t>S1U-ISO(A)</t>
  </si>
  <si>
    <t>Power Isolation Contactor S1L-ISO(A)</t>
  </si>
  <si>
    <t>S1L-ISO(A)</t>
  </si>
  <si>
    <t>Power Isolation Contactor FTS-ISO(B)</t>
  </si>
  <si>
    <t>FTS-ISO(B)</t>
  </si>
  <si>
    <t>Power Isolation Contactor S3-ISO(B)</t>
  </si>
  <si>
    <t>S3-ISO(B)</t>
  </si>
  <si>
    <t>Power Isolation Contactor S2U-ISO(B)</t>
  </si>
  <si>
    <t>S2U-ISO(B)</t>
  </si>
  <si>
    <t>Power Isolation Contactor S1U-ISO(B)</t>
  </si>
  <si>
    <t>S1U-ISO(B)</t>
  </si>
  <si>
    <t>Power Isolation Contactor S1L-ISO(B)</t>
  </si>
  <si>
    <t>S1L-ISO(B)</t>
  </si>
  <si>
    <t>Power Isolation Contactor S2U-ISO(A)</t>
  </si>
  <si>
    <t>S2U-ISO(A)</t>
  </si>
  <si>
    <t>Power Isolation Contactor S2L-ISO(B)</t>
  </si>
  <si>
    <t>S2L-ISO(B)</t>
  </si>
  <si>
    <t>CO2 supply pressure</t>
  </si>
  <si>
    <t>13C901</t>
  </si>
  <si>
    <t>CO2 Fire Suppression</t>
  </si>
  <si>
    <t>Storage</t>
  </si>
  <si>
    <t>CO2 primary fire valve - Cmd</t>
  </si>
  <si>
    <t>13C301.1</t>
  </si>
  <si>
    <t>Main</t>
  </si>
  <si>
    <t>Bool</t>
  </si>
  <si>
    <t>CO2 primary fire valve - Closed</t>
  </si>
  <si>
    <t>13C301.2</t>
  </si>
  <si>
    <t>Limit switch</t>
  </si>
  <si>
    <t>Proximity - Closed</t>
  </si>
  <si>
    <t>CO2 secondary fire valve - Cmd</t>
  </si>
  <si>
    <t>13C302.1</t>
  </si>
  <si>
    <t>Backup</t>
  </si>
  <si>
    <t>CO2 secondary fire valve - Closed</t>
  </si>
  <si>
    <t>13C302.2</t>
  </si>
  <si>
    <t>CO2 primary fire valve - Open</t>
  </si>
  <si>
    <t>Proximity - Open</t>
  </si>
  <si>
    <t>CO2 secondary fire valve - Open</t>
  </si>
  <si>
    <t>SITOP1 Power supply Trip</t>
  </si>
  <si>
    <t>SITOP1</t>
  </si>
  <si>
    <t>Control Power</t>
  </si>
  <si>
    <t>Current Overload</t>
  </si>
  <si>
    <t>Fuse</t>
  </si>
  <si>
    <t>Current Draw</t>
  </si>
  <si>
    <t>SITOP2 Power supply Trip</t>
  </si>
  <si>
    <t>SITOP2</t>
  </si>
  <si>
    <t>SITOP4 Power supply Trip</t>
  </si>
  <si>
    <t>SITOP4</t>
  </si>
  <si>
    <t>SITOP6 Power supply Trip</t>
  </si>
  <si>
    <t>SITOP6</t>
  </si>
  <si>
    <t>SITOP7 Power supply Trip</t>
  </si>
  <si>
    <t>SITOP7</t>
  </si>
  <si>
    <t>Rocket Power Isolation Enable</t>
  </si>
  <si>
    <t>ISO-EN PSU A</t>
  </si>
  <si>
    <t>Reset</t>
  </si>
  <si>
    <t>Rocket Power Isolation Enable PSU B</t>
  </si>
  <si>
    <t>ISO-EN PSU B</t>
  </si>
  <si>
    <t>SITOP's Reset CB6</t>
  </si>
  <si>
    <t>STP-CB6RST</t>
  </si>
  <si>
    <t>N5</t>
  </si>
  <si>
    <t>SITOP15 Power power supply Trip</t>
  </si>
  <si>
    <t>SITOP15</t>
  </si>
  <si>
    <t>SITOP3 Power supply Trip</t>
  </si>
  <si>
    <t>SITOP3</t>
  </si>
  <si>
    <t>SITOP5 Power supply Trip</t>
  </si>
  <si>
    <t>SITOP5</t>
  </si>
  <si>
    <t>SITOP10 Power supply Trip</t>
  </si>
  <si>
    <t>SITOP10</t>
  </si>
  <si>
    <t>SITOP8 Power supply Trip</t>
  </si>
  <si>
    <t>SITOP8</t>
  </si>
  <si>
    <t>SITOP12 Power supply trip</t>
  </si>
  <si>
    <t>SITOP12</t>
  </si>
  <si>
    <t>SITOP14 Power power supply Trip</t>
  </si>
  <si>
    <t>SITOP14</t>
  </si>
  <si>
    <t>SITOP's Reset CB8</t>
  </si>
  <si>
    <t>STP-CB8RST</t>
  </si>
  <si>
    <t>C2</t>
  </si>
  <si>
    <t>All SITOP's Reset</t>
  </si>
  <si>
    <t>STP-RST</t>
  </si>
  <si>
    <t>SITOP9 Power supply Trip</t>
  </si>
  <si>
    <t>SITOP9</t>
  </si>
  <si>
    <t>HVBH E-Stop Status</t>
  </si>
  <si>
    <t>HVHSUP</t>
  </si>
  <si>
    <t>High Voltage Battery Heaters</t>
  </si>
  <si>
    <t>E-Stop</t>
  </si>
  <si>
    <t>Safety Relay</t>
  </si>
  <si>
    <t>24V Safety E-stop</t>
  </si>
  <si>
    <t>CPWR-RST-FX-CD-45</t>
  </si>
  <si>
    <t>SITOP11 Power supply trip</t>
  </si>
  <si>
    <t>SITOP11</t>
  </si>
  <si>
    <t>GHe Source Pressure Supply Backup Discrete Valve Controller</t>
  </si>
  <si>
    <t>04C342</t>
  </si>
  <si>
    <t>Gas Helium</t>
  </si>
  <si>
    <t>Gas Helium Bottle Pressure</t>
  </si>
  <si>
    <t>04C924</t>
  </si>
  <si>
    <t>Gas Helium Regulator Pressure</t>
  </si>
  <si>
    <t>04C925</t>
  </si>
  <si>
    <t>Store Helium Back up</t>
  </si>
  <si>
    <t>04C343</t>
  </si>
  <si>
    <t>GN2 Utility Skid Ejection Regulator Pressure</t>
  </si>
  <si>
    <t>05C941</t>
  </si>
  <si>
    <t>Gas Nitrogen</t>
  </si>
  <si>
    <t>GN2 Utility Skid High Flow Regulator Pressure</t>
  </si>
  <si>
    <t>05C942</t>
  </si>
  <si>
    <t>HVAC regulator pressure</t>
  </si>
  <si>
    <t>05C943</t>
  </si>
  <si>
    <t>Purge</t>
  </si>
  <si>
    <t>GN2 Utility Skid Muscle Supply Pressure Sensor</t>
  </si>
  <si>
    <t>05C945</t>
  </si>
  <si>
    <t>GN2 Utility Skid Supply Pressure</t>
  </si>
  <si>
    <t>05C940</t>
  </si>
  <si>
    <t>Battery Heater Enable-H01</t>
  </si>
  <si>
    <t>Heater Select Enable</t>
  </si>
  <si>
    <t>Solid State Relay</t>
  </si>
  <si>
    <t>Battery Heater Enable-H02</t>
  </si>
  <si>
    <t>Battery Heater Enable-H03</t>
  </si>
  <si>
    <t>Battery Heater Enable-H04</t>
  </si>
  <si>
    <t>Battery Heater Enable-H05</t>
  </si>
  <si>
    <t>Battery Heater Enable-H06</t>
  </si>
  <si>
    <t>Battery Heater Enable-H07</t>
  </si>
  <si>
    <t>Battery Heater Enable-H08</t>
  </si>
  <si>
    <t>Battery Heater Enable-H09</t>
  </si>
  <si>
    <t>Battery Heater Enable-H10</t>
  </si>
  <si>
    <t>Battery Heater Enable-H11</t>
  </si>
  <si>
    <t>Battery Heater Enable-H12</t>
  </si>
  <si>
    <t>Battery Heater Enable-H13</t>
  </si>
  <si>
    <t>Battery Heater Enable-H14</t>
  </si>
  <si>
    <t>Battery Heater Fans Enable 1-7</t>
  </si>
  <si>
    <t>Fan Select Enable</t>
  </si>
  <si>
    <t>Battery Heater Fans Enable 8-14</t>
  </si>
  <si>
    <t>Battery Heater Current-H01</t>
  </si>
  <si>
    <t>Shunt &amp; Iso Amplifer</t>
  </si>
  <si>
    <t>Amp</t>
  </si>
  <si>
    <t>Battery Heater Current-H02</t>
  </si>
  <si>
    <t>Battery Heater Current-H03</t>
  </si>
  <si>
    <t>Battery Heater Current-H04</t>
  </si>
  <si>
    <t>Battery Heater Current-H05</t>
  </si>
  <si>
    <t>Battery Heater Current-H06</t>
  </si>
  <si>
    <t>Battery Heater Current-H07</t>
  </si>
  <si>
    <t>Battery Heater Current-H08</t>
  </si>
  <si>
    <t>Battery Heater Current-H09</t>
  </si>
  <si>
    <t>Battery Heater Current-H10</t>
  </si>
  <si>
    <t>Battery Heater Current-H11</t>
  </si>
  <si>
    <t>Battery Heater Current-H12</t>
  </si>
  <si>
    <t>Battery Heater Current-H13</t>
  </si>
  <si>
    <t>Battery Heater Current-H14</t>
  </si>
  <si>
    <t>Battery Heater Fans Current 1-7</t>
  </si>
  <si>
    <t>Battery Heater Fans Current 8-14</t>
  </si>
  <si>
    <t>Battery Heater Temp H01</t>
  </si>
  <si>
    <t>Temperature Feedback</t>
  </si>
  <si>
    <t>Thermocouple</t>
  </si>
  <si>
    <t>TC Voltage (Type T)</t>
  </si>
  <si>
    <t>Temperature</t>
  </si>
  <si>
    <t>Celcius</t>
  </si>
  <si>
    <t>Battery Heater Temp H02</t>
  </si>
  <si>
    <t>Battery Heater Temp H03</t>
  </si>
  <si>
    <t>Battery Heater Temp H04</t>
  </si>
  <si>
    <t>Battery Heater Temp H05</t>
  </si>
  <si>
    <t>Battery Heater Temp H06</t>
  </si>
  <si>
    <t>Battery Heater Temp H07</t>
  </si>
  <si>
    <t>Battery Heater Temp H08</t>
  </si>
  <si>
    <t>Battery Heater Temp H09</t>
  </si>
  <si>
    <t>Battery Heater Temp H10</t>
  </si>
  <si>
    <t>Fairing umbilical flow control valve - Cmd</t>
  </si>
  <si>
    <t>05C351.1</t>
  </si>
  <si>
    <t>HVAC</t>
  </si>
  <si>
    <t>Fairing</t>
  </si>
  <si>
    <t>Proportional Valve</t>
  </si>
  <si>
    <t>Analog Output (4-20mA, sourcing)</t>
  </si>
  <si>
    <t>% Valve Rotation</t>
  </si>
  <si>
    <t>Interstage 2 umbilical flow control valve - Cmd</t>
  </si>
  <si>
    <t>05C352.1</t>
  </si>
  <si>
    <t>Interstage 2</t>
  </si>
  <si>
    <t>05C353.1</t>
  </si>
  <si>
    <t>Interstage 1</t>
  </si>
  <si>
    <t>Powerpack flow control valve - Cmd</t>
  </si>
  <si>
    <t>05C354.1</t>
  </si>
  <si>
    <t>Power Pack</t>
  </si>
  <si>
    <t>Fairing LN2 inject valve - Cmd</t>
  </si>
  <si>
    <t>03C347.1</t>
  </si>
  <si>
    <t>Interstage 2 LN2 inject valve - Cmd</t>
  </si>
  <si>
    <t>03C348.1</t>
  </si>
  <si>
    <t>Interstage 1 LN2 inject valve - Cmd</t>
  </si>
  <si>
    <t>03C349.1</t>
  </si>
  <si>
    <t>Powerpack LN2 inject valve - Cmd</t>
  </si>
  <si>
    <t>03C350.1</t>
  </si>
  <si>
    <t>Fairing umbilical flow control valve - Resp</t>
  </si>
  <si>
    <t>05C351.2</t>
  </si>
  <si>
    <t>Interstage 2 umbilical flow control valve - Resp</t>
  </si>
  <si>
    <t>05C352.2</t>
  </si>
  <si>
    <t>05C353.2</t>
  </si>
  <si>
    <t>Powerpack flow control valve - Resp</t>
  </si>
  <si>
    <t>05C354.2</t>
  </si>
  <si>
    <t>Fairing LN2 inject valve - Resp</t>
  </si>
  <si>
    <t>03C347.2</t>
  </si>
  <si>
    <t>Interstage 2 LN2 inject valve - Resp</t>
  </si>
  <si>
    <t>03C348.2</t>
  </si>
  <si>
    <t>Interstage 1 LN2 inject valve - Resp</t>
  </si>
  <si>
    <t>03C349.2</t>
  </si>
  <si>
    <t>Powerpack LN2 inject valve - Resp</t>
  </si>
  <si>
    <t>03C350.2</t>
  </si>
  <si>
    <t>SPARE RTD_ 5_24_6_25</t>
  </si>
  <si>
    <t>HVAC-AUX-RTD-Ts-114</t>
  </si>
  <si>
    <t>Auxiliary</t>
  </si>
  <si>
    <t>RTD</t>
  </si>
  <si>
    <t>4-Wire RTD</t>
  </si>
  <si>
    <t>LN2 Injection temperature</t>
  </si>
  <si>
    <t>03C937</t>
  </si>
  <si>
    <t>Line Chill</t>
  </si>
  <si>
    <t>Fairing umbilical temperature 1</t>
  </si>
  <si>
    <t>05C952</t>
  </si>
  <si>
    <t>Interstage 2 Umbilical Temperature</t>
  </si>
  <si>
    <t>05C953</t>
  </si>
  <si>
    <t>Interstage 1 Umbilical Temperature</t>
  </si>
  <si>
    <t>05C954</t>
  </si>
  <si>
    <t>Power Pack Interface/Umbilical Temperature</t>
  </si>
  <si>
    <t>05C955</t>
  </si>
  <si>
    <t>Fairing umbilical heater outlet temp</t>
  </si>
  <si>
    <t>05C938</t>
  </si>
  <si>
    <t>Interstage 2 heater outlet temp</t>
  </si>
  <si>
    <t>05C939</t>
  </si>
  <si>
    <t>Interstage 1 heater outlet temp</t>
  </si>
  <si>
    <t>Powerpack heater 1 outlet temp</t>
  </si>
  <si>
    <t>05C944</t>
  </si>
  <si>
    <t>Powerpack heater 2 outlet temp</t>
  </si>
  <si>
    <t>05C946</t>
  </si>
  <si>
    <t>Powerpack HVAC pressure</t>
  </si>
  <si>
    <t>05C951</t>
  </si>
  <si>
    <t>Interstage 2 HVAC pressure</t>
  </si>
  <si>
    <t>05C948</t>
  </si>
  <si>
    <t>Interstage 1 HVAC pressure</t>
  </si>
  <si>
    <t>05C949</t>
  </si>
  <si>
    <t>Faring umbilical HVAC pressure</t>
  </si>
  <si>
    <t>05C947</t>
  </si>
  <si>
    <t>Fairing - Heater 1 cut out circuit state</t>
  </si>
  <si>
    <t>Pad Control</t>
  </si>
  <si>
    <t>Cut Out Circuit</t>
  </si>
  <si>
    <t>Pump 1 Contactor</t>
  </si>
  <si>
    <t>M1</t>
  </si>
  <si>
    <t>Hydraulics</t>
  </si>
  <si>
    <t>Hydraulic Power Unit</t>
  </si>
  <si>
    <t>Contactor</t>
  </si>
  <si>
    <t>Pump 2 Contactor</t>
  </si>
  <si>
    <t>M2</t>
  </si>
  <si>
    <t>Pump 1 PRV</t>
  </si>
  <si>
    <t>P1 PRV (S5)</t>
  </si>
  <si>
    <t>% Spool Position</t>
  </si>
  <si>
    <t>Pump 2 PRV</t>
  </si>
  <si>
    <t>P2 PRV (S6)</t>
  </si>
  <si>
    <t>Pressure to lift circuit</t>
  </si>
  <si>
    <t>PT-1</t>
  </si>
  <si>
    <t>kPa-G</t>
  </si>
  <si>
    <t>Pressure to HD circuit</t>
  </si>
  <si>
    <t>PT-2</t>
  </si>
  <si>
    <t>Isolate P2 Circuit - Cmd</t>
  </si>
  <si>
    <t>S3</t>
  </si>
  <si>
    <t>Isolate P1 Circuit - Cmd</t>
  </si>
  <si>
    <t>S1</t>
  </si>
  <si>
    <t>Single Pump Operation - Cmd</t>
  </si>
  <si>
    <t>S2</t>
  </si>
  <si>
    <t>Pump 1 filter blockage</t>
  </si>
  <si>
    <t>F1</t>
  </si>
  <si>
    <t>Pressure Switch</t>
  </si>
  <si>
    <t>Pump 2 filter blockage</t>
  </si>
  <si>
    <t>F2</t>
  </si>
  <si>
    <t>Reciculation pump filter blockage</t>
  </si>
  <si>
    <t>F3</t>
  </si>
  <si>
    <t>Hold down circuit return filter</t>
  </si>
  <si>
    <t>F4</t>
  </si>
  <si>
    <t>Top Clamp Open/Close - Cmd</t>
  </si>
  <si>
    <t>S8</t>
  </si>
  <si>
    <t>Lift</t>
  </si>
  <si>
    <t>Strongback ram extend/retract - Cmd</t>
  </si>
  <si>
    <t>S9</t>
  </si>
  <si>
    <t>Platform tilt - Cmd</t>
  </si>
  <si>
    <t>S7</t>
  </si>
  <si>
    <t>Back up S10 - top clamp open Cmd</t>
  </si>
  <si>
    <t>S10.1</t>
  </si>
  <si>
    <t>Back up S10 - top clamp close Cmd</t>
  </si>
  <si>
    <t>S10.2</t>
  </si>
  <si>
    <t>Back up S13 - strongback retract Cmd</t>
  </si>
  <si>
    <t>S13.1</t>
  </si>
  <si>
    <t>Back up S13 - strongback engage Cmd</t>
  </si>
  <si>
    <t>S13.2</t>
  </si>
  <si>
    <t>S8 changeover to backup - top clamp Cmd</t>
  </si>
  <si>
    <t>S11 - S12</t>
  </si>
  <si>
    <t>S9 change over to back up - SB directional valve</t>
  </si>
  <si>
    <t>S14 - S15</t>
  </si>
  <si>
    <t>F6</t>
  </si>
  <si>
    <t>Hold downs</t>
  </si>
  <si>
    <t>High Speed Retract HD1 - Cmd</t>
  </si>
  <si>
    <t>S17</t>
  </si>
  <si>
    <t>High Speed Retract HD2 - Cmd</t>
  </si>
  <si>
    <t>S19</t>
  </si>
  <si>
    <t>High Speed Retract HD3 - Cmd</t>
  </si>
  <si>
    <t>S21</t>
  </si>
  <si>
    <t>High Speed Retract HD4 - Cmd</t>
  </si>
  <si>
    <t>S23</t>
  </si>
  <si>
    <t>Primary High Speed retract enable</t>
  </si>
  <si>
    <t>HYD-HD-SSR-B-168</t>
  </si>
  <si>
    <t>Secondary High Speed release trigger (S18_20_22_24)</t>
  </si>
  <si>
    <t>HYD-HD-SSR-B-169</t>
  </si>
  <si>
    <t>Secondary High Speed release trigger (S18_20_22_24) Cmd</t>
  </si>
  <si>
    <t>S18 -S20 -S22 -S24</t>
  </si>
  <si>
    <t>Slow Extend HD1 - Cmd</t>
  </si>
  <si>
    <t>S25.1</t>
  </si>
  <si>
    <t>Slow Extend HD2 - Cmd</t>
  </si>
  <si>
    <t>S26.1</t>
  </si>
  <si>
    <t>Slow Extend HD3 - Cmd</t>
  </si>
  <si>
    <t>S27.1</t>
  </si>
  <si>
    <t>Slow Extend HD4 - Cmd</t>
  </si>
  <si>
    <t>S28.1</t>
  </si>
  <si>
    <t>Slow Retract HD1 - Cmd</t>
  </si>
  <si>
    <t>S25.2</t>
  </si>
  <si>
    <t>Slow Retract HD2 - Cmd</t>
  </si>
  <si>
    <t>S26.2</t>
  </si>
  <si>
    <t>Slow Retract HD3 - Cmd</t>
  </si>
  <si>
    <t>S27.2</t>
  </si>
  <si>
    <t>Slow Retract HD4 - Cmd</t>
  </si>
  <si>
    <t>S28.2</t>
  </si>
  <si>
    <t>Hold down circuit pressure</t>
  </si>
  <si>
    <t>PT-4</t>
  </si>
  <si>
    <t>instroke pressure - HD1</t>
  </si>
  <si>
    <t>PTA-1</t>
  </si>
  <si>
    <t>instroke pressure - HD2</t>
  </si>
  <si>
    <t>PTA-2</t>
  </si>
  <si>
    <t>instroke pressure - HD3</t>
  </si>
  <si>
    <t>PTA-3</t>
  </si>
  <si>
    <t>instroke pressure - HD4</t>
  </si>
  <si>
    <t>PTA-4</t>
  </si>
  <si>
    <t>outstroke pressure - HD1</t>
  </si>
  <si>
    <t>PTB-1</t>
  </si>
  <si>
    <t>outstroke pressure - HD2</t>
  </si>
  <si>
    <t>PTB-2</t>
  </si>
  <si>
    <t>outstroke pressure - HD3</t>
  </si>
  <si>
    <t>PTB-3</t>
  </si>
  <si>
    <t>outstroke pressure - HD4</t>
  </si>
  <si>
    <t>PTB-4</t>
  </si>
  <si>
    <t>Accumulator Bladder gas pressure - HD1</t>
  </si>
  <si>
    <t>PTAC-1</t>
  </si>
  <si>
    <t>Accumulator Bladder gas pressure - HD2</t>
  </si>
  <si>
    <t>PTAC-2</t>
  </si>
  <si>
    <t>Accumulator Bladder gas pressure - HD3</t>
  </si>
  <si>
    <t>PTAC-3</t>
  </si>
  <si>
    <t>Accumulator Bladder gas pressure - HD4</t>
  </si>
  <si>
    <t>PTAC-4</t>
  </si>
  <si>
    <t>Accumulator isolation valve state Closed- HD1</t>
  </si>
  <si>
    <t>SWAC-1-C</t>
  </si>
  <si>
    <t>Accumulator isolation valve state Closed- HD2</t>
  </si>
  <si>
    <t>SWAC-2-C</t>
  </si>
  <si>
    <t>Accumulator isolation valve state Closed- HD3</t>
  </si>
  <si>
    <t>SWAC-3-C</t>
  </si>
  <si>
    <t>Accumulator isolation valve state Closed - HD4</t>
  </si>
  <si>
    <t>SWAC-4-C</t>
  </si>
  <si>
    <t>Hold down 1 &amp; 4 Sump level</t>
  </si>
  <si>
    <t>LEV-2</t>
  </si>
  <si>
    <t>Level</t>
  </si>
  <si>
    <t>HD 2 &amp; 3 Sump level</t>
  </si>
  <si>
    <t>LEV-3</t>
  </si>
  <si>
    <t>HD 1 &amp; 4 Sump Pump Start</t>
  </si>
  <si>
    <t>M5</t>
  </si>
  <si>
    <t>Motor</t>
  </si>
  <si>
    <t>HD 2 &amp; 3 Sump Pump Start</t>
  </si>
  <si>
    <t>M4</t>
  </si>
  <si>
    <t>HD circuit bleed valve state</t>
  </si>
  <si>
    <t>SW16</t>
  </si>
  <si>
    <t>S1 Umbilical accumulator bleed  - Cmd</t>
  </si>
  <si>
    <t>S29</t>
  </si>
  <si>
    <t>Prevalve open  - Cmd</t>
  </si>
  <si>
    <t>S32.1</t>
  </si>
  <si>
    <t>Prevalve close  - Cmd</t>
  </si>
  <si>
    <t>S32.2</t>
  </si>
  <si>
    <t>Prevalve back up invert actuator state  - Cmd</t>
  </si>
  <si>
    <t>S33</t>
  </si>
  <si>
    <t>Prevalve bleed  - Cmd</t>
  </si>
  <si>
    <t>S38 - S39</t>
  </si>
  <si>
    <t>Pre-Valve</t>
  </si>
  <si>
    <t>S1 Umbilical high speed retract primary  - Cmd</t>
  </si>
  <si>
    <t>S34 - S36</t>
  </si>
  <si>
    <t>S1 Umbilical Primary Slow Extend  - Cmd</t>
  </si>
  <si>
    <t>S30.1</t>
  </si>
  <si>
    <t>S1 Umbilical Primary Slow Retract  - Cmd</t>
  </si>
  <si>
    <t>S30.2</t>
  </si>
  <si>
    <t>S1 Umbilical Secondary Slow Extend  - Cmd</t>
  </si>
  <si>
    <t>S31.1</t>
  </si>
  <si>
    <t>S1 Umbilical Secondary Slow Retract  - Cmd</t>
  </si>
  <si>
    <t>S31.2</t>
  </si>
  <si>
    <t>S1 Umbilical instroke pressure</t>
  </si>
  <si>
    <t>PTA-5</t>
  </si>
  <si>
    <t>S1 Umbilical outstroke pressure</t>
  </si>
  <si>
    <t>PTB-5</t>
  </si>
  <si>
    <t>Prevalve drive</t>
  </si>
  <si>
    <t>PTA-6</t>
  </si>
  <si>
    <t>PTB-6</t>
  </si>
  <si>
    <t>HD circuit bleed Cmd</t>
  </si>
  <si>
    <t>S16</t>
  </si>
  <si>
    <t>S1 Umbilical Accumulator Bladder Pressure</t>
  </si>
  <si>
    <t>PTAC-5</t>
  </si>
  <si>
    <t>S1 Umbilical circuit pressure</t>
  </si>
  <si>
    <t>PT-5</t>
  </si>
  <si>
    <t>S1 Umbilical Accumulator Isolator open</t>
  </si>
  <si>
    <t>SWAC-5-O</t>
  </si>
  <si>
    <t>S1 Umbilical extend accumulator Isolator open</t>
  </si>
  <si>
    <t>SWAC-6-O</t>
  </si>
  <si>
    <t>S1 Position Prox 1 Extended</t>
  </si>
  <si>
    <t>HYD-S1U-PXS-Px-221</t>
  </si>
  <si>
    <t>Proximity Sensor</t>
  </si>
  <si>
    <t>Proximity - Extended</t>
  </si>
  <si>
    <t>S1 Position Prox 2 Cleared Flame Bucket</t>
  </si>
  <si>
    <t>HYD-S1U-PXS-Px-222</t>
  </si>
  <si>
    <t>Proximity</t>
  </si>
  <si>
    <t>S1 Position Prox 3 Cleared Flame Bucket</t>
  </si>
  <si>
    <t>HYD-S1U-PXS-Px-223</t>
  </si>
  <si>
    <t>S1 Position Prox 4 Retracted</t>
  </si>
  <si>
    <t>HYD-S1U-PXS-Px-224</t>
  </si>
  <si>
    <t>Proximity - Retracted</t>
  </si>
  <si>
    <t>Prox Open - HD Lock 1</t>
  </si>
  <si>
    <t>HYD-HD-PXS-Px-225</t>
  </si>
  <si>
    <t>Prox Open - HD Lock 2</t>
  </si>
  <si>
    <t>HYD-HD-PXS-Px-226</t>
  </si>
  <si>
    <t>Prox Open - HD Lock 3</t>
  </si>
  <si>
    <t>HYD-HD-PXS-Px-227</t>
  </si>
  <si>
    <t>Prox Open - HD Lock 4</t>
  </si>
  <si>
    <t>HYD-HD-PXS-Px-228</t>
  </si>
  <si>
    <t>Prox Closed - HD Lock 1</t>
  </si>
  <si>
    <t>HYD-HD-PXS-Px-229</t>
  </si>
  <si>
    <t>Prox Closed - HD Lock 2</t>
  </si>
  <si>
    <t>HYD-HD-PXS-Px-230</t>
  </si>
  <si>
    <t>Prox Closed - HD Lock 3</t>
  </si>
  <si>
    <t>HYD-HD-PXS-Px-231</t>
  </si>
  <si>
    <t>Prox Closed - HD Lock 4</t>
  </si>
  <si>
    <t>HYD-HD-PXS-Px-232</t>
  </si>
  <si>
    <t>Prox Extended HD 1</t>
  </si>
  <si>
    <t>HYD-HD-PXS-PxE-233</t>
  </si>
  <si>
    <t>Prox Extended HD 2</t>
  </si>
  <si>
    <t>HYD-HD-PXS-PxE-234</t>
  </si>
  <si>
    <t>Prox Extended HD 3</t>
  </si>
  <si>
    <t>HYD-HD-PXS-PxE-235</t>
  </si>
  <si>
    <t>Prox Extended HD 4</t>
  </si>
  <si>
    <t>HYD-HD-PXS-PxE-236</t>
  </si>
  <si>
    <t>Prox Retracted HD 1</t>
  </si>
  <si>
    <t>HYD-HD-PXS-PxR-237</t>
  </si>
  <si>
    <t>Prox Retracted HD 2</t>
  </si>
  <si>
    <t>HYD-HD-PXS-PxR-238</t>
  </si>
  <si>
    <t>Prox Retracted HD 3</t>
  </si>
  <si>
    <t>HYD-HD-PXS-PxR-239</t>
  </si>
  <si>
    <t>Prox Retracted HD 4</t>
  </si>
  <si>
    <t>HYD-HD-PXS-PxR-240</t>
  </si>
  <si>
    <t>Prox Clamp Open Left</t>
  </si>
  <si>
    <t>HYD-CL-PXS-PxO-241</t>
  </si>
  <si>
    <t>Clamp</t>
  </si>
  <si>
    <t>Prox Clamp Open Right</t>
  </si>
  <si>
    <t>HYD-CL-PXS-PxO-242</t>
  </si>
  <si>
    <t>Prox Clamp Closed Left</t>
  </si>
  <si>
    <t>HYD-CL-PXS-PxC-243</t>
  </si>
  <si>
    <t>Prox Clamp Closed Right</t>
  </si>
  <si>
    <t>HYD-CL-PXS-PxC-244</t>
  </si>
  <si>
    <t>Stage 1 umbilical engagement distance prox</t>
  </si>
  <si>
    <t>HYD-S1U-PXS-Px-245</t>
  </si>
  <si>
    <t>mm</t>
  </si>
  <si>
    <t>Temp SB Inclinometer 1</t>
  </si>
  <si>
    <t>08C901</t>
  </si>
  <si>
    <t>Inclinometer</t>
  </si>
  <si>
    <t>Inclination</t>
  </si>
  <si>
    <t>degrees</t>
  </si>
  <si>
    <t>Temp SB Inclinometer 2</t>
  </si>
  <si>
    <t>08C902</t>
  </si>
  <si>
    <t>Temp SB Inclinometer 3</t>
  </si>
  <si>
    <t>08C903</t>
  </si>
  <si>
    <t>Recirculation Pumps</t>
  </si>
  <si>
    <t>M3</t>
  </si>
  <si>
    <t>HYD Reservoir Oil Temp</t>
  </si>
  <si>
    <t>TEMP-1</t>
  </si>
  <si>
    <t>Reservoir Oil Level</t>
  </si>
  <si>
    <t>LEV-1</t>
  </si>
  <si>
    <t>Level Sensor</t>
  </si>
  <si>
    <t>Lift circuit return filter</t>
  </si>
  <si>
    <t>F5</t>
  </si>
  <si>
    <t>HD circuit bleed</t>
  </si>
  <si>
    <t>Lift circuit line pressure</t>
  </si>
  <si>
    <t>PT-3</t>
  </si>
  <si>
    <t>Umbilical extend accumulator pressure</t>
  </si>
  <si>
    <t>PTAC-6</t>
  </si>
  <si>
    <t>S1 Umbilical Accumulator Isolator closed</t>
  </si>
  <si>
    <t>SWAC-5-C</t>
  </si>
  <si>
    <t>S1 Umbilical extend accumulator Isolator closed</t>
  </si>
  <si>
    <t>SWAC-6-C</t>
  </si>
  <si>
    <t>HD lock accumulator bleed  - Cmd</t>
  </si>
  <si>
    <t>S40</t>
  </si>
  <si>
    <t>Hold Down Locks</t>
  </si>
  <si>
    <t>HD lock gang open/close  - Cmd</t>
  </si>
  <si>
    <t>S41</t>
  </si>
  <si>
    <t>HD lock invert drive state  - Cmd</t>
  </si>
  <si>
    <t>S42</t>
  </si>
  <si>
    <t>Isolate HDL1 - Cmd</t>
  </si>
  <si>
    <t>S46</t>
  </si>
  <si>
    <t>Isolate HDL2 - Cmd</t>
  </si>
  <si>
    <t>S45</t>
  </si>
  <si>
    <t>Isolate HDL3  - Cmd</t>
  </si>
  <si>
    <t>S44</t>
  </si>
  <si>
    <t>Isolate HDL4  - Cmd</t>
  </si>
  <si>
    <t>S43</t>
  </si>
  <si>
    <t>HD Lock accumulator bladder pressure</t>
  </si>
  <si>
    <t>PTAC-7</t>
  </si>
  <si>
    <t>HDL line pressure</t>
  </si>
  <si>
    <t>PT-6</t>
  </si>
  <si>
    <t>GOX accumulator pressure</t>
  </si>
  <si>
    <t>15C908</t>
  </si>
  <si>
    <t>Igniter</t>
  </si>
  <si>
    <t>Gas Oxygen</t>
  </si>
  <si>
    <t>GOX supply pressure</t>
  </si>
  <si>
    <t>15C906</t>
  </si>
  <si>
    <t>CH4 GN2 Purge Line 3-Way Solenoid Valve</t>
  </si>
  <si>
    <t>05C322</t>
  </si>
  <si>
    <t>Methane</t>
  </si>
  <si>
    <t>GOX regulator pressure</t>
  </si>
  <si>
    <t>15C907</t>
  </si>
  <si>
    <t>CH4 accumulator Pressure Transducer</t>
  </si>
  <si>
    <t>14C913</t>
  </si>
  <si>
    <t>CH4 supply pressure</t>
  </si>
  <si>
    <t>14C911</t>
  </si>
  <si>
    <t>CH4 GN2 purge pressure</t>
  </si>
  <si>
    <t>05C914</t>
  </si>
  <si>
    <t>CH4 regulator pressure</t>
  </si>
  <si>
    <t>14C912</t>
  </si>
  <si>
    <t>GOX accumulator fill valve</t>
  </si>
  <si>
    <t>15C310</t>
  </si>
  <si>
    <t>GOX vent valve</t>
  </si>
  <si>
    <t>15C311</t>
  </si>
  <si>
    <t>GOX Bypass</t>
  </si>
  <si>
    <t>15C312</t>
  </si>
  <si>
    <t>GOX GN2 purge pressure</t>
  </si>
  <si>
    <t>05C909</t>
  </si>
  <si>
    <t>GOX umbilical isolation valve - Cmd</t>
  </si>
  <si>
    <t>15C313</t>
  </si>
  <si>
    <t>GOX GN2 Purge 3-Way Solenoid Valve</t>
  </si>
  <si>
    <t>05C315</t>
  </si>
  <si>
    <t>GOX umbilical vent valve</t>
  </si>
  <si>
    <t>15C380</t>
  </si>
  <si>
    <t>CH4 vent valve</t>
  </si>
  <si>
    <t>14C318</t>
  </si>
  <si>
    <t>CH4 bypass valve</t>
  </si>
  <si>
    <t>14C319</t>
  </si>
  <si>
    <t>CH4 umbilical isolation valve - Cmd</t>
  </si>
  <si>
    <t>14C320</t>
  </si>
  <si>
    <t>CAN BE DELETED</t>
  </si>
  <si>
    <t>14CXXX</t>
  </si>
  <si>
    <t>CH4 accumulator fill valve</t>
  </si>
  <si>
    <t>14C317</t>
  </si>
  <si>
    <t>Recirculation line isolation valve</t>
  </si>
  <si>
    <t>01C308</t>
  </si>
  <si>
    <t>Kero Fill</t>
  </si>
  <si>
    <t>Transfer Skid</t>
  </si>
  <si>
    <t>Pump Transfer valve</t>
  </si>
  <si>
    <t>01C301</t>
  </si>
  <si>
    <t>Trailer</t>
  </si>
  <si>
    <t>Pump Bypass</t>
  </si>
  <si>
    <t>01C306</t>
  </si>
  <si>
    <t>Kero ISO dessicant filter array inlet</t>
  </si>
  <si>
    <t>01C302</t>
  </si>
  <si>
    <t>Filter Skid</t>
  </si>
  <si>
    <t>Kero ISO dessicant filter array outlet</t>
  </si>
  <si>
    <t>01C303</t>
  </si>
  <si>
    <t>Kero ISO dessicant filter array bypass</t>
  </si>
  <si>
    <t>01C305</t>
  </si>
  <si>
    <t>Return to tank valve isolation valve</t>
  </si>
  <si>
    <t>01C307</t>
  </si>
  <si>
    <t>Kero Pump VSD Enable Contact (Internal to VSD)</t>
  </si>
  <si>
    <t>01C693.1</t>
  </si>
  <si>
    <t>VSD</t>
  </si>
  <si>
    <t>Kero Pump VSD Speed Setpoint</t>
  </si>
  <si>
    <t>01C693.2</t>
  </si>
  <si>
    <t>Speed</t>
  </si>
  <si>
    <t>RPM</t>
  </si>
  <si>
    <t>Fill valve position setpoint</t>
  </si>
  <si>
    <t>01C309</t>
  </si>
  <si>
    <t>Kero pump outlet pressure</t>
  </si>
  <si>
    <t>01C916</t>
  </si>
  <si>
    <t>Kero fill pressure</t>
  </si>
  <si>
    <t>01C917</t>
  </si>
  <si>
    <t>Fill valve position feed back</t>
  </si>
  <si>
    <t>Pump Transfer valve - open</t>
  </si>
  <si>
    <t>Pump Bypass - open</t>
  </si>
  <si>
    <t>Kero ISO dessicant filter array inlet - open</t>
  </si>
  <si>
    <t>Kero ISO dessicant filter array out - open</t>
  </si>
  <si>
    <t>Kero ISO dessicant filter array bypass - open</t>
  </si>
  <si>
    <t>Return to tank valve isolation valve - open</t>
  </si>
  <si>
    <t>Pump Transfer valve - closed</t>
  </si>
  <si>
    <t>Pump Bypass - closed</t>
  </si>
  <si>
    <t>Kero ISO dessicant filter array inlet - closed</t>
  </si>
  <si>
    <t>Kero ISO dessicant filter array outlet- closed</t>
  </si>
  <si>
    <t>Kero ISO dessicant filter array bypass - closed</t>
  </si>
  <si>
    <t>Return to tank valve isolation valve - closed</t>
  </si>
  <si>
    <t>LO2 Flow Control Skid Primary Flow Meter</t>
  </si>
  <si>
    <t>02C701</t>
  </si>
  <si>
    <t>Liquid Oxygen</t>
  </si>
  <si>
    <t>Lox Skid 1</t>
  </si>
  <si>
    <t>Flow Meter</t>
  </si>
  <si>
    <t>Modbus - Analog Input</t>
  </si>
  <si>
    <t>Mass Flow Rate</t>
  </si>
  <si>
    <t>kg/S</t>
  </si>
  <si>
    <t>LO2 Flow Control Skid Outlet Vent Line Flow Meter</t>
  </si>
  <si>
    <t>02C705</t>
  </si>
  <si>
    <t>LOX tank 2 pressure building valve</t>
  </si>
  <si>
    <t>02C323</t>
  </si>
  <si>
    <t>LOX Tank 2</t>
  </si>
  <si>
    <t>LOX skid 1 transfer vent valve</t>
  </si>
  <si>
    <t>02C340</t>
  </si>
  <si>
    <t>LOX tank 1 pressure building valve</t>
  </si>
  <si>
    <t>02C325</t>
  </si>
  <si>
    <t>LOX Tank 1</t>
  </si>
  <si>
    <t>LOX tank 2 blow down valve</t>
  </si>
  <si>
    <t>02C326</t>
  </si>
  <si>
    <t>LOX tank 1 bottom return response</t>
  </si>
  <si>
    <t>02C329</t>
  </si>
  <si>
    <t>LOX skid 1 return vent valve</t>
  </si>
  <si>
    <t>02C330</t>
  </si>
  <si>
    <t>LOX skid 1 pump vent valve</t>
  </si>
  <si>
    <t>02C339</t>
  </si>
  <si>
    <t>LOX skid 1 transfer return response</t>
  </si>
  <si>
    <t>02C333</t>
  </si>
  <si>
    <t>LO2 S1 Umbilical fill valve - Resp</t>
  </si>
  <si>
    <t>02C337</t>
  </si>
  <si>
    <t>LO2 S2 Umbilical fill valve - Resp</t>
  </si>
  <si>
    <t>02C338</t>
  </si>
  <si>
    <t>LOX pump 1 inlet pressure</t>
  </si>
  <si>
    <t>02C915</t>
  </si>
  <si>
    <t>LOX pump 2 Oulet pressure</t>
  </si>
  <si>
    <t>02C917</t>
  </si>
  <si>
    <t>LOX skid 1 tranfer pressure</t>
  </si>
  <si>
    <t>02C919</t>
  </si>
  <si>
    <t>LO2 S1 Umbilical Pressure Transducer</t>
  </si>
  <si>
    <t>02C921</t>
  </si>
  <si>
    <t>LO2 S2 Umbilical Pressure Transducer</t>
  </si>
  <si>
    <t>02C922</t>
  </si>
  <si>
    <t>LOX tank 2 bottom return response</t>
  </si>
  <si>
    <t>02C331</t>
  </si>
  <si>
    <t>LOX skid 1 transfer vent valve - Open</t>
  </si>
  <si>
    <t>02C340.2</t>
  </si>
  <si>
    <t>LOX skid 1 transfer vent valve - Closed</t>
  </si>
  <si>
    <t>LOX skid 1 return vent valve - Open</t>
  </si>
  <si>
    <t>02C330.2</t>
  </si>
  <si>
    <t>LOX skid 1 return vent valve - Closed</t>
  </si>
  <si>
    <t>LOX skid 1 pump vent valve - Open</t>
  </si>
  <si>
    <t>02C339.2</t>
  </si>
  <si>
    <t>LOX skid 1 pump vent valve - Closed</t>
  </si>
  <si>
    <t>LOX skid 1 return select - Open</t>
  </si>
  <si>
    <t>02C389.2</t>
  </si>
  <si>
    <t>LOX skid 1 return select - Closed</t>
  </si>
  <si>
    <t>LO2 S2 Umbilical Vent Open</t>
  </si>
  <si>
    <t>02C336.2</t>
  </si>
  <si>
    <t>LO2 S2 Umbilical Vent Close</t>
  </si>
  <si>
    <t>LO2 S1 Umbilical Vent Open</t>
  </si>
  <si>
    <t>02C334.2</t>
  </si>
  <si>
    <t>LO2 S1 Umbilical Vent Close</t>
  </si>
  <si>
    <t>LOX skid 1 return junction vent valve - Open</t>
  </si>
  <si>
    <t>02C341.2</t>
  </si>
  <si>
    <t>LOX skid 1 return junction vent valve - Closed</t>
  </si>
  <si>
    <t>LOX skid 2 return vent valve - Open</t>
  </si>
  <si>
    <t>02C342.2</t>
  </si>
  <si>
    <t>LOX skid 2 return vent valve - Closed</t>
  </si>
  <si>
    <t>LOX skid 2 pump vent valve - Open</t>
  </si>
  <si>
    <t>02C343.2</t>
  </si>
  <si>
    <t>LOX skid 2 pump vent valve - Closed</t>
  </si>
  <si>
    <t>LOX tank 2 skid 2 liquid withdraw</t>
  </si>
  <si>
    <t>02C328</t>
  </si>
  <si>
    <t>LOX tank 2 skid 1 liquid withdraw - Cmd</t>
  </si>
  <si>
    <t>02C349</t>
  </si>
  <si>
    <t>LOX tank 2 gas return - Cmd</t>
  </si>
  <si>
    <t>02C383</t>
  </si>
  <si>
    <t>LOX tank 1 skid 2 liquid withdraw - Cmd</t>
  </si>
  <si>
    <t>02C348</t>
  </si>
  <si>
    <t>LOX tank 1 blow down valve</t>
  </si>
  <si>
    <t>02C324</t>
  </si>
  <si>
    <t>LOX tank 1 skid 1 liquid withdraw</t>
  </si>
  <si>
    <t>02C327</t>
  </si>
  <si>
    <t>LOX tank 1 gas return - Cmd</t>
  </si>
  <si>
    <t>02C382</t>
  </si>
  <si>
    <t>LOX tank 2 pressure building valve - Open</t>
  </si>
  <si>
    <t>02C323.2</t>
  </si>
  <si>
    <t>LOX tank 2 pressure building valve - Closed</t>
  </si>
  <si>
    <t>LOX tank 1 pressure building valve - Open</t>
  </si>
  <si>
    <t>02C325.2</t>
  </si>
  <si>
    <t>LOX tank 1 pressure building valve - Closed</t>
  </si>
  <si>
    <t>LOX tank 2 blow down valve - Open</t>
  </si>
  <si>
    <t>02C326.2</t>
  </si>
  <si>
    <t>LOX tank 2 blow down valve - Closed</t>
  </si>
  <si>
    <t>LOX tank 2 skid 2 liquid withdraw - Open</t>
  </si>
  <si>
    <t>02C328.2</t>
  </si>
  <si>
    <t>LOX tank 2 skid 2 liquid withdraw - Closed</t>
  </si>
  <si>
    <t>LOX tank 2 skid 1 liquid withdraw - Open</t>
  </si>
  <si>
    <t>02C349.2</t>
  </si>
  <si>
    <t>LOX tank 2 skid 1 liquid withdraw - Closed</t>
  </si>
  <si>
    <t>LOX tank 2 gas return - Resp</t>
  </si>
  <si>
    <t>Tank 2 top fill open</t>
  </si>
  <si>
    <t>02CXXX2.2</t>
  </si>
  <si>
    <t>LOX tank 1 skid 2 liquid withdraw - Open</t>
  </si>
  <si>
    <t>02C348.2</t>
  </si>
  <si>
    <t>LOX tank 1 skid 2 liquid withdraw - Closed</t>
  </si>
  <si>
    <t>LOX tank 1 skid 1 liquid withdraw - Open</t>
  </si>
  <si>
    <t>02C327.2</t>
  </si>
  <si>
    <t>LOX tank 1 skid 1 liquid withdraw - Closed</t>
  </si>
  <si>
    <t>LOX tank 1 gas return - Resp</t>
  </si>
  <si>
    <t>Tank 1 top fill closed</t>
  </si>
  <si>
    <t>02CXXX4.2</t>
  </si>
  <si>
    <t>LOX tank 1 blow down valve - Open</t>
  </si>
  <si>
    <t>02C324.2</t>
  </si>
  <si>
    <t>LOX tank 1 blow down valve - Closed</t>
  </si>
  <si>
    <t>LOX skid 1 cross feed return response</t>
  </si>
  <si>
    <t>02C332</t>
  </si>
  <si>
    <t>LOX skid 1 return select - Cmd</t>
  </si>
  <si>
    <t>02C389</t>
  </si>
  <si>
    <t>LO2 S1 Umbilical Vent Valve</t>
  </si>
  <si>
    <t>02C336</t>
  </si>
  <si>
    <t>LO2 S2 Umbilical Proportional Control Vent Valve</t>
  </si>
  <si>
    <t>02C335</t>
  </si>
  <si>
    <t>02C334</t>
  </si>
  <si>
    <t>LOX stage 1 proportional vent - Resp</t>
  </si>
  <si>
    <t>02C384</t>
  </si>
  <si>
    <t>LOX skid 1 return junction vent valve</t>
  </si>
  <si>
    <t>02C341</t>
  </si>
  <si>
    <t>LOX skid 2 return vent valve</t>
  </si>
  <si>
    <t>02C342</t>
  </si>
  <si>
    <t>LOX skid 2 pumpvent valve</t>
  </si>
  <si>
    <t>02C343</t>
  </si>
  <si>
    <t>LOX skid 2 transfer vent valve</t>
  </si>
  <si>
    <t>02C344</t>
  </si>
  <si>
    <t>LOX skid 2 return select - Cmd</t>
  </si>
  <si>
    <t>02C388</t>
  </si>
  <si>
    <t>LOX skid 2 cross feed return - Resp</t>
  </si>
  <si>
    <t>02C345</t>
  </si>
  <si>
    <t>LOX skid 1 transfer return - Resp</t>
  </si>
  <si>
    <t>02C346</t>
  </si>
  <si>
    <t>LOX skid 2 transfer vent valve - Open</t>
  </si>
  <si>
    <t>02C344.2</t>
  </si>
  <si>
    <t>LOX skid 2 transfer vent valve - Closed</t>
  </si>
  <si>
    <t>LOX skid 2 return select - Open</t>
  </si>
  <si>
    <t>02C388.2</t>
  </si>
  <si>
    <t>LOX skid 2 return select - Closed</t>
  </si>
  <si>
    <t>LOX tank 1 bottom return cmd</t>
  </si>
  <si>
    <t>LOX skid 1 transfer return cmd</t>
  </si>
  <si>
    <t>LO2 S1 Umbilical fill valve - Cmd</t>
  </si>
  <si>
    <t>LO2 S2 Umbilical fill valve - Cmd</t>
  </si>
  <si>
    <t>LOX tank 2 bottom return cmd</t>
  </si>
  <si>
    <t>LOX skid 1 cross feed return cmd</t>
  </si>
  <si>
    <t>LOX stage 1 proportional vent - Cmd</t>
  </si>
  <si>
    <t>LOX skid 2 cross feed return - Cmd</t>
  </si>
  <si>
    <t>LOX skid 1 transfer return - Cmd</t>
  </si>
  <si>
    <t>LOX pump 1 inlet temperature</t>
  </si>
  <si>
    <t>02C916</t>
  </si>
  <si>
    <t>LOX pump 1 Outlet temperature</t>
  </si>
  <si>
    <t>02C918</t>
  </si>
  <si>
    <t>LOX skid 1 transfer temperature</t>
  </si>
  <si>
    <t>02C920</t>
  </si>
  <si>
    <t>LOX pump 2 outlet Temperature Sensor</t>
  </si>
  <si>
    <t>02C926</t>
  </si>
  <si>
    <t>LOX pump 2 Inlet Temperature Sensor</t>
  </si>
  <si>
    <t>02C927</t>
  </si>
  <si>
    <t>LOX skid 2 transfer temperature</t>
  </si>
  <si>
    <t>02C928</t>
  </si>
  <si>
    <t>S1 LOX umbilical temperature</t>
  </si>
  <si>
    <t>02C935</t>
  </si>
  <si>
    <t>LO2 S2 Umbilical Temperature Sensor</t>
  </si>
  <si>
    <t>02C923</t>
  </si>
  <si>
    <t>LOX pump 2 oultet pressure</t>
  </si>
  <si>
    <t>02C925</t>
  </si>
  <si>
    <t>LOX pump 2 inlet pressure</t>
  </si>
  <si>
    <t>02C924</t>
  </si>
  <si>
    <t>LOX skid 2 transfer pressure</t>
  </si>
  <si>
    <t>02C929</t>
  </si>
  <si>
    <t>S1 LOX umbilical pressure</t>
  </si>
  <si>
    <t>02C934</t>
  </si>
  <si>
    <t>Clamp lock latch - energize to unlock latch</t>
  </si>
  <si>
    <t>05C392.1</t>
  </si>
  <si>
    <t>Mechanical</t>
  </si>
  <si>
    <t>Solenoid</t>
  </si>
  <si>
    <t>Clamp lock latch - state feed back - open</t>
  </si>
  <si>
    <t>MEC-CL-PXS-PxO-418</t>
  </si>
  <si>
    <t>Clamp lock latch - state feed back - closed</t>
  </si>
  <si>
    <t>MEC-CL-PXS-PxC-419</t>
  </si>
  <si>
    <t>Box Purge Status - From PLC</t>
  </si>
  <si>
    <t>PC-PRG-CTL-GV-420</t>
  </si>
  <si>
    <t>Controller</t>
  </si>
  <si>
    <t>Gas Vapor Warning</t>
  </si>
  <si>
    <t>ESTOP Reset HV Batt</t>
  </si>
  <si>
    <t>SSR017</t>
  </si>
  <si>
    <t>HVBH Control</t>
  </si>
  <si>
    <t>purge pressure - GOX/METHANE PANEL</t>
  </si>
  <si>
    <t>33C925</t>
  </si>
  <si>
    <t>Positive Pressure System</t>
  </si>
  <si>
    <t>kPa-A</t>
  </si>
  <si>
    <t>purge pressure - CB3</t>
  </si>
  <si>
    <t>33C910</t>
  </si>
  <si>
    <t>purge pressure - CB4</t>
  </si>
  <si>
    <t>33C911</t>
  </si>
  <si>
    <t>purge pressure - CB5</t>
  </si>
  <si>
    <t>33C918</t>
  </si>
  <si>
    <t>purge pressure - CB9</t>
  </si>
  <si>
    <t>33C915</t>
  </si>
  <si>
    <t>purge pressure - CB7</t>
  </si>
  <si>
    <t>33C920</t>
  </si>
  <si>
    <t>Purge pressure CB8</t>
  </si>
  <si>
    <t>33C921</t>
  </si>
  <si>
    <t>purge pressure - F1</t>
  </si>
  <si>
    <t>33C922</t>
  </si>
  <si>
    <t>purge pressure - F2</t>
  </si>
  <si>
    <t>33C912</t>
  </si>
  <si>
    <t>purge pressure - F3</t>
  </si>
  <si>
    <t>33C913</t>
  </si>
  <si>
    <t>purge pressure - F4</t>
  </si>
  <si>
    <t>33C914</t>
  </si>
  <si>
    <t>purge pressure - S2</t>
  </si>
  <si>
    <t>33C916</t>
  </si>
  <si>
    <t>purge pressure - PL</t>
  </si>
  <si>
    <t>33C917</t>
  </si>
  <si>
    <t>S2 Umbilical Low pressure locking valve AND High Pressure Jettison Valve</t>
  </si>
  <si>
    <t>05C318, 05C319</t>
  </si>
  <si>
    <t>S2 Umbilical Jettison</t>
  </si>
  <si>
    <t>S2 umbilical head</t>
  </si>
  <si>
    <t>Electronic Valve</t>
  </si>
  <si>
    <t>S2 Umbilical High pressure jettison valve</t>
  </si>
  <si>
    <t>05C319</t>
  </si>
  <si>
    <t>S2 Umbilical locking ram position - Extended</t>
  </si>
  <si>
    <t>S2J-S2H-PXS-PxE-437</t>
  </si>
  <si>
    <t>S2 Umbilical locking ram position - Retracted</t>
  </si>
  <si>
    <t>S2J-S2H-PXS-PxR-438</t>
  </si>
  <si>
    <t>Vehicle Helium Back up - Cmd</t>
  </si>
  <si>
    <r>
      <rPr>
        <strike/>
        <sz val="10"/>
        <rFont val="Arial"/>
      </rPr>
      <t xml:space="preserve">04C339  </t>
    </r>
    <r>
      <rPr>
        <sz val="10"/>
        <color rgb="FF000000"/>
        <rFont val="Arial"/>
      </rPr>
      <t>04C343</t>
    </r>
  </si>
  <si>
    <t>Vehicle Helium Backup</t>
  </si>
  <si>
    <r>
      <rPr>
        <strike/>
        <sz val="10"/>
        <rFont val="Arial"/>
      </rPr>
      <t>04C340</t>
    </r>
    <r>
      <rPr>
        <sz val="10"/>
        <color rgb="FF000000"/>
        <rFont val="Arial"/>
      </rPr>
      <t xml:space="preserve">  04C344</t>
    </r>
  </si>
  <si>
    <t>S1 LOX tank ullage pressure</t>
  </si>
  <si>
    <t>Vehicle LOX Tank pressure maintain</t>
  </si>
  <si>
    <t>Stage 1</t>
  </si>
  <si>
    <t>S2 LOX tank ullage pressure</t>
  </si>
  <si>
    <t>Stage 2</t>
  </si>
  <si>
    <t>Water deluge supply pressure</t>
  </si>
  <si>
    <t>41C902</t>
  </si>
  <si>
    <t>Water Deluge</t>
  </si>
  <si>
    <t>Water deluge flow pressure 1</t>
  </si>
  <si>
    <t>41C903</t>
  </si>
  <si>
    <t>Flow Control</t>
  </si>
  <si>
    <t>Water deluge flow control valve - Cmd</t>
  </si>
  <si>
    <t>41C303.2</t>
  </si>
  <si>
    <t>Water deluge flow pressure 2</t>
  </si>
  <si>
    <t>41C904</t>
  </si>
  <si>
    <t>Flame Trence Curtain Valve Controller</t>
  </si>
  <si>
    <t>41C305.2</t>
  </si>
  <si>
    <t>Flame Trench Curtain</t>
  </si>
  <si>
    <t>Water deluge flow pressure 3</t>
  </si>
  <si>
    <t>41C905</t>
  </si>
  <si>
    <r>
      <rPr>
        <strike/>
        <sz val="10"/>
        <rFont val="Arial"/>
        <family val="2"/>
      </rPr>
      <t>North</t>
    </r>
    <r>
      <rPr>
        <sz val="10"/>
        <rFont val="Arial"/>
      </rPr>
      <t xml:space="preserve"> South Side Rainbirds Valve Controller</t>
    </r>
  </si>
  <si>
    <t>41C306</t>
  </si>
  <si>
    <t>Rain birds</t>
  </si>
  <si>
    <t>ASR Bleed Discrete Ball Valve Controller</t>
  </si>
  <si>
    <t>41C307.2</t>
  </si>
  <si>
    <t>Halo ring</t>
  </si>
  <si>
    <t>Ring Discrete Ball Valve Controller</t>
  </si>
  <si>
    <t>41C308</t>
  </si>
  <si>
    <r>
      <rPr>
        <strike/>
        <sz val="10"/>
        <rFont val="Arial"/>
        <family val="2"/>
      </rPr>
      <t>South</t>
    </r>
    <r>
      <rPr>
        <sz val="10"/>
        <rFont val="Arial"/>
      </rPr>
      <t xml:space="preserve"> North Side Rainbirds Valve Controller</t>
    </r>
  </si>
  <si>
    <t>41C309</t>
  </si>
  <si>
    <t>LO2 Flow Control Skid Outlet Vent Line Moisture Sensor</t>
  </si>
  <si>
    <t>02C702</t>
  </si>
  <si>
    <t>LOX Ground</t>
  </si>
  <si>
    <t>Hygrometer</t>
  </si>
  <si>
    <t>Water Content</t>
  </si>
  <si>
    <t>PPM</t>
  </si>
  <si>
    <t>LOX tank 1 ullage pressure</t>
  </si>
  <si>
    <t>02C930</t>
  </si>
  <si>
    <t>LOX tank 2 ullage pressure</t>
  </si>
  <si>
    <t>02C931</t>
  </si>
  <si>
    <t>LOX tank 1 level sensor</t>
  </si>
  <si>
    <t>02C932</t>
  </si>
  <si>
    <t>LOX tank 2 level sensor</t>
  </si>
  <si>
    <t>02C933</t>
  </si>
  <si>
    <t>Skid 1 Return Vent Temp Sensor</t>
  </si>
  <si>
    <t>02C956</t>
  </si>
  <si>
    <t>Skid 2 Return Vent Temp Sensor</t>
  </si>
  <si>
    <t>02C957</t>
  </si>
  <si>
    <t>Lox Skid 2</t>
  </si>
  <si>
    <t>LOX return junction temperature sensor</t>
  </si>
  <si>
    <t>02C953</t>
  </si>
  <si>
    <t>LOX Dump</t>
  </si>
  <si>
    <t>LOX fill junction temperature sensor</t>
  </si>
  <si>
    <t>02C954</t>
  </si>
  <si>
    <t>LOX stage 2 fill temperature sensor</t>
  </si>
  <si>
    <t>02C955</t>
  </si>
  <si>
    <t>Fairing umbilical flow rate sensor</t>
  </si>
  <si>
    <t>05C708</t>
  </si>
  <si>
    <t>Interstage 2 flow rate sensor</t>
  </si>
  <si>
    <t>05C709</t>
  </si>
  <si>
    <t>Interstage 1 flow rate sensor</t>
  </si>
  <si>
    <t>05C710</t>
  </si>
  <si>
    <t>Powerpack flow rate sensor</t>
  </si>
  <si>
    <t>05C711</t>
  </si>
  <si>
    <t>Heater 1 Enable stage 1 (110V = Enabled)</t>
  </si>
  <si>
    <t>HVAC-S1-HTR-ST-470</t>
  </si>
  <si>
    <t>Heater</t>
  </si>
  <si>
    <t>Heater 1 Enable stage 2 (110V = Enabled)</t>
  </si>
  <si>
    <t>HVAC-S1-HTR-ST-471</t>
  </si>
  <si>
    <t>Temp Setpoint 4-20mA (0-100 degrees C)</t>
  </si>
  <si>
    <t>HVAC-S1-HTR-ST-472</t>
  </si>
  <si>
    <t>Demand Setpoint 4-20mA (0-100% duty cycle)</t>
  </si>
  <si>
    <t>HVAC-S1-HTR-ST-473</t>
  </si>
  <si>
    <t>Trip Reset 24V to reset</t>
  </si>
  <si>
    <t>HVAC-S1-HTR-ST-474</t>
  </si>
  <si>
    <t>Mode (24V = PID mode_ 0V = demand mode)</t>
  </si>
  <si>
    <t>HVAC-S1-HTR-ST-475</t>
  </si>
  <si>
    <t>Heater Outlet Temperature 4-20mA (-50 to 150 degrees C)</t>
  </si>
  <si>
    <t>HVAC-S1-HTR-Ts-476</t>
  </si>
  <si>
    <t>overtemp trip (0V = trip)</t>
  </si>
  <si>
    <t>HVAC-S1-HTR-Ts-477</t>
  </si>
  <si>
    <t>Interstage 1 Heater  Enable (110V = Enabled)</t>
  </si>
  <si>
    <t>HVAC-IS1-HTR-ST-479</t>
  </si>
  <si>
    <t>HVAC-IS1-HTR-ST-480</t>
  </si>
  <si>
    <t>HVAC-IS1-HTR-ST-481</t>
  </si>
  <si>
    <t>HVAC-IS1-HTR-ST-482</t>
  </si>
  <si>
    <t>HVAC-IS1-HTR-ST-483</t>
  </si>
  <si>
    <t>HVAC-IS1-HTR-Ts-484</t>
  </si>
  <si>
    <t>HVAC-IS1-HTR-Ts-485</t>
  </si>
  <si>
    <t>Heater 3 Enable (110V = Enabled)</t>
  </si>
  <si>
    <t>HVAC-IS2-HTR-ST-487</t>
  </si>
  <si>
    <t>HVAC-IS2-HTR-ST-488</t>
  </si>
  <si>
    <t>HVAC-IS2-HTR-ST-489</t>
  </si>
  <si>
    <t>HVAC-IS2-HTR-ST-490</t>
  </si>
  <si>
    <t>HVAC-IS2-HTR-ST-491</t>
  </si>
  <si>
    <t>HVAC-IS2-HTR-Ts-492</t>
  </si>
  <si>
    <t>HVAC-IS2-HTR-Ts-493</t>
  </si>
  <si>
    <t>Fairing Heater Enable (110V = Enabled)</t>
  </si>
  <si>
    <t>HVAC-FAR-HTR-ST-495</t>
  </si>
  <si>
    <t>HVAC-FAR-HTR-ST-496</t>
  </si>
  <si>
    <t>HVAC-FAR-HTR-ST-497</t>
  </si>
  <si>
    <t>HVAC-FAR-HTR-ST-498</t>
  </si>
  <si>
    <t>HVAC-FAR-HTR-ST-499</t>
  </si>
  <si>
    <t>Fairing Heater Outlet Temperature 4-20mA (-50 to 150 degrees C)</t>
  </si>
  <si>
    <t>HVAC-FAR-HTR-Ts-500</t>
  </si>
  <si>
    <t>Fairing overtemp trip (0V = trip)</t>
  </si>
  <si>
    <t>HVAC-FAR-HTR-Ts-501</t>
  </si>
  <si>
    <t>Stage 2 Anti-Geysering flow rate</t>
  </si>
  <si>
    <t>04C706</t>
  </si>
  <si>
    <t>Stage 1 Anti-Geysering flow rate</t>
  </si>
  <si>
    <t>04C707</t>
  </si>
  <si>
    <t>M5 Sump Run Feedback</t>
  </si>
  <si>
    <t>M4 Sump Run Feedback</t>
  </si>
  <si>
    <t>Recirculation Pump Feedback</t>
  </si>
  <si>
    <t>Pump 1 SS Start</t>
  </si>
  <si>
    <t>Soft Starter</t>
  </si>
  <si>
    <t>Pump 2 SS Start</t>
  </si>
  <si>
    <t>GHe Vehilce Backup Supply Pressure</t>
  </si>
  <si>
    <t>04C927</t>
  </si>
  <si>
    <t>Helium</t>
  </si>
  <si>
    <t>Stage 1 Anti-Geysering Regulator Pressure</t>
  </si>
  <si>
    <t>04C929</t>
  </si>
  <si>
    <t>Stage 2 Anti-Geysering Delivery Pressure</t>
  </si>
  <si>
    <t>04C931</t>
  </si>
  <si>
    <t>North Side Rainbird Line Pressure</t>
  </si>
  <si>
    <t>41CXXX1</t>
  </si>
  <si>
    <t>Ring Line Pressure</t>
  </si>
  <si>
    <t>41CXXX2</t>
  </si>
  <si>
    <t>South Side Rainbird Line Pressure</t>
  </si>
  <si>
    <t>41CXXX3</t>
  </si>
  <si>
    <t>GHe store backup valve - Open</t>
  </si>
  <si>
    <t>04C342.2</t>
  </si>
  <si>
    <t>GHe store backup valve - Closed</t>
  </si>
  <si>
    <t>Stage 1 Anti-Geysering Low Flow Valve - Open</t>
  </si>
  <si>
    <t>04C345.2</t>
  </si>
  <si>
    <t>Stage 1 Anti-Geysering Low Flow Valve - Closed</t>
  </si>
  <si>
    <t>Stage 1 Anti-Geysering High Flow Valve - Open</t>
  </si>
  <si>
    <t>04C346.2</t>
  </si>
  <si>
    <t>Stage 1 Anti-Geysering High Flow Valve - Closed</t>
  </si>
  <si>
    <t>GOX umbilical pressure</t>
  </si>
  <si>
    <t>15C961</t>
  </si>
  <si>
    <t>CH4 umbilical vent valve</t>
  </si>
  <si>
    <t>14C381</t>
  </si>
  <si>
    <t>CO2 Flow indicating Pressure Transducer</t>
  </si>
  <si>
    <t>13C961</t>
  </si>
  <si>
    <t>CH4 umbilical Pressure Transducer</t>
  </si>
  <si>
    <t>14C969</t>
  </si>
  <si>
    <t>Recirculation line isolation valve - Open</t>
  </si>
  <si>
    <t>Recirculation line isolation valve- Closed</t>
  </si>
  <si>
    <t>01C308.2</t>
  </si>
  <si>
    <t>Kero Pump VSD Speed Feedback</t>
  </si>
  <si>
    <t>01C693</t>
  </si>
  <si>
    <t>Kero Pump VSD Fault</t>
  </si>
  <si>
    <t>South Side Rainbirds Valve Open</t>
  </si>
  <si>
    <t>41C306.2</t>
  </si>
  <si>
    <t>South Side Rainbirds Valve Closed</t>
  </si>
  <si>
    <t>Ring Discrete Ball Valve Open</t>
  </si>
  <si>
    <t>41C308.2</t>
  </si>
  <si>
    <t>Ring Discrete Ball Valve Closed</t>
  </si>
  <si>
    <t>North Side Rainbirds Valve Open</t>
  </si>
  <si>
    <t>41C309.2</t>
  </si>
  <si>
    <t>North Side Rainbirds Valve Closed</t>
  </si>
  <si>
    <t>GOX umbilical isolation valve - Open</t>
  </si>
  <si>
    <t>15C313.2</t>
  </si>
  <si>
    <t>GOX umbilical isolation valve - Closed</t>
  </si>
  <si>
    <t>CH4 umbilical isolation valve - Open</t>
  </si>
  <si>
    <t>14C320.2</t>
  </si>
  <si>
    <t>CH4 umbilical isolation valve - Closed</t>
  </si>
  <si>
    <t>LOX pump 1 purge</t>
  </si>
  <si>
    <t>05C364</t>
  </si>
  <si>
    <t>LOX pump shaft seal and motor purge - Cmd</t>
  </si>
  <si>
    <t>05C373</t>
  </si>
  <si>
    <t>LOX pump 2 purge</t>
  </si>
  <si>
    <t>05C374</t>
  </si>
  <si>
    <t>LOX fill skid purge</t>
  </si>
  <si>
    <t>05C375</t>
  </si>
  <si>
    <t>HD1 accumulator temperature</t>
  </si>
  <si>
    <t>HYD-HD-TC-Ts-548</t>
  </si>
  <si>
    <t>HD2 accumulator temperature</t>
  </si>
  <si>
    <t>HYD-HD-TC-Ts-549</t>
  </si>
  <si>
    <t>PTAC-3 Temp_ 7_26_8_27</t>
  </si>
  <si>
    <t>HYD-HD-TC-Ts-550</t>
  </si>
  <si>
    <t>PTAC-4 Temp_ 11_30_12_31</t>
  </si>
  <si>
    <t>HYD-HD-TC-Ts-551</t>
  </si>
  <si>
    <t>Accumulator isolation HD Lock Closed</t>
  </si>
  <si>
    <t>SWAC-7-C</t>
  </si>
  <si>
    <t>Accumulator isolation HD Lock Open</t>
  </si>
  <si>
    <t>SWAC-7-O</t>
  </si>
  <si>
    <t>Accumulator isolation valve state Open- HD2</t>
  </si>
  <si>
    <t>SWAC-2-O</t>
  </si>
  <si>
    <t>Accumulator isolation valve state Open - HD3</t>
  </si>
  <si>
    <t>SWAC-3-O</t>
  </si>
  <si>
    <t>Accumulator isolation valve state Open - HD4</t>
  </si>
  <si>
    <t>SWAC-4-O</t>
  </si>
  <si>
    <t>Accumulator isolation valve state Open- HD1</t>
  </si>
  <si>
    <t>SWAC-1-O</t>
  </si>
  <si>
    <t>Stage 1 KTP isolation valve - Open</t>
  </si>
  <si>
    <t>05C368.2</t>
  </si>
  <si>
    <t>Kero tank purge</t>
  </si>
  <si>
    <t>Stage 1 KTP isolation valve - Closed</t>
  </si>
  <si>
    <t>Stage 1 KTP isolation valve - Cmd</t>
  </si>
  <si>
    <t>05C368</t>
  </si>
  <si>
    <t>Fairing mixed flow temperature</t>
  </si>
  <si>
    <t>03C938</t>
  </si>
  <si>
    <t>Line Chill Fairing</t>
  </si>
  <si>
    <t>Interstage 2 mixed flow temperature</t>
  </si>
  <si>
    <t>03C939</t>
  </si>
  <si>
    <t>Line Chill Interstage 1</t>
  </si>
  <si>
    <t>Interstage 1 mixed flow temperature</t>
  </si>
  <si>
    <t>03C942</t>
  </si>
  <si>
    <t>Line Chill Interstage 2</t>
  </si>
  <si>
    <t>Powerpack mixed flow temperature</t>
  </si>
  <si>
    <t>03C944</t>
  </si>
  <si>
    <t>LN2 Isolation Valve Cmd</t>
  </si>
  <si>
    <t>03C390</t>
  </si>
  <si>
    <t>LN2 Isolation Valve Open</t>
  </si>
  <si>
    <t>03C390.2</t>
  </si>
  <si>
    <t>LN2 Isolation Valve Closed</t>
  </si>
  <si>
    <t>LN2 Regulator Supply Pressure Transducer</t>
  </si>
  <si>
    <t>03C936</t>
  </si>
  <si>
    <t>GN2 High Flow isolation Valve Coil</t>
  </si>
  <si>
    <t>05C366</t>
  </si>
  <si>
    <t>High Flow engine purge isolation Valve Open</t>
  </si>
  <si>
    <t>05C366.2</t>
  </si>
  <si>
    <t>High Flow engine purge valve Close</t>
  </si>
  <si>
    <t>Motor Isolator Contactor (Upstream of VSD 3 phase feed)</t>
  </si>
  <si>
    <t>KF-KS-CT-B-572</t>
  </si>
  <si>
    <t>RP-1 Pump Inlet Pressure</t>
  </si>
  <si>
    <t>Holddown lock circulation bleed</t>
  </si>
  <si>
    <t>C34</t>
  </si>
  <si>
    <t>Stage 2 KTP isolation valve - Cmd</t>
  </si>
  <si>
    <t>05C369</t>
  </si>
  <si>
    <t>Stage 2 KTP isolation valve - Open</t>
  </si>
  <si>
    <t>05C369.2</t>
  </si>
  <si>
    <t>Stage 2 KTP isolation valve - Closed</t>
  </si>
  <si>
    <t>Duplicate of S1 inductive prox - to be removed!</t>
  </si>
  <si>
    <t>HYD-S1U-PXS-Px-578</t>
  </si>
  <si>
    <t>High Flow GN2|Flow Switch</t>
  </si>
  <si>
    <t>05C959</t>
  </si>
  <si>
    <t>Flow Switch</t>
  </si>
  <si>
    <t>LOX stage 1 purge</t>
  </si>
  <si>
    <t>05C360</t>
  </si>
  <si>
    <t>LO2 S1</t>
  </si>
  <si>
    <t>SPARE</t>
  </si>
  <si>
    <t>05C361</t>
  </si>
  <si>
    <t>Valve, Electronic Solenoid (TBC)</t>
  </si>
  <si>
    <t>05C362</t>
  </si>
  <si>
    <t>05C363</t>
  </si>
  <si>
    <t>ENGINE CONT. PURGE</t>
  </si>
  <si>
    <t>05C365</t>
  </si>
  <si>
    <t>FACE S1</t>
  </si>
  <si>
    <t>05C370</t>
  </si>
  <si>
    <t>05C371</t>
  </si>
  <si>
    <t>05C372</t>
  </si>
  <si>
    <t>IGN</t>
  </si>
  <si>
    <t>Fairng umbilical tilt cmd</t>
  </si>
  <si>
    <t>05C390</t>
  </si>
  <si>
    <t>Fairing Umbilical</t>
  </si>
  <si>
    <t>Tilt</t>
  </si>
  <si>
    <t>Fairing umbilical enage retract cmd</t>
  </si>
  <si>
    <t>05C391</t>
  </si>
  <si>
    <t>Interface</t>
  </si>
  <si>
    <t>Fairing umbilical extend prox</t>
  </si>
  <si>
    <t>FARU-INTF-PXS-PxE-591</t>
  </si>
  <si>
    <t>Fairing umbilical extended prox</t>
  </si>
  <si>
    <t>FARU-INTF-PXS-PxR-592</t>
  </si>
  <si>
    <t>Fairing umbilical tilt prox</t>
  </si>
  <si>
    <t>FARU-TL-PXS-PxE-593</t>
  </si>
  <si>
    <t>Fairing umbilical home prox</t>
  </si>
  <si>
    <t>FARU-TL-PXS-PxR-594</t>
  </si>
  <si>
    <t>Stage 2 umbilical face purge</t>
  </si>
  <si>
    <t>05C333</t>
  </si>
  <si>
    <t>Engine purge</t>
  </si>
  <si>
    <t>LOX strongback purge</t>
  </si>
  <si>
    <t>05C336</t>
  </si>
  <si>
    <t>LO2 S2</t>
  </si>
  <si>
    <t>LOX stage 2 umbilical back purge</t>
  </si>
  <si>
    <t>05C337</t>
  </si>
  <si>
    <t>Fairing umbilical supply</t>
  </si>
  <si>
    <t>05C338</t>
  </si>
  <si>
    <t>Supply</t>
  </si>
  <si>
    <t>Stage 2 KTP mode - Cmd - Energize for Auto</t>
  </si>
  <si>
    <t>05C331</t>
  </si>
  <si>
    <t>Stage 2 KTP mode - Manual</t>
  </si>
  <si>
    <t>05C331.2</t>
  </si>
  <si>
    <t>Stage 2 KTP mode - Ereg</t>
  </si>
  <si>
    <t>Electrical Regulator Kero S1</t>
  </si>
  <si>
    <t>05C022</t>
  </si>
  <si>
    <t>Electro-Pneumatic Regulator</t>
  </si>
  <si>
    <t>Stage 2 supply jettsion pressure</t>
  </si>
  <si>
    <t>05C335</t>
  </si>
  <si>
    <t>Stage 2 high pressure jettison accumulator pressure</t>
  </si>
  <si>
    <t>05C963</t>
  </si>
  <si>
    <t>Accumulator</t>
  </si>
  <si>
    <t>Stage 2 KTP pressure</t>
  </si>
  <si>
    <t>05C958</t>
  </si>
  <si>
    <t>Stage 1 KTP mode - Cmd - Energize for Auto</t>
  </si>
  <si>
    <t>05C332</t>
  </si>
  <si>
    <t>Stage 1 KTP mode - Ereg</t>
  </si>
  <si>
    <t>05C332.2</t>
  </si>
  <si>
    <t>Stage 1 KTP mode - Manual</t>
  </si>
  <si>
    <t>Electrical Regulator Kero S2</t>
  </si>
  <si>
    <t>05C027</t>
  </si>
  <si>
    <t>Stage 1 KTP pressure</t>
  </si>
  <si>
    <t>05C957</t>
  </si>
  <si>
    <t>S2 Kero Tank Purge Moisture Sensor</t>
  </si>
  <si>
    <t>05C760</t>
  </si>
  <si>
    <t>Serial</t>
  </si>
  <si>
    <t>Strongback accumulator pressure</t>
  </si>
  <si>
    <t>05C962</t>
  </si>
  <si>
    <t>Hexane skid pressure</t>
  </si>
  <si>
    <t>05CXXX MP115.2</t>
  </si>
  <si>
    <t>Fairing umbilical temperature 2</t>
  </si>
  <si>
    <t>05C952XXX2</t>
  </si>
  <si>
    <t>Fairing umbilical temperature 3</t>
  </si>
  <si>
    <t>05C952XXX3</t>
  </si>
  <si>
    <t>Water deluge flow control valve - Resp</t>
  </si>
  <si>
    <t>Fairing Umb Rev 2. Muscle Air Enable</t>
  </si>
  <si>
    <t>FARU-MA-SLD-B-617</t>
  </si>
  <si>
    <t>Muscle Air</t>
  </si>
  <si>
    <t>Fairing Umb Rev 2. Muscle Air Disable</t>
  </si>
  <si>
    <t>FARU-MA-SLD-B-618</t>
  </si>
  <si>
    <t>Fairing Umbi Encoder</t>
  </si>
  <si>
    <t>FARU-INTF-LE-Px-619</t>
  </si>
  <si>
    <t>Linear Encoder</t>
  </si>
  <si>
    <t>LOX pump 1 Speed Cmd</t>
  </si>
  <si>
    <t>M9</t>
  </si>
  <si>
    <t>LOX pump 1 VSD cmd</t>
  </si>
  <si>
    <t>LOX pump 1 Speed resp</t>
  </si>
  <si>
    <t>LOX pump 1 VSD resp</t>
  </si>
  <si>
    <t>LOX pump 1 Enable Contactor</t>
  </si>
  <si>
    <t>M9K</t>
  </si>
  <si>
    <t>LOX pump 2 Speed Cmd</t>
  </si>
  <si>
    <t>M10</t>
  </si>
  <si>
    <t>LOX pump 2 VSD cmd</t>
  </si>
  <si>
    <t>LOX pump 2 Speed resp</t>
  </si>
  <si>
    <t>LOX pump 2 VSD resp</t>
  </si>
  <si>
    <t>LOX pump 2 enable contactor</t>
  </si>
  <si>
    <t>M10K</t>
  </si>
  <si>
    <t>Pump 1 SS Stop</t>
  </si>
  <si>
    <t>Pump 2 SS Stop</t>
  </si>
  <si>
    <t>05C761</t>
  </si>
  <si>
    <t>purge pressure - S1U</t>
  </si>
  <si>
    <t>BP-PRG-PRS-Ps-638</t>
  </si>
  <si>
    <t>S1 Umbilical accumulator bleed valve state</t>
  </si>
  <si>
    <t>SW29</t>
  </si>
  <si>
    <t>HD lock accumulator bleed valve state</t>
  </si>
  <si>
    <t>SW40</t>
  </si>
  <si>
    <t>Stage 1 umbilical circulation bleed</t>
  </si>
  <si>
    <t>C28</t>
  </si>
  <si>
    <t>Hold Down Cylinder Oil Circulation Valve HD1 - Cmd</t>
  </si>
  <si>
    <t>S47.1</t>
  </si>
  <si>
    <t>Hold Down Cylinder Oil Circulation Valve HD2 - Cmd</t>
  </si>
  <si>
    <t>S47.2</t>
  </si>
  <si>
    <t>Hold Down Cylinder Oil Circulation Valve HD3 - Cmd</t>
  </si>
  <si>
    <t>S47.3</t>
  </si>
  <si>
    <t>Hold Down Cylinder Oil Circulation Valve HD4 - Cmd</t>
  </si>
  <si>
    <t>S47.4</t>
  </si>
  <si>
    <t>Bypass Valve For Pressure Testing HD Circuit</t>
  </si>
  <si>
    <t>S4</t>
  </si>
  <si>
    <t>Lift circuit circulation bleed</t>
  </si>
  <si>
    <t>C9</t>
  </si>
  <si>
    <t>Clamp Lock - Energize to Lock clamp</t>
  </si>
  <si>
    <t>05C392.2</t>
  </si>
  <si>
    <t>Clamp Lock position - unlocked</t>
  </si>
  <si>
    <t>MEC-CL-PXS-PxO-650</t>
  </si>
  <si>
    <t>Clamp Lock position - locked</t>
  </si>
  <si>
    <t>MEC-CL-PXS-PxC-651</t>
  </si>
  <si>
    <t>MEC-CL-PXS-PxO-652</t>
  </si>
  <si>
    <t>MEC-CL-PXS-PxC-653</t>
  </si>
  <si>
    <t>FPGA - Clamp Lock position - unlocked</t>
  </si>
  <si>
    <t>FPGA - Clamp Lock position - locked</t>
  </si>
  <si>
    <t>FPGA - Clamp Lock position - unlocked for</t>
  </si>
  <si>
    <t>FPGA - Clamp Lock position - locked for</t>
  </si>
  <si>
    <t>FPGA - Clamp Left Open</t>
  </si>
  <si>
    <t>FPGA - Clamp Right Open</t>
  </si>
  <si>
    <t>FPGA - Clamp Left Closed for</t>
  </si>
  <si>
    <t>FPGA - Clamp Right Closed for</t>
  </si>
  <si>
    <t>FPGA - Hold Down 1 Extended</t>
  </si>
  <si>
    <t>FPGA - Hold Down 1 Retracted</t>
  </si>
  <si>
    <t>FPGA - Hold Down 2 Extended</t>
  </si>
  <si>
    <t>FPGA - Hold Down 2 Retracted</t>
  </si>
  <si>
    <t>FPGA - Hold Down 3 Extended for</t>
  </si>
  <si>
    <t>FPGA - Hold Down 3 Retracted for</t>
  </si>
  <si>
    <t>FPGA - Hold Down 4 Extended for</t>
  </si>
  <si>
    <t>FPGA - Hold Down 4 Retracted for</t>
  </si>
  <si>
    <t>FPGA - Hold Down Lock 1 Armed for</t>
  </si>
  <si>
    <t>HYD-HD-PXS-PxO-225</t>
  </si>
  <si>
    <t>FPGA - Hold Down Lock 2 Armed for</t>
  </si>
  <si>
    <t>HYD-HD-PXS-PxO-226</t>
  </si>
  <si>
    <t>FPGA - Hold Down Lock 3 Armed for</t>
  </si>
  <si>
    <t>HYD-HD-PXS-PxO-227</t>
  </si>
  <si>
    <t>FPGA - Hold Down Lock 4 Armed for</t>
  </si>
  <si>
    <t>HYD-HD-PXS-PxO-228</t>
  </si>
  <si>
    <t>FPGA - Hold Down Lock 1 Safe for</t>
  </si>
  <si>
    <t>HYD-HD-PXS-PxC-229</t>
  </si>
  <si>
    <t>FPGA - Hold Down Lock 2 Safe for</t>
  </si>
  <si>
    <t>HYD-HD-PXS-PxC-230</t>
  </si>
  <si>
    <t>FPGA - Hold Down Lock 3 Safe for</t>
  </si>
  <si>
    <t>HYD-HD-PXS-PxC-231</t>
  </si>
  <si>
    <t>FPGA - Hold Down Lock 4 Safe for</t>
  </si>
  <si>
    <t>HYD-HD-PXS-PxC-232</t>
  </si>
  <si>
    <t>FPGA - S1U Retract 1 - NO Prox</t>
  </si>
  <si>
    <t>HYD-S1U-PXS-PxE-221</t>
  </si>
  <si>
    <t>FPGA - S1U Retract 2 - NO Prox</t>
  </si>
  <si>
    <t>FPGA - S1U Retract 3 - NO Prox for</t>
  </si>
  <si>
    <t>FPGA - S1U Retract 4 - NO Prox for</t>
  </si>
  <si>
    <t>HYD-S1U-PXS-PxR-224</t>
  </si>
  <si>
    <t>FPGA - Erector/Strongback inclinometer 1 for</t>
  </si>
  <si>
    <t>HYD-LFT-INC-INCL-246</t>
  </si>
  <si>
    <t>FPGA - Erector/Strongback inclinometer 2 for</t>
  </si>
  <si>
    <t>HYD-LFT-INC-INCL-247</t>
  </si>
  <si>
    <t>FPGA - Erector/Strongback inclinometer 3 for</t>
  </si>
  <si>
    <t>HYD-LFT-INC-INCL-248</t>
  </si>
  <si>
    <t>FPGA - Clamp Spool PVA Position Feedback for</t>
  </si>
  <si>
    <t>FPGA - Strongback Spool PVA Feedback for</t>
  </si>
  <si>
    <t>FPGA - Lift Spool PVA Feedback for</t>
  </si>
  <si>
    <t>FPGA - Clamp Spool PVA Power Relay for</t>
  </si>
  <si>
    <t>HYD-LFT-PVL-Pos-152</t>
  </si>
  <si>
    <t>FPGA - Strongback Spool PVA Power Relay for</t>
  </si>
  <si>
    <t>HYD-LFT-PVL-Pos-153</t>
  </si>
  <si>
    <t>FPGA - Lift Spool PVA Power SSR Relay for</t>
  </si>
  <si>
    <t>HYD-LFT-PVL-Pos-154</t>
  </si>
  <si>
    <t>FPGA - S2 Jettison Enable PVA Power SSR for</t>
  </si>
  <si>
    <t>S2J-S2H-DVL-Pos-435</t>
  </si>
  <si>
    <t>FPGA - Hold Down slow retract enable for HYD-HD-DVL-B-175to178</t>
  </si>
  <si>
    <t>S25.2 -S26.2 -S27.2 -S28.2</t>
  </si>
  <si>
    <t>FPGA - S1 Umbilical slow movement enable for HYD-S1U-DVL-B-208/209</t>
  </si>
  <si>
    <t>S30.1 - S30.2</t>
  </si>
  <si>
    <t>FPGA - Hold Down Fast Retract Primary Enable for HYD-HD-SSR-B-168</t>
  </si>
  <si>
    <t>S17 -S19 -S21 -S23</t>
  </si>
  <si>
    <t>FPGA - Hold Down Fast Retract Secondary Enable for</t>
  </si>
  <si>
    <t>FPGA - S1 Umbilical Fast Retract Primary Enable for HYD-S1U-DVL-B-207</t>
  </si>
  <si>
    <t>S34 -S36</t>
  </si>
  <si>
    <t>FPGA - S1 Umbilical Fast Retract Secondary Enable for HYD-S1U-DVL-B-701</t>
  </si>
  <si>
    <t>S35 -S37</t>
  </si>
  <si>
    <t>FPGA - Shore Power Isolate Enable for CPWR-RST-FX-CD-31</t>
  </si>
  <si>
    <t>Relay to be added</t>
  </si>
  <si>
    <t>FPGA - Clamp Lock Enable</t>
  </si>
  <si>
    <t>FPGA - Clamp Unlock Enable SSR</t>
  </si>
  <si>
    <t>S1 Umbilical high speed retract secondary  - Cmd</t>
  </si>
  <si>
    <t>FPGA - S1 Umbilical accumulator bleed Enable for</t>
  </si>
  <si>
    <t>HYD-S1U-DVL-B-202</t>
  </si>
  <si>
    <t>FPGA - Prevalve close Enable for HYD-S1U-DVL-B-204</t>
  </si>
  <si>
    <t>FPGA - Prevalve back up invert actuator state Enable for HYD-S1U-DVL-B-205</t>
  </si>
  <si>
    <t>FPGA - S1 Umbilical slow movement enable for HYD-S1U-DVL-B-210/211</t>
  </si>
  <si>
    <t>S31.1 - S31.2</t>
  </si>
  <si>
    <t>FPGA - HD circuit bleed Enable for</t>
  </si>
  <si>
    <t>HYD-HD-DVL-B-216</t>
  </si>
  <si>
    <t>FPGA - Isolate HDL1 Enable for HYD-HDL-DVL-B-261</t>
  </si>
  <si>
    <t>FPGA - Isolate HDL2 Enable for HYD-HDL-DVL-B-262</t>
  </si>
  <si>
    <t>FPGA - Isolate HDL3 Enable for HYD-HDL-DVL-B-263</t>
  </si>
  <si>
    <t>FPGA - Isolate HDL4 Enable for HYD-HDL-DVL-B-264</t>
  </si>
  <si>
    <t>FPGA - Hold Down slow extend enable and the HD recirc Valves</t>
  </si>
  <si>
    <t>S25.1 - S26.1 - S27.1 - S28.1 - S47.1 - S47.2 - S47.3 - S47.4</t>
  </si>
  <si>
    <t>S1 Umbilical top cover Temperature CB3</t>
  </si>
  <si>
    <t>S1-UMB_Ts</t>
  </si>
  <si>
    <t>Temperatures</t>
  </si>
  <si>
    <t>Zone Temperature</t>
  </si>
  <si>
    <t>S1 Umbilical face Temperature CB3</t>
  </si>
  <si>
    <t>S1-UMB_Face_Ts</t>
  </si>
  <si>
    <t>IGN store bottle Tempurature CB3</t>
  </si>
  <si>
    <t>IGN_Ts</t>
  </si>
  <si>
    <t>Umbilical temp Sensor CB3</t>
  </si>
  <si>
    <t>TMP-ZT-RTD-Ts-721</t>
  </si>
  <si>
    <t>Strongback face Temp CB5</t>
  </si>
  <si>
    <t>STB_Fr_Face_Ts</t>
  </si>
  <si>
    <t>S2 Umbilical face temperature CB5</t>
  </si>
  <si>
    <t>S2-Umb_Ts</t>
  </si>
  <si>
    <t>HD 2 Accumulator Temperature</t>
  </si>
  <si>
    <t>TMP-ZT-RTD-Ts-726</t>
  </si>
  <si>
    <t>HD 3 Accumulator Temperature</t>
  </si>
  <si>
    <t>TMP-ZT-RTD-Ts-727</t>
  </si>
  <si>
    <t>HD 1 Accumulator Temperature</t>
  </si>
  <si>
    <t>TMP-ZT-RTD-Ts-728</t>
  </si>
  <si>
    <t>HD 4 Accumulator Temperature</t>
  </si>
  <si>
    <t>TMP-ZT-RTD-Ts-729</t>
  </si>
  <si>
    <t>Return Recirc heating temperature near CB4</t>
  </si>
  <si>
    <t>TMP-ZT-RTD-Ts-730</t>
  </si>
  <si>
    <t>Engine purge pressure</t>
  </si>
  <si>
    <t>05C956</t>
  </si>
  <si>
    <t>N2</t>
  </si>
  <si>
    <t>Stage 2 umbilical pressure maintain</t>
  </si>
  <si>
    <t>05C344</t>
  </si>
  <si>
    <t>C1</t>
  </si>
  <si>
    <t>S2 Pressure maintain. Blanket purge</t>
  </si>
  <si>
    <t>05C339</t>
  </si>
  <si>
    <t>Fueling Totaliser</t>
  </si>
  <si>
    <t>01C705</t>
  </si>
  <si>
    <t>C3</t>
  </si>
  <si>
    <t>Tanked Mass</t>
  </si>
  <si>
    <t>kg</t>
  </si>
  <si>
    <t>Fueling Density</t>
  </si>
  <si>
    <t>Density</t>
  </si>
  <si>
    <t>kg/m3</t>
  </si>
  <si>
    <t>Fueling Volumetric Flow</t>
  </si>
  <si>
    <t>Volumetric Flow Rate</t>
  </si>
  <si>
    <t>L/s</t>
  </si>
  <si>
    <t>Fueling Temp</t>
  </si>
  <si>
    <t>Kelvin</t>
  </si>
  <si>
    <t>Fueling mass flow</t>
  </si>
  <si>
    <t>Fueling hygrometer water content</t>
  </si>
  <si>
    <t>01C711</t>
  </si>
  <si>
    <t>LO2 Skid 1 Totaliser</t>
  </si>
  <si>
    <t>LO2 Skid 1 Density</t>
  </si>
  <si>
    <t>LO2 Skid 1 Volumetric Flow</t>
  </si>
  <si>
    <t>LO2 Skid 1 Temp</t>
  </si>
  <si>
    <t>LO2 Skid 1 mass flow</t>
  </si>
  <si>
    <t>LO2 Skid 2 Totaliser</t>
  </si>
  <si>
    <t>LO2 Skid 2 Density</t>
  </si>
  <si>
    <t>LO2 Skid 2 Volumetric Flow</t>
  </si>
  <si>
    <t>LO2 Skid 2 Temp</t>
  </si>
  <si>
    <t>LO2 Skid 2 mass flow</t>
  </si>
  <si>
    <t>LO2 Fill Stage 1 Totaliser</t>
  </si>
  <si>
    <t>02C703</t>
  </si>
  <si>
    <t>LO2 Fill Stage 1 Density</t>
  </si>
  <si>
    <t>LO2 Fill Stage 1 Volumetric Flow</t>
  </si>
  <si>
    <t>LO2 Fill Stage 1 Temp</t>
  </si>
  <si>
    <t>LO2 Fill Stage 1 mass flow</t>
  </si>
  <si>
    <t>LO2 Fill Stage 2 Totaliser</t>
  </si>
  <si>
    <t>02C704</t>
  </si>
  <si>
    <t>LO2 Fill Stage 2 Density</t>
  </si>
  <si>
    <t>LO2 Fill Stage 2 Volumetric Flow</t>
  </si>
  <si>
    <t>LO2 Fill Stage 2 Temp</t>
  </si>
  <si>
    <t>LO2 Fill Stage 2 mass flow</t>
  </si>
  <si>
    <t>Clamp lock - Locked Pressure</t>
  </si>
  <si>
    <t>05C971</t>
  </si>
  <si>
    <t>N4</t>
  </si>
  <si>
    <t>Clamp lock - Unlocked Pressure</t>
  </si>
  <si>
    <t>05C972</t>
  </si>
  <si>
    <t>Faring Umbilical Muscle Pressure</t>
  </si>
  <si>
    <t>05C970</t>
  </si>
  <si>
    <t>Lox Skid Spare RTD</t>
  </si>
  <si>
    <t>NA</t>
  </si>
  <si>
    <t>S1 Umbilical (B) Temp</t>
  </si>
  <si>
    <t>Battery Heaters Control Contact - Enable</t>
  </si>
  <si>
    <t>Battery Heaters Control Contact - State Feedback</t>
  </si>
  <si>
    <t>Launch Mount Base - south side - oxygen content monitoring - this signal terminates at the beacon 800 base station in the south vault</t>
  </si>
  <si>
    <t>33C908</t>
  </si>
  <si>
    <t>Explosive Atmosphere Monitoring</t>
  </si>
  <si>
    <t>Oxygen sensor</t>
  </si>
  <si>
    <t>N1</t>
  </si>
  <si>
    <t>Oxygen Content (0-25%)</t>
  </si>
  <si>
    <t>Percentage of Oxygen</t>
  </si>
  <si>
    <t>33C909</t>
  </si>
  <si>
    <t>Launch Mount Base - south west side - methane content monitoring - this signal terminates at the beacon 800 base station in the south vault</t>
  </si>
  <si>
    <t>33C906</t>
  </si>
  <si>
    <t>LEL sensor</t>
  </si>
  <si>
    <t>Methane content (0-100% of LEL)</t>
  </si>
  <si>
    <t>Percentage of the LEL</t>
  </si>
  <si>
    <t>33C907</t>
  </si>
  <si>
    <t>Launch Mount Base - south side - hydrocarbon content monitoring - near hydraulic sump pump - this signal terminates at the beacon 800 base station in the south vault</t>
  </si>
  <si>
    <t>33C904</t>
  </si>
  <si>
    <t>Hydrocarbon content (0-100% of LEL)</t>
  </si>
  <si>
    <t>33C905</t>
  </si>
  <si>
    <t>Launch Mount Base - north side - hydrocarbon content monitoring - near hydraulic sump pump - this signal terminates at the beacon 800 base station in the south vault</t>
  </si>
  <si>
    <t>33C902</t>
  </si>
  <si>
    <t>33C903</t>
  </si>
  <si>
    <t>Anti Geysering S2 Auxiliary</t>
  </si>
  <si>
    <t>04C388</t>
  </si>
  <si>
    <t>Fueling hygrometer water activity</t>
  </si>
  <si>
    <t>Water Activity</t>
  </si>
  <si>
    <t>Fueling hygrometer temperature</t>
  </si>
  <si>
    <t>Velocity</t>
  </si>
  <si>
    <t>m/s</t>
  </si>
  <si>
    <t>Totaliser Reset</t>
  </si>
  <si>
    <t>01C712</t>
  </si>
  <si>
    <t>Unlock Hold-Downs Secondary</t>
  </si>
  <si>
    <t>C4</t>
  </si>
  <si>
    <t>Invert Hold-Down Locks Secondary</t>
  </si>
  <si>
    <t>C5</t>
  </si>
  <si>
    <t>purge pressure - FGSE</t>
  </si>
  <si>
    <t>Not Allocated</t>
  </si>
  <si>
    <t>Stage 2 supply jettsion pressure Position 1</t>
  </si>
  <si>
    <t xml:space="preserve">Stage 2 supply jettsion pressure Position 2 </t>
  </si>
  <si>
    <t>Pump Inlet valve Cmd</t>
  </si>
  <si>
    <t>01C300</t>
  </si>
  <si>
    <t>Pump Inlet Valve Position Switch</t>
  </si>
  <si>
    <t>Kero VSD E-Stop</t>
  </si>
  <si>
    <t>31RP1-VFD001</t>
  </si>
  <si>
    <t>SMC_VF5120K-1D1-02F_Valve 5_2 Piloted</t>
  </si>
  <si>
    <t>SMC_VF5344K-1D1-02F_Valve 5_3 Closed Center Pilot</t>
  </si>
  <si>
    <t>F5/F6 Box Purge</t>
  </si>
  <si>
    <t>d60 Service</t>
  </si>
  <si>
    <t>Lower fluid cabinet</t>
  </si>
  <si>
    <t>Upper fluid cabinet</t>
  </si>
  <si>
    <t>Alina will provide detail</t>
  </si>
  <si>
    <t>North Vault Control|PSU A Health Feedback</t>
  </si>
  <si>
    <t>31PSU001</t>
  </si>
  <si>
    <t>UPS</t>
  </si>
  <si>
    <t>Power Supply</t>
  </si>
  <si>
    <t>North Vault Control|PSU B Health Feedback</t>
  </si>
  <si>
    <t>31PSU002</t>
  </si>
  <si>
    <t>Grid</t>
  </si>
  <si>
    <t>Lox Control PSU|A Health Feedback</t>
  </si>
  <si>
    <t>31PSU005</t>
  </si>
  <si>
    <t>Lox Control PSU|B Health Feedback</t>
  </si>
  <si>
    <t>31PSU006</t>
  </si>
  <si>
    <t>South Vault Control PSU A Health Feedback</t>
  </si>
  <si>
    <t>31PSU003</t>
  </si>
  <si>
    <t>South Vault Control PSU B Health Feedback</t>
  </si>
  <si>
    <t>31PSU004</t>
  </si>
  <si>
    <t>LO2 Skid 1 Velocity</t>
  </si>
  <si>
    <t>LO2 Skid 2 Velocity</t>
  </si>
  <si>
    <t>LO2 Fill Stage 1 Velocity</t>
  </si>
  <si>
    <t>LO2 Fill Stage 2 Velocity</t>
  </si>
  <si>
    <t>Function</t>
  </si>
  <si>
    <t>Type</t>
  </si>
  <si>
    <t>Component</t>
  </si>
  <si>
    <t>Reference</t>
  </si>
  <si>
    <t>Address</t>
  </si>
  <si>
    <t>Mnemonic</t>
  </si>
  <si>
    <t>Associated macro</t>
  </si>
  <si>
    <t>Description (English)</t>
  </si>
  <si>
    <t>User data 1</t>
  </si>
  <si>
    <t>User data 2</t>
  </si>
  <si>
    <t>Translatable data 1 (English)</t>
  </si>
  <si>
    <t>Translatable data 2 (English)</t>
  </si>
  <si>
    <t>...</t>
  </si>
  <si>
    <t>Analog PLC output</t>
  </si>
  <si>
    <t>N1-AO1</t>
  </si>
  <si>
    <t>NI 9266</t>
  </si>
  <si>
    <t>HYD-LFT-PVL-Pos-150</t>
  </si>
  <si>
    <t>&lt;Default&gt;...</t>
  </si>
  <si>
    <t>Strongback|extend/retract</t>
  </si>
  <si>
    <t>HYD-LFT-PVL-Pos-151</t>
  </si>
  <si>
    <t>Platform tilt</t>
  </si>
  <si>
    <t>S5</t>
  </si>
  <si>
    <t>HVAC-FAR-PVL-Pos-98</t>
  </si>
  <si>
    <t>ECS GN2 Supply to Payload Umbilical|Proportional Control Valve Controller</t>
  </si>
  <si>
    <t>HVAC-IS2-PVL-Pos-99</t>
  </si>
  <si>
    <t>ECS GN2 Supply to S2 Umbilical|Proportional Control Valve (Top) Controller</t>
  </si>
  <si>
    <t>HVAC-IS1-PVL-Pos-100</t>
  </si>
  <si>
    <t>ECS GN2 Supply to S2 Umbilical|Proportional Control Valve (Bottom) Controller</t>
  </si>
  <si>
    <t>HVAC-PP-PVL-Pos-101</t>
  </si>
  <si>
    <t>ECS GN2 Supply to S1 Umbilical|Proportional Control Valve Controller</t>
  </si>
  <si>
    <t>HVAC-FAR-PVL-Pos-102</t>
  </si>
  <si>
    <t>ECS GN2 LN2 Interface to Payload Umbilical|Line Proportional Control Valve Controller</t>
  </si>
  <si>
    <t>N1-AO2</t>
  </si>
  <si>
    <t>HVAC-IS2-PVL-Pos-103</t>
  </si>
  <si>
    <t>ECS GN2 LN2 Interface to S2 Umbilical Line|Proportional Control Valve Controller</t>
  </si>
  <si>
    <t>HVAC-IS1-PVL-Pos-104</t>
  </si>
  <si>
    <t>HVAC-PP-PVL-Pos-105</t>
  </si>
  <si>
    <t>ECS GN2 LN2 Interface to S1 Umbilical Line|Proportional Control Valve Controller</t>
  </si>
  <si>
    <t>HYD-LFT-PVL-Pos-149</t>
  </si>
  <si>
    <t>Top Clamp|Open/Close</t>
  </si>
  <si>
    <t>S6</t>
  </si>
  <si>
    <t>Digital PLC output</t>
  </si>
  <si>
    <t>C1-DO2</t>
  </si>
  <si>
    <t>NI 9476 (D-Sub)</t>
  </si>
  <si>
    <t>IGN-CH4-DVL-B-286</t>
  </si>
  <si>
    <t>CH4 Ignitor Bottle|Supply - EV</t>
  </si>
  <si>
    <t>CO2-MN-DVL-B-20</t>
  </si>
  <si>
    <t>Primary Discrete|Valve Controller</t>
  </si>
  <si>
    <t>WD-FTC-DVL-B-447</t>
  </si>
  <si>
    <t>Flame Trence Curtain|Valve Controller (FUTURE)</t>
  </si>
  <si>
    <t>41C305.1</t>
  </si>
  <si>
    <t>WD-RB-DVL-B-449</t>
  </si>
  <si>
    <t>North Side Rainbirds|Valve Controller</t>
  </si>
  <si>
    <t>WD-AUX-DVL-B-451</t>
  </si>
  <si>
    <t>Discrete Ball Valve Controller</t>
  </si>
  <si>
    <t>41C308.1</t>
  </si>
  <si>
    <t>WD-RB-DVL-B-452</t>
  </si>
  <si>
    <t>South Side Rainbirds Valve Controller</t>
  </si>
  <si>
    <t>41C309.1</t>
  </si>
  <si>
    <t>IGN-GOX-DVL-B-275</t>
  </si>
  <si>
    <t>GOX Ignitor Supply|Discrete Valve</t>
  </si>
  <si>
    <t>IGN-GOX-DVL-B-276</t>
  </si>
  <si>
    <t>GOX Panel Controlled|Vent Discrete Valve</t>
  </si>
  <si>
    <t>IGN-GOX-DVL-B-277</t>
  </si>
  <si>
    <t>GOX Ignitor Purge|Bypass Discrete Valve</t>
  </si>
  <si>
    <t>IGN-GOX-DVL-B-279</t>
  </si>
  <si>
    <t>GOX Ignitor Primary|Supply Discrete Valve</t>
  </si>
  <si>
    <t>IGN-GOX-DVL-B-281</t>
  </si>
  <si>
    <t>GOX Ignitor Upstream|Vent Return Solenoid</t>
  </si>
  <si>
    <t xml:space="preserve">15C380 </t>
  </si>
  <si>
    <t>IGN-CH4-DVL-B-282</t>
  </si>
  <si>
    <t>CH4 Panel Controlled|Vent Discrete Valve</t>
  </si>
  <si>
    <t>IGN-CH4-DVL-B-283</t>
  </si>
  <si>
    <t>CH4 Ignitor Purge|Bypass Discrete Valve</t>
  </si>
  <si>
    <t>IGN-CH4-DVL-B-284</t>
  </si>
  <si>
    <t>CH4 Primary Ignitor|Supply Discrete Valve</t>
  </si>
  <si>
    <t>C1-DO1</t>
  </si>
  <si>
    <t>HYD-LFT-DVL-B-155</t>
  </si>
  <si>
    <t>Back up S10|top clamp open</t>
  </si>
  <si>
    <t>S6.1</t>
  </si>
  <si>
    <t>HYD-LFT-DVL-B-156</t>
  </si>
  <si>
    <t>Back up S10|top clamp close</t>
  </si>
  <si>
    <t>S6.2</t>
  </si>
  <si>
    <t>HYD-LFT-DVL-B-157</t>
  </si>
  <si>
    <t>Back up S13|strongback retract</t>
  </si>
  <si>
    <t>S7.1</t>
  </si>
  <si>
    <t>HYD-LFT-DVL-B-158</t>
  </si>
  <si>
    <t>Back up S13|strongback engage</t>
  </si>
  <si>
    <t>S7.2</t>
  </si>
  <si>
    <t>HYD-LFT-DVL-B-159</t>
  </si>
  <si>
    <t>S8 changeover|to backup</t>
  </si>
  <si>
    <t>S11, S12</t>
  </si>
  <si>
    <t>S6.3, S6.4</t>
  </si>
  <si>
    <t>HYD-LFT-DVL-B-160</t>
  </si>
  <si>
    <t>S9 change over|to back up</t>
  </si>
  <si>
    <t>S14, S15</t>
  </si>
  <si>
    <t>S7.3, S7.4</t>
  </si>
  <si>
    <t>HYD-HD-DVL-B-164</t>
  </si>
  <si>
    <t>High Speed Retract|HD1</t>
  </si>
  <si>
    <t>S8.1</t>
  </si>
  <si>
    <t>HYD-HD-DVL-B-165</t>
  </si>
  <si>
    <t>High Speed Retract|HD2</t>
  </si>
  <si>
    <t>S8.3</t>
  </si>
  <si>
    <t>HYD-HD-DVL-B-166</t>
  </si>
  <si>
    <t>High Speed Retract|HD3</t>
  </si>
  <si>
    <t>S8.5</t>
  </si>
  <si>
    <t>HYD-HD-DVL-B-167</t>
  </si>
  <si>
    <t>High Speed Retract|HD4</t>
  </si>
  <si>
    <t>S8.7</t>
  </si>
  <si>
    <t>Secondary High Speed|Retract enable</t>
  </si>
  <si>
    <t>HYD-HD-DVL-B-170</t>
  </si>
  <si>
    <t>Secondary High Speed|Release trigger</t>
  </si>
  <si>
    <t>S18, S20, S22, S24</t>
  </si>
  <si>
    <t>S8.2, S8.4, S8.6, S8.8</t>
  </si>
  <si>
    <t>HYD-HD-DVL-B-171</t>
  </si>
  <si>
    <t>Slow Extend|HD1</t>
  </si>
  <si>
    <t>S9.1</t>
  </si>
  <si>
    <t>HYD-HD-DVL-B-172</t>
  </si>
  <si>
    <t>Slow Extend|HD2</t>
  </si>
  <si>
    <t>S9.2</t>
  </si>
  <si>
    <t>HYD-HD-DVL-B-173</t>
  </si>
  <si>
    <t>Slow Extend|HD3</t>
  </si>
  <si>
    <t>S9.3</t>
  </si>
  <si>
    <t>HYD-HD-DVL-B-174</t>
  </si>
  <si>
    <t>Slow Extend|HD4</t>
  </si>
  <si>
    <t>S9.4</t>
  </si>
  <si>
    <t>HYD-HD-DVL-B-175</t>
  </si>
  <si>
    <t>Slow Retract|HD1</t>
  </si>
  <si>
    <t>HYD-HD-DVL-B-176</t>
  </si>
  <si>
    <t>Slow Retract|HD2</t>
  </si>
  <si>
    <t>HYD-HD-DVL-B-177</t>
  </si>
  <si>
    <t>Slow Retract|HD3</t>
  </si>
  <si>
    <t>S10.3</t>
  </si>
  <si>
    <t>HYD-HD-DVL-B-178</t>
  </si>
  <si>
    <t>Slow Retract|HD4</t>
  </si>
  <si>
    <t>S10.4</t>
  </si>
  <si>
    <t>N5-DO5</t>
  </si>
  <si>
    <t>HYD-HD-MTR-B-199</t>
  </si>
  <si>
    <t>HD 1 &amp; 4|Sump Pump Start</t>
  </si>
  <si>
    <t>HYD-HD-MTR-B-200</t>
  </si>
  <si>
    <t>HD 2 &amp; 3|Sump Pump Start</t>
  </si>
  <si>
    <t>S1 Umbilical|Accumulator bleed</t>
  </si>
  <si>
    <t>S12</t>
  </si>
  <si>
    <t>HYD-S1U-DVL-B-203</t>
  </si>
  <si>
    <t>Prevalve open</t>
  </si>
  <si>
    <t>S14.1</t>
  </si>
  <si>
    <t>HYD-S1U-DVL-B-204</t>
  </si>
  <si>
    <t>Prevalve close</t>
  </si>
  <si>
    <t>S14.2</t>
  </si>
  <si>
    <t>HYD-S1U-DVL-B-205</t>
  </si>
  <si>
    <t>Prevalve back up|Invert actuator state</t>
  </si>
  <si>
    <t>S14.3</t>
  </si>
  <si>
    <t>HYD-S1U-DVL-B-206</t>
  </si>
  <si>
    <t>Prevalve bleed</t>
  </si>
  <si>
    <t>S38, S39</t>
  </si>
  <si>
    <t>S14.4 &amp; S14.5</t>
  </si>
  <si>
    <t>HYD-S1U-DVL-B-207</t>
  </si>
  <si>
    <t>S1 Umbilical|High speed retract</t>
  </si>
  <si>
    <t>S34, S36</t>
  </si>
  <si>
    <t>S15.1, S15.2, S15.3, S15.5</t>
  </si>
  <si>
    <t>HYD-S1U-DVL-B-208</t>
  </si>
  <si>
    <t>S1 Umbilical|Primary Extend</t>
  </si>
  <si>
    <t>S18.1</t>
  </si>
  <si>
    <t>HYD-S1U-DVL-B-209</t>
  </si>
  <si>
    <t>S1 Umbilical|Primary Retract</t>
  </si>
  <si>
    <t>S18.2</t>
  </si>
  <si>
    <t>C1-DO3</t>
  </si>
  <si>
    <t>HYD-S1U-DVL-B-210</t>
  </si>
  <si>
    <t>S1 Umbilical|Secondary Extend</t>
  </si>
  <si>
    <t>S18.3</t>
  </si>
  <si>
    <t>HYD-S1U-DVL-B-211</t>
  </si>
  <si>
    <t>S1 Umbilical|Secondary Retract</t>
  </si>
  <si>
    <t>S18.4</t>
  </si>
  <si>
    <t>AG-HF-DVL-Pos-4</t>
  </si>
  <si>
    <t>GHe Stage 2 Anti-Geysering|High Flow Valve Controller</t>
  </si>
  <si>
    <t>VHE-BU-DVL-Pos-440</t>
  </si>
  <si>
    <t>Vehicle Helium|Back up</t>
  </si>
  <si>
    <t>04C340</t>
  </si>
  <si>
    <t>Digital PLC input</t>
  </si>
  <si>
    <t>C1-DIO1</t>
  </si>
  <si>
    <t>NI 9375 (D-Sub)</t>
  </si>
  <si>
    <t>S1 Position Prox 1|Extended</t>
  </si>
  <si>
    <t>S1 Position Prox 2|Cleared Flame Bucket</t>
  </si>
  <si>
    <t>S1 Position Prox 3|Cleared Flame Bucket</t>
  </si>
  <si>
    <t>S1 Position Prox 4|Retracted</t>
  </si>
  <si>
    <t>Spare</t>
  </si>
  <si>
    <t>Analog PLC input</t>
  </si>
  <si>
    <t>N1-AI1</t>
  </si>
  <si>
    <t>NI 9208 (D-Sub)</t>
  </si>
  <si>
    <t>CO2-STR-PRS-Ps-19</t>
  </si>
  <si>
    <t>CO2 Panel Pressure Transducer|Honeywell Pressure (0-3000)</t>
  </si>
  <si>
    <t>IGN-GOX-PRS-Ps-268</t>
  </si>
  <si>
    <t>GOX Panel Source Supply|Pressure Transducer</t>
  </si>
  <si>
    <t>TBD</t>
  </si>
  <si>
    <t>IGN-GOX-PRS-Ps-270</t>
  </si>
  <si>
    <t>GOX Panel Ignitor Supply|Pressure Transducer</t>
  </si>
  <si>
    <t>IGN-CH4-PRS-Ps-272</t>
  </si>
  <si>
    <t>CH4 Panel Source Supply|Pressure Transducer</t>
  </si>
  <si>
    <t>IGN-CH4-PRS-Ps-274</t>
  </si>
  <si>
    <t>CH4 Panel Ignitor Supply|Pressure Transducer</t>
  </si>
  <si>
    <t>HVAC-FAR-PVL-Pos-106</t>
  </si>
  <si>
    <t>HVAC-IS2-PVL-Pos-107</t>
  </si>
  <si>
    <t>HVAC-IS1-PVL-Pos-108</t>
  </si>
  <si>
    <t>HVAC-PP-PVL-Pos-109</t>
  </si>
  <si>
    <t>HVAC-FAR-PVL-Pos-110</t>
  </si>
  <si>
    <t>ECS GN2 LN2 Interface to Payload Umbilical Line|Proportional Control Valve Controller</t>
  </si>
  <si>
    <t>HVAC-IS2-PVL-Pos-111</t>
  </si>
  <si>
    <t>HVAC-IS1-PVL-Pos-112</t>
  </si>
  <si>
    <t>HVAC-PP-PVL-Pos-113</t>
  </si>
  <si>
    <t>N1-AI2</t>
  </si>
  <si>
    <t>GHe-STR-PRS-Ps-48</t>
  </si>
  <si>
    <t>Gas Helium|Bottle Pressure</t>
  </si>
  <si>
    <t>GHe-STR-PRS-Ps-49</t>
  </si>
  <si>
    <t>Gas Helium|Regulator Pressure</t>
  </si>
  <si>
    <t>N1-DI1</t>
  </si>
  <si>
    <t>NI 9425 (D-Sub)</t>
  </si>
  <si>
    <t>CO2-MN-LS-PxC-21</t>
  </si>
  <si>
    <t>Primary Discrete|Valve Closed</t>
  </si>
  <si>
    <t>CO2-BU-LS-PxO-24</t>
  </si>
  <si>
    <t>Primary Discrete|Valve Open</t>
  </si>
  <si>
    <t>CO2-MN-LS-PxO-25</t>
  </si>
  <si>
    <t>Secondary Discrete|Valve Open</t>
  </si>
  <si>
    <t>CO2-BU-LS-PxC-23</t>
  </si>
  <si>
    <t>Secondary Discrete|Valve Closed</t>
  </si>
  <si>
    <t>Box Purge Status|From PLC</t>
  </si>
  <si>
    <t>PC-FAR-COT-ST-131</t>
  </si>
  <si>
    <t>Fairing Inhibit|Switch</t>
  </si>
  <si>
    <t>HVAC-IS2-COT-ST-132</t>
  </si>
  <si>
    <t>Interstage 2|Cut out circuit state</t>
  </si>
  <si>
    <t>FS-05C921</t>
  </si>
  <si>
    <t>HVAC-IS1-COT-ST-133</t>
  </si>
  <si>
    <t>Interstage 1|Cut out circuit state</t>
  </si>
  <si>
    <t>FS-05C922</t>
  </si>
  <si>
    <t>HVAC-PP-COT-ST-134</t>
  </si>
  <si>
    <t>Power Pack |Cut out circuit state Heater 1</t>
  </si>
  <si>
    <t>FS-05C923</t>
  </si>
  <si>
    <t>N5-AI9</t>
  </si>
  <si>
    <t>WD-STR-PRS-Ps-443</t>
  </si>
  <si>
    <t>Supply Source|Pressure Transducer</t>
  </si>
  <si>
    <t>N2-AI4</t>
  </si>
  <si>
    <t>IGN-GOX-PRS-Ps-267</t>
  </si>
  <si>
    <t>GOX Ignitor Bottle/Accumulator|Pressure Transducer</t>
  </si>
  <si>
    <t>WD-FLC-PRS-Ps-444</t>
  </si>
  <si>
    <t>Primary Inlet|Transducer</t>
  </si>
  <si>
    <t>WD-FLC-PRS-Ps-446</t>
  </si>
  <si>
    <t>Secondary Inlet|Transducer</t>
  </si>
  <si>
    <t>IGN-CH4-PRS-Ps-271</t>
  </si>
  <si>
    <t>CH4 Ignitor Bottle/Accumulator|Pressure Transducer</t>
  </si>
  <si>
    <t>WD-FLC-PRS-Ps-448</t>
  </si>
  <si>
    <t>Flow Pressure|Transducer</t>
  </si>
  <si>
    <t>IGN-CH4-PRS-Ps-273</t>
  </si>
  <si>
    <t>CH4 GN2 Purge Line|Pressure Transducer</t>
  </si>
  <si>
    <t>IGN-GOX-PRS-Ps-278</t>
  </si>
  <si>
    <t>GOX GN2 Purge Line|Pressure Transducer</t>
  </si>
  <si>
    <t>N2-AI3</t>
  </si>
  <si>
    <t>HYD-S1U-PRS-Ps-212</t>
  </si>
  <si>
    <t>S1 Umbilical|Outstroke pressure</t>
  </si>
  <si>
    <t>HYD-S1U-PRS-Ps-213</t>
  </si>
  <si>
    <t>S1 Umbilical|Instroke pressure</t>
  </si>
  <si>
    <t>HYD-S1U-PRS-Ps-214</t>
  </si>
  <si>
    <t>Prevalve open|Pressure</t>
  </si>
  <si>
    <t>HYD-S1U-PRS-Ps-215</t>
  </si>
  <si>
    <t>Prevalve close|Pressure</t>
  </si>
  <si>
    <t>HYD-S1U-PRS-Ps-217</t>
  </si>
  <si>
    <t>S1 Umbilical Accumulator|Bladder Pressure</t>
  </si>
  <si>
    <t>HYD-S1U-PRS-Ps-218</t>
  </si>
  <si>
    <t>S1 Umbilical circuit|Pressure</t>
  </si>
  <si>
    <t>PT-U</t>
  </si>
  <si>
    <t>S1 Umbilical Engagement|distance prox</t>
  </si>
  <si>
    <t>N4-AI7</t>
  </si>
  <si>
    <t>Strong back|Inclinometer 1</t>
  </si>
  <si>
    <t>Strong back|Inclinometer 2</t>
  </si>
  <si>
    <t>Strong back|Inclinometer 3</t>
  </si>
  <si>
    <t>LOX-S1U-PRS-Ps-330</t>
  </si>
  <si>
    <t>LO2 S1 Umbilical|Pressure Transducer</t>
  </si>
  <si>
    <t>LOX-S2U-PRS-Ps-331</t>
  </si>
  <si>
    <t>LO2 S2 Umbilical|Pressure Transducer</t>
  </si>
  <si>
    <t>AG-S1U-PRS-Ps-2</t>
  </si>
  <si>
    <t>S1 Anti Geysering|Delivery Pressure</t>
  </si>
  <si>
    <t>AG-S2U-PRS-Ps-3</t>
  </si>
  <si>
    <t>S2 Anti Geysering|Delivery Pressure</t>
  </si>
  <si>
    <t>HYD-HD-PRS-Ps-181</t>
  </si>
  <si>
    <t>Instroke Pressure|HD2</t>
  </si>
  <si>
    <t>HYD-HD-PRS-Ps-182</t>
  </si>
  <si>
    <t>Instroke Pressure|HD3</t>
  </si>
  <si>
    <t>HYD-HD-PRS-Ps-185</t>
  </si>
  <si>
    <t>Outstroke Pressure|HD2</t>
  </si>
  <si>
    <t>HYD-HD-PRS-Ps-186</t>
  </si>
  <si>
    <t>Outstroke Pressure|HD3</t>
  </si>
  <si>
    <t>HYD-HD-PRS-Ps-189</t>
  </si>
  <si>
    <t>Accumulator Bladder|Gas pressure - HD2</t>
  </si>
  <si>
    <t>HYD-HD-PRS-Ps-190</t>
  </si>
  <si>
    <t>Accumulator Bladder|Gas pressure - HD3</t>
  </si>
  <si>
    <t>N2-DI2</t>
  </si>
  <si>
    <t>HYD-HD-LS-PxC-193</t>
  </si>
  <si>
    <t>Accumulator isolation|Valve state - HD2</t>
  </si>
  <si>
    <t>SWAC-2</t>
  </si>
  <si>
    <t>HYD-HD-LS-PxC-194</t>
  </si>
  <si>
    <t>Accumulator isolation|Valve state - HD3</t>
  </si>
  <si>
    <t>SWAC-3</t>
  </si>
  <si>
    <t>HYD-HD-LS-LVL-198</t>
  </si>
  <si>
    <t>Prox Open|HD Lock 2</t>
  </si>
  <si>
    <t>HYD-HD-PXS-Px-130</t>
  </si>
  <si>
    <t>Prox Open|HD Lock 3</t>
  </si>
  <si>
    <t>HYD-HD-PXS-Px-131</t>
  </si>
  <si>
    <t>Prox Closed|HD Lock 2</t>
  </si>
  <si>
    <t>HYD-HD-PXS-Px-134</t>
  </si>
  <si>
    <t>Prox Closed|HD Lock 3</t>
  </si>
  <si>
    <t>HYD-HD-PXS-Px-135</t>
  </si>
  <si>
    <t>Prox Extended|HD 2</t>
  </si>
  <si>
    <t>HYD-HD-PXS-PxE-138</t>
  </si>
  <si>
    <t>Prox Extended|HD 3</t>
  </si>
  <si>
    <t>HYD-HD-PXS-PxE-139</t>
  </si>
  <si>
    <t>Prox Retracted|HD 2</t>
  </si>
  <si>
    <t>HYD-HD-PXS-PxR-142</t>
  </si>
  <si>
    <t>Prox Retracted|HD 3</t>
  </si>
  <si>
    <t>HYD-HD-PXS-PxR-143</t>
  </si>
  <si>
    <t>Top Clamp Open/Close|Spool position</t>
  </si>
  <si>
    <t>N3-AI5</t>
  </si>
  <si>
    <t>HYD-LFT-PRS-Ps-254</t>
  </si>
  <si>
    <t>HYD-HD-PRS-Ps-179</t>
  </si>
  <si>
    <t>Hold down|Circuit pressure</t>
  </si>
  <si>
    <t>PT-HD</t>
  </si>
  <si>
    <t>HYD-HD-PRS-Ps-180</t>
  </si>
  <si>
    <t>Instroke pressure|HD1</t>
  </si>
  <si>
    <t>HYD-HD-PRS-Ps-183</t>
  </si>
  <si>
    <t>Instroke pressure|HD4</t>
  </si>
  <si>
    <t>HYD-HD-PRS-Ps-184</t>
  </si>
  <si>
    <t>Outstroke pressure|HD1</t>
  </si>
  <si>
    <t>HYD-HD-PRS-Ps-187</t>
  </si>
  <si>
    <t>outstroke pressure|HD4</t>
  </si>
  <si>
    <t>HYD-HD-PRS-Ps-188</t>
  </si>
  <si>
    <t>Accumulator Bladder gas pressure|HD1</t>
  </si>
  <si>
    <t>HYD-HD-PRS-Ps-191</t>
  </si>
  <si>
    <t>Accumulator Bladder gas pressure|HD4</t>
  </si>
  <si>
    <t>N3-DI3</t>
  </si>
  <si>
    <t>HYD-HD-PSW-B-163</t>
  </si>
  <si>
    <t>Filter dP F6</t>
  </si>
  <si>
    <t>HYD-HD-LS-PxC-192</t>
  </si>
  <si>
    <t>Accumulator isolation|Valve state - HD1</t>
  </si>
  <si>
    <t>SWAC-1</t>
  </si>
  <si>
    <t>HYD-HD-LS-PxC-195</t>
  </si>
  <si>
    <t>Accumulator isolation|Valve state - HD4</t>
  </si>
  <si>
    <t>SWAC-4</t>
  </si>
  <si>
    <t>HYD-HD-LS-LVL-197</t>
  </si>
  <si>
    <t>HD 1 &amp; 4|Sump level</t>
  </si>
  <si>
    <t>HYD-HD-LS-Px-201</t>
  </si>
  <si>
    <t>HD circuit bleed|Valve state</t>
  </si>
  <si>
    <t>SW11</t>
  </si>
  <si>
    <t>HYD-S1U-LS-PxO-219</t>
  </si>
  <si>
    <t>S1 Umbilical Accumulator|Isolator</t>
  </si>
  <si>
    <t>SWAC-5 (S1Umbi)</t>
  </si>
  <si>
    <t>HYD-S1U-LS-PxO-220</t>
  </si>
  <si>
    <t>S1 Umbilical extend accumulator|Isolator</t>
  </si>
  <si>
    <t>SWAC-6</t>
  </si>
  <si>
    <t>Prox Open|HD Lock 1</t>
  </si>
  <si>
    <t>HYD-HD-PXS-Px-129</t>
  </si>
  <si>
    <t>Prox Open|HD Lock 4</t>
  </si>
  <si>
    <t>HYD-HD-PXS-Px-132</t>
  </si>
  <si>
    <t>Prox Closed|HD Lock 1</t>
  </si>
  <si>
    <t>HYD-HD-PXS-Px-133</t>
  </si>
  <si>
    <t>Prox Closed|HD Lock 4</t>
  </si>
  <si>
    <t>HYD-HD-PXS-Px-136</t>
  </si>
  <si>
    <t>Prox Extended|HD 1</t>
  </si>
  <si>
    <t>HYD-HD-PXS-PxE-137</t>
  </si>
  <si>
    <t>Prox Extended|HD 4</t>
  </si>
  <si>
    <t>HYD-HD-PXS-PxE-140</t>
  </si>
  <si>
    <t>Prox Retracted|HD 1</t>
  </si>
  <si>
    <t>HYD-HD-PXS-PxR-141</t>
  </si>
  <si>
    <t>Prox Retracted|HD 4</t>
  </si>
  <si>
    <t>HYD-HD-PXS-PxR-144</t>
  </si>
  <si>
    <t>HYD-HPU-PRS-Ps-140</t>
  </si>
  <si>
    <t>PTP-1</t>
  </si>
  <si>
    <t>HYD-HPU-PRS-Ps-141</t>
  </si>
  <si>
    <t>PTP-2</t>
  </si>
  <si>
    <t>N5-AO4</t>
  </si>
  <si>
    <t>HYD-HPU-PVL-Pos-138</t>
  </si>
  <si>
    <t>P1 PRV</t>
  </si>
  <si>
    <t>HYD-HPU-PVL-Pos-139</t>
  </si>
  <si>
    <t>P2 PRV</t>
  </si>
  <si>
    <t>N5-DI5</t>
  </si>
  <si>
    <t>HYD-HPU-PSW-B-145</t>
  </si>
  <si>
    <t>Filter dP F1</t>
  </si>
  <si>
    <t>HYD-HPU-PSW-B-146</t>
  </si>
  <si>
    <t>Filter dP F2</t>
  </si>
  <si>
    <t>HYD-HPU-PSW-B-147</t>
  </si>
  <si>
    <t>Filter dP F3</t>
  </si>
  <si>
    <t>HYD-HPU-PSW-B-148</t>
  </si>
  <si>
    <t>Filter dP F4</t>
  </si>
  <si>
    <t>HYD-HPU-CT-B-136</t>
  </si>
  <si>
    <t>Pump 1 Start</t>
  </si>
  <si>
    <t>HYD-HPU-CT-B-137</t>
  </si>
  <si>
    <t>Pump 2 Start</t>
  </si>
  <si>
    <t>HYD-HPU-DVL-B-143</t>
  </si>
  <si>
    <t>Isolate P1 Circuit</t>
  </si>
  <si>
    <t>S1.2</t>
  </si>
  <si>
    <t>HYD-HPU-DVL-B-142</t>
  </si>
  <si>
    <t>Isolate P2 Circuit</t>
  </si>
  <si>
    <t>S1.1</t>
  </si>
  <si>
    <t>HYD-HPU-DVL-B-144</t>
  </si>
  <si>
    <t>Single Pump|Operation</t>
  </si>
  <si>
    <t>N4-DI4</t>
  </si>
  <si>
    <t>Prox Clamp|Open Left</t>
  </si>
  <si>
    <t>HYD-LFT-PXS-Px-241</t>
  </si>
  <si>
    <t>Prox Clamp|Open Right</t>
  </si>
  <si>
    <t>HYD-LFT-PXS-Px-242</t>
  </si>
  <si>
    <t>HYD-LFT-PXS-Px-146</t>
  </si>
  <si>
    <t>Prox Clamp|Closed Left</t>
  </si>
  <si>
    <t>HYD-LFT-PXS-Px-243</t>
  </si>
  <si>
    <t>HYD-LFT-PXS-Px-147</t>
  </si>
  <si>
    <t>Prox Clamp|Closed Right</t>
  </si>
  <si>
    <t>HYD-LFT-PXS-Px-244</t>
  </si>
  <si>
    <t>HYD-LFT-PXS-Px-148</t>
  </si>
  <si>
    <t>C2-AI11</t>
  </si>
  <si>
    <t>LOX-LS1-PRS-Ps-329</t>
  </si>
  <si>
    <t>LO2 Flow Control Skid|Outlet Pressure Transducer</t>
  </si>
  <si>
    <t>LOX-LS1-PRS-Ps-328</t>
  </si>
  <si>
    <t>LO2 Pump Outlet|Pressure Transducer</t>
  </si>
  <si>
    <t>LOX-LS1-PRS-Ps-327</t>
  </si>
  <si>
    <t>LO2 Pump Inlet|Pressure Transducer</t>
  </si>
  <si>
    <t>N6-AI13</t>
  </si>
  <si>
    <t>HVBH-CD-AMP-CD-72</t>
  </si>
  <si>
    <t>HVBH-CD-AMP-CD-73</t>
  </si>
  <si>
    <t>HVBH-CD-AMP-CD-74</t>
  </si>
  <si>
    <t>HVBH-CD-AMP-CD-75</t>
  </si>
  <si>
    <t>HVBH-CD-AMP-CD-76</t>
  </si>
  <si>
    <t>HVBH-CD-AMP-CD-77</t>
  </si>
  <si>
    <t>HVBH-CD-AMP-CD-78</t>
  </si>
  <si>
    <t>HVBH-CD-AMP-CD-79</t>
  </si>
  <si>
    <t>HVBH-CD-AMP-CD-80</t>
  </si>
  <si>
    <t>HVBH-CD-AMP-CD-81</t>
  </si>
  <si>
    <t>HVBH-CD-AMP-CD-82</t>
  </si>
  <si>
    <t>HVBH-CD-AMP-CD-83</t>
  </si>
  <si>
    <t>HVBH-CD-AMP-CD-84</t>
  </si>
  <si>
    <t>HVBH-CD-AMP-CD-85</t>
  </si>
  <si>
    <t>HVBH-CD-AMP-CD-86</t>
  </si>
  <si>
    <t>HVBH-CD-AMP-CD-87</t>
  </si>
  <si>
    <t>AG-LF-DVL-Pos-5</t>
  </si>
  <si>
    <t>GHe Stage 1 Anti-Geysering|Low Flow Valve Controller</t>
  </si>
  <si>
    <t>AG-HF-DVL-Pos-1</t>
  </si>
  <si>
    <t>GHe Stage 1 Anti-Geysering|High Flow Valve Controller</t>
  </si>
  <si>
    <t>VHE-BU-DVL-Pos-439</t>
  </si>
  <si>
    <t>AG-LF-DVL-Pos-6</t>
  </si>
  <si>
    <t>GHe Stage 2 Anti-Geysering|Low Flow Valve Controller</t>
  </si>
  <si>
    <t>CPWR-RST-FX-CD-44</t>
  </si>
  <si>
    <t>HVHSUP-GENRACK|E-STOP</t>
  </si>
  <si>
    <t>N6-DIO2</t>
  </si>
  <si>
    <t>HVBH-HSE-SSR-B-56</t>
  </si>
  <si>
    <t>Battery Heater|Enable-H01</t>
  </si>
  <si>
    <t>HVBH-HSE-SSR-B-57</t>
  </si>
  <si>
    <t>Battery Heater|Enable-H02</t>
  </si>
  <si>
    <t>HVBH-HSE-SSR-B-58</t>
  </si>
  <si>
    <t>Battery Heater|Enable-H03</t>
  </si>
  <si>
    <t>HVBH-HSE-SSR-B-59</t>
  </si>
  <si>
    <t>Battery Heater|Enable-H04</t>
  </si>
  <si>
    <t>HVBH-HSE-SSR-B-60</t>
  </si>
  <si>
    <t>Battery Heater|Enable-H05</t>
  </si>
  <si>
    <t>HVBH-HSE-SSR-B-61</t>
  </si>
  <si>
    <t>Battery Heater|Enable-H06</t>
  </si>
  <si>
    <t>HVBH-HSE-SSR-B-62</t>
  </si>
  <si>
    <t>Battery Heater|Enable-H07</t>
  </si>
  <si>
    <t>HVBH-HSE-SSR-B-63</t>
  </si>
  <si>
    <t>Battery Heater|Enable-H08</t>
  </si>
  <si>
    <t>HVBH-HSE-SSR-B-64</t>
  </si>
  <si>
    <t>Battery Heater|Enable-H09</t>
  </si>
  <si>
    <t>HVBH-HSE-SSR-B-65</t>
  </si>
  <si>
    <t>Battery Heater|Enable-H10</t>
  </si>
  <si>
    <t>HVBH-HSE-SSR-B-66</t>
  </si>
  <si>
    <t>Battery Heater|Enable-H11</t>
  </si>
  <si>
    <t>HVBH-HSE-SSR-B-67</t>
  </si>
  <si>
    <t>Battery Heater|Enable-H12</t>
  </si>
  <si>
    <t>HVBH-HSE-SSR-B-68</t>
  </si>
  <si>
    <t>Battery Heater|Enable-H13</t>
  </si>
  <si>
    <t>HVBH-HSE-SSR-B-69</t>
  </si>
  <si>
    <t>Battery Heater|Enable-H14</t>
  </si>
  <si>
    <t>HVBH-FSE-SSR-B-70</t>
  </si>
  <si>
    <t>Battery Heater|Fans Enable 1-7</t>
  </si>
  <si>
    <t>HVBH-FSE-SSR-B-71</t>
  </si>
  <si>
    <t>Battery Heater|Fans Enable 8-14</t>
  </si>
  <si>
    <t>N6 - TC01</t>
  </si>
  <si>
    <t>TC 9213</t>
  </si>
  <si>
    <t>HVBH-TF-TC-Ts-88</t>
  </si>
  <si>
    <t>HVBH-TF-TC-Ts-89</t>
  </si>
  <si>
    <t>HVBH-TF-TC-Ts-90</t>
  </si>
  <si>
    <t>HVBH-TF-TC-Ts-91</t>
  </si>
  <si>
    <t>HVBH-TF-TC-Ts-92</t>
  </si>
  <si>
    <t>HVBH-TF-TC-Ts-93</t>
  </si>
  <si>
    <t>HVBH-TF-TC-Ts-94</t>
  </si>
  <si>
    <t>HVBH-TF-TC-Ts-95</t>
  </si>
  <si>
    <t>HVBH-TF-TC-Ts-96</t>
  </si>
  <si>
    <t>HVBH-TF-TC-Ts-97</t>
  </si>
  <si>
    <t>ASP--AxCt-ST-7</t>
  </si>
  <si>
    <t>Power Isolation Contactor|FTS-ISO(A)</t>
  </si>
  <si>
    <t>ASP--AxCt-ST-8</t>
  </si>
  <si>
    <t>Power Isolation Contactor|S3-ISO(A)</t>
  </si>
  <si>
    <t>ASP--AxCt-ST-17</t>
  </si>
  <si>
    <t>Power Isolation Contactor|S2U-ISO(A)</t>
  </si>
  <si>
    <t>HYD-HPU-RTD-Ts-250</t>
  </si>
  <si>
    <t>Reservoir Oil Temp</t>
  </si>
  <si>
    <t>HYD-HPU-LEV-LVL-251</t>
  </si>
  <si>
    <t>HYD-HPU-CT-B-249</t>
  </si>
  <si>
    <t>HYD-HDL-DVL-B-258</t>
  </si>
  <si>
    <t>HD lock accumulator bleed</t>
  </si>
  <si>
    <t>HYD-HDL-DVL-B-259</t>
  </si>
  <si>
    <t>HD lock gang open close</t>
  </si>
  <si>
    <t>HYD-HDL-DVL-B-260</t>
  </si>
  <si>
    <t>HD lock invert drive state</t>
  </si>
  <si>
    <t>HYD-HDL-DVL-B-264</t>
  </si>
  <si>
    <t>Isolate HDL4</t>
  </si>
  <si>
    <t>HYD-HDL-DVL-B-263</t>
  </si>
  <si>
    <t>Isolate HDL3</t>
  </si>
  <si>
    <t>HYD-HDL-DVL-B-262</t>
  </si>
  <si>
    <t>Isolate HDL2</t>
  </si>
  <si>
    <t>HYD-HDL-DVL-B-261</t>
  </si>
  <si>
    <t>Isolate HDL1</t>
  </si>
  <si>
    <t>HYD-HDL-PRS-Ps-265</t>
  </si>
  <si>
    <t>HDL accumulator bladder pressure</t>
  </si>
  <si>
    <t>HYD-HDL-PRS-Ps-266</t>
  </si>
  <si>
    <t>HYD-S1U-PRS-Ps-255</t>
  </si>
  <si>
    <t>PT3</t>
  </si>
  <si>
    <t>HYD-LFT-PSW-B-252</t>
  </si>
  <si>
    <t>Lift circuit platform filter</t>
  </si>
  <si>
    <t>S2J-S2H-PXS-B-791</t>
  </si>
  <si>
    <t>S2J-S2H-PXS-B-792</t>
  </si>
  <si>
    <t>Stage 2 supply jettsion pressure Position 2</t>
  </si>
  <si>
    <t>N2-RTD2</t>
  </si>
  <si>
    <t>RTD 9216 - DSUB</t>
  </si>
  <si>
    <t>HVAC-PP-RTD-Ts-119</t>
  </si>
  <si>
    <t>Power Pack Interface|Umbilical Temperature</t>
  </si>
  <si>
    <t>MEC-CL-SLD-B-417</t>
  </si>
  <si>
    <t>Clamp lock latch|energize to unlock latch</t>
  </si>
  <si>
    <t>05C392</t>
  </si>
  <si>
    <t>N1-RTD1</t>
  </si>
  <si>
    <t>HVAC-PP-RTD-Ts-125</t>
  </si>
  <si>
    <t>Power Pack ECS Heater 1|Outlet Temperature</t>
  </si>
  <si>
    <t>HVAC-PP-RTD-Ts-126</t>
  </si>
  <si>
    <t>Power Pack ECS Heater 2|Outlet Temperature</t>
  </si>
  <si>
    <t>SPARE RTD</t>
  </si>
  <si>
    <t>HVAC-LC-RTD-Ts-115</t>
  </si>
  <si>
    <t>Line Chill Manifold temperature</t>
  </si>
  <si>
    <t>N4-RTD4</t>
  </si>
  <si>
    <t>HVAC-IS2-RTD-Ts-123</t>
  </si>
  <si>
    <t>Interstage 2 ECS|Heater 1 Outlet Temperature</t>
  </si>
  <si>
    <t>HVAC-IS2-RTD-Ts-223</t>
  </si>
  <si>
    <t>HVAC-IS1-RTD-Ts-124</t>
  </si>
  <si>
    <t>Interstage 1 ECS|Heater 1 Outlet Temperature</t>
  </si>
  <si>
    <t>HVAC-FAR-RTD-Ts-116</t>
  </si>
  <si>
    <t>Fairing ECS Interface|Umbilical Temperature</t>
  </si>
  <si>
    <t>HVAC-IS2-RTD-Ts-117</t>
  </si>
  <si>
    <t>Interstage 2 Interface|Umbilical Temperature</t>
  </si>
  <si>
    <t>HVAC-IS1-RTD-Ts-118</t>
  </si>
  <si>
    <t>Interstage 1 Interface|Umbilical Temperature</t>
  </si>
  <si>
    <t>HVAC-FAR-RTD-Ts-122</t>
  </si>
  <si>
    <t>Fairing ECS Heater 1|Outlet Temperature</t>
  </si>
  <si>
    <t>S2 Umbilical Jettison|Low Pressure Unlock</t>
  </si>
  <si>
    <t>05C318</t>
  </si>
  <si>
    <t>S2J-S2H-DVL-Pos-436</t>
  </si>
  <si>
    <t>S2 Umbilical Jettison|High pressure jettison valve</t>
  </si>
  <si>
    <t>S2 Umbilical locking|ram position - Extended</t>
  </si>
  <si>
    <t>S2 Umbilical locking|ram position - Retracted</t>
  </si>
  <si>
    <t>ASP--AxCt-ST-9</t>
  </si>
  <si>
    <t>Power Isolation Contactor|S2L-ISO(A)</t>
  </si>
  <si>
    <t>ASP--AxCt-ST-10</t>
  </si>
  <si>
    <t>Power Isolation Contactor|S1U-ISO(A)</t>
  </si>
  <si>
    <t>ASP--AxCt-ST-11</t>
  </si>
  <si>
    <t>Power Isolation Contactor|S1L-ISO(A)</t>
  </si>
  <si>
    <t>ASP--AxCt-ST-12</t>
  </si>
  <si>
    <t>Power Isolation Contactor|FTS-ISO(B)</t>
  </si>
  <si>
    <t>ASP--AxCt-ST-13</t>
  </si>
  <si>
    <t>Power Isolation Contactor|S3-ISO(B)</t>
  </si>
  <si>
    <t>ASP--AxCt-ST-14</t>
  </si>
  <si>
    <t>Power Isolation Contactor|S2U-ISO(B)</t>
  </si>
  <si>
    <t>ASP--AxCt-ST-18</t>
  </si>
  <si>
    <t>Power Isolation Contactor|S2L-ISO(B)</t>
  </si>
  <si>
    <t>ASP--AxCt-ST-15</t>
  </si>
  <si>
    <t>Power Isolation Contactor|S1U-ISO(B)</t>
  </si>
  <si>
    <t>ASP--AxCt-ST-16</t>
  </si>
  <si>
    <t>Power Isolation Contactor|S1L-ISO(B)</t>
  </si>
  <si>
    <t>HYD-HDL-SLD-B-574</t>
  </si>
  <si>
    <t>WARM OIL CIRCULATION</t>
  </si>
  <si>
    <t>Secondary Discrete|Valve Controller</t>
  </si>
  <si>
    <t>CPWR-OL-FX-CD-26</t>
  </si>
  <si>
    <t>SITOP1 Power|Supply Trip</t>
  </si>
  <si>
    <t>CPWR-OL-FX-CD-27</t>
  </si>
  <si>
    <t>SITOP2 Power|Supply Trip</t>
  </si>
  <si>
    <t>HVBH-CTRL-SSR-Ps-421</t>
  </si>
  <si>
    <t>HVHSUP-GENRACK|E-STOP Reset</t>
  </si>
  <si>
    <t>SSR017-SET</t>
  </si>
  <si>
    <t>CPWR-RST-FX-CD-42</t>
  </si>
  <si>
    <t>CPWR-OL-FX-CD-35</t>
  </si>
  <si>
    <t>SITOP3 Power|Supply Trip</t>
  </si>
  <si>
    <t>CPWR-OL-FX-CD-28</t>
  </si>
  <si>
    <t>SITOP4 Power|Supply Trip</t>
  </si>
  <si>
    <t>CPWR-OL-FX-CD-36</t>
  </si>
  <si>
    <t>SITOP5 Power|Supply Trip</t>
  </si>
  <si>
    <t>CPWR-OL-FX-CD-29</t>
  </si>
  <si>
    <t>SITOP6 Power|Supply Trip</t>
  </si>
  <si>
    <t>CPWR-OL-FX-CD-30</t>
  </si>
  <si>
    <t>SITOP7 Power|Supply Trip</t>
  </si>
  <si>
    <t>CPWR-OL-FX-CD-38</t>
  </si>
  <si>
    <t>SITOP8 Power|Supply Trip</t>
  </si>
  <si>
    <t>CPWR-OL-FX-CD-43</t>
  </si>
  <si>
    <t>SITOP9 Power|Supply Trip</t>
  </si>
  <si>
    <t>CPWR-OL-FX-CD-37</t>
  </si>
  <si>
    <t>SITOP10 Power|Supply Trip</t>
  </si>
  <si>
    <t>C3-DO6</t>
  </si>
  <si>
    <t>KF-KI-DVL-B-287</t>
  </si>
  <si>
    <t>Kero ISO|recirc inlet valve</t>
  </si>
  <si>
    <t>KF-KI-DVL-B-288</t>
  </si>
  <si>
    <t>KF-KI-DVL-B-289</t>
  </si>
  <si>
    <t>KF-KI-DVL-B-290</t>
  </si>
  <si>
    <t>KF-KI-DVL-B-291</t>
  </si>
  <si>
    <t>KF-KI-DVL-B-292</t>
  </si>
  <si>
    <t>KF-KI-DVL-B-293</t>
  </si>
  <si>
    <t>Pump return valve</t>
  </si>
  <si>
    <t>KF-TR-DVL-B-793</t>
  </si>
  <si>
    <t>Pump Inlet Valve Solenoid</t>
  </si>
  <si>
    <t>KF-KI-CT-B-295</t>
  </si>
  <si>
    <t>Kero Pump VSD Enable</t>
  </si>
  <si>
    <t>C3-AO5</t>
  </si>
  <si>
    <t>KF-KI-VSD-SPD-296</t>
  </si>
  <si>
    <t>KF-KC-PVL-Pos-297</t>
  </si>
  <si>
    <t>C3-AI12</t>
  </si>
  <si>
    <t>KF-KS-PRS-Ps-573</t>
  </si>
  <si>
    <t>KF-KI-PRS-Ps-298</t>
  </si>
  <si>
    <t>KF-KC-PRS-Ps-299</t>
  </si>
  <si>
    <t>Kero fill pressure|down stream of fill valve</t>
  </si>
  <si>
    <t>KF-KC-PVL-Pos-300</t>
  </si>
  <si>
    <t>Fill valve position|feed back</t>
  </si>
  <si>
    <t>01C160.3</t>
  </si>
  <si>
    <t>HVBH-CTRL-AxCt-B-767</t>
  </si>
  <si>
    <t>Battery Heaters Control|Contact - State Feedback</t>
  </si>
  <si>
    <t>C3-DI7</t>
  </si>
  <si>
    <t>KF-KI-LS-PxO-301</t>
  </si>
  <si>
    <t>01C150</t>
  </si>
  <si>
    <t>KF-KI-LS-PxO-302</t>
  </si>
  <si>
    <t>01C151</t>
  </si>
  <si>
    <t>KF-KI-LS-PxO-303</t>
  </si>
  <si>
    <t>Kero ISO dessicant filter|array inlet - open</t>
  </si>
  <si>
    <t>01C152</t>
  </si>
  <si>
    <t>KF-KI-LS-PxO-304</t>
  </si>
  <si>
    <t>Kero ISO dessicant filter|array outlet - open</t>
  </si>
  <si>
    <t>01C154</t>
  </si>
  <si>
    <t>KF-KI-LS-PxO-305</t>
  </si>
  <si>
    <t>Kero ISO dessicant filter|array bypass - open</t>
  </si>
  <si>
    <t>01C153</t>
  </si>
  <si>
    <t>KF-KI-LS-PxO-306</t>
  </si>
  <si>
    <t>Pump return valve - open</t>
  </si>
  <si>
    <t>01C149</t>
  </si>
  <si>
    <t>KF-TR-LS-PxO-794</t>
  </si>
  <si>
    <t>Pump Inlet Valve Position Switch - open</t>
  </si>
  <si>
    <t>01C158</t>
  </si>
  <si>
    <t>KF-KI-LS-PxC-308</t>
  </si>
  <si>
    <t>KF-KI-LS-PxC-309</t>
  </si>
  <si>
    <t>KF-KI-LS-PxC-310</t>
  </si>
  <si>
    <t>Kero ISO dessicant filter|array inlet - closed</t>
  </si>
  <si>
    <t>KF-KI-LS-PxC-311</t>
  </si>
  <si>
    <t>Kero ISO dessicant filter|array outlet - closed</t>
  </si>
  <si>
    <t>KF-KI-LS-PxC-312</t>
  </si>
  <si>
    <t>Kero ISO dessicant filter|array bypass - closed</t>
  </si>
  <si>
    <t>KF-KI-LS-PxC-313</t>
  </si>
  <si>
    <t>Pump return valve - closed</t>
  </si>
  <si>
    <t>KF-TR-LS-PxC-795</t>
  </si>
  <si>
    <t>Pump Inlet Valve Position Switch - closed</t>
  </si>
  <si>
    <t>HVBH-CTRL-CT-B-766</t>
  </si>
  <si>
    <t>Battery Heaters Control|Contact - Enable</t>
  </si>
  <si>
    <t>VPM-S1-PRS-Ps-441</t>
  </si>
  <si>
    <t>S1 OT Pressure sensors</t>
  </si>
  <si>
    <t>S1_OT</t>
  </si>
  <si>
    <t>VPM-S2-PRS-Ps-442</t>
  </si>
  <si>
    <t>S2 OT Pressure sensors</t>
  </si>
  <si>
    <t>S2_OT</t>
  </si>
  <si>
    <t>CPWR-RST-FX-CD-31</t>
  </si>
  <si>
    <t>Rocket Power|Isolation Enable</t>
  </si>
  <si>
    <t>ISO-EN UPS-A</t>
  </si>
  <si>
    <t>Kero Pump VSD Run</t>
  </si>
  <si>
    <t>HYD-S1U-LS-PxC-256</t>
  </si>
  <si>
    <t>S1 Umbilical Accumulator|Isolator closed</t>
  </si>
  <si>
    <t>HYD-S1U-LS-PxC-257</t>
  </si>
  <si>
    <t>S1 Umbilical extend|accumulator Isolator closed</t>
  </si>
  <si>
    <t>CPWR-RST-FX-CD-33</t>
  </si>
  <si>
    <t>CPWR-OL-FX-CD-46</t>
  </si>
  <si>
    <t>SITOP11 Power|supply trip</t>
  </si>
  <si>
    <t>CPWR-OL-FX-CD-39</t>
  </si>
  <si>
    <t>SITOP12 Power|supply trip</t>
  </si>
  <si>
    <t>C2-DO7</t>
  </si>
  <si>
    <t>LOX-LT2-DVL-B-317</t>
  </si>
  <si>
    <t>Tank 2 pressure builder</t>
  </si>
  <si>
    <t>C2-DI6</t>
  </si>
  <si>
    <t>CPWR-OL-FX-CD-40</t>
  </si>
  <si>
    <t>SITOP14 Power|supply trip</t>
  </si>
  <si>
    <t>CPWR-OL-FX-CD-34</t>
  </si>
  <si>
    <t>SITOP15 Power|supply trip</t>
  </si>
  <si>
    <t>LOX-LT1-DVL-B-319</t>
  </si>
  <si>
    <t>Tank 1 Pressure Builder</t>
  </si>
  <si>
    <t>LOX-LT2-DVL-B-320</t>
  </si>
  <si>
    <t>Tank 2 Ullage vent</t>
  </si>
  <si>
    <t>LOX-LT2-DVL-B-351</t>
  </si>
  <si>
    <t>Tank 2 liquid to skid 2</t>
  </si>
  <si>
    <t>LOX-LT2-DVL-B-352</t>
  </si>
  <si>
    <t>Tank 2 liquid to skid 1</t>
  </si>
  <si>
    <t>LOX-LT1-DVL-B-354</t>
  </si>
  <si>
    <t>Tank 1 liquid to skid 2</t>
  </si>
  <si>
    <t>LOX-LT1-DVL-B-355</t>
  </si>
  <si>
    <t>Tank 1 Ullage vent</t>
  </si>
  <si>
    <t>LOX-LT1-DVL-B-356</t>
  </si>
  <si>
    <t>Tank 1 liquid to skid 1</t>
  </si>
  <si>
    <t>CPWR-RST-FX-CD-41</t>
  </si>
  <si>
    <t>LOX-LT2-LS-PxO-358</t>
  </si>
  <si>
    <t>Tank 2 pressure|builder open</t>
  </si>
  <si>
    <t>LOX-LT2-LS-PxC-359</t>
  </si>
  <si>
    <t>Tank 2 pressure|builder closed</t>
  </si>
  <si>
    <t>LOX-LT1-LS-PxO-360</t>
  </si>
  <si>
    <t>Tank 1 pressure|builder open</t>
  </si>
  <si>
    <t>LOX-LT1-LS-PxC-361</t>
  </si>
  <si>
    <t>Tank 1 pressure|builder closed</t>
  </si>
  <si>
    <t>LOX-LT2-LS-PxO-362</t>
  </si>
  <si>
    <t>Tank 2 ullage|vent open</t>
  </si>
  <si>
    <t>LOX-LT2-LS-PxC-363</t>
  </si>
  <si>
    <t>Tank 2 ullage|vent closed</t>
  </si>
  <si>
    <t>LOX-LT2-LS-PxO-364</t>
  </si>
  <si>
    <t>Tank 2 liquid|o skid 2 open</t>
  </si>
  <si>
    <t>LOX-LT2-LS-PxC-365</t>
  </si>
  <si>
    <t>Tank 2 liquid|to skid 2 closed</t>
  </si>
  <si>
    <t>LOX-LT2-LS-PxO-366</t>
  </si>
  <si>
    <t>Tank 2 liquid|to skid 1 open</t>
  </si>
  <si>
    <t>LOX-LT2-LS-PxC-367</t>
  </si>
  <si>
    <t>Tank 2 liquid|to skid 1 closed</t>
  </si>
  <si>
    <t>LOX-LT1-LS-PxO-370</t>
  </si>
  <si>
    <t>Tank 1 liquid|to skid 2 open</t>
  </si>
  <si>
    <t>LOX-LT1-LS-PxC-371</t>
  </si>
  <si>
    <t>Tank 1 liquid|to skid 2 closed</t>
  </si>
  <si>
    <t>LOX-LT1-LS-PxO-372</t>
  </si>
  <si>
    <t>Tank 1 liquid|to skid 1 open</t>
  </si>
  <si>
    <t>LOX-LT1-LS-PxC-373</t>
  </si>
  <si>
    <t>Tank 1 liquid|to skid 1 closed</t>
  </si>
  <si>
    <t>LOX-LT1-LS-PxO-376</t>
  </si>
  <si>
    <t>Tank 1 ullage vent open</t>
  </si>
  <si>
    <t>LOX-LT1-LS-PxC-377</t>
  </si>
  <si>
    <t>Tank 1 ullage vent closed</t>
  </si>
  <si>
    <t>GN2-STR-PRS-Ps-51</t>
  </si>
  <si>
    <t>GN2 Utility Skid Ejection|Purge Pressure Sensor</t>
  </si>
  <si>
    <t>GN2-STR-PRS-Ps-52</t>
  </si>
  <si>
    <t>GN2 Utility Skid MP High|Flow Supply Pressure Sensor</t>
  </si>
  <si>
    <t>GN2-STR-PRS-Ps-53</t>
  </si>
  <si>
    <t>GN2 Utility Skid ECS|Supply Pressure Sensor</t>
  </si>
  <si>
    <t>GN2-STR-PRS-Ps-54</t>
  </si>
  <si>
    <t>GN2 Utility Skid Muscle|Supply Pressure Sensor</t>
  </si>
  <si>
    <t>GN2-STR-PRS-Ps-55</t>
  </si>
  <si>
    <t>GN2 Utility Skid Insturment|Supply Pressure Sensor</t>
  </si>
  <si>
    <t>C2-AO6</t>
  </si>
  <si>
    <t>LOX-LS1-PVL-Pos-395</t>
  </si>
  <si>
    <t>LO2 Flow Control Skid MARS C2|Return Line Pr Control Valve</t>
  </si>
  <si>
    <t>LOX-LS1-PVL-Pos-396</t>
  </si>
  <si>
    <t>LO2 Flow Control Skid PMP-02C691|Flow Outlet  Pr Control Valve</t>
  </si>
  <si>
    <t>LOX-LS1-PVL-Pos-397</t>
  </si>
  <si>
    <t>LO2 S1 Umbilical Supply|Pr Control Valve</t>
  </si>
  <si>
    <t>LOX-LS1-PVL-Pos-399</t>
  </si>
  <si>
    <t>LO2 Flow Control Skid MARS C3|Return Line Pr Control Valve</t>
  </si>
  <si>
    <t>LOX-LS1-PVL-Pos-400</t>
  </si>
  <si>
    <t>LO2 Flow Control Circulation|Loop Pr Control Valve</t>
  </si>
  <si>
    <t>LOX-LS1-PVL-Pos-403</t>
  </si>
  <si>
    <t>LOX-LS1-PVL-Pos-404</t>
  </si>
  <si>
    <t>LO2 Flow Control Skid PMP-02C692|Flow Outlet  Pr Control Valve</t>
  </si>
  <si>
    <t>LOX-LS1-PVL-Pos-321</t>
  </si>
  <si>
    <t>LO2 Flow Control Skid|MARS C2 Return Line Pr Valve</t>
  </si>
  <si>
    <t>LOX-LS1-PVL-Pos-324</t>
  </si>
  <si>
    <t>LO2 Flow Control Skid PMP-02C691|Flow Outlet  Pr Valve</t>
  </si>
  <si>
    <t>LOX-LS1-PVL-Pos-325</t>
  </si>
  <si>
    <t>LO2 S1 Umbilical|Supply Pr Valve</t>
  </si>
  <si>
    <t>LOX-LS1-PVL-Pos-332</t>
  </si>
  <si>
    <t>LO2 Flow Control Skid |MARS C3 Return Line Pr Valve</t>
  </si>
  <si>
    <t>LOX-LS1-PVL-Pos-378</t>
  </si>
  <si>
    <t>LO2 Flow Control |Circulation Loop Pr Valve</t>
  </si>
  <si>
    <t>LOX-LS1-PVL-Pos-389</t>
  </si>
  <si>
    <t>LOX-LS1-PVL-Pos-390</t>
  </si>
  <si>
    <t>LO2 Flow Control Skid PMP-02C692 |Flow Outlet  Pr Valve</t>
  </si>
  <si>
    <t>LOX-LS1-PRS-Ps-413</t>
  </si>
  <si>
    <t>LO2 PMP-02C692 Outlet|Pressure Transducer</t>
  </si>
  <si>
    <t>LOX-LS1-PRS-Ps-414</t>
  </si>
  <si>
    <t>LO2 PMP-02C692 Inlet|Pressure Transducer</t>
  </si>
  <si>
    <t>LOX-LS1-PRS-Ps-415</t>
  </si>
  <si>
    <t>PMP-02692 Feed Line|Pressure Transducer</t>
  </si>
  <si>
    <t>LOX-S1U-PRS-Ps-416</t>
  </si>
  <si>
    <t>S1 Umbi Fill Pressure</t>
  </si>
  <si>
    <t>LOX-LS1-PVL-Pos-326</t>
  </si>
  <si>
    <t>LO2 S2 Umbilical Supply|Pr Control Valve</t>
  </si>
  <si>
    <t>LOX-LS1-PVL-Pos-381</t>
  </si>
  <si>
    <t>LO2 S2 Umbilical |Pr Control Vent Valve</t>
  </si>
  <si>
    <t>LOX-S1U-PVL-Pos-383</t>
  </si>
  <si>
    <t>S1 Proportional Vent to Dump</t>
  </si>
  <si>
    <t>TBC (next to S1 |UMBILICAL MP119)</t>
  </si>
  <si>
    <t>LOX-LS1-PVL-Pos-398</t>
  </si>
  <si>
    <t>LO2 S2 Umbilical |Supply Pr Control Valve</t>
  </si>
  <si>
    <t>LOX-LS1-PVL-Pos-401</t>
  </si>
  <si>
    <t>LOX-LS1-PVL-Pos-402</t>
  </si>
  <si>
    <t>LOX-LS1-DVL-Pos-318</t>
  </si>
  <si>
    <t>LO2 Flow Control Skid Outlet|Redundant Discrete Control Valve</t>
  </si>
  <si>
    <t>LOX-LS1-DVL-Pos-322</t>
  </si>
  <si>
    <t>LO2 Flow Control Skid Return|Line Discrete Control Vent Valve</t>
  </si>
  <si>
    <t>LOX-LS1-DVL-Pos-323</t>
  </si>
  <si>
    <t>LO2 Flow Control Skid Outlet|Primary Discrete Control Valve</t>
  </si>
  <si>
    <t>LOX-LS1-DVL-Pos-379</t>
  </si>
  <si>
    <t>TBC (next to check|valve 02C410)</t>
  </si>
  <si>
    <t>02CXXX7</t>
  </si>
  <si>
    <t>LOX-LS1-DVL-Pos-380</t>
  </si>
  <si>
    <t>LO2 S2 Umbilical Interface|Discrete Control Vent Valve</t>
  </si>
  <si>
    <t>LOX-LS1-DVL-Pos-382</t>
  </si>
  <si>
    <t>LO2 S1 Umbilical Discrete|Control Vent Valve</t>
  </si>
  <si>
    <t>LOX-LS1-DVL-Pos-384</t>
  </si>
  <si>
    <t>LO2 Dump Line Discrete|Control Vent Valve</t>
  </si>
  <si>
    <t>LOX-LS1-DVL-Pos-385</t>
  </si>
  <si>
    <t>LO2 PMP-02C692 Return Line|Discrete Control Vent Valve</t>
  </si>
  <si>
    <t>LOX-LS1-DVL-Pos-386</t>
  </si>
  <si>
    <t>LO2 PMP-02C692 Outlet Primary|Discrete Control Valve</t>
  </si>
  <si>
    <t>LOX-LS1-DVL-Pos-387</t>
  </si>
  <si>
    <t>LO2 PMP-02C692Outlet Redundant|Discrete Control Valve</t>
  </si>
  <si>
    <t>LOX-LS1-DVL-Pos-388</t>
  </si>
  <si>
    <t>TBC (next to check|valve 02C425)</t>
  </si>
  <si>
    <t>02CXXX9</t>
  </si>
  <si>
    <t>C2-RTD5</t>
  </si>
  <si>
    <t>LOX-LS1-RTD-Ts-405</t>
  </si>
  <si>
    <t>LO2 PMP-02C691 Inlet|Temperature Sensor</t>
  </si>
  <si>
    <t>LOX-LS1-RTD-Ts-406</t>
  </si>
  <si>
    <t>LO2 PMP-02C691 Outlet|Temperature Sensor</t>
  </si>
  <si>
    <t>LOX-LS1-RTD-Ts-407</t>
  </si>
  <si>
    <t>LO2 Flow Control Skid |Outlet Temperature Sensor</t>
  </si>
  <si>
    <t>LOX-LS1-RTD-Ts-408</t>
  </si>
  <si>
    <t>LO2 PMP-02C692 Outlet|Temperature Sensor</t>
  </si>
  <si>
    <t>LOX-LS1-RTD-Ts-409</t>
  </si>
  <si>
    <t>LO2 PMP-02C692 Inlet|Temperature Sensor</t>
  </si>
  <si>
    <t>LOX-LS1-RTD-Ts-410</t>
  </si>
  <si>
    <t>LOX-LS1-RTD-Ts-411</t>
  </si>
  <si>
    <t>Temperature Sensor|S1 Interface</t>
  </si>
  <si>
    <t>LOX-LS1-RTD-Ts-412</t>
  </si>
  <si>
    <t>LO2 S2 Umbilical|Temperature Sensor</t>
  </si>
  <si>
    <t>C2-DI8</t>
  </si>
  <si>
    <t>LOX-LS1-LS-PxO-333</t>
  </si>
  <si>
    <t>LO2 Flow Control Skid|Outlet Redundant Open</t>
  </si>
  <si>
    <t>LOX-LS1-LS-PxC-334</t>
  </si>
  <si>
    <t>LO2 Flow Control Skid|Outlet Redundant close</t>
  </si>
  <si>
    <t>LOX-LS1-LS-PxO-335</t>
  </si>
  <si>
    <t>LO2 Flow Control Skid|Return Line Open</t>
  </si>
  <si>
    <t>LOX-LS1-LS-PxC-336</t>
  </si>
  <si>
    <t>LO2 Flow Control Skid|Return Line Close</t>
  </si>
  <si>
    <t>LOX-LS1-LS-PxO-337</t>
  </si>
  <si>
    <t>LO2 Flow Control Skid|Outlet Primary Open</t>
  </si>
  <si>
    <t>LOX-LS1-LS-PxC-338</t>
  </si>
  <si>
    <t>LO2 Flow Control Skid|Outlet Primary Close</t>
  </si>
  <si>
    <t>LOX-LS1-LS-PxO-339</t>
  </si>
  <si>
    <t>TBC (next to check|valve 02C410) Open</t>
  </si>
  <si>
    <t>02CXXX7.2</t>
  </si>
  <si>
    <t>LOX-LS1-LS-PxC-340</t>
  </si>
  <si>
    <t>TBC (next to check|valve 02C410) Close</t>
  </si>
  <si>
    <t>LOX-LS1-LS-PxO-341</t>
  </si>
  <si>
    <t>LO2 S2 Umbilical|Interface Open</t>
  </si>
  <si>
    <t>LOX-LS1-LS-PxC-342</t>
  </si>
  <si>
    <t>LO2 S2 Umbilical|Interface Close</t>
  </si>
  <si>
    <t>Overtemp trip</t>
  </si>
  <si>
    <t>Chromalux Controls S1</t>
  </si>
  <si>
    <t>Chromalux Controls IS1</t>
  </si>
  <si>
    <t>LOX-LS1-LS-PxO-345</t>
  </si>
  <si>
    <t>LO2 Dump Line|Discrete Vent Open</t>
  </si>
  <si>
    <t>LOX-LS1-LS-PxC-346</t>
  </si>
  <si>
    <t>LO2 Dump Line Discrete Vent Close</t>
  </si>
  <si>
    <t>LOX-LS1-LS-PxO-347</t>
  </si>
  <si>
    <t>LO2 PMP-02C692|Return Line Vent Open</t>
  </si>
  <si>
    <t>LOX-LS1-LS-PxC-348</t>
  </si>
  <si>
    <t>LO2 PMP-02C692|Return Line Vent Close</t>
  </si>
  <si>
    <t>LOX-LS1-LS-PxO-349</t>
  </si>
  <si>
    <t>LO2 PMP-02C692|Outlet Primary Open</t>
  </si>
  <si>
    <t>LOX-LS1-LS-PxC-350</t>
  </si>
  <si>
    <t>LO2 PMP-02C692|Outlet Primary CLose</t>
  </si>
  <si>
    <t>LOX-LS1-LS-PxO-391</t>
  </si>
  <si>
    <t>LO2 PMP-02C692|Outlet Redundant Open</t>
  </si>
  <si>
    <t>LOX-LS1-LS-PxC-392</t>
  </si>
  <si>
    <t>LO2 PMP-02C692|Outlet Redundant Close</t>
  </si>
  <si>
    <t>LOX-LS1-LS-PxO-393</t>
  </si>
  <si>
    <t>Return to MARS C2 - Open</t>
  </si>
  <si>
    <t>LOX-LS1-LS-PxC-394</t>
  </si>
  <si>
    <t>Return to MARS C2 - Close</t>
  </si>
  <si>
    <t>Trip Reset 24V|to reset</t>
  </si>
  <si>
    <t>Mode (24V = PID mode|0V = demand mode)</t>
  </si>
  <si>
    <t>Chromalux Controls IS2</t>
  </si>
  <si>
    <t>Chromalux Controls Fairing</t>
  </si>
  <si>
    <t>Heater 2 Enable (110V = Enabled)</t>
  </si>
  <si>
    <t>LOX-LS1-LS-PxO-343</t>
  </si>
  <si>
    <t>LO2 S1 Umbilical|Vent Open</t>
  </si>
  <si>
    <t>LOX-LS1-LS-PxC-344</t>
  </si>
  <si>
    <t>LO2 S1 Umbilical|Vent Close</t>
  </si>
  <si>
    <t>HVAC-FAR-FM-MFs-466</t>
  </si>
  <si>
    <t>ECS GN2 Payload Umbilical|Supply Mass Flow Meter</t>
  </si>
  <si>
    <t>HVAC-IS2-FM-MFs-467</t>
  </si>
  <si>
    <t>ECS GN2 S2 Umbilical|Supply Mass Flow Meter (Top)</t>
  </si>
  <si>
    <t>HVAC-IS1-FM-MFs-468</t>
  </si>
  <si>
    <t>ECS GN2 S2 Umbilical|Supply Mass Flow Meter (Bottom)</t>
  </si>
  <si>
    <t>HVAC-S1-FM-MFs-469</t>
  </si>
  <si>
    <t>ECS GN2 S1 Umbilical|Supply Mass Flow Meter</t>
  </si>
  <si>
    <t>N5-AI10</t>
  </si>
  <si>
    <t>Heater Outlet Temp|4-20mA (-50 to 150 deg C)</t>
  </si>
  <si>
    <t xml:space="preserve">Chromalux Controls S1 </t>
  </si>
  <si>
    <t>LOX-LT2-PVL-Pos-353</t>
  </si>
  <si>
    <t>LO2 Flow Control Skid MARS|C2 Top Return Line Pr Valve</t>
  </si>
  <si>
    <t>LOX-LT1-PVL-Pos-357</t>
  </si>
  <si>
    <t>LO2 Flow Control Skid MARS|C3 Top Return Line Pr Valve</t>
  </si>
  <si>
    <t>LOX-LT2-PVL-Pos-368</t>
  </si>
  <si>
    <t>LOX-LT1-PVL-Pos-374</t>
  </si>
  <si>
    <t>Setpoint 4-20mA| (0-100 deg C)</t>
  </si>
  <si>
    <t>C2-AI14</t>
  </si>
  <si>
    <t>LOX-LT1-PRS-Ps-456</t>
  </si>
  <si>
    <t>C2 Storage Vessel Pressure Sensor</t>
  </si>
  <si>
    <t>LOX-LT2-PRS-Ps-457</t>
  </si>
  <si>
    <t>C3 Storage Vessel Pressure Sensor</t>
  </si>
  <si>
    <t>LOX-LT1-LEV-LVL-458</t>
  </si>
  <si>
    <t>C2 Level Sensor</t>
  </si>
  <si>
    <t>LOX-LT2-LEV-LVL-459</t>
  </si>
  <si>
    <t>C3 Level Sensor</t>
  </si>
  <si>
    <t>LOX-LS1-RTD-Ts-460</t>
  </si>
  <si>
    <t>Skid 1 Return|Vent Temp Sensor</t>
  </si>
  <si>
    <t>02CXXX10</t>
  </si>
  <si>
    <t>LOX-LS2-RTD-Ts-461</t>
  </si>
  <si>
    <t>Skid 2 Return|Vent Temp Sensor</t>
  </si>
  <si>
    <t>02CXXX11</t>
  </si>
  <si>
    <t>LOX-LD-RTD-Ts-462</t>
  </si>
  <si>
    <t>LO2 Dump Valve Temp Sensor</t>
  </si>
  <si>
    <t>LOX-LG-RTD-Ts-463</t>
  </si>
  <si>
    <t>LO2 Loop Temp Sensor</t>
  </si>
  <si>
    <t>02CXXX13</t>
  </si>
  <si>
    <t>LOX-S2-RTD-Ts-464</t>
  </si>
  <si>
    <t>LO2 Strongback|Vent Temp Sensor</t>
  </si>
  <si>
    <t>02CXXX14</t>
  </si>
  <si>
    <t>N2-AI15</t>
  </si>
  <si>
    <t>GHe-He-FM-MFs-502</t>
  </si>
  <si>
    <t>Flow Meter 1 Helium</t>
  </si>
  <si>
    <t>GHe-He-FM-MFs-503</t>
  </si>
  <si>
    <t>Flow Meter 2 Helium</t>
  </si>
  <si>
    <t>N4-AI8</t>
  </si>
  <si>
    <t>MEC-CL-PRS-Ps-760</t>
  </si>
  <si>
    <t>N2-AI16</t>
  </si>
  <si>
    <t>BP-PRG-PRS-Ps-423</t>
  </si>
  <si>
    <t>Purge pressure|CB3</t>
  </si>
  <si>
    <t>BP-PRG-PRS-Ps-424</t>
  </si>
  <si>
    <t>Purge pressure|CB4</t>
  </si>
  <si>
    <t>BP-PRG-PRS-Ps-425</t>
  </si>
  <si>
    <t>Purge pressure|CB5</t>
  </si>
  <si>
    <t>BP-PRG-PRS-Ps-427</t>
  </si>
  <si>
    <t>Purge pressure|CB7</t>
  </si>
  <si>
    <t>WAS BP-PRG-PSW-Ps-427</t>
  </si>
  <si>
    <t>BP-PRG-PRS-Ps-428</t>
  </si>
  <si>
    <t>Purge pressure|CB8</t>
  </si>
  <si>
    <t>WAS BP-PRG-PSW-Ps-428</t>
  </si>
  <si>
    <t>BP-PRG-PRS-Ps-429</t>
  </si>
  <si>
    <t>Purge pressure|F1</t>
  </si>
  <si>
    <t>WAS BP-PRG-PSW-Ps-429</t>
  </si>
  <si>
    <t>BP-PRG-PRS-Ps-430</t>
  </si>
  <si>
    <t>Purge pressure|F2</t>
  </si>
  <si>
    <t>BP-PRG-PRS-Ps-431</t>
  </si>
  <si>
    <t>Purge pressure|F3</t>
  </si>
  <si>
    <t>WAS BP-PRG-PSW-Ps-431</t>
  </si>
  <si>
    <t>BP-PRG-PRS-Ps-433</t>
  </si>
  <si>
    <t>Purge pressure|S2</t>
  </si>
  <si>
    <t>WAS BP-PRG-PSW-Ps-433 ---  F5</t>
  </si>
  <si>
    <t>BP-PRG-PRS-Ps-434</t>
  </si>
  <si>
    <t>purge pressure|PL</t>
  </si>
  <si>
    <t>WAS BP-PRG-PSW-Ps-434 --- F6</t>
  </si>
  <si>
    <t>HYD-HD-MTR-B-504</t>
  </si>
  <si>
    <t>M3 Sump Run Feedback</t>
  </si>
  <si>
    <t>HYD-HD-MTR-B-505</t>
  </si>
  <si>
    <t>HYD-HPU-MTR-B-506</t>
  </si>
  <si>
    <t>HYD-HPU-MTR-B-507</t>
  </si>
  <si>
    <t>HYD-HPU-MTR-B-508</t>
  </si>
  <si>
    <t>GHe-He-PRS-Ps-509</t>
  </si>
  <si>
    <t>GHe Stage Backup Supply|Pressure Transducer</t>
  </si>
  <si>
    <t>GHe-He-PRS-Ps-510</t>
  </si>
  <si>
    <t>GHe Stage 1 Anti-Geysering|Supply Pressure Transducer</t>
  </si>
  <si>
    <t>GHe-He-PRS-Ps-511</t>
  </si>
  <si>
    <t>GHe Stage 2 Anti-Geysering|Supply Pressure Transducer</t>
  </si>
  <si>
    <t>N3-AI6</t>
  </si>
  <si>
    <t>WD-FLC-PRS-Ps-512</t>
  </si>
  <si>
    <t>WD-FLC-PRS-Ps-513</t>
  </si>
  <si>
    <t>WD-FLC-PRS-Ps-514</t>
  </si>
  <si>
    <t>GHe-STR-DVL-Pos-47</t>
  </si>
  <si>
    <t>GHe Source Pressure Supply|Backup Discrete Valve Controller</t>
  </si>
  <si>
    <t>N1-DI9</t>
  </si>
  <si>
    <t>GHe-STR-PXS-B-515</t>
  </si>
  <si>
    <t>GHe Source Pressure Supply Backup|Discrete Valve Controller Open</t>
  </si>
  <si>
    <t>GHe-STR-PXS-B-516</t>
  </si>
  <si>
    <t>GHe Source Pressure Supply Backup|Discrete Valve Controller Closed</t>
  </si>
  <si>
    <t>AG-LF-PXS-B-517</t>
  </si>
  <si>
    <t>GHe Stage 1 Anti-Geysering Low|Flow Valve Controller Open</t>
  </si>
  <si>
    <t>AG-LF-PXS-B-518</t>
  </si>
  <si>
    <t>GHe Stage 1 Anti-Geysering Low|Flow Valve Controller Closed</t>
  </si>
  <si>
    <t>AG-HF-PXS-B-519</t>
  </si>
  <si>
    <t>GHe Stage 1 Anti-Geysering High|Flow Valve Controller Open</t>
  </si>
  <si>
    <t>AG-HF-PXS-B-520</t>
  </si>
  <si>
    <t>GHe Stage 1 Anti-Geysering High|Flow Valve Controller Closed</t>
  </si>
  <si>
    <t>IGN-GOX-PRS-Ps-522</t>
  </si>
  <si>
    <t>GOX downstream Pressure Transducer</t>
  </si>
  <si>
    <t>IGN-CH4-PRS-Ps-527</t>
  </si>
  <si>
    <t>CH4 Downstream Pressure Transducer</t>
  </si>
  <si>
    <t>IGN-CH4-EV-B-523</t>
  </si>
  <si>
    <t>CH4 Upstream|Vent Return Solenoid</t>
  </si>
  <si>
    <t>CO2-MN-PRS-Ps-524</t>
  </si>
  <si>
    <t>KF-KI-LS-PxO-528</t>
  </si>
  <si>
    <t>Recirc Inlet Valve- Open</t>
  </si>
  <si>
    <t>KF-KI-LS-PxC-529</t>
  </si>
  <si>
    <t>Recirc Inlet Valve- Closed</t>
  </si>
  <si>
    <t>KF-KC-VSD-SPD-531</t>
  </si>
  <si>
    <t>RP1 VSD Speed Feedback</t>
  </si>
  <si>
    <t>KF-KC-VSD-B-533</t>
  </si>
  <si>
    <t>RP1 VSD Fault</t>
  </si>
  <si>
    <t>N2-DI10</t>
  </si>
  <si>
    <t>WD-RB-PXS-PxO-534</t>
  </si>
  <si>
    <t>WD-RB-PXS-PxC-535</t>
  </si>
  <si>
    <t>WD-AUX-PXS-PxO-536</t>
  </si>
  <si>
    <t>WD-AUX-PXS-PxC-537</t>
  </si>
  <si>
    <t>WD-RB-PXS-PxO-538</t>
  </si>
  <si>
    <t>WD-RB-PXS-PxC-539</t>
  </si>
  <si>
    <t>IGN-GOX-PXS-PxO-540</t>
  </si>
  <si>
    <t>GOX Umbilical|ISO valve Open</t>
  </si>
  <si>
    <t>IGN-GOX-PXS-PxC-541</t>
  </si>
  <si>
    <t>GOX Umbilical|ISO valve Closed</t>
  </si>
  <si>
    <t>IGN-CH4-PXS-PxO-542</t>
  </si>
  <si>
    <t>CH4 Primary Ignitor Supply|Discrete Valve Open</t>
  </si>
  <si>
    <t>IGN-CH4-PXS-PxC-543</t>
  </si>
  <si>
    <t>CH4 Primary Ignitor Supply|Discrete Valve Closed</t>
  </si>
  <si>
    <t>LOX-LG-DVL-B-544</t>
  </si>
  <si>
    <t>LOx Skid Purge</t>
  </si>
  <si>
    <t>LOX-LG-DVL-B-545</t>
  </si>
  <si>
    <t>Skid 1 Purge</t>
  </si>
  <si>
    <t>LOX-LG-DVL-B-546</t>
  </si>
  <si>
    <t>Skid 2 purge</t>
  </si>
  <si>
    <t>LOX-LG-DVL-B-547</t>
  </si>
  <si>
    <t>Fill Skid Purge</t>
  </si>
  <si>
    <t>N3-RTD3</t>
  </si>
  <si>
    <t>PTAC-1 Temp</t>
  </si>
  <si>
    <t>HYD-LFT-TC-Ts-548</t>
  </si>
  <si>
    <t>PTAC-2 Temp</t>
  </si>
  <si>
    <t>HYD-LFT-TC-Ts-549</t>
  </si>
  <si>
    <t>PTAC-3 Temp</t>
  </si>
  <si>
    <t>HYD-LFT-TC-Ts-550</t>
  </si>
  <si>
    <t>PTAC-4 Temp</t>
  </si>
  <si>
    <t>HYD-LFT-TC-Ts-551</t>
  </si>
  <si>
    <t>HYD-HD-LS-PxO-554</t>
  </si>
  <si>
    <t>Accumulator isolation valve state - HD2</t>
  </si>
  <si>
    <t>HYD-HD-LS-PxO-556</t>
  </si>
  <si>
    <t>Accumulator isolation valve state - HD4</t>
  </si>
  <si>
    <t>HYD-HD-LS-PxC-552</t>
  </si>
  <si>
    <t>Accumulator isolation HD Lock</t>
  </si>
  <si>
    <t>HYD-HD-LS-PxO-553</t>
  </si>
  <si>
    <t>HVAC-IS2-PRS-Ps-129</t>
  </si>
  <si>
    <t>Pressure Transducers. ECS|IS2 before the umb</t>
  </si>
  <si>
    <t>HVAC-IS1-PRS-Ps-128</t>
  </si>
  <si>
    <t>Pressure Transducers. ECS|IS1 before the umb</t>
  </si>
  <si>
    <t>HVAC-FAR-PRS-Ps-130</t>
  </si>
  <si>
    <t>Pressure Transducers. ECS|PL (Fairing) before the umb</t>
  </si>
  <si>
    <t>HVAC-PP-PRS-Ps-127</t>
  </si>
  <si>
    <t>Pressure Transducers. ECS|PP before the umb</t>
  </si>
  <si>
    <t>HYD-HD-LS-PxO-555</t>
  </si>
  <si>
    <t>Accumulator isolation|valve state - HD3</t>
  </si>
  <si>
    <t>KTP-S1-LS-PxO-558</t>
  </si>
  <si>
    <t>WFF RP-1 Purge|Stage 1 Open</t>
  </si>
  <si>
    <t>KTP-S1-LS-PxC-559</t>
  </si>
  <si>
    <t>WFF RP-1 Purge|Stage 1 Close</t>
  </si>
  <si>
    <t>KTP-S1-DVL-Pos-560</t>
  </si>
  <si>
    <t>WFF RP-1 Purge Stage 1|Discrete Control Valve</t>
  </si>
  <si>
    <t>HVAC-LCF-RTD-Ts-561</t>
  </si>
  <si>
    <t>Fairing LN2 Supply|Temperature Sensor</t>
  </si>
  <si>
    <t>HVAC-LC2.1-RTD-Ts-562</t>
  </si>
  <si>
    <t>Interstage 1 LN2 Supply|Temperature Sensor</t>
  </si>
  <si>
    <t>HVAC-LCF-RTD-Ts-564</t>
  </si>
  <si>
    <t>Stage 1 LN2 Supply|Temperature Sensor</t>
  </si>
  <si>
    <t>HVAC-LC2.2-RTD-Ts-563</t>
  </si>
  <si>
    <t>Interstage 2 LN2 Supply|Temperature Sensor</t>
  </si>
  <si>
    <t>HVAC-LC-DVL-B-565</t>
  </si>
  <si>
    <t>LN2 Isolation Valve Coil</t>
  </si>
  <si>
    <t>HVAC-LC-PXS-PxO-566</t>
  </si>
  <si>
    <t>HVAC-LC-PXS-PxC-567</t>
  </si>
  <si>
    <t>HVAC-LC-PRS-Ps-568</t>
  </si>
  <si>
    <t>LN2 Regulator Supply|Pressure Transducer</t>
  </si>
  <si>
    <t>KTP-S1-DVL-B-569</t>
  </si>
  <si>
    <t>GN2 High Flow isolation|Valve Coil</t>
  </si>
  <si>
    <t>KTP-S1-PXS-PxO-570</t>
  </si>
  <si>
    <t>GN2 High Flow isolation|Valve Open</t>
  </si>
  <si>
    <t>KTP-S1-PXS-PxC-571</t>
  </si>
  <si>
    <t>GN2 High Flow isolation|Valve Closed</t>
  </si>
  <si>
    <t>KTP-S2-PXS-PxC-577</t>
  </si>
  <si>
    <t>Kero Tank Purge Stage 2 Isolation Closed</t>
  </si>
  <si>
    <t>KTP-S2-PXS-PxO-576</t>
  </si>
  <si>
    <t>Kero Tank Purge Stage 2 Isolation Open</t>
  </si>
  <si>
    <t>KTP-S2-DVL-B-575</t>
  </si>
  <si>
    <t>Kero Tank Purge Stage2| Isolation Coil</t>
  </si>
  <si>
    <t>Inductive Proximity Sensor|S1 head</t>
  </si>
  <si>
    <t>KTP-S1-PSW-Ps-579</t>
  </si>
  <si>
    <t>High Flow GN2|Pressure Switch</t>
  </si>
  <si>
    <t>PRG-LX1-SLD-B-580</t>
  </si>
  <si>
    <t>WFF Erector GN2 Purge Gas|MP-114</t>
  </si>
  <si>
    <t>PRG-LX1-SLD-B-581</t>
  </si>
  <si>
    <t>PRG-LX1-SLD-B-582</t>
  </si>
  <si>
    <t>PRG-ECP-SLD-B-583</t>
  </si>
  <si>
    <t>PRG-FS1-SLD-B-584</t>
  </si>
  <si>
    <t>PRG-FS1-SLD-B-585</t>
  </si>
  <si>
    <t>PRG-FS1-SLD-B-586</t>
  </si>
  <si>
    <t>PRG-IGN-SLD-B-587</t>
  </si>
  <si>
    <t>KTP-S2-PRS-Ps-610</t>
  </si>
  <si>
    <t>Pressure Transducers|Kero S2</t>
  </si>
  <si>
    <t>KTP-S2-SLD-B-595</t>
  </si>
  <si>
    <t>VP500 Solenoid Block-1</t>
  </si>
  <si>
    <t>KTP-S2-SLD-B-596</t>
  </si>
  <si>
    <t>VP500 Solenoid Block-2</t>
  </si>
  <si>
    <t>05CXXX1</t>
  </si>
  <si>
    <t>KTP-S2-SLD-B-597</t>
  </si>
  <si>
    <t>VP500 Solenoid Block-3</t>
  </si>
  <si>
    <t>05CXXX2</t>
  </si>
  <si>
    <t>KTP-S2-SLD-B-598</t>
  </si>
  <si>
    <t>VP500 Solenoid Block-4</t>
  </si>
  <si>
    <t>05C143</t>
  </si>
  <si>
    <t>KTP-IS1-PRS-Ps-602</t>
  </si>
  <si>
    <t>KTP-S2-DVL-B-599</t>
  </si>
  <si>
    <t>WFF GN2/Kero|Purge Stage 2</t>
  </si>
  <si>
    <t>05CXXX3</t>
  </si>
  <si>
    <t>KTP-S2-PXS-PxO-600</t>
  </si>
  <si>
    <t>WFF GN2|Kero Purge Stage 2</t>
  </si>
  <si>
    <t>KTP-S2-PXS-PxC-601</t>
  </si>
  <si>
    <t>KTP-S1-DVL-B-606</t>
  </si>
  <si>
    <t>WFF Erector GN2 Purge Gas|Descrete valve</t>
  </si>
  <si>
    <t>KTP-S1-PXS-PxO-607</t>
  </si>
  <si>
    <t>Descrete valve between 05C020 &amp; 05C021</t>
  </si>
  <si>
    <t>KTP-S1-PXS-PxC-608</t>
  </si>
  <si>
    <t>KTP-IS1-PRS-Ps-605</t>
  </si>
  <si>
    <t>Pressure Transducers|Kero S1</t>
  </si>
  <si>
    <t>N1-AO3</t>
  </si>
  <si>
    <t>KTP-S2-PRS-Ps-609</t>
  </si>
  <si>
    <t>Electrical Regulator. Kero S2</t>
  </si>
  <si>
    <t>S2J-S2H-EV-B-603</t>
  </si>
  <si>
    <t>EV - Ejection GN2</t>
  </si>
  <si>
    <t>S2J-S2H-PRS-Ps-604</t>
  </si>
  <si>
    <t>PT - Ejection GN2</t>
  </si>
  <si>
    <t>KTP-S2-PRS-Ps-612</t>
  </si>
  <si>
    <t>Strongback N2 Purge Acc. PT</t>
  </si>
  <si>
    <t>C1-DO4</t>
  </si>
  <si>
    <t>FARU-TL-SLD-B-588</t>
  </si>
  <si>
    <t>24V to tilt, 0V to home</t>
  </si>
  <si>
    <t>FARU-INTF-SLD-B-589</t>
  </si>
  <si>
    <t>24V to engage, 0V to retract</t>
  </si>
  <si>
    <t>FARU-MA-SLD-B-590</t>
  </si>
  <si>
    <t>24V to vent, 0V to supply</t>
  </si>
  <si>
    <t>TBD 05C143XXX</t>
  </si>
  <si>
    <t>Fairing Umb Rev 2|Muscle Air Enable</t>
  </si>
  <si>
    <t>Fairing Umb Rev 2|Muscle Air Disable</t>
  </si>
  <si>
    <t>0V on proximity</t>
  </si>
  <si>
    <t>N4-RTD6</t>
  </si>
  <si>
    <t>FARU-INTF-TC-Ts-614</t>
  </si>
  <si>
    <t>Fairing ECS Interface|Umbilical Temperature 2</t>
  </si>
  <si>
    <t>FARU-INTF-TC-Ts-615</t>
  </si>
  <si>
    <t>Fairing ECS Interface|Umbilical Temperature 3</t>
  </si>
  <si>
    <t>WD-MN-PVL-Pos-616</t>
  </si>
  <si>
    <t>Main Flow Valve|Controller open</t>
  </si>
  <si>
    <t>WD-MN-PVL-B-445</t>
  </si>
  <si>
    <t>Main Flow Valve Controller</t>
  </si>
  <si>
    <t>BP-PRG-PRS-Ps-432</t>
  </si>
  <si>
    <t>Purge pressure|F4</t>
  </si>
  <si>
    <t>BP-PRG-PRS-Ps-426</t>
  </si>
  <si>
    <t>Purge pressure|CB9</t>
  </si>
  <si>
    <t>HYD-HD-LS-PxO-557</t>
  </si>
  <si>
    <t>Accumulator isolation|Valve state Open- HD1</t>
  </si>
  <si>
    <t>C2-AO7</t>
  </si>
  <si>
    <t>LOX-LS1-VSD-SPD-622</t>
  </si>
  <si>
    <t>LOX PUMP 1|VSD Speed Setpoint</t>
  </si>
  <si>
    <t>LOX-LS2-VSD-SPD-627</t>
  </si>
  <si>
    <t>LOX PUMP 2|VSD Speed Setpoint</t>
  </si>
  <si>
    <t>LOX-LS1-VSD-SPD-624</t>
  </si>
  <si>
    <t>LOX PUMP 1 VSD|Speed Feedback</t>
  </si>
  <si>
    <t>LOX-LS2-VSD-SPD-629</t>
  </si>
  <si>
    <t>LOX PUMP 2 VSD|Speed Feedback</t>
  </si>
  <si>
    <t>LOX-LS1-VSD-B-625</t>
  </si>
  <si>
    <t>LOX PUMP 1|VSD Fault</t>
  </si>
  <si>
    <t>LOX-LS2-VSD-B-630</t>
  </si>
  <si>
    <t>LOX PUMP|2 VSD Fault</t>
  </si>
  <si>
    <t>LOX-LS1-VSD-B-623</t>
  </si>
  <si>
    <t>LOX PUMP 1|VSD Enable Contact (Internal to VSD)</t>
  </si>
  <si>
    <t>LOX-LS1-CT-B-626</t>
  </si>
  <si>
    <t>LOX PUMP 1|Enable Contactor</t>
  </si>
  <si>
    <t>LOX-LS2-VSD-B-628</t>
  </si>
  <si>
    <t>LOX PUMP 2|VSD Enable Contact (Internal to VSD)</t>
  </si>
  <si>
    <t>LOX-LS2-CT-B-631</t>
  </si>
  <si>
    <t>LOX PUMP 2|Enable Contactor</t>
  </si>
  <si>
    <t>HYD-HPU-SS-B-633</t>
  </si>
  <si>
    <t>Pump 2 Stop</t>
  </si>
  <si>
    <t>HYD-HPU-SS-B-632</t>
  </si>
  <si>
    <t>Heater 4 Enable (110V = Enabled)</t>
  </si>
  <si>
    <t>HYD-HPU-SLD-B-647</t>
  </si>
  <si>
    <t>Bypass Valve Pressure|Testing HD Circuit</t>
  </si>
  <si>
    <t>GN2-PRG-EV-B-732</t>
  </si>
  <si>
    <t>S1 Pressure maintain|Blanket purge</t>
  </si>
  <si>
    <t>Was HYD-LFT-PVL-B-636|Strongback|Valve supply on</t>
  </si>
  <si>
    <t>was HYD-LFT-PVL-B-635|Top Clamp|Valve supply on</t>
  </si>
  <si>
    <t>Was HYD-LFT-PVL-B-637|Platform tilt|Valve supply on</t>
  </si>
  <si>
    <t>N5-AO8</t>
  </si>
  <si>
    <t>Demand Setpoint |4-20mA (0-100% duty cycle)</t>
  </si>
  <si>
    <t>IS1</t>
  </si>
  <si>
    <t>IS2</t>
  </si>
  <si>
    <t>FAR</t>
  </si>
  <si>
    <t>HYD-S1U-SLD-B-642</t>
  </si>
  <si>
    <t>Warm Oil|Circulation</t>
  </si>
  <si>
    <t>HYD-S1U-DVL-B-701</t>
  </si>
  <si>
    <t>S1 Umbilical high speed|Retract secondary</t>
  </si>
  <si>
    <t>S35,S37</t>
  </si>
  <si>
    <t>HYD-HDL-SLD-B-643</t>
  </si>
  <si>
    <t>Hold Down Cylinder Oil|Circulation Valve HD1</t>
  </si>
  <si>
    <t>HYD-HDL-SLD-B-644</t>
  </si>
  <si>
    <t>Hold Down Cylinder Oil|Circulation Valve HD2</t>
  </si>
  <si>
    <t>HYD-HDL-SLD-B-645</t>
  </si>
  <si>
    <t>Hold Down Cylinder Oil|Circulation Valve HD3</t>
  </si>
  <si>
    <t>HYD-HDL-SLD-B-646</t>
  </si>
  <si>
    <t>Hold Down Cylinder Oil|Circulation Valve HD4</t>
  </si>
  <si>
    <t>MEC-CL-SLD-B-649</t>
  </si>
  <si>
    <t>Clamp Lock - Energize|to Lock clamp</t>
  </si>
  <si>
    <t>HYD-HDL-SLD-B-784</t>
  </si>
  <si>
    <t>HYD-HDL-SLD-B-785</t>
  </si>
  <si>
    <t>HYD-LFT-SLD-B-648</t>
  </si>
  <si>
    <t>CPWR-RST-FX-CD-32</t>
  </si>
  <si>
    <t>GN2-PRG-EV-B-733</t>
  </si>
  <si>
    <t>S2 Pressure maintain|Blanket purge</t>
  </si>
  <si>
    <t>LOX-LD-RTD-Ts-711</t>
  </si>
  <si>
    <t>LOX-LD-RTD-Ts-712 02C957</t>
  </si>
  <si>
    <t>GN2-HF-PRS-Ps-731</t>
  </si>
  <si>
    <t>High Flow GN2 Pressure Transducer</t>
  </si>
  <si>
    <t>BP-PRG-PRS-Ps-422</t>
  </si>
  <si>
    <t>purge pressure|GOX/METHANE PANEL</t>
  </si>
  <si>
    <t xml:space="preserve">purge pressure - S1U </t>
  </si>
  <si>
    <t>TMP-ZT-RTD-Ts-718</t>
  </si>
  <si>
    <t>S1 Umbilical top cover|Temperature CB3</t>
  </si>
  <si>
    <t>TMP-ZT-RTD-Ts-719</t>
  </si>
  <si>
    <t>S1 Umbilical face|Temperature CB3</t>
  </si>
  <si>
    <t>HYD-HD-LS-PxC-640</t>
  </si>
  <si>
    <t>S1 Umbilical accumulator|bleed valve state</t>
  </si>
  <si>
    <t>HYD-HD-LS-PxO-641</t>
  </si>
  <si>
    <t>HD lock accumulator|bleed valve state</t>
  </si>
  <si>
    <t>HD 1 Accumulator|Temp</t>
  </si>
  <si>
    <t>HD 4 Accumulator|Temp</t>
  </si>
  <si>
    <t>RECIRC HEATING| Return Located near CB4</t>
  </si>
  <si>
    <t>Clamp Lock position|unlocked</t>
  </si>
  <si>
    <t>Clamp Lock position|locked</t>
  </si>
  <si>
    <t>MEC-CL-PRS-Ps-761</t>
  </si>
  <si>
    <t>FARU-MA-PRS-Ps-762</t>
  </si>
  <si>
    <t>Fairing Umbilical _ Muscle Pressure</t>
  </si>
  <si>
    <t>TMP-ZT-RTD-Ts-724</t>
  </si>
  <si>
    <t>Strongback face|Temp CB5</t>
  </si>
  <si>
    <t>TMP-ZT-RTD-Ts-725</t>
  </si>
  <si>
    <t>S2 Umbilical face|Temperature CB5</t>
  </si>
  <si>
    <t>Primary High Speed|Retract enable for</t>
  </si>
  <si>
    <t>S17,S19,S21,S23</t>
  </si>
  <si>
    <t>C1-DIO3 FPGA</t>
  </si>
  <si>
    <t>MEC-CL-PXS-PxO-654</t>
  </si>
  <si>
    <t>FPGA - Clamp Lock position|unlocked for</t>
  </si>
  <si>
    <t>MEC-CL-PXS-PxC-655</t>
  </si>
  <si>
    <t>FPGA - Clamp Lock position|locked for</t>
  </si>
  <si>
    <t>C1-DIO4 FPGA</t>
  </si>
  <si>
    <t>MEC-CL-PXS-PxO-656</t>
  </si>
  <si>
    <t>MEC-CL-PXS-PxC-657</t>
  </si>
  <si>
    <t>MEC-CL-PXS-PxO-658</t>
  </si>
  <si>
    <t>FPGA - Clamp Left|Open for</t>
  </si>
  <si>
    <t>HYD-LFT-PXS-PxO-241</t>
  </si>
  <si>
    <t>MEC-CL-PXS-PxO-659</t>
  </si>
  <si>
    <t>FPGA - Clamp Right|Open for</t>
  </si>
  <si>
    <t>HYD-LFT-PXS-PxO-242</t>
  </si>
  <si>
    <t>MEC-CL-PXS-PxC-660</t>
  </si>
  <si>
    <t>FPGA - Clamp Left|Closed for</t>
  </si>
  <si>
    <t>HYD-LFT-PXS-PxC-243</t>
  </si>
  <si>
    <t>MEC-CL-PXS-PxC-661</t>
  </si>
  <si>
    <t>FPGA - Clamp Right|Closed for</t>
  </si>
  <si>
    <t>HYD-LFT-PXS-PxC-244</t>
  </si>
  <si>
    <t>MEC-HD-PXS-PxE-662</t>
  </si>
  <si>
    <t>FPGA - Hold Down 1|Extended for</t>
  </si>
  <si>
    <t>MEC-HD-PXS-PxR-663</t>
  </si>
  <si>
    <t>FPGA - Hold Down 1|Retracted for</t>
  </si>
  <si>
    <t>MEC-HD-PXS-PxE-664</t>
  </si>
  <si>
    <t>FPGA - Hold Down 2|Extended for</t>
  </si>
  <si>
    <t>MEC-HD-PXS-PxR-665</t>
  </si>
  <si>
    <t>FPGA - Hold Down 2|Retracted for</t>
  </si>
  <si>
    <t>MEC-HD-PXS-PxE-666</t>
  </si>
  <si>
    <t>FPGA - Hold Down 3|Extended for</t>
  </si>
  <si>
    <t>MEC-HD-PXS-PxR-667</t>
  </si>
  <si>
    <t>FPGA - Hold Down 3|Retracted for</t>
  </si>
  <si>
    <t>MEC-HD-PXS-PxE-668</t>
  </si>
  <si>
    <t>FPGA - Hold Down 4|Extended for</t>
  </si>
  <si>
    <t>MEC-HD-PXS-PxR-669</t>
  </si>
  <si>
    <t>FPGA - Hold Down 4|Retracted for</t>
  </si>
  <si>
    <t>MEC-CL-SSR-B-700</t>
  </si>
  <si>
    <t>FPGA - Clamp Unlock|Enable SSR</t>
  </si>
  <si>
    <t>HYD-S1U-SSR-B-706</t>
  </si>
  <si>
    <t xml:space="preserve">FPGA - HD circuit bleed|Enable for </t>
  </si>
  <si>
    <t>HYD-HDL-SSR-B-707</t>
  </si>
  <si>
    <t>FPGA - Isolate HDL1 Enable|for HYD-HDL-DVL-B-261</t>
  </si>
  <si>
    <t>C1-AI17 FPGA</t>
  </si>
  <si>
    <t>MEC-LFT-INC-INCL-682</t>
  </si>
  <si>
    <t>FPGA - Erector/Strongback|inclinometer 1 for</t>
  </si>
  <si>
    <t>MEC-LFT-INC-INCL-683</t>
  </si>
  <si>
    <t>FPGA - Erector/Strongback|inclinometer 2 for</t>
  </si>
  <si>
    <t>MEC-LFT-INC-INCL-684</t>
  </si>
  <si>
    <t>FPGA - Erector/Strongback|inclinometer 3 for</t>
  </si>
  <si>
    <t>MEC-LFT-PVL-CD-685</t>
  </si>
  <si>
    <t>FPGA - Clamp Spool PVA|Position Feedback for</t>
  </si>
  <si>
    <t>MEC-LFT-PVL-CD-686</t>
  </si>
  <si>
    <t>FPGA - Strongback Spool|PVA Feedback for</t>
  </si>
  <si>
    <t>MEC-LFT-PVL-CD-687</t>
  </si>
  <si>
    <t>FPGA - Lift Spool PVA|Feedback for</t>
  </si>
  <si>
    <t>MEC-HDL-PXS-PxO-670</t>
  </si>
  <si>
    <t>FPGA - Hold Down Lock 1|Armed for</t>
  </si>
  <si>
    <t>MEC-HDL-PXS-PxO-671</t>
  </si>
  <si>
    <t>FPGA - Hold Down Lock 2|Armed for</t>
  </si>
  <si>
    <t>MEC-HDL-PXS-PxO-672</t>
  </si>
  <si>
    <t>FPGA - Hold Down Lock 3|Armed for</t>
  </si>
  <si>
    <t>MEC-HDL-PXS-PxO-673</t>
  </si>
  <si>
    <t>FPGA - Hold Down Lock 4|Armed for</t>
  </si>
  <si>
    <t>MEC-HDL-PXS-PxC-674</t>
  </si>
  <si>
    <t>FPGA - Hold Down Lock 1|Safe for</t>
  </si>
  <si>
    <t>MEC-HDL-PXS-PxC-675</t>
  </si>
  <si>
    <t>FPGA - Hold Down Lock 2|Safe for</t>
  </si>
  <si>
    <t>MEC-HDL-PXS-PxC-676</t>
  </si>
  <si>
    <t>FPGA - Hold Down Lock 3|Safe for</t>
  </si>
  <si>
    <t>MEC-HDL-PXS-PxC-677</t>
  </si>
  <si>
    <t>FPGA - Hold Down Lock 4|Safe for</t>
  </si>
  <si>
    <t>MEC-S1U-PXS-Px-678</t>
  </si>
  <si>
    <t>FPGA - S1U Retract 1|NO Prox for</t>
  </si>
  <si>
    <t>MEC-S1U-PXS-Px-679</t>
  </si>
  <si>
    <t>FPGA - S1U Retract 2|NO Prox for</t>
  </si>
  <si>
    <t>MEC-S1U-PXS-Px-680</t>
  </si>
  <si>
    <t>FPGA - S1U Retract 3|NO Prox for</t>
  </si>
  <si>
    <t>MEC-S1U-PXS-Px-681</t>
  </si>
  <si>
    <t>FPGA - S1U Retract 4|NO Prox for</t>
  </si>
  <si>
    <t>MEC-LFT-SSR-B-688</t>
  </si>
  <si>
    <t>FPGA - Clamp Spool PVA|Power Relay for</t>
  </si>
  <si>
    <t xml:space="preserve"> HYD-LFT-PVL-Pos-152</t>
  </si>
  <si>
    <t>MEC-LFT-SSR-B-689</t>
  </si>
  <si>
    <t>FPGA - Strongback Spool PVA|Power Relay for</t>
  </si>
  <si>
    <t>MEC-LFT-SSR-B-690</t>
  </si>
  <si>
    <t>FPGA - Lift Spool PVA|Power Relay for</t>
  </si>
  <si>
    <t>MEC-S2U-SSR-B-691</t>
  </si>
  <si>
    <t>FPGA - S2 Jettison Enable PVA|Power SSR for</t>
  </si>
  <si>
    <t>MEC-HD-SSR-B-692</t>
  </si>
  <si>
    <t>FPGA - Hold Down slow|movement enable for</t>
  </si>
  <si>
    <t>S25.2,S26.2,S27.2,S28.2</t>
  </si>
  <si>
    <t>MEC-S1U-SSR-B-693</t>
  </si>
  <si>
    <t>FPGA - S1 Umbilical slow movement|enable for HYD-S1U-DVL-B-208/209</t>
  </si>
  <si>
    <t>S30.1, S30.2</t>
  </si>
  <si>
    <t>MEC-HD-SSR-B-694</t>
  </si>
  <si>
    <t>FPGA - Hold Down Fast Retract|Primary Enable for</t>
  </si>
  <si>
    <t>MEC-HD-SSR-B-695</t>
  </si>
  <si>
    <t>FPGA - Hold Down Fast Retract|Secondary Enable for</t>
  </si>
  <si>
    <t>MEC-S1U-SSR-B-696</t>
  </si>
  <si>
    <t>FPGA - S1 Umbilical Fast Retract Primary|Enable for HYD-S1U-DVL-B-207</t>
  </si>
  <si>
    <t>S34,S36</t>
  </si>
  <si>
    <t>ASP--SSR-B-698</t>
  </si>
  <si>
    <t>FPGA - Shore Power|Isolate Enable for</t>
  </si>
  <si>
    <t>ISO-EN</t>
  </si>
  <si>
    <t>MEC-CL-SSR-B-699</t>
  </si>
  <si>
    <t>FPGA - Clamp|Lock Enable</t>
  </si>
  <si>
    <t>Relays</t>
  </si>
  <si>
    <t>AG-S2-DVL-Pos-776</t>
  </si>
  <si>
    <t xml:space="preserve">Anti Geysering - Stage 2 umbilical </t>
  </si>
  <si>
    <t>MEC-S1U-SSR-B-697</t>
  </si>
  <si>
    <t>FPGA - S1 Umbilical Fast Retract|Secondary Enable for</t>
  </si>
  <si>
    <t>HYD-HDL-SSR-B-709</t>
  </si>
  <si>
    <t>FPGA - Isolate HDL3 Enable|for HYD-HDL-DVL-B-263</t>
  </si>
  <si>
    <t>HYD-HDL-SSR-B-710</t>
  </si>
  <si>
    <t>FPGA - Isolate HDL4 Enable|for HYD-HDL-DVL-B-264</t>
  </si>
  <si>
    <t>MEC-S1U-SSR-B-702</t>
  </si>
  <si>
    <t>FPGA - S1 Umbilical accumulator|bleed Enable for</t>
  </si>
  <si>
    <t>MEC-S1U-SSR-B-703</t>
  </si>
  <si>
    <t>FPGA - Prevalve close Enable|for HYD-S1U-DVL-B-204</t>
  </si>
  <si>
    <t>HYD-S1U-SSR-B-704</t>
  </si>
  <si>
    <t>FPGA - Prevalve backup invert actuator|state Enable for HYD-S1U-DVL-B-205</t>
  </si>
  <si>
    <t>HYD-S1U-SSR-B-705</t>
  </si>
  <si>
    <t>FPGA - S1 Umbilical slow movement Enable|for HYD-S1U-DVL-B-210/211</t>
  </si>
  <si>
    <t>HYD-HDL-SSR-B-708</t>
  </si>
  <si>
    <t>FPGA - Isolate HDL2 Enable|for HYD-HDL-DVL-B-262</t>
  </si>
  <si>
    <t>HYD-HD-SSR-B-716</t>
  </si>
  <si>
    <t>FPGA - Hold Down slow extend|enable and HD recirc Valves</t>
  </si>
  <si>
    <t>S25.1,S26.1,S27.1,S28.1,S47.1,S47.2,S47.3,S47.4</t>
  </si>
  <si>
    <t>N2-RTD07</t>
  </si>
  <si>
    <t>TMP-ZT-RTD-Ts-720</t>
  </si>
  <si>
    <t>IGN store bottle|Tempurature CB3</t>
  </si>
  <si>
    <t>S1 Umbilical (A) Temp</t>
  </si>
  <si>
    <t>HD 2 Accumulator|Temp</t>
  </si>
  <si>
    <t>HD 3 Accumulator Temp - CB3</t>
  </si>
  <si>
    <t>TMP-ZT-RTD-Ts-765</t>
  </si>
  <si>
    <t xml:space="preserve">S1 Umbilical (B) Temp </t>
  </si>
  <si>
    <t>Review Notes</t>
  </si>
  <si>
    <t>By:</t>
  </si>
  <si>
    <t>Dave Sheerin / Ian Curtis</t>
  </si>
  <si>
    <t>Date</t>
  </si>
  <si>
    <t>Document/Section Reference</t>
  </si>
  <si>
    <t>Subsection Reference</t>
  </si>
  <si>
    <t>Find Number (if known)</t>
  </si>
  <si>
    <t>Comment</t>
  </si>
  <si>
    <t>Resolution
(Accept/Accept w/ Comment/Reject/Withdrawn)</t>
  </si>
  <si>
    <t>fix notes</t>
  </si>
  <si>
    <t>LOX</t>
  </si>
  <si>
    <t>02CXXX4 to become 02C382 is missing. This is a Proportional valve
LO2 Flow Control Skid MARS|C2 Top Return Line Pr Valve</t>
  </si>
  <si>
    <t>Fixed JP 01/04/2019</t>
  </si>
  <si>
    <t>02Cxxx2 to become 02C383 is missing. This was a DV and is now a Proportional valve
LO2 Flow Control Skid MARS|C3 Top Return Line Pr Valve</t>
  </si>
  <si>
    <t>02CXXX1 Tank 1, Skid 2. Still to be labeled by GP. This became 02C348</t>
  </si>
  <si>
    <t>Fixed JP 01/04/2020</t>
  </si>
  <si>
    <t>02CXXX3 Tank 2, Skid 1 Still to be labeled by GP. This became 02C349</t>
  </si>
  <si>
    <t>02C331, functional purpose was changed and is now up to date in the component description</t>
  </si>
  <si>
    <t>Fixed - DS 27/03/2019</t>
  </si>
  <si>
    <t>02Cxxx8, is a PV to become 02C384. This is near the S1 umbilcal. So should come from to electrical vault and it's DI's to go back to CB3</t>
  </si>
  <si>
    <t>02C334, location is not here. Move to ground by erector. So control box is in the electrical vault</t>
  </si>
  <si>
    <t>Fixed-I/O moved to CB1 JP 29/03/19</t>
  </si>
  <si>
    <t>02C335 is in the strongback. Move IO's as needed.</t>
  </si>
  <si>
    <t>Fixed- Input CB5, Output CB1 JP 28/03/19</t>
  </si>
  <si>
    <t>02C336 wrong location should be in SB</t>
  </si>
  <si>
    <t>Fixed- Input CB5, Output CB1 JP 01/04/19</t>
  </si>
  <si>
    <t>02C337 Wrong Location. Move to ground by erector. So the electrical vault is it's source/destination</t>
  </si>
  <si>
    <t>Fixed in drawings- JP 28/03/19</t>
  </si>
  <si>
    <t>02C338 is in the strongback. Move IO's as needed.</t>
  </si>
  <si>
    <t>Fixed-Input CB5, Output CB1 JP 28/03/19</t>
  </si>
  <si>
    <t>02C341, I just relocated this valve to the LOx dump location. Shouldn't need anything else changed</t>
  </si>
  <si>
    <t>Checked JP 01/04/2019</t>
  </si>
  <si>
    <t>02C702 was wrongly identified. Should have been 02C705 and is now changed. Desciption also changed</t>
  </si>
  <si>
    <t>Fixed JP 28/03/19</t>
  </si>
  <si>
    <t>02C702 Missing from SWE</t>
  </si>
  <si>
    <t>02C703 Missing from SWE. Is using Modbus</t>
  </si>
  <si>
    <t>02C704 Missing from SWE. Is using Modbus</t>
  </si>
  <si>
    <t>02C921 Change location of PT to the ground beside the erector. CB1 or CB2 will be the more appropriate cabinet</t>
  </si>
  <si>
    <t>Fixed- Input CB5 JP 28/03/19</t>
  </si>
  <si>
    <t>02C922 Change location to SB</t>
  </si>
  <si>
    <t>02C923 Change location to SB</t>
  </si>
  <si>
    <t>02C934 Change location to Erector Ground</t>
  </si>
  <si>
    <t>02C930 To be added. Control location in CB8. Sensor Location in the tank area</t>
  </si>
  <si>
    <t>Added JP 01/04/2019 New Card AI14</t>
  </si>
  <si>
    <t>02C931 To be added. Control location in CB8. Sensor Location in the tank area</t>
  </si>
  <si>
    <t>02C932 To be added. Control location in CB8. Sensor Location in the tank area</t>
  </si>
  <si>
    <t>02C933 To be added. Control location in CB8. Sensor Location in the tank area</t>
  </si>
  <si>
    <t>02CXXX10 To be added. Skid 1 Return Vent Temp Sensor</t>
  </si>
  <si>
    <t xml:space="preserve">Added JP 01/04/2019 </t>
  </si>
  <si>
    <t>02CXXX11 To be added. Skid 2 Return Vent Temp Sensor</t>
  </si>
  <si>
    <t>02CXXX12 To be added. LO2 Dump Valve Temp Sensor</t>
  </si>
  <si>
    <t>02CXXX13 To be added. LO2 Loop Temp Sensor</t>
  </si>
  <si>
    <t>02CXXX14 To be added. LO2 Strongback Vent Temp Sensor</t>
  </si>
  <si>
    <t>GHe</t>
  </si>
  <si>
    <t>04C706- CB3</t>
  </si>
  <si>
    <t>Added JP 02/04/2019 New Card AI15</t>
  </si>
  <si>
    <t>04C707- CB3</t>
  </si>
  <si>
    <t>Elec</t>
  </si>
  <si>
    <t>XXXX</t>
  </si>
  <si>
    <t>ADDED BUT NEEDS TO BE DEFINED  GK 18/04/2019</t>
  </si>
  <si>
    <t>ECS</t>
  </si>
  <si>
    <t>Temp Sensors ECS at the S1 &amp; S2 heads?. They may be ts-117 and 118</t>
  </si>
  <si>
    <t>02C701 will now be modbus</t>
  </si>
  <si>
    <t>02C705 will now be modbus</t>
  </si>
  <si>
    <t>RP1</t>
  </si>
  <si>
    <t>01C705, missing from SWE. Is also using Modbus</t>
  </si>
  <si>
    <t>Fixed JP 04/04/2019</t>
  </si>
  <si>
    <t>ECS/HVAC</t>
  </si>
  <si>
    <t>05C708, missing from SWE. Likely to me 4-20mA. Goes back to the elec vault</t>
  </si>
  <si>
    <t>ADDED TO CB2 29/03/19</t>
  </si>
  <si>
    <t>05C709, missing from SWE. Likely to me 4-20mA. Goes back to the elec vault</t>
  </si>
  <si>
    <t>05C710, missing from SWE. Likely to me 4-20mA. Goes back to the elec vault</t>
  </si>
  <si>
    <t>05C711, missing from SWE. Likely to me 4-20mA. Goes back to the elec vault</t>
  </si>
  <si>
    <t>Chromalux Controls S1. Create a black box for these. See the IO list for the outputs to the Chromalux Control Box (CB10)</t>
  </si>
  <si>
    <t>100% done</t>
  </si>
  <si>
    <t>Chromalux Controls IS1. Create a black box for these. See the IO list for the outputs to the Chromalux Control Box (CB10)</t>
  </si>
  <si>
    <t xml:space="preserve">Chromalux Controls IS2. Create a black box for these. See the IO list for the outputs to the Chromalux Control Box (CB10) </t>
  </si>
  <si>
    <t>Chromalux Controls Fairing. Create a black box for these. See the IO list for the outputs to the Chromalux Control Box (CB10)</t>
  </si>
  <si>
    <t>Deluge</t>
  </si>
  <si>
    <t>41C305</t>
  </si>
  <si>
    <t>Don't change but label as (For Future)</t>
  </si>
  <si>
    <t>41C307</t>
  </si>
  <si>
    <t>To be removed. Check with Ian.</t>
  </si>
  <si>
    <t>Change input location to North Vault</t>
  </si>
  <si>
    <t>Fixed JP 03/04/2019</t>
  </si>
  <si>
    <t>Change input location to North Vault. Do not delete though. A new PT 41CXXX3 will be going in after 41C309 and can use this spot</t>
  </si>
  <si>
    <t>Change input location to North Vault. Do not delete though. A new PT 41CXXX2 will be going in after 41C308 and can use this spot</t>
  </si>
  <si>
    <t>Change input location to North Vault. Do not delete CB3 component. May be used for another PT eventually</t>
  </si>
  <si>
    <t>PT to go in after 41C306. Wired back to CB4</t>
  </si>
  <si>
    <t>PT to go in after 41C308. Wired back to CB3. Can take the place of 41C904</t>
  </si>
  <si>
    <t>PT to go in after 41C309. Wired back to CB3. Can take the place of 41C905</t>
  </si>
  <si>
    <t>GHe/AntiGeysering</t>
  </si>
  <si>
    <t>This is now a DCVN/O. So it will need proximity/limit switch feedback also</t>
  </si>
  <si>
    <t>These look to be wrongly labeled and in wrong location. Was 04C169. Now moved to erctor near the F2 box</t>
  </si>
  <si>
    <t>Fixed DS&amp;GK 2/04/19</t>
  </si>
  <si>
    <t>These look to be wrongly labeled and in wrong location. Was 04C170. Now moved to erctor near the F2 box</t>
  </si>
  <si>
    <t>This needs to be relocated. The Electronic valve is located nearest the F2 box</t>
  </si>
  <si>
    <t>04C344</t>
  </si>
  <si>
    <t>Same DO that triggers 04C343. This is to be comfirmed. BUT the EV still needs to be placed and wired near the F2 box</t>
  </si>
  <si>
    <t>Missing from SWE. This is a AI to be wired to CB3</t>
  </si>
  <si>
    <t>LC-2 GN2 UTILITY SKID</t>
  </si>
  <si>
    <t>This appears to now be removed from the latest P&amp;ID. Check with Ian. This was in an old BOM also.</t>
  </si>
  <si>
    <t>Removed JP 04/04/2019</t>
  </si>
  <si>
    <t>04C339</t>
  </si>
  <si>
    <t>Has a different find number from the latest P&amp;ID. Check with Ian. THIS IS NOW 04C343</t>
  </si>
  <si>
    <t>has a different find number from the latest P&amp;ID. Check with Ian THIS IS NOW 04C344</t>
  </si>
  <si>
    <t>04c345</t>
  </si>
  <si>
    <t>Need DI feedbacks. Back to CB3</t>
  </si>
  <si>
    <t>04c346</t>
  </si>
  <si>
    <t>VSDs/VFDs</t>
  </si>
  <si>
    <t>LOx Motor Speed Control</t>
  </si>
  <si>
    <t>02CXXX (LO2 Pump 1), 02CXXX (LO2 Pump 2)</t>
  </si>
  <si>
    <r>
      <rPr>
        <b/>
        <sz val="10"/>
        <rFont val="Arial"/>
      </rPr>
      <t xml:space="preserve">All VSDs need the following signalling
</t>
    </r>
    <r>
      <rPr>
        <sz val="10"/>
        <color rgb="FF000000"/>
        <rFont val="Arial"/>
      </rPr>
      <t>Speed set point 4-20mA (AO)
Speed feed fack 4-20mA (AI)
Enable signal 24V (DO)
Fault Indication 24V (DI)</t>
    </r>
  </si>
  <si>
    <t>Added JO 03/04/2019</t>
  </si>
  <si>
    <t>GOX</t>
  </si>
  <si>
    <t>can be fixed by just changing names rather than relocaion of components</t>
  </si>
  <si>
    <t xml:space="preserve">This is in SWE but no longer in P&amp;ID. Delete name but keep component and wiring for something else </t>
  </si>
  <si>
    <t>CH4</t>
  </si>
  <si>
    <t>15C314</t>
  </si>
  <si>
    <t>Change to 15C380 and update description to GOX Ignitor Upstream Vent Return Solenoid</t>
  </si>
  <si>
    <t>DS 03/04/2019</t>
  </si>
  <si>
    <t>Change location to gas pad. Update descrption</t>
  </si>
  <si>
    <t>new PT to go into CB3</t>
  </si>
  <si>
    <t xml:space="preserve">Added JP 05/04/2019 </t>
  </si>
  <si>
    <t>Fixed JP 05/04/2019</t>
  </si>
  <si>
    <t>Change location to Erector. Update descrption</t>
  </si>
  <si>
    <t>Missing Prox Feedback</t>
  </si>
  <si>
    <t xml:space="preserve">Fixed JP 10/04/2019 </t>
  </si>
  <si>
    <t>Missing Prox Feedback. Relocate to the erector</t>
  </si>
  <si>
    <t>New electronic valve - Upstream Vent Return Solenoid</t>
  </si>
  <si>
    <t>CO2</t>
  </si>
  <si>
    <t>New PT. CO2 Flow indicating Pressure Transducer. Back to CB2 in the elec vault.</t>
  </si>
  <si>
    <t>Moisture sensor missing from SWE</t>
  </si>
  <si>
    <t xml:space="preserve">Added JP 08/04/2019 </t>
  </si>
  <si>
    <t>DI feedbacks missing from this valve</t>
  </si>
  <si>
    <t>Kero Motor Speed Control</t>
  </si>
  <si>
    <t>Speed set point 4-20mA (AO)</t>
  </si>
  <si>
    <t>Speed feed fack 4-20mA (AI)</t>
  </si>
  <si>
    <t>Enable signal 24V (DO)</t>
  </si>
  <si>
    <t>Fault Indication 24V (DI)</t>
  </si>
  <si>
    <t>Gas Helium F5/GN2 SKID</t>
  </si>
  <si>
    <t>Missing PT from SWE. "GN2 Utility Skid Inlet Pressure Transducer". Looks like this was 05C947</t>
  </si>
  <si>
    <t>HYDRAULICS</t>
  </si>
  <si>
    <t>THERE ARE SEVERAL CHANGES. SPECIFICALLY IN THE RELOCATION OF THE ITEMS FOR FROM THE F2 TO THE F3 BOX</t>
  </si>
  <si>
    <t>Reloacate to CB4. Filter is behind this box too</t>
  </si>
  <si>
    <t xml:space="preserve">Fixed JP 15/04/2019 </t>
  </si>
  <si>
    <t>Several more relocations required in the CB3 box. They are closer to the F2 box. Check the Markup</t>
  </si>
  <si>
    <t>Relabel this from SWAC-1 to include O</t>
  </si>
  <si>
    <t xml:space="preserve">Fixed JP 16/04/2019 </t>
  </si>
  <si>
    <t>Add this to the existing limit switch. This can be one device like the Topwox limit switches</t>
  </si>
  <si>
    <t>Relabel this from SWAC-2 to include O</t>
  </si>
  <si>
    <t>Relabel this from SWAC-3 to include O</t>
  </si>
  <si>
    <t>Relabel this from SWAC-4 to include O</t>
  </si>
  <si>
    <t>This should be in CB3 not CB4. But this should be able to poggy back on SWAC-5-C that is already going into CB3</t>
  </si>
  <si>
    <t>This is fine</t>
  </si>
  <si>
    <t>SWAC-5</t>
  </si>
  <si>
    <t>Old part. Not used any more. Leave as a spare inout at CB4</t>
  </si>
  <si>
    <t xml:space="preserve">Warm Oil Circulation. Hold Down Lock Block. </t>
  </si>
  <si>
    <t xml:space="preserve">Fixed GK 18/04/2019 </t>
  </si>
  <si>
    <t>41C303</t>
  </si>
  <si>
    <t>Not completed yet. Output from CB1, Input to closest node CB6 change to prop. valve</t>
  </si>
  <si>
    <t>Done on 147 GK 18/04/2019</t>
  </si>
  <si>
    <t>GN2 / KERO PURGE STAGE 1</t>
  </si>
  <si>
    <t>LN2 Isolation Discrete Valve missing . (needs prox feedback also) CB3</t>
  </si>
  <si>
    <t xml:space="preserve">Fixed GK 17/04/2019 </t>
  </si>
  <si>
    <t>PT needs to be added. CB5 (in SWE  - naming to be checked)</t>
  </si>
  <si>
    <t xml:space="preserve">Fixed JP 17/04/2019 </t>
  </si>
  <si>
    <t>Fixed JP 17/04/2019</t>
  </si>
  <si>
    <t>PT needs to be added. CB3 (in SWE  - naming to be checked)</t>
  </si>
  <si>
    <t>GN2</t>
  </si>
  <si>
    <t>05C950</t>
  </si>
  <si>
    <t>Moisture sensor to be added to CB3. NOTE: This single sensor replaces three.</t>
  </si>
  <si>
    <t>Check this is in the drawing. Should be there already</t>
  </si>
  <si>
    <t>New Addtion in F1 south gas pad. Output from CB1 and feedback required</t>
  </si>
  <si>
    <t>Added JP 17/04/2019</t>
  </si>
  <si>
    <t>TS Needed on the LN2 inject. Relabel of HVAC-LC-RTD-Ts-115. Located in the gas pad</t>
  </si>
  <si>
    <t>DS 17/04/2019</t>
  </si>
  <si>
    <t xml:space="preserve">TS Needed on the Fairing LN2 inject. </t>
  </si>
  <si>
    <t>03C940</t>
  </si>
  <si>
    <t>TS Needed on the interstage 1 LN2 inject. Confirm the naming. P&amp;ID have this as 939. Continue with 940 for now.</t>
  </si>
  <si>
    <t>TS Needed on the interstage 2 LN2 inject</t>
  </si>
  <si>
    <t>TS Needed on the Stage 1 LN2 inject</t>
  </si>
  <si>
    <t>LN2 Supply Pressure To be added in South Gas Pad via F1</t>
  </si>
  <si>
    <t>DELUGE</t>
  </si>
  <si>
    <t>Move to CB3</t>
  </si>
  <si>
    <t>Move to F2</t>
  </si>
  <si>
    <t>Move to CB4</t>
  </si>
  <si>
    <t>GN2 / KERO PURGE STAGE 2</t>
  </si>
  <si>
    <t>Missing from strongback. Output from CB1 and feedback to CB5 required</t>
  </si>
  <si>
    <t>Added JP 18/04/2019</t>
  </si>
  <si>
    <t>GN2 (HIGH FLOW)</t>
  </si>
  <si>
    <t>GN2 High Flow isolation Valve. Prox feedback also needed. Output CB1. Inputs CB3 via F2.</t>
  </si>
  <si>
    <t>05C948XXX</t>
  </si>
  <si>
    <t>High Flow GN2 Pressure Transducer. This is located CB3. This is a duplicate name. Will get updated after addition</t>
  </si>
  <si>
    <t>05C951XXX</t>
  </si>
  <si>
    <t>High Flow GN2 Pressure Transducer. This is located CB5. This is a duplicate name. Will get updated after addition</t>
  </si>
  <si>
    <t>05C351-4</t>
  </si>
  <si>
    <t>Combine all the PVs that are on seperate cables into one cable per device</t>
  </si>
  <si>
    <t>Fixed JP 18/04/2019</t>
  </si>
  <si>
    <t>05C347-50</t>
  </si>
  <si>
    <t>Where is this getting it's 0V from. It looks like this was left off.</t>
  </si>
  <si>
    <t>GK 17/04/2019</t>
  </si>
  <si>
    <t>There needs to be some split in the loading of the fuses. Nearly everything is on FX30</t>
  </si>
  <si>
    <t>GK 23/04/2019</t>
  </si>
  <si>
    <t>AO and DO cards has been requested to be powered of FX32</t>
  </si>
  <si>
    <t>Some weirdness going on with the the AI card and it's pin designation on the schematic</t>
  </si>
  <si>
    <t>New addition. Not on the P&amp;ID yet but this is going to go in to CB7</t>
  </si>
  <si>
    <t>DS 17/04/2019 line dwg done GK23/04/2019</t>
  </si>
  <si>
    <t>Hydrualics</t>
  </si>
  <si>
    <t>C34 hydraulics needs to be added- see marked up line diagram CB4</t>
  </si>
  <si>
    <t xml:space="preserve">GK 18/04/2019 </t>
  </si>
  <si>
    <t>S16 Hydraulics needs to be moved -  CB4</t>
  </si>
  <si>
    <t>GN2 Purge</t>
  </si>
  <si>
    <t>Missing in drawings &amp; IO ist</t>
  </si>
  <si>
    <t xml:space="preserve">GK 29/04/2019 </t>
  </si>
  <si>
    <t>Dave to confirm - -bouble tagging!! - see line 125 by Jacob</t>
  </si>
  <si>
    <t>New PS ADD TO CB3</t>
  </si>
  <si>
    <t>MP-120 (Jettison GN2)</t>
  </si>
  <si>
    <t>EV - Ejection GN2 in CB5</t>
  </si>
  <si>
    <t>Added JP 30/04/2019</t>
  </si>
  <si>
    <t>05C952XXX</t>
  </si>
  <si>
    <t>PT - Ejection GN2 in CB5</t>
  </si>
  <si>
    <t>05CXXX MP113</t>
  </si>
  <si>
    <t>3 Way descrete valve between 05C020 &amp; 05C021 (TBC)</t>
  </si>
  <si>
    <t>PT missing from the P&amp;ID as well as SWE unknown find number MP115</t>
  </si>
  <si>
    <t>Added JP 30/04/2019 labelled as 05CXXX MP115.1</t>
  </si>
  <si>
    <t>05CXXX MP115 PT downstream of 05C143</t>
  </si>
  <si>
    <t>Added JP 30/04/2019 labelled as 05CXXX MP115.2</t>
  </si>
  <si>
    <t>See the IO sheet for description</t>
  </si>
  <si>
    <t>Added JP 01/05/2019</t>
  </si>
  <si>
    <t>TBD (05C143??)</t>
  </si>
  <si>
    <t>updated GK 16/05/2019</t>
  </si>
  <si>
    <t>Fairing RTD 2</t>
  </si>
  <si>
    <t>There are three temp sensors in the Fairing head. This will mean a new RTD card</t>
  </si>
  <si>
    <t>Fairing RTD 3</t>
  </si>
  <si>
    <t>Same as above</t>
  </si>
  <si>
    <t>It appears that there is no part number assigned to the Modbus gateways. Please assign them to they can appear in the BOM</t>
  </si>
  <si>
    <t>Fixed JP 01/05/2019</t>
  </si>
  <si>
    <t>02C703 and 704</t>
  </si>
  <si>
    <t>It also appears that there is a gateway in the LOX area that has end devices beside the electrical vault. Needs changing</t>
  </si>
  <si>
    <t>move from CB4 to CB5 on HVAC line diagram and update the cable number</t>
  </si>
  <si>
    <t>Added</t>
  </si>
  <si>
    <t>Fixed JP 03/05/2019</t>
  </si>
  <si>
    <t>Fixed JP 02/05/2019</t>
  </si>
  <si>
    <t>AFTER SUBMISSION</t>
  </si>
  <si>
    <t>CB4.DC101</t>
  </si>
  <si>
    <t>1B/1T</t>
  </si>
  <si>
    <t>REVERSE</t>
  </si>
  <si>
    <t>ROTATE TOP WITH BOTTOM</t>
  </si>
  <si>
    <t>Fixed GK 23/05/2019</t>
  </si>
  <si>
    <t>5T/5B</t>
  </si>
  <si>
    <t>7B/7T</t>
  </si>
  <si>
    <t>2B/2T</t>
  </si>
  <si>
    <t>CB1.DC130</t>
  </si>
  <si>
    <t>WAS 1.1T/1.1B - 16-1T/B</t>
  </si>
  <si>
    <t>REMOVE .DOT NUMBERS</t>
  </si>
  <si>
    <t>DOT NUMBERING REMOVED ON 2 LEVEL TERMINALS</t>
  </si>
  <si>
    <t>DO1-4, DO1-2 &amp; DI9.1</t>
  </si>
  <si>
    <t>08K004 &amp; 08K005</t>
  </si>
  <si>
    <t>Sump pump control needs to be relocated from the south to north vault. These starters are not in the south vault</t>
  </si>
  <si>
    <t>Done GK 11/06/2019</t>
  </si>
  <si>
    <t>Change of the description on the Hyd pumps in CB6</t>
  </si>
  <si>
    <t>DS 24/05</t>
  </si>
  <si>
    <t>panels</t>
  </si>
  <si>
    <t>All panel purge pressure switchs to change to pressuer transmitters</t>
  </si>
  <si>
    <t>Done GK 27/05/2019</t>
  </si>
  <si>
    <t>LOX MOTORS</t>
  </si>
  <si>
    <t>M9/M10</t>
  </si>
  <si>
    <t>LOX MOTOR ADDED TO LINE DIAGRAM</t>
  </si>
  <si>
    <t>Fixed GK 24/05/2019</t>
  </si>
  <si>
    <t>LOX MOTOR Control (SS and Modbus) to be completed. ACS355 is the SS. FMBA-01 is the Modbus add on</t>
  </si>
  <si>
    <t>Done GK 10/06/2019</t>
  </si>
  <si>
    <t>Check all modbus gateways and their field devices for cabling improvments</t>
  </si>
  <si>
    <t>BP-PRG-PSW-Ps-423</t>
  </si>
  <si>
    <t>change to BP-PRG-PRS-Ps-423</t>
  </si>
  <si>
    <t>BP-PRG-PSW-Ps-430</t>
  </si>
  <si>
    <t>change to BP-PRG-PRS-Ps-430</t>
  </si>
  <si>
    <t>BP-PRG-PSW-Ps-424</t>
  </si>
  <si>
    <t>change to BP-PRG-PRS-Ps-424</t>
  </si>
  <si>
    <t>BP-PRG-PSW-Ps-425</t>
  </si>
  <si>
    <t>change to BP-PRG-PRS-Ps-425</t>
  </si>
  <si>
    <t>BP-PRG-PSW-Ps-433 ---  F5</t>
  </si>
  <si>
    <t>change to BP-PRG-PRS-Ps-433</t>
  </si>
  <si>
    <t>Fixed GK 27/05/2019</t>
  </si>
  <si>
    <t>BP-PRG-PSW-Ps-434 --- F6</t>
  </si>
  <si>
    <t>change to BP-PRG-PRS-Ps-436</t>
  </si>
  <si>
    <t>BP-PRG-PSW-Ps-431</t>
  </si>
  <si>
    <t>change to BP-PRG-PRS-Ps-431</t>
  </si>
  <si>
    <t>BP-PRG-PSW-Ps-432</t>
  </si>
  <si>
    <t>change to BP-PRG-PRS-Ps-432</t>
  </si>
  <si>
    <t>BP-PRG-PSW-Ps-427</t>
  </si>
  <si>
    <t>change to BP-PRG-PRS-Ps-427</t>
  </si>
  <si>
    <t>BP-PRG-PSW-Ps-428</t>
  </si>
  <si>
    <t>change to BP-PRG-PRS-Ps-428</t>
  </si>
  <si>
    <t>BP-PRG-PSW-Ps-429</t>
  </si>
  <si>
    <t>change to BP-PRG-PRS-Ps-429</t>
  </si>
  <si>
    <t>BP-PRG-PSW-Ps-426</t>
  </si>
  <si>
    <t>change to BP-PRG-PRS-Ps-426</t>
  </si>
  <si>
    <t>BP-PRG-PSW-Ps-422</t>
  </si>
  <si>
    <t>change to BP-PRG-PRS-Ps-422</t>
  </si>
  <si>
    <t>Scheme 7</t>
  </si>
  <si>
    <t>D4</t>
  </si>
  <si>
    <t>05C961</t>
  </si>
  <si>
    <t>Changed the symbol to show Serial. Was down as MODBUS</t>
  </si>
  <si>
    <t>DS 27/05/2019</t>
  </si>
  <si>
    <t>CB3</t>
  </si>
  <si>
    <t>AI16</t>
  </si>
  <si>
    <t>AI16 was added to the design in CB3</t>
  </si>
  <si>
    <t>The PLC Chassis where dropped of the CB1 and CB7 panel layouts due to SWE error</t>
  </si>
  <si>
    <t>CB4</t>
  </si>
  <si>
    <t>DI3-1</t>
  </si>
  <si>
    <t>Several of the hydraulic system prox sensors find numbers required updating</t>
  </si>
  <si>
    <t>CB1</t>
  </si>
  <si>
    <t>DIO1-1</t>
  </si>
  <si>
    <t>This is the clamp circuit not the lift circuit, this is a naming issue nothing else   -LFT changed to CL</t>
  </si>
  <si>
    <t>Done GK 2/07/2019</t>
  </si>
  <si>
    <t>Revised this section to include RJ45 termination points for the AFTS cabling to the serial converter.</t>
  </si>
  <si>
    <t>DONE</t>
  </si>
  <si>
    <t>DOEN</t>
  </si>
  <si>
    <t>CB9</t>
  </si>
  <si>
    <t>Shunt Change for the fans. Was down as a 2A. Needs to change to a 5A (886-2061)</t>
  </si>
  <si>
    <t>Done GK 13/06/2019</t>
  </si>
  <si>
    <t>Added Component details for the inclinometers</t>
  </si>
  <si>
    <t>The 02C702 device is actually closer to the cross country area. Needs to be moved.</t>
  </si>
  <si>
    <t>CB8</t>
  </si>
  <si>
    <t>AO7 card added to rack - VSD ref</t>
  </si>
  <si>
    <t>LOX-GOX-VSD-SPD-622</t>
  </si>
  <si>
    <t>LOX PUMP 1 VSD Speed Setpoint</t>
  </si>
  <si>
    <t>LOX-GOX-VSD-B-623</t>
  </si>
  <si>
    <t>LOX PUMP 1 VSD Enable Contact (Internal to VSD)</t>
  </si>
  <si>
    <t>LOX-GOX-VSD-SPD-624</t>
  </si>
  <si>
    <t>LOX PUMP 1 VSD Speed Feedback</t>
  </si>
  <si>
    <t>LOX-GOX-VSD-B-625</t>
  </si>
  <si>
    <t>LOX PUMP 1 VSD Fault</t>
  </si>
  <si>
    <t>LOX-GOX-CT-B-626</t>
  </si>
  <si>
    <t>LOX PUMP 1 Enable Contactor</t>
  </si>
  <si>
    <t>LOX-GOX-VSD-SPD-627</t>
  </si>
  <si>
    <t>LOX PUMP 2 VSD Speed Setpoint</t>
  </si>
  <si>
    <t>LOX-GOX-VSD-B-628</t>
  </si>
  <si>
    <t>LOX PUMP 2 VSD Enable Contact (Internal to VSD)</t>
  </si>
  <si>
    <t>LOX-GOX-VSD-SPD-629</t>
  </si>
  <si>
    <t>LOX PUMP 2 VSD Speed Feedback</t>
  </si>
  <si>
    <t>LOX-GOX-VSD-B-630</t>
  </si>
  <si>
    <t>LOX PUMP 2 VSD Fault</t>
  </si>
  <si>
    <t>LOX-GOX-CT-B-631</t>
  </si>
  <si>
    <t>LOX PUMP 2 Enable Contactor</t>
  </si>
  <si>
    <t>Hydraulics - Pump 1 Stop added</t>
  </si>
  <si>
    <t>Hydraulics - Pump 2 Stop added</t>
  </si>
  <si>
    <t>HD 1 &amp; 4 Sump Pump moved to North vault CB6</t>
  </si>
  <si>
    <t>HD 2 &amp; 3 Sump Pump moved to North vault CB6</t>
  </si>
  <si>
    <t>M3 Sump Run Feedback moved to North vault CB6</t>
  </si>
  <si>
    <t>M4 Sump Run Feedback moved to North vault CB6</t>
  </si>
  <si>
    <t>CB6 Cabinat</t>
  </si>
  <si>
    <t>Find number Chanhe 01C725 to 01C705</t>
  </si>
  <si>
    <t>05C963 in BOM but not yet on P&amp;ID's</t>
  </si>
  <si>
    <t>05C952XXX - change to 05C963</t>
  </si>
  <si>
    <t>KTP-S1-PRS-Ps-579</t>
  </si>
  <si>
    <t>05C948XXX change to 05C959 AND CHANGE FRP PT TO PS</t>
  </si>
  <si>
    <t>FARU-FAR-TC-Ts-614</t>
  </si>
  <si>
    <t>INTERCHANGE change to Fairing</t>
  </si>
  <si>
    <t>FARU-FAR-TC-Ts-615</t>
  </si>
  <si>
    <t>Change from S7 to S9</t>
  </si>
  <si>
    <t>Done GK 19/06/2019</t>
  </si>
  <si>
    <t>Signal conditioner added to AI</t>
  </si>
  <si>
    <t>Done GK 20/06/2019</t>
  </si>
  <si>
    <t>HYD-LFT-PVL-B-636</t>
  </si>
  <si>
    <t>DO swithcing relay added to 24v supply</t>
  </si>
  <si>
    <t>Change from S6 to S8</t>
  </si>
  <si>
    <t>HYD-LFT-PVL-B-635</t>
  </si>
  <si>
    <t>Change from S5 to S7</t>
  </si>
  <si>
    <t>HYD-LFT-PVL-B-637</t>
  </si>
  <si>
    <t>S47</t>
  </si>
  <si>
    <t>S47 (x4) In the latest hydraulics there 4 are new valves</t>
  </si>
  <si>
    <t>Done GK 27/06/2019 LINE 292-295</t>
  </si>
  <si>
    <t>Switch input required for the remote activation</t>
  </si>
  <si>
    <t>RTDs to go all over the erector. New RTD Cards in each of the erector nodes</t>
  </si>
  <si>
    <t>Remote control connections</t>
  </si>
  <si>
    <t>Is a PT and TC on P&amp;ID and BOM &amp; Drawings RTD was HVAC-IS1-RTD-Ts-124 and changed to 05C942 )</t>
  </si>
  <si>
    <t>AO8</t>
  </si>
  <si>
    <t>New Analog out[ut Card Added</t>
  </si>
  <si>
    <t>Done GK 24/06/2019</t>
  </si>
  <si>
    <t>Chromalox Setpoint PID added</t>
  </si>
  <si>
    <t>Check ALL EREGs that they are wired correctly. Do they need 24vdc supplies?</t>
  </si>
  <si>
    <t>HVAC-STR-PRS-Ps-120</t>
  </si>
  <si>
    <t>ECS Regulator Pressure - is this the same as 03C937</t>
  </si>
  <si>
    <t>HVAC-STR-PRS-Ps-121</t>
  </si>
  <si>
    <t>ECS Regulator Temperature  is this the same as 03C936</t>
  </si>
  <si>
    <t>MEC-CL-SLD-B-639</t>
  </si>
  <si>
    <t>BP-PRG-PRS-Ps-638 To be finished</t>
  </si>
  <si>
    <t>Done GK 7/07/2019</t>
  </si>
  <si>
    <t xml:space="preserve">Split the RPSU Isolators into two groups. Isolate PSU bank A and B seperately. And use the two relay in series "safety" setup  </t>
  </si>
  <si>
    <t>Done GK 6/07/2019</t>
  </si>
  <si>
    <t>C9 missing from Hydraulics</t>
  </si>
  <si>
    <t>Done GK 28/06/2019</t>
  </si>
  <si>
    <t>S4 missing from Hydraulics</t>
  </si>
  <si>
    <t>C28 Missing</t>
  </si>
  <si>
    <t>Done GK 27/06/2019</t>
  </si>
  <si>
    <t>SW29 missing</t>
  </si>
  <si>
    <t>SW40 Missing</t>
  </si>
  <si>
    <t>analog cards moved from C1 to N1</t>
  </si>
  <si>
    <t>AO1 moved from C1 to N1</t>
  </si>
  <si>
    <t>AO2 moved from C1 to N1</t>
  </si>
  <si>
    <t xml:space="preserve">AO3 moved from C1 to N1 </t>
  </si>
  <si>
    <t>Change the Px to the Appropriate PxO or PxC on the IO and the drawings</t>
  </si>
  <si>
    <t>Go through the BOM and allocate the Find numbers to the dPTs.</t>
  </si>
  <si>
    <t>Hold Down Cylinder Oil Circulation Valve HD1 ADDED</t>
  </si>
  <si>
    <t>12 x AVR DC Breakers to change part no</t>
  </si>
  <si>
    <t>PWRSUP-AVRACK|E-STOP input</t>
  </si>
  <si>
    <t>AVR Safety removed</t>
  </si>
  <si>
    <t>TS-02c956 MISSING</t>
  </si>
  <si>
    <t>Done GK 5/07/2019</t>
  </si>
  <si>
    <t>TS-02c957 MISSING</t>
  </si>
  <si>
    <t>PTAC-4 missing (in drawings but was deleted out of IO list no 191)</t>
  </si>
  <si>
    <t xml:space="preserve">fixed GK 3/07/2019	</t>
  </si>
  <si>
    <t>"HEAT" output to turn on the heating element on the hyd power pack is not in the drawings</t>
  </si>
  <si>
    <t>DO's &amp; AI's moved to FPGA cards</t>
  </si>
  <si>
    <t>TC-02C953. This is not correctly wired. This needs a 4-20mA converter.</t>
  </si>
  <si>
    <t xml:space="preserve"> AVR Rocket Power Isolation Enable PSU B added</t>
  </si>
  <si>
    <t>Done GK 4/07/2019</t>
  </si>
  <si>
    <t>Moved from DO1 to DO3</t>
  </si>
  <si>
    <t>Temperature probe allocations</t>
  </si>
  <si>
    <t>Done GK 11/07/2019</t>
  </si>
  <si>
    <t>S1 umbilical top cover temperature CB3</t>
  </si>
  <si>
    <t>S1 umbilical face temperature CB3</t>
  </si>
  <si>
    <t>IGN store bottle temp CB3</t>
  </si>
  <si>
    <t>Umbilical temp sensor CB3</t>
  </si>
  <si>
    <t>HYD_Ring_Ts</t>
  </si>
  <si>
    <t>Hydraulic pressure ring temp CB4</t>
  </si>
  <si>
    <t>HYD_Comp_Ts</t>
  </si>
  <si>
    <t>Hydraulic compartment temp TBD</t>
  </si>
  <si>
    <t>Strongback face temp CB5</t>
  </si>
  <si>
    <t>HD 2 Accumulator Temp - CB3</t>
  </si>
  <si>
    <t>HD 1 Accumulator Temp - CB4</t>
  </si>
  <si>
    <t>HD 4 Accumulator Temp - CB4</t>
  </si>
  <si>
    <t>RECIRC HEATING - Return Located near CB4</t>
  </si>
  <si>
    <t>There are 3x18cores going from the vault to CB5 and only one is shown in the page 4 line diagram.-1,-2,-4</t>
  </si>
  <si>
    <t>Done DS 02/08/2019</t>
  </si>
  <si>
    <t>MEC-CL-SLD-B-417 Cable identification not on the line diagram</t>
  </si>
  <si>
    <t>Clamp prox left/right identification not in there.</t>
  </si>
  <si>
    <t>in the page 4 line diagram, -3 is missing (CB1/cb4-3)</t>
  </si>
  <si>
    <t>WC29 is the wrong name. Check the hyd BOM. Also there is no link to the line diagram.</t>
  </si>
  <si>
    <t>05C956 missing form drawing</t>
  </si>
  <si>
    <t>Done DS 31/07/2019</t>
  </si>
  <si>
    <t>05C950 missing from drawing. NOT TO BE ADDED. In Ian's latest P&amp;ID review he has removed it.</t>
  </si>
  <si>
    <t>05C962 Barrier Missing</t>
  </si>
  <si>
    <t>05C344 Missing</t>
  </si>
  <si>
    <t>05C339 Missing</t>
  </si>
  <si>
    <t>Panel layout &amp; IO List</t>
  </si>
  <si>
    <t>Change the order of the cards in CB3 to be (starting from left to right), RTD02, RTD07, DI02, DI10, AI3, AI4, AI15, AI16.</t>
  </si>
  <si>
    <t>Done GK 05/09/2019</t>
  </si>
  <si>
    <t>Change the order of the cards in CB4 to be (starting from left to right), RTD03, DI3, AI5, AI6.</t>
  </si>
  <si>
    <t>Change the order of the cards in CB1 to be (starting from left to right), DO1, DO2, DO3 DO4, DIO1 DIO3 DIO4 AI17.</t>
  </si>
  <si>
    <t>Change the order of the cards in CB2 to be (starting from left to right), RTD1, DI1, DI9, AI1, AI2, AO1, AO2, AO3.</t>
  </si>
  <si>
    <t>Change the order of the cards in CB5 to be (starting from left to right), RTD4, RTD6, DI4, AI7, AI8.</t>
  </si>
  <si>
    <t>Change the order of the cards in CB6 to be (starting from left to right), DI5, DO5, AI9, AI10, AO4, AO8.</t>
  </si>
  <si>
    <t>Change the order of the cards in CB7 to be (starting from left to right), DI7, DO6, AI12, AO5.</t>
  </si>
  <si>
    <t>Change the order of the cards in CB8 to be (starting from left to right), RTD5,DI6, DI8, DO7, AI11, AI14, AO6, AO7.</t>
  </si>
  <si>
    <t>Change the order of the cards in CB9 to be (starting from left to right), DIO2, AI13, TC01.</t>
  </si>
  <si>
    <t>I have found an issue: Node 1, Slot 1 Chan 3 drawing doesn't match the IO Sheet</t>
  </si>
  <si>
    <t>Fixed GK 09/09/2019</t>
  </si>
  <si>
    <t>wrong text on PLC description</t>
  </si>
  <si>
    <t>Node 1 Slot 2 DI_09 is shown as spare in drawing but HVAC-PP-COT-ST-135 in the IO sheet</t>
  </si>
  <si>
    <t>Note in IO Code sais removed</t>
  </si>
  <si>
    <t>Scheme 115, Rev 6</t>
  </si>
  <si>
    <t>HYD-HPU-DVL-B-142 &amp; HYD-HPU-DVL-B-143 are swapped in drawings &amp; IO sheet</t>
  </si>
  <si>
    <t>Fixed in IO List</t>
  </si>
  <si>
    <t>Node 1, Slot 2 DI00 and DI01 are swapped</t>
  </si>
  <si>
    <t>NO and NC positions on valve</t>
  </si>
  <si>
    <t>Node 5, Slot 2. DO5 channels 07, 08, 09 do not match IO sheet</t>
  </si>
  <si>
    <t>Is enable in dawings but Start/stop in I/O list</t>
  </si>
  <si>
    <t>N5-DO5-3</t>
  </si>
  <si>
    <t>remove output 647 ( this is a bypass valve for a pressure reducer that is only intended to be used for hydraulic commissioning</t>
  </si>
  <si>
    <t>Noted GK 09/09/2019</t>
  </si>
  <si>
    <t>Noted in drawings</t>
  </si>
  <si>
    <t>Node 2 RTD2 Chan 0 is HVAC-PP-RTD-Ts-214 on the drawing and HVAC-PP-RTD-Ts-119 on the IO Sheet</t>
  </si>
  <si>
    <t>wrong text on Drawing</t>
  </si>
  <si>
    <t>Node 2 RDT2 Chan 5 is shown as a spare on the IO sheet and HVAC-PP-RTD-Ts-119 on the drawing</t>
  </si>
  <si>
    <t>Deleted in drawing</t>
  </si>
  <si>
    <t>Node 2 DI_2.1 is HYD-HD-LS-PxO-193 on the drawing but HYD-HD-LS-PxC-193 in the IO sheet</t>
  </si>
  <si>
    <t>Node 2 AI3 BP-PRG-PRS-Ps-432 (AI11) is swapped with HYD-S1U-PXS-Px-578 compared to the IO Sheet</t>
  </si>
  <si>
    <t>Node 3 DI3 Chan 3 has a typo it current reads HYD-HD-LS-Px-201 but the IO sheet is HYD-HD-LS-PxO-201</t>
  </si>
  <si>
    <t>Hydraulics to confirm</t>
  </si>
  <si>
    <t>Why is HVBH output fuse (FX46) commond up with so many other outputs in CB1, Should this not be on its own?</t>
  </si>
  <si>
    <t>DC102. There are several terminals bridged and should not be</t>
  </si>
  <si>
    <t>LOX-LD-RTD-Ts-711 now deleted out of I/O sheet by James</t>
  </si>
  <si>
    <t>TS-02c956 was added as LOX-LD-RTD-Ts-711 and should be on LOX-Ls1-RTD-Ts-460 and moved to RTD5 card</t>
  </si>
  <si>
    <t>2nd Fixed GK 11/09/2019</t>
  </si>
  <si>
    <t>LOX-LD-RTD-Ts-712 now deleted out of I/O sheet by James</t>
  </si>
  <si>
    <t>TS-02c957 was added as LOX-LD-RTD-Ts-712 and should be on LOX-Ls2-RTD-Ts-461 and moved to RTD5 card</t>
  </si>
  <si>
    <t>GN2-PRG-PRS-Ps-53 renamed - was originally designated as part of the gas helium system. Drawings to be updated</t>
  </si>
  <si>
    <t>SITOP10 Power supply Trip moved from CB2 to CB9 (DIO2)</t>
  </si>
  <si>
    <t>Done GK 20/09/2019</t>
  </si>
  <si>
    <t xml:space="preserve"> Sitop 10 was moved to CB9 to isolate 24v because of 200VDC pottential short</t>
  </si>
  <si>
    <t>Rev 8 changes below</t>
  </si>
  <si>
    <t>Scheme Altered</t>
  </si>
  <si>
    <t>Find Number (If applicable)</t>
  </si>
  <si>
    <t>Completed by</t>
  </si>
  <si>
    <t>Scheme 186</t>
  </si>
  <si>
    <t>05C970,971,972</t>
  </si>
  <si>
    <t>Additions for the Fairing ECS Umbilical</t>
  </si>
  <si>
    <t>DS 09/10/2019</t>
  </si>
  <si>
    <t>Scheme 183 &amp;169</t>
  </si>
  <si>
    <t>Change of the location of the PT-3 sensor from CB5 to CB4</t>
  </si>
  <si>
    <t>DS 15/10/2019</t>
  </si>
  <si>
    <t>Scheme 102</t>
  </si>
  <si>
    <t>IO Channel Name Correction</t>
  </si>
  <si>
    <t>Scheme 101</t>
  </si>
  <si>
    <t>Scheme 142</t>
  </si>
  <si>
    <t>Scheme 143</t>
  </si>
  <si>
    <t>05C934</t>
  </si>
  <si>
    <t>Scheme 252</t>
  </si>
  <si>
    <t>DC01-AVR01</t>
  </si>
  <si>
    <t>Rearranged the block layout to keep sequential</t>
  </si>
  <si>
    <t>DC106</t>
  </si>
  <si>
    <t>Reordered to be in sequence. Reallocated term 7, 8 and 9. To 6,7,8 respectively</t>
  </si>
  <si>
    <t>DC105</t>
  </si>
  <si>
    <t>Inserted Spare blocks to keep this block sequential</t>
  </si>
  <si>
    <t>Scheme 253</t>
  </si>
  <si>
    <t>CB3.DC350</t>
  </si>
  <si>
    <t>Added the full marshalling strip for WCCB3/S1-1 and made the block sequential</t>
  </si>
  <si>
    <t>Need to find space to physically insert these in the panel</t>
  </si>
  <si>
    <t>Scheme 254</t>
  </si>
  <si>
    <t>CB4.DC-DI3</t>
  </si>
  <si>
    <t>Scheme 256</t>
  </si>
  <si>
    <t>CB6.DC650</t>
  </si>
  <si>
    <t>Scheme 258</t>
  </si>
  <si>
    <t>CB8.DC801</t>
  </si>
  <si>
    <t>Added spare blocks to account for missing numbering &amp; rearranged to make numbering sequential.</t>
  </si>
  <si>
    <t>Scheme 259</t>
  </si>
  <si>
    <t>CB9.DC118</t>
  </si>
  <si>
    <t>Scheme 111</t>
  </si>
  <si>
    <t>F1, F2, F3. F4</t>
  </si>
  <si>
    <t>PNs and terminals clarified</t>
  </si>
  <si>
    <t>Scheme 175</t>
  </si>
  <si>
    <t>Scheme 193</t>
  </si>
  <si>
    <t>Full schematic of S1U box has been designed. This is the responsibility of RL to build</t>
  </si>
  <si>
    <t>CB1.DC-AI17</t>
  </si>
  <si>
    <t>This has been incorrectly physically labelled as AI7. Needs to be changed in the field to AI17.</t>
  </si>
  <si>
    <t>CB3.DC-AI15</t>
  </si>
  <si>
    <t>Rearranged the drawing to match the as built</t>
  </si>
  <si>
    <t>CB3.DC300</t>
  </si>
  <si>
    <t>There are wrong labels on the wiring</t>
  </si>
  <si>
    <t>CB3.DC301</t>
  </si>
  <si>
    <t>CB3.DC302</t>
  </si>
  <si>
    <t>Some terminals are missing from the as built 31ISO006 &amp; 31ISO009 are also missing</t>
  </si>
  <si>
    <t>CB4.DC450</t>
  </si>
  <si>
    <t>Added blocks to match the as built</t>
  </si>
  <si>
    <t>FX21,22,23,24</t>
  </si>
  <si>
    <t>CB1.DC-AI1 &amp; AI2</t>
  </si>
  <si>
    <t>DS 18/10/2019</t>
  </si>
  <si>
    <t>Scheme 189</t>
  </si>
  <si>
    <t>DC550</t>
  </si>
  <si>
    <t>Rearranged for +ve to be on the top rail and 3 additional blocks added</t>
  </si>
  <si>
    <t>DS 16/10/2019</t>
  </si>
  <si>
    <t>Removed components not being used. Were listed as spare</t>
  </si>
  <si>
    <t xml:space="preserve">Scheme 46 </t>
  </si>
  <si>
    <t>Proximity sensors were changed to IF505A type.</t>
  </si>
  <si>
    <t>As a result 31ISO005 and 31ISO310 were bypassed.</t>
  </si>
  <si>
    <t>Terminals were changed to 3 tier.</t>
  </si>
  <si>
    <t>Cable changed to Haz C1D2 M12 cable</t>
  </si>
  <si>
    <t>Scheme 37</t>
  </si>
  <si>
    <t xml:space="preserve">Find number assigned </t>
  </si>
  <si>
    <t>Scheme 39</t>
  </si>
  <si>
    <t>Scheme 42</t>
  </si>
  <si>
    <t>05C390, 391</t>
  </si>
  <si>
    <t>Rev 8</t>
  </si>
  <si>
    <t>Scheme 194</t>
  </si>
  <si>
    <t>This find number is used on the GN2 utility skid as a pressure sensor. Appears in the drawings as an RTD</t>
  </si>
  <si>
    <t>Scheme 51</t>
  </si>
  <si>
    <t>appears in drawings as a FPGA gate relay, this channel number is allocated to lift off detect in the IO sheet</t>
  </si>
  <si>
    <t>46, 151, 174, 175, 189, 191</t>
  </si>
  <si>
    <t>31ISO001-014</t>
  </si>
  <si>
    <t>The Isolation barriers show the wrong channel matching. 4.1&amp;4.2 match with 3.2&amp;3.1. 5.2&amp;5.1 match with 2.2@2.1</t>
  </si>
  <si>
    <t>Scheme 68</t>
  </si>
  <si>
    <t>reconnected wires which where disconnected at some point</t>
  </si>
  <si>
    <t>Several</t>
  </si>
  <si>
    <t>I updated the 0v ring and the Power cabling to reflecet the as built</t>
  </si>
  <si>
    <t>DS 20/11/2019</t>
  </si>
  <si>
    <t>29, 62</t>
  </si>
  <si>
    <t>Added mods to bring a vehicle services fuse feed to S1</t>
  </si>
  <si>
    <t>Rev 8 changes</t>
  </si>
  <si>
    <t>Scheme 35</t>
  </si>
  <si>
    <t xml:space="preserve">DC106 </t>
  </si>
  <si>
    <t>Changed a terminal</t>
  </si>
  <si>
    <t>F</t>
  </si>
  <si>
    <t>Need to find space to physically insert extra terminals in the panel</t>
  </si>
  <si>
    <t>Scheme 107</t>
  </si>
  <si>
    <t>S5, S6</t>
  </si>
  <si>
    <t>Cables &amp; partnumber pins changed</t>
  </si>
  <si>
    <t>GK 22/10/2019</t>
  </si>
  <si>
    <t>38,  200, 189, 17, 193, 196, 265</t>
  </si>
  <si>
    <t>05C318, 05C318,  S2-Umb_Ts, 05C953, 05C954, S2J-S2H-PXS-PxE-437, S2J-S2H-PXS-PxR-438</t>
  </si>
  <si>
    <t>Alterations needed to make the segregation of head and vehicle services possible</t>
  </si>
  <si>
    <t>DS 12/12/2019</t>
  </si>
  <si>
    <t>Scheme 221</t>
  </si>
  <si>
    <t>Corrections to the SITOP reset and status wiring</t>
  </si>
  <si>
    <t>CB10 RL#1</t>
  </si>
  <si>
    <t>N/A</t>
  </si>
  <si>
    <t>CB10 RL#2</t>
  </si>
  <si>
    <t>F2RL#1</t>
  </si>
  <si>
    <t>CB1RL#1</t>
  </si>
  <si>
    <t xml:space="preserve">CB5 </t>
  </si>
  <si>
    <t>BOM for IS devices</t>
  </si>
  <si>
    <t>2200BGG200H23DA - This is general use:
not Intrinsically Safe - please review BOM LC-2 BOM Rev 3 5-29-19(1)</t>
  </si>
  <si>
    <t>All the Proportional Directional Valves on the erector need their names to be checked against the hydraulics BOM</t>
  </si>
  <si>
    <t>IS Barriers added</t>
  </si>
  <si>
    <t>Done GK 17/06/2019</t>
  </si>
  <si>
    <t>Done GK 18/06/2019</t>
  </si>
  <si>
    <t xml:space="preserve">not in P&amp;ID  - </t>
  </si>
  <si>
    <t>IS Barriers added	- - Component part not IS device</t>
  </si>
  <si>
    <t>41C999</t>
  </si>
  <si>
    <t xml:space="preserve">Component part not IS device - not in P&amp;ID  - </t>
  </si>
  <si>
    <t>41C998</t>
  </si>
  <si>
    <t>41C997</t>
  </si>
  <si>
    <t>Done GK 21/06/2019</t>
  </si>
  <si>
    <t>02C329.2</t>
  </si>
  <si>
    <t>02C331.2</t>
  </si>
  <si>
    <t>02C332.2</t>
  </si>
  <si>
    <t>02C333.2</t>
  </si>
  <si>
    <t>02C337.2</t>
  </si>
  <si>
    <t>02C338.2</t>
  </si>
  <si>
    <t>02C345.2</t>
  </si>
  <si>
    <t>02C346.2</t>
  </si>
  <si>
    <t>02C384.2</t>
  </si>
  <si>
    <t>02C382.2</t>
  </si>
  <si>
    <t>02C383.2</t>
  </si>
  <si>
    <t>02C335.2</t>
  </si>
  <si>
    <t>01C309.2</t>
  </si>
  <si>
    <t>Mark</t>
  </si>
  <si>
    <t>Path</t>
  </si>
  <si>
    <t>Origin</t>
  </si>
  <si>
    <t>Destination</t>
  </si>
  <si>
    <t>ETH1-CB2</t>
  </si>
  <si>
    <t>Network</t>
  </si>
  <si>
    <t>C.A.CB2&lt;&gt;C.A.CB1</t>
  </si>
  <si>
    <t>CB2 - Control Box 2</t>
  </si>
  <si>
    <t>CB1 - Control Box 1</t>
  </si>
  <si>
    <t>4C-CAT6e</t>
  </si>
  <si>
    <t>ETH1-CB1</t>
  </si>
  <si>
    <t>C.A.CB1&lt;&gt;C.A.CB1</t>
  </si>
  <si>
    <t>ETH2-CB7</t>
  </si>
  <si>
    <t>C.A.CB1&lt;&gt;C.CB7</t>
  </si>
  <si>
    <t>CB7 Control Box</t>
  </si>
  <si>
    <t>ETH2-CB2</t>
  </si>
  <si>
    <t>ETH1-CB3</t>
  </si>
  <si>
    <t>C.A.CB1&lt;&gt;C.D.CB3</t>
  </si>
  <si>
    <t>CB3 - Control Box 3</t>
  </si>
  <si>
    <t>ETH2-CB1</t>
  </si>
  <si>
    <t>ETH1-CB5</t>
  </si>
  <si>
    <t>C.A.CB1&lt;&gt;C.D.CB5</t>
  </si>
  <si>
    <t>Strongback</t>
  </si>
  <si>
    <t>ETH1-CB4</t>
  </si>
  <si>
    <t>C.A.CB1&lt;&gt;C.D.CB4</t>
  </si>
  <si>
    <t>CB4 - Control Box 4</t>
  </si>
  <si>
    <t>ETH2-CB3</t>
  </si>
  <si>
    <t>C.D.CB3&lt;&gt;C.A.CB1</t>
  </si>
  <si>
    <t>ETH2-CB5</t>
  </si>
  <si>
    <t>C.D.CB5&lt;&gt;C.A.CB1</t>
  </si>
  <si>
    <t>ETH1-CB6</t>
  </si>
  <si>
    <t>C.A.CB1&lt;&gt;C.E.CB6</t>
  </si>
  <si>
    <t>CB6 - Control Box 6</t>
  </si>
  <si>
    <t>ETH2-CB6</t>
  </si>
  <si>
    <t>ETH2-CB4</t>
  </si>
  <si>
    <t>C.D.CB4&lt;&gt;C.A.CB1</t>
  </si>
  <si>
    <t>WCCB3-29</t>
  </si>
  <si>
    <t>4 Core Pressure Transducer Wire Assy</t>
  </si>
  <si>
    <t>C.B&lt;&gt;C.B</t>
  </si>
  <si>
    <t>LOx Area</t>
  </si>
  <si>
    <t>4x 0.33</t>
  </si>
  <si>
    <t>WCCB3-30</t>
  </si>
  <si>
    <t>WCLIENT-3</t>
  </si>
  <si>
    <t>UNITRONIC PUR CP (TP) 3 x 2 x 0.25</t>
  </si>
  <si>
    <t>C.A.L&lt;&gt;C.D.R</t>
  </si>
  <si>
    <t>Client Room</t>
  </si>
  <si>
    <t>Client Panel</t>
  </si>
  <si>
    <t>WCLIENT-4</t>
  </si>
  <si>
    <t>WCCB3/F2-5</t>
  </si>
  <si>
    <t>4 Core Power Cable</t>
  </si>
  <si>
    <t>C.D.CB3&lt;&gt;C.D.F2</t>
  </si>
  <si>
    <t>Erector</t>
  </si>
  <si>
    <t>1000 R2V-RH 4X4 M</t>
  </si>
  <si>
    <t>WCCB4/F3-03</t>
  </si>
  <si>
    <t>C.D.CB4&lt;&gt;C.D.F3</t>
  </si>
  <si>
    <t>WCAVR/CB5-4</t>
  </si>
  <si>
    <t>18 Core Instrumentation Cable</t>
  </si>
  <si>
    <t>C.A&lt;&gt;C.D.CB5</t>
  </si>
  <si>
    <t>Electrical Vault</t>
  </si>
  <si>
    <t>18G 0.75</t>
  </si>
  <si>
    <t>WCAVR/F8-4</t>
  </si>
  <si>
    <t>C.A&lt;&gt;C.D.F4</t>
  </si>
  <si>
    <t>GNC BOX</t>
  </si>
  <si>
    <t>WCCB1/CB3-1</t>
  </si>
  <si>
    <t>WCCB1/CB3-2</t>
  </si>
  <si>
    <t>WCCB1/CB4-1</t>
  </si>
  <si>
    <t>WCCB1/CB5-1</t>
  </si>
  <si>
    <t>WCCB1/CB9-1</t>
  </si>
  <si>
    <t>C.A.CB1&lt;&gt;C.D.CB9</t>
  </si>
  <si>
    <t>WCCB1/F1-1</t>
  </si>
  <si>
    <t>C.A.CB1&lt;&gt;C.A.F1</t>
  </si>
  <si>
    <t>Gas Storage</t>
  </si>
  <si>
    <t>WCCB1/F2-1</t>
  </si>
  <si>
    <t>C.A.CB1&lt;&gt;C.D.F2</t>
  </si>
  <si>
    <t>WCCB1/F2-2</t>
  </si>
  <si>
    <t>WCCB1/F3-1</t>
  </si>
  <si>
    <t>C.A.CB1&lt;&gt;C.D.F3</t>
  </si>
  <si>
    <t>WCCB2/F1-1</t>
  </si>
  <si>
    <t>C.A.CB2&lt;&gt;C.A.F1</t>
  </si>
  <si>
    <t>WCCB2/F1-10</t>
  </si>
  <si>
    <t>WCCB3/F2-1</t>
  </si>
  <si>
    <t>WCCB3/F2-2</t>
  </si>
  <si>
    <t>C.D.F2&lt;&gt;C.D.CB3</t>
  </si>
  <si>
    <t>WCCB4/F3-1</t>
  </si>
  <si>
    <t>WCCB6/F5-1</t>
  </si>
  <si>
    <t>C.E.CB6&lt;&gt;C.F5</t>
  </si>
  <si>
    <t>WCAVR/CB5-1</t>
  </si>
  <si>
    <t>4 Core Instrumentation Cable</t>
  </si>
  <si>
    <t>4G 16</t>
  </si>
  <si>
    <t>WCAVR/CB5-2</t>
  </si>
  <si>
    <t>WCAVR/CB5-3</t>
  </si>
  <si>
    <t>WCAVR/F8-1</t>
  </si>
  <si>
    <t>WCAVR/F8-2</t>
  </si>
  <si>
    <t>WCAVR/F8-3</t>
  </si>
  <si>
    <t>C02F1-3</t>
  </si>
  <si>
    <t>C&lt;&gt;C.A.F1</t>
  </si>
  <si>
    <t>Pad 0C</t>
  </si>
  <si>
    <t>4 X 0.75</t>
  </si>
  <si>
    <t>C02F1-4</t>
  </si>
  <si>
    <t>C.Q&lt;&gt;C.A.F1</t>
  </si>
  <si>
    <t>SOUTH GAS PAD</t>
  </si>
  <si>
    <t>CICB3-1</t>
  </si>
  <si>
    <t>C.D.CB3&lt;&gt;C.D.CB3</t>
  </si>
  <si>
    <t>CICB3-3</t>
  </si>
  <si>
    <t>C.D.CB3&lt;&gt;C.D</t>
  </si>
  <si>
    <t>CICB3-4</t>
  </si>
  <si>
    <t>C.Q&lt;&gt;C.D.CB3</t>
  </si>
  <si>
    <t>CICB3-5</t>
  </si>
  <si>
    <t>CICB3-11</t>
  </si>
  <si>
    <t>CICB3-12</t>
  </si>
  <si>
    <t>CICB3-13</t>
  </si>
  <si>
    <t>CICB3-14</t>
  </si>
  <si>
    <t>CICB3-15</t>
  </si>
  <si>
    <t>CICB3-16</t>
  </si>
  <si>
    <t>CICB3-17</t>
  </si>
  <si>
    <t>C.D.CB3&lt;&gt;C</t>
  </si>
  <si>
    <t>CICB3-18</t>
  </si>
  <si>
    <t>CIF1-1</t>
  </si>
  <si>
    <t>CIF1-2</t>
  </si>
  <si>
    <t>C.Q&lt;&gt;C.Q</t>
  </si>
  <si>
    <t>CIF1-3</t>
  </si>
  <si>
    <t>CIF1-4</t>
  </si>
  <si>
    <t>CIF1-5</t>
  </si>
  <si>
    <t>C.A.F1&lt;&gt;C.A.F1</t>
  </si>
  <si>
    <t>CIF1-6</t>
  </si>
  <si>
    <t>C.A.F1&lt;&gt;C.Q</t>
  </si>
  <si>
    <t>CIF1-7</t>
  </si>
  <si>
    <t>CIF1-16</t>
  </si>
  <si>
    <t>CIF1-19</t>
  </si>
  <si>
    <t>F5-1</t>
  </si>
  <si>
    <t>C.F5&lt;&gt;C.F5</t>
  </si>
  <si>
    <t>F5-2</t>
  </si>
  <si>
    <t>F5-3</t>
  </si>
  <si>
    <t>F5-4</t>
  </si>
  <si>
    <t>F5-5</t>
  </si>
  <si>
    <t>F5-6</t>
  </si>
  <si>
    <t>HECF1-1</t>
  </si>
  <si>
    <t>HECF1-2</t>
  </si>
  <si>
    <t>HECF1-3</t>
  </si>
  <si>
    <t>HECF1-4</t>
  </si>
  <si>
    <t>HECF1-5</t>
  </si>
  <si>
    <t>HECF1-6</t>
  </si>
  <si>
    <t>HECF1-7</t>
  </si>
  <si>
    <t>HECF1-8</t>
  </si>
  <si>
    <t>HECF1-14</t>
  </si>
  <si>
    <t>HECF1-15</t>
  </si>
  <si>
    <t>HECF1-16</t>
  </si>
  <si>
    <t>HECF1-17</t>
  </si>
  <si>
    <t>HECF1-18</t>
  </si>
  <si>
    <t>HECF1-19</t>
  </si>
  <si>
    <t>HECF1-20</t>
  </si>
  <si>
    <t>HECF1-21</t>
  </si>
  <si>
    <t>WCCB1-1</t>
  </si>
  <si>
    <t>C.A&lt;&gt;C.A.CB1</t>
  </si>
  <si>
    <t>WCCB1-2</t>
  </si>
  <si>
    <t>WCCB1-4</t>
  </si>
  <si>
    <t>WCCB1-17</t>
  </si>
  <si>
    <t>C&lt;&gt;C.A.CB1</t>
  </si>
  <si>
    <t>WCCB1-18</t>
  </si>
  <si>
    <t>WCCB1-19</t>
  </si>
  <si>
    <t>C.A.CB1&lt;&gt;C</t>
  </si>
  <si>
    <t>WCCB1-20</t>
  </si>
  <si>
    <t>WCCB1-21</t>
  </si>
  <si>
    <t>WCCB1-22</t>
  </si>
  <si>
    <t>WCCB1-23</t>
  </si>
  <si>
    <t>WCCB1-24</t>
  </si>
  <si>
    <t>WCCB1/F1-6</t>
  </si>
  <si>
    <t>WCCB2-1</t>
  </si>
  <si>
    <t>C.A.CB2&lt;&gt;C.A.CB2</t>
  </si>
  <si>
    <t>WCCB2-2</t>
  </si>
  <si>
    <t>WCCB2-3</t>
  </si>
  <si>
    <t>WCCB2-4</t>
  </si>
  <si>
    <t>WCCB2-5</t>
  </si>
  <si>
    <t>WCCB2-6</t>
  </si>
  <si>
    <t>WCCB2-7</t>
  </si>
  <si>
    <t>WCCB2-8</t>
  </si>
  <si>
    <t>WCCB2-9</t>
  </si>
  <si>
    <t>WCCB2-10</t>
  </si>
  <si>
    <t>WCCB2-11</t>
  </si>
  <si>
    <t>WCCB2-12</t>
  </si>
  <si>
    <t>WCCB2-13</t>
  </si>
  <si>
    <t>WCCB2-14</t>
  </si>
  <si>
    <t>WCCB2-15</t>
  </si>
  <si>
    <t>WCCB2-16</t>
  </si>
  <si>
    <t>C.D&lt;&gt;C.A.CB2</t>
  </si>
  <si>
    <t>WCCB2-17</t>
  </si>
  <si>
    <t>WCCB2-18</t>
  </si>
  <si>
    <t>WCCB2-19</t>
  </si>
  <si>
    <t>WCCB2-20</t>
  </si>
  <si>
    <t>WCCB2/F2-1</t>
  </si>
  <si>
    <t>C.A.CB2&lt;&gt;C.D.F2</t>
  </si>
  <si>
    <t>WCCB3-1</t>
  </si>
  <si>
    <t>C.D&lt;&gt;C.D.CB3</t>
  </si>
  <si>
    <t>WCCB3-2</t>
  </si>
  <si>
    <t>C.E&lt;&gt;C.D.CB3</t>
  </si>
  <si>
    <t>Equipment Vault</t>
  </si>
  <si>
    <t>WCCB3-3</t>
  </si>
  <si>
    <t>WCCB3-4</t>
  </si>
  <si>
    <t>WCCB3-5</t>
  </si>
  <si>
    <t>C&lt;&gt;C.D.CB3</t>
  </si>
  <si>
    <t>WCCB3-6</t>
  </si>
  <si>
    <t>WCCB3-7</t>
  </si>
  <si>
    <t>WCCB3-8</t>
  </si>
  <si>
    <t>WCCB3-9</t>
  </si>
  <si>
    <t>WCCB3-10</t>
  </si>
  <si>
    <t>WCCB3-11</t>
  </si>
  <si>
    <t>WCCB3-12</t>
  </si>
  <si>
    <t>WCCB3-13</t>
  </si>
  <si>
    <t>WCCB3-14</t>
  </si>
  <si>
    <t>WCCB3-15</t>
  </si>
  <si>
    <t>WCCB3-16</t>
  </si>
  <si>
    <t>WCCB3-17</t>
  </si>
  <si>
    <t>WCCB3-18</t>
  </si>
  <si>
    <t>WCCB3-19</t>
  </si>
  <si>
    <t>WCCB3-20</t>
  </si>
  <si>
    <t>WCCB3-21</t>
  </si>
  <si>
    <t>WCCB3-22</t>
  </si>
  <si>
    <t>WCCB3-23</t>
  </si>
  <si>
    <t>WCCB3-24</t>
  </si>
  <si>
    <t>C.D&lt;&gt;C.E.CB6</t>
  </si>
  <si>
    <t>WCCB3-25</t>
  </si>
  <si>
    <t>WCCB3-26</t>
  </si>
  <si>
    <t>C.D.CB3&lt;&gt;C.E.CB6</t>
  </si>
  <si>
    <t>WCCB3-27</t>
  </si>
  <si>
    <t>WCCB3-28</t>
  </si>
  <si>
    <t>WCCB3-31</t>
  </si>
  <si>
    <t>WCCB3-32</t>
  </si>
  <si>
    <t>WCCB3-34</t>
  </si>
  <si>
    <t>WCCB3-37</t>
  </si>
  <si>
    <t>C.D.CB3&lt;&gt;C.B</t>
  </si>
  <si>
    <t>WCCB3-38</t>
  </si>
  <si>
    <t>WCCB3-39</t>
  </si>
  <si>
    <t>WCCB3-40</t>
  </si>
  <si>
    <t>WCCB3-41</t>
  </si>
  <si>
    <t>WCCB3-42</t>
  </si>
  <si>
    <t>WCCB3-43</t>
  </si>
  <si>
    <t>WCCB3-44</t>
  </si>
  <si>
    <t>WCCB3-45</t>
  </si>
  <si>
    <t>WCCB3-46</t>
  </si>
  <si>
    <t>WCCB3-47</t>
  </si>
  <si>
    <t>WCCB3-48</t>
  </si>
  <si>
    <t>WCCB3-49</t>
  </si>
  <si>
    <t>WCCB3/F8-1</t>
  </si>
  <si>
    <t>C.D.CB3&lt;&gt;C.D.F4</t>
  </si>
  <si>
    <t>WCCB4-1</t>
  </si>
  <si>
    <t>C.D&lt;&gt;C.D.CB4</t>
  </si>
  <si>
    <t>WCCB4-2</t>
  </si>
  <si>
    <t>C.A&lt;&gt;C.D.CB4</t>
  </si>
  <si>
    <t>WCCB4-3</t>
  </si>
  <si>
    <t>C&lt;&gt;C.D.CB4</t>
  </si>
  <si>
    <t>WCCB4-4</t>
  </si>
  <si>
    <t>WCCB4-5</t>
  </si>
  <si>
    <t>WCCB4-6</t>
  </si>
  <si>
    <t>WCCB4-7</t>
  </si>
  <si>
    <t>WCCB4-8</t>
  </si>
  <si>
    <t>WCCB4-9</t>
  </si>
  <si>
    <t>WCCB4-10</t>
  </si>
  <si>
    <t>WCCB4-11</t>
  </si>
  <si>
    <t>C.D.CB4&lt;&gt;C.D.CB4</t>
  </si>
  <si>
    <t>WCCB4-12</t>
  </si>
  <si>
    <t>WCCB4-13</t>
  </si>
  <si>
    <t>WCCB4-14</t>
  </si>
  <si>
    <t>WCCB4-15</t>
  </si>
  <si>
    <t>WCCB4-16</t>
  </si>
  <si>
    <t>WCCB4-17</t>
  </si>
  <si>
    <t>WCCB4-18</t>
  </si>
  <si>
    <t>WCCB4-19</t>
  </si>
  <si>
    <t>WCCB4-20</t>
  </si>
  <si>
    <t>WCCB4-21</t>
  </si>
  <si>
    <t>WCCB4-22</t>
  </si>
  <si>
    <t>WCCB4-23</t>
  </si>
  <si>
    <t>WCCB4-24</t>
  </si>
  <si>
    <t>C.D.CB5&lt;&gt;C.D.CB5</t>
  </si>
  <si>
    <t>WCCB4-25</t>
  </si>
  <si>
    <t>WCCB4-26</t>
  </si>
  <si>
    <t>WCCB4-27</t>
  </si>
  <si>
    <t>C.D.CB3&lt;&gt;C.D.CB4</t>
  </si>
  <si>
    <t>WCCB4-28</t>
  </si>
  <si>
    <t>WCCB4-31</t>
  </si>
  <si>
    <t>WCCB4-32</t>
  </si>
  <si>
    <t>WCCB4-33</t>
  </si>
  <si>
    <t>WCCB4-34</t>
  </si>
  <si>
    <t>WCCB4-35</t>
  </si>
  <si>
    <t>WCCB4-36</t>
  </si>
  <si>
    <t>WCCB4-37</t>
  </si>
  <si>
    <t>WCCB4-38</t>
  </si>
  <si>
    <t>WCCB4-39</t>
  </si>
  <si>
    <t>WCCB4-49</t>
  </si>
  <si>
    <t>WCCB4-50</t>
  </si>
  <si>
    <t>WCCB4-51</t>
  </si>
  <si>
    <t>WCCB5-1</t>
  </si>
  <si>
    <t>C.D&lt;&gt;C.D.CB5</t>
  </si>
  <si>
    <t>WCCB5-2</t>
  </si>
  <si>
    <t>WCCB5-3</t>
  </si>
  <si>
    <t>WCCB5-4</t>
  </si>
  <si>
    <t>WCCB5-5</t>
  </si>
  <si>
    <t>C.D.J&lt;&gt;C.D.J</t>
  </si>
  <si>
    <t>WCCB5-6</t>
  </si>
  <si>
    <t>WCCB5-7</t>
  </si>
  <si>
    <t>C.E&lt;&gt;C.D.CB5</t>
  </si>
  <si>
    <t>WCCB5-8</t>
  </si>
  <si>
    <t>C.D.J&lt;&gt;C.D.CB5</t>
  </si>
  <si>
    <t>WCCB5-9</t>
  </si>
  <si>
    <t>WCCB5-10</t>
  </si>
  <si>
    <t>WCCB5-11</t>
  </si>
  <si>
    <t>WCCB5-12</t>
  </si>
  <si>
    <t>WCCB5-13</t>
  </si>
  <si>
    <t>WCCB5-14</t>
  </si>
  <si>
    <t>WCCB5-15</t>
  </si>
  <si>
    <t>WCCB5-16</t>
  </si>
  <si>
    <t>C.D.CB5&lt;&gt;C.A</t>
  </si>
  <si>
    <t>WCCB5-17</t>
  </si>
  <si>
    <t>WCCB5-20</t>
  </si>
  <si>
    <t>WCCB5-21</t>
  </si>
  <si>
    <t>C.B&lt;&gt;C.D.CB5</t>
  </si>
  <si>
    <t>WCCB5-23</t>
  </si>
  <si>
    <t>WCCB5/F2-1</t>
  </si>
  <si>
    <t>C.D.CB5&lt;&gt;C.D.F2</t>
  </si>
  <si>
    <t>WCCB6-1</t>
  </si>
  <si>
    <t>C.E&lt;&gt;C.E.CB6</t>
  </si>
  <si>
    <t>WCCB6-2</t>
  </si>
  <si>
    <t>WCCB6-3</t>
  </si>
  <si>
    <t>WCCB6-4</t>
  </si>
  <si>
    <t>C.E.CB6&lt;&gt;C.E.CB6</t>
  </si>
  <si>
    <t>WCCB6-5</t>
  </si>
  <si>
    <t>WCCB6-6</t>
  </si>
  <si>
    <t>WCCB6-7</t>
  </si>
  <si>
    <t>WCCB6-8</t>
  </si>
  <si>
    <t>WCCB6-9</t>
  </si>
  <si>
    <t>WCCB6-10</t>
  </si>
  <si>
    <t>WCCB6-11</t>
  </si>
  <si>
    <t>WCCB6-12</t>
  </si>
  <si>
    <t>C.E.CB6&lt;&gt;C.B.CB8</t>
  </si>
  <si>
    <t>CB8 - Control Cabinet C2</t>
  </si>
  <si>
    <t>WCCB6-13</t>
  </si>
  <si>
    <t>WCCB6-14</t>
  </si>
  <si>
    <t>WCCB6-15</t>
  </si>
  <si>
    <t>WCCB6-16</t>
  </si>
  <si>
    <t>C.E.CB6&lt;&gt;C.D</t>
  </si>
  <si>
    <t>WCCB6-17</t>
  </si>
  <si>
    <t>WCCB6-18</t>
  </si>
  <si>
    <t>WCCB7-9</t>
  </si>
  <si>
    <t>C.CB7&lt;&gt;C.CB7</t>
  </si>
  <si>
    <t>WCCB7-10</t>
  </si>
  <si>
    <t>C.N&lt;&gt;C.N</t>
  </si>
  <si>
    <t>RP1 Area</t>
  </si>
  <si>
    <t>WCCB7-11</t>
  </si>
  <si>
    <t>WCCB7-12</t>
  </si>
  <si>
    <t>C.N&lt;&gt;C.CB7</t>
  </si>
  <si>
    <t>WCCB7-14</t>
  </si>
  <si>
    <t>WCCB7-16</t>
  </si>
  <si>
    <t>WCCB7-18</t>
  </si>
  <si>
    <t>WCCB7-20</t>
  </si>
  <si>
    <t>WCCB8-1</t>
  </si>
  <si>
    <t>C.B&lt;&gt;C.B.CB8</t>
  </si>
  <si>
    <t>WCCB8-2</t>
  </si>
  <si>
    <t>WCCB8-3</t>
  </si>
  <si>
    <t>WCCB8-4</t>
  </si>
  <si>
    <t>WCCB8-5</t>
  </si>
  <si>
    <t>WCCB8-34</t>
  </si>
  <si>
    <t>WCCB8-35</t>
  </si>
  <si>
    <t>WCCB8-36</t>
  </si>
  <si>
    <t>WCCB8-37</t>
  </si>
  <si>
    <t>WCCB8-38</t>
  </si>
  <si>
    <t>WCCB8-39</t>
  </si>
  <si>
    <t>WCCB8-40</t>
  </si>
  <si>
    <t>WCCB8-41</t>
  </si>
  <si>
    <t>C.B.CB8&lt;&gt;C.B.CB8</t>
  </si>
  <si>
    <t>WCCB8-42</t>
  </si>
  <si>
    <t>WCCB8-43</t>
  </si>
  <si>
    <t>WCCB8-44</t>
  </si>
  <si>
    <t>WCCB8-45</t>
  </si>
  <si>
    <t>WCCB8-46</t>
  </si>
  <si>
    <t>WCCB8-47</t>
  </si>
  <si>
    <t>WCCB8-48</t>
  </si>
  <si>
    <t>WCCB8-49</t>
  </si>
  <si>
    <t>WCF2-1</t>
  </si>
  <si>
    <t>C.D&lt;&gt;C.D.F2</t>
  </si>
  <si>
    <t>WCF2-2</t>
  </si>
  <si>
    <t>WCF2-3</t>
  </si>
  <si>
    <t>C.D.F2&lt;&gt;C.D</t>
  </si>
  <si>
    <t>WCF2-4</t>
  </si>
  <si>
    <t>WCF2-5</t>
  </si>
  <si>
    <t>WCF2-6</t>
  </si>
  <si>
    <t>C&lt;&gt;C.D.F2</t>
  </si>
  <si>
    <t>WCF2-7</t>
  </si>
  <si>
    <t>WCF2-8</t>
  </si>
  <si>
    <t>WCF2-9</t>
  </si>
  <si>
    <t>WCF2-10</t>
  </si>
  <si>
    <t>C.A&lt;&gt;C.D.F2</t>
  </si>
  <si>
    <t>WCF2-11</t>
  </si>
  <si>
    <t>WCF2-12</t>
  </si>
  <si>
    <t>C.D.F2&lt;&gt;C.D.F2</t>
  </si>
  <si>
    <t>WCF2-13</t>
  </si>
  <si>
    <t>WCF2-14</t>
  </si>
  <si>
    <t>WCF2-15</t>
  </si>
  <si>
    <t>C.D.F2&lt;&gt;C.A</t>
  </si>
  <si>
    <t>WCF2-16</t>
  </si>
  <si>
    <t>WCF2-17</t>
  </si>
  <si>
    <t>WCF2-18</t>
  </si>
  <si>
    <t>WCF2-19</t>
  </si>
  <si>
    <t>WCF2-20</t>
  </si>
  <si>
    <t>WCF2-21</t>
  </si>
  <si>
    <t>WCF2-22</t>
  </si>
  <si>
    <t>WCF2-23</t>
  </si>
  <si>
    <t>WCF2-24</t>
  </si>
  <si>
    <t>WCF2-25</t>
  </si>
  <si>
    <t>WCF2-26</t>
  </si>
  <si>
    <t>WCF2-27</t>
  </si>
  <si>
    <t>WCF2-28</t>
  </si>
  <si>
    <t>WCF2-29</t>
  </si>
  <si>
    <t>WCF2-30</t>
  </si>
  <si>
    <t>WCF2-31</t>
  </si>
  <si>
    <t>WCF2-32</t>
  </si>
  <si>
    <t>C.Q&lt;&gt;C.D.F2</t>
  </si>
  <si>
    <t>WCF2-33</t>
  </si>
  <si>
    <t>WCF2-34</t>
  </si>
  <si>
    <t>WCF2-64</t>
  </si>
  <si>
    <t>WCF2-65</t>
  </si>
  <si>
    <t>WCF2-66</t>
  </si>
  <si>
    <t>WCF2-67</t>
  </si>
  <si>
    <t>WCF2-68</t>
  </si>
  <si>
    <t>WCF2-69</t>
  </si>
  <si>
    <t>WCF2-70</t>
  </si>
  <si>
    <t>WCF2-71</t>
  </si>
  <si>
    <t>WCF3-1</t>
  </si>
  <si>
    <t>C.D&lt;&gt;C.D.F3</t>
  </si>
  <si>
    <t>WCF3-2</t>
  </si>
  <si>
    <t>C.D.F3&lt;&gt;C.D.F3</t>
  </si>
  <si>
    <t>WCF3-3</t>
  </si>
  <si>
    <t>WCF3-4</t>
  </si>
  <si>
    <t>WCF3-5</t>
  </si>
  <si>
    <t>WCF3-6</t>
  </si>
  <si>
    <t>WCF3-7</t>
  </si>
  <si>
    <t>WCF3-8</t>
  </si>
  <si>
    <t>WCF3-9</t>
  </si>
  <si>
    <t>WCF3-10</t>
  </si>
  <si>
    <t>WCF3-11</t>
  </si>
  <si>
    <t>WCF3-13</t>
  </si>
  <si>
    <t>WCF3-29</t>
  </si>
  <si>
    <t>WLOCB3-1</t>
  </si>
  <si>
    <t>WLOCB8-1</t>
  </si>
  <si>
    <t>C02F1-1</t>
  </si>
  <si>
    <t>7 Core Instrumentation Cable</t>
  </si>
  <si>
    <t>7X 0.75</t>
  </si>
  <si>
    <t>C02F1-2</t>
  </si>
  <si>
    <t>HECF1-9</t>
  </si>
  <si>
    <t>WCCB1-3</t>
  </si>
  <si>
    <t>C.A.CB1&lt;&gt;C.A.CB2</t>
  </si>
  <si>
    <t>WCCB1-5</t>
  </si>
  <si>
    <t>WCCB1-6</t>
  </si>
  <si>
    <t>WCCB1-7</t>
  </si>
  <si>
    <t>WCCB1-11</t>
  </si>
  <si>
    <t>C.B&lt;&gt;C.A.CB1</t>
  </si>
  <si>
    <t>WCCB1-12</t>
  </si>
  <si>
    <t>WCCB3-33</t>
  </si>
  <si>
    <t>WCCB3-35</t>
  </si>
  <si>
    <t>WCCB3-36</t>
  </si>
  <si>
    <t>WCCB5-18</t>
  </si>
  <si>
    <t>WCCB5-19</t>
  </si>
  <si>
    <t>WCCB5-22</t>
  </si>
  <si>
    <t>WCCB7-1</t>
  </si>
  <si>
    <t>WCCB7-2</t>
  </si>
  <si>
    <t>C.CB7&lt;&gt;C.N</t>
  </si>
  <si>
    <t>WCCB7-3</t>
  </si>
  <si>
    <t>WCCB7-4</t>
  </si>
  <si>
    <t>WCCB7-5</t>
  </si>
  <si>
    <t>WCCB7-6</t>
  </si>
  <si>
    <t>WCCB7-7</t>
  </si>
  <si>
    <t>WCCB7-8</t>
  </si>
  <si>
    <t>WCCB7-13</t>
  </si>
  <si>
    <t>WCCB8-6</t>
  </si>
  <si>
    <t>WCCB8-7</t>
  </si>
  <si>
    <t>WCCB8-8</t>
  </si>
  <si>
    <t>WCCB8-9</t>
  </si>
  <si>
    <t>WCCB8-10</t>
  </si>
  <si>
    <t>WCCB8-11</t>
  </si>
  <si>
    <t>WCCB8-12</t>
  </si>
  <si>
    <t>WCCB8-13</t>
  </si>
  <si>
    <t>WCCB8-14</t>
  </si>
  <si>
    <t>WCCB8-15</t>
  </si>
  <si>
    <t>WCCB8-16</t>
  </si>
  <si>
    <t>WCCB8-17</t>
  </si>
  <si>
    <t>WCCB8-18</t>
  </si>
  <si>
    <t>WCCB8-19</t>
  </si>
  <si>
    <t>WCCB8-20</t>
  </si>
  <si>
    <t>WCCB8-21</t>
  </si>
  <si>
    <t>WCCB8-22</t>
  </si>
  <si>
    <t>WCCB8-23</t>
  </si>
  <si>
    <t>WCCB8-24</t>
  </si>
  <si>
    <t>WCCB8-25</t>
  </si>
  <si>
    <t>WCCB8-26</t>
  </si>
  <si>
    <t>WCCB8-27</t>
  </si>
  <si>
    <t>WCCB8-28</t>
  </si>
  <si>
    <t>WCCB8-29</t>
  </si>
  <si>
    <t>WCCB8-30</t>
  </si>
  <si>
    <t>WCCB8-31</t>
  </si>
  <si>
    <t>WCCB8-32</t>
  </si>
  <si>
    <t>WCCB8-33</t>
  </si>
  <si>
    <t>8 Core Instrumentation Cable</t>
  </si>
  <si>
    <t>WCLIENT-1</t>
  </si>
  <si>
    <t>8G 0.75</t>
  </si>
  <si>
    <t>WCLIENT-2</t>
  </si>
  <si>
    <t>18 Core Instrumentation Cable. 1 Green Core.</t>
  </si>
  <si>
    <t>WCCB1/CB5-2</t>
  </si>
  <si>
    <t>WCCB1/CB10-1</t>
  </si>
  <si>
    <t>C.A.CB1&lt;&gt;C.A.CB10</t>
  </si>
  <si>
    <t>CB10 Chromalux Controls</t>
  </si>
  <si>
    <t>WCCB2/CB10-1</t>
  </si>
  <si>
    <t>WCCB1/CB3-8</t>
  </si>
  <si>
    <t>WCCB1/CB4-4</t>
  </si>
  <si>
    <t>WCCB1/CB5-3</t>
  </si>
  <si>
    <t>WCCB6/CB7-1</t>
  </si>
  <si>
    <t>C.E.CB6&lt;&gt;C.N</t>
  </si>
  <si>
    <t>WCCB1-8</t>
  </si>
  <si>
    <t>shielded</t>
  </si>
  <si>
    <t>C.A.CB1&lt;&gt;C.Q</t>
  </si>
  <si>
    <t>CAB-RH C1 7G0.75</t>
  </si>
  <si>
    <t>WCCB1-9</t>
  </si>
  <si>
    <t>WCCB1-10</t>
  </si>
  <si>
    <t>WCCB2/AVR-1</t>
  </si>
  <si>
    <t>CANB(S)-RH 24X0.75</t>
  </si>
  <si>
    <t>CB1/CB3-0VDC</t>
  </si>
  <si>
    <t>white jacket</t>
  </si>
  <si>
    <t>H05 V2V2-F 2X1 WH</t>
  </si>
  <si>
    <t>CB1/CB4-0VDC</t>
  </si>
  <si>
    <t>CB1/F1-0VDC</t>
  </si>
  <si>
    <t>F2/F3-0VDC</t>
  </si>
  <si>
    <t>C.D.F2&lt;&gt;C.D.F3</t>
  </si>
  <si>
    <t>CB3/F2-0VDC</t>
  </si>
  <si>
    <t>CB3/CB9-0VDC</t>
  </si>
  <si>
    <t>C.D.CB3&lt;&gt;C.D.CB9</t>
  </si>
  <si>
    <t>F2/CB5-0VDC</t>
  </si>
  <si>
    <t>C.D.F2&lt;&gt;C.D.CB5</t>
  </si>
  <si>
    <t>CB9/CB4-0VDC</t>
  </si>
  <si>
    <t>C.D.CB9&lt;&gt;C.D.CB4</t>
  </si>
  <si>
    <t>CB4/F3-0VDC</t>
  </si>
  <si>
    <t>F5/F6-0VDC</t>
  </si>
  <si>
    <t>C.A.F6&lt;&gt;C.F5</t>
  </si>
  <si>
    <t>CB6/F5-0VDC</t>
  </si>
  <si>
    <t>CB6/CB7-0VDC</t>
  </si>
  <si>
    <t>C.E.CB6&lt;&gt;C.CB7</t>
  </si>
  <si>
    <t>CB1/CB2-0VDC1</t>
  </si>
  <si>
    <t>0V dc Ring</t>
  </si>
  <si>
    <t>C.A.CB1.CB2&lt;&gt;C.A.CB1</t>
  </si>
  <si>
    <t>C.A.CB1&lt;&gt;C.F1</t>
  </si>
  <si>
    <t>South Gas Pad</t>
  </si>
  <si>
    <t>Battery Heater</t>
  </si>
  <si>
    <t>Erector South East</t>
  </si>
  <si>
    <t>Erector North East</t>
  </si>
  <si>
    <t>C.D.F3&lt;&gt;C.D.CB4</t>
  </si>
  <si>
    <t>Helium Pad</t>
  </si>
  <si>
    <t>C.D.F2&lt;&gt;C.D.J.CB5</t>
  </si>
  <si>
    <t>C.F6&lt;&gt;C.F5</t>
  </si>
  <si>
    <t>High Pressure GHE/GN2</t>
  </si>
  <si>
    <t>WCCB1/CB4-2</t>
  </si>
  <si>
    <t>C.A.CB1&lt;&gt;C.D.J.CB5</t>
  </si>
  <si>
    <t>WCCB1/F2-3</t>
  </si>
  <si>
    <t>WCCB1/S2-1</t>
  </si>
  <si>
    <t>C.A.CB1&lt;&gt;C.D.J.S2_BOX</t>
  </si>
  <si>
    <t>STRONG BACK STAGE 2 BOX</t>
  </si>
  <si>
    <t>C.A.CB1.CB2&lt;&gt;C.F1</t>
  </si>
  <si>
    <t>WCCB5/S2-2</t>
  </si>
  <si>
    <t>C.D.J.CB5&lt;&gt;C.D.J.S2_BOX</t>
  </si>
  <si>
    <t>24 Core Instrumentation Cable</t>
  </si>
  <si>
    <t>C&lt;&gt;C.F1</t>
  </si>
  <si>
    <t>C.Q&lt;&gt;C.F1</t>
  </si>
  <si>
    <t>C.F1&lt;&gt;C.F1</t>
  </si>
  <si>
    <t>C.F1&lt;&gt;C.Q</t>
  </si>
  <si>
    <t>C.A.CB1.CB2&lt;&gt;C.A.CB1.CB2</t>
  </si>
  <si>
    <t>C.A.CB1.CB2&lt;&gt;C.L</t>
  </si>
  <si>
    <t>Cross Country Lines</t>
  </si>
  <si>
    <t>C.A.CB1.CB2&lt;&gt;C.Q</t>
  </si>
  <si>
    <t>C.L&lt;&gt;C.A.CB1.CB2</t>
  </si>
  <si>
    <t>C.D&lt;&gt;C.A.CB1.CB2</t>
  </si>
  <si>
    <t>WCCB2-21</t>
  </si>
  <si>
    <t>WCCB2-22</t>
  </si>
  <si>
    <t>WCCB2-23</t>
  </si>
  <si>
    <t>WCCB3/F4-2</t>
  </si>
  <si>
    <t>C.D.F4&lt;&gt;C.D.F4</t>
  </si>
  <si>
    <t>C.D.CB3&lt;&gt;C.D.J.CB5</t>
  </si>
  <si>
    <t>WCCB3-50</t>
  </si>
  <si>
    <t>4X 0.5</t>
  </si>
  <si>
    <t>WCCB3-52</t>
  </si>
  <si>
    <t>WCCB3-54</t>
  </si>
  <si>
    <t>WCCB3-55</t>
  </si>
  <si>
    <t>WCCB3-56</t>
  </si>
  <si>
    <t>WCCB3-57</t>
  </si>
  <si>
    <t>WCCB3-58</t>
  </si>
  <si>
    <t>WCCB3-59</t>
  </si>
  <si>
    <t>WCCB3-60</t>
  </si>
  <si>
    <t>WCCB3-61</t>
  </si>
  <si>
    <t>WCCB3-62</t>
  </si>
  <si>
    <t>C.D&lt;&gt;C.D</t>
  </si>
  <si>
    <t>C.E&lt;&gt;C.D.CB4</t>
  </si>
  <si>
    <t>WCCB4-29</t>
  </si>
  <si>
    <t>WCCB4-40</t>
  </si>
  <si>
    <t>WCCB4-41</t>
  </si>
  <si>
    <t>C.D.J.CB5&lt;&gt;C.D.J</t>
  </si>
  <si>
    <t>C.D.J.CB5&lt;&gt;C.D.J.CB5</t>
  </si>
  <si>
    <t>C.B&lt;&gt;C.D.J.CB5</t>
  </si>
  <si>
    <t>WCCB5-24</t>
  </si>
  <si>
    <t>C.D.J&lt;&gt;C.D.J.CB5</t>
  </si>
  <si>
    <t>WCCB5-25</t>
  </si>
  <si>
    <t>WCCB5-26</t>
  </si>
  <si>
    <t>WCCB5-27</t>
  </si>
  <si>
    <t>WCCB5-28</t>
  </si>
  <si>
    <t>WCCB5-29</t>
  </si>
  <si>
    <t>WCCB5-31</t>
  </si>
  <si>
    <t>WCCB5-32</t>
  </si>
  <si>
    <t>WCCB5-33</t>
  </si>
  <si>
    <t>WCCB5-34</t>
  </si>
  <si>
    <t>WCCB5-36</t>
  </si>
  <si>
    <t>WCCB5-37</t>
  </si>
  <si>
    <t>WCCB5-38</t>
  </si>
  <si>
    <t>WCCB5-39</t>
  </si>
  <si>
    <t>WCCB5-41</t>
  </si>
  <si>
    <t>WCCB5-42</t>
  </si>
  <si>
    <t>WCCB5-44</t>
  </si>
  <si>
    <t>WCCB5-45</t>
  </si>
  <si>
    <t>WCCB5-46</t>
  </si>
  <si>
    <t>WCCB5-47</t>
  </si>
  <si>
    <t>WCCB5-48</t>
  </si>
  <si>
    <t>WCCB5-49</t>
  </si>
  <si>
    <t>WCCB5-50</t>
  </si>
  <si>
    <t>WCCB5-51</t>
  </si>
  <si>
    <t>WCCB5-52</t>
  </si>
  <si>
    <t>WCCB5-53</t>
  </si>
  <si>
    <t>WCCB5-54</t>
  </si>
  <si>
    <t>WCCB5-55</t>
  </si>
  <si>
    <t>WCCB5-56</t>
  </si>
  <si>
    <t>WCCB5-57</t>
  </si>
  <si>
    <t>C.D&lt;&gt;C.D.J.CB5</t>
  </si>
  <si>
    <t>CB8 - Control C2</t>
  </si>
  <si>
    <t>WCCB8-50</t>
  </si>
  <si>
    <t>WCCB8-51</t>
  </si>
  <si>
    <t>C.B.CB8&lt;&gt;C.B</t>
  </si>
  <si>
    <t>WCCB8-52</t>
  </si>
  <si>
    <t>WCCB8-53</t>
  </si>
  <si>
    <t>C.D.F2&lt;&gt;C.D.I</t>
  </si>
  <si>
    <t>Platform</t>
  </si>
  <si>
    <t>WCF2-301</t>
  </si>
  <si>
    <t>WCF2-321</t>
  </si>
  <si>
    <t>WCF2-330</t>
  </si>
  <si>
    <t>WCF2-35</t>
  </si>
  <si>
    <t>WCF2-36</t>
  </si>
  <si>
    <t>WCF2-39</t>
  </si>
  <si>
    <t>WCF2-40</t>
  </si>
  <si>
    <t>WCF2-41</t>
  </si>
  <si>
    <t>WCF2-42</t>
  </si>
  <si>
    <t>WCF2-43</t>
  </si>
  <si>
    <t>WCF3-12</t>
  </si>
  <si>
    <t>WCF3-14</t>
  </si>
  <si>
    <t>WCF3-15</t>
  </si>
  <si>
    <t>WCF3-16</t>
  </si>
  <si>
    <t>WCF3-17</t>
  </si>
  <si>
    <t>WCF3-18</t>
  </si>
  <si>
    <t>WCF3-19</t>
  </si>
  <si>
    <t>C.D.F3&lt;&gt;C.D</t>
  </si>
  <si>
    <t>WCF3-20</t>
  </si>
  <si>
    <t>WCS2/F2-1</t>
  </si>
  <si>
    <t>WCS2/F2-2</t>
  </si>
  <si>
    <t>WCS2-1</t>
  </si>
  <si>
    <t>C.D.J.S2_BOX&lt;&gt;C.D.J.S2_BOX.A</t>
  </si>
  <si>
    <t>S2 UMBI Head</t>
  </si>
  <si>
    <t>WCS2-2</t>
  </si>
  <si>
    <t>WCS2-3</t>
  </si>
  <si>
    <t>C.D.J.S2_BOX&lt;&gt;C.D.J.S2_BOX</t>
  </si>
  <si>
    <t>WCS2-4</t>
  </si>
  <si>
    <t>WCAVR/S2-1</t>
  </si>
  <si>
    <t>WCB1/CB7-1</t>
  </si>
  <si>
    <t>C.A.O&lt;&gt;C.CB7</t>
  </si>
  <si>
    <t>Main Distribution panel</t>
  </si>
  <si>
    <t>WCCB3/F4-3</t>
  </si>
  <si>
    <t>WCCB5/S2-1</t>
  </si>
  <si>
    <t>Wsupp/CB1-1</t>
  </si>
  <si>
    <t>C.A.CB1&lt;&gt;C.A.O</t>
  </si>
  <si>
    <t>Wsupp/CB1-2</t>
  </si>
  <si>
    <t>Wsupp/CB6-1</t>
  </si>
  <si>
    <t>C.A.O&lt;&gt;C.E.CB6</t>
  </si>
  <si>
    <t>Wsupp/CB6-2</t>
  </si>
  <si>
    <t>Wsupp/CB8-1</t>
  </si>
  <si>
    <t>C.A.O&lt;&gt;C.B.CB8</t>
  </si>
  <si>
    <t>WCAVR/S2-2</t>
  </si>
  <si>
    <t>4 x 2 x 0.5 Pair 22AWG Screened data transmission cable</t>
  </si>
  <si>
    <t>0034062 Unitronic L12YCY PiMF</t>
  </si>
  <si>
    <t>5G x 2.5</t>
  </si>
  <si>
    <t>1120803 Olflex Classic 100 300/500V</t>
  </si>
  <si>
    <t>CICB3-2</t>
  </si>
  <si>
    <t>C.L&lt;&gt;C.A.CB1</t>
  </si>
  <si>
    <t>C.L&lt;&gt;C.L</t>
  </si>
  <si>
    <t>C.D.I&lt;&gt;C.D.CB3</t>
  </si>
  <si>
    <t>WCCB3-51</t>
  </si>
  <si>
    <t>C.D.CB3&lt;&gt;C.D.I</t>
  </si>
  <si>
    <t>WCCB3-53</t>
  </si>
  <si>
    <t>WCCB3-63</t>
  </si>
  <si>
    <t>WCCB3-64</t>
  </si>
  <si>
    <t>WCCB3-65</t>
  </si>
  <si>
    <t>WCCB4-30</t>
  </si>
  <si>
    <t>C.D.I&lt;&gt;C.D.CB4</t>
  </si>
  <si>
    <t>WCCB5-30</t>
  </si>
  <si>
    <t>WCCB5-35</t>
  </si>
  <si>
    <t>WCF2-37</t>
  </si>
  <si>
    <t>WCF2-38</t>
  </si>
  <si>
    <t>C.D.I&lt;&gt;C.D.F2</t>
  </si>
  <si>
    <t>8 x 2 x 0..5 Pair 22AWG Screened data transmission cable</t>
  </si>
  <si>
    <t>C.A&lt;&gt;C.D.J.S2_BOX</t>
  </si>
  <si>
    <t>0034064 Unitronic L12YCY PiMF</t>
  </si>
  <si>
    <t>8 x 2 x 0.34 Pair 22AWG Screened data transmission cable</t>
  </si>
  <si>
    <t>C.A.L&lt;&gt;C.D.J.R</t>
  </si>
  <si>
    <t>0034048 Unitronic L12YCY PiMF</t>
  </si>
  <si>
    <t>Cat.7 PROFINET</t>
  </si>
  <si>
    <t>2170455 - Cat.7 PROFINET</t>
  </si>
  <si>
    <t>ETH1/CB1-1</t>
  </si>
  <si>
    <t>Patch Lead less than 60m</t>
  </si>
  <si>
    <t>CAT5e shielded</t>
  </si>
  <si>
    <t>ETH1/CB2-1</t>
  </si>
  <si>
    <t>ETH1/CB2-2</t>
  </si>
  <si>
    <t>ETH1/CB3-1</t>
  </si>
  <si>
    <t>ETH1/CB3-2</t>
  </si>
  <si>
    <t>ETH1/CB4-1</t>
  </si>
  <si>
    <t>ETH1/CB4-2</t>
  </si>
  <si>
    <t>ETH1/CB5-1</t>
  </si>
  <si>
    <t>ETH1/CB5-2</t>
  </si>
  <si>
    <t>ETH1/CB6-1</t>
  </si>
  <si>
    <t>ETH1/CB6-2</t>
  </si>
  <si>
    <t>ETH1/CB7-1</t>
  </si>
  <si>
    <t>ETH1/CB8-2</t>
  </si>
  <si>
    <t>C.A.CB1&lt;&gt;C.B.CB8</t>
  </si>
  <si>
    <t>ETH1/CB9-1</t>
  </si>
  <si>
    <t>ETH1/POF-1</t>
  </si>
  <si>
    <t>C.A.CB1&lt;&gt;C.D.F4</t>
  </si>
  <si>
    <t>ETH1/POF-2</t>
  </si>
  <si>
    <t>ETH1/PSU-1</t>
  </si>
  <si>
    <t>C.A.B&lt;&gt;C.A.CB1</t>
  </si>
  <si>
    <t>Avionics Shore PSU Rack</t>
  </si>
  <si>
    <t>ETH1/PSU-2</t>
  </si>
  <si>
    <t>ETH1/PSU-3</t>
  </si>
  <si>
    <t>ETH2/CB1-1</t>
  </si>
  <si>
    <t>ETH2/CB1-2</t>
  </si>
  <si>
    <t>ETH2/CB2-1</t>
  </si>
  <si>
    <t>ETH2/CB2-2</t>
  </si>
  <si>
    <t>ETH2/CB3-1</t>
  </si>
  <si>
    <t>ETH2/CB3-2</t>
  </si>
  <si>
    <t>ETH2/CB4-1</t>
  </si>
  <si>
    <t>ETH2/CB4-2</t>
  </si>
  <si>
    <t>ETH2/CB5-1</t>
  </si>
  <si>
    <t>ETH2/CB5-2</t>
  </si>
  <si>
    <t>C.D.J.CB5&lt;&gt;C.A.CB1</t>
  </si>
  <si>
    <t>ETH2/CB6-1</t>
  </si>
  <si>
    <t>ETH2/CB6-2</t>
  </si>
  <si>
    <t>ETH2/CB7-1</t>
  </si>
  <si>
    <t>ETH2/CB7-2</t>
  </si>
  <si>
    <t>ETH2/CB8-2</t>
  </si>
  <si>
    <t>ETH2/CB9-1</t>
  </si>
  <si>
    <t>ETH2/POF-1</t>
  </si>
  <si>
    <t>ETH2/POF-2</t>
  </si>
  <si>
    <t>ETH2/PSU-1</t>
  </si>
  <si>
    <t>ETH2/PSU-2</t>
  </si>
  <si>
    <t>ETH2/PSU-3</t>
  </si>
  <si>
    <t>ETH3/S2-1</t>
  </si>
  <si>
    <t>ETH3/S2-2</t>
  </si>
  <si>
    <t>ETH3/S2-3</t>
  </si>
  <si>
    <t>ETH3/S2-4</t>
  </si>
  <si>
    <t>Power</t>
  </si>
  <si>
    <t>U-1000 R2V 4X1.5 C</t>
  </si>
  <si>
    <t>WCCB4/F3-3</t>
  </si>
  <si>
    <t>1st Draft Elec Drawings Done</t>
  </si>
  <si>
    <t>Final P&amp;IDs Received</t>
  </si>
  <si>
    <t>1st Review Done</t>
  </si>
  <si>
    <t>Alterations Complete</t>
  </si>
  <si>
    <t>2nd Review done</t>
  </si>
  <si>
    <t>Check Schematics</t>
  </si>
  <si>
    <t>Complete for release</t>
  </si>
  <si>
    <t>Number</t>
  </si>
  <si>
    <t>Complete?</t>
  </si>
  <si>
    <t>By</t>
  </si>
  <si>
    <t>MP-101</t>
  </si>
  <si>
    <t>YES</t>
  </si>
  <si>
    <t>MUSCLE GASEOUS NITROGEN (GN2)</t>
  </si>
  <si>
    <t>MP-102</t>
  </si>
  <si>
    <t>INSTRUMENT GASEOUS NITROGEN (GN2)</t>
  </si>
  <si>
    <t>MP-103</t>
  </si>
  <si>
    <t>N/A Covered Elsewhere</t>
  </si>
  <si>
    <t>LO2 STORAGE SCHEMATIC</t>
  </si>
  <si>
    <t>MP-104</t>
  </si>
  <si>
    <t>JP</t>
  </si>
  <si>
    <t>LOX SCHEMATIC</t>
  </si>
  <si>
    <t>MP-105</t>
  </si>
  <si>
    <t>GASEOUS OXYGEN (GOX)</t>
  </si>
  <si>
    <t>MP-106</t>
  </si>
  <si>
    <t>METHANE (CH4)</t>
  </si>
  <si>
    <t>MP-107</t>
  </si>
  <si>
    <t>ROCKET PROPELLANT 1 (RP1)</t>
  </si>
  <si>
    <t>MP-108</t>
  </si>
  <si>
    <t>HVAC / ECS</t>
  </si>
  <si>
    <t>MP-109</t>
  </si>
  <si>
    <t>NO</t>
  </si>
  <si>
    <t>CARBON DIOXIDE</t>
  </si>
  <si>
    <t>MP-110</t>
  </si>
  <si>
    <t>MP-111</t>
  </si>
  <si>
    <t>MEDIUM PRESSURE GHe (ANTI-GEYSERING)</t>
  </si>
  <si>
    <t>MP-112</t>
  </si>
  <si>
    <t>ERECTOR GN2 PURGE GAS</t>
  </si>
  <si>
    <t>MP-113</t>
  </si>
  <si>
    <t>MP-114</t>
  </si>
  <si>
    <t>MP-115</t>
  </si>
  <si>
    <t>GK</t>
  </si>
  <si>
    <t>MP-116</t>
  </si>
  <si>
    <t>GN2 - LOX PURGE</t>
  </si>
  <si>
    <t>MP-117</t>
  </si>
  <si>
    <t>STRONG BACK</t>
  </si>
  <si>
    <t>MP-118</t>
  </si>
  <si>
    <t>STAGE 1 UMBILICAL</t>
  </si>
  <si>
    <t>MP-119</t>
  </si>
  <si>
    <t>EJECTION / JETTISON GN2</t>
  </si>
  <si>
    <t>MP-120</t>
  </si>
  <si>
    <t>STAGE 2 UMBILICAL</t>
  </si>
  <si>
    <t>MP-121</t>
  </si>
  <si>
    <t>RevD</t>
  </si>
  <si>
    <t>STAGE 3 (Fairing) HVAC</t>
  </si>
  <si>
    <t>Signal</t>
  </si>
  <si>
    <t>Chromalox Terminal</t>
  </si>
  <si>
    <t>Power Pack Heater Enable (24V = Enabled)</t>
  </si>
  <si>
    <t>TB1-9, TB1-10</t>
  </si>
  <si>
    <t xml:space="preserve">integrated into Chromalux's panel </t>
  </si>
  <si>
    <t>Power Pack Heater Trip Reset 24V to reset</t>
  </si>
  <si>
    <t>Main Control Board: J3-6, J3-5</t>
  </si>
  <si>
    <t>Into TIC terminal 8 and 9</t>
  </si>
  <si>
    <t>Power Pack Heater Mode (24V = PID mode, 0V = demand mode)</t>
  </si>
  <si>
    <t>?, ?</t>
  </si>
  <si>
    <t>Into TIC terminal 7 and 6</t>
  </si>
  <si>
    <t>Setpoint 4-20mA (0-100 degrees C)</t>
  </si>
  <si>
    <t>TIC1-7, TIC1-6</t>
  </si>
  <si>
    <t>Not clear in drawings how we can directly trigger the scr. Do we need a 4-20mA isolating device as it appears they need the signal to be sourced from their control unit?</t>
  </si>
  <si>
    <t>Heater Process Temperature 4-20mA (-50 to 150 degrees C)</t>
  </si>
  <si>
    <t>TB2-1, TB2-12 (TB2-2 to TB2-11 wired in series)</t>
  </si>
  <si>
    <t>What connections does he expect to the controllers. And shouldn't they be connected to terminal strips? The way it is drawn we would have to wire directly into the controllers.
We need to control the set points mentioned in A4-A10</t>
  </si>
  <si>
    <t>Drawing Number</t>
  </si>
  <si>
    <t>Abbreviation</t>
  </si>
  <si>
    <t>PN</t>
  </si>
  <si>
    <t>8405-3480100-1014966-5</t>
  </si>
  <si>
    <t>TIC</t>
  </si>
  <si>
    <t xml:space="preserve">Temperature Controller </t>
  </si>
  <si>
    <t>OTC</t>
  </si>
  <si>
    <t>Overtemp Control</t>
  </si>
  <si>
    <t>SCR</t>
  </si>
  <si>
    <t>MMAX2-401110-0001</t>
  </si>
  <si>
    <t>Fuse Code</t>
  </si>
  <si>
    <t>Fuse Number</t>
  </si>
  <si>
    <t>Term Strip Number</t>
  </si>
  <si>
    <t>System Description</t>
  </si>
  <si>
    <t>Location</t>
  </si>
  <si>
    <t>Number of fuse blocks</t>
  </si>
  <si>
    <t>FX01</t>
  </si>
  <si>
    <t>Internal Componentry</t>
  </si>
  <si>
    <t>South Vault</t>
  </si>
  <si>
    <t>North Vault</t>
  </si>
  <si>
    <t>RP-1 skid</t>
  </si>
  <si>
    <t>LOX skid</t>
  </si>
  <si>
    <t>FX02</t>
  </si>
  <si>
    <t>Hydraulics 1</t>
  </si>
  <si>
    <t>FX03</t>
  </si>
  <si>
    <t>Hydraulics 2</t>
  </si>
  <si>
    <t>FX04</t>
  </si>
  <si>
    <t>Lox Erector platorm launcher</t>
  </si>
  <si>
    <t>FX05</t>
  </si>
  <si>
    <t>ECS 1</t>
  </si>
  <si>
    <t>FX06</t>
  </si>
  <si>
    <t>ECS 2</t>
  </si>
  <si>
    <t>FX07</t>
  </si>
  <si>
    <t>FX08</t>
  </si>
  <si>
    <t>Kero Tank Purge</t>
  </si>
  <si>
    <t>FX09</t>
  </si>
  <si>
    <t>FX10</t>
  </si>
  <si>
    <t>FX11</t>
  </si>
  <si>
    <t>Sense A</t>
  </si>
  <si>
    <t>FX12</t>
  </si>
  <si>
    <t>Sense B</t>
  </si>
  <si>
    <t>FX13</t>
  </si>
  <si>
    <t>CB1- Controllers</t>
  </si>
  <si>
    <t>FX14</t>
  </si>
  <si>
    <t>AVR SUPPLY</t>
  </si>
  <si>
    <t>FX15</t>
  </si>
  <si>
    <t>SAFETY</t>
  </si>
  <si>
    <t>FX16</t>
  </si>
  <si>
    <t>Feed for CB9's Isolated Sitop</t>
  </si>
  <si>
    <t>FX17</t>
  </si>
  <si>
    <t>N2 - Controllers</t>
  </si>
  <si>
    <t>FX18</t>
  </si>
  <si>
    <t>N2 - Sense A</t>
  </si>
  <si>
    <t>FX19</t>
  </si>
  <si>
    <t>N2 - Sense B</t>
  </si>
  <si>
    <t>FX20</t>
  </si>
  <si>
    <t>N2 - Back up</t>
  </si>
  <si>
    <t>FX21</t>
  </si>
  <si>
    <t>W</t>
  </si>
  <si>
    <t>FX22</t>
  </si>
  <si>
    <t>N3 - Sense A</t>
  </si>
  <si>
    <t>FX23</t>
  </si>
  <si>
    <t>N3 - Sense B</t>
  </si>
  <si>
    <t>FX24</t>
  </si>
  <si>
    <t>N3 - Back up</t>
  </si>
  <si>
    <t>FX25</t>
  </si>
  <si>
    <t>N4 - Controllers</t>
  </si>
  <si>
    <t>FX26</t>
  </si>
  <si>
    <t>N4 - Sense A</t>
  </si>
  <si>
    <t>FX27</t>
  </si>
  <si>
    <t>Internal Vehicle Services</t>
  </si>
  <si>
    <t>FX28</t>
  </si>
  <si>
    <t>N4 - Vehicle Services</t>
  </si>
  <si>
    <t>FX29</t>
  </si>
  <si>
    <t>C3 - Place holder</t>
  </si>
  <si>
    <t>CB7</t>
  </si>
  <si>
    <t>FX30</t>
  </si>
  <si>
    <t>FX31</t>
  </si>
  <si>
    <t>FX32</t>
  </si>
  <si>
    <t>FX33</t>
  </si>
  <si>
    <t>Hydraulics 3</t>
  </si>
  <si>
    <t>FX34</t>
  </si>
  <si>
    <t>Controller Power Backup</t>
  </si>
  <si>
    <t>FX35</t>
  </si>
  <si>
    <t>DIO Gating</t>
  </si>
  <si>
    <t>FX36</t>
  </si>
  <si>
    <t>FX37</t>
  </si>
  <si>
    <t>C2 -  Controllers</t>
  </si>
  <si>
    <t>FX38</t>
  </si>
  <si>
    <t>C2 -  Sense A</t>
  </si>
  <si>
    <t>FX39</t>
  </si>
  <si>
    <t>C2 -  Sense B</t>
  </si>
  <si>
    <t>FX40</t>
  </si>
  <si>
    <t>C2 -  Back up</t>
  </si>
  <si>
    <t>F11.1</t>
  </si>
  <si>
    <t>FX41</t>
  </si>
  <si>
    <t>N5 - Controllers</t>
  </si>
  <si>
    <t>CB6</t>
  </si>
  <si>
    <t>F11.2</t>
  </si>
  <si>
    <t>FX42</t>
  </si>
  <si>
    <t>N5 - Sense A</t>
  </si>
  <si>
    <t>F11.3</t>
  </si>
  <si>
    <t>FX43</t>
  </si>
  <si>
    <t>N5 - Hydraulic Pump 1</t>
  </si>
  <si>
    <t>F11.4</t>
  </si>
  <si>
    <t>FX44</t>
  </si>
  <si>
    <t>N5 - Hydraulic Pump 2</t>
  </si>
  <si>
    <t>F12.1</t>
  </si>
  <si>
    <t>FX45</t>
  </si>
  <si>
    <t>N6 - HVH Controllers</t>
  </si>
  <si>
    <t>ERECTOR</t>
  </si>
  <si>
    <t>Fed From FX16</t>
  </si>
  <si>
    <t>F12.2</t>
  </si>
  <si>
    <t>FX46</t>
  </si>
  <si>
    <t>N6 - HVH Sense A</t>
  </si>
  <si>
    <t>F12.3</t>
  </si>
  <si>
    <t>FX47</t>
  </si>
  <si>
    <t>N6 - HVH Sense B</t>
  </si>
  <si>
    <t>F12.4</t>
  </si>
  <si>
    <t>FX48</t>
  </si>
  <si>
    <t>N6 - HVH Back up</t>
  </si>
  <si>
    <t>F12.5</t>
  </si>
  <si>
    <t>FX49</t>
  </si>
  <si>
    <t>additional sitop in CB1</t>
  </si>
  <si>
    <t>F12.6</t>
  </si>
  <si>
    <t>FX50</t>
  </si>
  <si>
    <t>Dest. Enclosure</t>
  </si>
  <si>
    <t>DC TERMINAL NAMING CONVENTION</t>
  </si>
  <si>
    <t>DC same naming as designation panels</t>
  </si>
  <si>
    <t>CB2</t>
  </si>
  <si>
    <t>AC01</t>
  </si>
  <si>
    <t>AC SUPPLY</t>
  </si>
  <si>
    <t>AC02</t>
  </si>
  <si>
    <t>AC MOTOR SUPPLY</t>
  </si>
  <si>
    <t>CB9.DC01</t>
  </si>
  <si>
    <t>DC01</t>
  </si>
  <si>
    <t>HV Batt 2 LEVEL from CB1</t>
  </si>
  <si>
    <t>CB4.DC01</t>
  </si>
  <si>
    <t>HYDRAULICS 3 LEVEL TO INST</t>
  </si>
  <si>
    <t>CB8.DC01</t>
  </si>
  <si>
    <t>Liquid Oxygen 2 LEVEL</t>
  </si>
  <si>
    <t>CB3.DC01</t>
  </si>
  <si>
    <t>IGNITER 2 LEVEL</t>
  </si>
  <si>
    <t>DC01-AVR</t>
  </si>
  <si>
    <t>AV RACK RPSUs CABLE</t>
  </si>
  <si>
    <t>CB4.DC02</t>
  </si>
  <si>
    <t>DC02</t>
  </si>
  <si>
    <t>HYDRAULICS 2 LEVEL FROM CB4</t>
  </si>
  <si>
    <t>CB1.DC02</t>
  </si>
  <si>
    <t>CB2.DC02</t>
  </si>
  <si>
    <t>IGNITER 3 LEVEL FROM F1</t>
  </si>
  <si>
    <t>CB3.DC02</t>
  </si>
  <si>
    <t>IGNITER 3 LEVEL</t>
  </si>
  <si>
    <t>CB3.DC03</t>
  </si>
  <si>
    <t>DC03</t>
  </si>
  <si>
    <t>DC03-AVR01</t>
  </si>
  <si>
    <t>AVR TERMINALS TO ERECTOR</t>
  </si>
  <si>
    <t>CB4.DC04</t>
  </si>
  <si>
    <t>DC04</t>
  </si>
  <si>
    <t>HYDRAULICS 3 LEVEL- CB4 To CB1</t>
  </si>
  <si>
    <t>CB1.DC04</t>
  </si>
  <si>
    <t>HYDRAULICS 3 LEVELCB1 TO CB4</t>
  </si>
  <si>
    <t>CB3.DC04</t>
  </si>
  <si>
    <t>CB1.DC050</t>
  </si>
  <si>
    <t>DC050</t>
  </si>
  <si>
    <t>WATER DELUGE CONNECTIONS 2 LEVEL</t>
  </si>
  <si>
    <t>F8.DC0901</t>
  </si>
  <si>
    <t>DC0901</t>
  </si>
  <si>
    <t>GNC TERMINALS FROM SOUTH VAULT</t>
  </si>
  <si>
    <t>F8.DC0902</t>
  </si>
  <si>
    <t>DC0902</t>
  </si>
  <si>
    <t>GNC TERMINALS TO UMBILICAL</t>
  </si>
  <si>
    <t>PANEL.DC0903</t>
  </si>
  <si>
    <t>DC0903</t>
  </si>
  <si>
    <t>PANEL.DC0904</t>
  </si>
  <si>
    <t>DC0904</t>
  </si>
  <si>
    <t>TO VEHICLE</t>
  </si>
  <si>
    <t>CB3.DC101</t>
  </si>
  <si>
    <t>DC101</t>
  </si>
  <si>
    <t>HYDRAULICS 2 LEVEL CB3 TO CB1</t>
  </si>
  <si>
    <t>CB1.DC101</t>
  </si>
  <si>
    <t>HYDRAULICS 2LEVEL FROM CB3</t>
  </si>
  <si>
    <t>CB3.DC102</t>
  </si>
  <si>
    <t>DC102</t>
  </si>
  <si>
    <t>CB3.DC103</t>
  </si>
  <si>
    <t>DC103</t>
  </si>
  <si>
    <t>HYDRAULICS 2 LEVEL TO INST</t>
  </si>
  <si>
    <t>CB1.DC12</t>
  </si>
  <si>
    <t>DC12</t>
  </si>
  <si>
    <t>HVAC CONNECTIONS 2 LEVEL</t>
  </si>
  <si>
    <t>CB3.DC150</t>
  </si>
  <si>
    <t>DC150</t>
  </si>
  <si>
    <t>CB3.DC151</t>
  </si>
  <si>
    <t>DC151</t>
  </si>
  <si>
    <t>CB1.DC200</t>
  </si>
  <si>
    <t>DC200</t>
  </si>
  <si>
    <t>HYDRAULICS 2 LEVEL FROM F2</t>
  </si>
  <si>
    <t>F2.DC200</t>
  </si>
  <si>
    <t>HYDRAULICS 2 LEVEL F2 TO CB1</t>
  </si>
  <si>
    <t>CB1.DC201</t>
  </si>
  <si>
    <t>DC201</t>
  </si>
  <si>
    <t>F2.DC201</t>
  </si>
  <si>
    <t>HYDRAULICS 2 LEVEL FIELD TO CB1</t>
  </si>
  <si>
    <t>DC202</t>
  </si>
  <si>
    <t>CB3.DC202</t>
  </si>
  <si>
    <t>HYDRAULICS F2 TO CB3</t>
  </si>
  <si>
    <t>CB1.DC202</t>
  </si>
  <si>
    <t>F2.DC202</t>
  </si>
  <si>
    <t>CB3.DC251</t>
  </si>
  <si>
    <t>DC251</t>
  </si>
  <si>
    <t>HYDRAULICS 3 LEVEL F2 TO CB3</t>
  </si>
  <si>
    <t>F2.DC251</t>
  </si>
  <si>
    <t>CB4.DC300</t>
  </si>
  <si>
    <t>DC300</t>
  </si>
  <si>
    <t>HYDRAULICS2 LEVEL F3 TO CB4</t>
  </si>
  <si>
    <t>F3.DC300</t>
  </si>
  <si>
    <t>HYDRAULICS 2LEVEL F3 TO CB4</t>
  </si>
  <si>
    <t>CB1.DC302</t>
  </si>
  <si>
    <t>DC302</t>
  </si>
  <si>
    <t>HYDRAULICS 2 LEVEL FROM F3</t>
  </si>
  <si>
    <t>F3.DC302</t>
  </si>
  <si>
    <t>HYDRAULICS 2 LEVEL F3 TO CB1</t>
  </si>
  <si>
    <t>CB4.DC350</t>
  </si>
  <si>
    <t>DC350</t>
  </si>
  <si>
    <t>HYDRAULICS 3 LEVEL- F3 To CB4</t>
  </si>
  <si>
    <t>F3.DC350</t>
  </si>
  <si>
    <t>HYDRAULICS 3 LEVEL F3 TO CB4</t>
  </si>
  <si>
    <t>CB1.DC401</t>
  </si>
  <si>
    <t>DC401</t>
  </si>
  <si>
    <t>HYDRAULICS 2 LEVEL CB1 FROM CB5</t>
  </si>
  <si>
    <t>CB5.DC401</t>
  </si>
  <si>
    <t>CB5.DC450</t>
  </si>
  <si>
    <t>DC450</t>
  </si>
  <si>
    <t>CB1.DC50</t>
  </si>
  <si>
    <t>DC50</t>
  </si>
  <si>
    <t>HVAC CONNECTIONS 3 LEVEL</t>
  </si>
  <si>
    <t>F1.DC501</t>
  </si>
  <si>
    <t>DC501</t>
  </si>
  <si>
    <t>CB1.DC501</t>
  </si>
  <si>
    <t>IGNITER 2 LEVEL FROM CB3</t>
  </si>
  <si>
    <t>CB1.DC502</t>
  </si>
  <si>
    <t>DC502</t>
  </si>
  <si>
    <t>F1.DC502</t>
  </si>
  <si>
    <t>CO2 CONNECTIONS 2 LEVEL</t>
  </si>
  <si>
    <t>CO2 CONNECTIONS 2 LEVEL FROM F1</t>
  </si>
  <si>
    <t>31.C.A.F1.F1.DC502</t>
  </si>
  <si>
    <t>GAS HELIUM CONNECTIONS 2 LEVEL FROM F1</t>
  </si>
  <si>
    <t>CB3.DC502</t>
  </si>
  <si>
    <t>GAS HELIUM CONNECTIONS 2 LEVEL</t>
  </si>
  <si>
    <t>31.C.A.F1.F1.DC503</t>
  </si>
  <si>
    <t>DC503</t>
  </si>
  <si>
    <t>CB2.DC503</t>
  </si>
  <si>
    <t>CO2 2 LEVEL F1 TO CB3</t>
  </si>
  <si>
    <t>GAS HELIUM 2 LEVEL F1 TO CB2</t>
  </si>
  <si>
    <t>31.C.A.F1.F1.DC504</t>
  </si>
  <si>
    <t>DC504</t>
  </si>
  <si>
    <t>GAS HELIUM 2 LEVEL</t>
  </si>
  <si>
    <t>CB1.DC510</t>
  </si>
  <si>
    <t>DC510</t>
  </si>
  <si>
    <t>S2 Umbilical Jettison 2 LEVEL FROM CB5</t>
  </si>
  <si>
    <t>CB5.CB5.DC510</t>
  </si>
  <si>
    <t>S2 Umbilical Jettison CONNECTIONS 2 LEVEL</t>
  </si>
  <si>
    <t>31.C.A.F1.F1.DC550</t>
  </si>
  <si>
    <t>CB2.DC550</t>
  </si>
  <si>
    <t>31.C.A.F1.F1.DC551</t>
  </si>
  <si>
    <t>DC551</t>
  </si>
  <si>
    <t>CO2 CONNECTIONS 3 LEVEL</t>
  </si>
  <si>
    <t>CB2.DC551</t>
  </si>
  <si>
    <t>CO2 CONNECTIONS 3 LEVEL FROM F1</t>
  </si>
  <si>
    <t>CB3.DC551</t>
  </si>
  <si>
    <t>WATER DELUGE CONNECTIONS 3 LEVEL</t>
  </si>
  <si>
    <t>CB4.CB4.DC551</t>
  </si>
  <si>
    <t>CB5.CB5.DC551</t>
  </si>
  <si>
    <t>CB2.DC553</t>
  </si>
  <si>
    <t>DC553</t>
  </si>
  <si>
    <t>CB8.DC553</t>
  </si>
  <si>
    <t>F1.DC555</t>
  </si>
  <si>
    <t>DC555</t>
  </si>
  <si>
    <t>GAS HELIUM 3 LEVEL</t>
  </si>
  <si>
    <t>CB3.DC556</t>
  </si>
  <si>
    <t>DC556</t>
  </si>
  <si>
    <t>GAS HELIUM CONNECTIONS 3 LEVEL</t>
  </si>
  <si>
    <t>CB6.DC60</t>
  </si>
  <si>
    <t>DC60</t>
  </si>
  <si>
    <t>CB6.DC61</t>
  </si>
  <si>
    <t>DC61</t>
  </si>
  <si>
    <t>CB8.DC800</t>
  </si>
  <si>
    <t>DC800</t>
  </si>
  <si>
    <t>FUELING 3 LEVEL</t>
  </si>
  <si>
    <t>CB8.DC850</t>
  </si>
  <si>
    <t>DC850</t>
  </si>
  <si>
    <t>FUELING 2 LEVEL</t>
  </si>
  <si>
    <t>CB8.DC950</t>
  </si>
  <si>
    <t>DC950</t>
  </si>
  <si>
    <t>CB8.DC951</t>
  </si>
  <si>
    <t>DC951</t>
  </si>
  <si>
    <t>Liquid Oxygen 3 LEVELCB8</t>
  </si>
  <si>
    <t>CB3.DC951</t>
  </si>
  <si>
    <t>CB9.F01</t>
  </si>
  <si>
    <t>F01</t>
  </si>
  <si>
    <t>24V Internal Componentry</t>
  </si>
  <si>
    <t>23.C.F01</t>
  </si>
  <si>
    <t>CB9.F02</t>
  </si>
  <si>
    <t>F02</t>
  </si>
  <si>
    <t>OUTPUTS</t>
  </si>
  <si>
    <t>CB9.F03</t>
  </si>
  <si>
    <t>F03</t>
  </si>
  <si>
    <t>SENSE</t>
  </si>
  <si>
    <t>F01.1 - Internal Componentry</t>
  </si>
  <si>
    <t>F01.2 - Hydraulics 1</t>
  </si>
  <si>
    <t>F01.3 - Hydraulics 2</t>
  </si>
  <si>
    <t>FX03- F2</t>
  </si>
  <si>
    <t>HYDRAULICS 2 FROM CB1 TO F2</t>
  </si>
  <si>
    <t>F01.4 - Lox Erector platorm launcher</t>
  </si>
  <si>
    <t>F02.1 - ECS 1</t>
  </si>
  <si>
    <t>F02.2 - ECS 2</t>
  </si>
  <si>
    <t>F02.3 - Igniter</t>
  </si>
  <si>
    <t>F02.4 - Kero Tank Purge</t>
  </si>
  <si>
    <t>F03.1 - Network</t>
  </si>
  <si>
    <t>A001.FX1</t>
  </si>
  <si>
    <t>FX1</t>
  </si>
  <si>
    <t>F08.1 - C5 - Controllers</t>
  </si>
  <si>
    <t>F03.2 - Auxillary</t>
  </si>
  <si>
    <t>F03.3 - Sense A</t>
  </si>
  <si>
    <t>FX11- F1</t>
  </si>
  <si>
    <t>SENSE A FROM CB2 TO F1</t>
  </si>
  <si>
    <t>F03.4 - Sense B</t>
  </si>
  <si>
    <t>FX12- F1</t>
  </si>
  <si>
    <t>SENSE B FROM CB2 TO F1</t>
  </si>
  <si>
    <t>SENSE B FROM CB1 TO F1</t>
  </si>
  <si>
    <t>F04.1 - CB1 Controllers</t>
  </si>
  <si>
    <t>F04.2 - AVR SUPPLY</t>
  </si>
  <si>
    <t>F04.3 - Spare</t>
  </si>
  <si>
    <t>F04.4 - Spare</t>
  </si>
  <si>
    <t>F05.1 - N2 Controllers</t>
  </si>
  <si>
    <t>.FX17-CB3</t>
  </si>
  <si>
    <t>FX17-CB3</t>
  </si>
  <si>
    <t>N2 - Controllers FROM CB1 TO CB3</t>
  </si>
  <si>
    <t>FX17-F2</t>
  </si>
  <si>
    <t>N2 Controllers FROM CB3 TO F2</t>
  </si>
  <si>
    <t>F05.2 - N2 Sense A</t>
  </si>
  <si>
    <t>FX18-CB3</t>
  </si>
  <si>
    <t>N2 SENSE FROM CB1 TO CB3</t>
  </si>
  <si>
    <t>FX18-F2</t>
  </si>
  <si>
    <t>N2 SENSE FROM CB3 TO F2</t>
  </si>
  <si>
    <t>F05.3 - N2 Sense B</t>
  </si>
  <si>
    <t>FX19-CB3</t>
  </si>
  <si>
    <t>N2 SENSE B FROM CB1 TO CB3</t>
  </si>
  <si>
    <t>FX19-F2</t>
  </si>
  <si>
    <t>A001.FX2</t>
  </si>
  <si>
    <t>FX2</t>
  </si>
  <si>
    <t>F08.2 - C5 - Sense A</t>
  </si>
  <si>
    <t>F05.4 - N2 Back up</t>
  </si>
  <si>
    <t>FX20-CB3</t>
  </si>
  <si>
    <t>N2 BACKUP FROM CB1 TO CB3</t>
  </si>
  <si>
    <t>FX20-F2</t>
  </si>
  <si>
    <t>N3 BACKUP FROM CB3 TO F2</t>
  </si>
  <si>
    <t>F06.1 - N3 Controllers</t>
  </si>
  <si>
    <t>FX21-CB4</t>
  </si>
  <si>
    <t>N3 - Controllers FROM CB1 TO CB4</t>
  </si>
  <si>
    <t>FX21-F3</t>
  </si>
  <si>
    <t>N3 CONTROLLERS FROM CB4 TO F3</t>
  </si>
  <si>
    <t>F06.2 - N3 Sense A</t>
  </si>
  <si>
    <t>FX22-CB4</t>
  </si>
  <si>
    <t>N3 SENSE FROM CB1 TO CB4</t>
  </si>
  <si>
    <t>FX22-F3</t>
  </si>
  <si>
    <t>N3 SENSE FROM CB4 FX22</t>
  </si>
  <si>
    <t>F06.3 - N3 Sense B</t>
  </si>
  <si>
    <t>FX23-CB4</t>
  </si>
  <si>
    <t>N3 SENSE B FROM CB1 TO CB4</t>
  </si>
  <si>
    <t>FX23-F3</t>
  </si>
  <si>
    <t>N3 SENSE FROM CB4 FX23</t>
  </si>
  <si>
    <t>F06.4 - N3 Spare</t>
  </si>
  <si>
    <t>FX24-CB4</t>
  </si>
  <si>
    <t>N3 BACKUP FROM CB1 TO CB4</t>
  </si>
  <si>
    <t>FX24-F3</t>
  </si>
  <si>
    <t>N3 BACKUP FROM CB4 TO F3</t>
  </si>
  <si>
    <t>F07.1 - N4 Controllers</t>
  </si>
  <si>
    <t>FX25-CB5</t>
  </si>
  <si>
    <t>N4 CONTROLLERS FROM CB1 TO CB5</t>
  </si>
  <si>
    <t>F07.2 - N4 Sense A</t>
  </si>
  <si>
    <t>FX26-CB5</t>
  </si>
  <si>
    <t>N4 SENSE A FROM CB1 TO CB5</t>
  </si>
  <si>
    <t>F07.3 - N4 Sense B</t>
  </si>
  <si>
    <t>FX27-CB5</t>
  </si>
  <si>
    <t>N4 SENSE B FROM CB1 TO CB5</t>
  </si>
  <si>
    <t>F07.4 - N4 Back up</t>
  </si>
  <si>
    <t>FX28-CB5</t>
  </si>
  <si>
    <t>N4 BACKUP FROM CB1 TO CB5</t>
  </si>
  <si>
    <t>F08.1- N5 Controllers</t>
  </si>
  <si>
    <t>A001.FX3</t>
  </si>
  <si>
    <t>FX3</t>
  </si>
  <si>
    <t>F08.3 - C5 - Hydraulic Pump 1</t>
  </si>
  <si>
    <t>F08.2- N5 Sense A</t>
  </si>
  <si>
    <t>F08.3- N5 Hydraulic Pump 1</t>
  </si>
  <si>
    <t>F08.4- N5 Hydraulic Pump 2</t>
  </si>
  <si>
    <t>F09.1- C2 Controller</t>
  </si>
  <si>
    <t>F09.2- C2 Sense A</t>
  </si>
  <si>
    <t>F09.3- C2 Sense B</t>
  </si>
  <si>
    <t>F09.4- C2 Back up</t>
  </si>
  <si>
    <t>F10.1- C3 Controllers</t>
  </si>
  <si>
    <t>F10.2- C3 Sense A</t>
  </si>
  <si>
    <t>F10.3- C3 Sense B</t>
  </si>
  <si>
    <t>A001.FX4</t>
  </si>
  <si>
    <t>FX4</t>
  </si>
  <si>
    <t>F08.4 - C5 - Hydraulic Pump 2</t>
  </si>
  <si>
    <t>F10.4- C3 Back up</t>
  </si>
  <si>
    <t>Card</t>
  </si>
  <si>
    <t>Slot</t>
  </si>
  <si>
    <t>Part Number</t>
  </si>
  <si>
    <t>Box Name</t>
  </si>
  <si>
    <t>Purpose</t>
  </si>
  <si>
    <t>AO 9266 - DSUB</t>
  </si>
  <si>
    <t>DO 9476 - DSUB</t>
  </si>
  <si>
    <t>DIO 9375 - DSUB</t>
  </si>
  <si>
    <t>AI 9208 - DSUB</t>
  </si>
  <si>
    <t>DI 9425 - DSUB</t>
  </si>
  <si>
    <t>TC 9213 - Spring-terminal</t>
  </si>
  <si>
    <t>DO1</t>
  </si>
  <si>
    <t>H:I</t>
  </si>
  <si>
    <t>Elec V.</t>
  </si>
  <si>
    <t>Master</t>
  </si>
  <si>
    <t>Pins</t>
  </si>
  <si>
    <t>IO Channels</t>
  </si>
  <si>
    <t>Pins (+,-)</t>
  </si>
  <si>
    <t>DO2</t>
  </si>
  <si>
    <t>LOx</t>
  </si>
  <si>
    <t>LOx Skid</t>
  </si>
  <si>
    <t>IN 0</t>
  </si>
  <si>
    <t>1,2,20,21</t>
  </si>
  <si>
    <t>DO3</t>
  </si>
  <si>
    <t>RP1 (KERO)</t>
  </si>
  <si>
    <t>RP1 Skid</t>
  </si>
  <si>
    <t>IN 1</t>
  </si>
  <si>
    <t>3,4,22,23</t>
  </si>
  <si>
    <t>DO4</t>
  </si>
  <si>
    <t>Node 1</t>
  </si>
  <si>
    <t>IN 2</t>
  </si>
  <si>
    <t>5,6,24,25</t>
  </si>
  <si>
    <t>DIO1</t>
  </si>
  <si>
    <t>ER - S/W</t>
  </si>
  <si>
    <t>Node 2</t>
  </si>
  <si>
    <t>IN 3</t>
  </si>
  <si>
    <t>7,8,26,27</t>
  </si>
  <si>
    <t>DIO3</t>
  </si>
  <si>
    <t>H:I FPGA</t>
  </si>
  <si>
    <t>N3</t>
  </si>
  <si>
    <t>ER - N/W</t>
  </si>
  <si>
    <t>Node 3</t>
  </si>
  <si>
    <t>IN 4</t>
  </si>
  <si>
    <t>11,12,30,31</t>
  </si>
  <si>
    <t>DIO4</t>
  </si>
  <si>
    <t>CB5</t>
  </si>
  <si>
    <t>ER - S.B.</t>
  </si>
  <si>
    <t>Node 4</t>
  </si>
  <si>
    <t>IN 5</t>
  </si>
  <si>
    <t>13,14,32,33</t>
  </si>
  <si>
    <t>AI17</t>
  </si>
  <si>
    <t>Equip V.</t>
  </si>
  <si>
    <t>Node 5 -</t>
  </si>
  <si>
    <t>IN 6</t>
  </si>
  <si>
    <t>15,16,34,35</t>
  </si>
  <si>
    <t>RTD5</t>
  </si>
  <si>
    <t>N6</t>
  </si>
  <si>
    <t>ER - HVBH</t>
  </si>
  <si>
    <t>Node 6 - HVBH</t>
  </si>
  <si>
    <t>IN 7</t>
  </si>
  <si>
    <t>17,18,36,37</t>
  </si>
  <si>
    <t>DI6</t>
  </si>
  <si>
    <t>Chromalux</t>
  </si>
  <si>
    <t>CB10</t>
  </si>
  <si>
    <t>IN 8</t>
  </si>
  <si>
    <t>DI8</t>
  </si>
  <si>
    <t>Gas P.</t>
  </si>
  <si>
    <t>Field Box 1</t>
  </si>
  <si>
    <t>IN 9</t>
  </si>
  <si>
    <t>DO7</t>
  </si>
  <si>
    <t>ER - S/E</t>
  </si>
  <si>
    <t>Field Box 2</t>
  </si>
  <si>
    <t>IN 10</t>
  </si>
  <si>
    <t>AI11</t>
  </si>
  <si>
    <t>Field Box 3</t>
  </si>
  <si>
    <t>IN 11</t>
  </si>
  <si>
    <t>AI14</t>
  </si>
  <si>
    <t>GNC-S1 Box</t>
  </si>
  <si>
    <t>Field Box 4</t>
  </si>
  <si>
    <t>IN 12</t>
  </si>
  <si>
    <t>AO6</t>
  </si>
  <si>
    <t>High Pressure GHe/GN2</t>
  </si>
  <si>
    <t>Field Box 5</t>
  </si>
  <si>
    <t>IN 13</t>
  </si>
  <si>
    <t>AO7</t>
  </si>
  <si>
    <t>Field Box 6</t>
  </si>
  <si>
    <t>IN 14</t>
  </si>
  <si>
    <t>DI7</t>
  </si>
  <si>
    <t>IN 15</t>
  </si>
  <si>
    <t>DO6</t>
  </si>
  <si>
    <t>OUT 0</t>
  </si>
  <si>
    <t>AI12</t>
  </si>
  <si>
    <t>OUT 1</t>
  </si>
  <si>
    <t>AO5</t>
  </si>
  <si>
    <t>OUT 2</t>
  </si>
  <si>
    <t>Breakout</t>
  </si>
  <si>
    <t>Total Cards</t>
  </si>
  <si>
    <t>Current Req.</t>
  </si>
  <si>
    <t>Last number sent to MARS</t>
  </si>
  <si>
    <t>Plus Spare</t>
  </si>
  <si>
    <t>Cost</t>
  </si>
  <si>
    <t>Total Extra Cost</t>
  </si>
  <si>
    <t>OUT 3</t>
  </si>
  <si>
    <t>NI 9923</t>
  </si>
  <si>
    <t>AI 9208</t>
  </si>
  <si>
    <t>$1,450.00</t>
  </si>
  <si>
    <t>$5,800.00</t>
  </si>
  <si>
    <t>OUT 4</t>
  </si>
  <si>
    <t>AO 9266</t>
  </si>
  <si>
    <t>$1,055.00</t>
  </si>
  <si>
    <t>$2,110.00</t>
  </si>
  <si>
    <t>OUT 5</t>
  </si>
  <si>
    <t>DI 9425</t>
  </si>
  <si>
    <t>$660.00</t>
  </si>
  <si>
    <t>$2,640.00</t>
  </si>
  <si>
    <t>OUT 6</t>
  </si>
  <si>
    <t>DI1</t>
  </si>
  <si>
    <t>DO 9476</t>
  </si>
  <si>
    <t>$690.00</t>
  </si>
  <si>
    <t>OUT 7</t>
  </si>
  <si>
    <t>RTD1</t>
  </si>
  <si>
    <t>RTD 9216</t>
  </si>
  <si>
    <t>$1,640.00</t>
  </si>
  <si>
    <t>$3,280.00</t>
  </si>
  <si>
    <t>OUT 8</t>
  </si>
  <si>
    <t>DI9</t>
  </si>
  <si>
    <t>VI 9209</t>
  </si>
  <si>
    <t>$1,085.00</t>
  </si>
  <si>
    <t>-$1,085.00</t>
  </si>
  <si>
    <t>OUT 9</t>
  </si>
  <si>
    <t>AI1</t>
  </si>
  <si>
    <t>DIO 9375</t>
  </si>
  <si>
    <t>$830.00</t>
  </si>
  <si>
    <t>$0.00</t>
  </si>
  <si>
    <t>OUT 10</t>
  </si>
  <si>
    <t>AI2</t>
  </si>
  <si>
    <t>OUT 11</t>
  </si>
  <si>
    <t>AO1</t>
  </si>
  <si>
    <t>Total</t>
  </si>
  <si>
    <t>$15,150.00</t>
  </si>
  <si>
    <t>OUT 12</t>
  </si>
  <si>
    <t>AO2</t>
  </si>
  <si>
    <t>NI 9213</t>
  </si>
  <si>
    <t>$1,975.00</t>
  </si>
  <si>
    <t>OUT 13</t>
  </si>
  <si>
    <t>AO3</t>
  </si>
  <si>
    <t>Breakout 9923</t>
  </si>
  <si>
    <t>OUT 14</t>
  </si>
  <si>
    <t>DI2</t>
  </si>
  <si>
    <t>Breakout 9940</t>
  </si>
  <si>
    <t>$245.00</t>
  </si>
  <si>
    <t>$1,715.00</t>
  </si>
  <si>
    <t>OUT 15</t>
  </si>
  <si>
    <t>AI3</t>
  </si>
  <si>
    <t>AI4</t>
  </si>
  <si>
    <t>RTD2</t>
  </si>
  <si>
    <t>AI15</t>
  </si>
  <si>
    <t>DI10</t>
  </si>
  <si>
    <t>RTD7</t>
  </si>
  <si>
    <t>RTD3</t>
  </si>
  <si>
    <t>DI3</t>
  </si>
  <si>
    <t>AI5</t>
  </si>
  <si>
    <t>AI6</t>
  </si>
  <si>
    <t>RTD4</t>
  </si>
  <si>
    <t>RTD6</t>
  </si>
  <si>
    <t>DI4</t>
  </si>
  <si>
    <t>AI7</t>
  </si>
  <si>
    <t>AI8</t>
  </si>
  <si>
    <t>DI5</t>
  </si>
  <si>
    <t>DO5</t>
  </si>
  <si>
    <t>AI9</t>
  </si>
  <si>
    <t>AI10</t>
  </si>
  <si>
    <t>AO4</t>
  </si>
  <si>
    <t>DIO2</t>
  </si>
  <si>
    <t>AI13</t>
  </si>
  <si>
    <t>TC01</t>
  </si>
  <si>
    <t>Modbus Gateway - Fuel</t>
  </si>
  <si>
    <t>Serial Gateway</t>
  </si>
  <si>
    <t>Interface cards</t>
  </si>
  <si>
    <t>Calibration Types</t>
  </si>
  <si>
    <t>Failure Severity</t>
  </si>
  <si>
    <t>Launch Modes</t>
  </si>
  <si>
    <t>Mode Forcing Digital Values</t>
  </si>
  <si>
    <t>Commands</t>
  </si>
  <si>
    <t>PRG</t>
  </si>
  <si>
    <t>Ts</t>
  </si>
  <si>
    <t>Strong Back</t>
  </si>
  <si>
    <t>Polynomial</t>
  </si>
  <si>
    <t>coefficients</t>
  </si>
  <si>
    <t>Low</t>
  </si>
  <si>
    <t>SET-NUMERIC-IO</t>
  </si>
  <si>
    <t>TC</t>
  </si>
  <si>
    <t>Ps</t>
  </si>
  <si>
    <t>Kero Skid Control</t>
  </si>
  <si>
    <t>RP-1</t>
  </si>
  <si>
    <t>Linear</t>
  </si>
  <si>
    <t>mx+C</t>
  </si>
  <si>
    <t>Minor</t>
  </si>
  <si>
    <t>Idle</t>
  </si>
  <si>
    <t>SET-BOOLEAN-IO</t>
  </si>
  <si>
    <t>HYD</t>
  </si>
  <si>
    <t>DVL</t>
  </si>
  <si>
    <t>Px</t>
  </si>
  <si>
    <t>Kero ISO Panel</t>
  </si>
  <si>
    <t>Mapped Range</t>
  </si>
  <si>
    <t>enter min &amp; max helps produce mX+C automatically</t>
  </si>
  <si>
    <t>major</t>
  </si>
  <si>
    <t>Checkout</t>
  </si>
  <si>
    <t>SET-BOOLEAN-VAR</t>
  </si>
  <si>
    <t>He</t>
  </si>
  <si>
    <t>LS</t>
  </si>
  <si>
    <t>Contact</t>
  </si>
  <si>
    <t>Ct</t>
  </si>
  <si>
    <t>Kero ISO Area</t>
  </si>
  <si>
    <t>Look up table</t>
  </si>
  <si>
    <t>series of mapped x &amp; Y points</t>
  </si>
  <si>
    <t>Catastrophic</t>
  </si>
  <si>
    <t>Remote</t>
  </si>
  <si>
    <t>SET-NUMERIC-VAR</t>
  </si>
  <si>
    <t>STR</t>
  </si>
  <si>
    <t>HTR</t>
  </si>
  <si>
    <t>MFs</t>
  </si>
  <si>
    <t>Kero Cart</t>
  </si>
  <si>
    <t>L/min</t>
  </si>
  <si>
    <t>V-Standby</t>
  </si>
  <si>
    <t>Igniter.Prime_S1_Umbi</t>
  </si>
  <si>
    <t>AG</t>
  </si>
  <si>
    <t>S1U</t>
  </si>
  <si>
    <t>MTR</t>
  </si>
  <si>
    <t>Distance</t>
  </si>
  <si>
    <t>Ds</t>
  </si>
  <si>
    <t>Kero Filter Skid</t>
  </si>
  <si>
    <t>Modbus - Digital Input</t>
  </si>
  <si>
    <t>V-Checks</t>
  </si>
  <si>
    <t>EP</t>
  </si>
  <si>
    <t>LFT</t>
  </si>
  <si>
    <t>Pos</t>
  </si>
  <si>
    <t>LAN</t>
  </si>
  <si>
    <t>Terminal</t>
  </si>
  <si>
    <t>KTP</t>
  </si>
  <si>
    <t>HD</t>
  </si>
  <si>
    <t>Pump</t>
  </si>
  <si>
    <t>PMP</t>
  </si>
  <si>
    <t>B</t>
  </si>
  <si>
    <t>RS-232</t>
  </si>
  <si>
    <t>Prime</t>
  </si>
  <si>
    <t>PC</t>
  </si>
  <si>
    <t>HPU</t>
  </si>
  <si>
    <t>PRS</t>
  </si>
  <si>
    <t>LVL</t>
  </si>
  <si>
    <t>Erector Base</t>
  </si>
  <si>
    <t>RS-485</t>
  </si>
  <si>
    <t>Autosequence</t>
  </si>
  <si>
    <t>WD</t>
  </si>
  <si>
    <t>Sumps</t>
  </si>
  <si>
    <t>SMP</t>
  </si>
  <si>
    <t>CT</t>
  </si>
  <si>
    <t>SPD</t>
  </si>
  <si>
    <t>LOX Skid</t>
  </si>
  <si>
    <t>N7</t>
  </si>
  <si>
    <t>Inhibit</t>
  </si>
  <si>
    <t>S2J</t>
  </si>
  <si>
    <t>Heating</t>
  </si>
  <si>
    <t>HT</t>
  </si>
  <si>
    <t>FM</t>
  </si>
  <si>
    <t>INCL</t>
  </si>
  <si>
    <t>Need Physical Layout</t>
  </si>
  <si>
    <t>mmWG</t>
  </si>
  <si>
    <t>PRV</t>
  </si>
  <si>
    <t>HYG</t>
  </si>
  <si>
    <t>WC</t>
  </si>
  <si>
    <t>North Gas Pad</t>
  </si>
  <si>
    <t>Kero Skid</t>
  </si>
  <si>
    <t>Litres</t>
  </si>
  <si>
    <t>AxCt</t>
  </si>
  <si>
    <t>MS</t>
  </si>
  <si>
    <t>F7</t>
  </si>
  <si>
    <t>PVL</t>
  </si>
  <si>
    <t>PxO</t>
  </si>
  <si>
    <t>VHE</t>
  </si>
  <si>
    <t>LF</t>
  </si>
  <si>
    <t>PSW</t>
  </si>
  <si>
    <t>PxC</t>
  </si>
  <si>
    <t>HVBH</t>
  </si>
  <si>
    <t>HF</t>
  </si>
  <si>
    <t>LE</t>
  </si>
  <si>
    <t>VFs</t>
  </si>
  <si>
    <t>Erector Ground South</t>
  </si>
  <si>
    <t>WA</t>
  </si>
  <si>
    <t>Payload Electrical Loom</t>
  </si>
  <si>
    <t>PLE</t>
  </si>
  <si>
    <t>MN</t>
  </si>
  <si>
    <t>SSR</t>
  </si>
  <si>
    <t>GV</t>
  </si>
  <si>
    <t>Erector Ground North</t>
  </si>
  <si>
    <t>VPM</t>
  </si>
  <si>
    <t>BU</t>
  </si>
  <si>
    <t>PXS</t>
  </si>
  <si>
    <t>PxE</t>
  </si>
  <si>
    <t>S1 Umb Box</t>
  </si>
  <si>
    <t>PL</t>
  </si>
  <si>
    <t>Automatic Flight Termination System</t>
  </si>
  <si>
    <t>AFTS</t>
  </si>
  <si>
    <t>PP</t>
  </si>
  <si>
    <t>INC</t>
  </si>
  <si>
    <t>PxR</t>
  </si>
  <si>
    <t>FGSE Box</t>
  </si>
  <si>
    <t>ASP</t>
  </si>
  <si>
    <t>CTL</t>
  </si>
  <si>
    <t>ST</t>
  </si>
  <si>
    <t>PSI-A</t>
  </si>
  <si>
    <t>Electron Fueling</t>
  </si>
  <si>
    <t>EF</t>
  </si>
  <si>
    <t>COT</t>
  </si>
  <si>
    <t>CD</t>
  </si>
  <si>
    <t>FGSE</t>
  </si>
  <si>
    <t>Pneumatics</t>
  </si>
  <si>
    <t>PNU</t>
  </si>
  <si>
    <t>AMP</t>
  </si>
  <si>
    <t>Mass</t>
  </si>
  <si>
    <t>Ms</t>
  </si>
  <si>
    <t>Electron</t>
  </si>
  <si>
    <t>VEH</t>
  </si>
  <si>
    <t>AUX</t>
  </si>
  <si>
    <t>LEV</t>
  </si>
  <si>
    <t>Dn</t>
  </si>
  <si>
    <t>KF</t>
  </si>
  <si>
    <t>Vapourizer</t>
  </si>
  <si>
    <t>VAP</t>
  </si>
  <si>
    <t>SLD</t>
  </si>
  <si>
    <t>Ox</t>
  </si>
  <si>
    <t>MEC</t>
  </si>
  <si>
    <t>LC</t>
  </si>
  <si>
    <t>Serial Converter</t>
  </si>
  <si>
    <t>SC</t>
  </si>
  <si>
    <t>GLEL</t>
  </si>
  <si>
    <t>CPWR</t>
  </si>
  <si>
    <t>Winch</t>
  </si>
  <si>
    <t>WCH</t>
  </si>
  <si>
    <t>Modbus Gateway</t>
  </si>
  <si>
    <t>MG</t>
  </si>
  <si>
    <t>MLEL</t>
  </si>
  <si>
    <t>BP</t>
  </si>
  <si>
    <t>Safety</t>
  </si>
  <si>
    <t>SAF</t>
  </si>
  <si>
    <t>FX</t>
  </si>
  <si>
    <t>FARU</t>
  </si>
  <si>
    <t>FLC</t>
  </si>
  <si>
    <t>EV</t>
  </si>
  <si>
    <t>Vs</t>
  </si>
  <si>
    <t>DO8</t>
  </si>
  <si>
    <t>TMP</t>
  </si>
  <si>
    <t>S2H</t>
  </si>
  <si>
    <t>SS</t>
  </si>
  <si>
    <t>DO9</t>
  </si>
  <si>
    <t>EXM</t>
  </si>
  <si>
    <t>RB</t>
  </si>
  <si>
    <t>FS</t>
  </si>
  <si>
    <t>DO10</t>
  </si>
  <si>
    <t>Lift off detect</t>
  </si>
  <si>
    <t>LOD</t>
  </si>
  <si>
    <t>EREG</t>
  </si>
  <si>
    <t>KI</t>
  </si>
  <si>
    <t>OXS</t>
  </si>
  <si>
    <t>KC</t>
  </si>
  <si>
    <t>LEL</t>
  </si>
  <si>
    <t>HR</t>
  </si>
  <si>
    <t>SAFTEY-RELAY</t>
  </si>
  <si>
    <t>FTC</t>
  </si>
  <si>
    <t>PSU</t>
  </si>
  <si>
    <t>LS1</t>
  </si>
  <si>
    <t>S2U</t>
  </si>
  <si>
    <t>HSE</t>
  </si>
  <si>
    <t>AO9</t>
  </si>
  <si>
    <t>TF</t>
  </si>
  <si>
    <t>AO10</t>
  </si>
  <si>
    <t>FSE</t>
  </si>
  <si>
    <t>HDL</t>
  </si>
  <si>
    <t>CL</t>
  </si>
  <si>
    <t>Kero Skid Modbus Gateway</t>
  </si>
  <si>
    <t>OL</t>
  </si>
  <si>
    <t>RST</t>
  </si>
  <si>
    <t>LS2</t>
  </si>
  <si>
    <t>LT1</t>
  </si>
  <si>
    <t>LT2</t>
  </si>
  <si>
    <t>LG</t>
  </si>
  <si>
    <t>LD</t>
  </si>
  <si>
    <t>KS</t>
  </si>
  <si>
    <t>Line Chill Stage 1</t>
  </si>
  <si>
    <t>LC1</t>
  </si>
  <si>
    <t>LC2.1</t>
  </si>
  <si>
    <t>LC2.2</t>
  </si>
  <si>
    <t>LCF</t>
  </si>
  <si>
    <t>LX1</t>
  </si>
  <si>
    <t>FS1</t>
  </si>
  <si>
    <t>ECP</t>
  </si>
  <si>
    <t>TL</t>
  </si>
  <si>
    <t>INTF</t>
  </si>
  <si>
    <t>MA</t>
  </si>
  <si>
    <t>ZT</t>
  </si>
  <si>
    <t>CTRL</t>
  </si>
  <si>
    <t>TR</t>
  </si>
  <si>
    <t>LX2</t>
  </si>
  <si>
    <t>FACE S2</t>
  </si>
  <si>
    <t>FS2</t>
  </si>
  <si>
    <t>SPLY</t>
  </si>
  <si>
    <t>ACC</t>
  </si>
  <si>
    <t>ESTOP</t>
  </si>
  <si>
    <t>GRID</t>
  </si>
  <si>
    <t>This spreadsheet is linked to the received Hyspecs document. If this the original is changed, this will change.</t>
  </si>
  <si>
    <t>Component Type</t>
  </si>
  <si>
    <t>Commodity Designator (First 2 Numbers)</t>
  </si>
  <si>
    <t>Site Designator</t>
  </si>
  <si>
    <t>Component Designation</t>
  </si>
  <si>
    <t>Commodity Vessel</t>
  </si>
  <si>
    <t>Vessel Identification Number</t>
  </si>
  <si>
    <t>System Locator Identification</t>
  </si>
  <si>
    <t>Numbers</t>
  </si>
  <si>
    <t xml:space="preserve">Regulators </t>
  </si>
  <si>
    <t>REG</t>
  </si>
  <si>
    <r>
      <rPr>
        <b/>
        <sz val="20"/>
        <color rgb="FF000000"/>
        <rFont val="Calibri (Body)_x0000_"/>
      </rPr>
      <t>01</t>
    </r>
    <r>
      <rPr>
        <sz val="20"/>
        <color rgb="FF000000"/>
        <rFont val="Calibri"/>
      </rPr>
      <t xml:space="preserve"> - Rocket Propellant 1 (RP-1)</t>
    </r>
  </si>
  <si>
    <r>
      <t>REG-XXC</t>
    </r>
    <r>
      <rPr>
        <b/>
        <sz val="20"/>
        <color rgb="FF000000"/>
        <rFont val="Calibri (Body)_x0000_"/>
      </rPr>
      <t>0</t>
    </r>
    <r>
      <rPr>
        <sz val="20"/>
        <color rgb="FF000000"/>
        <rFont val="Calibri"/>
      </rPr>
      <t>XX</t>
    </r>
  </si>
  <si>
    <t>Manual Valves</t>
  </si>
  <si>
    <t>MV</t>
  </si>
  <si>
    <r>
      <rPr>
        <b/>
        <sz val="20"/>
        <color rgb="FF000000"/>
        <rFont val="Calibri (Body)_x0000_"/>
      </rPr>
      <t>02</t>
    </r>
    <r>
      <rPr>
        <sz val="20"/>
        <color rgb="FF000000"/>
        <rFont val="Calibri"/>
      </rPr>
      <t xml:space="preserve"> - Liquid Oxygen (LO2)</t>
    </r>
  </si>
  <si>
    <r>
      <t>XX</t>
    </r>
    <r>
      <rPr>
        <b/>
        <sz val="20"/>
        <color rgb="FF000000"/>
        <rFont val="Calibri (Body)_x0000_"/>
      </rPr>
      <t>C</t>
    </r>
    <r>
      <rPr>
        <sz val="20"/>
        <color rgb="FF000000"/>
        <rFont val="Calibri"/>
      </rPr>
      <t>XXX</t>
    </r>
  </si>
  <si>
    <r>
      <t>MV-XXC</t>
    </r>
    <r>
      <rPr>
        <b/>
        <sz val="20"/>
        <color rgb="FF000000"/>
        <rFont val="Calibri (Body)_x0000_"/>
      </rPr>
      <t>1</t>
    </r>
    <r>
      <rPr>
        <sz val="20"/>
        <color rgb="FF000000"/>
        <rFont val="Calibri"/>
      </rPr>
      <t>XX</t>
    </r>
  </si>
  <si>
    <t xml:space="preserve">RP-1 Transfer Trailer </t>
  </si>
  <si>
    <t>MARS C1</t>
  </si>
  <si>
    <t>Storage Area</t>
  </si>
  <si>
    <r>
      <t>(commodity id)XXC</t>
    </r>
    <r>
      <rPr>
        <b/>
        <sz val="20"/>
        <color rgb="FF000000"/>
        <rFont val="Calibri (Body)_x0000_"/>
      </rPr>
      <t>10</t>
    </r>
  </si>
  <si>
    <t>Relief Valves</t>
  </si>
  <si>
    <t>RV</t>
  </si>
  <si>
    <r>
      <rPr>
        <b/>
        <sz val="20"/>
        <color rgb="FF000000"/>
        <rFont val="Calibri (Body)_x0000_"/>
      </rPr>
      <t>03</t>
    </r>
    <r>
      <rPr>
        <sz val="20"/>
        <color rgb="FF000000"/>
        <rFont val="Calibri"/>
      </rPr>
      <t xml:space="preserve"> - Liquid Nitrogen (LN2)</t>
    </r>
  </si>
  <si>
    <r>
      <t>RV-XXC</t>
    </r>
    <r>
      <rPr>
        <b/>
        <sz val="20"/>
        <color rgb="FF000000"/>
        <rFont val="Calibri (Body)_x0000_"/>
      </rPr>
      <t>2</t>
    </r>
    <r>
      <rPr>
        <sz val="20"/>
        <color rgb="FF000000"/>
        <rFont val="Calibri"/>
      </rPr>
      <t>XX</t>
    </r>
  </si>
  <si>
    <t xml:space="preserve">LO2 Tank 1 </t>
  </si>
  <si>
    <t>MARS C2</t>
  </si>
  <si>
    <t>Transfer Skid or Panel</t>
  </si>
  <si>
    <r>
      <t>XXC</t>
    </r>
    <r>
      <rPr>
        <b/>
        <sz val="20"/>
        <color rgb="FF000000"/>
        <rFont val="Calibri (Body)_x0000_"/>
      </rPr>
      <t>20</t>
    </r>
  </si>
  <si>
    <t>Proportional/Discrete Valves</t>
  </si>
  <si>
    <t>PCV</t>
  </si>
  <si>
    <r>
      <rPr>
        <b/>
        <sz val="20"/>
        <color rgb="FF000000"/>
        <rFont val="Calibri (Body)_x0000_"/>
      </rPr>
      <t>04</t>
    </r>
    <r>
      <rPr>
        <sz val="20"/>
        <color rgb="FF000000"/>
        <rFont val="Calibri"/>
      </rPr>
      <t xml:space="preserve"> - Gaseous Helium (GHe)</t>
    </r>
  </si>
  <si>
    <r>
      <t>PCVN/O-XXC</t>
    </r>
    <r>
      <rPr>
        <b/>
        <sz val="20"/>
        <color rgb="FF000000"/>
        <rFont val="Calibri (Body)_x0000_"/>
      </rPr>
      <t>3</t>
    </r>
    <r>
      <rPr>
        <sz val="20"/>
        <color rgb="FF000000"/>
        <rFont val="Calibri"/>
      </rPr>
      <t>XX</t>
    </r>
  </si>
  <si>
    <t>LO2 Tank 2</t>
  </si>
  <si>
    <t>MARS C3</t>
  </si>
  <si>
    <t>Launch Mount / Erector</t>
  </si>
  <si>
    <r>
      <t>XXC</t>
    </r>
    <r>
      <rPr>
        <b/>
        <sz val="20"/>
        <color rgb="FF000000"/>
        <rFont val="Calibri (Body)_x0000_"/>
      </rPr>
      <t>30</t>
    </r>
  </si>
  <si>
    <t>Discrete Valves</t>
  </si>
  <si>
    <t>DCV</t>
  </si>
  <si>
    <r>
      <rPr>
        <b/>
        <sz val="20"/>
        <color rgb="FF000000"/>
        <rFont val="Calibri (Body)_x0000_"/>
      </rPr>
      <t>05</t>
    </r>
    <r>
      <rPr>
        <sz val="20"/>
        <color rgb="FF000000"/>
        <rFont val="Calibri"/>
      </rPr>
      <t xml:space="preserve"> - Gaseous Nitrogen (GN2)</t>
    </r>
  </si>
  <si>
    <r>
      <t>DCVN/C-XXC</t>
    </r>
    <r>
      <rPr>
        <b/>
        <sz val="20"/>
        <color rgb="FF000000"/>
        <rFont val="Calibri (Body)_x0000_"/>
      </rPr>
      <t>3</t>
    </r>
    <r>
      <rPr>
        <sz val="20"/>
        <color rgb="FF000000"/>
        <rFont val="Calibri"/>
      </rPr>
      <t>XX</t>
    </r>
  </si>
  <si>
    <t>Electronic Solenoid Valves</t>
  </si>
  <si>
    <r>
      <rPr>
        <b/>
        <sz val="20"/>
        <color rgb="FF000000"/>
        <rFont val="Calibri (Body)_x0000_"/>
      </rPr>
      <t>08</t>
    </r>
    <r>
      <rPr>
        <sz val="20"/>
        <color rgb="FF000000"/>
        <rFont val="Calibri"/>
      </rPr>
      <t xml:space="preserve"> - Hydraulic Systems</t>
    </r>
  </si>
  <si>
    <r>
      <t>EV-XXC</t>
    </r>
    <r>
      <rPr>
        <b/>
        <sz val="20"/>
        <color rgb="FF000000"/>
        <rFont val="Calibri (Body)_x0000_"/>
      </rPr>
      <t>3</t>
    </r>
    <r>
      <rPr>
        <sz val="20"/>
        <color rgb="FF000000"/>
        <rFont val="Calibri"/>
      </rPr>
      <t>XX</t>
    </r>
  </si>
  <si>
    <t>Check Valves</t>
  </si>
  <si>
    <t>CKV</t>
  </si>
  <si>
    <r>
      <rPr>
        <b/>
        <sz val="20"/>
        <color rgb="FF000000"/>
        <rFont val="Calibri (Body)_x0000_"/>
      </rPr>
      <t>12</t>
    </r>
    <r>
      <rPr>
        <sz val="20"/>
        <color rgb="FF000000"/>
        <rFont val="Calibri"/>
      </rPr>
      <t xml:space="preserve"> - Industrial Air System </t>
    </r>
  </si>
  <si>
    <r>
      <t>CKV-XXC</t>
    </r>
    <r>
      <rPr>
        <b/>
        <sz val="20"/>
        <color rgb="FF000000"/>
        <rFont val="Calibri (Body)_x0000_"/>
      </rPr>
      <t>4</t>
    </r>
    <r>
      <rPr>
        <sz val="20"/>
        <color rgb="FF000000"/>
        <rFont val="Calibri"/>
      </rPr>
      <t>XX</t>
    </r>
  </si>
  <si>
    <t>Flex Hose Assemblies</t>
  </si>
  <si>
    <t>FHA</t>
  </si>
  <si>
    <r>
      <rPr>
        <b/>
        <sz val="20"/>
        <color rgb="FF000000"/>
        <rFont val="Calibri (Body)_x0000_"/>
      </rPr>
      <t xml:space="preserve">13 </t>
    </r>
    <r>
      <rPr>
        <sz val="20"/>
        <color rgb="FF000000"/>
        <rFont val="Calibri"/>
      </rPr>
      <t>- Miscellanous Inert (CO2)</t>
    </r>
  </si>
  <si>
    <r>
      <t>FHA-XXC</t>
    </r>
    <r>
      <rPr>
        <b/>
        <sz val="20"/>
        <color rgb="FF000000"/>
        <rFont val="Calibri (Body)_x0000_"/>
      </rPr>
      <t>5</t>
    </r>
    <r>
      <rPr>
        <sz val="20"/>
        <color rgb="FF000000"/>
        <rFont val="Calibri"/>
      </rPr>
      <t>XX</t>
    </r>
  </si>
  <si>
    <t>Pressure Gauges</t>
  </si>
  <si>
    <t>PG</t>
  </si>
  <si>
    <r>
      <rPr>
        <b/>
        <sz val="20"/>
        <color rgb="FF000000"/>
        <rFont val="Calibri (Body)_x0000_"/>
      </rPr>
      <t xml:space="preserve">14 </t>
    </r>
    <r>
      <rPr>
        <sz val="20"/>
        <color rgb="FF000000"/>
        <rFont val="Calibri"/>
      </rPr>
      <t>- Miscellaneous Fuel (Methane, Hexane)</t>
    </r>
  </si>
  <si>
    <r>
      <t>PG-XXC</t>
    </r>
    <r>
      <rPr>
        <b/>
        <sz val="20"/>
        <color rgb="FF000000"/>
        <rFont val="Calibri (Body)_x0000_"/>
      </rPr>
      <t>6</t>
    </r>
    <r>
      <rPr>
        <sz val="20"/>
        <color rgb="FF000000"/>
        <rFont val="Calibri"/>
      </rPr>
      <t>XX</t>
    </r>
  </si>
  <si>
    <t>Sight Glass</t>
  </si>
  <si>
    <t>SG</t>
  </si>
  <si>
    <r>
      <rPr>
        <b/>
        <sz val="20"/>
        <color rgb="FF000000"/>
        <rFont val="Calibri (Body)_x0000_"/>
      </rPr>
      <t>15</t>
    </r>
    <r>
      <rPr>
        <sz val="20"/>
        <color rgb="FF000000"/>
        <rFont val="Calibri"/>
      </rPr>
      <t xml:space="preserve"> - Miscellaneous Oxidizer (GOX, H202)</t>
    </r>
  </si>
  <si>
    <r>
      <t>SG-XXC</t>
    </r>
    <r>
      <rPr>
        <b/>
        <sz val="20"/>
        <color rgb="FF000000"/>
        <rFont val="Calibri (Body)_x0000_"/>
      </rPr>
      <t>6</t>
    </r>
    <r>
      <rPr>
        <sz val="20"/>
        <color rgb="FF000000"/>
        <rFont val="Calibri (Body)_x0000_"/>
      </rPr>
      <t>XX</t>
    </r>
  </si>
  <si>
    <t>Pressure Builders</t>
  </si>
  <si>
    <t>PB</t>
  </si>
  <si>
    <r>
      <rPr>
        <b/>
        <sz val="20"/>
        <color rgb="FF000000"/>
        <rFont val="Calibri (Body)_x0000_"/>
      </rPr>
      <t xml:space="preserve">41 </t>
    </r>
    <r>
      <rPr>
        <sz val="20"/>
        <color rgb="FF000000"/>
        <rFont val="Calibri"/>
      </rPr>
      <t>- Deluge</t>
    </r>
  </si>
  <si>
    <r>
      <t>PB-XXC</t>
    </r>
    <r>
      <rPr>
        <b/>
        <sz val="20"/>
        <color rgb="FF000000"/>
        <rFont val="Calibri (Body)_x0000_"/>
      </rPr>
      <t>67</t>
    </r>
    <r>
      <rPr>
        <sz val="20"/>
        <color rgb="FF000000"/>
        <rFont val="Calibri"/>
      </rPr>
      <t>X</t>
    </r>
  </si>
  <si>
    <t>Burst Disk</t>
  </si>
  <si>
    <t>BD</t>
  </si>
  <si>
    <r>
      <t>BD-XXC</t>
    </r>
    <r>
      <rPr>
        <b/>
        <sz val="20"/>
        <color rgb="FF000000"/>
        <rFont val="Calibri (Body)_x0000_"/>
      </rPr>
      <t>68</t>
    </r>
    <r>
      <rPr>
        <sz val="20"/>
        <color rgb="FF000000"/>
        <rFont val="Calibri"/>
      </rPr>
      <t>X</t>
    </r>
  </si>
  <si>
    <t xml:space="preserve">Ignitors </t>
  </si>
  <si>
    <r>
      <t>IGN-XXC</t>
    </r>
    <r>
      <rPr>
        <b/>
        <sz val="20"/>
        <color rgb="FF000000"/>
        <rFont val="Calibri (Body)_x0000_"/>
      </rPr>
      <t>68</t>
    </r>
    <r>
      <rPr>
        <sz val="20"/>
        <color rgb="FF000000"/>
        <rFont val="Calibri"/>
      </rPr>
      <t>X</t>
    </r>
  </si>
  <si>
    <t>Pumps</t>
  </si>
  <si>
    <r>
      <t>PMP-XXC</t>
    </r>
    <r>
      <rPr>
        <b/>
        <sz val="20"/>
        <color rgb="FF000000"/>
        <rFont val="Calibri (Body)_x0000_"/>
      </rPr>
      <t>69</t>
    </r>
    <r>
      <rPr>
        <sz val="20"/>
        <color rgb="FF000000"/>
        <rFont val="Calibri"/>
      </rPr>
      <t>X</t>
    </r>
  </si>
  <si>
    <t>Flow Meters</t>
  </si>
  <si>
    <r>
      <t>FM-XXC</t>
    </r>
    <r>
      <rPr>
        <b/>
        <sz val="20"/>
        <color rgb="FF000000"/>
        <rFont val="Calibri (Body)_x0000_"/>
      </rPr>
      <t>7</t>
    </r>
    <r>
      <rPr>
        <sz val="20"/>
        <color rgb="FF000000"/>
        <rFont val="Calibri"/>
      </rPr>
      <t>XX</t>
    </r>
  </si>
  <si>
    <t>Heaters</t>
  </si>
  <si>
    <r>
      <t>HTR-XXC</t>
    </r>
    <r>
      <rPr>
        <b/>
        <sz val="20"/>
        <color rgb="FF000000"/>
        <rFont val="Calibri (Body)_x0000_"/>
      </rPr>
      <t>75</t>
    </r>
    <r>
      <rPr>
        <sz val="20"/>
        <color rgb="FF000000"/>
        <rFont val="Calibri"/>
      </rPr>
      <t>X</t>
    </r>
  </si>
  <si>
    <t>Filters</t>
  </si>
  <si>
    <t>FIL</t>
  </si>
  <si>
    <r>
      <t>FIL-XXC</t>
    </r>
    <r>
      <rPr>
        <b/>
        <sz val="20"/>
        <color rgb="FF000000"/>
        <rFont val="Calibri (Body)_x0000_"/>
      </rPr>
      <t>8</t>
    </r>
    <r>
      <rPr>
        <sz val="20"/>
        <color rgb="FF000000"/>
        <rFont val="Calibri"/>
      </rPr>
      <t>XX</t>
    </r>
  </si>
  <si>
    <t>PS</t>
  </si>
  <si>
    <r>
      <t>PS-XXC</t>
    </r>
    <r>
      <rPr>
        <b/>
        <sz val="20"/>
        <color rgb="FF000000"/>
        <rFont val="Calibri (Body)_x0000_"/>
      </rPr>
      <t>9</t>
    </r>
    <r>
      <rPr>
        <sz val="20"/>
        <color rgb="FF000000"/>
        <rFont val="Calibri"/>
      </rPr>
      <t>XX</t>
    </r>
  </si>
  <si>
    <t>Temperature Sensors</t>
  </si>
  <si>
    <r>
      <t>TS-XXC</t>
    </r>
    <r>
      <rPr>
        <b/>
        <sz val="20"/>
        <color rgb="FF000000"/>
        <rFont val="Calibri (Body)_x0000_"/>
      </rPr>
      <t>9</t>
    </r>
    <r>
      <rPr>
        <sz val="20"/>
        <color rgb="FF000000"/>
        <rFont val="Calibri"/>
      </rPr>
      <t>XX</t>
    </r>
  </si>
  <si>
    <t>Level Sensors</t>
  </si>
  <si>
    <r>
      <t>LS-XXC</t>
    </r>
    <r>
      <rPr>
        <b/>
        <sz val="20"/>
        <color rgb="FF000000"/>
        <rFont val="Calibri (Body)_x0000_"/>
      </rPr>
      <t>9</t>
    </r>
    <r>
      <rPr>
        <sz val="20"/>
        <color rgb="FF000000"/>
        <rFont val="Calibri"/>
      </rPr>
      <t>XX</t>
    </r>
  </si>
  <si>
    <t>Moisture Sensor</t>
  </si>
  <si>
    <r>
      <t>MS-XXC</t>
    </r>
    <r>
      <rPr>
        <b/>
        <sz val="20"/>
        <color rgb="FF000000"/>
        <rFont val="Calibri (Body)_x0000_"/>
      </rPr>
      <t>9</t>
    </r>
    <r>
      <rPr>
        <sz val="20"/>
        <color rgb="FF000000"/>
        <rFont val="Calibri"/>
      </rPr>
      <t>XX</t>
    </r>
  </si>
  <si>
    <t>HG</t>
  </si>
  <si>
    <r>
      <t>HG-XXC</t>
    </r>
    <r>
      <rPr>
        <b/>
        <sz val="20"/>
        <color rgb="FF000000"/>
        <rFont val="Calibri (Body)_x0000_"/>
      </rPr>
      <t>9</t>
    </r>
    <r>
      <rPr>
        <sz val="20"/>
        <color rgb="FF000000"/>
        <rFont val="Calibri"/>
      </rPr>
      <t>XX</t>
    </r>
  </si>
  <si>
    <t>Vapor Detection Sensor</t>
  </si>
  <si>
    <t>VDS</t>
  </si>
  <si>
    <r>
      <t>VDS-XXC</t>
    </r>
    <r>
      <rPr>
        <b/>
        <sz val="20"/>
        <color rgb="FF000000"/>
        <rFont val="Calibri (Body)_x0000_"/>
      </rPr>
      <t>9</t>
    </r>
    <r>
      <rPr>
        <sz val="20"/>
        <color rgb="FF000000"/>
        <rFont val="Calibri"/>
      </rPr>
      <t>XX</t>
    </r>
  </si>
  <si>
    <r>
      <t>INC-XXC</t>
    </r>
    <r>
      <rPr>
        <b/>
        <sz val="10"/>
        <rFont val="Arial"/>
      </rPr>
      <t>9</t>
    </r>
    <r>
      <rPr>
        <sz val="10"/>
        <color rgb="FF000000"/>
        <rFont val="Arial"/>
      </rPr>
      <t>XX</t>
    </r>
  </si>
  <si>
    <t>**Component Designation numbers defined for LC-2 use only.</t>
  </si>
  <si>
    <t>Complete</t>
  </si>
  <si>
    <r>
      <t xml:space="preserve">In the drawing but RTD model </t>
    </r>
    <r>
      <rPr>
        <b/>
        <u/>
        <sz val="10"/>
        <rFont val="Arial"/>
      </rPr>
      <t>may</t>
    </r>
    <r>
      <rPr>
        <b/>
        <sz val="10"/>
        <rFont val="Arial"/>
      </rPr>
      <t xml:space="preserve"> </t>
    </r>
    <r>
      <rPr>
        <sz val="10"/>
        <color rgb="FF000000"/>
        <rFont val="Arial"/>
      </rPr>
      <t>not be selected yet</t>
    </r>
  </si>
  <si>
    <t>Thermocouples. Supplied by Chromalux. Not read by RL's system!</t>
  </si>
  <si>
    <t>Missing</t>
  </si>
  <si>
    <t>Find No.</t>
  </si>
  <si>
    <t>Source BOX</t>
  </si>
  <si>
    <t>Source</t>
  </si>
  <si>
    <t>Component Destination</t>
  </si>
  <si>
    <t>Fairing ECS Interface|Umbilical Temperature 1</t>
  </si>
  <si>
    <t>05C952.1</t>
  </si>
  <si>
    <t>Interstage 2 Interface/Umbilical Temperature</t>
  </si>
  <si>
    <t>Interstage 1 Interface/Umbilical Temperature</t>
  </si>
  <si>
    <t>Fairing ECS Heater 1 Outlet Temperature</t>
  </si>
  <si>
    <t>Interstage 2 ECS Heater 1 Outlet Temperature</t>
  </si>
  <si>
    <t>Interstage 1 ECS Heater 1 Outlet Temperature</t>
  </si>
  <si>
    <t>Power Pack ECS Heater 1 Outlet Temperature</t>
  </si>
  <si>
    <t xml:space="preserve">Power Pack ECS Heater 2 Outlet Temperature </t>
  </si>
  <si>
    <t>LO2 PMP-02C691 Inlet Temperature Sensor</t>
  </si>
  <si>
    <t>LO2 PMP-02C691 Outlet Temperature Sensor</t>
  </si>
  <si>
    <t>LO2 Flow Control Skid Outlet Temperature Sensor</t>
  </si>
  <si>
    <t>LO2 PMP-02C692 Outlet Temperature Sensor</t>
  </si>
  <si>
    <t>LO2 PMP-02C692 Inlet Temperature Sensor</t>
  </si>
  <si>
    <t>Temperature Sensor S1 Interface</t>
  </si>
  <si>
    <t>LO2 Strongback Vent Temp Sensor</t>
  </si>
  <si>
    <t>Fairing LN2 Supply Temperature Sensor</t>
  </si>
  <si>
    <t>Interstage 1 LN2 Supply Temperature Sensor</t>
  </si>
  <si>
    <t>Interstage 2 LN2 Supply Temperature Sensor</t>
  </si>
  <si>
    <t>Stage 1 LN2 Supply Temperature Sensor</t>
  </si>
  <si>
    <t>05C952.2</t>
  </si>
  <si>
    <t>05C952.3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</si>
</sst>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yyyy\-mm\-dd"/>
    <numFmt numFmtId="166" formatCode="[$$]#,##0.00"/>
  </numFmts>
  <fonts count="32">
    <font>
      <sz val="10"/>
      <color rgb="FF000000"/>
      <name val="Arial"/>
    </font>
    <font>
      <b/>
      <u/>
      <sz val="24"/>
      <color rgb="FFFF0000"/>
      <name val="Arial"/>
    </font>
    <font>
      <b/>
      <sz val="10"/>
      <color rgb="FF000000"/>
      <name val="Arial"/>
    </font>
    <font>
      <b/>
      <sz val="10"/>
      <name val="Arial"/>
    </font>
    <font>
      <sz val="10"/>
      <name val="Arial"/>
    </font>
    <font>
      <sz val="12"/>
      <color rgb="FF000000"/>
      <name val="Calibri"/>
    </font>
    <font>
      <sz val="10"/>
      <color rgb="FF000000"/>
      <name val="Arial"/>
    </font>
    <font>
      <sz val="11"/>
      <color rgb="FF000000"/>
      <name val="Inconsolata"/>
    </font>
    <font>
      <strike/>
      <sz val="10"/>
      <name val="Arial"/>
    </font>
    <font>
      <sz val="11"/>
      <color rgb="FF000000"/>
      <name val="Calibri"/>
    </font>
    <font>
      <sz val="11"/>
      <name val="Calibri"/>
    </font>
    <font>
      <u/>
      <sz val="11"/>
      <color rgb="FF0000FF"/>
      <name val="Calibri"/>
    </font>
    <font>
      <sz val="11"/>
      <color rgb="FF000000"/>
      <name val="Docs-Calibri"/>
    </font>
    <font>
      <strike/>
      <sz val="11"/>
      <name val="Calibri"/>
    </font>
    <font>
      <sz val="12"/>
      <color rgb="FF006100"/>
      <name val="Calibri"/>
    </font>
    <font>
      <b/>
      <sz val="11"/>
      <name val="Calibri"/>
    </font>
    <font>
      <u/>
      <sz val="10"/>
      <color rgb="FF0000FF"/>
      <name val="Arial"/>
    </font>
    <font>
      <sz val="12"/>
      <color rgb="FF9C5700"/>
      <name val="Calibri"/>
    </font>
    <font>
      <b/>
      <sz val="11"/>
      <name val="Arial"/>
    </font>
    <font>
      <b/>
      <sz val="12"/>
      <color rgb="FF000000"/>
      <name val="Calibri"/>
    </font>
    <font>
      <b/>
      <u/>
      <sz val="18"/>
      <color rgb="FFFFFFFF"/>
      <name val="Calibri"/>
    </font>
    <font>
      <sz val="10"/>
      <color rgb="FFFF0000"/>
      <name val="Arial"/>
    </font>
    <font>
      <b/>
      <u/>
      <sz val="10"/>
      <color rgb="FF0000FF"/>
      <name val="Arial"/>
    </font>
    <font>
      <b/>
      <sz val="20"/>
      <color rgb="FF000000"/>
      <name val="Calibri"/>
    </font>
    <font>
      <sz val="20"/>
      <color rgb="FF000000"/>
      <name val="Calibri"/>
    </font>
    <font>
      <b/>
      <sz val="20"/>
      <color rgb="FF000000"/>
      <name val="Calibri (Body)_x0000_"/>
    </font>
    <font>
      <sz val="20"/>
      <color rgb="FF000000"/>
      <name val="Calibri (Body)_x0000_"/>
    </font>
    <font>
      <b/>
      <u/>
      <sz val="10"/>
      <name val="Arial"/>
    </font>
    <font>
      <strike/>
      <sz val="10"/>
      <name val="Arial"/>
      <family val="2"/>
    </font>
    <font>
      <sz val="10"/>
      <name val="Arial"/>
      <family val="2"/>
    </font>
    <font>
      <sz val="11"/>
      <color rgb="FF006100"/>
      <name val="Calibri"/>
      <family val="2"/>
      <scheme val="minor"/>
    </font>
    <font>
      <sz val="11"/>
      <color rgb="FF9C5700"/>
      <name val="Calibri"/>
      <family val="2"/>
      <scheme val="minor"/>
    </font>
  </fonts>
  <fills count="24">
    <fill>
      <patternFill patternType="none"/>
    </fill>
    <fill>
      <patternFill patternType="gray125"/>
    </fill>
    <fill>
      <patternFill patternType="solid">
        <fgColor rgb="FFFFFFFF"/>
        <bgColor rgb="FFFFFFFF"/>
      </patternFill>
    </fill>
    <fill>
      <patternFill patternType="solid">
        <fgColor rgb="FF999999"/>
        <bgColor rgb="FF999999"/>
      </patternFill>
    </fill>
    <fill>
      <patternFill patternType="solid">
        <fgColor rgb="FFFFD966"/>
        <bgColor rgb="FFFFD966"/>
      </patternFill>
    </fill>
    <fill>
      <patternFill patternType="solid">
        <fgColor rgb="FFFF0000"/>
        <bgColor rgb="FFFF0000"/>
      </patternFill>
    </fill>
    <fill>
      <patternFill patternType="solid">
        <fgColor rgb="FFA5A5A5"/>
        <bgColor rgb="FFA5A5A5"/>
      </patternFill>
    </fill>
    <fill>
      <patternFill patternType="solid">
        <fgColor rgb="FFFFE599"/>
        <bgColor rgb="FFFFE599"/>
      </patternFill>
    </fill>
    <fill>
      <patternFill patternType="solid">
        <fgColor rgb="FFFFFF00"/>
        <bgColor rgb="FFFFFF00"/>
      </patternFill>
    </fill>
    <fill>
      <patternFill patternType="solid">
        <fgColor rgb="FFB7B7B7"/>
        <bgColor rgb="FFB7B7B7"/>
      </patternFill>
    </fill>
    <fill>
      <patternFill patternType="solid">
        <fgColor rgb="FF00FFFF"/>
        <bgColor rgb="FF00FFFF"/>
      </patternFill>
    </fill>
    <fill>
      <patternFill patternType="solid">
        <fgColor rgb="FFCCCCCC"/>
        <bgColor rgb="FFCCCCCC"/>
      </patternFill>
    </fill>
    <fill>
      <patternFill patternType="solid">
        <fgColor rgb="FFEA9999"/>
        <bgColor rgb="FFEA9999"/>
      </patternFill>
    </fill>
    <fill>
      <patternFill patternType="solid">
        <fgColor rgb="FFC6EFCE"/>
        <bgColor rgb="FFC6EFCE"/>
      </patternFill>
    </fill>
    <fill>
      <patternFill patternType="solid">
        <fgColor rgb="FFE2FF1A"/>
        <bgColor rgb="FFE2FF1A"/>
      </patternFill>
    </fill>
    <fill>
      <patternFill patternType="solid">
        <fgColor rgb="FFE06666"/>
        <bgColor rgb="FFE06666"/>
      </patternFill>
    </fill>
    <fill>
      <patternFill patternType="solid">
        <fgColor rgb="FFFFEB9C"/>
        <bgColor rgb="FFFFEB9C"/>
      </patternFill>
    </fill>
    <fill>
      <patternFill patternType="solid">
        <fgColor rgb="FFD9D9D9"/>
        <bgColor rgb="FFD9D9D9"/>
      </patternFill>
    </fill>
    <fill>
      <patternFill patternType="solid">
        <fgColor rgb="FF00FF00"/>
        <bgColor rgb="FF00FF00"/>
      </patternFill>
    </fill>
    <fill>
      <patternFill patternType="solid">
        <fgColor rgb="FF4A86E8"/>
        <bgColor rgb="FF4A86E8"/>
      </patternFill>
    </fill>
    <fill>
      <patternFill patternType="solid">
        <fgColor rgb="FFBDD6EE"/>
        <bgColor rgb="FFBDD6EE"/>
      </patternFill>
    </fill>
    <fill>
      <patternFill patternType="solid">
        <fgColor rgb="FFFF9900"/>
        <bgColor rgb="FFFF9900"/>
      </patternFill>
    </fill>
    <fill>
      <patternFill patternType="solid">
        <fgColor rgb="FFC6EFCE"/>
      </patternFill>
    </fill>
    <fill>
      <patternFill patternType="solid">
        <fgColor rgb="FFFFEB9C"/>
      </patternFill>
    </fill>
  </fills>
  <borders count="30">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diagonal/>
    </border>
  </borders>
  <cellStyleXfs count="3">
    <xf numFmtId="0" fontId="0" fillId="0" borderId="0"/>
    <xf numFmtId="0" fontId="30" fillId="22" borderId="0" applyNumberFormat="0" applyBorder="0" applyAlignment="0" applyProtection="0"/>
    <xf numFmtId="0" fontId="31" fillId="23" borderId="0" applyNumberFormat="0" applyBorder="0" applyAlignment="0" applyProtection="0"/>
  </cellStyleXfs>
  <cellXfs count="244">
    <xf numFmtId="0" fontId="0" fillId="0" borderId="0" xfId="0" applyFont="1" applyAlignment="1"/>
    <xf numFmtId="0" fontId="1" fillId="2" borderId="0" xfId="0" applyFont="1" applyFill="1" applyAlignment="1"/>
    <xf numFmtId="0" fontId="2" fillId="2" borderId="0" xfId="0" applyFont="1" applyFill="1" applyAlignment="1"/>
    <xf numFmtId="0" fontId="3" fillId="0" borderId="3" xfId="0" applyFont="1" applyBorder="1" applyAlignment="1"/>
    <xf numFmtId="0" fontId="3" fillId="0" borderId="6" xfId="0" applyFont="1" applyBorder="1" applyAlignment="1"/>
    <xf numFmtId="0" fontId="4" fillId="2" borderId="0" xfId="0" applyFont="1" applyFill="1" applyAlignment="1">
      <alignment wrapText="1"/>
    </xf>
    <xf numFmtId="0" fontId="3" fillId="2" borderId="7" xfId="0" applyFont="1" applyFill="1" applyBorder="1" applyAlignment="1">
      <alignment wrapText="1"/>
    </xf>
    <xf numFmtId="0" fontId="3" fillId="2" borderId="7" xfId="0" applyFont="1" applyFill="1" applyBorder="1" applyAlignment="1">
      <alignment horizontal="left" wrapText="1"/>
    </xf>
    <xf numFmtId="0" fontId="6" fillId="2" borderId="0" xfId="0" applyFont="1" applyFill="1" applyAlignment="1">
      <alignment horizontal="left" wrapText="1"/>
    </xf>
    <xf numFmtId="0" fontId="9" fillId="2" borderId="0" xfId="0" applyFont="1" applyFill="1" applyAlignment="1">
      <alignment horizontal="left" wrapText="1"/>
    </xf>
    <xf numFmtId="0" fontId="9" fillId="0" borderId="5" xfId="0" applyFont="1" applyBorder="1" applyAlignment="1">
      <alignment horizontal="left"/>
    </xf>
    <xf numFmtId="0" fontId="9" fillId="0" borderId="6" xfId="0" applyFont="1" applyBorder="1" applyAlignment="1"/>
    <xf numFmtId="0" fontId="10" fillId="6" borderId="8" xfId="0" applyFont="1" applyFill="1" applyBorder="1" applyAlignment="1">
      <alignment horizontal="left"/>
    </xf>
    <xf numFmtId="0" fontId="9" fillId="6" borderId="5" xfId="0" applyFont="1" applyFill="1" applyBorder="1" applyAlignment="1">
      <alignment horizontal="left" wrapText="1"/>
    </xf>
    <xf numFmtId="0" fontId="9" fillId="6" borderId="6" xfId="0" applyFont="1" applyFill="1" applyBorder="1" applyAlignment="1">
      <alignment wrapText="1"/>
    </xf>
    <xf numFmtId="0" fontId="9" fillId="6" borderId="6" xfId="0" applyFont="1" applyFill="1" applyBorder="1" applyAlignment="1">
      <alignment horizontal="center"/>
    </xf>
    <xf numFmtId="0" fontId="10" fillId="0" borderId="6" xfId="0" applyFont="1" applyBorder="1" applyAlignment="1">
      <alignment horizontal="left" vertical="top"/>
    </xf>
    <xf numFmtId="0" fontId="4" fillId="0" borderId="7" xfId="0" applyFont="1" applyBorder="1"/>
    <xf numFmtId="0" fontId="10" fillId="0" borderId="7" xfId="0" applyFont="1" applyBorder="1" applyAlignment="1">
      <alignment vertical="top"/>
    </xf>
    <xf numFmtId="0" fontId="10" fillId="0" borderId="6" xfId="0" applyFont="1" applyBorder="1" applyAlignment="1">
      <alignment vertical="top"/>
    </xf>
    <xf numFmtId="0" fontId="10" fillId="0" borderId="7" xfId="0" applyFont="1" applyBorder="1" applyAlignment="1">
      <alignment horizontal="left" vertical="top"/>
    </xf>
    <xf numFmtId="0" fontId="10" fillId="8" borderId="1" xfId="0" applyFont="1" applyFill="1" applyBorder="1" applyAlignment="1">
      <alignment horizontal="center" vertical="center"/>
    </xf>
    <xf numFmtId="0" fontId="12" fillId="2" borderId="0" xfId="0" applyFont="1" applyFill="1" applyAlignment="1">
      <alignment horizontal="left"/>
    </xf>
    <xf numFmtId="0" fontId="10" fillId="0" borderId="1" xfId="0" applyFont="1" applyBorder="1" applyAlignment="1"/>
    <xf numFmtId="0" fontId="13" fillId="0" borderId="7" xfId="0" applyFont="1" applyBorder="1" applyAlignment="1">
      <alignment horizontal="left"/>
    </xf>
    <xf numFmtId="0" fontId="13" fillId="0" borderId="7" xfId="0" applyFont="1" applyBorder="1" applyAlignment="1"/>
    <xf numFmtId="0" fontId="13" fillId="0" borderId="0" xfId="0" applyFont="1" applyAlignment="1"/>
    <xf numFmtId="0" fontId="9" fillId="2" borderId="0" xfId="0" applyFont="1" applyFill="1" applyAlignment="1">
      <alignment horizontal="left"/>
    </xf>
    <xf numFmtId="0" fontId="10" fillId="0" borderId="3" xfId="0" applyFont="1" applyBorder="1" applyAlignment="1"/>
    <xf numFmtId="0" fontId="10" fillId="5" borderId="7" xfId="0" applyFont="1" applyFill="1" applyBorder="1" applyAlignment="1">
      <alignment horizontal="left"/>
    </xf>
    <xf numFmtId="0" fontId="10" fillId="5" borderId="7" xfId="0" applyFont="1" applyFill="1" applyBorder="1" applyAlignment="1"/>
    <xf numFmtId="0" fontId="10" fillId="0" borderId="7" xfId="0" applyFont="1" applyBorder="1" applyAlignment="1"/>
    <xf numFmtId="0" fontId="4" fillId="2" borderId="0" xfId="0" applyFont="1" applyFill="1" applyAlignment="1">
      <alignment horizontal="left"/>
    </xf>
    <xf numFmtId="0" fontId="10" fillId="10" borderId="7" xfId="0" applyFont="1" applyFill="1" applyBorder="1" applyAlignment="1">
      <alignment horizontal="left"/>
    </xf>
    <xf numFmtId="0" fontId="10" fillId="10" borderId="7" xfId="0" applyFont="1" applyFill="1" applyBorder="1" applyAlignment="1"/>
    <xf numFmtId="0" fontId="10" fillId="2" borderId="7" xfId="0" applyFont="1" applyFill="1" applyBorder="1" applyAlignment="1">
      <alignment horizontal="left"/>
    </xf>
    <xf numFmtId="0" fontId="10" fillId="0" borderId="7" xfId="0" applyFont="1" applyBorder="1" applyAlignment="1">
      <alignment horizontal="left"/>
    </xf>
    <xf numFmtId="0" fontId="10" fillId="2" borderId="0" xfId="0" applyFont="1" applyFill="1" applyAlignment="1"/>
    <xf numFmtId="0" fontId="10" fillId="2" borderId="7" xfId="0" applyFont="1" applyFill="1" applyBorder="1" applyAlignment="1"/>
    <xf numFmtId="0" fontId="14" fillId="5" borderId="7" xfId="0" applyFont="1" applyFill="1" applyBorder="1" applyAlignment="1">
      <alignment horizontal="left"/>
    </xf>
    <xf numFmtId="0" fontId="14" fillId="2" borderId="7" xfId="0" applyFont="1" applyFill="1" applyBorder="1" applyAlignment="1">
      <alignment horizontal="left"/>
    </xf>
    <xf numFmtId="0" fontId="10" fillId="2" borderId="4" xfId="0" applyFont="1" applyFill="1" applyBorder="1" applyAlignment="1"/>
    <xf numFmtId="0" fontId="10" fillId="2" borderId="3" xfId="0" applyFont="1" applyFill="1" applyBorder="1" applyAlignment="1"/>
    <xf numFmtId="164" fontId="10" fillId="2" borderId="7" xfId="0" applyNumberFormat="1" applyFont="1" applyFill="1" applyBorder="1" applyAlignment="1"/>
    <xf numFmtId="0" fontId="14" fillId="2" borderId="5" xfId="0" applyFont="1" applyFill="1" applyBorder="1" applyAlignment="1">
      <alignment horizontal="center"/>
    </xf>
    <xf numFmtId="0" fontId="14" fillId="2" borderId="7" xfId="0" applyFont="1" applyFill="1" applyBorder="1" applyAlignment="1">
      <alignment horizontal="center"/>
    </xf>
    <xf numFmtId="0" fontId="10" fillId="4" borderId="0" xfId="0" applyFont="1" applyFill="1" applyAlignment="1"/>
    <xf numFmtId="0" fontId="10" fillId="11" borderId="7" xfId="0" applyFont="1" applyFill="1" applyBorder="1" applyAlignment="1">
      <alignment horizontal="left"/>
    </xf>
    <xf numFmtId="0" fontId="10" fillId="11" borderId="0" xfId="0" applyFont="1" applyFill="1" applyAlignment="1"/>
    <xf numFmtId="0" fontId="10" fillId="0" borderId="0" xfId="0" applyFont="1" applyAlignment="1">
      <alignment horizontal="left"/>
    </xf>
    <xf numFmtId="0" fontId="10" fillId="11" borderId="7" xfId="0" applyFont="1" applyFill="1" applyBorder="1" applyAlignment="1"/>
    <xf numFmtId="0" fontId="16" fillId="0" borderId="0" xfId="0" applyFont="1" applyAlignment="1"/>
    <xf numFmtId="0" fontId="10" fillId="12" borderId="7" xfId="0" applyFont="1" applyFill="1" applyBorder="1" applyAlignment="1"/>
    <xf numFmtId="0" fontId="14" fillId="14" borderId="5" xfId="0" applyFont="1" applyFill="1" applyBorder="1" applyAlignment="1">
      <alignment horizontal="center"/>
    </xf>
    <xf numFmtId="0" fontId="14" fillId="15" borderId="7" xfId="0" applyFont="1" applyFill="1" applyBorder="1" applyAlignment="1">
      <alignment horizontal="center"/>
    </xf>
    <xf numFmtId="0" fontId="14" fillId="15" borderId="5" xfId="0" applyFont="1" applyFill="1" applyBorder="1" applyAlignment="1">
      <alignment horizontal="center"/>
    </xf>
    <xf numFmtId="0" fontId="17" fillId="16" borderId="5" xfId="0" applyFont="1" applyFill="1" applyBorder="1" applyAlignment="1">
      <alignment horizontal="center"/>
    </xf>
    <xf numFmtId="0" fontId="14" fillId="13" borderId="7" xfId="0" applyFont="1" applyFill="1" applyBorder="1" applyAlignment="1">
      <alignment horizontal="center"/>
    </xf>
    <xf numFmtId="0" fontId="14" fillId="13" borderId="5" xfId="0" applyFont="1" applyFill="1" applyBorder="1" applyAlignment="1">
      <alignment horizontal="center"/>
    </xf>
    <xf numFmtId="0" fontId="18" fillId="0" borderId="0" xfId="0" applyFont="1" applyAlignment="1"/>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21" xfId="0" applyFont="1" applyBorder="1" applyAlignment="1"/>
    <xf numFmtId="165" fontId="4" fillId="0" borderId="5" xfId="0" applyNumberFormat="1" applyFont="1" applyBorder="1" applyAlignment="1">
      <alignment horizontal="center"/>
    </xf>
    <xf numFmtId="0" fontId="4" fillId="0" borderId="22" xfId="0" applyFont="1" applyBorder="1" applyAlignment="1"/>
    <xf numFmtId="165" fontId="4" fillId="0" borderId="7" xfId="0" applyNumberFormat="1" applyFont="1" applyBorder="1" applyAlignment="1">
      <alignment horizontal="center"/>
    </xf>
    <xf numFmtId="0" fontId="4" fillId="5" borderId="22" xfId="0" applyFont="1" applyFill="1" applyBorder="1" applyAlignment="1"/>
    <xf numFmtId="0" fontId="4" fillId="5" borderId="7" xfId="0" applyFont="1" applyFill="1" applyBorder="1" applyAlignment="1"/>
    <xf numFmtId="165" fontId="4" fillId="5" borderId="7" xfId="0" applyNumberFormat="1" applyFont="1" applyFill="1" applyBorder="1" applyAlignment="1">
      <alignment horizontal="center"/>
    </xf>
    <xf numFmtId="0" fontId="4" fillId="0" borderId="23" xfId="0" applyFont="1" applyBorder="1" applyAlignment="1"/>
    <xf numFmtId="0" fontId="4" fillId="0" borderId="1" xfId="0" applyFont="1" applyBorder="1" applyAlignment="1"/>
    <xf numFmtId="0" fontId="4" fillId="0" borderId="1" xfId="0" applyFont="1" applyBorder="1"/>
    <xf numFmtId="0" fontId="4" fillId="0" borderId="7" xfId="0" applyFont="1" applyBorder="1" applyAlignment="1">
      <alignment horizontal="center"/>
    </xf>
    <xf numFmtId="0" fontId="4" fillId="8" borderId="0" xfId="0" applyFont="1" applyFill="1" applyAlignment="1"/>
    <xf numFmtId="0" fontId="6" fillId="0" borderId="0" xfId="0" applyFont="1" applyAlignment="1"/>
    <xf numFmtId="0" fontId="10" fillId="0" borderId="0" xfId="0" applyFont="1" applyAlignment="1"/>
    <xf numFmtId="0" fontId="4" fillId="18" borderId="24" xfId="0" applyFont="1" applyFill="1" applyBorder="1" applyAlignment="1"/>
    <xf numFmtId="0" fontId="4" fillId="19" borderId="25" xfId="0" applyFont="1" applyFill="1" applyBorder="1" applyAlignment="1"/>
    <xf numFmtId="0" fontId="4" fillId="8" borderId="24" xfId="0" applyFont="1" applyFill="1" applyBorder="1" applyAlignment="1"/>
    <xf numFmtId="0" fontId="4" fillId="8" borderId="25" xfId="0" applyFont="1" applyFill="1" applyBorder="1" applyAlignment="1"/>
    <xf numFmtId="0" fontId="4" fillId="8" borderId="2" xfId="0" applyFont="1" applyFill="1" applyBorder="1" applyAlignment="1"/>
    <xf numFmtId="0" fontId="4" fillId="0" borderId="7" xfId="0" applyFont="1" applyBorder="1" applyAlignment="1"/>
    <xf numFmtId="0" fontId="4" fillId="18" borderId="26" xfId="0" applyFont="1" applyFill="1" applyBorder="1" applyAlignment="1"/>
    <xf numFmtId="0" fontId="4" fillId="19" borderId="0" xfId="0" applyFont="1" applyFill="1" applyAlignment="1"/>
    <xf numFmtId="0" fontId="4" fillId="2" borderId="0" xfId="0" applyFont="1" applyFill="1" applyAlignment="1"/>
    <xf numFmtId="0" fontId="4" fillId="0" borderId="25" xfId="0" applyFont="1" applyBorder="1" applyAlignment="1"/>
    <xf numFmtId="0" fontId="4" fillId="0" borderId="2" xfId="0" applyFont="1" applyBorder="1" applyAlignment="1"/>
    <xf numFmtId="0" fontId="4" fillId="0" borderId="27" xfId="0" applyFont="1" applyBorder="1" applyAlignment="1"/>
    <xf numFmtId="0" fontId="4" fillId="8" borderId="26" xfId="0" applyFont="1" applyFill="1" applyBorder="1" applyAlignment="1"/>
    <xf numFmtId="0" fontId="4" fillId="8" borderId="27" xfId="0" applyFont="1" applyFill="1" applyBorder="1" applyAlignment="1"/>
    <xf numFmtId="0" fontId="4" fillId="5" borderId="26" xfId="0" applyFont="1" applyFill="1" applyBorder="1" applyAlignment="1"/>
    <xf numFmtId="0" fontId="4" fillId="0" borderId="26" xfId="0" applyFont="1" applyBorder="1" applyAlignment="1"/>
    <xf numFmtId="0" fontId="4" fillId="5" borderId="28" xfId="0" applyFont="1" applyFill="1" applyBorder="1" applyAlignment="1"/>
    <xf numFmtId="0" fontId="4" fillId="5" borderId="25" xfId="0" applyFont="1" applyFill="1" applyBorder="1" applyAlignment="1"/>
    <xf numFmtId="0" fontId="4" fillId="0" borderId="0" xfId="0" applyFont="1"/>
    <xf numFmtId="0" fontId="4" fillId="5" borderId="0" xfId="0" applyFont="1" applyFill="1" applyAlignment="1"/>
    <xf numFmtId="0" fontId="4" fillId="8" borderId="28" xfId="0" applyFont="1" applyFill="1" applyBorder="1"/>
    <xf numFmtId="0" fontId="4" fillId="8" borderId="27" xfId="0" applyFont="1" applyFill="1" applyBorder="1"/>
    <xf numFmtId="0" fontId="4" fillId="2" borderId="0" xfId="0" applyFont="1" applyFill="1"/>
    <xf numFmtId="166" fontId="6" fillId="0" borderId="0" xfId="0" applyNumberFormat="1" applyFont="1" applyAlignment="1">
      <alignment horizontal="right"/>
    </xf>
    <xf numFmtId="0" fontId="4" fillId="18" borderId="28" xfId="0" applyFont="1" applyFill="1" applyBorder="1" applyAlignment="1"/>
    <xf numFmtId="0" fontId="4" fillId="18" borderId="0" xfId="0" applyFont="1" applyFill="1" applyAlignment="1"/>
    <xf numFmtId="0" fontId="4" fillId="10" borderId="7" xfId="0" applyFont="1" applyFill="1" applyBorder="1" applyAlignment="1"/>
    <xf numFmtId="0" fontId="4" fillId="2" borderId="7" xfId="0" applyFont="1" applyFill="1" applyBorder="1" applyAlignment="1"/>
    <xf numFmtId="0" fontId="4" fillId="8" borderId="7" xfId="0" applyFont="1" applyFill="1" applyBorder="1" applyAlignment="1"/>
    <xf numFmtId="0" fontId="4" fillId="3" borderId="9" xfId="0" applyFont="1" applyFill="1" applyBorder="1" applyAlignment="1"/>
    <xf numFmtId="0" fontId="4" fillId="3" borderId="4" xfId="0" applyFont="1" applyFill="1" applyBorder="1" applyAlignment="1"/>
    <xf numFmtId="0" fontId="4" fillId="3" borderId="3" xfId="0" applyFont="1" applyFill="1" applyBorder="1" applyAlignment="1"/>
    <xf numFmtId="0" fontId="4" fillId="0" borderId="24" xfId="0" applyFont="1" applyBorder="1" applyAlignment="1"/>
    <xf numFmtId="0" fontId="4" fillId="2" borderId="24" xfId="0" applyFont="1" applyFill="1" applyBorder="1" applyAlignment="1"/>
    <xf numFmtId="0" fontId="4" fillId="2" borderId="26" xfId="0" applyFont="1" applyFill="1" applyBorder="1" applyAlignment="1"/>
    <xf numFmtId="0" fontId="4" fillId="18" borderId="25" xfId="0" applyFont="1" applyFill="1" applyBorder="1" applyAlignment="1"/>
    <xf numFmtId="0" fontId="4" fillId="0" borderId="28" xfId="0" applyFont="1" applyBorder="1" applyAlignment="1"/>
    <xf numFmtId="0" fontId="4" fillId="2" borderId="28" xfId="0" applyFont="1" applyFill="1" applyBorder="1" applyAlignment="1"/>
    <xf numFmtId="0" fontId="4" fillId="0" borderId="2" xfId="0" applyFont="1" applyBorder="1"/>
    <xf numFmtId="0" fontId="4" fillId="0" borderId="27" xfId="0" applyFont="1" applyBorder="1"/>
    <xf numFmtId="0" fontId="3" fillId="0" borderId="0" xfId="0" applyFont="1" applyAlignment="1"/>
    <xf numFmtId="0" fontId="19" fillId="0" borderId="0" xfId="0" applyFont="1" applyAlignment="1">
      <alignment horizontal="center" wrapText="1"/>
    </xf>
    <xf numFmtId="0" fontId="21" fillId="0" borderId="29" xfId="0" applyFont="1" applyBorder="1" applyAlignment="1"/>
    <xf numFmtId="0" fontId="22" fillId="0" borderId="0" xfId="0" applyFont="1" applyAlignment="1">
      <alignment horizontal="left"/>
    </xf>
    <xf numFmtId="0" fontId="4" fillId="0" borderId="0" xfId="0" applyFont="1" applyAlignment="1">
      <alignment horizontal="center"/>
    </xf>
    <xf numFmtId="49" fontId="4" fillId="0" borderId="0" xfId="0" applyNumberFormat="1" applyFont="1" applyAlignment="1">
      <alignment horizontal="left"/>
    </xf>
    <xf numFmtId="0" fontId="23" fillId="20" borderId="7" xfId="0" applyFont="1" applyFill="1" applyBorder="1" applyAlignment="1">
      <alignment horizontal="center"/>
    </xf>
    <xf numFmtId="0" fontId="9" fillId="0" borderId="0" xfId="0" applyFont="1"/>
    <xf numFmtId="0" fontId="24" fillId="0" borderId="0" xfId="0" applyFont="1"/>
    <xf numFmtId="0" fontId="24" fillId="0" borderId="7" xfId="0" applyFont="1" applyBorder="1"/>
    <xf numFmtId="0" fontId="23" fillId="0" borderId="7" xfId="0" applyFont="1" applyBorder="1" applyAlignment="1">
      <alignment horizontal="center" wrapText="1"/>
    </xf>
    <xf numFmtId="0" fontId="24" fillId="0" borderId="7" xfId="0" applyFont="1" applyBorder="1" applyAlignment="1">
      <alignment horizontal="center" vertical="center"/>
    </xf>
    <xf numFmtId="0" fontId="9" fillId="0" borderId="7" xfId="0" applyFont="1" applyBorder="1"/>
    <xf numFmtId="0" fontId="23" fillId="0" borderId="7" xfId="0" applyFont="1" applyBorder="1" applyAlignment="1">
      <alignment horizontal="center"/>
    </xf>
    <xf numFmtId="0" fontId="24" fillId="0" borderId="7" xfId="0" applyFont="1" applyBorder="1" applyAlignment="1">
      <alignment horizontal="center"/>
    </xf>
    <xf numFmtId="0" fontId="9" fillId="0" borderId="7" xfId="0" applyFont="1" applyBorder="1" applyAlignment="1"/>
    <xf numFmtId="0" fontId="24" fillId="0" borderId="7" xfId="0" applyFont="1" applyBorder="1" applyAlignment="1"/>
    <xf numFmtId="0" fontId="9" fillId="0" borderId="7" xfId="0" applyFont="1" applyBorder="1" applyAlignment="1">
      <alignment horizontal="center"/>
    </xf>
    <xf numFmtId="0" fontId="9" fillId="0" borderId="0" xfId="0" applyFont="1" applyAlignment="1">
      <alignment horizontal="center"/>
    </xf>
    <xf numFmtId="0" fontId="4" fillId="0" borderId="0" xfId="0" applyFont="1" applyAlignment="1">
      <alignment horizontal="center" vertical="center" wrapText="1"/>
    </xf>
    <xf numFmtId="0" fontId="3" fillId="0" borderId="7" xfId="0" applyFont="1" applyBorder="1" applyAlignment="1">
      <alignment horizontal="left" wrapText="1"/>
    </xf>
    <xf numFmtId="0" fontId="3" fillId="0" borderId="7" xfId="0" applyFont="1" applyBorder="1" applyAlignment="1">
      <alignment wrapText="1"/>
    </xf>
    <xf numFmtId="0" fontId="3" fillId="0" borderId="3" xfId="0" applyFont="1" applyBorder="1" applyAlignment="1">
      <alignment horizontal="left" wrapText="1"/>
    </xf>
    <xf numFmtId="0" fontId="3" fillId="2" borderId="3" xfId="0" applyFont="1" applyFill="1" applyBorder="1" applyAlignment="1">
      <alignment wrapText="1"/>
    </xf>
    <xf numFmtId="0" fontId="3" fillId="0" borderId="3" xfId="0" applyFont="1" applyBorder="1" applyAlignment="1">
      <alignment wrapText="1"/>
    </xf>
    <xf numFmtId="0" fontId="3" fillId="0" borderId="0" xfId="0" applyFont="1" applyAlignment="1">
      <alignment wrapText="1"/>
    </xf>
    <xf numFmtId="0" fontId="4" fillId="0" borderId="0" xfId="0" applyFont="1" applyAlignment="1">
      <alignment wrapText="1"/>
    </xf>
    <xf numFmtId="0" fontId="4" fillId="21" borderId="0" xfId="0" applyFont="1" applyFill="1" applyAlignment="1">
      <alignment wrapText="1"/>
    </xf>
    <xf numFmtId="0" fontId="4" fillId="18" borderId="0" xfId="0" applyFont="1" applyFill="1" applyAlignment="1">
      <alignment wrapText="1"/>
    </xf>
    <xf numFmtId="0" fontId="4" fillId="18" borderId="0" xfId="0" applyFont="1" applyFill="1" applyAlignment="1">
      <alignment horizontal="left" wrapText="1"/>
    </xf>
    <xf numFmtId="0" fontId="5" fillId="0" borderId="0" xfId="0" applyFont="1" applyAlignment="1">
      <alignment horizontal="left" wrapText="1"/>
    </xf>
    <xf numFmtId="0" fontId="4" fillId="0" borderId="25" xfId="0" applyFont="1" applyBorder="1" applyAlignment="1">
      <alignment wrapText="1"/>
    </xf>
    <xf numFmtId="0" fontId="9" fillId="0" borderId="0" xfId="0" applyFont="1" applyAlignment="1">
      <alignment horizontal="left" wrapText="1"/>
    </xf>
    <xf numFmtId="0" fontId="4" fillId="8" borderId="0" xfId="0" applyFont="1" applyFill="1" applyAlignment="1">
      <alignment horizontal="left" wrapText="1"/>
    </xf>
    <xf numFmtId="0" fontId="7" fillId="0" borderId="0" xfId="0" applyFont="1" applyAlignment="1">
      <alignment wrapText="1"/>
    </xf>
    <xf numFmtId="0" fontId="0" fillId="0" borderId="0" xfId="0" applyFont="1" applyAlignment="1"/>
    <xf numFmtId="0" fontId="4" fillId="0" borderId="6" xfId="0" applyFont="1" applyBorder="1"/>
    <xf numFmtId="0" fontId="4" fillId="0" borderId="3" xfId="0" applyFont="1" applyBorder="1"/>
    <xf numFmtId="0" fontId="29" fillId="0" borderId="0" xfId="0" applyFont="1" applyAlignment="1"/>
    <xf numFmtId="164" fontId="4" fillId="0" borderId="0" xfId="0" applyNumberFormat="1" applyFont="1" applyAlignment="1">
      <alignment horizontal="right"/>
    </xf>
    <xf numFmtId="164" fontId="4" fillId="0" borderId="0" xfId="0" applyNumberFormat="1" applyFont="1" applyAlignment="1"/>
    <xf numFmtId="0" fontId="4" fillId="0" borderId="0" xfId="0" applyFont="1" applyAlignment="1">
      <alignment horizontal="left" wrapText="1"/>
    </xf>
    <xf numFmtId="0" fontId="10" fillId="6" borderId="8" xfId="0" applyFont="1" applyFill="1" applyBorder="1" applyAlignment="1"/>
    <xf numFmtId="0" fontId="10" fillId="6" borderId="29" xfId="0" applyFont="1" applyFill="1" applyBorder="1" applyAlignment="1"/>
    <xf numFmtId="0" fontId="16" fillId="0" borderId="0" xfId="0" applyFont="1" applyAlignment="1">
      <alignment horizontal="left" wrapText="1"/>
    </xf>
    <xf numFmtId="0" fontId="3" fillId="17" borderId="0" xfId="0" applyFont="1" applyFill="1" applyAlignment="1"/>
    <xf numFmtId="0" fontId="4" fillId="3" borderId="8" xfId="0" applyFont="1" applyFill="1" applyBorder="1" applyAlignment="1"/>
    <xf numFmtId="0" fontId="4" fillId="3" borderId="8" xfId="0" applyFont="1" applyFill="1" applyBorder="1"/>
    <xf numFmtId="0" fontId="4" fillId="19" borderId="8" xfId="0" applyFont="1" applyFill="1" applyBorder="1" applyAlignment="1"/>
    <xf numFmtId="0" fontId="4" fillId="8" borderId="8" xfId="0" applyFont="1" applyFill="1" applyBorder="1"/>
    <xf numFmtId="0" fontId="6" fillId="5" borderId="7" xfId="0" applyFont="1" applyFill="1" applyBorder="1" applyAlignment="1"/>
    <xf numFmtId="0" fontId="8" fillId="0" borderId="7" xfId="0" applyFont="1" applyBorder="1" applyAlignment="1"/>
    <xf numFmtId="0" fontId="3" fillId="5" borderId="7" xfId="0" applyFont="1" applyFill="1" applyBorder="1" applyAlignment="1"/>
    <xf numFmtId="0" fontId="3" fillId="5" borderId="7" xfId="0" applyFont="1" applyFill="1" applyBorder="1"/>
    <xf numFmtId="0" fontId="4" fillId="5" borderId="8" xfId="0" applyFont="1" applyFill="1" applyBorder="1" applyAlignment="1"/>
    <xf numFmtId="0" fontId="4" fillId="18" borderId="8" xfId="0" applyFont="1" applyFill="1" applyBorder="1" applyAlignment="1"/>
    <xf numFmtId="0" fontId="3" fillId="0" borderId="0" xfId="0" applyFont="1"/>
    <xf numFmtId="0" fontId="3" fillId="0" borderId="25" xfId="0" applyFont="1" applyBorder="1" applyAlignment="1"/>
    <xf numFmtId="0" fontId="3" fillId="0" borderId="0" xfId="0" applyFont="1" applyAlignment="1">
      <alignment horizontal="left"/>
    </xf>
    <xf numFmtId="0" fontId="3" fillId="0" borderId="0" xfId="0" applyFont="1" applyAlignment="1">
      <alignment horizontal="center"/>
    </xf>
    <xf numFmtId="0" fontId="4" fillId="8" borderId="0" xfId="0" applyFont="1" applyFill="1" applyAlignment="1">
      <alignment wrapText="1"/>
    </xf>
    <xf numFmtId="0" fontId="30" fillId="22" borderId="0" xfId="1" applyAlignment="1"/>
    <xf numFmtId="0" fontId="31" fillId="23" borderId="0" xfId="2" applyAlignment="1"/>
    <xf numFmtId="0" fontId="30" fillId="0" borderId="0" xfId="1" applyFill="1" applyAlignment="1"/>
    <xf numFmtId="0" fontId="4" fillId="0" borderId="6" xfId="0" applyFont="1" applyBorder="1" applyAlignment="1"/>
    <xf numFmtId="0" fontId="4" fillId="0" borderId="5" xfId="0" applyFont="1" applyBorder="1" applyAlignment="1"/>
    <xf numFmtId="0" fontId="4" fillId="0" borderId="8" xfId="0" applyFont="1" applyBorder="1" applyAlignment="1"/>
    <xf numFmtId="0" fontId="10" fillId="0" borderId="9" xfId="0" applyFont="1" applyBorder="1" applyAlignment="1"/>
    <xf numFmtId="0" fontId="0" fillId="0" borderId="0" xfId="0" applyFont="1" applyAlignment="1"/>
    <xf numFmtId="0" fontId="10" fillId="0" borderId="4" xfId="0" applyFont="1" applyBorder="1" applyAlignment="1"/>
    <xf numFmtId="0" fontId="4" fillId="0" borderId="0" xfId="0" applyFont="1" applyAlignment="1"/>
    <xf numFmtId="0" fontId="6" fillId="2" borderId="0" xfId="0" applyFont="1" applyFill="1" applyAlignment="1">
      <alignment horizontal="left"/>
    </xf>
    <xf numFmtId="0" fontId="10" fillId="2" borderId="9" xfId="0" applyFont="1" applyFill="1" applyBorder="1" applyAlignment="1"/>
    <xf numFmtId="0" fontId="4" fillId="0" borderId="0" xfId="0" applyFont="1" applyAlignment="1">
      <alignment horizontal="left"/>
    </xf>
    <xf numFmtId="0" fontId="10" fillId="11" borderId="9" xfId="0" applyFont="1" applyFill="1" applyBorder="1" applyAlignment="1"/>
    <xf numFmtId="0" fontId="19" fillId="0" borderId="0" xfId="0" applyFont="1" applyAlignment="1">
      <alignment horizontal="center"/>
    </xf>
    <xf numFmtId="0" fontId="3" fillId="0" borderId="2" xfId="0" applyFont="1" applyBorder="1" applyAlignment="1"/>
    <xf numFmtId="0" fontId="4" fillId="0" borderId="6" xfId="0" applyFont="1" applyBorder="1" applyAlignment="1"/>
    <xf numFmtId="0" fontId="2" fillId="2" borderId="1" xfId="0" applyFont="1" applyFill="1" applyBorder="1" applyAlignment="1"/>
    <xf numFmtId="0" fontId="4" fillId="0" borderId="5" xfId="0" applyFont="1" applyBorder="1" applyAlignment="1"/>
    <xf numFmtId="0" fontId="2" fillId="2" borderId="2" xfId="0" applyFont="1" applyFill="1" applyBorder="1" applyAlignment="1"/>
    <xf numFmtId="0" fontId="3" fillId="0" borderId="2" xfId="0" applyFont="1" applyBorder="1" applyAlignment="1">
      <alignment wrapText="1"/>
    </xf>
    <xf numFmtId="0" fontId="3" fillId="0" borderId="4" xfId="0" applyFont="1" applyBorder="1" applyAlignment="1"/>
    <xf numFmtId="0" fontId="4" fillId="0" borderId="4" xfId="0" applyFont="1" applyBorder="1" applyAlignment="1"/>
    <xf numFmtId="0" fontId="4" fillId="0" borderId="3" xfId="0" applyFont="1" applyBorder="1" applyAlignment="1"/>
    <xf numFmtId="0" fontId="4" fillId="0" borderId="8" xfId="0" applyFont="1" applyBorder="1" applyAlignment="1"/>
    <xf numFmtId="0" fontId="4" fillId="0" borderId="9" xfId="0" applyFont="1" applyBorder="1" applyAlignment="1"/>
    <xf numFmtId="0" fontId="11" fillId="0" borderId="9" xfId="0" applyFont="1" applyBorder="1" applyAlignment="1"/>
    <xf numFmtId="0" fontId="10" fillId="0" borderId="9" xfId="0" applyFont="1" applyBorder="1" applyAlignment="1"/>
    <xf numFmtId="0" fontId="10" fillId="7" borderId="9" xfId="0" applyFont="1" applyFill="1" applyBorder="1" applyAlignment="1"/>
    <xf numFmtId="0" fontId="12" fillId="2" borderId="8" xfId="0" applyFont="1" applyFill="1" applyBorder="1" applyAlignment="1">
      <alignment horizontal="left"/>
    </xf>
    <xf numFmtId="0" fontId="9" fillId="6" borderId="8" xfId="0" applyFont="1" applyFill="1" applyBorder="1" applyAlignment="1">
      <alignment horizontal="left"/>
    </xf>
    <xf numFmtId="164" fontId="4" fillId="0" borderId="8" xfId="0" applyNumberFormat="1" applyFont="1" applyBorder="1" applyAlignment="1"/>
    <xf numFmtId="0" fontId="9" fillId="6" borderId="8" xfId="0" applyFont="1" applyFill="1" applyBorder="1" applyAlignment="1">
      <alignment horizontal="center"/>
    </xf>
    <xf numFmtId="0" fontId="9" fillId="6" borderId="8" xfId="0" applyFont="1" applyFill="1" applyBorder="1" applyAlignment="1">
      <alignment horizontal="center" wrapText="1"/>
    </xf>
    <xf numFmtId="0" fontId="9" fillId="2" borderId="8" xfId="0" applyFont="1" applyFill="1" applyBorder="1" applyAlignment="1">
      <alignment horizontal="left"/>
    </xf>
    <xf numFmtId="0" fontId="10" fillId="0" borderId="8" xfId="0" applyFont="1" applyBorder="1" applyAlignment="1"/>
    <xf numFmtId="0" fontId="13" fillId="0" borderId="9" xfId="0" applyFont="1" applyBorder="1" applyAlignment="1"/>
    <xf numFmtId="0" fontId="8" fillId="0" borderId="8" xfId="0" applyFont="1" applyBorder="1" applyAlignment="1"/>
    <xf numFmtId="0" fontId="0" fillId="0" borderId="0" xfId="0" applyFont="1" applyAlignment="1"/>
    <xf numFmtId="0" fontId="10" fillId="0" borderId="4" xfId="0" applyFont="1" applyBorder="1" applyAlignment="1"/>
    <xf numFmtId="0" fontId="10" fillId="5" borderId="4" xfId="0" applyFont="1" applyFill="1" applyBorder="1" applyAlignment="1"/>
    <xf numFmtId="0" fontId="8" fillId="5" borderId="8" xfId="0" applyFont="1" applyFill="1" applyBorder="1" applyAlignment="1"/>
    <xf numFmtId="0" fontId="10" fillId="9" borderId="9" xfId="0" applyFont="1" applyFill="1" applyBorder="1" applyAlignment="1"/>
    <xf numFmtId="0" fontId="4" fillId="0" borderId="0" xfId="0" applyFont="1" applyAlignment="1"/>
    <xf numFmtId="0" fontId="6" fillId="2" borderId="0" xfId="0" applyFont="1" applyFill="1" applyAlignment="1">
      <alignment horizontal="left"/>
    </xf>
    <xf numFmtId="0" fontId="10" fillId="10" borderId="9" xfId="0" applyFont="1" applyFill="1" applyBorder="1" applyAlignment="1"/>
    <xf numFmtId="0" fontId="10" fillId="2" borderId="9" xfId="0" applyFont="1" applyFill="1" applyBorder="1" applyAlignment="1"/>
    <xf numFmtId="0" fontId="10" fillId="5" borderId="9" xfId="0" applyFont="1" applyFill="1" applyBorder="1" applyAlignment="1"/>
    <xf numFmtId="0" fontId="15" fillId="0" borderId="9" xfId="0" applyFont="1" applyBorder="1" applyAlignment="1"/>
    <xf numFmtId="0" fontId="10" fillId="4" borderId="9" xfId="0" applyFont="1" applyFill="1" applyBorder="1" applyAlignment="1"/>
    <xf numFmtId="0" fontId="4" fillId="0" borderId="0" xfId="0" applyFont="1" applyAlignment="1">
      <alignment horizontal="left"/>
    </xf>
    <xf numFmtId="0" fontId="10" fillId="11" borderId="9" xfId="0" applyFont="1" applyFill="1" applyBorder="1" applyAlignment="1"/>
    <xf numFmtId="0" fontId="4" fillId="0" borderId="14" xfId="0" applyFont="1" applyBorder="1" applyAlignment="1">
      <alignment horizontal="center" vertical="center" wrapText="1"/>
    </xf>
    <xf numFmtId="0" fontId="4" fillId="0" borderId="19" xfId="0" applyFont="1" applyBorder="1" applyAlignment="1"/>
    <xf numFmtId="0" fontId="4" fillId="0" borderId="15" xfId="0" applyFont="1" applyBorder="1" applyAlignment="1">
      <alignment horizontal="center" vertical="center" wrapText="1"/>
    </xf>
    <xf numFmtId="0" fontId="4" fillId="0" borderId="20" xfId="0" applyFont="1" applyBorder="1" applyAlignment="1"/>
    <xf numFmtId="0" fontId="4" fillId="0" borderId="10" xfId="0" applyFont="1" applyBorder="1" applyAlignment="1">
      <alignment horizontal="center" vertical="center" wrapText="1"/>
    </xf>
    <xf numFmtId="0" fontId="4" fillId="0" borderId="11" xfId="0" applyFont="1" applyBorder="1" applyAlignment="1"/>
    <xf numFmtId="0" fontId="4" fillId="0" borderId="12" xfId="0" applyFont="1" applyBorder="1" applyAlignment="1">
      <alignment horizontal="center" vertical="center" wrapText="1"/>
    </xf>
    <xf numFmtId="0" fontId="4" fillId="0" borderId="18" xfId="0" applyFont="1" applyBorder="1" applyAlignment="1"/>
    <xf numFmtId="0" fontId="4" fillId="0" borderId="13" xfId="0" applyFont="1" applyBorder="1" applyAlignment="1">
      <alignment horizontal="center" vertical="center" wrapText="1"/>
    </xf>
    <xf numFmtId="0" fontId="19" fillId="0" borderId="0" xfId="0" applyFont="1" applyAlignment="1">
      <alignment horizontal="center"/>
    </xf>
    <xf numFmtId="0" fontId="20" fillId="5" borderId="0" xfId="0" applyFont="1" applyFill="1" applyAlignment="1">
      <alignment horizontal="center"/>
    </xf>
    <xf numFmtId="0" fontId="4" fillId="18" borderId="0" xfId="0" applyFont="1" applyFill="1" applyAlignment="1">
      <alignment horizontal="center" vertical="center" wrapText="1"/>
    </xf>
    <xf numFmtId="0" fontId="4" fillId="8" borderId="0" xfId="0" applyFont="1" applyFill="1" applyAlignment="1">
      <alignment horizontal="center" vertical="center" wrapText="1"/>
    </xf>
    <xf numFmtId="0" fontId="4" fillId="21" borderId="0" xfId="0" applyFont="1" applyFill="1" applyAlignment="1">
      <alignment horizontal="center" vertical="center" wrapText="1"/>
    </xf>
    <xf numFmtId="0" fontId="4" fillId="5" borderId="0" xfId="0" applyFont="1" applyFill="1" applyAlignment="1">
      <alignment horizontal="center" vertical="center" wrapText="1"/>
    </xf>
  </cellXfs>
  <cellStyles count="3">
    <cellStyle name="Good" xfId="1" builtinId="26"/>
    <cellStyle name="Neutral" xfId="2" builtinId="28"/>
    <cellStyle name="Normal" xfId="0" builtinId="0"/>
  </cellStyles>
  <dxfs count="21">
    <dxf>
      <fill>
        <patternFill patternType="solid">
          <fgColor rgb="FFFF0000"/>
          <bgColor rgb="FFFF0000"/>
        </patternFill>
      </fill>
    </dxf>
    <dxf>
      <fill>
        <patternFill patternType="solid">
          <fgColor rgb="FFFF0000"/>
          <bgColor rgb="FFFF0000"/>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James Overton" id="{4850257D-04ED-472E-AFF9-A1529CB13606}" userId="j.overton@rocketlab.co.nz" providerId="PeoplePicker"/>
  <person displayName="Davis Taylor" id="{C29AF6DE-A066-4FDE-B625-BB3DA50CC268}" userId="S::d.taylor@rocketlab.co.nz::46cbafe3-70e0-419e-9cf5-e2e90cc88c53"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15" dT="2020-08-11T18:30:17.61" personId="{C29AF6DE-A066-4FDE-B625-BB3DA50CC268}" id="{F23EE104-F085-4718-B495-A2EB9AC5343D}">
    <text>@James Overton, is it possible to swap the NEXUS description of the two pre-valve changes. 
This will align the UI with the nexus description and I'll close #103811</text>
    <mentions>
      <mention mentionpersonId="{4850257D-04ED-472E-AFF9-A1529CB13606}" mentionId="{4874B944-E7AD-48F7-8786-8F70A112489A}" startIndex="0" length="14"/>
    </mentions>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open?id=0B2UXF5WThQx9ZV9BV0NwSDRLNm1vMGhDZFB5QUlRTHQ1VWh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O9"/>
  <sheetViews>
    <sheetView workbookViewId="0"/>
  </sheetViews>
  <sheetFormatPr defaultColWidth="14.3984375" defaultRowHeight="15.75" customHeight="1"/>
  <cols>
    <col min="1" max="1" width="7.265625" customWidth="1"/>
    <col min="2" max="2" width="26.3984375" customWidth="1"/>
    <col min="3" max="3" width="16.3984375" customWidth="1"/>
    <col min="4" max="4" width="9.265625" customWidth="1"/>
    <col min="5" max="5" width="13.1328125" customWidth="1"/>
    <col min="7" max="7" width="31.73046875" customWidth="1"/>
    <col min="8" max="12" width="3.86328125" customWidth="1"/>
  </cols>
  <sheetData>
    <row r="1" spans="1:15" ht="29.25" customHeight="1">
      <c r="A1" s="1" t="str">
        <f>HYPERLINK("https://docs.google.com/spreadsheets/d/1aywNd0p-7cme4XnVfCwUuuSuC4CAVWI5jEUNxNGpBUw/edit?usp=sharing","UPDATE THE MAIN RELEASE TRACKING SHEET WHEN MAKING AN ADDITION HERE")</f>
        <v>UPDATE THE MAIN RELEASE TRACKING SHEET WHEN MAKING AN ADDITION HERE</v>
      </c>
      <c r="B1" s="2"/>
      <c r="C1" s="2"/>
      <c r="D1" s="116"/>
      <c r="E1" s="116"/>
      <c r="F1" s="141"/>
      <c r="G1" s="116"/>
      <c r="H1" s="116"/>
      <c r="I1" s="116"/>
      <c r="J1" s="116"/>
      <c r="K1" s="116"/>
      <c r="L1" s="116"/>
      <c r="M1" s="116"/>
      <c r="N1" s="116"/>
      <c r="O1" s="116"/>
    </row>
    <row r="2" spans="1:15" ht="13.15">
      <c r="A2" s="194" t="s">
        <v>0</v>
      </c>
      <c r="B2" s="196" t="s">
        <v>1</v>
      </c>
      <c r="C2" s="196" t="s">
        <v>2</v>
      </c>
      <c r="D2" s="192" t="s">
        <v>3</v>
      </c>
      <c r="E2" s="192" t="s">
        <v>4</v>
      </c>
      <c r="F2" s="197" t="s">
        <v>5</v>
      </c>
      <c r="G2" s="3"/>
      <c r="H2" s="198" t="s">
        <v>6</v>
      </c>
      <c r="I2" s="199"/>
      <c r="J2" s="199"/>
      <c r="K2" s="199"/>
      <c r="L2" s="200"/>
      <c r="M2" s="192" t="s">
        <v>7</v>
      </c>
      <c r="N2" s="192" t="s">
        <v>8</v>
      </c>
      <c r="O2" s="192" t="s">
        <v>9</v>
      </c>
    </row>
    <row r="3" spans="1:15" ht="13.15">
      <c r="A3" s="195"/>
      <c r="B3" s="193"/>
      <c r="C3" s="193"/>
      <c r="D3" s="193"/>
      <c r="E3" s="193"/>
      <c r="F3" s="193"/>
      <c r="G3" s="4" t="s">
        <v>10</v>
      </c>
      <c r="H3" s="4" t="s">
        <v>11</v>
      </c>
      <c r="I3" s="4" t="s">
        <v>12</v>
      </c>
      <c r="J3" s="4" t="s">
        <v>13</v>
      </c>
      <c r="K3" s="4" t="s">
        <v>14</v>
      </c>
      <c r="L3" s="4" t="s">
        <v>15</v>
      </c>
      <c r="M3" s="193"/>
      <c r="N3" s="193"/>
      <c r="O3" s="193"/>
    </row>
    <row r="4" spans="1:15" ht="51">
      <c r="A4" s="186"/>
      <c r="B4" s="186" t="s">
        <v>16</v>
      </c>
      <c r="C4" s="186" t="s">
        <v>17</v>
      </c>
      <c r="D4" s="186" t="s">
        <v>18</v>
      </c>
      <c r="E4" s="155">
        <v>43480</v>
      </c>
      <c r="F4" s="142" t="s">
        <v>19</v>
      </c>
      <c r="G4" s="186"/>
      <c r="H4" s="120"/>
      <c r="I4" s="120" t="s">
        <v>20</v>
      </c>
      <c r="J4" s="120"/>
      <c r="K4" s="120"/>
      <c r="L4" s="120"/>
      <c r="M4" s="186"/>
      <c r="N4" s="186"/>
      <c r="O4" s="186"/>
    </row>
    <row r="5" spans="1:15" ht="51">
      <c r="A5" s="186"/>
      <c r="B5" s="186" t="s">
        <v>16</v>
      </c>
      <c r="C5" s="186" t="s">
        <v>17</v>
      </c>
      <c r="D5" s="186" t="s">
        <v>21</v>
      </c>
      <c r="E5" s="155">
        <v>43486</v>
      </c>
      <c r="F5" s="142" t="s">
        <v>19</v>
      </c>
      <c r="G5" s="186"/>
      <c r="H5" s="120"/>
      <c r="I5" s="120" t="s">
        <v>20</v>
      </c>
      <c r="J5" s="120"/>
      <c r="K5" s="120"/>
      <c r="L5" s="120"/>
      <c r="M5" s="186"/>
      <c r="N5" s="186"/>
      <c r="O5" s="186"/>
    </row>
    <row r="6" spans="1:15" ht="51">
      <c r="A6" s="186"/>
      <c r="B6" s="186" t="s">
        <v>16</v>
      </c>
      <c r="C6" s="186" t="s">
        <v>17</v>
      </c>
      <c r="D6" s="186" t="s">
        <v>22</v>
      </c>
      <c r="E6" s="155">
        <v>43489</v>
      </c>
      <c r="F6" s="142" t="s">
        <v>19</v>
      </c>
      <c r="G6" s="186"/>
      <c r="H6" s="120" t="s">
        <v>20</v>
      </c>
      <c r="I6" s="120" t="s">
        <v>20</v>
      </c>
      <c r="J6" s="120"/>
      <c r="K6" s="120"/>
      <c r="L6" s="120"/>
      <c r="M6" s="186"/>
      <c r="N6" s="186"/>
      <c r="O6" s="186"/>
    </row>
    <row r="7" spans="1:15" ht="25.5">
      <c r="A7" s="186"/>
      <c r="B7" s="186" t="s">
        <v>16</v>
      </c>
      <c r="C7" s="186" t="s">
        <v>17</v>
      </c>
      <c r="D7" s="186" t="s">
        <v>23</v>
      </c>
      <c r="E7" s="155">
        <v>43507</v>
      </c>
      <c r="F7" s="142" t="s">
        <v>24</v>
      </c>
      <c r="G7" s="142" t="s">
        <v>25</v>
      </c>
      <c r="H7" s="120"/>
      <c r="I7" s="120"/>
      <c r="J7" s="120"/>
      <c r="K7" s="120"/>
      <c r="L7" s="120"/>
      <c r="M7" s="186"/>
      <c r="N7" s="186"/>
      <c r="O7" s="186"/>
    </row>
    <row r="8" spans="1:15" ht="12.75">
      <c r="A8" s="186"/>
      <c r="B8" s="186" t="s">
        <v>16</v>
      </c>
      <c r="C8" s="186" t="s">
        <v>17</v>
      </c>
      <c r="D8" s="186" t="s">
        <v>26</v>
      </c>
      <c r="E8" s="156">
        <v>43550</v>
      </c>
      <c r="F8" s="186" t="s">
        <v>24</v>
      </c>
      <c r="G8" s="186"/>
      <c r="H8" s="120"/>
      <c r="I8" s="120"/>
      <c r="J8" s="120"/>
      <c r="K8" s="120"/>
      <c r="L8" s="120"/>
      <c r="M8" s="186"/>
      <c r="N8" s="186"/>
      <c r="O8" s="186"/>
    </row>
    <row r="9" spans="1:15" ht="12.75">
      <c r="A9" s="186"/>
      <c r="B9" s="186"/>
      <c r="C9" s="186"/>
      <c r="D9" s="186"/>
      <c r="E9" s="186"/>
      <c r="F9" s="186"/>
      <c r="G9" s="186"/>
      <c r="H9" s="120"/>
      <c r="I9" s="120"/>
      <c r="J9" s="120"/>
      <c r="K9" s="120"/>
      <c r="L9" s="120"/>
      <c r="M9" s="186"/>
      <c r="N9" s="186"/>
      <c r="O9" s="186"/>
    </row>
  </sheetData>
  <mergeCells count="10">
    <mergeCell ref="M2:M3"/>
    <mergeCell ref="N2:N3"/>
    <mergeCell ref="O2:O3"/>
    <mergeCell ref="A2:A3"/>
    <mergeCell ref="B2:B3"/>
    <mergeCell ref="C2:C3"/>
    <mergeCell ref="D2:D3"/>
    <mergeCell ref="E2:E3"/>
    <mergeCell ref="F2:F3"/>
    <mergeCell ref="H2:L2"/>
  </mergeCells>
  <conditionalFormatting sqref="H4:L8">
    <cfRule type="cellIs" dxfId="20" priority="1" operator="equal">
      <formula>"N"</formula>
    </cfRule>
    <cfRule type="cellIs" dxfId="19" priority="2" operator="equal">
      <formula>"Y"</formula>
    </cfRule>
    <cfRule type="containsBlanks" dxfId="18" priority="3">
      <formula>LEN(TRIM(H4))=0</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filterMode="1">
    <outlinePr summaryBelow="0" summaryRight="0"/>
    <pageSetUpPr fitToPage="1"/>
  </sheetPr>
  <dimension ref="A1:P831"/>
  <sheetViews>
    <sheetView tabSelected="1" zoomScale="115" zoomScaleNormal="115" workbookViewId="0">
      <pane xSplit="1" ySplit="1" topLeftCell="B2" activePane="bottomRight" state="frozen"/>
      <selection pane="topRight" activeCell="B1" sqref="B1"/>
      <selection pane="bottomLeft" activeCell="A4" sqref="A4"/>
      <selection pane="bottomRight" activeCell="C4" sqref="C4"/>
    </sheetView>
  </sheetViews>
  <sheetFormatPr defaultColWidth="14.3984375" defaultRowHeight="15.75" customHeight="1"/>
  <cols>
    <col min="1" max="1" width="22.73046875" bestFit="1" customWidth="1"/>
    <col min="2" max="2" width="9.86328125" customWidth="1"/>
    <col min="3" max="4" width="64.59765625" customWidth="1"/>
    <col min="5" max="5" width="21.1328125" customWidth="1"/>
    <col min="6" max="6" width="31.86328125" bestFit="1" customWidth="1"/>
    <col min="7" max="7" width="21.86328125" bestFit="1" customWidth="1"/>
    <col min="8" max="8" width="25.265625" bestFit="1" customWidth="1"/>
    <col min="9" max="9" width="30" customWidth="1"/>
    <col min="10" max="10" width="10.1328125" bestFit="1" customWidth="1"/>
    <col min="11" max="11" width="36.86328125" customWidth="1"/>
    <col min="12" max="12" width="19.59765625" customWidth="1"/>
    <col min="13" max="13" width="21.73046875" customWidth="1"/>
    <col min="14" max="14" width="11" customWidth="1"/>
    <col min="15" max="15" width="11.59765625" customWidth="1"/>
    <col min="16" max="16" width="11" customWidth="1"/>
  </cols>
  <sheetData>
    <row r="1" spans="1:16" ht="51.75" customHeight="1">
      <c r="A1" s="7" t="s">
        <v>27</v>
      </c>
      <c r="B1" s="6" t="s">
        <v>28</v>
      </c>
      <c r="C1" s="6" t="s">
        <v>29</v>
      </c>
      <c r="D1" s="6" t="s">
        <v>30</v>
      </c>
      <c r="E1" s="7" t="s">
        <v>31</v>
      </c>
      <c r="F1" s="6" t="s">
        <v>32</v>
      </c>
      <c r="G1" s="6" t="s">
        <v>33</v>
      </c>
      <c r="H1" s="6" t="s">
        <v>34</v>
      </c>
      <c r="I1" s="6" t="s">
        <v>35</v>
      </c>
      <c r="J1" s="6" t="s">
        <v>36</v>
      </c>
      <c r="K1" s="7" t="s">
        <v>37</v>
      </c>
      <c r="L1" s="7" t="s">
        <v>38</v>
      </c>
      <c r="M1" s="7" t="s">
        <v>39</v>
      </c>
      <c r="N1" s="6" t="s">
        <v>40</v>
      </c>
      <c r="O1" s="6" t="s">
        <v>41</v>
      </c>
      <c r="P1" s="6" t="s">
        <v>42</v>
      </c>
    </row>
    <row r="2" spans="1:16" ht="12.75">
      <c r="A2" s="184" t="str">
        <f t="shared" ref="A2:A33" si="0">CONCATENATE(VLOOKUP(F2,Systems,2,FALSE),"-",VLOOKUP(G2,Subsystems,2,FALSE),"-",VLOOKUP(H2,Components,2,FALSE),"-",VLOOKUP(K2,Metrics,2,FALSE),"-",B2)</f>
        <v>AG-HF-DVL-Pos-1</v>
      </c>
      <c r="B2" s="184">
        <v>1</v>
      </c>
      <c r="C2" s="184" t="str">
        <f t="shared" ref="C2:C65" si="1">_xlfn.TEXTJOIN("", TRUE, "[", E2,"] ",D2)</f>
        <v>[04C346] Stage 1 Anti-Geysering High Flow Valve - Cmd</v>
      </c>
      <c r="D2" s="184" t="s">
        <v>43</v>
      </c>
      <c r="E2" s="184" t="s">
        <v>44</v>
      </c>
      <c r="F2" s="184" t="s">
        <v>45</v>
      </c>
      <c r="G2" s="184" t="s">
        <v>46</v>
      </c>
      <c r="H2" s="184" t="s">
        <v>47</v>
      </c>
      <c r="I2" s="184" t="s">
        <v>48</v>
      </c>
      <c r="J2" s="184"/>
      <c r="K2" s="184" t="s">
        <v>49</v>
      </c>
      <c r="L2" s="184" t="s">
        <v>50</v>
      </c>
      <c r="M2" s="184"/>
      <c r="N2" s="184"/>
      <c r="O2" s="184"/>
      <c r="P2" s="184" t="b">
        <v>0</v>
      </c>
    </row>
    <row r="3" spans="1:16" ht="12.75">
      <c r="A3" s="184" t="str">
        <f t="shared" si="0"/>
        <v>AG-S1U-PRS-Ps-2</v>
      </c>
      <c r="B3" s="184">
        <v>2</v>
      </c>
      <c r="C3" s="184" t="str">
        <f t="shared" si="1"/>
        <v>[04C932] Stage 1 Anti-Geysering Delivery Pressure</v>
      </c>
      <c r="D3" s="184" t="s">
        <v>51</v>
      </c>
      <c r="E3" s="184" t="s">
        <v>52</v>
      </c>
      <c r="F3" s="184" t="s">
        <v>45</v>
      </c>
      <c r="G3" s="184" t="s">
        <v>53</v>
      </c>
      <c r="H3" s="184" t="s">
        <v>54</v>
      </c>
      <c r="I3" s="184" t="s">
        <v>55</v>
      </c>
      <c r="J3" s="184"/>
      <c r="K3" s="184" t="s">
        <v>56</v>
      </c>
      <c r="L3" s="184" t="s">
        <v>57</v>
      </c>
      <c r="M3" s="184"/>
      <c r="N3" s="184"/>
      <c r="O3" s="184"/>
      <c r="P3" s="184" t="b">
        <v>0</v>
      </c>
    </row>
    <row r="4" spans="1:16" ht="12.75">
      <c r="A4" s="184" t="str">
        <f t="shared" si="0"/>
        <v>AG-S2U-PRS-Ps-3</v>
      </c>
      <c r="B4" s="184">
        <v>3</v>
      </c>
      <c r="C4" s="184" t="str">
        <f t="shared" si="1"/>
        <v>[04C930] Stage 2 Anti Geysering Delivery Pressure</v>
      </c>
      <c r="D4" s="184" t="s">
        <v>58</v>
      </c>
      <c r="E4" s="184" t="s">
        <v>59</v>
      </c>
      <c r="F4" s="184" t="s">
        <v>45</v>
      </c>
      <c r="G4" s="184" t="s">
        <v>60</v>
      </c>
      <c r="H4" s="184" t="s">
        <v>54</v>
      </c>
      <c r="I4" s="184" t="s">
        <v>55</v>
      </c>
      <c r="J4" s="184"/>
      <c r="K4" s="184" t="s">
        <v>56</v>
      </c>
      <c r="L4" s="184" t="s">
        <v>57</v>
      </c>
      <c r="M4" s="184"/>
      <c r="N4" s="184"/>
      <c r="O4" s="184"/>
      <c r="P4" s="184" t="b">
        <v>0</v>
      </c>
    </row>
    <row r="5" spans="1:16" ht="12.75">
      <c r="A5" s="184" t="str">
        <f t="shared" si="0"/>
        <v>AG-HF-DVL-Pos-4</v>
      </c>
      <c r="B5" s="184">
        <v>4</v>
      </c>
      <c r="C5" s="184" t="str">
        <f t="shared" si="1"/>
        <v>[04C386] Stage 2 Anti-Geysering High Flow Valve Controller</v>
      </c>
      <c r="D5" s="184" t="s">
        <v>61</v>
      </c>
      <c r="E5" s="184" t="s">
        <v>62</v>
      </c>
      <c r="F5" s="184" t="s">
        <v>45</v>
      </c>
      <c r="G5" s="184" t="s">
        <v>46</v>
      </c>
      <c r="H5" s="184" t="s">
        <v>47</v>
      </c>
      <c r="I5" s="184" t="s">
        <v>48</v>
      </c>
      <c r="J5" s="184"/>
      <c r="K5" s="184" t="s">
        <v>49</v>
      </c>
      <c r="L5" s="184" t="s">
        <v>50</v>
      </c>
      <c r="M5" s="184"/>
      <c r="N5" s="184"/>
      <c r="O5" s="184"/>
      <c r="P5" s="184" t="b">
        <v>0</v>
      </c>
    </row>
    <row r="6" spans="1:16" ht="12.75">
      <c r="A6" s="184" t="str">
        <f t="shared" si="0"/>
        <v>AG-LF-DVL-Pos-5</v>
      </c>
      <c r="B6" s="184">
        <v>5</v>
      </c>
      <c r="C6" s="184" t="str">
        <f t="shared" si="1"/>
        <v>[04C345] Stage 1 Anti-Geysering Low Flow Valve - Cmd</v>
      </c>
      <c r="D6" s="184" t="s">
        <v>63</v>
      </c>
      <c r="E6" s="184" t="s">
        <v>64</v>
      </c>
      <c r="F6" s="184" t="s">
        <v>45</v>
      </c>
      <c r="G6" s="184" t="s">
        <v>65</v>
      </c>
      <c r="H6" s="184" t="s">
        <v>47</v>
      </c>
      <c r="I6" s="184" t="s">
        <v>48</v>
      </c>
      <c r="J6" s="184"/>
      <c r="K6" s="184" t="s">
        <v>49</v>
      </c>
      <c r="L6" s="184" t="s">
        <v>50</v>
      </c>
      <c r="M6" s="184"/>
      <c r="N6" s="184"/>
      <c r="O6" s="184"/>
      <c r="P6" s="184" t="b">
        <v>0</v>
      </c>
    </row>
    <row r="7" spans="1:16" ht="12.75">
      <c r="A7" s="184" t="str">
        <f t="shared" si="0"/>
        <v>AG-LF-DVL-Pos-6</v>
      </c>
      <c r="B7" s="184">
        <v>6</v>
      </c>
      <c r="C7" s="184" t="str">
        <f t="shared" si="1"/>
        <v>[04C385] Stage 2 Anti-Geysering Low Flow Valve Controller</v>
      </c>
      <c r="D7" s="184" t="s">
        <v>66</v>
      </c>
      <c r="E7" s="184" t="s">
        <v>67</v>
      </c>
      <c r="F7" s="184" t="s">
        <v>45</v>
      </c>
      <c r="G7" s="184" t="s">
        <v>65</v>
      </c>
      <c r="H7" s="184" t="s">
        <v>47</v>
      </c>
      <c r="I7" s="184" t="s">
        <v>48</v>
      </c>
      <c r="J7" s="184"/>
      <c r="K7" s="184" t="s">
        <v>49</v>
      </c>
      <c r="L7" s="184" t="s">
        <v>50</v>
      </c>
      <c r="M7" s="184"/>
      <c r="N7" s="184"/>
      <c r="O7" s="184"/>
      <c r="P7" s="184" t="b">
        <v>0</v>
      </c>
    </row>
    <row r="8" spans="1:16" ht="12.75">
      <c r="A8" s="184" t="str">
        <f t="shared" si="0"/>
        <v>ASP--AxCt-ST-7</v>
      </c>
      <c r="B8" s="184">
        <v>7</v>
      </c>
      <c r="C8" s="184" t="str">
        <f t="shared" si="1"/>
        <v>[FTS-ISO(A)] Power Isolation Contactor FTS-ISO(A)</v>
      </c>
      <c r="D8" s="184" t="s">
        <v>68</v>
      </c>
      <c r="E8" s="184" t="s">
        <v>69</v>
      </c>
      <c r="F8" s="184" t="s">
        <v>70</v>
      </c>
      <c r="G8" s="184" t="s">
        <v>71</v>
      </c>
      <c r="H8" s="184" t="s">
        <v>72</v>
      </c>
      <c r="I8" s="184" t="s">
        <v>73</v>
      </c>
      <c r="J8" s="184"/>
      <c r="K8" s="184" t="s">
        <v>74</v>
      </c>
      <c r="L8" s="184" t="s">
        <v>50</v>
      </c>
      <c r="M8" s="184"/>
      <c r="N8" s="184"/>
      <c r="O8" s="184"/>
      <c r="P8" s="184" t="b">
        <v>0</v>
      </c>
    </row>
    <row r="9" spans="1:16" ht="12.75">
      <c r="A9" s="184" t="str">
        <f t="shared" si="0"/>
        <v>ASP--AxCt-ST-8</v>
      </c>
      <c r="B9" s="184">
        <v>8</v>
      </c>
      <c r="C9" s="184" t="str">
        <f>_xlfn.TEXTJOIN("", TRUE, "[", E9,"] ",D9)</f>
        <v>[S3-ISO(A)] Power Isolation Contactor S3-ISO(A)</v>
      </c>
      <c r="D9" s="184" t="s">
        <v>75</v>
      </c>
      <c r="E9" s="184" t="s">
        <v>76</v>
      </c>
      <c r="F9" s="184" t="s">
        <v>70</v>
      </c>
      <c r="G9" s="184" t="s">
        <v>71</v>
      </c>
      <c r="H9" s="184" t="s">
        <v>72</v>
      </c>
      <c r="I9" s="184" t="s">
        <v>73</v>
      </c>
      <c r="J9" s="184"/>
      <c r="K9" s="184" t="s">
        <v>74</v>
      </c>
      <c r="L9" s="184" t="s">
        <v>50</v>
      </c>
      <c r="M9" s="184"/>
      <c r="N9" s="184"/>
      <c r="O9" s="184"/>
      <c r="P9" s="184" t="b">
        <v>0</v>
      </c>
    </row>
    <row r="10" spans="1:16" ht="12.75">
      <c r="A10" s="184" t="str">
        <f t="shared" si="0"/>
        <v>ASP--AxCt-ST-9</v>
      </c>
      <c r="B10" s="184">
        <v>9</v>
      </c>
      <c r="C10" s="184" t="str">
        <f t="shared" si="1"/>
        <v>[S2L-ISO(A)] Power Isolation Contactor S2L-ISO(A)</v>
      </c>
      <c r="D10" s="184" t="s">
        <v>77</v>
      </c>
      <c r="E10" s="184" t="s">
        <v>78</v>
      </c>
      <c r="F10" s="184" t="s">
        <v>70</v>
      </c>
      <c r="G10" s="184" t="s">
        <v>71</v>
      </c>
      <c r="H10" s="184" t="s">
        <v>72</v>
      </c>
      <c r="I10" s="184" t="s">
        <v>73</v>
      </c>
      <c r="J10" s="184"/>
      <c r="K10" s="184" t="s">
        <v>74</v>
      </c>
      <c r="L10" s="184" t="s">
        <v>50</v>
      </c>
      <c r="M10" s="184"/>
      <c r="N10" s="184"/>
      <c r="O10" s="184"/>
      <c r="P10" s="184" t="b">
        <v>0</v>
      </c>
    </row>
    <row r="11" spans="1:16" ht="12.75">
      <c r="A11" s="184" t="str">
        <f t="shared" si="0"/>
        <v>ASP--AxCt-ST-10</v>
      </c>
      <c r="B11" s="184">
        <v>10</v>
      </c>
      <c r="C11" s="184" t="str">
        <f t="shared" si="1"/>
        <v>[S1U-ISO(A)] Power Isolation Contactor S1U-ISO(A)</v>
      </c>
      <c r="D11" s="184" t="s">
        <v>79</v>
      </c>
      <c r="E11" s="184" t="s">
        <v>80</v>
      </c>
      <c r="F11" s="184" t="s">
        <v>70</v>
      </c>
      <c r="G11" s="184" t="s">
        <v>71</v>
      </c>
      <c r="H11" s="184" t="s">
        <v>72</v>
      </c>
      <c r="I11" s="184" t="s">
        <v>73</v>
      </c>
      <c r="J11" s="184"/>
      <c r="K11" s="184" t="s">
        <v>74</v>
      </c>
      <c r="L11" s="184" t="s">
        <v>50</v>
      </c>
      <c r="M11" s="184"/>
      <c r="N11" s="184"/>
      <c r="O11" s="184"/>
      <c r="P11" s="184" t="b">
        <v>0</v>
      </c>
    </row>
    <row r="12" spans="1:16" ht="12.75">
      <c r="A12" s="184" t="str">
        <f t="shared" si="0"/>
        <v>ASP--AxCt-ST-11</v>
      </c>
      <c r="B12" s="184">
        <v>11</v>
      </c>
      <c r="C12" s="184" t="str">
        <f t="shared" si="1"/>
        <v>[S1L-ISO(A)] Power Isolation Contactor S1L-ISO(A)</v>
      </c>
      <c r="D12" s="184" t="s">
        <v>81</v>
      </c>
      <c r="E12" s="184" t="s">
        <v>82</v>
      </c>
      <c r="F12" s="184" t="s">
        <v>70</v>
      </c>
      <c r="G12" s="184" t="s">
        <v>71</v>
      </c>
      <c r="H12" s="184" t="s">
        <v>72</v>
      </c>
      <c r="I12" s="184" t="s">
        <v>73</v>
      </c>
      <c r="J12" s="184"/>
      <c r="K12" s="184" t="s">
        <v>74</v>
      </c>
      <c r="L12" s="184" t="s">
        <v>50</v>
      </c>
      <c r="M12" s="184"/>
      <c r="N12" s="184"/>
      <c r="O12" s="184"/>
      <c r="P12" s="184" t="b">
        <v>0</v>
      </c>
    </row>
    <row r="13" spans="1:16" ht="12.75">
      <c r="A13" s="184" t="str">
        <f t="shared" si="0"/>
        <v>ASP--AxCt-ST-12</v>
      </c>
      <c r="B13" s="184">
        <v>12</v>
      </c>
      <c r="C13" s="184" t="str">
        <f t="shared" si="1"/>
        <v>[FTS-ISO(B)] Power Isolation Contactor FTS-ISO(B)</v>
      </c>
      <c r="D13" s="184" t="s">
        <v>83</v>
      </c>
      <c r="E13" s="184" t="s">
        <v>84</v>
      </c>
      <c r="F13" s="184" t="s">
        <v>70</v>
      </c>
      <c r="G13" s="184" t="s">
        <v>71</v>
      </c>
      <c r="H13" s="184" t="s">
        <v>72</v>
      </c>
      <c r="I13" s="184" t="s">
        <v>73</v>
      </c>
      <c r="J13" s="184"/>
      <c r="K13" s="184" t="s">
        <v>74</v>
      </c>
      <c r="L13" s="184" t="s">
        <v>50</v>
      </c>
      <c r="M13" s="184"/>
      <c r="N13" s="184"/>
      <c r="O13" s="184"/>
      <c r="P13" s="184" t="b">
        <v>0</v>
      </c>
    </row>
    <row r="14" spans="1:16" ht="12.75">
      <c r="A14" s="184" t="str">
        <f t="shared" si="0"/>
        <v>ASP--AxCt-ST-13</v>
      </c>
      <c r="B14" s="184">
        <v>13</v>
      </c>
      <c r="C14" s="184" t="str">
        <f t="shared" si="1"/>
        <v>[S3-ISO(B)] Power Isolation Contactor S3-ISO(B)</v>
      </c>
      <c r="D14" s="184" t="s">
        <v>85</v>
      </c>
      <c r="E14" s="184" t="s">
        <v>86</v>
      </c>
      <c r="F14" s="184" t="s">
        <v>70</v>
      </c>
      <c r="G14" s="184" t="s">
        <v>71</v>
      </c>
      <c r="H14" s="184" t="s">
        <v>72</v>
      </c>
      <c r="I14" s="184" t="s">
        <v>73</v>
      </c>
      <c r="J14" s="184"/>
      <c r="K14" s="184" t="s">
        <v>74</v>
      </c>
      <c r="L14" s="184" t="s">
        <v>50</v>
      </c>
      <c r="M14" s="184"/>
      <c r="N14" s="184"/>
      <c r="O14" s="184"/>
      <c r="P14" s="184" t="b">
        <v>0</v>
      </c>
    </row>
    <row r="15" spans="1:16" ht="12.75">
      <c r="A15" s="184" t="str">
        <f t="shared" si="0"/>
        <v>ASP--AxCt-ST-14</v>
      </c>
      <c r="B15" s="184">
        <v>14</v>
      </c>
      <c r="C15" s="184" t="str">
        <f t="shared" si="1"/>
        <v>[S2U-ISO(B)] Power Isolation Contactor S2U-ISO(B)</v>
      </c>
      <c r="D15" s="184" t="s">
        <v>87</v>
      </c>
      <c r="E15" s="184" t="s">
        <v>88</v>
      </c>
      <c r="F15" s="184" t="s">
        <v>70</v>
      </c>
      <c r="G15" s="184" t="s">
        <v>71</v>
      </c>
      <c r="H15" s="184" t="s">
        <v>72</v>
      </c>
      <c r="I15" s="184" t="s">
        <v>73</v>
      </c>
      <c r="J15" s="184"/>
      <c r="K15" s="184" t="s">
        <v>74</v>
      </c>
      <c r="L15" s="184" t="s">
        <v>50</v>
      </c>
      <c r="M15" s="184"/>
      <c r="N15" s="184"/>
      <c r="O15" s="184"/>
      <c r="P15" s="184" t="b">
        <v>0</v>
      </c>
    </row>
    <row r="16" spans="1:16" ht="12.75">
      <c r="A16" s="184" t="str">
        <f t="shared" si="0"/>
        <v>ASP--AxCt-ST-15</v>
      </c>
      <c r="B16" s="184">
        <v>15</v>
      </c>
      <c r="C16" s="184" t="str">
        <f t="shared" si="1"/>
        <v>[S1U-ISO(B)] Power Isolation Contactor S1U-ISO(B)</v>
      </c>
      <c r="D16" s="184" t="s">
        <v>89</v>
      </c>
      <c r="E16" s="184" t="s">
        <v>90</v>
      </c>
      <c r="F16" s="184" t="s">
        <v>70</v>
      </c>
      <c r="G16" s="184" t="s">
        <v>71</v>
      </c>
      <c r="H16" s="184" t="s">
        <v>72</v>
      </c>
      <c r="I16" s="184" t="s">
        <v>73</v>
      </c>
      <c r="J16" s="184"/>
      <c r="K16" s="184" t="s">
        <v>74</v>
      </c>
      <c r="L16" s="184" t="s">
        <v>50</v>
      </c>
      <c r="M16" s="184"/>
      <c r="N16" s="184"/>
      <c r="O16" s="184"/>
      <c r="P16" s="184" t="b">
        <v>0</v>
      </c>
    </row>
    <row r="17" spans="1:16" ht="12.75">
      <c r="A17" s="184" t="str">
        <f t="shared" si="0"/>
        <v>ASP--AxCt-ST-16</v>
      </c>
      <c r="B17" s="184">
        <v>16</v>
      </c>
      <c r="C17" s="184" t="str">
        <f t="shared" si="1"/>
        <v>[S1L-ISO(B)] Power Isolation Contactor S1L-ISO(B)</v>
      </c>
      <c r="D17" s="184" t="s">
        <v>91</v>
      </c>
      <c r="E17" s="184" t="s">
        <v>92</v>
      </c>
      <c r="F17" s="184" t="s">
        <v>70</v>
      </c>
      <c r="G17" s="184" t="s">
        <v>71</v>
      </c>
      <c r="H17" s="184" t="s">
        <v>72</v>
      </c>
      <c r="I17" s="184" t="s">
        <v>73</v>
      </c>
      <c r="J17" s="184"/>
      <c r="K17" s="184" t="s">
        <v>74</v>
      </c>
      <c r="L17" s="184" t="s">
        <v>50</v>
      </c>
      <c r="M17" s="184"/>
      <c r="N17" s="184"/>
      <c r="O17" s="184"/>
      <c r="P17" s="184" t="b">
        <v>0</v>
      </c>
    </row>
    <row r="18" spans="1:16" ht="12.75">
      <c r="A18" s="184" t="str">
        <f t="shared" si="0"/>
        <v>ASP--AxCt-ST-17</v>
      </c>
      <c r="B18" s="184">
        <v>17</v>
      </c>
      <c r="C18" s="184" t="str">
        <f t="shared" si="1"/>
        <v>[S2U-ISO(A)] Power Isolation Contactor S2U-ISO(A)</v>
      </c>
      <c r="D18" s="184" t="s">
        <v>93</v>
      </c>
      <c r="E18" s="184" t="s">
        <v>94</v>
      </c>
      <c r="F18" s="184" t="s">
        <v>70</v>
      </c>
      <c r="G18" s="184" t="s">
        <v>71</v>
      </c>
      <c r="H18" s="184" t="s">
        <v>72</v>
      </c>
      <c r="I18" s="184" t="s">
        <v>73</v>
      </c>
      <c r="J18" s="184"/>
      <c r="K18" s="184" t="s">
        <v>74</v>
      </c>
      <c r="L18" s="184" t="s">
        <v>50</v>
      </c>
      <c r="M18" s="184"/>
      <c r="N18" s="184"/>
      <c r="O18" s="184"/>
      <c r="P18" s="184" t="b">
        <v>0</v>
      </c>
    </row>
    <row r="19" spans="1:16" ht="12.75">
      <c r="A19" s="184" t="str">
        <f t="shared" si="0"/>
        <v>ASP--AxCt-ST-18</v>
      </c>
      <c r="B19" s="184">
        <v>18</v>
      </c>
      <c r="C19" s="184" t="str">
        <f t="shared" si="1"/>
        <v>[S2L-ISO(B)] Power Isolation Contactor S2L-ISO(B)</v>
      </c>
      <c r="D19" s="184" t="s">
        <v>95</v>
      </c>
      <c r="E19" s="184" t="s">
        <v>96</v>
      </c>
      <c r="F19" s="184" t="s">
        <v>70</v>
      </c>
      <c r="G19" s="184" t="s">
        <v>71</v>
      </c>
      <c r="H19" s="184" t="s">
        <v>72</v>
      </c>
      <c r="I19" s="184" t="s">
        <v>73</v>
      </c>
      <c r="J19" s="184"/>
      <c r="K19" s="184" t="s">
        <v>74</v>
      </c>
      <c r="L19" s="184" t="s">
        <v>50</v>
      </c>
      <c r="M19" s="184"/>
      <c r="N19" s="184"/>
      <c r="O19" s="184"/>
      <c r="P19" s="184" t="b">
        <v>0</v>
      </c>
    </row>
    <row r="20" spans="1:16" ht="12.75">
      <c r="A20" s="184" t="str">
        <f t="shared" si="0"/>
        <v>CO2-STR-PRS-Ps-19</v>
      </c>
      <c r="B20" s="184">
        <v>19</v>
      </c>
      <c r="C20" s="184" t="str">
        <f t="shared" si="1"/>
        <v>[13C901] CO2 supply pressure</v>
      </c>
      <c r="D20" s="184" t="s">
        <v>97</v>
      </c>
      <c r="E20" s="184" t="s">
        <v>98</v>
      </c>
      <c r="F20" s="184" t="s">
        <v>99</v>
      </c>
      <c r="G20" s="184" t="s">
        <v>100</v>
      </c>
      <c r="H20" s="184" t="s">
        <v>54</v>
      </c>
      <c r="I20" s="184" t="s">
        <v>55</v>
      </c>
      <c r="J20" s="184"/>
      <c r="K20" s="184" t="s">
        <v>56</v>
      </c>
      <c r="L20" s="184" t="s">
        <v>57</v>
      </c>
      <c r="M20" s="184"/>
      <c r="N20" s="184"/>
      <c r="O20" s="184"/>
      <c r="P20" s="184" t="b">
        <v>0</v>
      </c>
    </row>
    <row r="21" spans="1:16" ht="12.75" hidden="1">
      <c r="A21" s="184" t="str">
        <f t="shared" si="0"/>
        <v>CO2-MN-DVL-B-20</v>
      </c>
      <c r="B21" s="184">
        <v>20</v>
      </c>
      <c r="C21" s="184" t="str">
        <f t="shared" si="1"/>
        <v>[13C301.1] CO2 primary fire valve - Cmd</v>
      </c>
      <c r="D21" s="184" t="s">
        <v>101</v>
      </c>
      <c r="E21" s="184" t="s">
        <v>102</v>
      </c>
      <c r="F21" s="184" t="s">
        <v>99</v>
      </c>
      <c r="G21" s="184" t="s">
        <v>103</v>
      </c>
      <c r="H21" s="184" t="s">
        <v>47</v>
      </c>
      <c r="I21" s="184" t="s">
        <v>48</v>
      </c>
      <c r="J21" s="184"/>
      <c r="K21" s="184" t="s">
        <v>104</v>
      </c>
      <c r="L21" s="184" t="s">
        <v>50</v>
      </c>
      <c r="M21" s="184"/>
      <c r="N21" s="184"/>
      <c r="O21" s="184"/>
      <c r="P21" s="184" t="b">
        <v>0</v>
      </c>
    </row>
    <row r="22" spans="1:16" ht="12.75" hidden="1">
      <c r="A22" s="184" t="str">
        <f t="shared" si="0"/>
        <v>CO2-MN-LS-PxC-21</v>
      </c>
      <c r="B22" s="184">
        <v>21</v>
      </c>
      <c r="C22" s="184" t="str">
        <f t="shared" si="1"/>
        <v>[13C301.2] CO2 primary fire valve - Closed</v>
      </c>
      <c r="D22" s="184" t="s">
        <v>105</v>
      </c>
      <c r="E22" s="184" t="s">
        <v>106</v>
      </c>
      <c r="F22" s="184" t="s">
        <v>99</v>
      </c>
      <c r="G22" s="184" t="s">
        <v>103</v>
      </c>
      <c r="H22" s="184" t="s">
        <v>107</v>
      </c>
      <c r="I22" s="184" t="s">
        <v>73</v>
      </c>
      <c r="J22" s="184"/>
      <c r="K22" s="184" t="s">
        <v>108</v>
      </c>
      <c r="L22" s="184" t="s">
        <v>50</v>
      </c>
      <c r="M22" s="184"/>
      <c r="N22" s="184"/>
      <c r="O22" s="184"/>
      <c r="P22" s="184" t="b">
        <v>0</v>
      </c>
    </row>
    <row r="23" spans="1:16" ht="12.75" hidden="1">
      <c r="A23" s="184" t="str">
        <f t="shared" si="0"/>
        <v>CO2-BU-DVL-B-22</v>
      </c>
      <c r="B23" s="184">
        <v>22</v>
      </c>
      <c r="C23" s="184" t="str">
        <f t="shared" si="1"/>
        <v>[13C302.1] CO2 secondary fire valve - Cmd</v>
      </c>
      <c r="D23" s="184" t="s">
        <v>109</v>
      </c>
      <c r="E23" s="184" t="s">
        <v>110</v>
      </c>
      <c r="F23" s="184" t="s">
        <v>99</v>
      </c>
      <c r="G23" s="184" t="s">
        <v>111</v>
      </c>
      <c r="H23" s="184" t="s">
        <v>47</v>
      </c>
      <c r="I23" s="184" t="s">
        <v>48</v>
      </c>
      <c r="J23" s="184"/>
      <c r="K23" s="184" t="s">
        <v>104</v>
      </c>
      <c r="L23" s="184" t="s">
        <v>50</v>
      </c>
      <c r="M23" s="184"/>
      <c r="N23" s="184"/>
      <c r="O23" s="184"/>
      <c r="P23" s="184" t="b">
        <v>0</v>
      </c>
    </row>
    <row r="24" spans="1:16" ht="12.75" hidden="1">
      <c r="A24" s="184" t="str">
        <f t="shared" si="0"/>
        <v>CO2-BU-LS-PxC-23</v>
      </c>
      <c r="B24" s="184">
        <v>23</v>
      </c>
      <c r="C24" s="184" t="str">
        <f t="shared" si="1"/>
        <v>[13C302.2] CO2 secondary fire valve - Closed</v>
      </c>
      <c r="D24" s="184" t="s">
        <v>112</v>
      </c>
      <c r="E24" s="184" t="s">
        <v>113</v>
      </c>
      <c r="F24" s="184" t="s">
        <v>99</v>
      </c>
      <c r="G24" s="184" t="s">
        <v>111</v>
      </c>
      <c r="H24" s="184" t="s">
        <v>107</v>
      </c>
      <c r="I24" s="184" t="s">
        <v>73</v>
      </c>
      <c r="J24" s="184"/>
      <c r="K24" s="184" t="s">
        <v>108</v>
      </c>
      <c r="L24" s="184" t="s">
        <v>50</v>
      </c>
      <c r="M24" s="184"/>
      <c r="N24" s="184"/>
      <c r="O24" s="184"/>
      <c r="P24" s="184" t="b">
        <v>0</v>
      </c>
    </row>
    <row r="25" spans="1:16" ht="12.75" hidden="1">
      <c r="A25" s="184" t="str">
        <f t="shared" si="0"/>
        <v>CO2-MN-LS-PxO-24</v>
      </c>
      <c r="B25" s="184">
        <v>24</v>
      </c>
      <c r="C25" s="184" t="str">
        <f t="shared" si="1"/>
        <v>[13C301.2] CO2 primary fire valve - Open</v>
      </c>
      <c r="D25" s="184" t="s">
        <v>114</v>
      </c>
      <c r="E25" s="184" t="s">
        <v>106</v>
      </c>
      <c r="F25" s="184" t="s">
        <v>99</v>
      </c>
      <c r="G25" s="184" t="s">
        <v>103</v>
      </c>
      <c r="H25" s="184" t="s">
        <v>107</v>
      </c>
      <c r="I25" s="184" t="s">
        <v>73</v>
      </c>
      <c r="J25" s="184"/>
      <c r="K25" s="184" t="s">
        <v>115</v>
      </c>
      <c r="L25" s="184" t="s">
        <v>50</v>
      </c>
      <c r="M25" s="184"/>
      <c r="N25" s="184"/>
      <c r="O25" s="184"/>
      <c r="P25" s="184" t="b">
        <v>0</v>
      </c>
    </row>
    <row r="26" spans="1:16" ht="12.75" hidden="1">
      <c r="A26" s="184" t="str">
        <f t="shared" si="0"/>
        <v>CO2-BU-LS-PxO-25</v>
      </c>
      <c r="B26" s="184">
        <v>25</v>
      </c>
      <c r="C26" s="184" t="str">
        <f t="shared" si="1"/>
        <v>[13C302.2] CO2 secondary fire valve - Open</v>
      </c>
      <c r="D26" s="184" t="s">
        <v>116</v>
      </c>
      <c r="E26" s="184" t="s">
        <v>113</v>
      </c>
      <c r="F26" s="184" t="s">
        <v>99</v>
      </c>
      <c r="G26" s="184" t="s">
        <v>111</v>
      </c>
      <c r="H26" s="184" t="s">
        <v>107</v>
      </c>
      <c r="I26" s="184" t="s">
        <v>73</v>
      </c>
      <c r="J26" s="184"/>
      <c r="K26" s="184" t="s">
        <v>115</v>
      </c>
      <c r="L26" s="184" t="s">
        <v>50</v>
      </c>
      <c r="M26" s="184"/>
      <c r="N26" s="184"/>
      <c r="O26" s="184"/>
      <c r="P26" s="184" t="b">
        <v>0</v>
      </c>
    </row>
    <row r="27" spans="1:16" ht="12.75">
      <c r="A27" s="184" t="str">
        <f t="shared" si="0"/>
        <v>CPWR-OL-FX-CD-26</v>
      </c>
      <c r="B27" s="184">
        <v>26</v>
      </c>
      <c r="C27" s="184" t="str">
        <f t="shared" si="1"/>
        <v>[SITOP1] SITOP1 Power supply Trip</v>
      </c>
      <c r="D27" s="184" t="s">
        <v>117</v>
      </c>
      <c r="E27" s="184" t="s">
        <v>118</v>
      </c>
      <c r="F27" s="184" t="s">
        <v>119</v>
      </c>
      <c r="G27" s="184" t="s">
        <v>120</v>
      </c>
      <c r="H27" s="184" t="s">
        <v>121</v>
      </c>
      <c r="I27" s="184" t="s">
        <v>73</v>
      </c>
      <c r="J27" s="184"/>
      <c r="K27" s="184" t="s">
        <v>122</v>
      </c>
      <c r="L27" s="184" t="s">
        <v>50</v>
      </c>
      <c r="M27" s="184"/>
      <c r="N27" s="184"/>
      <c r="O27" s="184"/>
      <c r="P27" s="184" t="b">
        <v>0</v>
      </c>
    </row>
    <row r="28" spans="1:16" ht="12.75">
      <c r="A28" s="184" t="str">
        <f t="shared" si="0"/>
        <v>CPWR-OL-FX-CD-27</v>
      </c>
      <c r="B28" s="184">
        <v>27</v>
      </c>
      <c r="C28" s="184" t="str">
        <f t="shared" si="1"/>
        <v>[SITOP2] SITOP2 Power supply Trip</v>
      </c>
      <c r="D28" s="184" t="s">
        <v>123</v>
      </c>
      <c r="E28" s="184" t="s">
        <v>124</v>
      </c>
      <c r="F28" s="184" t="s">
        <v>119</v>
      </c>
      <c r="G28" s="184" t="s">
        <v>120</v>
      </c>
      <c r="H28" s="184" t="s">
        <v>121</v>
      </c>
      <c r="I28" s="184" t="s">
        <v>73</v>
      </c>
      <c r="J28" s="184"/>
      <c r="K28" s="184" t="s">
        <v>122</v>
      </c>
      <c r="L28" s="184" t="s">
        <v>50</v>
      </c>
      <c r="M28" s="184"/>
      <c r="N28" s="184"/>
      <c r="O28" s="184"/>
      <c r="P28" s="184" t="b">
        <v>0</v>
      </c>
    </row>
    <row r="29" spans="1:16" ht="12.75">
      <c r="A29" s="184" t="str">
        <f t="shared" si="0"/>
        <v>CPWR-OL-FX-CD-28</v>
      </c>
      <c r="B29" s="184">
        <v>28</v>
      </c>
      <c r="C29" s="184" t="str">
        <f t="shared" si="1"/>
        <v>[SITOP4] SITOP4 Power supply Trip</v>
      </c>
      <c r="D29" s="184" t="s">
        <v>125</v>
      </c>
      <c r="E29" s="184" t="s">
        <v>126</v>
      </c>
      <c r="F29" s="184" t="s">
        <v>119</v>
      </c>
      <c r="G29" s="184" t="s">
        <v>120</v>
      </c>
      <c r="H29" s="184" t="s">
        <v>121</v>
      </c>
      <c r="I29" s="184" t="s">
        <v>73</v>
      </c>
      <c r="J29" s="184"/>
      <c r="K29" s="184" t="s">
        <v>122</v>
      </c>
      <c r="L29" s="184" t="s">
        <v>50</v>
      </c>
      <c r="M29" s="184"/>
      <c r="N29" s="184"/>
      <c r="O29" s="184"/>
      <c r="P29" s="184" t="b">
        <v>0</v>
      </c>
    </row>
    <row r="30" spans="1:16" ht="12.75">
      <c r="A30" s="184" t="str">
        <f t="shared" si="0"/>
        <v>CPWR-OL-FX-CD-29</v>
      </c>
      <c r="B30" s="184">
        <v>29</v>
      </c>
      <c r="C30" s="184" t="str">
        <f t="shared" si="1"/>
        <v>[SITOP6] SITOP6 Power supply Trip</v>
      </c>
      <c r="D30" s="184" t="s">
        <v>127</v>
      </c>
      <c r="E30" s="184" t="s">
        <v>128</v>
      </c>
      <c r="F30" s="184" t="s">
        <v>119</v>
      </c>
      <c r="G30" s="184" t="s">
        <v>120</v>
      </c>
      <c r="H30" s="184" t="s">
        <v>121</v>
      </c>
      <c r="I30" s="184" t="s">
        <v>73</v>
      </c>
      <c r="J30" s="184"/>
      <c r="K30" s="184" t="s">
        <v>122</v>
      </c>
      <c r="L30" s="184" t="s">
        <v>50</v>
      </c>
      <c r="M30" s="184"/>
      <c r="N30" s="184"/>
      <c r="O30" s="184"/>
      <c r="P30" s="184" t="b">
        <v>0</v>
      </c>
    </row>
    <row r="31" spans="1:16" ht="12.75">
      <c r="A31" s="184" t="str">
        <f t="shared" si="0"/>
        <v>CPWR-OL-FX-CD-30</v>
      </c>
      <c r="B31" s="184">
        <v>30</v>
      </c>
      <c r="C31" s="184" t="str">
        <f t="shared" si="1"/>
        <v>[SITOP7] SITOP7 Power supply Trip</v>
      </c>
      <c r="D31" s="184" t="s">
        <v>129</v>
      </c>
      <c r="E31" s="184" t="s">
        <v>130</v>
      </c>
      <c r="F31" s="184" t="s">
        <v>119</v>
      </c>
      <c r="G31" s="184" t="s">
        <v>120</v>
      </c>
      <c r="H31" s="184" t="s">
        <v>121</v>
      </c>
      <c r="I31" s="184" t="s">
        <v>73</v>
      </c>
      <c r="J31" s="184"/>
      <c r="K31" s="184" t="s">
        <v>122</v>
      </c>
      <c r="L31" s="184" t="s">
        <v>50</v>
      </c>
      <c r="M31" s="184"/>
      <c r="N31" s="184"/>
      <c r="O31" s="184"/>
      <c r="P31" s="184" t="b">
        <v>0</v>
      </c>
    </row>
    <row r="32" spans="1:16" ht="12.75">
      <c r="A32" s="184" t="str">
        <f t="shared" si="0"/>
        <v>CPWR-RST-FX-CD-31</v>
      </c>
      <c r="B32" s="184">
        <v>31</v>
      </c>
      <c r="C32" s="184" t="str">
        <f t="shared" si="1"/>
        <v>[ISO-EN PSU A] Rocket Power Isolation Enable</v>
      </c>
      <c r="D32" s="184" t="s">
        <v>131</v>
      </c>
      <c r="E32" s="184" t="s">
        <v>132</v>
      </c>
      <c r="F32" s="184" t="s">
        <v>119</v>
      </c>
      <c r="G32" s="184" t="s">
        <v>133</v>
      </c>
      <c r="H32" s="184" t="s">
        <v>121</v>
      </c>
      <c r="I32" s="184" t="s">
        <v>48</v>
      </c>
      <c r="J32" s="184"/>
      <c r="K32" s="184" t="s">
        <v>122</v>
      </c>
      <c r="L32" s="184" t="s">
        <v>50</v>
      </c>
      <c r="M32" s="184"/>
      <c r="N32" s="184"/>
      <c r="O32" s="184"/>
      <c r="P32" s="184" t="b">
        <v>0</v>
      </c>
    </row>
    <row r="33" spans="1:16" ht="12.75">
      <c r="A33" s="184" t="str">
        <f t="shared" si="0"/>
        <v>CPWR-RST-FX-CD-32</v>
      </c>
      <c r="B33" s="184">
        <v>32</v>
      </c>
      <c r="C33" s="184" t="str">
        <f t="shared" si="1"/>
        <v>[ISO-EN PSU B] Rocket Power Isolation Enable PSU B</v>
      </c>
      <c r="D33" s="184" t="s">
        <v>134</v>
      </c>
      <c r="E33" s="184" t="s">
        <v>135</v>
      </c>
      <c r="F33" s="184" t="s">
        <v>119</v>
      </c>
      <c r="G33" s="184" t="s">
        <v>133</v>
      </c>
      <c r="H33" s="184" t="s">
        <v>121</v>
      </c>
      <c r="I33" s="184" t="s">
        <v>48</v>
      </c>
      <c r="J33" s="184"/>
      <c r="K33" s="184" t="s">
        <v>122</v>
      </c>
      <c r="L33" s="184" t="s">
        <v>50</v>
      </c>
      <c r="M33" s="184"/>
      <c r="N33" s="184"/>
      <c r="O33" s="184"/>
      <c r="P33" s="184" t="b">
        <v>0</v>
      </c>
    </row>
    <row r="34" spans="1:16" ht="12.75">
      <c r="A34" s="184" t="str">
        <f t="shared" ref="A34:A65" si="2">CONCATENATE(VLOOKUP(F34,Systems,2,FALSE),"-",VLOOKUP(G34,Subsystems,2,FALSE),"-",VLOOKUP(H34,Components,2,FALSE),"-",VLOOKUP(K34,Metrics,2,FALSE),"-",B34)</f>
        <v>CPWR-RST-FX-CD-33</v>
      </c>
      <c r="B34" s="184">
        <v>33</v>
      </c>
      <c r="C34" s="184" t="str">
        <f t="shared" si="1"/>
        <v>[STP-CB6RST] SITOP's Reset CB6</v>
      </c>
      <c r="D34" s="184" t="s">
        <v>136</v>
      </c>
      <c r="E34" s="184" t="s">
        <v>137</v>
      </c>
      <c r="F34" s="184" t="s">
        <v>119</v>
      </c>
      <c r="G34" s="184" t="s">
        <v>133</v>
      </c>
      <c r="H34" s="184" t="s">
        <v>121</v>
      </c>
      <c r="I34" s="184" t="s">
        <v>48</v>
      </c>
      <c r="J34" s="184" t="s">
        <v>138</v>
      </c>
      <c r="K34" s="184" t="s">
        <v>122</v>
      </c>
      <c r="L34" s="184" t="s">
        <v>50</v>
      </c>
      <c r="M34" s="184"/>
      <c r="N34" s="184"/>
      <c r="O34" s="184"/>
      <c r="P34" s="184" t="b">
        <v>0</v>
      </c>
    </row>
    <row r="35" spans="1:16" ht="12.75">
      <c r="A35" s="184" t="str">
        <f t="shared" si="2"/>
        <v>CPWR-OL-FX-CD-34</v>
      </c>
      <c r="B35" s="184">
        <v>34</v>
      </c>
      <c r="C35" s="184" t="str">
        <f t="shared" si="1"/>
        <v>[SITOP15] SITOP15 Power power supply Trip</v>
      </c>
      <c r="D35" s="184" t="s">
        <v>139</v>
      </c>
      <c r="E35" s="184" t="s">
        <v>140</v>
      </c>
      <c r="F35" s="184" t="s">
        <v>119</v>
      </c>
      <c r="G35" s="184" t="s">
        <v>120</v>
      </c>
      <c r="H35" s="184" t="s">
        <v>121</v>
      </c>
      <c r="I35" s="184" t="s">
        <v>73</v>
      </c>
      <c r="J35" s="184"/>
      <c r="K35" s="184" t="s">
        <v>122</v>
      </c>
      <c r="L35" s="184" t="s">
        <v>50</v>
      </c>
      <c r="M35" s="184"/>
      <c r="N35" s="184"/>
      <c r="O35" s="184"/>
      <c r="P35" s="184" t="b">
        <v>0</v>
      </c>
    </row>
    <row r="36" spans="1:16" ht="12.75">
      <c r="A36" s="184" t="str">
        <f t="shared" si="2"/>
        <v>CPWR-OL-FX-CD-35</v>
      </c>
      <c r="B36" s="184">
        <v>35</v>
      </c>
      <c r="C36" s="184" t="str">
        <f t="shared" si="1"/>
        <v>[SITOP3] SITOP3 Power supply Trip</v>
      </c>
      <c r="D36" s="184" t="s">
        <v>141</v>
      </c>
      <c r="E36" s="184" t="s">
        <v>142</v>
      </c>
      <c r="F36" s="184" t="s">
        <v>119</v>
      </c>
      <c r="G36" s="184" t="s">
        <v>120</v>
      </c>
      <c r="H36" s="184" t="s">
        <v>121</v>
      </c>
      <c r="I36" s="184" t="s">
        <v>73</v>
      </c>
      <c r="J36" s="184"/>
      <c r="K36" s="184" t="s">
        <v>122</v>
      </c>
      <c r="L36" s="184" t="s">
        <v>50</v>
      </c>
      <c r="M36" s="184"/>
      <c r="N36" s="184"/>
      <c r="O36" s="184"/>
      <c r="P36" s="184" t="b">
        <v>0</v>
      </c>
    </row>
    <row r="37" spans="1:16" ht="12.75">
      <c r="A37" s="184" t="str">
        <f t="shared" si="2"/>
        <v>CPWR-OL-FX-CD-36</v>
      </c>
      <c r="B37" s="184">
        <v>36</v>
      </c>
      <c r="C37" s="184" t="str">
        <f t="shared" si="1"/>
        <v>[SITOP5] SITOP5 Power supply Trip</v>
      </c>
      <c r="D37" s="184" t="s">
        <v>143</v>
      </c>
      <c r="E37" s="184" t="s">
        <v>144</v>
      </c>
      <c r="F37" s="184" t="s">
        <v>119</v>
      </c>
      <c r="G37" s="184" t="s">
        <v>120</v>
      </c>
      <c r="H37" s="184" t="s">
        <v>121</v>
      </c>
      <c r="I37" s="184" t="s">
        <v>73</v>
      </c>
      <c r="J37" s="184"/>
      <c r="K37" s="184" t="s">
        <v>122</v>
      </c>
      <c r="L37" s="184" t="s">
        <v>50</v>
      </c>
      <c r="M37" s="184"/>
      <c r="N37" s="184"/>
      <c r="O37" s="184"/>
      <c r="P37" s="184" t="b">
        <v>0</v>
      </c>
    </row>
    <row r="38" spans="1:16" ht="12.75">
      <c r="A38" s="184" t="str">
        <f t="shared" si="2"/>
        <v>CPWR-OL-FX-CD-37</v>
      </c>
      <c r="B38" s="184">
        <v>37</v>
      </c>
      <c r="C38" s="184" t="str">
        <f t="shared" si="1"/>
        <v>[SITOP10] SITOP10 Power supply Trip</v>
      </c>
      <c r="D38" s="184" t="s">
        <v>145</v>
      </c>
      <c r="E38" s="184" t="s">
        <v>146</v>
      </c>
      <c r="F38" s="184" t="s">
        <v>119</v>
      </c>
      <c r="G38" s="184" t="s">
        <v>120</v>
      </c>
      <c r="H38" s="184" t="s">
        <v>121</v>
      </c>
      <c r="I38" s="184" t="s">
        <v>73</v>
      </c>
      <c r="J38" s="184"/>
      <c r="K38" s="184" t="s">
        <v>122</v>
      </c>
      <c r="L38" s="184" t="s">
        <v>50</v>
      </c>
      <c r="M38" s="184"/>
      <c r="N38" s="184"/>
      <c r="O38" s="184"/>
      <c r="P38" s="184" t="b">
        <v>0</v>
      </c>
    </row>
    <row r="39" spans="1:16" ht="12.75">
      <c r="A39" s="184" t="str">
        <f t="shared" si="2"/>
        <v>CPWR-OL-FX-CD-38</v>
      </c>
      <c r="B39" s="184">
        <v>38</v>
      </c>
      <c r="C39" s="184" t="str">
        <f t="shared" si="1"/>
        <v>[SITOP8] SITOP8 Power supply Trip</v>
      </c>
      <c r="D39" s="184" t="s">
        <v>147</v>
      </c>
      <c r="E39" s="184" t="s">
        <v>148</v>
      </c>
      <c r="F39" s="184" t="s">
        <v>119</v>
      </c>
      <c r="G39" s="184" t="s">
        <v>120</v>
      </c>
      <c r="H39" s="184" t="s">
        <v>121</v>
      </c>
      <c r="I39" s="184" t="s">
        <v>73</v>
      </c>
      <c r="J39" s="184"/>
      <c r="K39" s="184" t="s">
        <v>122</v>
      </c>
      <c r="L39" s="184" t="s">
        <v>50</v>
      </c>
      <c r="M39" s="184"/>
      <c r="N39" s="184"/>
      <c r="O39" s="184"/>
      <c r="P39" s="184" t="b">
        <v>0</v>
      </c>
    </row>
    <row r="40" spans="1:16" ht="12.75">
      <c r="A40" s="184" t="str">
        <f t="shared" si="2"/>
        <v>CPWR-OL-FX-CD-39</v>
      </c>
      <c r="B40" s="184">
        <v>39</v>
      </c>
      <c r="C40" s="184" t="str">
        <f t="shared" si="1"/>
        <v>[SITOP12] SITOP12 Power supply trip</v>
      </c>
      <c r="D40" s="184" t="s">
        <v>149</v>
      </c>
      <c r="E40" s="184" t="s">
        <v>150</v>
      </c>
      <c r="F40" s="184" t="s">
        <v>119</v>
      </c>
      <c r="G40" s="184" t="s">
        <v>120</v>
      </c>
      <c r="H40" s="184" t="s">
        <v>121</v>
      </c>
      <c r="I40" s="184" t="s">
        <v>73</v>
      </c>
      <c r="J40" s="184"/>
      <c r="K40" s="184" t="s">
        <v>122</v>
      </c>
      <c r="L40" s="184" t="s">
        <v>50</v>
      </c>
      <c r="M40" s="184"/>
      <c r="N40" s="184"/>
      <c r="O40" s="184"/>
      <c r="P40" s="184" t="b">
        <v>0</v>
      </c>
    </row>
    <row r="41" spans="1:16" ht="12.75">
      <c r="A41" s="184" t="str">
        <f t="shared" si="2"/>
        <v>CPWR-OL-FX-CD-40</v>
      </c>
      <c r="B41" s="184">
        <v>40</v>
      </c>
      <c r="C41" s="184" t="str">
        <f t="shared" si="1"/>
        <v>[SITOP14] SITOP14 Power power supply Trip</v>
      </c>
      <c r="D41" s="184" t="s">
        <v>151</v>
      </c>
      <c r="E41" s="184" t="s">
        <v>152</v>
      </c>
      <c r="F41" s="184" t="s">
        <v>119</v>
      </c>
      <c r="G41" s="184" t="s">
        <v>120</v>
      </c>
      <c r="H41" s="184" t="s">
        <v>121</v>
      </c>
      <c r="I41" s="184" t="s">
        <v>73</v>
      </c>
      <c r="J41" s="184"/>
      <c r="K41" s="184" t="s">
        <v>122</v>
      </c>
      <c r="L41" s="184" t="s">
        <v>50</v>
      </c>
      <c r="M41" s="184"/>
      <c r="N41" s="184"/>
      <c r="O41" s="184"/>
      <c r="P41" s="184" t="b">
        <v>0</v>
      </c>
    </row>
    <row r="42" spans="1:16" ht="12.75">
      <c r="A42" s="184" t="str">
        <f t="shared" si="2"/>
        <v>CPWR-RST-FX-CD-41</v>
      </c>
      <c r="B42" s="184">
        <v>41</v>
      </c>
      <c r="C42" s="184" t="str">
        <f t="shared" si="1"/>
        <v>[STP-CB8RST] SITOP's Reset CB8</v>
      </c>
      <c r="D42" s="184" t="s">
        <v>153</v>
      </c>
      <c r="E42" s="184" t="s">
        <v>154</v>
      </c>
      <c r="F42" s="184" t="s">
        <v>119</v>
      </c>
      <c r="G42" s="184" t="s">
        <v>133</v>
      </c>
      <c r="H42" s="184" t="s">
        <v>121</v>
      </c>
      <c r="I42" s="184" t="s">
        <v>48</v>
      </c>
      <c r="J42" s="184" t="s">
        <v>155</v>
      </c>
      <c r="K42" s="184" t="s">
        <v>122</v>
      </c>
      <c r="L42" s="184" t="s">
        <v>50</v>
      </c>
      <c r="M42" s="184"/>
      <c r="N42" s="184"/>
      <c r="O42" s="184"/>
      <c r="P42" s="184" t="b">
        <v>0</v>
      </c>
    </row>
    <row r="43" spans="1:16" ht="12.75">
      <c r="A43" s="184" t="str">
        <f t="shared" si="2"/>
        <v>CPWR-RST-FX-CD-42</v>
      </c>
      <c r="B43" s="184">
        <v>42</v>
      </c>
      <c r="C43" s="184" t="str">
        <f t="shared" si="1"/>
        <v>[STP-RST] All SITOP's Reset</v>
      </c>
      <c r="D43" s="184" t="s">
        <v>156</v>
      </c>
      <c r="E43" s="184" t="s">
        <v>157</v>
      </c>
      <c r="F43" s="184" t="s">
        <v>119</v>
      </c>
      <c r="G43" s="184" t="s">
        <v>133</v>
      </c>
      <c r="H43" s="184" t="s">
        <v>121</v>
      </c>
      <c r="I43" s="184" t="s">
        <v>48</v>
      </c>
      <c r="J43" s="184"/>
      <c r="K43" s="184" t="s">
        <v>122</v>
      </c>
      <c r="L43" s="184" t="s">
        <v>50</v>
      </c>
      <c r="M43" s="184"/>
      <c r="N43" s="184"/>
      <c r="O43" s="184"/>
      <c r="P43" s="184" t="b">
        <v>0</v>
      </c>
    </row>
    <row r="44" spans="1:16" ht="12.75">
      <c r="A44" s="184" t="str">
        <f t="shared" si="2"/>
        <v>CPWR-OL-FX-CD-43</v>
      </c>
      <c r="B44" s="184">
        <v>43</v>
      </c>
      <c r="C44" s="184" t="str">
        <f t="shared" si="1"/>
        <v>[SITOP9] SITOP9 Power supply Trip</v>
      </c>
      <c r="D44" s="184" t="s">
        <v>158</v>
      </c>
      <c r="E44" s="184" t="s">
        <v>159</v>
      </c>
      <c r="F44" s="184" t="s">
        <v>119</v>
      </c>
      <c r="G44" s="184" t="s">
        <v>120</v>
      </c>
      <c r="H44" s="184" t="s">
        <v>121</v>
      </c>
      <c r="I44" s="184" t="s">
        <v>73</v>
      </c>
      <c r="J44" s="184"/>
      <c r="K44" s="184" t="s">
        <v>122</v>
      </c>
      <c r="L44" s="184" t="s">
        <v>50</v>
      </c>
      <c r="M44" s="184"/>
      <c r="N44" s="184"/>
      <c r="O44" s="184"/>
      <c r="P44" s="184" t="b">
        <v>0</v>
      </c>
    </row>
    <row r="45" spans="1:16" ht="12.75" hidden="1">
      <c r="A45" s="184" t="str">
        <f t="shared" si="2"/>
        <v>HVBH-ESTOP-SAFTEY-RELAY-ST-44</v>
      </c>
      <c r="B45" s="184">
        <v>44</v>
      </c>
      <c r="C45" s="184" t="str">
        <f t="shared" si="1"/>
        <v>[HVHSUP] HVBH E-Stop Status</v>
      </c>
      <c r="D45" s="184" t="s">
        <v>160</v>
      </c>
      <c r="E45" s="184" t="s">
        <v>161</v>
      </c>
      <c r="F45" s="184" t="s">
        <v>162</v>
      </c>
      <c r="G45" s="184" t="s">
        <v>163</v>
      </c>
      <c r="H45" s="184" t="s">
        <v>164</v>
      </c>
      <c r="I45" s="184" t="s">
        <v>73</v>
      </c>
      <c r="J45" s="184"/>
      <c r="K45" s="184" t="s">
        <v>74</v>
      </c>
      <c r="L45" s="184" t="s">
        <v>50</v>
      </c>
      <c r="M45" s="184"/>
      <c r="N45" s="184"/>
      <c r="O45" s="184"/>
      <c r="P45" s="184" t="b">
        <v>0</v>
      </c>
    </row>
    <row r="46" spans="1:16" ht="12.75">
      <c r="A46" s="184" t="str">
        <f t="shared" si="2"/>
        <v>CPWR-RST-FX-CD-45</v>
      </c>
      <c r="B46" s="184">
        <v>45</v>
      </c>
      <c r="C46" s="184" t="str">
        <f t="shared" si="1"/>
        <v>[CPWR-RST-FX-CD-45] 24V Safety E-stop</v>
      </c>
      <c r="D46" s="184" t="s">
        <v>165</v>
      </c>
      <c r="E46" s="184" t="s">
        <v>166</v>
      </c>
      <c r="F46" s="184" t="s">
        <v>119</v>
      </c>
      <c r="G46" s="184" t="s">
        <v>133</v>
      </c>
      <c r="H46" s="184" t="s">
        <v>121</v>
      </c>
      <c r="I46" s="184" t="s">
        <v>48</v>
      </c>
      <c r="J46" s="184"/>
      <c r="K46" s="184" t="s">
        <v>122</v>
      </c>
      <c r="L46" s="184" t="s">
        <v>50</v>
      </c>
      <c r="M46" s="184"/>
      <c r="N46" s="184"/>
      <c r="O46" s="184"/>
      <c r="P46" s="184" t="b">
        <v>0</v>
      </c>
    </row>
    <row r="47" spans="1:16" ht="12.75">
      <c r="A47" s="184" t="str">
        <f t="shared" si="2"/>
        <v>CPWR-OL-FX-CD-46</v>
      </c>
      <c r="B47" s="184">
        <v>46</v>
      </c>
      <c r="C47" s="184" t="str">
        <f t="shared" si="1"/>
        <v>[SITOP11] SITOP11 Power supply trip</v>
      </c>
      <c r="D47" s="184" t="s">
        <v>167</v>
      </c>
      <c r="E47" s="184" t="s">
        <v>168</v>
      </c>
      <c r="F47" s="184" t="s">
        <v>119</v>
      </c>
      <c r="G47" s="184" t="s">
        <v>120</v>
      </c>
      <c r="H47" s="184" t="s">
        <v>121</v>
      </c>
      <c r="I47" s="184" t="s">
        <v>73</v>
      </c>
      <c r="J47" s="184"/>
      <c r="K47" s="184" t="s">
        <v>122</v>
      </c>
      <c r="L47" s="184" t="s">
        <v>50</v>
      </c>
      <c r="M47" s="184"/>
      <c r="N47" s="184"/>
      <c r="O47" s="184"/>
      <c r="P47" s="184" t="b">
        <v>0</v>
      </c>
    </row>
    <row r="48" spans="1:16" ht="12.75">
      <c r="A48" s="184" t="str">
        <f t="shared" si="2"/>
        <v>GHe-STR-DVL-Pos-47</v>
      </c>
      <c r="B48" s="184">
        <v>47</v>
      </c>
      <c r="C48" s="184" t="str">
        <f t="shared" si="1"/>
        <v>[04C342] GHe Source Pressure Supply Backup Discrete Valve Controller</v>
      </c>
      <c r="D48" s="184" t="s">
        <v>169</v>
      </c>
      <c r="E48" s="184" t="s">
        <v>170</v>
      </c>
      <c r="F48" s="184" t="s">
        <v>171</v>
      </c>
      <c r="G48" s="184" t="s">
        <v>100</v>
      </c>
      <c r="H48" s="184" t="s">
        <v>47</v>
      </c>
      <c r="I48" s="184" t="s">
        <v>48</v>
      </c>
      <c r="J48" s="184"/>
      <c r="K48" s="184" t="s">
        <v>49</v>
      </c>
      <c r="L48" s="184" t="s">
        <v>50</v>
      </c>
      <c r="M48" s="184"/>
      <c r="N48" s="184"/>
      <c r="O48" s="184"/>
      <c r="P48" s="184" t="b">
        <v>0</v>
      </c>
    </row>
    <row r="49" spans="1:16" ht="12.75">
      <c r="A49" s="184" t="str">
        <f t="shared" si="2"/>
        <v>GHe-STR-PRS-Ps-48</v>
      </c>
      <c r="B49" s="184">
        <v>48</v>
      </c>
      <c r="C49" s="184" t="str">
        <f t="shared" si="1"/>
        <v>[04C924] Gas Helium Bottle Pressure</v>
      </c>
      <c r="D49" s="184" t="s">
        <v>172</v>
      </c>
      <c r="E49" s="184" t="s">
        <v>173</v>
      </c>
      <c r="F49" s="184" t="s">
        <v>171</v>
      </c>
      <c r="G49" s="184" t="s">
        <v>100</v>
      </c>
      <c r="H49" s="184" t="s">
        <v>54</v>
      </c>
      <c r="I49" s="184" t="s">
        <v>55</v>
      </c>
      <c r="J49" s="184"/>
      <c r="K49" s="184" t="s">
        <v>56</v>
      </c>
      <c r="L49" s="184" t="s">
        <v>57</v>
      </c>
      <c r="M49" s="184"/>
      <c r="N49" s="184"/>
      <c r="O49" s="184"/>
      <c r="P49" s="184" t="b">
        <v>0</v>
      </c>
    </row>
    <row r="50" spans="1:16" ht="12.75">
      <c r="A50" s="184" t="str">
        <f t="shared" si="2"/>
        <v>GHe-STR-PRS-Ps-49</v>
      </c>
      <c r="B50" s="184">
        <v>49</v>
      </c>
      <c r="C50" s="184" t="str">
        <f t="shared" si="1"/>
        <v>[04C925] Gas Helium Regulator Pressure</v>
      </c>
      <c r="D50" s="184" t="s">
        <v>174</v>
      </c>
      <c r="E50" s="184" t="s">
        <v>175</v>
      </c>
      <c r="F50" s="184" t="s">
        <v>171</v>
      </c>
      <c r="G50" s="184" t="s">
        <v>100</v>
      </c>
      <c r="H50" s="184" t="s">
        <v>54</v>
      </c>
      <c r="I50" s="184" t="s">
        <v>55</v>
      </c>
      <c r="J50" s="184"/>
      <c r="K50" s="184" t="s">
        <v>56</v>
      </c>
      <c r="L50" s="184" t="s">
        <v>57</v>
      </c>
      <c r="M50" s="184"/>
      <c r="N50" s="184"/>
      <c r="O50" s="184"/>
      <c r="P50" s="184" t="b">
        <v>0</v>
      </c>
    </row>
    <row r="51" spans="1:16" ht="12.75">
      <c r="A51" s="184" t="str">
        <f t="shared" si="2"/>
        <v>GHe-STR-DVL-Pos-50</v>
      </c>
      <c r="B51" s="184">
        <v>50</v>
      </c>
      <c r="C51" s="184" t="str">
        <f t="shared" si="1"/>
        <v>[04C343] Store Helium Back up</v>
      </c>
      <c r="D51" s="184" t="s">
        <v>176</v>
      </c>
      <c r="E51" s="184" t="s">
        <v>177</v>
      </c>
      <c r="F51" s="184" t="s">
        <v>171</v>
      </c>
      <c r="G51" s="184" t="s">
        <v>100</v>
      </c>
      <c r="H51" s="184" t="s">
        <v>47</v>
      </c>
      <c r="I51" s="184" t="s">
        <v>48</v>
      </c>
      <c r="J51" s="184"/>
      <c r="K51" s="184" t="s">
        <v>49</v>
      </c>
      <c r="L51" s="184" t="s">
        <v>50</v>
      </c>
      <c r="M51" s="184"/>
      <c r="N51" s="184"/>
      <c r="O51" s="184"/>
      <c r="P51" s="184" t="b">
        <v>0</v>
      </c>
    </row>
    <row r="52" spans="1:16" ht="12.75">
      <c r="A52" s="184" t="str">
        <f t="shared" si="2"/>
        <v>GN2-STR-PRS-Ps-51</v>
      </c>
      <c r="B52" s="184">
        <v>51</v>
      </c>
      <c r="C52" s="184" t="str">
        <f t="shared" si="1"/>
        <v>[05C941] GN2 Utility Skid Ejection Regulator Pressure</v>
      </c>
      <c r="D52" s="184" t="s">
        <v>178</v>
      </c>
      <c r="E52" s="184" t="s">
        <v>179</v>
      </c>
      <c r="F52" s="184" t="s">
        <v>180</v>
      </c>
      <c r="G52" s="184" t="s">
        <v>100</v>
      </c>
      <c r="H52" s="184" t="s">
        <v>54</v>
      </c>
      <c r="I52" s="184" t="s">
        <v>55</v>
      </c>
      <c r="J52" s="184"/>
      <c r="K52" s="184" t="s">
        <v>56</v>
      </c>
      <c r="L52" s="184" t="s">
        <v>57</v>
      </c>
      <c r="M52" s="184"/>
      <c r="N52" s="184"/>
      <c r="O52" s="184"/>
      <c r="P52" s="184" t="b">
        <v>0</v>
      </c>
    </row>
    <row r="53" spans="1:16" ht="12.75">
      <c r="A53" s="184" t="str">
        <f t="shared" si="2"/>
        <v>GN2-STR-PRS-Ps-52</v>
      </c>
      <c r="B53" s="184">
        <v>52</v>
      </c>
      <c r="C53" s="184" t="str">
        <f t="shared" si="1"/>
        <v>[05C942] GN2 Utility Skid High Flow Regulator Pressure</v>
      </c>
      <c r="D53" s="184" t="s">
        <v>181</v>
      </c>
      <c r="E53" s="184" t="s">
        <v>182</v>
      </c>
      <c r="F53" s="184" t="s">
        <v>180</v>
      </c>
      <c r="G53" s="184" t="s">
        <v>100</v>
      </c>
      <c r="H53" s="184" t="s">
        <v>54</v>
      </c>
      <c r="I53" s="184" t="s">
        <v>55</v>
      </c>
      <c r="J53" s="184"/>
      <c r="K53" s="184" t="s">
        <v>56</v>
      </c>
      <c r="L53" s="184" t="s">
        <v>57</v>
      </c>
      <c r="M53" s="184"/>
      <c r="N53" s="184"/>
      <c r="O53" s="184"/>
      <c r="P53" s="184" t="b">
        <v>0</v>
      </c>
    </row>
    <row r="54" spans="1:16" ht="12.75">
      <c r="A54" s="184" t="str">
        <f t="shared" si="2"/>
        <v>GN2-PRG-PRS-Ps-53</v>
      </c>
      <c r="B54" s="184">
        <v>53</v>
      </c>
      <c r="C54" s="184" t="str">
        <f t="shared" si="1"/>
        <v>[05C943] HVAC regulator pressure</v>
      </c>
      <c r="D54" s="184" t="s">
        <v>183</v>
      </c>
      <c r="E54" s="184" t="s">
        <v>184</v>
      </c>
      <c r="F54" s="184" t="s">
        <v>180</v>
      </c>
      <c r="G54" s="184" t="s">
        <v>185</v>
      </c>
      <c r="H54" s="184" t="s">
        <v>54</v>
      </c>
      <c r="I54" s="184" t="s">
        <v>55</v>
      </c>
      <c r="J54" s="184"/>
      <c r="K54" s="184" t="s">
        <v>56</v>
      </c>
      <c r="L54" s="184" t="s">
        <v>57</v>
      </c>
      <c r="M54" s="184"/>
      <c r="N54" s="184"/>
      <c r="O54" s="184"/>
      <c r="P54" s="184" t="b">
        <v>0</v>
      </c>
    </row>
    <row r="55" spans="1:16" ht="12.75">
      <c r="A55" s="184" t="str">
        <f t="shared" si="2"/>
        <v>GN2-STR-PRS-Ps-54</v>
      </c>
      <c r="B55" s="184">
        <v>54</v>
      </c>
      <c r="C55" s="184" t="str">
        <f t="shared" si="1"/>
        <v>[05C945] GN2 Utility Skid Muscle Supply Pressure Sensor</v>
      </c>
      <c r="D55" s="184" t="s">
        <v>186</v>
      </c>
      <c r="E55" s="184" t="s">
        <v>187</v>
      </c>
      <c r="F55" s="184" t="s">
        <v>180</v>
      </c>
      <c r="G55" s="184" t="s">
        <v>100</v>
      </c>
      <c r="H55" s="184" t="s">
        <v>54</v>
      </c>
      <c r="I55" s="184" t="s">
        <v>55</v>
      </c>
      <c r="J55" s="184"/>
      <c r="K55" s="184" t="s">
        <v>56</v>
      </c>
      <c r="L55" s="184" t="s">
        <v>57</v>
      </c>
      <c r="M55" s="184"/>
      <c r="N55" s="184"/>
      <c r="O55" s="184"/>
      <c r="P55" s="184" t="b">
        <v>0</v>
      </c>
    </row>
    <row r="56" spans="1:16" ht="12.75">
      <c r="A56" s="184" t="str">
        <f t="shared" si="2"/>
        <v>GN2-STR-PRS-Ps-55</v>
      </c>
      <c r="B56" s="184">
        <v>55</v>
      </c>
      <c r="C56" s="184" t="str">
        <f t="shared" si="1"/>
        <v>[05C940] GN2 Utility Skid Supply Pressure</v>
      </c>
      <c r="D56" s="184" t="s">
        <v>188</v>
      </c>
      <c r="E56" s="184" t="s">
        <v>189</v>
      </c>
      <c r="F56" s="184" t="s">
        <v>180</v>
      </c>
      <c r="G56" s="184" t="s">
        <v>100</v>
      </c>
      <c r="H56" s="184" t="s">
        <v>54</v>
      </c>
      <c r="I56" s="184" t="s">
        <v>55</v>
      </c>
      <c r="J56" s="184"/>
      <c r="K56" s="184" t="s">
        <v>56</v>
      </c>
      <c r="L56" s="184" t="s">
        <v>57</v>
      </c>
      <c r="M56" s="184"/>
      <c r="N56" s="184"/>
      <c r="O56" s="184"/>
      <c r="P56" s="184" t="b">
        <v>0</v>
      </c>
    </row>
    <row r="57" spans="1:16" ht="12.75" hidden="1">
      <c r="A57" s="184" t="str">
        <f t="shared" si="2"/>
        <v>HVBH-HSE-SSR-B-56</v>
      </c>
      <c r="B57" s="184">
        <v>56</v>
      </c>
      <c r="C57" s="184" t="str">
        <f t="shared" si="1"/>
        <v>[HVBH-HSE-SSR-B-56] Battery Heater Enable-H01</v>
      </c>
      <c r="D57" s="184" t="s">
        <v>190</v>
      </c>
      <c r="E57" s="184" t="str">
        <f t="shared" ref="E57:E98" si="3">A57</f>
        <v>HVBH-HSE-SSR-B-56</v>
      </c>
      <c r="F57" s="184" t="s">
        <v>162</v>
      </c>
      <c r="G57" s="184" t="s">
        <v>191</v>
      </c>
      <c r="H57" s="184" t="s">
        <v>192</v>
      </c>
      <c r="I57" s="184" t="s">
        <v>48</v>
      </c>
      <c r="J57" s="184"/>
      <c r="K57" s="184" t="s">
        <v>104</v>
      </c>
      <c r="L57" s="184" t="s">
        <v>50</v>
      </c>
      <c r="M57" s="184"/>
      <c r="N57" s="184"/>
      <c r="O57" s="184"/>
      <c r="P57" s="184" t="b">
        <v>0</v>
      </c>
    </row>
    <row r="58" spans="1:16" ht="12.75" hidden="1">
      <c r="A58" s="184" t="str">
        <f t="shared" si="2"/>
        <v>HVBH-HSE-SSR-B-57</v>
      </c>
      <c r="B58" s="184">
        <v>57</v>
      </c>
      <c r="C58" s="184" t="str">
        <f t="shared" si="1"/>
        <v>[HVBH-HSE-SSR-B-57] Battery Heater Enable-H02</v>
      </c>
      <c r="D58" s="184" t="s">
        <v>193</v>
      </c>
      <c r="E58" s="184" t="str">
        <f t="shared" si="3"/>
        <v>HVBH-HSE-SSR-B-57</v>
      </c>
      <c r="F58" s="184" t="s">
        <v>162</v>
      </c>
      <c r="G58" s="184" t="s">
        <v>191</v>
      </c>
      <c r="H58" s="184" t="s">
        <v>192</v>
      </c>
      <c r="I58" s="184" t="s">
        <v>48</v>
      </c>
      <c r="J58" s="184"/>
      <c r="K58" s="184" t="s">
        <v>104</v>
      </c>
      <c r="L58" s="184" t="s">
        <v>50</v>
      </c>
      <c r="M58" s="184"/>
      <c r="N58" s="184"/>
      <c r="O58" s="184"/>
      <c r="P58" s="184" t="b">
        <v>0</v>
      </c>
    </row>
    <row r="59" spans="1:16" ht="12.75" hidden="1">
      <c r="A59" s="184" t="str">
        <f t="shared" si="2"/>
        <v>HVBH-HSE-SSR-B-58</v>
      </c>
      <c r="B59" s="184">
        <v>58</v>
      </c>
      <c r="C59" s="184" t="str">
        <f t="shared" si="1"/>
        <v>[HVBH-HSE-SSR-B-58] Battery Heater Enable-H03</v>
      </c>
      <c r="D59" s="184" t="s">
        <v>194</v>
      </c>
      <c r="E59" s="184" t="str">
        <f t="shared" si="3"/>
        <v>HVBH-HSE-SSR-B-58</v>
      </c>
      <c r="F59" s="184" t="s">
        <v>162</v>
      </c>
      <c r="G59" s="184" t="s">
        <v>191</v>
      </c>
      <c r="H59" s="184" t="s">
        <v>192</v>
      </c>
      <c r="I59" s="184" t="s">
        <v>48</v>
      </c>
      <c r="J59" s="184"/>
      <c r="K59" s="184" t="s">
        <v>104</v>
      </c>
      <c r="L59" s="184" t="s">
        <v>50</v>
      </c>
      <c r="M59" s="184"/>
      <c r="N59" s="184"/>
      <c r="O59" s="184"/>
      <c r="P59" s="184" t="b">
        <v>0</v>
      </c>
    </row>
    <row r="60" spans="1:16" ht="12.75" hidden="1">
      <c r="A60" s="184" t="str">
        <f t="shared" si="2"/>
        <v>HVBH-HSE-SSR-B-59</v>
      </c>
      <c r="B60" s="184">
        <v>59</v>
      </c>
      <c r="C60" s="184" t="str">
        <f t="shared" si="1"/>
        <v>[HVBH-HSE-SSR-B-59] Battery Heater Enable-H04</v>
      </c>
      <c r="D60" s="184" t="s">
        <v>195</v>
      </c>
      <c r="E60" s="184" t="str">
        <f t="shared" si="3"/>
        <v>HVBH-HSE-SSR-B-59</v>
      </c>
      <c r="F60" s="184" t="s">
        <v>162</v>
      </c>
      <c r="G60" s="184" t="s">
        <v>191</v>
      </c>
      <c r="H60" s="184" t="s">
        <v>192</v>
      </c>
      <c r="I60" s="184" t="s">
        <v>48</v>
      </c>
      <c r="J60" s="184"/>
      <c r="K60" s="184" t="s">
        <v>104</v>
      </c>
      <c r="L60" s="184" t="s">
        <v>50</v>
      </c>
      <c r="M60" s="184"/>
      <c r="N60" s="184"/>
      <c r="O60" s="184"/>
      <c r="P60" s="184" t="b">
        <v>0</v>
      </c>
    </row>
    <row r="61" spans="1:16" ht="12.75" hidden="1">
      <c r="A61" s="184" t="str">
        <f t="shared" si="2"/>
        <v>HVBH-HSE-SSR-B-60</v>
      </c>
      <c r="B61" s="184">
        <v>60</v>
      </c>
      <c r="C61" s="184" t="str">
        <f t="shared" si="1"/>
        <v>[HVBH-HSE-SSR-B-60] Battery Heater Enable-H05</v>
      </c>
      <c r="D61" s="184" t="s">
        <v>196</v>
      </c>
      <c r="E61" s="184" t="str">
        <f t="shared" si="3"/>
        <v>HVBH-HSE-SSR-B-60</v>
      </c>
      <c r="F61" s="184" t="s">
        <v>162</v>
      </c>
      <c r="G61" s="184" t="s">
        <v>191</v>
      </c>
      <c r="H61" s="184" t="s">
        <v>192</v>
      </c>
      <c r="I61" s="184" t="s">
        <v>48</v>
      </c>
      <c r="J61" s="184"/>
      <c r="K61" s="184" t="s">
        <v>104</v>
      </c>
      <c r="L61" s="184" t="s">
        <v>50</v>
      </c>
      <c r="M61" s="184"/>
      <c r="N61" s="184"/>
      <c r="O61" s="184"/>
      <c r="P61" s="184" t="b">
        <v>0</v>
      </c>
    </row>
    <row r="62" spans="1:16" ht="12.75" hidden="1">
      <c r="A62" s="184" t="str">
        <f t="shared" si="2"/>
        <v>HVBH-HSE-SSR-B-61</v>
      </c>
      <c r="B62" s="184">
        <v>61</v>
      </c>
      <c r="C62" s="184" t="str">
        <f t="shared" si="1"/>
        <v>[HVBH-HSE-SSR-B-61] Battery Heater Enable-H06</v>
      </c>
      <c r="D62" s="184" t="s">
        <v>197</v>
      </c>
      <c r="E62" s="184" t="str">
        <f t="shared" si="3"/>
        <v>HVBH-HSE-SSR-B-61</v>
      </c>
      <c r="F62" s="184" t="s">
        <v>162</v>
      </c>
      <c r="G62" s="184" t="s">
        <v>191</v>
      </c>
      <c r="H62" s="184" t="s">
        <v>192</v>
      </c>
      <c r="I62" s="184" t="s">
        <v>48</v>
      </c>
      <c r="J62" s="184"/>
      <c r="K62" s="184" t="s">
        <v>104</v>
      </c>
      <c r="L62" s="184" t="s">
        <v>50</v>
      </c>
      <c r="M62" s="184"/>
      <c r="N62" s="184"/>
      <c r="O62" s="184"/>
      <c r="P62" s="184" t="b">
        <v>0</v>
      </c>
    </row>
    <row r="63" spans="1:16" ht="12.75" hidden="1">
      <c r="A63" s="184" t="str">
        <f t="shared" si="2"/>
        <v>HVBH-HSE-SSR-B-62</v>
      </c>
      <c r="B63" s="184">
        <v>62</v>
      </c>
      <c r="C63" s="184" t="str">
        <f t="shared" si="1"/>
        <v>[HVBH-HSE-SSR-B-62] Battery Heater Enable-H07</v>
      </c>
      <c r="D63" s="184" t="s">
        <v>198</v>
      </c>
      <c r="E63" s="184" t="str">
        <f t="shared" si="3"/>
        <v>HVBH-HSE-SSR-B-62</v>
      </c>
      <c r="F63" s="184" t="s">
        <v>162</v>
      </c>
      <c r="G63" s="184" t="s">
        <v>191</v>
      </c>
      <c r="H63" s="184" t="s">
        <v>192</v>
      </c>
      <c r="I63" s="184" t="s">
        <v>48</v>
      </c>
      <c r="J63" s="184"/>
      <c r="K63" s="184" t="s">
        <v>104</v>
      </c>
      <c r="L63" s="184" t="s">
        <v>50</v>
      </c>
      <c r="M63" s="184"/>
      <c r="N63" s="184"/>
      <c r="O63" s="184"/>
      <c r="P63" s="184" t="b">
        <v>0</v>
      </c>
    </row>
    <row r="64" spans="1:16" ht="12.75" hidden="1">
      <c r="A64" s="184" t="str">
        <f t="shared" si="2"/>
        <v>HVBH-HSE-SSR-B-63</v>
      </c>
      <c r="B64" s="184">
        <v>63</v>
      </c>
      <c r="C64" s="184" t="str">
        <f t="shared" si="1"/>
        <v>[HVBH-HSE-SSR-B-63] Battery Heater Enable-H08</v>
      </c>
      <c r="D64" s="184" t="s">
        <v>199</v>
      </c>
      <c r="E64" s="184" t="str">
        <f t="shared" si="3"/>
        <v>HVBH-HSE-SSR-B-63</v>
      </c>
      <c r="F64" s="184" t="s">
        <v>162</v>
      </c>
      <c r="G64" s="184" t="s">
        <v>191</v>
      </c>
      <c r="H64" s="184" t="s">
        <v>192</v>
      </c>
      <c r="I64" s="184" t="s">
        <v>48</v>
      </c>
      <c r="J64" s="184"/>
      <c r="K64" s="184" t="s">
        <v>104</v>
      </c>
      <c r="L64" s="184" t="s">
        <v>50</v>
      </c>
      <c r="M64" s="184"/>
      <c r="N64" s="184"/>
      <c r="O64" s="184"/>
      <c r="P64" s="184" t="b">
        <v>0</v>
      </c>
    </row>
    <row r="65" spans="1:16" ht="12.75" hidden="1">
      <c r="A65" s="184" t="str">
        <f t="shared" si="2"/>
        <v>HVBH-HSE-SSR-B-64</v>
      </c>
      <c r="B65" s="184">
        <v>64</v>
      </c>
      <c r="C65" s="184" t="str">
        <f t="shared" si="1"/>
        <v>[HVBH-HSE-SSR-B-64] Battery Heater Enable-H09</v>
      </c>
      <c r="D65" s="184" t="s">
        <v>200</v>
      </c>
      <c r="E65" s="184" t="str">
        <f t="shared" si="3"/>
        <v>HVBH-HSE-SSR-B-64</v>
      </c>
      <c r="F65" s="184" t="s">
        <v>162</v>
      </c>
      <c r="G65" s="184" t="s">
        <v>191</v>
      </c>
      <c r="H65" s="184" t="s">
        <v>192</v>
      </c>
      <c r="I65" s="184" t="s">
        <v>48</v>
      </c>
      <c r="J65" s="184"/>
      <c r="K65" s="184" t="s">
        <v>104</v>
      </c>
      <c r="L65" s="184" t="s">
        <v>50</v>
      </c>
      <c r="M65" s="184"/>
      <c r="N65" s="184"/>
      <c r="O65" s="184"/>
      <c r="P65" s="184" t="b">
        <v>0</v>
      </c>
    </row>
    <row r="66" spans="1:16" ht="12.75" hidden="1">
      <c r="A66" s="184" t="str">
        <f t="shared" ref="A66:A97" si="4">CONCATENATE(VLOOKUP(F66,Systems,2,FALSE),"-",VLOOKUP(G66,Subsystems,2,FALSE),"-",VLOOKUP(H66,Components,2,FALSE),"-",VLOOKUP(K66,Metrics,2,FALSE),"-",B66)</f>
        <v>HVBH-HSE-SSR-B-65</v>
      </c>
      <c r="B66" s="184">
        <v>65</v>
      </c>
      <c r="C66" s="184" t="str">
        <f t="shared" ref="C66:C129" si="5">_xlfn.TEXTJOIN("", TRUE, "[", E66,"] ",D66)</f>
        <v>[HVBH-HSE-SSR-B-65] Battery Heater Enable-H10</v>
      </c>
      <c r="D66" s="184" t="s">
        <v>201</v>
      </c>
      <c r="E66" s="184" t="str">
        <f t="shared" si="3"/>
        <v>HVBH-HSE-SSR-B-65</v>
      </c>
      <c r="F66" s="184" t="s">
        <v>162</v>
      </c>
      <c r="G66" s="184" t="s">
        <v>191</v>
      </c>
      <c r="H66" s="184" t="s">
        <v>192</v>
      </c>
      <c r="I66" s="184" t="s">
        <v>48</v>
      </c>
      <c r="J66" s="184"/>
      <c r="K66" s="184" t="s">
        <v>104</v>
      </c>
      <c r="L66" s="184" t="s">
        <v>50</v>
      </c>
      <c r="M66" s="184"/>
      <c r="N66" s="184"/>
      <c r="O66" s="184"/>
      <c r="P66" s="184" t="b">
        <v>0</v>
      </c>
    </row>
    <row r="67" spans="1:16" ht="12.75" hidden="1">
      <c r="A67" s="184" t="str">
        <f t="shared" si="4"/>
        <v>HVBH-HSE-SSR-B-66</v>
      </c>
      <c r="B67" s="184">
        <v>66</v>
      </c>
      <c r="C67" s="184" t="str">
        <f t="shared" si="5"/>
        <v>[HVBH-HSE-SSR-B-66] Battery Heater Enable-H11</v>
      </c>
      <c r="D67" s="184" t="s">
        <v>202</v>
      </c>
      <c r="E67" s="184" t="str">
        <f t="shared" si="3"/>
        <v>HVBH-HSE-SSR-B-66</v>
      </c>
      <c r="F67" s="184" t="s">
        <v>162</v>
      </c>
      <c r="G67" s="184" t="s">
        <v>191</v>
      </c>
      <c r="H67" s="184" t="s">
        <v>192</v>
      </c>
      <c r="I67" s="184" t="s">
        <v>48</v>
      </c>
      <c r="J67" s="184"/>
      <c r="K67" s="184" t="s">
        <v>104</v>
      </c>
      <c r="L67" s="184" t="s">
        <v>50</v>
      </c>
      <c r="M67" s="184"/>
      <c r="N67" s="184"/>
      <c r="O67" s="184"/>
      <c r="P67" s="184" t="b">
        <v>0</v>
      </c>
    </row>
    <row r="68" spans="1:16" ht="12.75" hidden="1">
      <c r="A68" s="184" t="str">
        <f t="shared" si="4"/>
        <v>HVBH-HSE-SSR-B-67</v>
      </c>
      <c r="B68" s="184">
        <v>67</v>
      </c>
      <c r="C68" s="184" t="str">
        <f t="shared" si="5"/>
        <v>[HVBH-HSE-SSR-B-67] Battery Heater Enable-H12</v>
      </c>
      <c r="D68" s="184" t="s">
        <v>203</v>
      </c>
      <c r="E68" s="184" t="str">
        <f t="shared" si="3"/>
        <v>HVBH-HSE-SSR-B-67</v>
      </c>
      <c r="F68" s="184" t="s">
        <v>162</v>
      </c>
      <c r="G68" s="184" t="s">
        <v>191</v>
      </c>
      <c r="H68" s="184" t="s">
        <v>192</v>
      </c>
      <c r="I68" s="184" t="s">
        <v>48</v>
      </c>
      <c r="J68" s="184"/>
      <c r="K68" s="184" t="s">
        <v>104</v>
      </c>
      <c r="L68" s="184" t="s">
        <v>50</v>
      </c>
      <c r="M68" s="184"/>
      <c r="N68" s="184"/>
      <c r="O68" s="184"/>
      <c r="P68" s="184" t="b">
        <v>0</v>
      </c>
    </row>
    <row r="69" spans="1:16" ht="12.75" hidden="1">
      <c r="A69" s="184" t="str">
        <f t="shared" si="4"/>
        <v>HVBH-HSE-SSR-B-68</v>
      </c>
      <c r="B69" s="184">
        <v>68</v>
      </c>
      <c r="C69" s="184" t="str">
        <f t="shared" si="5"/>
        <v>[HVBH-HSE-SSR-B-68] Battery Heater Enable-H13</v>
      </c>
      <c r="D69" s="184" t="s">
        <v>204</v>
      </c>
      <c r="E69" s="184" t="str">
        <f t="shared" si="3"/>
        <v>HVBH-HSE-SSR-B-68</v>
      </c>
      <c r="F69" s="184" t="s">
        <v>162</v>
      </c>
      <c r="G69" s="184" t="s">
        <v>191</v>
      </c>
      <c r="H69" s="184" t="s">
        <v>192</v>
      </c>
      <c r="I69" s="184" t="s">
        <v>48</v>
      </c>
      <c r="J69" s="184"/>
      <c r="K69" s="184" t="s">
        <v>104</v>
      </c>
      <c r="L69" s="184" t="s">
        <v>50</v>
      </c>
      <c r="M69" s="184"/>
      <c r="N69" s="184"/>
      <c r="O69" s="184"/>
      <c r="P69" s="184" t="b">
        <v>0</v>
      </c>
    </row>
    <row r="70" spans="1:16" ht="12.75" hidden="1">
      <c r="A70" s="184" t="str">
        <f t="shared" si="4"/>
        <v>HVBH-HSE-SSR-B-69</v>
      </c>
      <c r="B70" s="184">
        <v>69</v>
      </c>
      <c r="C70" s="184" t="str">
        <f t="shared" si="5"/>
        <v>[HVBH-HSE-SSR-B-69] Battery Heater Enable-H14</v>
      </c>
      <c r="D70" s="184" t="s">
        <v>205</v>
      </c>
      <c r="E70" s="184" t="str">
        <f t="shared" si="3"/>
        <v>HVBH-HSE-SSR-B-69</v>
      </c>
      <c r="F70" s="184" t="s">
        <v>162</v>
      </c>
      <c r="G70" s="184" t="s">
        <v>191</v>
      </c>
      <c r="H70" s="184" t="s">
        <v>192</v>
      </c>
      <c r="I70" s="184" t="s">
        <v>48</v>
      </c>
      <c r="J70" s="184"/>
      <c r="K70" s="184" t="s">
        <v>104</v>
      </c>
      <c r="L70" s="184" t="s">
        <v>50</v>
      </c>
      <c r="M70" s="184"/>
      <c r="N70" s="184"/>
      <c r="O70" s="184"/>
      <c r="P70" s="184" t="b">
        <v>0</v>
      </c>
    </row>
    <row r="71" spans="1:16" ht="12.75" hidden="1">
      <c r="A71" s="184" t="str">
        <f t="shared" si="4"/>
        <v>HVBH-FSE-SSR-B-70</v>
      </c>
      <c r="B71" s="184">
        <v>70</v>
      </c>
      <c r="C71" s="184" t="str">
        <f t="shared" si="5"/>
        <v>[HVBH-FSE-SSR-B-70] Battery Heater Fans Enable 1-7</v>
      </c>
      <c r="D71" s="184" t="s">
        <v>206</v>
      </c>
      <c r="E71" s="184" t="str">
        <f t="shared" si="3"/>
        <v>HVBH-FSE-SSR-B-70</v>
      </c>
      <c r="F71" s="184" t="s">
        <v>162</v>
      </c>
      <c r="G71" s="184" t="s">
        <v>207</v>
      </c>
      <c r="H71" s="184" t="s">
        <v>192</v>
      </c>
      <c r="I71" s="184" t="s">
        <v>48</v>
      </c>
      <c r="J71" s="184"/>
      <c r="K71" s="184" t="s">
        <v>104</v>
      </c>
      <c r="L71" s="184" t="s">
        <v>50</v>
      </c>
      <c r="M71" s="184"/>
      <c r="N71" s="184"/>
      <c r="O71" s="184"/>
      <c r="P71" s="184" t="b">
        <v>0</v>
      </c>
    </row>
    <row r="72" spans="1:16" ht="12.75" hidden="1">
      <c r="A72" s="184" t="str">
        <f t="shared" si="4"/>
        <v>HVBH-FSE-SSR-B-71</v>
      </c>
      <c r="B72" s="184">
        <v>71</v>
      </c>
      <c r="C72" s="184" t="str">
        <f t="shared" si="5"/>
        <v>[HVBH-FSE-SSR-B-71] Battery Heater Fans Enable 8-14</v>
      </c>
      <c r="D72" s="184" t="s">
        <v>208</v>
      </c>
      <c r="E72" s="184" t="str">
        <f t="shared" si="3"/>
        <v>HVBH-FSE-SSR-B-71</v>
      </c>
      <c r="F72" s="184" t="s">
        <v>162</v>
      </c>
      <c r="G72" s="184" t="s">
        <v>207</v>
      </c>
      <c r="H72" s="184" t="s">
        <v>192</v>
      </c>
      <c r="I72" s="184" t="s">
        <v>48</v>
      </c>
      <c r="J72" s="184"/>
      <c r="K72" s="184" t="s">
        <v>104</v>
      </c>
      <c r="L72" s="184" t="s">
        <v>50</v>
      </c>
      <c r="M72" s="184"/>
      <c r="N72" s="184"/>
      <c r="O72" s="184"/>
      <c r="P72" s="184" t="b">
        <v>0</v>
      </c>
    </row>
    <row r="73" spans="1:16" ht="12.75">
      <c r="A73" s="184" t="str">
        <f t="shared" si="4"/>
        <v>HVBH-CD-AMP-CD-72</v>
      </c>
      <c r="B73" s="184">
        <v>72</v>
      </c>
      <c r="C73" s="184" t="str">
        <f t="shared" si="5"/>
        <v>[HVBH-CD-AMP-CD-72] Battery Heater Current-H01</v>
      </c>
      <c r="D73" s="184" t="s">
        <v>209</v>
      </c>
      <c r="E73" s="184" t="str">
        <f t="shared" si="3"/>
        <v>HVBH-CD-AMP-CD-72</v>
      </c>
      <c r="F73" s="184" t="s">
        <v>162</v>
      </c>
      <c r="G73" s="184" t="s">
        <v>122</v>
      </c>
      <c r="H73" s="184" t="s">
        <v>210</v>
      </c>
      <c r="I73" s="184" t="s">
        <v>55</v>
      </c>
      <c r="J73" s="184"/>
      <c r="K73" s="184" t="s">
        <v>122</v>
      </c>
      <c r="L73" s="184" t="s">
        <v>211</v>
      </c>
      <c r="M73" s="184"/>
      <c r="N73" s="184"/>
      <c r="O73" s="184"/>
      <c r="P73" s="184" t="b">
        <v>0</v>
      </c>
    </row>
    <row r="74" spans="1:16" ht="12.75">
      <c r="A74" s="184" t="str">
        <f t="shared" si="4"/>
        <v>HVBH-CD-AMP-CD-73</v>
      </c>
      <c r="B74" s="184">
        <v>73</v>
      </c>
      <c r="C74" s="184" t="str">
        <f t="shared" si="5"/>
        <v>[HVBH-CD-AMP-CD-73] Battery Heater Current-H02</v>
      </c>
      <c r="D74" s="184" t="s">
        <v>212</v>
      </c>
      <c r="E74" s="184" t="str">
        <f t="shared" si="3"/>
        <v>HVBH-CD-AMP-CD-73</v>
      </c>
      <c r="F74" s="184" t="s">
        <v>162</v>
      </c>
      <c r="G74" s="184" t="s">
        <v>122</v>
      </c>
      <c r="H74" s="184" t="s">
        <v>210</v>
      </c>
      <c r="I74" s="184" t="s">
        <v>55</v>
      </c>
      <c r="J74" s="184"/>
      <c r="K74" s="184" t="s">
        <v>122</v>
      </c>
      <c r="L74" s="184" t="s">
        <v>211</v>
      </c>
      <c r="M74" s="184"/>
      <c r="N74" s="184"/>
      <c r="O74" s="184"/>
      <c r="P74" s="184" t="b">
        <v>0</v>
      </c>
    </row>
    <row r="75" spans="1:16" ht="12.75">
      <c r="A75" s="184" t="str">
        <f t="shared" si="4"/>
        <v>HVBH-CD-AMP-CD-74</v>
      </c>
      <c r="B75" s="184">
        <v>74</v>
      </c>
      <c r="C75" s="184" t="str">
        <f t="shared" si="5"/>
        <v>[HVBH-CD-AMP-CD-74] Battery Heater Current-H03</v>
      </c>
      <c r="D75" s="184" t="s">
        <v>213</v>
      </c>
      <c r="E75" s="184" t="str">
        <f t="shared" si="3"/>
        <v>HVBH-CD-AMP-CD-74</v>
      </c>
      <c r="F75" s="184" t="s">
        <v>162</v>
      </c>
      <c r="G75" s="184" t="s">
        <v>122</v>
      </c>
      <c r="H75" s="184" t="s">
        <v>210</v>
      </c>
      <c r="I75" s="184" t="s">
        <v>55</v>
      </c>
      <c r="J75" s="184"/>
      <c r="K75" s="184" t="s">
        <v>122</v>
      </c>
      <c r="L75" s="184" t="s">
        <v>211</v>
      </c>
      <c r="M75" s="184"/>
      <c r="N75" s="184"/>
      <c r="O75" s="184"/>
      <c r="P75" s="184" t="b">
        <v>0</v>
      </c>
    </row>
    <row r="76" spans="1:16" ht="12.75">
      <c r="A76" s="184" t="str">
        <f t="shared" si="4"/>
        <v>HVBH-CD-AMP-CD-75</v>
      </c>
      <c r="B76" s="184">
        <v>75</v>
      </c>
      <c r="C76" s="184" t="str">
        <f t="shared" si="5"/>
        <v>[HVBH-CD-AMP-CD-75] Battery Heater Current-H04</v>
      </c>
      <c r="D76" s="184" t="s">
        <v>214</v>
      </c>
      <c r="E76" s="184" t="str">
        <f t="shared" si="3"/>
        <v>HVBH-CD-AMP-CD-75</v>
      </c>
      <c r="F76" s="184" t="s">
        <v>162</v>
      </c>
      <c r="G76" s="184" t="s">
        <v>122</v>
      </c>
      <c r="H76" s="184" t="s">
        <v>210</v>
      </c>
      <c r="I76" s="184" t="s">
        <v>55</v>
      </c>
      <c r="J76" s="184"/>
      <c r="K76" s="184" t="s">
        <v>122</v>
      </c>
      <c r="L76" s="184" t="s">
        <v>211</v>
      </c>
      <c r="M76" s="184"/>
      <c r="N76" s="184"/>
      <c r="O76" s="184"/>
      <c r="P76" s="184" t="b">
        <v>0</v>
      </c>
    </row>
    <row r="77" spans="1:16" ht="12.75">
      <c r="A77" s="184" t="str">
        <f t="shared" si="4"/>
        <v>HVBH-CD-AMP-CD-76</v>
      </c>
      <c r="B77" s="184">
        <v>76</v>
      </c>
      <c r="C77" s="184" t="str">
        <f t="shared" si="5"/>
        <v>[HVBH-CD-AMP-CD-76] Battery Heater Current-H05</v>
      </c>
      <c r="D77" s="184" t="s">
        <v>215</v>
      </c>
      <c r="E77" s="184" t="str">
        <f t="shared" si="3"/>
        <v>HVBH-CD-AMP-CD-76</v>
      </c>
      <c r="F77" s="184" t="s">
        <v>162</v>
      </c>
      <c r="G77" s="184" t="s">
        <v>122</v>
      </c>
      <c r="H77" s="184" t="s">
        <v>210</v>
      </c>
      <c r="I77" s="184" t="s">
        <v>55</v>
      </c>
      <c r="J77" s="184"/>
      <c r="K77" s="184" t="s">
        <v>122</v>
      </c>
      <c r="L77" s="184" t="s">
        <v>211</v>
      </c>
      <c r="M77" s="184"/>
      <c r="N77" s="184"/>
      <c r="O77" s="184"/>
      <c r="P77" s="184" t="b">
        <v>0</v>
      </c>
    </row>
    <row r="78" spans="1:16" ht="12.75">
      <c r="A78" s="184" t="str">
        <f t="shared" si="4"/>
        <v>HVBH-CD-AMP-CD-77</v>
      </c>
      <c r="B78" s="184">
        <v>77</v>
      </c>
      <c r="C78" s="184" t="str">
        <f t="shared" si="5"/>
        <v>[HVBH-CD-AMP-CD-77] Battery Heater Current-H06</v>
      </c>
      <c r="D78" s="184" t="s">
        <v>216</v>
      </c>
      <c r="E78" s="184" t="str">
        <f t="shared" si="3"/>
        <v>HVBH-CD-AMP-CD-77</v>
      </c>
      <c r="F78" s="184" t="s">
        <v>162</v>
      </c>
      <c r="G78" s="184" t="s">
        <v>122</v>
      </c>
      <c r="H78" s="184" t="s">
        <v>210</v>
      </c>
      <c r="I78" s="184" t="s">
        <v>55</v>
      </c>
      <c r="J78" s="184"/>
      <c r="K78" s="184" t="s">
        <v>122</v>
      </c>
      <c r="L78" s="184" t="s">
        <v>211</v>
      </c>
      <c r="M78" s="184"/>
      <c r="N78" s="184"/>
      <c r="O78" s="184"/>
      <c r="P78" s="184" t="b">
        <v>0</v>
      </c>
    </row>
    <row r="79" spans="1:16" ht="12.75">
      <c r="A79" s="184" t="str">
        <f t="shared" si="4"/>
        <v>HVBH-CD-AMP-CD-78</v>
      </c>
      <c r="B79" s="184">
        <v>78</v>
      </c>
      <c r="C79" s="184" t="str">
        <f t="shared" si="5"/>
        <v>[HVBH-CD-AMP-CD-78] Battery Heater Current-H07</v>
      </c>
      <c r="D79" s="184" t="s">
        <v>217</v>
      </c>
      <c r="E79" s="184" t="str">
        <f t="shared" si="3"/>
        <v>HVBH-CD-AMP-CD-78</v>
      </c>
      <c r="F79" s="184" t="s">
        <v>162</v>
      </c>
      <c r="G79" s="184" t="s">
        <v>122</v>
      </c>
      <c r="H79" s="184" t="s">
        <v>210</v>
      </c>
      <c r="I79" s="184" t="s">
        <v>55</v>
      </c>
      <c r="J79" s="184"/>
      <c r="K79" s="184" t="s">
        <v>122</v>
      </c>
      <c r="L79" s="184" t="s">
        <v>211</v>
      </c>
      <c r="M79" s="184"/>
      <c r="N79" s="184"/>
      <c r="O79" s="184"/>
      <c r="P79" s="184" t="b">
        <v>0</v>
      </c>
    </row>
    <row r="80" spans="1:16" ht="12.75">
      <c r="A80" s="184" t="str">
        <f t="shared" si="4"/>
        <v>HVBH-CD-AMP-CD-79</v>
      </c>
      <c r="B80" s="184">
        <v>79</v>
      </c>
      <c r="C80" s="184" t="str">
        <f t="shared" si="5"/>
        <v>[HVBH-CD-AMP-CD-79] Battery Heater Current-H08</v>
      </c>
      <c r="D80" s="184" t="s">
        <v>218</v>
      </c>
      <c r="E80" s="184" t="str">
        <f t="shared" si="3"/>
        <v>HVBH-CD-AMP-CD-79</v>
      </c>
      <c r="F80" s="184" t="s">
        <v>162</v>
      </c>
      <c r="G80" s="184" t="s">
        <v>122</v>
      </c>
      <c r="H80" s="184" t="s">
        <v>210</v>
      </c>
      <c r="I80" s="184" t="s">
        <v>55</v>
      </c>
      <c r="J80" s="184"/>
      <c r="K80" s="184" t="s">
        <v>122</v>
      </c>
      <c r="L80" s="184" t="s">
        <v>211</v>
      </c>
      <c r="M80" s="184"/>
      <c r="N80" s="184"/>
      <c r="O80" s="184"/>
      <c r="P80" s="184" t="b">
        <v>0</v>
      </c>
    </row>
    <row r="81" spans="1:16" ht="12.75">
      <c r="A81" s="184" t="str">
        <f t="shared" si="4"/>
        <v>HVBH-CD-AMP-CD-80</v>
      </c>
      <c r="B81" s="184">
        <v>80</v>
      </c>
      <c r="C81" s="184" t="str">
        <f t="shared" si="5"/>
        <v>[HVBH-CD-AMP-CD-80] Battery Heater Current-H09</v>
      </c>
      <c r="D81" s="184" t="s">
        <v>219</v>
      </c>
      <c r="E81" s="184" t="str">
        <f t="shared" si="3"/>
        <v>HVBH-CD-AMP-CD-80</v>
      </c>
      <c r="F81" s="184" t="s">
        <v>162</v>
      </c>
      <c r="G81" s="184" t="s">
        <v>122</v>
      </c>
      <c r="H81" s="184" t="s">
        <v>210</v>
      </c>
      <c r="I81" s="184" t="s">
        <v>55</v>
      </c>
      <c r="J81" s="184"/>
      <c r="K81" s="184" t="s">
        <v>122</v>
      </c>
      <c r="L81" s="184" t="s">
        <v>211</v>
      </c>
      <c r="M81" s="184"/>
      <c r="N81" s="184"/>
      <c r="O81" s="184"/>
      <c r="P81" s="184" t="b">
        <v>0</v>
      </c>
    </row>
    <row r="82" spans="1:16" ht="12.75">
      <c r="A82" s="184" t="str">
        <f t="shared" si="4"/>
        <v>HVBH-CD-AMP-CD-81</v>
      </c>
      <c r="B82" s="184">
        <v>81</v>
      </c>
      <c r="C82" s="184" t="str">
        <f t="shared" si="5"/>
        <v>[HVBH-CD-AMP-CD-81] Battery Heater Current-H10</v>
      </c>
      <c r="D82" s="184" t="s">
        <v>220</v>
      </c>
      <c r="E82" s="184" t="str">
        <f t="shared" si="3"/>
        <v>HVBH-CD-AMP-CD-81</v>
      </c>
      <c r="F82" s="184" t="s">
        <v>162</v>
      </c>
      <c r="G82" s="184" t="s">
        <v>122</v>
      </c>
      <c r="H82" s="184" t="s">
        <v>210</v>
      </c>
      <c r="I82" s="184" t="s">
        <v>55</v>
      </c>
      <c r="J82" s="184"/>
      <c r="K82" s="184" t="s">
        <v>122</v>
      </c>
      <c r="L82" s="184" t="s">
        <v>211</v>
      </c>
      <c r="M82" s="184"/>
      <c r="N82" s="184"/>
      <c r="O82" s="184"/>
      <c r="P82" s="184" t="b">
        <v>0</v>
      </c>
    </row>
    <row r="83" spans="1:16" ht="12.75">
      <c r="A83" s="184" t="str">
        <f t="shared" si="4"/>
        <v>HVBH-CD-AMP-CD-82</v>
      </c>
      <c r="B83" s="184">
        <v>82</v>
      </c>
      <c r="C83" s="184" t="str">
        <f t="shared" si="5"/>
        <v>[HVBH-CD-AMP-CD-82] Battery Heater Current-H11</v>
      </c>
      <c r="D83" s="184" t="s">
        <v>221</v>
      </c>
      <c r="E83" s="184" t="str">
        <f t="shared" si="3"/>
        <v>HVBH-CD-AMP-CD-82</v>
      </c>
      <c r="F83" s="184" t="s">
        <v>162</v>
      </c>
      <c r="G83" s="184" t="s">
        <v>122</v>
      </c>
      <c r="H83" s="184" t="s">
        <v>210</v>
      </c>
      <c r="I83" s="184" t="s">
        <v>55</v>
      </c>
      <c r="J83" s="184"/>
      <c r="K83" s="184" t="s">
        <v>122</v>
      </c>
      <c r="L83" s="184" t="s">
        <v>211</v>
      </c>
      <c r="M83" s="184"/>
      <c r="N83" s="184"/>
      <c r="O83" s="184"/>
      <c r="P83" s="184" t="b">
        <v>0</v>
      </c>
    </row>
    <row r="84" spans="1:16" ht="12.75">
      <c r="A84" s="184" t="str">
        <f t="shared" si="4"/>
        <v>HVBH-CD-AMP-CD-83</v>
      </c>
      <c r="B84" s="184">
        <v>83</v>
      </c>
      <c r="C84" s="184" t="str">
        <f t="shared" si="5"/>
        <v>[HVBH-CD-AMP-CD-83] Battery Heater Current-H12</v>
      </c>
      <c r="D84" s="184" t="s">
        <v>222</v>
      </c>
      <c r="E84" s="184" t="str">
        <f t="shared" si="3"/>
        <v>HVBH-CD-AMP-CD-83</v>
      </c>
      <c r="F84" s="184" t="s">
        <v>162</v>
      </c>
      <c r="G84" s="184" t="s">
        <v>122</v>
      </c>
      <c r="H84" s="184" t="s">
        <v>210</v>
      </c>
      <c r="I84" s="184" t="s">
        <v>55</v>
      </c>
      <c r="J84" s="184"/>
      <c r="K84" s="184" t="s">
        <v>122</v>
      </c>
      <c r="L84" s="184" t="s">
        <v>211</v>
      </c>
      <c r="M84" s="184"/>
      <c r="N84" s="184"/>
      <c r="O84" s="184"/>
      <c r="P84" s="184" t="b">
        <v>0</v>
      </c>
    </row>
    <row r="85" spans="1:16" ht="12.75">
      <c r="A85" s="184" t="str">
        <f t="shared" si="4"/>
        <v>HVBH-CD-AMP-CD-84</v>
      </c>
      <c r="B85" s="184">
        <v>84</v>
      </c>
      <c r="C85" s="184" t="str">
        <f t="shared" si="5"/>
        <v>[HVBH-CD-AMP-CD-84] Battery Heater Current-H13</v>
      </c>
      <c r="D85" s="184" t="s">
        <v>223</v>
      </c>
      <c r="E85" s="184" t="str">
        <f t="shared" si="3"/>
        <v>HVBH-CD-AMP-CD-84</v>
      </c>
      <c r="F85" s="184" t="s">
        <v>162</v>
      </c>
      <c r="G85" s="184" t="s">
        <v>122</v>
      </c>
      <c r="H85" s="184" t="s">
        <v>210</v>
      </c>
      <c r="I85" s="184" t="s">
        <v>55</v>
      </c>
      <c r="J85" s="184"/>
      <c r="K85" s="184" t="s">
        <v>122</v>
      </c>
      <c r="L85" s="184" t="s">
        <v>211</v>
      </c>
      <c r="M85" s="184"/>
      <c r="N85" s="184"/>
      <c r="O85" s="184"/>
      <c r="P85" s="184" t="b">
        <v>0</v>
      </c>
    </row>
    <row r="86" spans="1:16" ht="12.75">
      <c r="A86" s="184" t="str">
        <f t="shared" si="4"/>
        <v>HVBH-CD-AMP-CD-85</v>
      </c>
      <c r="B86" s="184">
        <v>85</v>
      </c>
      <c r="C86" s="184" t="str">
        <f t="shared" si="5"/>
        <v>[HVBH-CD-AMP-CD-85] Battery Heater Current-H14</v>
      </c>
      <c r="D86" s="184" t="s">
        <v>224</v>
      </c>
      <c r="E86" s="184" t="str">
        <f t="shared" si="3"/>
        <v>HVBH-CD-AMP-CD-85</v>
      </c>
      <c r="F86" s="184" t="s">
        <v>162</v>
      </c>
      <c r="G86" s="184" t="s">
        <v>122</v>
      </c>
      <c r="H86" s="184" t="s">
        <v>210</v>
      </c>
      <c r="I86" s="184" t="s">
        <v>55</v>
      </c>
      <c r="J86" s="184"/>
      <c r="K86" s="184" t="s">
        <v>122</v>
      </c>
      <c r="L86" s="184" t="s">
        <v>211</v>
      </c>
      <c r="M86" s="184"/>
      <c r="N86" s="184"/>
      <c r="O86" s="184"/>
      <c r="P86" s="184" t="b">
        <v>0</v>
      </c>
    </row>
    <row r="87" spans="1:16" ht="12.75">
      <c r="A87" s="184" t="str">
        <f t="shared" si="4"/>
        <v>HVBH-CD-AMP-CD-86</v>
      </c>
      <c r="B87" s="184">
        <v>86</v>
      </c>
      <c r="C87" s="184" t="str">
        <f t="shared" si="5"/>
        <v>[HVBH-CD-AMP-CD-86] Battery Heater Fans Current 1-7</v>
      </c>
      <c r="D87" s="184" t="s">
        <v>225</v>
      </c>
      <c r="E87" s="184" t="str">
        <f t="shared" si="3"/>
        <v>HVBH-CD-AMP-CD-86</v>
      </c>
      <c r="F87" s="184" t="s">
        <v>162</v>
      </c>
      <c r="G87" s="184" t="s">
        <v>122</v>
      </c>
      <c r="H87" s="184" t="s">
        <v>210</v>
      </c>
      <c r="I87" s="184" t="s">
        <v>55</v>
      </c>
      <c r="J87" s="184"/>
      <c r="K87" s="184" t="s">
        <v>122</v>
      </c>
      <c r="L87" s="184" t="s">
        <v>211</v>
      </c>
      <c r="M87" s="184"/>
      <c r="N87" s="184"/>
      <c r="O87" s="184"/>
      <c r="P87" s="184" t="b">
        <v>0</v>
      </c>
    </row>
    <row r="88" spans="1:16" ht="12.75">
      <c r="A88" s="184" t="str">
        <f t="shared" si="4"/>
        <v>HVBH-CD-AMP-CD-87</v>
      </c>
      <c r="B88" s="184">
        <v>87</v>
      </c>
      <c r="C88" s="184" t="str">
        <f t="shared" si="5"/>
        <v>[HVBH-CD-AMP-CD-87] Battery Heater Fans Current 8-14</v>
      </c>
      <c r="D88" s="184" t="s">
        <v>226</v>
      </c>
      <c r="E88" s="184" t="str">
        <f t="shared" si="3"/>
        <v>HVBH-CD-AMP-CD-87</v>
      </c>
      <c r="F88" s="184" t="s">
        <v>162</v>
      </c>
      <c r="G88" s="184" t="s">
        <v>122</v>
      </c>
      <c r="H88" s="184" t="s">
        <v>210</v>
      </c>
      <c r="I88" s="184" t="s">
        <v>55</v>
      </c>
      <c r="J88" s="184"/>
      <c r="K88" s="184" t="s">
        <v>122</v>
      </c>
      <c r="L88" s="184" t="s">
        <v>211</v>
      </c>
      <c r="M88" s="184"/>
      <c r="N88" s="184"/>
      <c r="O88" s="184"/>
      <c r="P88" s="184" t="b">
        <v>0</v>
      </c>
    </row>
    <row r="89" spans="1:16" ht="12.75">
      <c r="A89" s="184" t="str">
        <f t="shared" si="4"/>
        <v>HVBH-TF-TC-Ts-88</v>
      </c>
      <c r="B89" s="184">
        <v>88</v>
      </c>
      <c r="C89" s="184" t="str">
        <f t="shared" si="5"/>
        <v>[HVBH-TF-TC-Ts-88] Battery Heater Temp H01</v>
      </c>
      <c r="D89" s="184" t="s">
        <v>227</v>
      </c>
      <c r="E89" s="184" t="str">
        <f t="shared" si="3"/>
        <v>HVBH-TF-TC-Ts-88</v>
      </c>
      <c r="F89" s="184" t="s">
        <v>162</v>
      </c>
      <c r="G89" s="184" t="s">
        <v>228</v>
      </c>
      <c r="H89" s="184" t="s">
        <v>229</v>
      </c>
      <c r="I89" s="184" t="s">
        <v>230</v>
      </c>
      <c r="J89" s="184"/>
      <c r="K89" s="184" t="s">
        <v>231</v>
      </c>
      <c r="L89" s="184" t="s">
        <v>232</v>
      </c>
      <c r="M89" s="184"/>
      <c r="N89" s="184"/>
      <c r="O89" s="184"/>
      <c r="P89" s="184" t="b">
        <v>0</v>
      </c>
    </row>
    <row r="90" spans="1:16" ht="12.75">
      <c r="A90" s="184" t="str">
        <f t="shared" si="4"/>
        <v>HVBH-TF-TC-Ts-89</v>
      </c>
      <c r="B90" s="184">
        <v>89</v>
      </c>
      <c r="C90" s="184" t="str">
        <f t="shared" si="5"/>
        <v>[HVBH-TF-TC-Ts-89] Battery Heater Temp H02</v>
      </c>
      <c r="D90" s="184" t="s">
        <v>233</v>
      </c>
      <c r="E90" s="184" t="str">
        <f t="shared" si="3"/>
        <v>HVBH-TF-TC-Ts-89</v>
      </c>
      <c r="F90" s="184" t="s">
        <v>162</v>
      </c>
      <c r="G90" s="184" t="s">
        <v>228</v>
      </c>
      <c r="H90" s="184" t="s">
        <v>229</v>
      </c>
      <c r="I90" s="184" t="s">
        <v>230</v>
      </c>
      <c r="J90" s="184"/>
      <c r="K90" s="184" t="s">
        <v>231</v>
      </c>
      <c r="L90" s="184" t="s">
        <v>232</v>
      </c>
      <c r="M90" s="184"/>
      <c r="N90" s="184"/>
      <c r="O90" s="184"/>
      <c r="P90" s="184" t="b">
        <v>0</v>
      </c>
    </row>
    <row r="91" spans="1:16" ht="12.75">
      <c r="A91" s="184" t="str">
        <f t="shared" si="4"/>
        <v>HVBH-TF-TC-Ts-90</v>
      </c>
      <c r="B91" s="184">
        <v>90</v>
      </c>
      <c r="C91" s="184" t="str">
        <f t="shared" si="5"/>
        <v>[HVBH-TF-TC-Ts-90] Battery Heater Temp H03</v>
      </c>
      <c r="D91" s="184" t="s">
        <v>234</v>
      </c>
      <c r="E91" s="184" t="str">
        <f t="shared" si="3"/>
        <v>HVBH-TF-TC-Ts-90</v>
      </c>
      <c r="F91" s="184" t="s">
        <v>162</v>
      </c>
      <c r="G91" s="184" t="s">
        <v>228</v>
      </c>
      <c r="H91" s="184" t="s">
        <v>229</v>
      </c>
      <c r="I91" s="184" t="s">
        <v>230</v>
      </c>
      <c r="J91" s="184"/>
      <c r="K91" s="184" t="s">
        <v>231</v>
      </c>
      <c r="L91" s="184" t="s">
        <v>232</v>
      </c>
      <c r="M91" s="184"/>
      <c r="N91" s="184"/>
      <c r="O91" s="184"/>
      <c r="P91" s="184" t="b">
        <v>0</v>
      </c>
    </row>
    <row r="92" spans="1:16" ht="12.75">
      <c r="A92" s="184" t="str">
        <f t="shared" si="4"/>
        <v>HVBH-TF-TC-Ts-91</v>
      </c>
      <c r="B92" s="184">
        <v>91</v>
      </c>
      <c r="C92" s="184" t="str">
        <f t="shared" si="5"/>
        <v>[HVBH-TF-TC-Ts-91] Battery Heater Temp H04</v>
      </c>
      <c r="D92" s="184" t="s">
        <v>235</v>
      </c>
      <c r="E92" s="184" t="str">
        <f t="shared" si="3"/>
        <v>HVBH-TF-TC-Ts-91</v>
      </c>
      <c r="F92" s="184" t="s">
        <v>162</v>
      </c>
      <c r="G92" s="184" t="s">
        <v>228</v>
      </c>
      <c r="H92" s="184" t="s">
        <v>229</v>
      </c>
      <c r="I92" s="184" t="s">
        <v>230</v>
      </c>
      <c r="J92" s="184"/>
      <c r="K92" s="184" t="s">
        <v>231</v>
      </c>
      <c r="L92" s="184" t="s">
        <v>232</v>
      </c>
      <c r="M92" s="184"/>
      <c r="N92" s="184"/>
      <c r="O92" s="184"/>
      <c r="P92" s="184" t="b">
        <v>0</v>
      </c>
    </row>
    <row r="93" spans="1:16" ht="12.75">
      <c r="A93" s="184" t="str">
        <f t="shared" si="4"/>
        <v>HVBH-TF-TC-Ts-92</v>
      </c>
      <c r="B93" s="184">
        <v>92</v>
      </c>
      <c r="C93" s="184" t="str">
        <f t="shared" si="5"/>
        <v>[HVBH-TF-TC-Ts-92] Battery Heater Temp H05</v>
      </c>
      <c r="D93" s="184" t="s">
        <v>236</v>
      </c>
      <c r="E93" s="184" t="str">
        <f t="shared" si="3"/>
        <v>HVBH-TF-TC-Ts-92</v>
      </c>
      <c r="F93" s="184" t="s">
        <v>162</v>
      </c>
      <c r="G93" s="184" t="s">
        <v>228</v>
      </c>
      <c r="H93" s="184" t="s">
        <v>229</v>
      </c>
      <c r="I93" s="184" t="s">
        <v>230</v>
      </c>
      <c r="J93" s="184"/>
      <c r="K93" s="184" t="s">
        <v>231</v>
      </c>
      <c r="L93" s="184" t="s">
        <v>232</v>
      </c>
      <c r="M93" s="184"/>
      <c r="N93" s="184"/>
      <c r="O93" s="184"/>
      <c r="P93" s="184" t="b">
        <v>0</v>
      </c>
    </row>
    <row r="94" spans="1:16" ht="12.75">
      <c r="A94" s="184" t="str">
        <f t="shared" si="4"/>
        <v>HVBH-TF-TC-Ts-93</v>
      </c>
      <c r="B94" s="184">
        <v>93</v>
      </c>
      <c r="C94" s="184" t="str">
        <f t="shared" si="5"/>
        <v>[HVBH-TF-TC-Ts-93] Battery Heater Temp H06</v>
      </c>
      <c r="D94" s="184" t="s">
        <v>237</v>
      </c>
      <c r="E94" s="184" t="str">
        <f t="shared" si="3"/>
        <v>HVBH-TF-TC-Ts-93</v>
      </c>
      <c r="F94" s="184" t="s">
        <v>162</v>
      </c>
      <c r="G94" s="184" t="s">
        <v>228</v>
      </c>
      <c r="H94" s="184" t="s">
        <v>229</v>
      </c>
      <c r="I94" s="184" t="s">
        <v>230</v>
      </c>
      <c r="J94" s="184"/>
      <c r="K94" s="184" t="s">
        <v>231</v>
      </c>
      <c r="L94" s="184" t="s">
        <v>232</v>
      </c>
      <c r="M94" s="184"/>
      <c r="N94" s="184"/>
      <c r="O94" s="184"/>
      <c r="P94" s="184" t="b">
        <v>0</v>
      </c>
    </row>
    <row r="95" spans="1:16" ht="12.75">
      <c r="A95" s="184" t="str">
        <f t="shared" si="4"/>
        <v>HVBH-TF-TC-Ts-94</v>
      </c>
      <c r="B95" s="184">
        <v>94</v>
      </c>
      <c r="C95" s="184" t="str">
        <f t="shared" si="5"/>
        <v>[HVBH-TF-TC-Ts-94] Battery Heater Temp H07</v>
      </c>
      <c r="D95" s="184" t="s">
        <v>238</v>
      </c>
      <c r="E95" s="184" t="str">
        <f t="shared" si="3"/>
        <v>HVBH-TF-TC-Ts-94</v>
      </c>
      <c r="F95" s="184" t="s">
        <v>162</v>
      </c>
      <c r="G95" s="184" t="s">
        <v>228</v>
      </c>
      <c r="H95" s="184" t="s">
        <v>229</v>
      </c>
      <c r="I95" s="184" t="s">
        <v>230</v>
      </c>
      <c r="J95" s="184"/>
      <c r="K95" s="184" t="s">
        <v>231</v>
      </c>
      <c r="L95" s="184" t="s">
        <v>232</v>
      </c>
      <c r="M95" s="184"/>
      <c r="N95" s="184"/>
      <c r="O95" s="184"/>
      <c r="P95" s="184" t="b">
        <v>0</v>
      </c>
    </row>
    <row r="96" spans="1:16" ht="12.75">
      <c r="A96" s="184" t="str">
        <f t="shared" si="4"/>
        <v>HVBH-TF-TC-Ts-95</v>
      </c>
      <c r="B96" s="184">
        <v>95</v>
      </c>
      <c r="C96" s="184" t="str">
        <f t="shared" si="5"/>
        <v>[HVBH-TF-TC-Ts-95] Battery Heater Temp H08</v>
      </c>
      <c r="D96" s="184" t="s">
        <v>239</v>
      </c>
      <c r="E96" s="184" t="str">
        <f t="shared" si="3"/>
        <v>HVBH-TF-TC-Ts-95</v>
      </c>
      <c r="F96" s="184" t="s">
        <v>162</v>
      </c>
      <c r="G96" s="184" t="s">
        <v>228</v>
      </c>
      <c r="H96" s="184" t="s">
        <v>229</v>
      </c>
      <c r="I96" s="184" t="s">
        <v>230</v>
      </c>
      <c r="J96" s="184"/>
      <c r="K96" s="184" t="s">
        <v>231</v>
      </c>
      <c r="L96" s="184" t="s">
        <v>232</v>
      </c>
      <c r="M96" s="184"/>
      <c r="N96" s="184"/>
      <c r="O96" s="184"/>
      <c r="P96" s="184" t="b">
        <v>0</v>
      </c>
    </row>
    <row r="97" spans="1:16" ht="12.75">
      <c r="A97" s="184" t="str">
        <f t="shared" si="4"/>
        <v>HVBH-TF-TC-Ts-96</v>
      </c>
      <c r="B97" s="184">
        <v>96</v>
      </c>
      <c r="C97" s="184" t="str">
        <f t="shared" si="5"/>
        <v>[HVBH-TF-TC-Ts-96] Battery Heater Temp H09</v>
      </c>
      <c r="D97" s="184" t="s">
        <v>240</v>
      </c>
      <c r="E97" s="184" t="str">
        <f t="shared" si="3"/>
        <v>HVBH-TF-TC-Ts-96</v>
      </c>
      <c r="F97" s="184" t="s">
        <v>162</v>
      </c>
      <c r="G97" s="184" t="s">
        <v>228</v>
      </c>
      <c r="H97" s="184" t="s">
        <v>229</v>
      </c>
      <c r="I97" s="184" t="s">
        <v>230</v>
      </c>
      <c r="J97" s="184"/>
      <c r="K97" s="184" t="s">
        <v>231</v>
      </c>
      <c r="L97" s="184" t="s">
        <v>232</v>
      </c>
      <c r="M97" s="184"/>
      <c r="N97" s="184"/>
      <c r="O97" s="184"/>
      <c r="P97" s="184" t="b">
        <v>0</v>
      </c>
    </row>
    <row r="98" spans="1:16" ht="12.75">
      <c r="A98" s="184" t="str">
        <f t="shared" ref="A98:A131" si="6">CONCATENATE(VLOOKUP(F98,Systems,2,FALSE),"-",VLOOKUP(G98,Subsystems,2,FALSE),"-",VLOOKUP(H98,Components,2,FALSE),"-",VLOOKUP(K98,Metrics,2,FALSE),"-",B98)</f>
        <v>HVBH-TF-TC-Ts-97</v>
      </c>
      <c r="B98" s="184">
        <v>97</v>
      </c>
      <c r="C98" s="184" t="str">
        <f t="shared" si="5"/>
        <v>[HVBH-TF-TC-Ts-97] Battery Heater Temp H10</v>
      </c>
      <c r="D98" s="184" t="s">
        <v>241</v>
      </c>
      <c r="E98" s="184" t="str">
        <f t="shared" si="3"/>
        <v>HVBH-TF-TC-Ts-97</v>
      </c>
      <c r="F98" s="184" t="s">
        <v>162</v>
      </c>
      <c r="G98" s="184" t="s">
        <v>228</v>
      </c>
      <c r="H98" s="184" t="s">
        <v>229</v>
      </c>
      <c r="I98" s="184" t="s">
        <v>230</v>
      </c>
      <c r="J98" s="184"/>
      <c r="K98" s="184" t="s">
        <v>231</v>
      </c>
      <c r="L98" s="184" t="s">
        <v>232</v>
      </c>
      <c r="M98" s="184"/>
      <c r="N98" s="184"/>
      <c r="O98" s="184"/>
      <c r="P98" s="184" t="b">
        <v>0</v>
      </c>
    </row>
    <row r="99" spans="1:16" ht="12.75">
      <c r="A99" s="184" t="str">
        <f t="shared" si="6"/>
        <v>HVAC-FAR-PVL-Pos-98</v>
      </c>
      <c r="B99" s="184">
        <v>98</v>
      </c>
      <c r="C99" s="184" t="str">
        <f t="shared" si="5"/>
        <v>[05C351.1] Fairing umbilical flow control valve - Cmd</v>
      </c>
      <c r="D99" s="184" t="s">
        <v>242</v>
      </c>
      <c r="E99" s="184" t="s">
        <v>243</v>
      </c>
      <c r="F99" s="184" t="s">
        <v>244</v>
      </c>
      <c r="G99" s="184" t="s">
        <v>245</v>
      </c>
      <c r="H99" s="184" t="s">
        <v>246</v>
      </c>
      <c r="I99" s="184" t="s">
        <v>247</v>
      </c>
      <c r="J99" s="184"/>
      <c r="K99" s="184" t="s">
        <v>49</v>
      </c>
      <c r="L99" s="184" t="s">
        <v>248</v>
      </c>
      <c r="M99" s="184"/>
      <c r="N99" s="184"/>
      <c r="O99" s="184"/>
      <c r="P99" s="184" t="b">
        <v>0</v>
      </c>
    </row>
    <row r="100" spans="1:16" ht="12.75">
      <c r="A100" s="184" t="str">
        <f t="shared" si="6"/>
        <v>HVAC-IS2-PVL-Pos-99</v>
      </c>
      <c r="B100" s="184">
        <v>99</v>
      </c>
      <c r="C100" s="184" t="str">
        <f t="shared" si="5"/>
        <v>[05C352.1] Interstage 2 umbilical flow control valve - Cmd</v>
      </c>
      <c r="D100" s="184" t="s">
        <v>249</v>
      </c>
      <c r="E100" s="184" t="s">
        <v>250</v>
      </c>
      <c r="F100" s="184" t="s">
        <v>244</v>
      </c>
      <c r="G100" s="184" t="s">
        <v>251</v>
      </c>
      <c r="H100" s="184" t="s">
        <v>246</v>
      </c>
      <c r="I100" s="184" t="s">
        <v>247</v>
      </c>
      <c r="J100" s="184"/>
      <c r="K100" s="184" t="s">
        <v>49</v>
      </c>
      <c r="L100" s="184" t="s">
        <v>248</v>
      </c>
      <c r="M100" s="184"/>
      <c r="N100" s="184"/>
      <c r="O100" s="184"/>
      <c r="P100" s="184" t="b">
        <v>0</v>
      </c>
    </row>
    <row r="101" spans="1:16" ht="12.75">
      <c r="A101" s="184" t="str">
        <f t="shared" si="6"/>
        <v>HVAC-IS1-PVL-Pos-100</v>
      </c>
      <c r="B101" s="184">
        <v>100</v>
      </c>
      <c r="C101" s="184" t="str">
        <f t="shared" si="5"/>
        <v>[05C353.1] Interstage 2 umbilical flow control valve - Cmd</v>
      </c>
      <c r="D101" s="184" t="s">
        <v>249</v>
      </c>
      <c r="E101" s="184" t="s">
        <v>252</v>
      </c>
      <c r="F101" s="184" t="s">
        <v>244</v>
      </c>
      <c r="G101" s="184" t="s">
        <v>253</v>
      </c>
      <c r="H101" s="184" t="s">
        <v>246</v>
      </c>
      <c r="I101" s="184" t="s">
        <v>247</v>
      </c>
      <c r="J101" s="184"/>
      <c r="K101" s="184" t="s">
        <v>49</v>
      </c>
      <c r="L101" s="184" t="s">
        <v>248</v>
      </c>
      <c r="M101" s="184"/>
      <c r="N101" s="184"/>
      <c r="O101" s="184"/>
      <c r="P101" s="184" t="b">
        <v>0</v>
      </c>
    </row>
    <row r="102" spans="1:16" ht="12.75">
      <c r="A102" s="184" t="str">
        <f t="shared" si="6"/>
        <v>HVAC-PP-PVL-Pos-101</v>
      </c>
      <c r="B102" s="184">
        <v>101</v>
      </c>
      <c r="C102" s="184" t="str">
        <f t="shared" si="5"/>
        <v>[05C354.1] Powerpack flow control valve - Cmd</v>
      </c>
      <c r="D102" s="184" t="s">
        <v>254</v>
      </c>
      <c r="E102" s="184" t="s">
        <v>255</v>
      </c>
      <c r="F102" s="184" t="s">
        <v>244</v>
      </c>
      <c r="G102" s="184" t="s">
        <v>256</v>
      </c>
      <c r="H102" s="184" t="s">
        <v>246</v>
      </c>
      <c r="I102" s="184" t="s">
        <v>247</v>
      </c>
      <c r="J102" s="184"/>
      <c r="K102" s="184" t="s">
        <v>49</v>
      </c>
      <c r="L102" s="184" t="s">
        <v>248</v>
      </c>
      <c r="M102" s="184"/>
      <c r="N102" s="184"/>
      <c r="O102" s="184"/>
      <c r="P102" s="184" t="b">
        <v>0</v>
      </c>
    </row>
    <row r="103" spans="1:16" ht="12.75">
      <c r="A103" s="184" t="str">
        <f t="shared" si="6"/>
        <v>HVAC-FAR-PVL-Pos-102</v>
      </c>
      <c r="B103" s="184">
        <v>102</v>
      </c>
      <c r="C103" s="184" t="str">
        <f t="shared" si="5"/>
        <v>[03C347.1] Fairing LN2 inject valve - Cmd</v>
      </c>
      <c r="D103" s="184" t="s">
        <v>257</v>
      </c>
      <c r="E103" s="184" t="s">
        <v>258</v>
      </c>
      <c r="F103" s="184" t="s">
        <v>244</v>
      </c>
      <c r="G103" s="184" t="s">
        <v>245</v>
      </c>
      <c r="H103" s="184" t="s">
        <v>246</v>
      </c>
      <c r="I103" s="184" t="s">
        <v>247</v>
      </c>
      <c r="J103" s="184"/>
      <c r="K103" s="184" t="s">
        <v>49</v>
      </c>
      <c r="L103" s="184" t="s">
        <v>248</v>
      </c>
      <c r="M103" s="184"/>
      <c r="N103" s="184"/>
      <c r="O103" s="184"/>
      <c r="P103" s="184" t="b">
        <v>0</v>
      </c>
    </row>
    <row r="104" spans="1:16" ht="12.75">
      <c r="A104" s="184" t="str">
        <f t="shared" si="6"/>
        <v>HVAC-IS2-PVL-Pos-103</v>
      </c>
      <c r="B104" s="184">
        <v>103</v>
      </c>
      <c r="C104" s="184" t="str">
        <f t="shared" si="5"/>
        <v>[03C348.1] Interstage 2 LN2 inject valve - Cmd</v>
      </c>
      <c r="D104" s="184" t="s">
        <v>259</v>
      </c>
      <c r="E104" s="184" t="s">
        <v>260</v>
      </c>
      <c r="F104" s="184" t="s">
        <v>244</v>
      </c>
      <c r="G104" s="184" t="s">
        <v>251</v>
      </c>
      <c r="H104" s="184" t="s">
        <v>246</v>
      </c>
      <c r="I104" s="184" t="s">
        <v>247</v>
      </c>
      <c r="J104" s="184"/>
      <c r="K104" s="184" t="s">
        <v>49</v>
      </c>
      <c r="L104" s="184" t="s">
        <v>248</v>
      </c>
      <c r="M104" s="184"/>
      <c r="N104" s="184"/>
      <c r="O104" s="184"/>
      <c r="P104" s="184" t="b">
        <v>0</v>
      </c>
    </row>
    <row r="105" spans="1:16" ht="12.75">
      <c r="A105" s="184" t="str">
        <f t="shared" si="6"/>
        <v>HVAC-IS1-PVL-Pos-104</v>
      </c>
      <c r="B105" s="184">
        <v>104</v>
      </c>
      <c r="C105" s="184" t="str">
        <f t="shared" si="5"/>
        <v>[03C349.1] Interstage 1 LN2 inject valve - Cmd</v>
      </c>
      <c r="D105" s="184" t="s">
        <v>261</v>
      </c>
      <c r="E105" s="184" t="s">
        <v>262</v>
      </c>
      <c r="F105" s="184" t="s">
        <v>244</v>
      </c>
      <c r="G105" s="184" t="s">
        <v>253</v>
      </c>
      <c r="H105" s="184" t="s">
        <v>246</v>
      </c>
      <c r="I105" s="184" t="s">
        <v>247</v>
      </c>
      <c r="J105" s="184"/>
      <c r="K105" s="184" t="s">
        <v>49</v>
      </c>
      <c r="L105" s="184" t="s">
        <v>248</v>
      </c>
      <c r="M105" s="184"/>
      <c r="N105" s="184"/>
      <c r="O105" s="184"/>
      <c r="P105" s="184" t="b">
        <v>0</v>
      </c>
    </row>
    <row r="106" spans="1:16" ht="12.75">
      <c r="A106" s="184" t="str">
        <f t="shared" si="6"/>
        <v>HVAC-PP-PVL-Pos-105</v>
      </c>
      <c r="B106" s="184">
        <v>105</v>
      </c>
      <c r="C106" s="184" t="str">
        <f t="shared" si="5"/>
        <v>[03C350.1] Powerpack LN2 inject valve - Cmd</v>
      </c>
      <c r="D106" s="184" t="s">
        <v>263</v>
      </c>
      <c r="E106" s="184" t="s">
        <v>264</v>
      </c>
      <c r="F106" s="184" t="s">
        <v>244</v>
      </c>
      <c r="G106" s="184" t="s">
        <v>256</v>
      </c>
      <c r="H106" s="184" t="s">
        <v>246</v>
      </c>
      <c r="I106" s="184" t="s">
        <v>247</v>
      </c>
      <c r="J106" s="184"/>
      <c r="K106" s="184" t="s">
        <v>49</v>
      </c>
      <c r="L106" s="184" t="s">
        <v>248</v>
      </c>
      <c r="M106" s="184"/>
      <c r="N106" s="184"/>
      <c r="O106" s="184"/>
      <c r="P106" s="184" t="b">
        <v>0</v>
      </c>
    </row>
    <row r="107" spans="1:16" ht="12.75">
      <c r="A107" s="184" t="str">
        <f t="shared" si="6"/>
        <v>HVAC-FAR-PVL-Pos-106</v>
      </c>
      <c r="B107" s="184">
        <v>106</v>
      </c>
      <c r="C107" s="184" t="str">
        <f t="shared" si="5"/>
        <v>[05C351.2] Fairing umbilical flow control valve - Resp</v>
      </c>
      <c r="D107" s="184" t="s">
        <v>265</v>
      </c>
      <c r="E107" s="184" t="s">
        <v>266</v>
      </c>
      <c r="F107" s="184" t="s">
        <v>244</v>
      </c>
      <c r="G107" s="184" t="s">
        <v>245</v>
      </c>
      <c r="H107" s="184" t="s">
        <v>246</v>
      </c>
      <c r="I107" s="184" t="s">
        <v>55</v>
      </c>
      <c r="J107" s="184"/>
      <c r="K107" s="184" t="s">
        <v>49</v>
      </c>
      <c r="L107" s="184" t="s">
        <v>248</v>
      </c>
      <c r="M107" s="184"/>
      <c r="N107" s="184"/>
      <c r="O107" s="184"/>
      <c r="P107" s="184" t="b">
        <v>0</v>
      </c>
    </row>
    <row r="108" spans="1:16" ht="12.75">
      <c r="A108" s="184" t="str">
        <f t="shared" si="6"/>
        <v>HVAC-IS2-PVL-Pos-107</v>
      </c>
      <c r="B108" s="184">
        <v>107</v>
      </c>
      <c r="C108" s="184" t="str">
        <f t="shared" si="5"/>
        <v>[05C352.2] Interstage 2 umbilical flow control valve - Resp</v>
      </c>
      <c r="D108" s="184" t="s">
        <v>267</v>
      </c>
      <c r="E108" s="184" t="s">
        <v>268</v>
      </c>
      <c r="F108" s="184" t="s">
        <v>244</v>
      </c>
      <c r="G108" s="184" t="s">
        <v>251</v>
      </c>
      <c r="H108" s="184" t="s">
        <v>246</v>
      </c>
      <c r="I108" s="184" t="s">
        <v>55</v>
      </c>
      <c r="J108" s="184"/>
      <c r="K108" s="184" t="s">
        <v>49</v>
      </c>
      <c r="L108" s="184" t="s">
        <v>248</v>
      </c>
      <c r="M108" s="184"/>
      <c r="N108" s="184"/>
      <c r="O108" s="184"/>
      <c r="P108" s="184" t="b">
        <v>0</v>
      </c>
    </row>
    <row r="109" spans="1:16" ht="12.75">
      <c r="A109" s="184" t="str">
        <f t="shared" si="6"/>
        <v>HVAC-IS1-PVL-Pos-108</v>
      </c>
      <c r="B109" s="184">
        <v>108</v>
      </c>
      <c r="C109" s="184" t="str">
        <f t="shared" si="5"/>
        <v>[05C353.2] Interstage 2 umbilical flow control valve - Resp</v>
      </c>
      <c r="D109" s="184" t="s">
        <v>267</v>
      </c>
      <c r="E109" s="184" t="s">
        <v>269</v>
      </c>
      <c r="F109" s="184" t="s">
        <v>244</v>
      </c>
      <c r="G109" s="184" t="s">
        <v>253</v>
      </c>
      <c r="H109" s="184" t="s">
        <v>246</v>
      </c>
      <c r="I109" s="184" t="s">
        <v>55</v>
      </c>
      <c r="J109" s="184"/>
      <c r="K109" s="184" t="s">
        <v>49</v>
      </c>
      <c r="L109" s="184" t="s">
        <v>248</v>
      </c>
      <c r="M109" s="184"/>
      <c r="N109" s="184"/>
      <c r="O109" s="184"/>
      <c r="P109" s="184" t="b">
        <v>0</v>
      </c>
    </row>
    <row r="110" spans="1:16" ht="12.75">
      <c r="A110" s="184" t="str">
        <f t="shared" si="6"/>
        <v>HVAC-PP-PVL-Pos-109</v>
      </c>
      <c r="B110" s="184">
        <v>109</v>
      </c>
      <c r="C110" s="184" t="str">
        <f t="shared" si="5"/>
        <v>[05C354.2] Powerpack flow control valve - Resp</v>
      </c>
      <c r="D110" s="184" t="s">
        <v>270</v>
      </c>
      <c r="E110" s="184" t="s">
        <v>271</v>
      </c>
      <c r="F110" s="184" t="s">
        <v>244</v>
      </c>
      <c r="G110" s="184" t="s">
        <v>256</v>
      </c>
      <c r="H110" s="184" t="s">
        <v>246</v>
      </c>
      <c r="I110" s="184" t="s">
        <v>55</v>
      </c>
      <c r="J110" s="184"/>
      <c r="K110" s="184" t="s">
        <v>49</v>
      </c>
      <c r="L110" s="184" t="s">
        <v>248</v>
      </c>
      <c r="M110" s="184"/>
      <c r="N110" s="184"/>
      <c r="O110" s="184"/>
      <c r="P110" s="184" t="b">
        <v>0</v>
      </c>
    </row>
    <row r="111" spans="1:16" ht="12.75">
      <c r="A111" s="184" t="str">
        <f t="shared" si="6"/>
        <v>HVAC-FAR-PVL-Pos-110</v>
      </c>
      <c r="B111" s="184">
        <v>110</v>
      </c>
      <c r="C111" s="184" t="str">
        <f t="shared" si="5"/>
        <v>[03C347.2] Fairing LN2 inject valve - Resp</v>
      </c>
      <c r="D111" s="184" t="s">
        <v>272</v>
      </c>
      <c r="E111" s="184" t="s">
        <v>273</v>
      </c>
      <c r="F111" s="184" t="s">
        <v>244</v>
      </c>
      <c r="G111" s="184" t="s">
        <v>245</v>
      </c>
      <c r="H111" s="184" t="s">
        <v>246</v>
      </c>
      <c r="I111" s="184" t="s">
        <v>55</v>
      </c>
      <c r="J111" s="184"/>
      <c r="K111" s="184" t="s">
        <v>49</v>
      </c>
      <c r="L111" s="184" t="s">
        <v>248</v>
      </c>
      <c r="M111" s="184"/>
      <c r="N111" s="184"/>
      <c r="O111" s="184"/>
      <c r="P111" s="184" t="b">
        <v>0</v>
      </c>
    </row>
    <row r="112" spans="1:16" ht="12.75">
      <c r="A112" s="184" t="str">
        <f t="shared" si="6"/>
        <v>HVAC-IS2-PVL-Pos-111</v>
      </c>
      <c r="B112" s="184">
        <v>111</v>
      </c>
      <c r="C112" s="184" t="str">
        <f t="shared" si="5"/>
        <v>[03C348.2] Interstage 2 LN2 inject valve - Resp</v>
      </c>
      <c r="D112" s="184" t="s">
        <v>274</v>
      </c>
      <c r="E112" s="184" t="s">
        <v>275</v>
      </c>
      <c r="F112" s="184" t="s">
        <v>244</v>
      </c>
      <c r="G112" s="184" t="s">
        <v>251</v>
      </c>
      <c r="H112" s="184" t="s">
        <v>246</v>
      </c>
      <c r="I112" s="184" t="s">
        <v>55</v>
      </c>
      <c r="J112" s="184"/>
      <c r="K112" s="184" t="s">
        <v>49</v>
      </c>
      <c r="L112" s="184" t="s">
        <v>248</v>
      </c>
      <c r="M112" s="184"/>
      <c r="N112" s="184"/>
      <c r="O112" s="184"/>
      <c r="P112" s="184" t="b">
        <v>0</v>
      </c>
    </row>
    <row r="113" spans="1:16" ht="12.75">
      <c r="A113" s="184" t="str">
        <f t="shared" si="6"/>
        <v>HVAC-IS1-PVL-Pos-112</v>
      </c>
      <c r="B113" s="184">
        <v>112</v>
      </c>
      <c r="C113" s="184" t="str">
        <f t="shared" si="5"/>
        <v>[03C349.2] Interstage 1 LN2 inject valve - Resp</v>
      </c>
      <c r="D113" s="184" t="s">
        <v>276</v>
      </c>
      <c r="E113" s="184" t="s">
        <v>277</v>
      </c>
      <c r="F113" s="184" t="s">
        <v>244</v>
      </c>
      <c r="G113" s="184" t="s">
        <v>253</v>
      </c>
      <c r="H113" s="184" t="s">
        <v>246</v>
      </c>
      <c r="I113" s="184" t="s">
        <v>55</v>
      </c>
      <c r="J113" s="184"/>
      <c r="K113" s="184" t="s">
        <v>49</v>
      </c>
      <c r="L113" s="184" t="s">
        <v>248</v>
      </c>
      <c r="M113" s="184"/>
      <c r="N113" s="184"/>
      <c r="O113" s="184"/>
      <c r="P113" s="184" t="b">
        <v>0</v>
      </c>
    </row>
    <row r="114" spans="1:16" ht="12.75">
      <c r="A114" s="184" t="str">
        <f t="shared" si="6"/>
        <v>HVAC-PP-PVL-Pos-113</v>
      </c>
      <c r="B114" s="184">
        <v>113</v>
      </c>
      <c r="C114" s="184" t="str">
        <f t="shared" si="5"/>
        <v>[03C350.2] Powerpack LN2 inject valve - Resp</v>
      </c>
      <c r="D114" s="184" t="s">
        <v>278</v>
      </c>
      <c r="E114" s="184" t="s">
        <v>279</v>
      </c>
      <c r="F114" s="184" t="s">
        <v>244</v>
      </c>
      <c r="G114" s="184" t="s">
        <v>256</v>
      </c>
      <c r="H114" s="184" t="s">
        <v>246</v>
      </c>
      <c r="I114" s="184" t="s">
        <v>55</v>
      </c>
      <c r="J114" s="184"/>
      <c r="K114" s="184" t="s">
        <v>49</v>
      </c>
      <c r="L114" s="184" t="s">
        <v>248</v>
      </c>
      <c r="M114" s="184"/>
      <c r="N114" s="184"/>
      <c r="O114" s="184"/>
      <c r="P114" s="184" t="b">
        <v>0</v>
      </c>
    </row>
    <row r="115" spans="1:16" ht="12.75">
      <c r="A115" s="184" t="str">
        <f t="shared" si="6"/>
        <v>HVAC-AUX-RTD-Ts-114</v>
      </c>
      <c r="B115" s="184">
        <v>114</v>
      </c>
      <c r="C115" s="184" t="str">
        <f t="shared" si="5"/>
        <v>[HVAC-AUX-RTD-Ts-114] SPARE RTD_ 5_24_6_25</v>
      </c>
      <c r="D115" s="184" t="s">
        <v>280</v>
      </c>
      <c r="E115" s="184" t="s">
        <v>281</v>
      </c>
      <c r="F115" s="184" t="s">
        <v>244</v>
      </c>
      <c r="G115" s="184" t="s">
        <v>282</v>
      </c>
      <c r="H115" s="184" t="s">
        <v>283</v>
      </c>
      <c r="I115" s="184" t="s">
        <v>284</v>
      </c>
      <c r="J115" s="184"/>
      <c r="K115" s="184" t="s">
        <v>231</v>
      </c>
      <c r="L115" s="184" t="s">
        <v>232</v>
      </c>
      <c r="M115" s="184"/>
      <c r="N115" s="184"/>
      <c r="O115" s="184"/>
      <c r="P115" s="184" t="b">
        <v>0</v>
      </c>
    </row>
    <row r="116" spans="1:16" ht="12.75">
      <c r="A116" s="184" t="str">
        <f t="shared" si="6"/>
        <v>HVAC-LC-RTD-Ts-115</v>
      </c>
      <c r="B116" s="184">
        <v>115</v>
      </c>
      <c r="C116" s="184" t="str">
        <f t="shared" si="5"/>
        <v>[03C937] LN2 Injection temperature</v>
      </c>
      <c r="D116" s="184" t="s">
        <v>285</v>
      </c>
      <c r="E116" s="184" t="s">
        <v>286</v>
      </c>
      <c r="F116" s="184" t="s">
        <v>244</v>
      </c>
      <c r="G116" s="184" t="s">
        <v>287</v>
      </c>
      <c r="H116" s="184" t="s">
        <v>283</v>
      </c>
      <c r="I116" s="184" t="s">
        <v>284</v>
      </c>
      <c r="J116" s="184"/>
      <c r="K116" s="184" t="s">
        <v>231</v>
      </c>
      <c r="L116" s="184" t="s">
        <v>232</v>
      </c>
      <c r="M116" s="184"/>
      <c r="N116" s="184"/>
      <c r="O116" s="184"/>
      <c r="P116" s="184" t="b">
        <v>0</v>
      </c>
    </row>
    <row r="117" spans="1:16" ht="12.75">
      <c r="A117" s="184" t="str">
        <f t="shared" si="6"/>
        <v>HVAC-FAR-RTD-Ts-116</v>
      </c>
      <c r="B117" s="184">
        <v>116</v>
      </c>
      <c r="C117" s="184" t="str">
        <f t="shared" si="5"/>
        <v>[05C952] Fairing umbilical temperature 1</v>
      </c>
      <c r="D117" s="184" t="s">
        <v>288</v>
      </c>
      <c r="E117" s="184" t="s">
        <v>289</v>
      </c>
      <c r="F117" s="184" t="s">
        <v>244</v>
      </c>
      <c r="G117" s="184" t="s">
        <v>245</v>
      </c>
      <c r="H117" s="184" t="s">
        <v>283</v>
      </c>
      <c r="I117" s="184" t="s">
        <v>284</v>
      </c>
      <c r="J117" s="184"/>
      <c r="K117" s="184" t="s">
        <v>231</v>
      </c>
      <c r="L117" s="184" t="s">
        <v>232</v>
      </c>
      <c r="M117" s="184"/>
      <c r="N117" s="184"/>
      <c r="O117" s="184"/>
      <c r="P117" s="184" t="b">
        <v>0</v>
      </c>
    </row>
    <row r="118" spans="1:16" ht="12.75">
      <c r="A118" s="184" t="str">
        <f t="shared" si="6"/>
        <v>HVAC-IS2-RTD-Ts-117</v>
      </c>
      <c r="B118" s="184">
        <v>117</v>
      </c>
      <c r="C118" s="184" t="str">
        <f t="shared" si="5"/>
        <v>[05C953] Interstage 2 Umbilical Temperature</v>
      </c>
      <c r="D118" s="184" t="s">
        <v>290</v>
      </c>
      <c r="E118" s="184" t="s">
        <v>291</v>
      </c>
      <c r="F118" s="184" t="s">
        <v>244</v>
      </c>
      <c r="G118" s="184" t="s">
        <v>251</v>
      </c>
      <c r="H118" s="184" t="s">
        <v>283</v>
      </c>
      <c r="I118" s="184" t="s">
        <v>284</v>
      </c>
      <c r="J118" s="184"/>
      <c r="K118" s="184" t="s">
        <v>231</v>
      </c>
      <c r="L118" s="184" t="s">
        <v>232</v>
      </c>
      <c r="M118" s="184"/>
      <c r="N118" s="184"/>
      <c r="O118" s="184"/>
      <c r="P118" s="184" t="b">
        <v>0</v>
      </c>
    </row>
    <row r="119" spans="1:16" ht="12.75">
      <c r="A119" s="184" t="str">
        <f t="shared" si="6"/>
        <v>HVAC-IS1-RTD-Ts-118</v>
      </c>
      <c r="B119" s="184">
        <v>118</v>
      </c>
      <c r="C119" s="184" t="str">
        <f t="shared" si="5"/>
        <v>[05C954] Interstage 1 Umbilical Temperature</v>
      </c>
      <c r="D119" s="184" t="s">
        <v>292</v>
      </c>
      <c r="E119" s="184" t="s">
        <v>293</v>
      </c>
      <c r="F119" s="184" t="s">
        <v>244</v>
      </c>
      <c r="G119" s="184" t="s">
        <v>253</v>
      </c>
      <c r="H119" s="184" t="s">
        <v>283</v>
      </c>
      <c r="I119" s="184" t="s">
        <v>284</v>
      </c>
      <c r="J119" s="184"/>
      <c r="K119" s="184" t="s">
        <v>231</v>
      </c>
      <c r="L119" s="184" t="s">
        <v>232</v>
      </c>
      <c r="M119" s="184"/>
      <c r="N119" s="184"/>
      <c r="O119" s="184"/>
      <c r="P119" s="184" t="b">
        <v>0</v>
      </c>
    </row>
    <row r="120" spans="1:16" ht="12.75">
      <c r="A120" s="184" t="str">
        <f t="shared" si="6"/>
        <v>HVAC-PP-RTD-Ts-119</v>
      </c>
      <c r="B120" s="184">
        <v>119</v>
      </c>
      <c r="C120" s="184" t="str">
        <f t="shared" si="5"/>
        <v>[05C955] Power Pack Interface/Umbilical Temperature</v>
      </c>
      <c r="D120" s="184" t="s">
        <v>294</v>
      </c>
      <c r="E120" s="184" t="s">
        <v>295</v>
      </c>
      <c r="F120" s="184" t="s">
        <v>244</v>
      </c>
      <c r="G120" s="184" t="s">
        <v>256</v>
      </c>
      <c r="H120" s="184" t="s">
        <v>283</v>
      </c>
      <c r="I120" s="184" t="s">
        <v>284</v>
      </c>
      <c r="J120" s="184"/>
      <c r="K120" s="184" t="s">
        <v>231</v>
      </c>
      <c r="L120" s="184" t="s">
        <v>232</v>
      </c>
      <c r="M120" s="184"/>
      <c r="N120" s="184"/>
      <c r="O120" s="184"/>
      <c r="P120" s="184" t="b">
        <v>0</v>
      </c>
    </row>
    <row r="121" spans="1:16" s="151" customFormat="1" ht="12.75" hidden="1">
      <c r="A121" s="184"/>
      <c r="B121" s="184">
        <v>120</v>
      </c>
      <c r="C121" s="184" t="str">
        <f t="shared" si="5"/>
        <v xml:space="preserve">[] </v>
      </c>
      <c r="D121" s="184"/>
      <c r="E121" s="184"/>
      <c r="F121" s="184"/>
      <c r="G121" s="184"/>
      <c r="H121" s="184"/>
      <c r="I121" s="184"/>
      <c r="J121" s="184"/>
      <c r="K121" s="184"/>
      <c r="L121" s="184"/>
      <c r="M121" s="184"/>
      <c r="N121" s="184"/>
      <c r="O121" s="184"/>
      <c r="P121" s="184"/>
    </row>
    <row r="122" spans="1:16" s="151" customFormat="1" ht="12.75" hidden="1">
      <c r="A122" s="184"/>
      <c r="B122" s="184">
        <v>121</v>
      </c>
      <c r="C122" s="184" t="str">
        <f t="shared" si="5"/>
        <v xml:space="preserve">[] </v>
      </c>
      <c r="D122" s="184"/>
      <c r="E122" s="184"/>
      <c r="F122" s="184"/>
      <c r="G122" s="184"/>
      <c r="H122" s="184"/>
      <c r="I122" s="184"/>
      <c r="J122" s="184"/>
      <c r="K122" s="184"/>
      <c r="L122" s="184"/>
      <c r="M122" s="184"/>
      <c r="N122" s="184"/>
      <c r="O122" s="184"/>
      <c r="P122" s="184"/>
    </row>
    <row r="123" spans="1:16" ht="12.75">
      <c r="A123" s="184" t="str">
        <f t="shared" si="6"/>
        <v>HVAC-FAR-RTD-Ts-122</v>
      </c>
      <c r="B123" s="184">
        <v>122</v>
      </c>
      <c r="C123" s="184" t="str">
        <f t="shared" si="5"/>
        <v>[05C938] Fairing umbilical heater outlet temp</v>
      </c>
      <c r="D123" s="184" t="s">
        <v>296</v>
      </c>
      <c r="E123" s="184" t="s">
        <v>297</v>
      </c>
      <c r="F123" s="184" t="s">
        <v>244</v>
      </c>
      <c r="G123" s="184" t="s">
        <v>245</v>
      </c>
      <c r="H123" s="184" t="s">
        <v>283</v>
      </c>
      <c r="I123" s="184" t="s">
        <v>284</v>
      </c>
      <c r="J123" s="184"/>
      <c r="K123" s="184" t="s">
        <v>231</v>
      </c>
      <c r="L123" s="184" t="s">
        <v>232</v>
      </c>
      <c r="M123" s="184"/>
      <c r="N123" s="184"/>
      <c r="O123" s="184"/>
      <c r="P123" s="184" t="b">
        <v>0</v>
      </c>
    </row>
    <row r="124" spans="1:16" ht="12.75">
      <c r="A124" s="184" t="str">
        <f t="shared" si="6"/>
        <v>HVAC-IS2-RTD-Ts-123</v>
      </c>
      <c r="B124" s="184">
        <v>123</v>
      </c>
      <c r="C124" s="184" t="str">
        <f t="shared" si="5"/>
        <v>[05C939] Interstage 2 heater outlet temp</v>
      </c>
      <c r="D124" s="184" t="s">
        <v>298</v>
      </c>
      <c r="E124" s="184" t="s">
        <v>299</v>
      </c>
      <c r="F124" s="184" t="s">
        <v>244</v>
      </c>
      <c r="G124" s="184" t="s">
        <v>251</v>
      </c>
      <c r="H124" s="184" t="s">
        <v>283</v>
      </c>
      <c r="I124" s="184" t="s">
        <v>284</v>
      </c>
      <c r="J124" s="184"/>
      <c r="K124" s="184" t="s">
        <v>231</v>
      </c>
      <c r="L124" s="184" t="s">
        <v>232</v>
      </c>
      <c r="M124" s="184"/>
      <c r="N124" s="184"/>
      <c r="O124" s="184"/>
      <c r="P124" s="184" t="b">
        <v>0</v>
      </c>
    </row>
    <row r="125" spans="1:16" ht="12.75">
      <c r="A125" s="184" t="str">
        <f t="shared" si="6"/>
        <v>HVAC-IS1-RTD-Ts-124</v>
      </c>
      <c r="B125" s="184">
        <v>124</v>
      </c>
      <c r="C125" s="184" t="str">
        <f t="shared" si="5"/>
        <v>[05C942] Interstage 1 heater outlet temp</v>
      </c>
      <c r="D125" s="184" t="s">
        <v>300</v>
      </c>
      <c r="E125" s="184" t="s">
        <v>182</v>
      </c>
      <c r="F125" s="184" t="s">
        <v>244</v>
      </c>
      <c r="G125" s="184" t="s">
        <v>253</v>
      </c>
      <c r="H125" s="184" t="s">
        <v>283</v>
      </c>
      <c r="I125" s="184" t="s">
        <v>284</v>
      </c>
      <c r="J125" s="184"/>
      <c r="K125" s="184" t="s">
        <v>231</v>
      </c>
      <c r="L125" s="184" t="s">
        <v>232</v>
      </c>
      <c r="M125" s="184"/>
      <c r="N125" s="184"/>
      <c r="O125" s="184"/>
      <c r="P125" s="184" t="b">
        <v>0</v>
      </c>
    </row>
    <row r="126" spans="1:16" ht="12.75">
      <c r="A126" s="184" t="str">
        <f t="shared" si="6"/>
        <v>HVAC-PP-RTD-Ts-125</v>
      </c>
      <c r="B126" s="184">
        <v>125</v>
      </c>
      <c r="C126" s="184" t="str">
        <f t="shared" si="5"/>
        <v>[05C944] Powerpack heater 1 outlet temp</v>
      </c>
      <c r="D126" s="184" t="s">
        <v>301</v>
      </c>
      <c r="E126" s="184" t="s">
        <v>302</v>
      </c>
      <c r="F126" s="184" t="s">
        <v>244</v>
      </c>
      <c r="G126" s="184" t="s">
        <v>256</v>
      </c>
      <c r="H126" s="184" t="s">
        <v>283</v>
      </c>
      <c r="I126" s="184" t="s">
        <v>284</v>
      </c>
      <c r="J126" s="184"/>
      <c r="K126" s="184" t="s">
        <v>231</v>
      </c>
      <c r="L126" s="184" t="s">
        <v>232</v>
      </c>
      <c r="M126" s="184"/>
      <c r="N126" s="184"/>
      <c r="O126" s="184"/>
      <c r="P126" s="184" t="b">
        <v>0</v>
      </c>
    </row>
    <row r="127" spans="1:16" ht="12.75">
      <c r="A127" s="184" t="str">
        <f t="shared" si="6"/>
        <v>HVAC-PP-RTD-Ts-126</v>
      </c>
      <c r="B127" s="184">
        <v>126</v>
      </c>
      <c r="C127" s="184" t="str">
        <f t="shared" si="5"/>
        <v>[05C946] Powerpack heater 2 outlet temp</v>
      </c>
      <c r="D127" s="184" t="s">
        <v>303</v>
      </c>
      <c r="E127" s="184" t="s">
        <v>304</v>
      </c>
      <c r="F127" s="184" t="s">
        <v>244</v>
      </c>
      <c r="G127" s="184" t="s">
        <v>256</v>
      </c>
      <c r="H127" s="184" t="s">
        <v>283</v>
      </c>
      <c r="I127" s="184" t="s">
        <v>284</v>
      </c>
      <c r="J127" s="184"/>
      <c r="K127" s="184" t="s">
        <v>231</v>
      </c>
      <c r="L127" s="184" t="s">
        <v>232</v>
      </c>
      <c r="M127" s="184"/>
      <c r="N127" s="184"/>
      <c r="O127" s="184"/>
      <c r="P127" s="184" t="b">
        <v>0</v>
      </c>
    </row>
    <row r="128" spans="1:16" ht="12.75">
      <c r="A128" s="184" t="str">
        <f t="shared" si="6"/>
        <v>HVAC-PP-PRS-Ps-127</v>
      </c>
      <c r="B128" s="184">
        <v>127</v>
      </c>
      <c r="C128" s="184" t="str">
        <f t="shared" si="5"/>
        <v>[05C951] Powerpack HVAC pressure</v>
      </c>
      <c r="D128" s="184" t="s">
        <v>305</v>
      </c>
      <c r="E128" s="184" t="s">
        <v>306</v>
      </c>
      <c r="F128" s="184" t="s">
        <v>244</v>
      </c>
      <c r="G128" s="184" t="s">
        <v>256</v>
      </c>
      <c r="H128" s="184" t="s">
        <v>54</v>
      </c>
      <c r="I128" s="184" t="s">
        <v>55</v>
      </c>
      <c r="J128" s="184"/>
      <c r="K128" s="184" t="s">
        <v>56</v>
      </c>
      <c r="L128" s="184" t="s">
        <v>57</v>
      </c>
      <c r="M128" s="184"/>
      <c r="N128" s="184"/>
      <c r="O128" s="184"/>
      <c r="P128" s="184" t="b">
        <v>0</v>
      </c>
    </row>
    <row r="129" spans="1:16" ht="12.75">
      <c r="A129" s="184" t="str">
        <f t="shared" si="6"/>
        <v>HVAC-IS2-PRS-Ps-128</v>
      </c>
      <c r="B129" s="184">
        <v>128</v>
      </c>
      <c r="C129" s="184" t="str">
        <f t="shared" si="5"/>
        <v>[05C948] Interstage 2 HVAC pressure</v>
      </c>
      <c r="D129" s="184" t="s">
        <v>307</v>
      </c>
      <c r="E129" s="184" t="s">
        <v>308</v>
      </c>
      <c r="F129" s="184" t="s">
        <v>244</v>
      </c>
      <c r="G129" s="184" t="s">
        <v>251</v>
      </c>
      <c r="H129" s="184" t="s">
        <v>54</v>
      </c>
      <c r="I129" s="184" t="s">
        <v>55</v>
      </c>
      <c r="J129" s="184"/>
      <c r="K129" s="184" t="s">
        <v>56</v>
      </c>
      <c r="L129" s="184" t="s">
        <v>57</v>
      </c>
      <c r="M129" s="184"/>
      <c r="N129" s="184"/>
      <c r="O129" s="184"/>
      <c r="P129" s="184" t="b">
        <v>0</v>
      </c>
    </row>
    <row r="130" spans="1:16" ht="12.75">
      <c r="A130" s="184" t="str">
        <f t="shared" si="6"/>
        <v>HVAC-IS1-PRS-Ps-129</v>
      </c>
      <c r="B130" s="184">
        <v>129</v>
      </c>
      <c r="C130" s="184" t="str">
        <f t="shared" ref="C130:C193" si="7">_xlfn.TEXTJOIN("", TRUE, "[", E130,"] ",D130)</f>
        <v>[05C949] Interstage 1 HVAC pressure</v>
      </c>
      <c r="D130" s="184" t="s">
        <v>309</v>
      </c>
      <c r="E130" s="184" t="s">
        <v>310</v>
      </c>
      <c r="F130" s="184" t="s">
        <v>244</v>
      </c>
      <c r="G130" s="184" t="s">
        <v>253</v>
      </c>
      <c r="H130" s="184" t="s">
        <v>54</v>
      </c>
      <c r="I130" s="184" t="s">
        <v>55</v>
      </c>
      <c r="J130" s="184"/>
      <c r="K130" s="184" t="s">
        <v>56</v>
      </c>
      <c r="L130" s="184" t="s">
        <v>57</v>
      </c>
      <c r="M130" s="184"/>
      <c r="N130" s="184"/>
      <c r="O130" s="184"/>
      <c r="P130" s="184" t="b">
        <v>0</v>
      </c>
    </row>
    <row r="131" spans="1:16" ht="12.75">
      <c r="A131" s="184" t="str">
        <f t="shared" si="6"/>
        <v>HVAC-FAR-PRS-Ps-130</v>
      </c>
      <c r="B131" s="184">
        <v>130</v>
      </c>
      <c r="C131" s="184" t="str">
        <f t="shared" si="7"/>
        <v>[05C947] Faring umbilical HVAC pressure</v>
      </c>
      <c r="D131" s="184" t="s">
        <v>311</v>
      </c>
      <c r="E131" s="184" t="s">
        <v>312</v>
      </c>
      <c r="F131" s="184" t="s">
        <v>244</v>
      </c>
      <c r="G131" s="184" t="s">
        <v>245</v>
      </c>
      <c r="H131" s="184" t="s">
        <v>54</v>
      </c>
      <c r="I131" s="184" t="s">
        <v>55</v>
      </c>
      <c r="J131" s="184"/>
      <c r="K131" s="184" t="s">
        <v>56</v>
      </c>
      <c r="L131" s="184" t="s">
        <v>57</v>
      </c>
      <c r="M131" s="184"/>
      <c r="N131" s="184"/>
      <c r="O131" s="184"/>
      <c r="P131" s="184" t="b">
        <v>0</v>
      </c>
    </row>
    <row r="132" spans="1:16" ht="12.75">
      <c r="A132" s="184" t="str">
        <f t="shared" ref="A132" si="8">CONCATENATE(VLOOKUP(F132,Systems,2,FALSE),"-",VLOOKUP(G132,Subsystems,2,FALSE),"-",VLOOKUP(H132,Components,2,FALSE),"-",VLOOKUP(K132,Metrics,2,FALSE),"-",B132)</f>
        <v>PC-FAR-COT-ST-131</v>
      </c>
      <c r="B132" s="184">
        <v>131</v>
      </c>
      <c r="C132" s="184" t="str">
        <f t="shared" si="7"/>
        <v>[PC-FAR-COT-ST-131] Fairing - Heater 1 cut out circuit state</v>
      </c>
      <c r="D132" s="184" t="s">
        <v>313</v>
      </c>
      <c r="E132" s="184" t="str">
        <f>A132</f>
        <v>PC-FAR-COT-ST-131</v>
      </c>
      <c r="F132" s="184" t="s">
        <v>314</v>
      </c>
      <c r="G132" s="184" t="s">
        <v>245</v>
      </c>
      <c r="H132" s="184" t="s">
        <v>315</v>
      </c>
      <c r="I132" s="184" t="s">
        <v>73</v>
      </c>
      <c r="J132" s="184"/>
      <c r="K132" s="184" t="s">
        <v>74</v>
      </c>
      <c r="L132" s="184" t="s">
        <v>50</v>
      </c>
      <c r="M132" s="184"/>
      <c r="N132" s="184"/>
      <c r="O132" s="184"/>
      <c r="P132" s="184" t="b">
        <v>0</v>
      </c>
    </row>
    <row r="133" spans="1:16" ht="12.75">
      <c r="A133" s="184"/>
      <c r="B133" s="184">
        <v>132</v>
      </c>
      <c r="C133" s="184" t="str">
        <f t="shared" si="7"/>
        <v xml:space="preserve">[] </v>
      </c>
      <c r="D133" s="184"/>
      <c r="E133" s="184"/>
      <c r="F133" s="184"/>
      <c r="G133" s="184"/>
      <c r="H133" s="184"/>
      <c r="I133" s="184"/>
      <c r="J133" s="184"/>
      <c r="K133" s="184"/>
      <c r="L133" s="184"/>
      <c r="M133" s="184"/>
      <c r="N133" s="184"/>
      <c r="O133" s="184"/>
      <c r="P133" s="184"/>
    </row>
    <row r="134" spans="1:16" ht="12.75">
      <c r="A134" s="184"/>
      <c r="B134" s="184">
        <v>133</v>
      </c>
      <c r="C134" s="184" t="str">
        <f t="shared" si="7"/>
        <v xml:space="preserve">[] </v>
      </c>
      <c r="D134" s="184"/>
      <c r="E134" s="184"/>
      <c r="F134" s="184"/>
      <c r="G134" s="184"/>
      <c r="H134" s="184"/>
      <c r="I134" s="184"/>
      <c r="J134" s="184"/>
      <c r="K134" s="184"/>
      <c r="L134" s="184"/>
      <c r="M134" s="184"/>
      <c r="N134" s="184"/>
      <c r="O134" s="184"/>
      <c r="P134" s="184"/>
    </row>
    <row r="135" spans="1:16" ht="12.75">
      <c r="A135" s="184"/>
      <c r="B135" s="184">
        <v>134</v>
      </c>
      <c r="C135" s="184" t="str">
        <f t="shared" si="7"/>
        <v xml:space="preserve">[] </v>
      </c>
      <c r="D135" s="184"/>
      <c r="E135" s="184"/>
      <c r="F135" s="184"/>
      <c r="G135" s="184"/>
      <c r="H135" s="184"/>
      <c r="I135" s="184"/>
      <c r="J135" s="184"/>
      <c r="K135" s="184"/>
      <c r="L135" s="184"/>
      <c r="M135" s="184"/>
      <c r="N135" s="184"/>
      <c r="O135" s="184"/>
      <c r="P135" s="184"/>
    </row>
    <row r="136" spans="1:16" ht="12.75">
      <c r="A136" s="184"/>
      <c r="B136" s="184">
        <v>135</v>
      </c>
      <c r="C136" s="184" t="str">
        <f t="shared" si="7"/>
        <v xml:space="preserve">[] </v>
      </c>
      <c r="D136" s="184"/>
      <c r="E136" s="184"/>
      <c r="F136" s="184"/>
      <c r="G136" s="184"/>
      <c r="H136" s="184"/>
      <c r="I136" s="184"/>
      <c r="J136" s="184"/>
      <c r="K136" s="184"/>
      <c r="L136" s="184"/>
      <c r="M136" s="184"/>
      <c r="N136" s="184"/>
      <c r="O136" s="184"/>
      <c r="P136" s="184"/>
    </row>
    <row r="137" spans="1:16" ht="12.75">
      <c r="A137" s="184" t="str">
        <f t="shared" ref="A137:A152" si="9">CONCATENATE(VLOOKUP(F137,Systems,2,FALSE),"-",VLOOKUP(G137,Subsystems,2,FALSE),"-",VLOOKUP(H137,Components,2,FALSE),"-",VLOOKUP(K137,Metrics,2,FALSE),"-",B137)</f>
        <v>HYD-HPU-CT-B-136</v>
      </c>
      <c r="B137" s="184">
        <v>136</v>
      </c>
      <c r="C137" s="184" t="str">
        <f t="shared" si="7"/>
        <v>[M1] Pump 1 Contactor</v>
      </c>
      <c r="D137" s="184" t="s">
        <v>316</v>
      </c>
      <c r="E137" s="184" t="s">
        <v>317</v>
      </c>
      <c r="F137" s="184" t="s">
        <v>318</v>
      </c>
      <c r="G137" s="184" t="s">
        <v>319</v>
      </c>
      <c r="H137" s="184" t="s">
        <v>320</v>
      </c>
      <c r="I137" s="184" t="s">
        <v>48</v>
      </c>
      <c r="J137" s="184"/>
      <c r="K137" s="184" t="s">
        <v>104</v>
      </c>
      <c r="L137" s="184" t="s">
        <v>50</v>
      </c>
      <c r="M137" s="184"/>
      <c r="N137" s="184"/>
      <c r="O137" s="184"/>
      <c r="P137" s="184" t="b">
        <v>0</v>
      </c>
    </row>
    <row r="138" spans="1:16" ht="12.75">
      <c r="A138" s="184" t="str">
        <f t="shared" si="9"/>
        <v>HYD-HPU-CT-B-137</v>
      </c>
      <c r="B138" s="184">
        <v>137</v>
      </c>
      <c r="C138" s="184" t="str">
        <f t="shared" si="7"/>
        <v>[M2] Pump 2 Contactor</v>
      </c>
      <c r="D138" s="184" t="s">
        <v>321</v>
      </c>
      <c r="E138" s="184" t="s">
        <v>322</v>
      </c>
      <c r="F138" s="184" t="s">
        <v>318</v>
      </c>
      <c r="G138" s="184" t="s">
        <v>319</v>
      </c>
      <c r="H138" s="184" t="s">
        <v>320</v>
      </c>
      <c r="I138" s="184" t="s">
        <v>48</v>
      </c>
      <c r="J138" s="184"/>
      <c r="K138" s="184" t="s">
        <v>104</v>
      </c>
      <c r="L138" s="184" t="s">
        <v>50</v>
      </c>
      <c r="M138" s="184"/>
      <c r="N138" s="184"/>
      <c r="O138" s="184"/>
      <c r="P138" s="184" t="b">
        <v>0</v>
      </c>
    </row>
    <row r="139" spans="1:16" ht="12.75">
      <c r="A139" s="184" t="str">
        <f t="shared" si="9"/>
        <v>HYD-HPU-PVL-Pos-138</v>
      </c>
      <c r="B139" s="184">
        <v>138</v>
      </c>
      <c r="C139" s="184" t="str">
        <f t="shared" si="7"/>
        <v>[P1 PRV (S5)] Pump 1 PRV</v>
      </c>
      <c r="D139" s="184" t="s">
        <v>323</v>
      </c>
      <c r="E139" s="184" t="s">
        <v>324</v>
      </c>
      <c r="F139" s="184" t="s">
        <v>318</v>
      </c>
      <c r="G139" s="184" t="s">
        <v>319</v>
      </c>
      <c r="H139" s="184" t="s">
        <v>246</v>
      </c>
      <c r="I139" s="184" t="s">
        <v>247</v>
      </c>
      <c r="J139" s="184"/>
      <c r="K139" s="184" t="s">
        <v>49</v>
      </c>
      <c r="L139" s="184" t="s">
        <v>325</v>
      </c>
      <c r="M139" s="184"/>
      <c r="N139" s="184"/>
      <c r="O139" s="184"/>
      <c r="P139" s="184" t="b">
        <v>0</v>
      </c>
    </row>
    <row r="140" spans="1:16" ht="12.75">
      <c r="A140" s="184" t="str">
        <f t="shared" si="9"/>
        <v>HYD-HPU-PVL-Pos-139</v>
      </c>
      <c r="B140" s="184">
        <v>139</v>
      </c>
      <c r="C140" s="184" t="str">
        <f t="shared" si="7"/>
        <v>[P2 PRV (S6)] Pump 2 PRV</v>
      </c>
      <c r="D140" s="184" t="s">
        <v>326</v>
      </c>
      <c r="E140" s="184" t="s">
        <v>327</v>
      </c>
      <c r="F140" s="184" t="s">
        <v>318</v>
      </c>
      <c r="G140" s="184" t="s">
        <v>319</v>
      </c>
      <c r="H140" s="184" t="s">
        <v>246</v>
      </c>
      <c r="I140" s="184" t="s">
        <v>247</v>
      </c>
      <c r="J140" s="184"/>
      <c r="K140" s="184" t="s">
        <v>49</v>
      </c>
      <c r="L140" s="184" t="s">
        <v>325</v>
      </c>
      <c r="M140" s="184"/>
      <c r="N140" s="184"/>
      <c r="O140" s="184"/>
      <c r="P140" s="184" t="b">
        <v>0</v>
      </c>
    </row>
    <row r="141" spans="1:16" ht="12.75">
      <c r="A141" s="184" t="str">
        <f t="shared" si="9"/>
        <v>HYD-HPU-PRS-Ps-140</v>
      </c>
      <c r="B141" s="184">
        <v>140</v>
      </c>
      <c r="C141" s="184" t="str">
        <f t="shared" si="7"/>
        <v>[PT-1] Pressure to lift circuit</v>
      </c>
      <c r="D141" s="184" t="s">
        <v>328</v>
      </c>
      <c r="E141" s="184" t="s">
        <v>329</v>
      </c>
      <c r="F141" s="184" t="s">
        <v>318</v>
      </c>
      <c r="G141" s="184" t="s">
        <v>319</v>
      </c>
      <c r="H141" s="184" t="s">
        <v>54</v>
      </c>
      <c r="I141" s="184" t="s">
        <v>55</v>
      </c>
      <c r="J141" s="184"/>
      <c r="K141" s="184" t="s">
        <v>56</v>
      </c>
      <c r="L141" s="184" t="s">
        <v>330</v>
      </c>
      <c r="M141" s="184"/>
      <c r="N141" s="184"/>
      <c r="O141" s="184"/>
      <c r="P141" s="184" t="b">
        <v>0</v>
      </c>
    </row>
    <row r="142" spans="1:16" ht="12.75">
      <c r="A142" s="184" t="str">
        <f t="shared" si="9"/>
        <v>HYD-HPU-PRS-Ps-141</v>
      </c>
      <c r="B142" s="184">
        <v>141</v>
      </c>
      <c r="C142" s="184" t="str">
        <f t="shared" si="7"/>
        <v>[PT-2] Pressure to HD circuit</v>
      </c>
      <c r="D142" s="184" t="s">
        <v>331</v>
      </c>
      <c r="E142" s="184" t="s">
        <v>332</v>
      </c>
      <c r="F142" s="184" t="s">
        <v>318</v>
      </c>
      <c r="G142" s="184" t="s">
        <v>319</v>
      </c>
      <c r="H142" s="184" t="s">
        <v>54</v>
      </c>
      <c r="I142" s="184" t="s">
        <v>55</v>
      </c>
      <c r="J142" s="184"/>
      <c r="K142" s="184" t="s">
        <v>56</v>
      </c>
      <c r="L142" s="184" t="s">
        <v>330</v>
      </c>
      <c r="M142" s="184"/>
      <c r="N142" s="184"/>
      <c r="O142" s="184"/>
      <c r="P142" s="184" t="b">
        <v>0</v>
      </c>
    </row>
    <row r="143" spans="1:16" ht="12.75" hidden="1">
      <c r="A143" s="184" t="str">
        <f t="shared" si="9"/>
        <v>HYD-HPU-DVL-B-142</v>
      </c>
      <c r="B143" s="184">
        <v>142</v>
      </c>
      <c r="C143" s="184" t="str">
        <f t="shared" si="7"/>
        <v>[S3] Isolate P2 Circuit - Cmd</v>
      </c>
      <c r="D143" s="184" t="s">
        <v>333</v>
      </c>
      <c r="E143" s="184" t="s">
        <v>334</v>
      </c>
      <c r="F143" s="184" t="s">
        <v>318</v>
      </c>
      <c r="G143" s="184" t="s">
        <v>319</v>
      </c>
      <c r="H143" s="184" t="s">
        <v>47</v>
      </c>
      <c r="I143" s="184" t="s">
        <v>48</v>
      </c>
      <c r="J143" s="184"/>
      <c r="K143" s="184" t="s">
        <v>104</v>
      </c>
      <c r="L143" s="184" t="s">
        <v>50</v>
      </c>
      <c r="M143" s="184"/>
      <c r="N143" s="184"/>
      <c r="O143" s="184"/>
      <c r="P143" s="184" t="b">
        <v>0</v>
      </c>
    </row>
    <row r="144" spans="1:16" ht="12.75" hidden="1">
      <c r="A144" s="184" t="str">
        <f t="shared" si="9"/>
        <v>HYD-HPU-DVL-B-143</v>
      </c>
      <c r="B144" s="184">
        <v>143</v>
      </c>
      <c r="C144" s="184" t="str">
        <f t="shared" si="7"/>
        <v>[S1] Isolate P1 Circuit - Cmd</v>
      </c>
      <c r="D144" s="184" t="s">
        <v>335</v>
      </c>
      <c r="E144" s="184" t="s">
        <v>336</v>
      </c>
      <c r="F144" s="184" t="s">
        <v>318</v>
      </c>
      <c r="G144" s="184" t="s">
        <v>319</v>
      </c>
      <c r="H144" s="184" t="s">
        <v>47</v>
      </c>
      <c r="I144" s="184" t="s">
        <v>48</v>
      </c>
      <c r="J144" s="184"/>
      <c r="K144" s="184" t="s">
        <v>104</v>
      </c>
      <c r="L144" s="184" t="s">
        <v>50</v>
      </c>
      <c r="M144" s="184"/>
      <c r="N144" s="184"/>
      <c r="O144" s="184"/>
      <c r="P144" s="184" t="b">
        <v>0</v>
      </c>
    </row>
    <row r="145" spans="1:16" ht="12.75" hidden="1">
      <c r="A145" s="184" t="str">
        <f t="shared" si="9"/>
        <v>HYD-HPU-DVL-B-144</v>
      </c>
      <c r="B145" s="184">
        <v>144</v>
      </c>
      <c r="C145" s="184" t="str">
        <f t="shared" si="7"/>
        <v>[S2] Single Pump Operation - Cmd</v>
      </c>
      <c r="D145" s="184" t="s">
        <v>337</v>
      </c>
      <c r="E145" s="184" t="s">
        <v>338</v>
      </c>
      <c r="F145" s="184" t="s">
        <v>318</v>
      </c>
      <c r="G145" s="184" t="s">
        <v>319</v>
      </c>
      <c r="H145" s="184" t="s">
        <v>47</v>
      </c>
      <c r="I145" s="184" t="s">
        <v>48</v>
      </c>
      <c r="J145" s="184"/>
      <c r="K145" s="184" t="s">
        <v>104</v>
      </c>
      <c r="L145" s="184" t="s">
        <v>50</v>
      </c>
      <c r="M145" s="184"/>
      <c r="N145" s="184"/>
      <c r="O145" s="184"/>
      <c r="P145" s="184" t="b">
        <v>0</v>
      </c>
    </row>
    <row r="146" spans="1:16" ht="12.75" hidden="1">
      <c r="A146" s="184" t="str">
        <f t="shared" si="9"/>
        <v>HYD-HPU-PSW-B-145</v>
      </c>
      <c r="B146" s="184">
        <v>145</v>
      </c>
      <c r="C146" s="184" t="str">
        <f t="shared" si="7"/>
        <v>[F1] Pump 1 filter blockage</v>
      </c>
      <c r="D146" s="184" t="s">
        <v>339</v>
      </c>
      <c r="E146" s="184" t="s">
        <v>340</v>
      </c>
      <c r="F146" s="184" t="s">
        <v>318</v>
      </c>
      <c r="G146" s="184" t="s">
        <v>319</v>
      </c>
      <c r="H146" s="184" t="s">
        <v>341</v>
      </c>
      <c r="I146" s="184" t="s">
        <v>73</v>
      </c>
      <c r="J146" s="184"/>
      <c r="K146" s="184" t="s">
        <v>104</v>
      </c>
      <c r="L146" s="184" t="s">
        <v>50</v>
      </c>
      <c r="M146" s="184"/>
      <c r="N146" s="184"/>
      <c r="O146" s="184"/>
      <c r="P146" s="184" t="b">
        <v>0</v>
      </c>
    </row>
    <row r="147" spans="1:16" ht="12.75" hidden="1">
      <c r="A147" s="184" t="str">
        <f t="shared" si="9"/>
        <v>HYD-HPU-PSW-B-146</v>
      </c>
      <c r="B147" s="184">
        <v>146</v>
      </c>
      <c r="C147" s="184" t="str">
        <f t="shared" si="7"/>
        <v>[F2] Pump 2 filter blockage</v>
      </c>
      <c r="D147" s="184" t="s">
        <v>342</v>
      </c>
      <c r="E147" s="184" t="s">
        <v>343</v>
      </c>
      <c r="F147" s="184" t="s">
        <v>318</v>
      </c>
      <c r="G147" s="184" t="s">
        <v>319</v>
      </c>
      <c r="H147" s="184" t="s">
        <v>341</v>
      </c>
      <c r="I147" s="184" t="s">
        <v>73</v>
      </c>
      <c r="J147" s="184"/>
      <c r="K147" s="184" t="s">
        <v>104</v>
      </c>
      <c r="L147" s="184" t="s">
        <v>50</v>
      </c>
      <c r="M147" s="184"/>
      <c r="N147" s="184"/>
      <c r="O147" s="184"/>
      <c r="P147" s="184" t="b">
        <v>0</v>
      </c>
    </row>
    <row r="148" spans="1:16" ht="12.75" hidden="1">
      <c r="A148" s="184" t="str">
        <f t="shared" si="9"/>
        <v>HYD-HPU-PSW-B-147</v>
      </c>
      <c r="B148" s="184">
        <v>147</v>
      </c>
      <c r="C148" s="184" t="str">
        <f t="shared" si="7"/>
        <v>[F3] Reciculation pump filter blockage</v>
      </c>
      <c r="D148" s="184" t="s">
        <v>344</v>
      </c>
      <c r="E148" s="184" t="s">
        <v>345</v>
      </c>
      <c r="F148" s="184" t="s">
        <v>318</v>
      </c>
      <c r="G148" s="184" t="s">
        <v>319</v>
      </c>
      <c r="H148" s="184" t="s">
        <v>341</v>
      </c>
      <c r="I148" s="184" t="s">
        <v>73</v>
      </c>
      <c r="J148" s="184"/>
      <c r="K148" s="184" t="s">
        <v>104</v>
      </c>
      <c r="L148" s="184" t="s">
        <v>50</v>
      </c>
      <c r="M148" s="184"/>
      <c r="N148" s="184"/>
      <c r="O148" s="184"/>
      <c r="P148" s="184" t="b">
        <v>0</v>
      </c>
    </row>
    <row r="149" spans="1:16" ht="12.75" hidden="1">
      <c r="A149" s="184" t="str">
        <f t="shared" si="9"/>
        <v>HYD-HPU-PSW-B-148</v>
      </c>
      <c r="B149" s="184">
        <v>148</v>
      </c>
      <c r="C149" s="184" t="str">
        <f t="shared" si="7"/>
        <v>[F4] Hold down circuit return filter</v>
      </c>
      <c r="D149" s="184" t="s">
        <v>346</v>
      </c>
      <c r="E149" s="184" t="s">
        <v>347</v>
      </c>
      <c r="F149" s="184" t="s">
        <v>318</v>
      </c>
      <c r="G149" s="184" t="s">
        <v>319</v>
      </c>
      <c r="H149" s="184" t="s">
        <v>341</v>
      </c>
      <c r="I149" s="184" t="s">
        <v>73</v>
      </c>
      <c r="J149" s="184"/>
      <c r="K149" s="184" t="s">
        <v>104</v>
      </c>
      <c r="L149" s="184" t="s">
        <v>50</v>
      </c>
      <c r="M149" s="184"/>
      <c r="N149" s="184"/>
      <c r="O149" s="184"/>
      <c r="P149" s="184" t="b">
        <v>0</v>
      </c>
    </row>
    <row r="150" spans="1:16" ht="12.75">
      <c r="A150" s="184" t="str">
        <f t="shared" si="9"/>
        <v>HYD-LFT-PVL-Pos-149</v>
      </c>
      <c r="B150" s="184">
        <v>149</v>
      </c>
      <c r="C150" s="184" t="str">
        <f t="shared" si="7"/>
        <v>[S8] Top Clamp Open/Close - Cmd</v>
      </c>
      <c r="D150" s="184" t="s">
        <v>348</v>
      </c>
      <c r="E150" s="184" t="s">
        <v>349</v>
      </c>
      <c r="F150" s="184" t="s">
        <v>318</v>
      </c>
      <c r="G150" s="184" t="s">
        <v>350</v>
      </c>
      <c r="H150" s="184" t="s">
        <v>246</v>
      </c>
      <c r="I150" s="184" t="s">
        <v>247</v>
      </c>
      <c r="J150" s="184"/>
      <c r="K150" s="184" t="s">
        <v>49</v>
      </c>
      <c r="L150" s="184" t="s">
        <v>325</v>
      </c>
      <c r="M150" s="184"/>
      <c r="N150" s="184"/>
      <c r="O150" s="184"/>
      <c r="P150" s="184" t="b">
        <v>0</v>
      </c>
    </row>
    <row r="151" spans="1:16" ht="12.75">
      <c r="A151" s="184" t="str">
        <f t="shared" si="9"/>
        <v>HYD-LFT-PVL-Pos-150</v>
      </c>
      <c r="B151" s="184">
        <v>150</v>
      </c>
      <c r="C151" s="184" t="str">
        <f t="shared" si="7"/>
        <v>[S9] Strongback ram extend/retract - Cmd</v>
      </c>
      <c r="D151" s="184" t="s">
        <v>351</v>
      </c>
      <c r="E151" s="184" t="s">
        <v>352</v>
      </c>
      <c r="F151" s="184" t="s">
        <v>318</v>
      </c>
      <c r="G151" s="184" t="s">
        <v>350</v>
      </c>
      <c r="H151" s="184" t="s">
        <v>246</v>
      </c>
      <c r="I151" s="184" t="s">
        <v>247</v>
      </c>
      <c r="J151" s="184"/>
      <c r="K151" s="184" t="s">
        <v>49</v>
      </c>
      <c r="L151" s="184" t="s">
        <v>325</v>
      </c>
      <c r="M151" s="184"/>
      <c r="N151" s="184"/>
      <c r="O151" s="184"/>
      <c r="P151" s="184" t="b">
        <v>0</v>
      </c>
    </row>
    <row r="152" spans="1:16" ht="12.75">
      <c r="A152" s="184" t="str">
        <f t="shared" si="9"/>
        <v>HYD-LFT-PVL-Pos-151</v>
      </c>
      <c r="B152" s="184">
        <v>151</v>
      </c>
      <c r="C152" s="184" t="str">
        <f t="shared" si="7"/>
        <v>[S7] Platform tilt - Cmd</v>
      </c>
      <c r="D152" s="184" t="s">
        <v>353</v>
      </c>
      <c r="E152" s="184" t="s">
        <v>354</v>
      </c>
      <c r="F152" s="184" t="s">
        <v>318</v>
      </c>
      <c r="G152" s="184" t="s">
        <v>350</v>
      </c>
      <c r="H152" s="184" t="s">
        <v>246</v>
      </c>
      <c r="I152" s="184" t="s">
        <v>247</v>
      </c>
      <c r="J152" s="184"/>
      <c r="K152" s="184" t="s">
        <v>49</v>
      </c>
      <c r="L152" s="184" t="s">
        <v>325</v>
      </c>
      <c r="M152" s="184"/>
      <c r="N152" s="184"/>
      <c r="O152" s="184"/>
      <c r="P152" s="184" t="b">
        <v>0</v>
      </c>
    </row>
    <row r="153" spans="1:16" ht="12.75">
      <c r="A153" s="184"/>
      <c r="B153" s="184">
        <v>152</v>
      </c>
      <c r="C153" s="184" t="str">
        <f t="shared" si="7"/>
        <v xml:space="preserve">[] </v>
      </c>
      <c r="D153" s="184"/>
      <c r="E153" s="184"/>
      <c r="F153" s="184"/>
      <c r="G153" s="184"/>
      <c r="H153" s="184"/>
      <c r="I153" s="184"/>
      <c r="J153" s="184"/>
      <c r="K153" s="184"/>
      <c r="L153" s="184"/>
      <c r="M153" s="184"/>
      <c r="N153" s="184"/>
      <c r="O153" s="184"/>
      <c r="P153" s="184"/>
    </row>
    <row r="154" spans="1:16" ht="12.75">
      <c r="A154" s="184"/>
      <c r="B154" s="184">
        <v>153</v>
      </c>
      <c r="C154" s="184" t="str">
        <f t="shared" si="7"/>
        <v xml:space="preserve">[] </v>
      </c>
      <c r="D154" s="184"/>
      <c r="E154" s="184"/>
      <c r="F154" s="184"/>
      <c r="G154" s="184"/>
      <c r="H154" s="184"/>
      <c r="I154" s="184"/>
      <c r="J154" s="184"/>
      <c r="K154" s="184"/>
      <c r="L154" s="184"/>
      <c r="M154" s="184"/>
      <c r="N154" s="184"/>
      <c r="O154" s="184"/>
      <c r="P154" s="184"/>
    </row>
    <row r="155" spans="1:16" ht="12.75">
      <c r="A155" s="184"/>
      <c r="B155" s="184">
        <v>154</v>
      </c>
      <c r="C155" s="184" t="str">
        <f t="shared" si="7"/>
        <v xml:space="preserve">[] </v>
      </c>
      <c r="D155" s="184"/>
      <c r="E155" s="184"/>
      <c r="F155" s="184"/>
      <c r="G155" s="184"/>
      <c r="H155" s="184"/>
      <c r="I155" s="184"/>
      <c r="J155" s="184"/>
      <c r="K155" s="184"/>
      <c r="L155" s="184"/>
      <c r="M155" s="184"/>
      <c r="N155" s="184"/>
      <c r="O155" s="184"/>
      <c r="P155" s="184"/>
    </row>
    <row r="156" spans="1:16" ht="12.75">
      <c r="A156" s="184" t="str">
        <f t="shared" ref="A156:A161" si="10">CONCATENATE(VLOOKUP(F156,Systems,2,FALSE),"-",VLOOKUP(G156,Subsystems,2,FALSE),"-",VLOOKUP(H156,Components,2,FALSE),"-",VLOOKUP(K156,Metrics,2,FALSE),"-",B156)</f>
        <v>HYD-LFT-DVL-B-155</v>
      </c>
      <c r="B156" s="184">
        <v>155</v>
      </c>
      <c r="C156" s="184" t="str">
        <f t="shared" si="7"/>
        <v>[S10.1] Back up S10 - top clamp open Cmd</v>
      </c>
      <c r="D156" s="184" t="s">
        <v>355</v>
      </c>
      <c r="E156" s="184" t="s">
        <v>356</v>
      </c>
      <c r="F156" s="184" t="s">
        <v>318</v>
      </c>
      <c r="G156" s="184" t="s">
        <v>350</v>
      </c>
      <c r="H156" s="184" t="s">
        <v>47</v>
      </c>
      <c r="I156" s="184" t="s">
        <v>48</v>
      </c>
      <c r="J156" s="184"/>
      <c r="K156" s="184" t="s">
        <v>104</v>
      </c>
      <c r="L156" s="184" t="s">
        <v>50</v>
      </c>
      <c r="M156" s="184"/>
      <c r="N156" s="184"/>
      <c r="O156" s="184"/>
      <c r="P156" s="184" t="b">
        <v>0</v>
      </c>
    </row>
    <row r="157" spans="1:16" ht="12.75">
      <c r="A157" s="184" t="str">
        <f t="shared" si="10"/>
        <v>HYD-LFT-DVL-B-156</v>
      </c>
      <c r="B157" s="184">
        <v>156</v>
      </c>
      <c r="C157" s="184" t="str">
        <f t="shared" si="7"/>
        <v>[S10.2] Back up S10 - top clamp close Cmd</v>
      </c>
      <c r="D157" s="184" t="s">
        <v>357</v>
      </c>
      <c r="E157" s="184" t="s">
        <v>358</v>
      </c>
      <c r="F157" s="184" t="s">
        <v>318</v>
      </c>
      <c r="G157" s="184" t="s">
        <v>350</v>
      </c>
      <c r="H157" s="184" t="s">
        <v>47</v>
      </c>
      <c r="I157" s="184" t="s">
        <v>48</v>
      </c>
      <c r="J157" s="184"/>
      <c r="K157" s="184" t="s">
        <v>104</v>
      </c>
      <c r="L157" s="184" t="s">
        <v>50</v>
      </c>
      <c r="M157" s="184"/>
      <c r="N157" s="184"/>
      <c r="O157" s="184"/>
      <c r="P157" s="184" t="b">
        <v>0</v>
      </c>
    </row>
    <row r="158" spans="1:16" ht="12.75">
      <c r="A158" s="184" t="str">
        <f t="shared" si="10"/>
        <v>HYD-LFT-DVL-B-157</v>
      </c>
      <c r="B158" s="184">
        <v>157</v>
      </c>
      <c r="C158" s="184" t="str">
        <f t="shared" si="7"/>
        <v>[S13.1] Back up S13 - strongback retract Cmd</v>
      </c>
      <c r="D158" s="184" t="s">
        <v>359</v>
      </c>
      <c r="E158" s="184" t="s">
        <v>360</v>
      </c>
      <c r="F158" s="184" t="s">
        <v>318</v>
      </c>
      <c r="G158" s="184" t="s">
        <v>350</v>
      </c>
      <c r="H158" s="184" t="s">
        <v>47</v>
      </c>
      <c r="I158" s="184" t="s">
        <v>48</v>
      </c>
      <c r="J158" s="184"/>
      <c r="K158" s="184" t="s">
        <v>104</v>
      </c>
      <c r="L158" s="184" t="s">
        <v>50</v>
      </c>
      <c r="M158" s="184"/>
      <c r="N158" s="184"/>
      <c r="O158" s="184"/>
      <c r="P158" s="184" t="b">
        <v>0</v>
      </c>
    </row>
    <row r="159" spans="1:16" ht="12.75">
      <c r="A159" s="184" t="str">
        <f t="shared" si="10"/>
        <v>HYD-LFT-DVL-B-158</v>
      </c>
      <c r="B159" s="184">
        <v>158</v>
      </c>
      <c r="C159" s="184" t="str">
        <f t="shared" si="7"/>
        <v>[S13.2] Back up S13 - strongback engage Cmd</v>
      </c>
      <c r="D159" s="184" t="s">
        <v>361</v>
      </c>
      <c r="E159" s="184" t="s">
        <v>362</v>
      </c>
      <c r="F159" s="184" t="s">
        <v>318</v>
      </c>
      <c r="G159" s="184" t="s">
        <v>350</v>
      </c>
      <c r="H159" s="184" t="s">
        <v>47</v>
      </c>
      <c r="I159" s="184" t="s">
        <v>48</v>
      </c>
      <c r="J159" s="184"/>
      <c r="K159" s="184" t="s">
        <v>104</v>
      </c>
      <c r="L159" s="184" t="s">
        <v>50</v>
      </c>
      <c r="M159" s="184"/>
      <c r="N159" s="184"/>
      <c r="O159" s="184"/>
      <c r="P159" s="184" t="b">
        <v>0</v>
      </c>
    </row>
    <row r="160" spans="1:16" ht="12.75">
      <c r="A160" s="184" t="str">
        <f t="shared" si="10"/>
        <v>HYD-LFT-DVL-B-159</v>
      </c>
      <c r="B160" s="184">
        <v>159</v>
      </c>
      <c r="C160" s="184" t="str">
        <f t="shared" si="7"/>
        <v>[S11 - S12] S8 changeover to backup - top clamp Cmd</v>
      </c>
      <c r="D160" s="184" t="s">
        <v>363</v>
      </c>
      <c r="E160" s="184" t="s">
        <v>364</v>
      </c>
      <c r="F160" s="184" t="s">
        <v>318</v>
      </c>
      <c r="G160" s="184" t="s">
        <v>350</v>
      </c>
      <c r="H160" s="184" t="s">
        <v>47</v>
      </c>
      <c r="I160" s="184" t="s">
        <v>48</v>
      </c>
      <c r="J160" s="184"/>
      <c r="K160" s="184" t="s">
        <v>104</v>
      </c>
      <c r="L160" s="184" t="s">
        <v>50</v>
      </c>
      <c r="M160" s="184"/>
      <c r="N160" s="184"/>
      <c r="O160" s="184"/>
      <c r="P160" s="184" t="b">
        <v>0</v>
      </c>
    </row>
    <row r="161" spans="1:16" ht="12.75">
      <c r="A161" s="184" t="str">
        <f t="shared" si="10"/>
        <v>HYD-LFT-DVL-B-160</v>
      </c>
      <c r="B161" s="184">
        <v>160</v>
      </c>
      <c r="C161" s="184" t="str">
        <f t="shared" si="7"/>
        <v>[S14 - S15] S9 change over to back up - SB directional valve</v>
      </c>
      <c r="D161" s="184" t="s">
        <v>365</v>
      </c>
      <c r="E161" s="184" t="s">
        <v>366</v>
      </c>
      <c r="F161" s="184" t="s">
        <v>318</v>
      </c>
      <c r="G161" s="184" t="s">
        <v>350</v>
      </c>
      <c r="H161" s="184" t="s">
        <v>47</v>
      </c>
      <c r="I161" s="184" t="s">
        <v>48</v>
      </c>
      <c r="J161" s="184"/>
      <c r="K161" s="184" t="s">
        <v>104</v>
      </c>
      <c r="L161" s="184" t="s">
        <v>50</v>
      </c>
      <c r="M161" s="184"/>
      <c r="N161" s="184"/>
      <c r="O161" s="184"/>
      <c r="P161" s="184" t="b">
        <v>0</v>
      </c>
    </row>
    <row r="162" spans="1:16" ht="12.75">
      <c r="A162" s="184"/>
      <c r="B162" s="184">
        <v>161</v>
      </c>
      <c r="C162" s="184" t="str">
        <f t="shared" si="7"/>
        <v xml:space="preserve">[] </v>
      </c>
      <c r="D162" s="184"/>
      <c r="E162" s="184"/>
      <c r="F162" s="184"/>
      <c r="G162" s="184"/>
      <c r="H162" s="184"/>
      <c r="I162" s="184"/>
      <c r="J162" s="184"/>
      <c r="K162" s="184"/>
      <c r="L162" s="184"/>
      <c r="M162" s="184"/>
      <c r="N162" s="184"/>
      <c r="O162" s="184"/>
      <c r="P162" s="184"/>
    </row>
    <row r="163" spans="1:16" ht="12.75">
      <c r="A163" s="184"/>
      <c r="B163" s="184">
        <v>162</v>
      </c>
      <c r="C163" s="184" t="str">
        <f t="shared" si="7"/>
        <v xml:space="preserve">[] </v>
      </c>
      <c r="D163" s="184"/>
      <c r="E163" s="184"/>
      <c r="F163" s="184"/>
      <c r="G163" s="184"/>
      <c r="H163" s="184"/>
      <c r="I163" s="184"/>
      <c r="J163" s="184"/>
      <c r="K163" s="184"/>
      <c r="L163" s="184"/>
      <c r="M163" s="184"/>
      <c r="N163" s="184"/>
      <c r="O163" s="184"/>
      <c r="P163" s="184"/>
    </row>
    <row r="164" spans="1:16" ht="12.75">
      <c r="A164" s="184" t="str">
        <f t="shared" ref="A164:A228" si="11">CONCATENATE(VLOOKUP(F164,Systems,2,FALSE),"-",VLOOKUP(G164,Subsystems,2,FALSE),"-",VLOOKUP(H164,Components,2,FALSE),"-",VLOOKUP(K164,Metrics,2,FALSE),"-",B164)</f>
        <v>HYD-HD-PSW-B-163</v>
      </c>
      <c r="B164" s="184">
        <v>163</v>
      </c>
      <c r="C164" s="184" t="str">
        <f t="shared" si="7"/>
        <v>[F6] Hold down circuit return filter</v>
      </c>
      <c r="D164" s="184" t="s">
        <v>346</v>
      </c>
      <c r="E164" s="184" t="s">
        <v>367</v>
      </c>
      <c r="F164" s="184" t="s">
        <v>318</v>
      </c>
      <c r="G164" s="184" t="s">
        <v>368</v>
      </c>
      <c r="H164" s="184" t="s">
        <v>341</v>
      </c>
      <c r="I164" s="184" t="s">
        <v>73</v>
      </c>
      <c r="J164" s="184"/>
      <c r="K164" s="184" t="s">
        <v>104</v>
      </c>
      <c r="L164" s="184" t="s">
        <v>50</v>
      </c>
      <c r="M164" s="184"/>
      <c r="N164" s="184"/>
      <c r="O164" s="184"/>
      <c r="P164" s="184" t="b">
        <v>0</v>
      </c>
    </row>
    <row r="165" spans="1:16" ht="12.75">
      <c r="A165" s="184" t="str">
        <f t="shared" si="11"/>
        <v>HYD-HD-DVL-B-164</v>
      </c>
      <c r="B165" s="184">
        <v>164</v>
      </c>
      <c r="C165" s="184" t="str">
        <f t="shared" si="7"/>
        <v>[S17] High Speed Retract HD1 - Cmd</v>
      </c>
      <c r="D165" s="184" t="s">
        <v>369</v>
      </c>
      <c r="E165" s="184" t="s">
        <v>370</v>
      </c>
      <c r="F165" s="184" t="s">
        <v>318</v>
      </c>
      <c r="G165" s="184" t="s">
        <v>368</v>
      </c>
      <c r="H165" s="184" t="s">
        <v>47</v>
      </c>
      <c r="I165" s="184" t="s">
        <v>48</v>
      </c>
      <c r="J165" s="184"/>
      <c r="K165" s="184" t="s">
        <v>104</v>
      </c>
      <c r="L165" s="184" t="s">
        <v>50</v>
      </c>
      <c r="M165" s="184"/>
      <c r="N165" s="184"/>
      <c r="O165" s="184"/>
      <c r="P165" s="184" t="b">
        <v>0</v>
      </c>
    </row>
    <row r="166" spans="1:16" ht="12.75">
      <c r="A166" s="184" t="str">
        <f t="shared" si="11"/>
        <v>HYD-HD-DVL-B-165</v>
      </c>
      <c r="B166" s="184">
        <v>165</v>
      </c>
      <c r="C166" s="184" t="str">
        <f t="shared" si="7"/>
        <v>[S19] High Speed Retract HD2 - Cmd</v>
      </c>
      <c r="D166" s="184" t="s">
        <v>371</v>
      </c>
      <c r="E166" s="184" t="s">
        <v>372</v>
      </c>
      <c r="F166" s="184" t="s">
        <v>318</v>
      </c>
      <c r="G166" s="184" t="s">
        <v>368</v>
      </c>
      <c r="H166" s="184" t="s">
        <v>47</v>
      </c>
      <c r="I166" s="184" t="s">
        <v>48</v>
      </c>
      <c r="J166" s="184"/>
      <c r="K166" s="184" t="s">
        <v>104</v>
      </c>
      <c r="L166" s="184" t="s">
        <v>50</v>
      </c>
      <c r="M166" s="184"/>
      <c r="N166" s="184"/>
      <c r="O166" s="184"/>
      <c r="P166" s="184" t="b">
        <v>0</v>
      </c>
    </row>
    <row r="167" spans="1:16" ht="12.75">
      <c r="A167" s="184" t="str">
        <f t="shared" si="11"/>
        <v>HYD-HD-DVL-B-166</v>
      </c>
      <c r="B167" s="184">
        <v>166</v>
      </c>
      <c r="C167" s="184" t="str">
        <f t="shared" si="7"/>
        <v>[S21] High Speed Retract HD3 - Cmd</v>
      </c>
      <c r="D167" s="184" t="s">
        <v>373</v>
      </c>
      <c r="E167" s="184" t="s">
        <v>374</v>
      </c>
      <c r="F167" s="184" t="s">
        <v>318</v>
      </c>
      <c r="G167" s="184" t="s">
        <v>368</v>
      </c>
      <c r="H167" s="184" t="s">
        <v>47</v>
      </c>
      <c r="I167" s="184" t="s">
        <v>48</v>
      </c>
      <c r="J167" s="184"/>
      <c r="K167" s="184" t="s">
        <v>104</v>
      </c>
      <c r="L167" s="184" t="s">
        <v>50</v>
      </c>
      <c r="M167" s="184"/>
      <c r="N167" s="184"/>
      <c r="O167" s="184"/>
      <c r="P167" s="184" t="b">
        <v>0</v>
      </c>
    </row>
    <row r="168" spans="1:16" ht="12.75">
      <c r="A168" s="184" t="str">
        <f t="shared" si="11"/>
        <v>HYD-HD-DVL-B-167</v>
      </c>
      <c r="B168" s="184">
        <v>167</v>
      </c>
      <c r="C168" s="184" t="str">
        <f t="shared" si="7"/>
        <v>[S23] High Speed Retract HD4 - Cmd</v>
      </c>
      <c r="D168" s="184" t="s">
        <v>375</v>
      </c>
      <c r="E168" s="184" t="s">
        <v>376</v>
      </c>
      <c r="F168" s="184" t="s">
        <v>318</v>
      </c>
      <c r="G168" s="184" t="s">
        <v>368</v>
      </c>
      <c r="H168" s="184" t="s">
        <v>47</v>
      </c>
      <c r="I168" s="184" t="s">
        <v>48</v>
      </c>
      <c r="J168" s="184"/>
      <c r="K168" s="184" t="s">
        <v>104</v>
      </c>
      <c r="L168" s="184" t="s">
        <v>50</v>
      </c>
      <c r="M168" s="184"/>
      <c r="N168" s="184"/>
      <c r="O168" s="184"/>
      <c r="P168" s="184" t="b">
        <v>0</v>
      </c>
    </row>
    <row r="169" spans="1:16" ht="12.75">
      <c r="A169" s="184" t="str">
        <f t="shared" si="11"/>
        <v>HYD-HD-SSR-B-168</v>
      </c>
      <c r="B169" s="184">
        <v>168</v>
      </c>
      <c r="C169" s="184" t="str">
        <f t="shared" si="7"/>
        <v>[HYD-HD-SSR-B-168] Primary High Speed retract enable</v>
      </c>
      <c r="D169" s="184" t="s">
        <v>377</v>
      </c>
      <c r="E169" s="184" t="s">
        <v>378</v>
      </c>
      <c r="F169" s="184" t="s">
        <v>318</v>
      </c>
      <c r="G169" s="184" t="s">
        <v>368</v>
      </c>
      <c r="H169" s="184" t="s">
        <v>192</v>
      </c>
      <c r="I169" s="184" t="s">
        <v>48</v>
      </c>
      <c r="J169" s="184"/>
      <c r="K169" s="184" t="s">
        <v>104</v>
      </c>
      <c r="L169" s="184" t="s">
        <v>50</v>
      </c>
      <c r="M169" s="184"/>
      <c r="N169" s="184"/>
      <c r="O169" s="184"/>
      <c r="P169" s="184" t="b">
        <v>0</v>
      </c>
    </row>
    <row r="170" spans="1:16" ht="12.75">
      <c r="A170" s="184" t="str">
        <f t="shared" si="11"/>
        <v>HYD-HD-SSR-B-169</v>
      </c>
      <c r="B170" s="184">
        <v>169</v>
      </c>
      <c r="C170" s="184" t="str">
        <f t="shared" si="7"/>
        <v>[HYD-HD-SSR-B-169] Secondary High Speed release trigger (S18_20_22_24)</v>
      </c>
      <c r="D170" s="184" t="s">
        <v>379</v>
      </c>
      <c r="E170" s="184" t="s">
        <v>380</v>
      </c>
      <c r="F170" s="184" t="s">
        <v>318</v>
      </c>
      <c r="G170" s="184" t="s">
        <v>368</v>
      </c>
      <c r="H170" s="184" t="s">
        <v>192</v>
      </c>
      <c r="I170" s="184" t="s">
        <v>48</v>
      </c>
      <c r="J170" s="184"/>
      <c r="K170" s="184" t="s">
        <v>104</v>
      </c>
      <c r="L170" s="184" t="s">
        <v>50</v>
      </c>
      <c r="M170" s="184"/>
      <c r="N170" s="184"/>
      <c r="O170" s="184"/>
      <c r="P170" s="184" t="b">
        <v>0</v>
      </c>
    </row>
    <row r="171" spans="1:16" ht="12.75">
      <c r="A171" s="184" t="str">
        <f t="shared" si="11"/>
        <v>HYD-HD-DVL-B-170</v>
      </c>
      <c r="B171" s="184">
        <v>170</v>
      </c>
      <c r="C171" s="184" t="str">
        <f t="shared" si="7"/>
        <v>[S18 -S20 -S22 -S24] Secondary High Speed release trigger (S18_20_22_24) Cmd</v>
      </c>
      <c r="D171" s="184" t="s">
        <v>381</v>
      </c>
      <c r="E171" s="184" t="s">
        <v>382</v>
      </c>
      <c r="F171" s="184" t="s">
        <v>318</v>
      </c>
      <c r="G171" s="184" t="s">
        <v>368</v>
      </c>
      <c r="H171" s="184" t="s">
        <v>47</v>
      </c>
      <c r="I171" s="184" t="s">
        <v>48</v>
      </c>
      <c r="J171" s="184"/>
      <c r="K171" s="184" t="s">
        <v>104</v>
      </c>
      <c r="L171" s="184" t="s">
        <v>50</v>
      </c>
      <c r="M171" s="184"/>
      <c r="N171" s="184"/>
      <c r="O171" s="184"/>
      <c r="P171" s="184" t="b">
        <v>0</v>
      </c>
    </row>
    <row r="172" spans="1:16" ht="12.75">
      <c r="A172" s="184" t="str">
        <f t="shared" si="11"/>
        <v>HYD-HD-DVL-B-171</v>
      </c>
      <c r="B172" s="184">
        <v>171</v>
      </c>
      <c r="C172" s="184" t="str">
        <f t="shared" si="7"/>
        <v>[S25.1] Slow Extend HD1 - Cmd</v>
      </c>
      <c r="D172" s="184" t="s">
        <v>383</v>
      </c>
      <c r="E172" s="184" t="s">
        <v>384</v>
      </c>
      <c r="F172" s="184" t="s">
        <v>318</v>
      </c>
      <c r="G172" s="184" t="s">
        <v>368</v>
      </c>
      <c r="H172" s="184" t="s">
        <v>47</v>
      </c>
      <c r="I172" s="184" t="s">
        <v>48</v>
      </c>
      <c r="J172" s="184"/>
      <c r="K172" s="184" t="s">
        <v>104</v>
      </c>
      <c r="L172" s="184" t="s">
        <v>50</v>
      </c>
      <c r="M172" s="184"/>
      <c r="N172" s="184"/>
      <c r="O172" s="184"/>
      <c r="P172" s="184" t="b">
        <v>0</v>
      </c>
    </row>
    <row r="173" spans="1:16" ht="12.75">
      <c r="A173" s="184" t="str">
        <f t="shared" si="11"/>
        <v>HYD-HD-DVL-B-172</v>
      </c>
      <c r="B173" s="184">
        <v>172</v>
      </c>
      <c r="C173" s="184" t="str">
        <f t="shared" si="7"/>
        <v>[S26.1] Slow Extend HD2 - Cmd</v>
      </c>
      <c r="D173" s="184" t="s">
        <v>385</v>
      </c>
      <c r="E173" s="184" t="s">
        <v>386</v>
      </c>
      <c r="F173" s="184" t="s">
        <v>318</v>
      </c>
      <c r="G173" s="184" t="s">
        <v>368</v>
      </c>
      <c r="H173" s="184" t="s">
        <v>47</v>
      </c>
      <c r="I173" s="184" t="s">
        <v>48</v>
      </c>
      <c r="J173" s="184"/>
      <c r="K173" s="184" t="s">
        <v>104</v>
      </c>
      <c r="L173" s="184" t="s">
        <v>50</v>
      </c>
      <c r="M173" s="184"/>
      <c r="N173" s="184"/>
      <c r="O173" s="184"/>
      <c r="P173" s="184" t="b">
        <v>0</v>
      </c>
    </row>
    <row r="174" spans="1:16" ht="12.75">
      <c r="A174" s="184" t="str">
        <f t="shared" si="11"/>
        <v>HYD-HD-DVL-B-173</v>
      </c>
      <c r="B174" s="184">
        <v>173</v>
      </c>
      <c r="C174" s="184" t="str">
        <f t="shared" si="7"/>
        <v>[S27.1] Slow Extend HD3 - Cmd</v>
      </c>
      <c r="D174" s="184" t="s">
        <v>387</v>
      </c>
      <c r="E174" s="184" t="s">
        <v>388</v>
      </c>
      <c r="F174" s="184" t="s">
        <v>318</v>
      </c>
      <c r="G174" s="184" t="s">
        <v>368</v>
      </c>
      <c r="H174" s="184" t="s">
        <v>47</v>
      </c>
      <c r="I174" s="184" t="s">
        <v>48</v>
      </c>
      <c r="J174" s="184"/>
      <c r="K174" s="184" t="s">
        <v>104</v>
      </c>
      <c r="L174" s="184" t="s">
        <v>50</v>
      </c>
      <c r="M174" s="184"/>
      <c r="N174" s="184"/>
      <c r="O174" s="184"/>
      <c r="P174" s="184" t="b">
        <v>0</v>
      </c>
    </row>
    <row r="175" spans="1:16" ht="12.75">
      <c r="A175" s="184" t="str">
        <f t="shared" si="11"/>
        <v>HYD-HD-DVL-B-174</v>
      </c>
      <c r="B175" s="184">
        <v>174</v>
      </c>
      <c r="C175" s="184" t="str">
        <f t="shared" si="7"/>
        <v>[S28.1] Slow Extend HD4 - Cmd</v>
      </c>
      <c r="D175" s="184" t="s">
        <v>389</v>
      </c>
      <c r="E175" s="184" t="s">
        <v>390</v>
      </c>
      <c r="F175" s="184" t="s">
        <v>318</v>
      </c>
      <c r="G175" s="184" t="s">
        <v>368</v>
      </c>
      <c r="H175" s="184" t="s">
        <v>47</v>
      </c>
      <c r="I175" s="184" t="s">
        <v>48</v>
      </c>
      <c r="J175" s="184"/>
      <c r="K175" s="184" t="s">
        <v>104</v>
      </c>
      <c r="L175" s="184" t="s">
        <v>50</v>
      </c>
      <c r="M175" s="184"/>
      <c r="N175" s="184"/>
      <c r="O175" s="184"/>
      <c r="P175" s="184" t="b">
        <v>0</v>
      </c>
    </row>
    <row r="176" spans="1:16" ht="12.75">
      <c r="A176" s="184" t="str">
        <f t="shared" si="11"/>
        <v>HYD-HD-DVL-B-175</v>
      </c>
      <c r="B176" s="184">
        <v>175</v>
      </c>
      <c r="C176" s="184" t="str">
        <f t="shared" si="7"/>
        <v>[S25.2] Slow Retract HD1 - Cmd</v>
      </c>
      <c r="D176" s="184" t="s">
        <v>391</v>
      </c>
      <c r="E176" s="184" t="s">
        <v>392</v>
      </c>
      <c r="F176" s="184" t="s">
        <v>318</v>
      </c>
      <c r="G176" s="184" t="s">
        <v>368</v>
      </c>
      <c r="H176" s="184" t="s">
        <v>47</v>
      </c>
      <c r="I176" s="184" t="s">
        <v>48</v>
      </c>
      <c r="J176" s="184"/>
      <c r="K176" s="184" t="s">
        <v>104</v>
      </c>
      <c r="L176" s="184" t="s">
        <v>50</v>
      </c>
      <c r="M176" s="184"/>
      <c r="N176" s="184"/>
      <c r="O176" s="184"/>
      <c r="P176" s="184" t="b">
        <v>0</v>
      </c>
    </row>
    <row r="177" spans="1:16" ht="12.75">
      <c r="A177" s="184" t="str">
        <f t="shared" si="11"/>
        <v>HYD-HD-DVL-B-176</v>
      </c>
      <c r="B177" s="184">
        <v>176</v>
      </c>
      <c r="C177" s="184" t="str">
        <f t="shared" si="7"/>
        <v>[S26.2] Slow Retract HD2 - Cmd</v>
      </c>
      <c r="D177" s="184" t="s">
        <v>393</v>
      </c>
      <c r="E177" s="184" t="s">
        <v>394</v>
      </c>
      <c r="F177" s="184" t="s">
        <v>318</v>
      </c>
      <c r="G177" s="184" t="s">
        <v>368</v>
      </c>
      <c r="H177" s="184" t="s">
        <v>47</v>
      </c>
      <c r="I177" s="184" t="s">
        <v>48</v>
      </c>
      <c r="J177" s="184"/>
      <c r="K177" s="184" t="s">
        <v>104</v>
      </c>
      <c r="L177" s="184" t="s">
        <v>50</v>
      </c>
      <c r="M177" s="184"/>
      <c r="N177" s="184"/>
      <c r="O177" s="184"/>
      <c r="P177" s="184" t="b">
        <v>0</v>
      </c>
    </row>
    <row r="178" spans="1:16" ht="12.75">
      <c r="A178" s="184" t="str">
        <f t="shared" si="11"/>
        <v>HYD-HD-DVL-B-177</v>
      </c>
      <c r="B178" s="184">
        <v>177</v>
      </c>
      <c r="C178" s="184" t="str">
        <f t="shared" si="7"/>
        <v>[S27.2] Slow Retract HD3 - Cmd</v>
      </c>
      <c r="D178" s="184" t="s">
        <v>395</v>
      </c>
      <c r="E178" s="184" t="s">
        <v>396</v>
      </c>
      <c r="F178" s="184" t="s">
        <v>318</v>
      </c>
      <c r="G178" s="184" t="s">
        <v>368</v>
      </c>
      <c r="H178" s="184" t="s">
        <v>47</v>
      </c>
      <c r="I178" s="184" t="s">
        <v>48</v>
      </c>
      <c r="J178" s="184"/>
      <c r="K178" s="184" t="s">
        <v>104</v>
      </c>
      <c r="L178" s="184" t="s">
        <v>50</v>
      </c>
      <c r="M178" s="184"/>
      <c r="N178" s="184"/>
      <c r="O178" s="184"/>
      <c r="P178" s="184" t="b">
        <v>0</v>
      </c>
    </row>
    <row r="179" spans="1:16" ht="12.75">
      <c r="A179" s="184" t="str">
        <f t="shared" si="11"/>
        <v>HYD-HD-DVL-B-178</v>
      </c>
      <c r="B179" s="184">
        <v>178</v>
      </c>
      <c r="C179" s="184" t="str">
        <f t="shared" si="7"/>
        <v>[S28.2] Slow Retract HD4 - Cmd</v>
      </c>
      <c r="D179" s="184" t="s">
        <v>397</v>
      </c>
      <c r="E179" s="184" t="s">
        <v>398</v>
      </c>
      <c r="F179" s="184" t="s">
        <v>318</v>
      </c>
      <c r="G179" s="184" t="s">
        <v>368</v>
      </c>
      <c r="H179" s="184" t="s">
        <v>47</v>
      </c>
      <c r="I179" s="184" t="s">
        <v>48</v>
      </c>
      <c r="J179" s="184"/>
      <c r="K179" s="184" t="s">
        <v>104</v>
      </c>
      <c r="L179" s="184" t="s">
        <v>50</v>
      </c>
      <c r="M179" s="184"/>
      <c r="N179" s="184"/>
      <c r="O179" s="184"/>
      <c r="P179" s="184" t="b">
        <v>0</v>
      </c>
    </row>
    <row r="180" spans="1:16" ht="12.75">
      <c r="A180" s="184" t="str">
        <f t="shared" si="11"/>
        <v>HYD-HD-PRS-Ps-179</v>
      </c>
      <c r="B180" s="184">
        <v>179</v>
      </c>
      <c r="C180" s="184" t="str">
        <f t="shared" si="7"/>
        <v>[PT-4] Hold down circuit pressure</v>
      </c>
      <c r="D180" s="184" t="s">
        <v>399</v>
      </c>
      <c r="E180" s="184" t="s">
        <v>400</v>
      </c>
      <c r="F180" s="184" t="s">
        <v>318</v>
      </c>
      <c r="G180" s="184" t="s">
        <v>368</v>
      </c>
      <c r="H180" s="184" t="s">
        <v>54</v>
      </c>
      <c r="I180" s="184" t="s">
        <v>55</v>
      </c>
      <c r="J180" s="184"/>
      <c r="K180" s="184" t="s">
        <v>56</v>
      </c>
      <c r="L180" s="184" t="s">
        <v>330</v>
      </c>
      <c r="M180" s="184"/>
      <c r="N180" s="184"/>
      <c r="O180" s="184"/>
      <c r="P180" s="184" t="b">
        <v>0</v>
      </c>
    </row>
    <row r="181" spans="1:16" ht="12.75">
      <c r="A181" s="184" t="str">
        <f t="shared" si="11"/>
        <v>HYD-HD-PRS-Ps-180</v>
      </c>
      <c r="B181" s="184">
        <v>180</v>
      </c>
      <c r="C181" s="184" t="str">
        <f t="shared" si="7"/>
        <v>[PTA-1] instroke pressure - HD1</v>
      </c>
      <c r="D181" s="184" t="s">
        <v>401</v>
      </c>
      <c r="E181" s="184" t="s">
        <v>402</v>
      </c>
      <c r="F181" s="184" t="s">
        <v>318</v>
      </c>
      <c r="G181" s="184" t="s">
        <v>368</v>
      </c>
      <c r="H181" s="184" t="s">
        <v>54</v>
      </c>
      <c r="I181" s="184" t="s">
        <v>55</v>
      </c>
      <c r="J181" s="184"/>
      <c r="K181" s="184" t="s">
        <v>56</v>
      </c>
      <c r="L181" s="184" t="s">
        <v>330</v>
      </c>
      <c r="M181" s="184"/>
      <c r="N181" s="184"/>
      <c r="O181" s="184"/>
      <c r="P181" s="184" t="b">
        <v>0</v>
      </c>
    </row>
    <row r="182" spans="1:16" ht="12.75">
      <c r="A182" s="184" t="str">
        <f t="shared" si="11"/>
        <v>HYD-HD-PRS-Ps-181</v>
      </c>
      <c r="B182" s="184">
        <v>181</v>
      </c>
      <c r="C182" s="184" t="str">
        <f t="shared" si="7"/>
        <v>[PTA-2] instroke pressure - HD2</v>
      </c>
      <c r="D182" s="184" t="s">
        <v>403</v>
      </c>
      <c r="E182" s="184" t="s">
        <v>404</v>
      </c>
      <c r="F182" s="184" t="s">
        <v>318</v>
      </c>
      <c r="G182" s="184" t="s">
        <v>368</v>
      </c>
      <c r="H182" s="184" t="s">
        <v>54</v>
      </c>
      <c r="I182" s="184" t="s">
        <v>55</v>
      </c>
      <c r="J182" s="184"/>
      <c r="K182" s="184" t="s">
        <v>56</v>
      </c>
      <c r="L182" s="184" t="s">
        <v>330</v>
      </c>
      <c r="M182" s="184"/>
      <c r="N182" s="184"/>
      <c r="O182" s="184"/>
      <c r="P182" s="184" t="b">
        <v>0</v>
      </c>
    </row>
    <row r="183" spans="1:16" ht="12.75">
      <c r="A183" s="184" t="str">
        <f t="shared" si="11"/>
        <v>HYD-HD-PRS-Ps-182</v>
      </c>
      <c r="B183" s="184">
        <v>182</v>
      </c>
      <c r="C183" s="184" t="str">
        <f t="shared" si="7"/>
        <v>[PTA-3] instroke pressure - HD3</v>
      </c>
      <c r="D183" s="184" t="s">
        <v>405</v>
      </c>
      <c r="E183" s="184" t="s">
        <v>406</v>
      </c>
      <c r="F183" s="184" t="s">
        <v>318</v>
      </c>
      <c r="G183" s="184" t="s">
        <v>368</v>
      </c>
      <c r="H183" s="184" t="s">
        <v>54</v>
      </c>
      <c r="I183" s="184" t="s">
        <v>55</v>
      </c>
      <c r="J183" s="184"/>
      <c r="K183" s="184" t="s">
        <v>56</v>
      </c>
      <c r="L183" s="184" t="s">
        <v>330</v>
      </c>
      <c r="M183" s="184"/>
      <c r="N183" s="184"/>
      <c r="O183" s="184"/>
      <c r="P183" s="184" t="b">
        <v>0</v>
      </c>
    </row>
    <row r="184" spans="1:16" ht="12.75">
      <c r="A184" s="184" t="str">
        <f t="shared" si="11"/>
        <v>HYD-HD-PRS-Ps-183</v>
      </c>
      <c r="B184" s="184">
        <v>183</v>
      </c>
      <c r="C184" s="184" t="str">
        <f t="shared" si="7"/>
        <v>[PTA-4] instroke pressure - HD4</v>
      </c>
      <c r="D184" s="184" t="s">
        <v>407</v>
      </c>
      <c r="E184" s="184" t="s">
        <v>408</v>
      </c>
      <c r="F184" s="184" t="s">
        <v>318</v>
      </c>
      <c r="G184" s="184" t="s">
        <v>368</v>
      </c>
      <c r="H184" s="184" t="s">
        <v>54</v>
      </c>
      <c r="I184" s="184" t="s">
        <v>55</v>
      </c>
      <c r="J184" s="184"/>
      <c r="K184" s="184" t="s">
        <v>56</v>
      </c>
      <c r="L184" s="184" t="s">
        <v>330</v>
      </c>
      <c r="M184" s="184"/>
      <c r="N184" s="184"/>
      <c r="O184" s="184"/>
      <c r="P184" s="184" t="b">
        <v>0</v>
      </c>
    </row>
    <row r="185" spans="1:16" ht="12.75">
      <c r="A185" s="184" t="str">
        <f t="shared" si="11"/>
        <v>HYD-HD-PRS-Ps-184</v>
      </c>
      <c r="B185" s="184">
        <v>184</v>
      </c>
      <c r="C185" s="184" t="str">
        <f t="shared" si="7"/>
        <v>[PTB-1] outstroke pressure - HD1</v>
      </c>
      <c r="D185" s="184" t="s">
        <v>409</v>
      </c>
      <c r="E185" s="184" t="s">
        <v>410</v>
      </c>
      <c r="F185" s="184" t="s">
        <v>318</v>
      </c>
      <c r="G185" s="184" t="s">
        <v>368</v>
      </c>
      <c r="H185" s="184" t="s">
        <v>54</v>
      </c>
      <c r="I185" s="184" t="s">
        <v>55</v>
      </c>
      <c r="J185" s="184"/>
      <c r="K185" s="184" t="s">
        <v>56</v>
      </c>
      <c r="L185" s="184" t="s">
        <v>330</v>
      </c>
      <c r="M185" s="184"/>
      <c r="N185" s="184"/>
      <c r="O185" s="184"/>
      <c r="P185" s="184" t="b">
        <v>0</v>
      </c>
    </row>
    <row r="186" spans="1:16" ht="12.75">
      <c r="A186" s="184" t="str">
        <f t="shared" si="11"/>
        <v>HYD-HD-PRS-Ps-185</v>
      </c>
      <c r="B186" s="184">
        <v>185</v>
      </c>
      <c r="C186" s="184" t="str">
        <f t="shared" si="7"/>
        <v>[PTB-2] outstroke pressure - HD2</v>
      </c>
      <c r="D186" s="184" t="s">
        <v>411</v>
      </c>
      <c r="E186" s="184" t="s">
        <v>412</v>
      </c>
      <c r="F186" s="184" t="s">
        <v>318</v>
      </c>
      <c r="G186" s="184" t="s">
        <v>368</v>
      </c>
      <c r="H186" s="184" t="s">
        <v>54</v>
      </c>
      <c r="I186" s="184" t="s">
        <v>55</v>
      </c>
      <c r="J186" s="184"/>
      <c r="K186" s="184" t="s">
        <v>56</v>
      </c>
      <c r="L186" s="184" t="s">
        <v>330</v>
      </c>
      <c r="M186" s="184"/>
      <c r="N186" s="184"/>
      <c r="O186" s="184"/>
      <c r="P186" s="184" t="b">
        <v>0</v>
      </c>
    </row>
    <row r="187" spans="1:16" ht="12.75">
      <c r="A187" s="184" t="str">
        <f t="shared" si="11"/>
        <v>HYD-HD-PRS-Ps-186</v>
      </c>
      <c r="B187" s="184">
        <v>186</v>
      </c>
      <c r="C187" s="184" t="str">
        <f t="shared" si="7"/>
        <v>[PTB-3] outstroke pressure - HD3</v>
      </c>
      <c r="D187" s="184" t="s">
        <v>413</v>
      </c>
      <c r="E187" s="184" t="s">
        <v>414</v>
      </c>
      <c r="F187" s="184" t="s">
        <v>318</v>
      </c>
      <c r="G187" s="184" t="s">
        <v>368</v>
      </c>
      <c r="H187" s="184" t="s">
        <v>54</v>
      </c>
      <c r="I187" s="184" t="s">
        <v>55</v>
      </c>
      <c r="J187" s="184"/>
      <c r="K187" s="184" t="s">
        <v>56</v>
      </c>
      <c r="L187" s="184" t="s">
        <v>330</v>
      </c>
      <c r="M187" s="184"/>
      <c r="N187" s="184"/>
      <c r="O187" s="184"/>
      <c r="P187" s="184" t="b">
        <v>0</v>
      </c>
    </row>
    <row r="188" spans="1:16" ht="12.75">
      <c r="A188" s="184" t="str">
        <f t="shared" si="11"/>
        <v>HYD-HD-PRS-Ps-187</v>
      </c>
      <c r="B188" s="184">
        <v>187</v>
      </c>
      <c r="C188" s="184" t="str">
        <f t="shared" si="7"/>
        <v>[PTB-4] outstroke pressure - HD4</v>
      </c>
      <c r="D188" s="184" t="s">
        <v>415</v>
      </c>
      <c r="E188" s="184" t="s">
        <v>416</v>
      </c>
      <c r="F188" s="184" t="s">
        <v>318</v>
      </c>
      <c r="G188" s="184" t="s">
        <v>368</v>
      </c>
      <c r="H188" s="184" t="s">
        <v>54</v>
      </c>
      <c r="I188" s="184" t="s">
        <v>55</v>
      </c>
      <c r="J188" s="184"/>
      <c r="K188" s="184" t="s">
        <v>56</v>
      </c>
      <c r="L188" s="184" t="s">
        <v>330</v>
      </c>
      <c r="M188" s="184"/>
      <c r="N188" s="184"/>
      <c r="O188" s="184"/>
      <c r="P188" s="184" t="b">
        <v>0</v>
      </c>
    </row>
    <row r="189" spans="1:16" ht="12.75">
      <c r="A189" s="184" t="str">
        <f t="shared" si="11"/>
        <v>HYD-HD-PRS-Ps-188</v>
      </c>
      <c r="B189" s="184">
        <v>188</v>
      </c>
      <c r="C189" s="184" t="str">
        <f t="shared" si="7"/>
        <v>[PTAC-1] Accumulator Bladder gas pressure - HD1</v>
      </c>
      <c r="D189" s="184" t="s">
        <v>417</v>
      </c>
      <c r="E189" s="184" t="s">
        <v>418</v>
      </c>
      <c r="F189" s="184" t="s">
        <v>318</v>
      </c>
      <c r="G189" s="184" t="s">
        <v>368</v>
      </c>
      <c r="H189" s="184" t="s">
        <v>54</v>
      </c>
      <c r="I189" s="184" t="s">
        <v>55</v>
      </c>
      <c r="J189" s="184"/>
      <c r="K189" s="184" t="s">
        <v>56</v>
      </c>
      <c r="L189" s="184" t="s">
        <v>330</v>
      </c>
      <c r="M189" s="184"/>
      <c r="N189" s="184"/>
      <c r="O189" s="184"/>
      <c r="P189" s="184" t="b">
        <v>0</v>
      </c>
    </row>
    <row r="190" spans="1:16" ht="12.75">
      <c r="A190" s="184" t="str">
        <f t="shared" si="11"/>
        <v>HYD-HD-PRS-Ps-189</v>
      </c>
      <c r="B190" s="184">
        <v>189</v>
      </c>
      <c r="C190" s="184" t="str">
        <f t="shared" si="7"/>
        <v>[PTAC-2] Accumulator Bladder gas pressure - HD2</v>
      </c>
      <c r="D190" s="184" t="s">
        <v>419</v>
      </c>
      <c r="E190" s="184" t="s">
        <v>420</v>
      </c>
      <c r="F190" s="184" t="s">
        <v>318</v>
      </c>
      <c r="G190" s="184" t="s">
        <v>368</v>
      </c>
      <c r="H190" s="184" t="s">
        <v>54</v>
      </c>
      <c r="I190" s="184" t="s">
        <v>55</v>
      </c>
      <c r="J190" s="184"/>
      <c r="K190" s="184" t="s">
        <v>56</v>
      </c>
      <c r="L190" s="184" t="s">
        <v>330</v>
      </c>
      <c r="M190" s="184"/>
      <c r="N190" s="184"/>
      <c r="O190" s="184"/>
      <c r="P190" s="184" t="b">
        <v>0</v>
      </c>
    </row>
    <row r="191" spans="1:16" ht="12.75">
      <c r="A191" s="184" t="str">
        <f t="shared" si="11"/>
        <v>HYD-HD-PRS-Ps-190</v>
      </c>
      <c r="B191" s="184">
        <v>190</v>
      </c>
      <c r="C191" s="184" t="str">
        <f t="shared" si="7"/>
        <v>[PTAC-3] Accumulator Bladder gas pressure - HD3</v>
      </c>
      <c r="D191" s="184" t="s">
        <v>421</v>
      </c>
      <c r="E191" s="184" t="s">
        <v>422</v>
      </c>
      <c r="F191" s="184" t="s">
        <v>318</v>
      </c>
      <c r="G191" s="184" t="s">
        <v>368</v>
      </c>
      <c r="H191" s="184" t="s">
        <v>54</v>
      </c>
      <c r="I191" s="184" t="s">
        <v>55</v>
      </c>
      <c r="J191" s="184"/>
      <c r="K191" s="184" t="s">
        <v>56</v>
      </c>
      <c r="L191" s="184" t="s">
        <v>330</v>
      </c>
      <c r="M191" s="184"/>
      <c r="N191" s="184"/>
      <c r="O191" s="184"/>
      <c r="P191" s="184" t="b">
        <v>0</v>
      </c>
    </row>
    <row r="192" spans="1:16" ht="12.75">
      <c r="A192" s="184" t="str">
        <f t="shared" si="11"/>
        <v>HYD-HD-PRS-Ps-191</v>
      </c>
      <c r="B192" s="184">
        <v>191</v>
      </c>
      <c r="C192" s="184" t="str">
        <f t="shared" si="7"/>
        <v>[PTAC-4] Accumulator Bladder gas pressure - HD4</v>
      </c>
      <c r="D192" s="184" t="s">
        <v>423</v>
      </c>
      <c r="E192" s="184" t="s">
        <v>424</v>
      </c>
      <c r="F192" s="184" t="s">
        <v>318</v>
      </c>
      <c r="G192" s="184" t="s">
        <v>368</v>
      </c>
      <c r="H192" s="184" t="s">
        <v>54</v>
      </c>
      <c r="I192" s="184" t="s">
        <v>55</v>
      </c>
      <c r="J192" s="184"/>
      <c r="K192" s="184" t="s">
        <v>56</v>
      </c>
      <c r="L192" s="184" t="s">
        <v>50</v>
      </c>
      <c r="M192" s="184"/>
      <c r="N192" s="184"/>
      <c r="O192" s="184"/>
      <c r="P192" s="184" t="b">
        <v>0</v>
      </c>
    </row>
    <row r="193" spans="1:16" ht="12.75">
      <c r="A193" s="184" t="str">
        <f t="shared" si="11"/>
        <v>HYD-HD-LS-PxC-192</v>
      </c>
      <c r="B193" s="184">
        <v>192</v>
      </c>
      <c r="C193" s="184" t="str">
        <f t="shared" si="7"/>
        <v>[SWAC-1-C] Accumulator isolation valve state Closed- HD1</v>
      </c>
      <c r="D193" s="184" t="s">
        <v>425</v>
      </c>
      <c r="E193" s="184" t="s">
        <v>426</v>
      </c>
      <c r="F193" s="184" t="s">
        <v>318</v>
      </c>
      <c r="G193" s="184" t="s">
        <v>368</v>
      </c>
      <c r="H193" s="184" t="s">
        <v>107</v>
      </c>
      <c r="I193" s="184" t="s">
        <v>73</v>
      </c>
      <c r="J193" s="184"/>
      <c r="K193" s="184" t="s">
        <v>108</v>
      </c>
      <c r="L193" s="184" t="s">
        <v>50</v>
      </c>
      <c r="M193" s="184"/>
      <c r="N193" s="184"/>
      <c r="O193" s="184"/>
      <c r="P193" s="184" t="b">
        <v>0</v>
      </c>
    </row>
    <row r="194" spans="1:16" ht="12.75">
      <c r="A194" s="184" t="str">
        <f t="shared" si="11"/>
        <v>HYD-HD-LS-PxC-193</v>
      </c>
      <c r="B194" s="184">
        <v>193</v>
      </c>
      <c r="C194" s="184" t="str">
        <f t="shared" ref="C194:C257" si="12">_xlfn.TEXTJOIN("", TRUE, "[", E194,"] ",D194)</f>
        <v>[SWAC-2-C] Accumulator isolation valve state Closed- HD2</v>
      </c>
      <c r="D194" s="184" t="s">
        <v>427</v>
      </c>
      <c r="E194" s="184" t="s">
        <v>428</v>
      </c>
      <c r="F194" s="184" t="s">
        <v>318</v>
      </c>
      <c r="G194" s="184" t="s">
        <v>368</v>
      </c>
      <c r="H194" s="184" t="s">
        <v>107</v>
      </c>
      <c r="I194" s="184" t="s">
        <v>73</v>
      </c>
      <c r="J194" s="184"/>
      <c r="K194" s="184" t="s">
        <v>108</v>
      </c>
      <c r="L194" s="184" t="s">
        <v>50</v>
      </c>
      <c r="M194" s="184"/>
      <c r="N194" s="184"/>
      <c r="O194" s="184"/>
      <c r="P194" s="184" t="b">
        <v>0</v>
      </c>
    </row>
    <row r="195" spans="1:16" ht="12.75">
      <c r="A195" s="184" t="str">
        <f t="shared" si="11"/>
        <v>HYD-HD-LS-PxC-194</v>
      </c>
      <c r="B195" s="184">
        <v>194</v>
      </c>
      <c r="C195" s="184" t="str">
        <f t="shared" si="12"/>
        <v>[SWAC-3-C] Accumulator isolation valve state Closed- HD3</v>
      </c>
      <c r="D195" s="184" t="s">
        <v>429</v>
      </c>
      <c r="E195" s="184" t="s">
        <v>430</v>
      </c>
      <c r="F195" s="184" t="s">
        <v>318</v>
      </c>
      <c r="G195" s="184" t="s">
        <v>368</v>
      </c>
      <c r="H195" s="184" t="s">
        <v>107</v>
      </c>
      <c r="I195" s="184" t="s">
        <v>73</v>
      </c>
      <c r="J195" s="184"/>
      <c r="K195" s="184" t="s">
        <v>108</v>
      </c>
      <c r="L195" s="184" t="s">
        <v>50</v>
      </c>
      <c r="M195" s="184"/>
      <c r="N195" s="184"/>
      <c r="O195" s="184"/>
      <c r="P195" s="184" t="b">
        <v>0</v>
      </c>
    </row>
    <row r="196" spans="1:16" ht="12.75">
      <c r="A196" s="184" t="str">
        <f t="shared" si="11"/>
        <v>HYD-HD-LS-PxC-195</v>
      </c>
      <c r="B196" s="184">
        <v>195</v>
      </c>
      <c r="C196" s="184" t="str">
        <f t="shared" si="12"/>
        <v>[SWAC-4-C] Accumulator isolation valve state Closed - HD4</v>
      </c>
      <c r="D196" s="184" t="s">
        <v>431</v>
      </c>
      <c r="E196" s="184" t="s">
        <v>432</v>
      </c>
      <c r="F196" s="184" t="s">
        <v>318</v>
      </c>
      <c r="G196" s="184" t="s">
        <v>368</v>
      </c>
      <c r="H196" s="184" t="s">
        <v>107</v>
      </c>
      <c r="I196" s="184" t="s">
        <v>73</v>
      </c>
      <c r="J196" s="184"/>
      <c r="K196" s="184" t="s">
        <v>108</v>
      </c>
      <c r="L196" s="184" t="s">
        <v>50</v>
      </c>
      <c r="M196" s="184"/>
      <c r="N196" s="184"/>
      <c r="O196" s="184"/>
      <c r="P196" s="184" t="b">
        <v>0</v>
      </c>
    </row>
    <row r="197" spans="1:16" s="151" customFormat="1" ht="12.75">
      <c r="A197" s="184"/>
      <c r="B197" s="184">
        <v>196</v>
      </c>
      <c r="C197" s="184" t="str">
        <f t="shared" si="12"/>
        <v xml:space="preserve">[] </v>
      </c>
      <c r="D197" s="184"/>
      <c r="E197" s="184"/>
      <c r="F197" s="184"/>
      <c r="G197" s="184"/>
      <c r="H197" s="184"/>
      <c r="I197" s="184"/>
      <c r="J197" s="184"/>
      <c r="K197" s="184"/>
      <c r="L197" s="184"/>
      <c r="M197" s="184"/>
      <c r="N197" s="184"/>
      <c r="O197" s="184"/>
      <c r="P197" s="184"/>
    </row>
    <row r="198" spans="1:16" ht="12.75">
      <c r="A198" s="184" t="str">
        <f t="shared" si="11"/>
        <v>HYD-HD-LS-LVL-197</v>
      </c>
      <c r="B198" s="184">
        <v>197</v>
      </c>
      <c r="C198" s="184" t="str">
        <f t="shared" si="12"/>
        <v>[LEV-2] Hold down 1 &amp; 4 Sump level</v>
      </c>
      <c r="D198" s="184" t="s">
        <v>433</v>
      </c>
      <c r="E198" s="184" t="s">
        <v>434</v>
      </c>
      <c r="F198" s="184" t="s">
        <v>318</v>
      </c>
      <c r="G198" s="184" t="s">
        <v>368</v>
      </c>
      <c r="H198" s="184" t="s">
        <v>107</v>
      </c>
      <c r="I198" s="184" t="s">
        <v>73</v>
      </c>
      <c r="J198" s="184"/>
      <c r="K198" s="184" t="s">
        <v>435</v>
      </c>
      <c r="L198" s="184" t="s">
        <v>50</v>
      </c>
      <c r="M198" s="184"/>
      <c r="N198" s="184"/>
      <c r="O198" s="184"/>
      <c r="P198" s="184" t="b">
        <v>0</v>
      </c>
    </row>
    <row r="199" spans="1:16" ht="12.75">
      <c r="A199" s="184" t="str">
        <f t="shared" si="11"/>
        <v>HYD-HD-LS-LVL-198</v>
      </c>
      <c r="B199" s="184">
        <v>198</v>
      </c>
      <c r="C199" s="184" t="str">
        <f t="shared" si="12"/>
        <v>[LEV-3] HD 2 &amp; 3 Sump level</v>
      </c>
      <c r="D199" s="184" t="s">
        <v>436</v>
      </c>
      <c r="E199" s="184" t="s">
        <v>437</v>
      </c>
      <c r="F199" s="184" t="s">
        <v>318</v>
      </c>
      <c r="G199" s="184" t="s">
        <v>368</v>
      </c>
      <c r="H199" s="184" t="s">
        <v>107</v>
      </c>
      <c r="I199" s="184" t="s">
        <v>73</v>
      </c>
      <c r="J199" s="184"/>
      <c r="K199" s="184" t="s">
        <v>435</v>
      </c>
      <c r="L199" s="184" t="s">
        <v>50</v>
      </c>
      <c r="M199" s="184"/>
      <c r="N199" s="184"/>
      <c r="O199" s="184"/>
      <c r="P199" s="184" t="b">
        <v>0</v>
      </c>
    </row>
    <row r="200" spans="1:16" ht="12.75">
      <c r="A200" s="184" t="str">
        <f t="shared" si="11"/>
        <v>HYD-HD-MTR-B-199</v>
      </c>
      <c r="B200" s="184">
        <v>199</v>
      </c>
      <c r="C200" s="184" t="str">
        <f t="shared" si="12"/>
        <v>[M5] HD 1 &amp; 4 Sump Pump Start</v>
      </c>
      <c r="D200" s="184" t="s">
        <v>438</v>
      </c>
      <c r="E200" s="184" t="s">
        <v>439</v>
      </c>
      <c r="F200" s="184" t="s">
        <v>318</v>
      </c>
      <c r="G200" s="184" t="s">
        <v>368</v>
      </c>
      <c r="H200" s="184" t="s">
        <v>440</v>
      </c>
      <c r="I200" s="184" t="s">
        <v>48</v>
      </c>
      <c r="J200" s="184"/>
      <c r="K200" s="184" t="s">
        <v>104</v>
      </c>
      <c r="L200" s="184" t="s">
        <v>50</v>
      </c>
      <c r="M200" s="184"/>
      <c r="N200" s="184"/>
      <c r="O200" s="184"/>
      <c r="P200" s="184" t="b">
        <v>0</v>
      </c>
    </row>
    <row r="201" spans="1:16" ht="12.75">
      <c r="A201" s="184" t="str">
        <f t="shared" si="11"/>
        <v>HYD-HD-MTR-B-200</v>
      </c>
      <c r="B201" s="184">
        <v>200</v>
      </c>
      <c r="C201" s="184" t="str">
        <f t="shared" si="12"/>
        <v>[M4] HD 2 &amp; 3 Sump Pump Start</v>
      </c>
      <c r="D201" s="184" t="s">
        <v>441</v>
      </c>
      <c r="E201" s="184" t="s">
        <v>442</v>
      </c>
      <c r="F201" s="184" t="s">
        <v>318</v>
      </c>
      <c r="G201" s="184" t="s">
        <v>368</v>
      </c>
      <c r="H201" s="184" t="s">
        <v>440</v>
      </c>
      <c r="I201" s="184" t="s">
        <v>48</v>
      </c>
      <c r="J201" s="184"/>
      <c r="K201" s="184" t="s">
        <v>104</v>
      </c>
      <c r="L201" s="184" t="s">
        <v>50</v>
      </c>
      <c r="M201" s="184"/>
      <c r="N201" s="184"/>
      <c r="O201" s="184"/>
      <c r="P201" s="184" t="b">
        <v>0</v>
      </c>
    </row>
    <row r="202" spans="1:16" ht="12.75">
      <c r="A202" s="184" t="str">
        <f t="shared" si="11"/>
        <v>HYD-HD-LS-PxO-201</v>
      </c>
      <c r="B202" s="184">
        <v>201</v>
      </c>
      <c r="C202" s="184" t="str">
        <f t="shared" si="12"/>
        <v>[SW16] HD circuit bleed valve state</v>
      </c>
      <c r="D202" s="184" t="s">
        <v>443</v>
      </c>
      <c r="E202" s="184" t="s">
        <v>444</v>
      </c>
      <c r="F202" s="184" t="s">
        <v>318</v>
      </c>
      <c r="G202" s="184" t="s">
        <v>368</v>
      </c>
      <c r="H202" s="184" t="s">
        <v>107</v>
      </c>
      <c r="I202" s="184" t="s">
        <v>73</v>
      </c>
      <c r="J202" s="184"/>
      <c r="K202" s="184" t="s">
        <v>115</v>
      </c>
      <c r="L202" s="184" t="s">
        <v>50</v>
      </c>
      <c r="M202" s="184"/>
      <c r="N202" s="184"/>
      <c r="O202" s="184"/>
      <c r="P202" s="184" t="b">
        <v>0</v>
      </c>
    </row>
    <row r="203" spans="1:16" ht="12.75">
      <c r="A203" s="184" t="str">
        <f t="shared" si="11"/>
        <v>HYD-S1U-DVL-B-202</v>
      </c>
      <c r="B203" s="184">
        <v>202</v>
      </c>
      <c r="C203" s="184" t="str">
        <f t="shared" si="12"/>
        <v>[S29] S1 Umbilical accumulator bleed  - Cmd</v>
      </c>
      <c r="D203" s="184" t="s">
        <v>445</v>
      </c>
      <c r="E203" s="184" t="s">
        <v>446</v>
      </c>
      <c r="F203" s="184" t="s">
        <v>318</v>
      </c>
      <c r="G203" s="184" t="s">
        <v>53</v>
      </c>
      <c r="H203" s="184" t="s">
        <v>47</v>
      </c>
      <c r="I203" s="184" t="s">
        <v>48</v>
      </c>
      <c r="J203" s="184"/>
      <c r="K203" s="184" t="s">
        <v>104</v>
      </c>
      <c r="L203" s="184" t="s">
        <v>50</v>
      </c>
      <c r="M203" s="184"/>
      <c r="N203" s="184"/>
      <c r="O203" s="184"/>
      <c r="P203" s="184" t="b">
        <v>0</v>
      </c>
    </row>
    <row r="204" spans="1:16" ht="12.75">
      <c r="A204" s="184" t="str">
        <f t="shared" si="11"/>
        <v>HYD-S1U-DVL-B-203</v>
      </c>
      <c r="B204" s="184">
        <v>203</v>
      </c>
      <c r="C204" s="184" t="str">
        <f t="shared" si="12"/>
        <v>[S32.1] Prevalve open  - Cmd</v>
      </c>
      <c r="D204" s="184" t="s">
        <v>447</v>
      </c>
      <c r="E204" s="184" t="s">
        <v>448</v>
      </c>
      <c r="F204" s="184" t="s">
        <v>318</v>
      </c>
      <c r="G204" s="184" t="s">
        <v>53</v>
      </c>
      <c r="H204" s="184" t="s">
        <v>47</v>
      </c>
      <c r="I204" s="184" t="s">
        <v>48</v>
      </c>
      <c r="J204" s="184"/>
      <c r="K204" s="184" t="s">
        <v>104</v>
      </c>
      <c r="L204" s="184" t="s">
        <v>50</v>
      </c>
      <c r="M204" s="184"/>
      <c r="N204" s="184"/>
      <c r="O204" s="184"/>
      <c r="P204" s="184" t="b">
        <v>0</v>
      </c>
    </row>
    <row r="205" spans="1:16" ht="12.75">
      <c r="A205" s="184" t="str">
        <f t="shared" si="11"/>
        <v>HYD-S1U-DVL-B-204</v>
      </c>
      <c r="B205" s="184">
        <v>204</v>
      </c>
      <c r="C205" s="184" t="str">
        <f t="shared" si="12"/>
        <v>[S32.2] Prevalve close  - Cmd</v>
      </c>
      <c r="D205" s="184" t="s">
        <v>449</v>
      </c>
      <c r="E205" s="184" t="s">
        <v>450</v>
      </c>
      <c r="F205" s="184" t="s">
        <v>318</v>
      </c>
      <c r="G205" s="184" t="s">
        <v>53</v>
      </c>
      <c r="H205" s="184" t="s">
        <v>47</v>
      </c>
      <c r="I205" s="184" t="s">
        <v>48</v>
      </c>
      <c r="J205" s="184"/>
      <c r="K205" s="184" t="s">
        <v>104</v>
      </c>
      <c r="L205" s="184" t="s">
        <v>50</v>
      </c>
      <c r="M205" s="184"/>
      <c r="N205" s="184"/>
      <c r="O205" s="184"/>
      <c r="P205" s="184" t="b">
        <v>0</v>
      </c>
    </row>
    <row r="206" spans="1:16" ht="12.75">
      <c r="A206" s="184" t="str">
        <f t="shared" si="11"/>
        <v>HYD-S1U-DVL-B-205</v>
      </c>
      <c r="B206" s="184">
        <v>205</v>
      </c>
      <c r="C206" s="184" t="str">
        <f t="shared" si="12"/>
        <v>[S33] Prevalve back up invert actuator state  - Cmd</v>
      </c>
      <c r="D206" s="184" t="s">
        <v>451</v>
      </c>
      <c r="E206" s="184" t="s">
        <v>452</v>
      </c>
      <c r="F206" s="184" t="s">
        <v>318</v>
      </c>
      <c r="G206" s="184" t="s">
        <v>53</v>
      </c>
      <c r="H206" s="184" t="s">
        <v>47</v>
      </c>
      <c r="I206" s="184" t="s">
        <v>48</v>
      </c>
      <c r="J206" s="184"/>
      <c r="K206" s="184" t="s">
        <v>104</v>
      </c>
      <c r="L206" s="184" t="s">
        <v>50</v>
      </c>
      <c r="M206" s="184"/>
      <c r="N206" s="184"/>
      <c r="O206" s="184"/>
      <c r="P206" s="184" t="b">
        <v>0</v>
      </c>
    </row>
    <row r="207" spans="1:16" ht="12.75">
      <c r="A207" s="184" t="str">
        <f t="shared" si="11"/>
        <v>HYD-PRV-DVL-B-206</v>
      </c>
      <c r="B207" s="184">
        <v>206</v>
      </c>
      <c r="C207" s="184" t="str">
        <f t="shared" si="12"/>
        <v>[S38 - S39] Prevalve bleed  - Cmd</v>
      </c>
      <c r="D207" s="184" t="s">
        <v>453</v>
      </c>
      <c r="E207" s="184" t="s">
        <v>454</v>
      </c>
      <c r="F207" s="184" t="s">
        <v>318</v>
      </c>
      <c r="G207" s="184" t="s">
        <v>455</v>
      </c>
      <c r="H207" s="184" t="s">
        <v>47</v>
      </c>
      <c r="I207" s="184" t="s">
        <v>48</v>
      </c>
      <c r="J207" s="184"/>
      <c r="K207" s="184" t="s">
        <v>104</v>
      </c>
      <c r="L207" s="184" t="s">
        <v>50</v>
      </c>
      <c r="M207" s="184"/>
      <c r="N207" s="184"/>
      <c r="O207" s="184"/>
      <c r="P207" s="184" t="b">
        <v>0</v>
      </c>
    </row>
    <row r="208" spans="1:16" ht="12.75">
      <c r="A208" s="184" t="str">
        <f t="shared" si="11"/>
        <v>HYD-S1U-DVL-B-207</v>
      </c>
      <c r="B208" s="184">
        <v>207</v>
      </c>
      <c r="C208" s="184" t="str">
        <f t="shared" si="12"/>
        <v>[S34 - S36] S1 Umbilical high speed retract primary  - Cmd</v>
      </c>
      <c r="D208" s="184" t="s">
        <v>456</v>
      </c>
      <c r="E208" s="184" t="s">
        <v>457</v>
      </c>
      <c r="F208" s="184" t="s">
        <v>318</v>
      </c>
      <c r="G208" s="184" t="s">
        <v>53</v>
      </c>
      <c r="H208" s="184" t="s">
        <v>47</v>
      </c>
      <c r="I208" s="184" t="s">
        <v>48</v>
      </c>
      <c r="J208" s="184"/>
      <c r="K208" s="184" t="s">
        <v>104</v>
      </c>
      <c r="L208" s="184" t="s">
        <v>50</v>
      </c>
      <c r="M208" s="184"/>
      <c r="N208" s="184"/>
      <c r="O208" s="184"/>
      <c r="P208" s="184" t="b">
        <v>0</v>
      </c>
    </row>
    <row r="209" spans="1:16" ht="12.75">
      <c r="A209" s="184" t="str">
        <f t="shared" si="11"/>
        <v>HYD-S1U-DVL-B-208</v>
      </c>
      <c r="B209" s="184">
        <v>208</v>
      </c>
      <c r="C209" s="184" t="str">
        <f t="shared" si="12"/>
        <v>[S30.1] S1 Umbilical Primary Slow Extend  - Cmd</v>
      </c>
      <c r="D209" s="184" t="s">
        <v>458</v>
      </c>
      <c r="E209" s="184" t="s">
        <v>459</v>
      </c>
      <c r="F209" s="184" t="s">
        <v>318</v>
      </c>
      <c r="G209" s="184" t="s">
        <v>53</v>
      </c>
      <c r="H209" s="184" t="s">
        <v>47</v>
      </c>
      <c r="I209" s="184" t="s">
        <v>48</v>
      </c>
      <c r="J209" s="184"/>
      <c r="K209" s="184" t="s">
        <v>104</v>
      </c>
      <c r="L209" s="184" t="s">
        <v>50</v>
      </c>
      <c r="M209" s="184"/>
      <c r="N209" s="184"/>
      <c r="O209" s="184"/>
      <c r="P209" s="184" t="b">
        <v>0</v>
      </c>
    </row>
    <row r="210" spans="1:16" ht="12.75">
      <c r="A210" s="184" t="str">
        <f t="shared" si="11"/>
        <v>HYD-S1U-DVL-B-209</v>
      </c>
      <c r="B210" s="184">
        <v>209</v>
      </c>
      <c r="C210" s="184" t="str">
        <f t="shared" si="12"/>
        <v>[S30.2] S1 Umbilical Primary Slow Retract  - Cmd</v>
      </c>
      <c r="D210" s="184" t="s">
        <v>460</v>
      </c>
      <c r="E210" s="184" t="s">
        <v>461</v>
      </c>
      <c r="F210" s="184" t="s">
        <v>318</v>
      </c>
      <c r="G210" s="184" t="s">
        <v>53</v>
      </c>
      <c r="H210" s="184" t="s">
        <v>47</v>
      </c>
      <c r="I210" s="184" t="s">
        <v>48</v>
      </c>
      <c r="J210" s="184"/>
      <c r="K210" s="184" t="s">
        <v>104</v>
      </c>
      <c r="L210" s="184" t="s">
        <v>50</v>
      </c>
      <c r="M210" s="184"/>
      <c r="N210" s="184"/>
      <c r="O210" s="184"/>
      <c r="P210" s="184" t="b">
        <v>0</v>
      </c>
    </row>
    <row r="211" spans="1:16" ht="12.75">
      <c r="A211" s="184" t="str">
        <f t="shared" si="11"/>
        <v>HYD-S1U-DVL-B-210</v>
      </c>
      <c r="B211" s="184">
        <v>210</v>
      </c>
      <c r="C211" s="184" t="str">
        <f t="shared" si="12"/>
        <v>[S31.1] S1 Umbilical Secondary Slow Extend  - Cmd</v>
      </c>
      <c r="D211" s="184" t="s">
        <v>462</v>
      </c>
      <c r="E211" s="184" t="s">
        <v>463</v>
      </c>
      <c r="F211" s="184" t="s">
        <v>318</v>
      </c>
      <c r="G211" s="184" t="s">
        <v>53</v>
      </c>
      <c r="H211" s="184" t="s">
        <v>47</v>
      </c>
      <c r="I211" s="184" t="s">
        <v>48</v>
      </c>
      <c r="J211" s="184"/>
      <c r="K211" s="184" t="s">
        <v>104</v>
      </c>
      <c r="L211" s="184" t="s">
        <v>50</v>
      </c>
      <c r="M211" s="184"/>
      <c r="N211" s="184"/>
      <c r="O211" s="184"/>
      <c r="P211" s="184" t="b">
        <v>0</v>
      </c>
    </row>
    <row r="212" spans="1:16" ht="12.75">
      <c r="A212" s="184" t="str">
        <f t="shared" si="11"/>
        <v>HYD-S1U-DVL-B-211</v>
      </c>
      <c r="B212" s="184">
        <v>211</v>
      </c>
      <c r="C212" s="184" t="str">
        <f t="shared" si="12"/>
        <v>[S31.2] S1 Umbilical Secondary Slow Retract  - Cmd</v>
      </c>
      <c r="D212" s="184" t="s">
        <v>464</v>
      </c>
      <c r="E212" s="184" t="s">
        <v>465</v>
      </c>
      <c r="F212" s="184" t="s">
        <v>318</v>
      </c>
      <c r="G212" s="184" t="s">
        <v>53</v>
      </c>
      <c r="H212" s="184" t="s">
        <v>47</v>
      </c>
      <c r="I212" s="184" t="s">
        <v>48</v>
      </c>
      <c r="J212" s="184"/>
      <c r="K212" s="184" t="s">
        <v>104</v>
      </c>
      <c r="L212" s="184" t="s">
        <v>50</v>
      </c>
      <c r="M212" s="184"/>
      <c r="N212" s="184"/>
      <c r="O212" s="184"/>
      <c r="P212" s="184" t="b">
        <v>0</v>
      </c>
    </row>
    <row r="213" spans="1:16" ht="12.75">
      <c r="A213" s="184" t="str">
        <f t="shared" si="11"/>
        <v>HYD-S1U-PRS-Ps-212</v>
      </c>
      <c r="B213" s="184">
        <v>212</v>
      </c>
      <c r="C213" s="184" t="str">
        <f t="shared" si="12"/>
        <v>[PTA-5] S1 Umbilical instroke pressure</v>
      </c>
      <c r="D213" s="184" t="s">
        <v>466</v>
      </c>
      <c r="E213" s="184" t="s">
        <v>467</v>
      </c>
      <c r="F213" s="184" t="s">
        <v>318</v>
      </c>
      <c r="G213" s="184" t="s">
        <v>53</v>
      </c>
      <c r="H213" s="184" t="s">
        <v>54</v>
      </c>
      <c r="I213" s="184" t="s">
        <v>55</v>
      </c>
      <c r="J213" s="184"/>
      <c r="K213" s="184" t="s">
        <v>56</v>
      </c>
      <c r="L213" s="184" t="s">
        <v>330</v>
      </c>
      <c r="M213" s="184"/>
      <c r="N213" s="184"/>
      <c r="O213" s="184"/>
      <c r="P213" s="184" t="b">
        <v>0</v>
      </c>
    </row>
    <row r="214" spans="1:16" ht="12.75">
      <c r="A214" s="184" t="str">
        <f t="shared" si="11"/>
        <v>HYD-S1U-PRS-Ps-213</v>
      </c>
      <c r="B214" s="184">
        <v>213</v>
      </c>
      <c r="C214" s="184" t="str">
        <f t="shared" si="12"/>
        <v>[PTB-5] S1 Umbilical outstroke pressure</v>
      </c>
      <c r="D214" s="184" t="s">
        <v>468</v>
      </c>
      <c r="E214" s="184" t="s">
        <v>469</v>
      </c>
      <c r="F214" s="184" t="s">
        <v>318</v>
      </c>
      <c r="G214" s="184" t="s">
        <v>53</v>
      </c>
      <c r="H214" s="184" t="s">
        <v>54</v>
      </c>
      <c r="I214" s="184" t="s">
        <v>55</v>
      </c>
      <c r="J214" s="184"/>
      <c r="K214" s="184" t="s">
        <v>56</v>
      </c>
      <c r="L214" s="184" t="s">
        <v>330</v>
      </c>
      <c r="M214" s="184"/>
      <c r="N214" s="184"/>
      <c r="O214" s="184"/>
      <c r="P214" s="184" t="b">
        <v>0</v>
      </c>
    </row>
    <row r="215" spans="1:16" ht="12.75">
      <c r="A215" s="184" t="str">
        <f t="shared" si="11"/>
        <v>HYD-S1U-PRS-Ps-214</v>
      </c>
      <c r="B215" s="184">
        <v>214</v>
      </c>
      <c r="C215" s="184" t="str">
        <f t="shared" si="12"/>
        <v>[PTA-6] Prevalve drive</v>
      </c>
      <c r="D215" s="184" t="s">
        <v>470</v>
      </c>
      <c r="E215" s="184" t="s">
        <v>471</v>
      </c>
      <c r="F215" s="184" t="s">
        <v>318</v>
      </c>
      <c r="G215" s="184" t="s">
        <v>53</v>
      </c>
      <c r="H215" s="184" t="s">
        <v>54</v>
      </c>
      <c r="I215" s="184" t="s">
        <v>55</v>
      </c>
      <c r="J215" s="184"/>
      <c r="K215" s="184" t="s">
        <v>56</v>
      </c>
      <c r="L215" s="184" t="s">
        <v>330</v>
      </c>
      <c r="M215" s="184"/>
      <c r="N215" s="184"/>
      <c r="O215" s="184"/>
      <c r="P215" s="184" t="b">
        <v>0</v>
      </c>
    </row>
    <row r="216" spans="1:16" ht="12.75">
      <c r="A216" s="184" t="str">
        <f t="shared" si="11"/>
        <v>HYD-S1U-PRS-Ps-215</v>
      </c>
      <c r="B216" s="184">
        <v>215</v>
      </c>
      <c r="C216" s="184" t="str">
        <f t="shared" si="12"/>
        <v>[PTB-6] Prevalve drive</v>
      </c>
      <c r="D216" s="184" t="s">
        <v>470</v>
      </c>
      <c r="E216" s="184" t="s">
        <v>472</v>
      </c>
      <c r="F216" s="184" t="s">
        <v>318</v>
      </c>
      <c r="G216" s="184" t="s">
        <v>53</v>
      </c>
      <c r="H216" s="184" t="s">
        <v>54</v>
      </c>
      <c r="I216" s="184" t="s">
        <v>55</v>
      </c>
      <c r="J216" s="184"/>
      <c r="K216" s="184" t="s">
        <v>56</v>
      </c>
      <c r="L216" s="184" t="s">
        <v>330</v>
      </c>
      <c r="M216" s="184"/>
      <c r="N216" s="184"/>
      <c r="O216" s="184"/>
      <c r="P216" s="184" t="b">
        <v>0</v>
      </c>
    </row>
    <row r="217" spans="1:16" ht="12.75" hidden="1">
      <c r="A217" s="184" t="str">
        <f t="shared" si="11"/>
        <v>HYD-HD-DVL-B-216</v>
      </c>
      <c r="B217" s="184">
        <v>216</v>
      </c>
      <c r="C217" s="184" t="str">
        <f t="shared" si="12"/>
        <v>[S16] HD circuit bleed Cmd</v>
      </c>
      <c r="D217" s="184" t="s">
        <v>473</v>
      </c>
      <c r="E217" s="184" t="s">
        <v>474</v>
      </c>
      <c r="F217" s="184" t="s">
        <v>318</v>
      </c>
      <c r="G217" s="184" t="s">
        <v>368</v>
      </c>
      <c r="H217" s="184" t="s">
        <v>47</v>
      </c>
      <c r="I217" s="184" t="s">
        <v>48</v>
      </c>
      <c r="J217" s="184"/>
      <c r="K217" s="184" t="s">
        <v>104</v>
      </c>
      <c r="L217" s="184" t="s">
        <v>50</v>
      </c>
      <c r="M217" s="184"/>
      <c r="N217" s="184"/>
      <c r="O217" s="184"/>
      <c r="P217" s="184" t="b">
        <v>0</v>
      </c>
    </row>
    <row r="218" spans="1:16" ht="12.75">
      <c r="A218" s="184" t="str">
        <f t="shared" si="11"/>
        <v>HYD-S1U-PRS-Ps-217</v>
      </c>
      <c r="B218" s="184">
        <v>217</v>
      </c>
      <c r="C218" s="184" t="str">
        <f t="shared" si="12"/>
        <v>[PTAC-5] S1 Umbilical Accumulator Bladder Pressure</v>
      </c>
      <c r="D218" s="184" t="s">
        <v>475</v>
      </c>
      <c r="E218" s="184" t="s">
        <v>476</v>
      </c>
      <c r="F218" s="184" t="s">
        <v>318</v>
      </c>
      <c r="G218" s="184" t="s">
        <v>53</v>
      </c>
      <c r="H218" s="184" t="s">
        <v>54</v>
      </c>
      <c r="I218" s="184" t="s">
        <v>55</v>
      </c>
      <c r="J218" s="184"/>
      <c r="K218" s="184" t="s">
        <v>56</v>
      </c>
      <c r="L218" s="184" t="s">
        <v>330</v>
      </c>
      <c r="M218" s="184"/>
      <c r="N218" s="184"/>
      <c r="O218" s="184"/>
      <c r="P218" s="184" t="b">
        <v>0</v>
      </c>
    </row>
    <row r="219" spans="1:16" ht="12.75">
      <c r="A219" s="184" t="str">
        <f t="shared" si="11"/>
        <v>HYD-S1U-PRS-Ps-218</v>
      </c>
      <c r="B219" s="184">
        <v>218</v>
      </c>
      <c r="C219" s="184" t="str">
        <f t="shared" si="12"/>
        <v>[PT-5] S1 Umbilical circuit pressure</v>
      </c>
      <c r="D219" s="184" t="s">
        <v>477</v>
      </c>
      <c r="E219" s="184" t="s">
        <v>478</v>
      </c>
      <c r="F219" s="184" t="s">
        <v>318</v>
      </c>
      <c r="G219" s="184" t="s">
        <v>53</v>
      </c>
      <c r="H219" s="184" t="s">
        <v>54</v>
      </c>
      <c r="I219" s="184" t="s">
        <v>55</v>
      </c>
      <c r="J219" s="184"/>
      <c r="K219" s="184" t="s">
        <v>56</v>
      </c>
      <c r="L219" s="184" t="s">
        <v>330</v>
      </c>
      <c r="M219" s="184"/>
      <c r="N219" s="184"/>
      <c r="O219" s="184"/>
      <c r="P219" s="184" t="b">
        <v>0</v>
      </c>
    </row>
    <row r="220" spans="1:16" ht="12.75">
      <c r="A220" s="184" t="str">
        <f t="shared" si="11"/>
        <v>HYD-S1U-LS-PxO-219</v>
      </c>
      <c r="B220" s="184">
        <v>219</v>
      </c>
      <c r="C220" s="184" t="str">
        <f t="shared" si="12"/>
        <v>[SWAC-5-O] S1 Umbilical Accumulator Isolator open</v>
      </c>
      <c r="D220" s="184" t="s">
        <v>479</v>
      </c>
      <c r="E220" s="184" t="s">
        <v>480</v>
      </c>
      <c r="F220" s="184" t="s">
        <v>318</v>
      </c>
      <c r="G220" s="184" t="s">
        <v>53</v>
      </c>
      <c r="H220" s="184" t="s">
        <v>107</v>
      </c>
      <c r="I220" s="184" t="s">
        <v>73</v>
      </c>
      <c r="J220" s="184"/>
      <c r="K220" s="184" t="s">
        <v>115</v>
      </c>
      <c r="L220" s="184" t="s">
        <v>50</v>
      </c>
      <c r="M220" s="184"/>
      <c r="N220" s="184"/>
      <c r="O220" s="184"/>
      <c r="P220" s="184" t="b">
        <v>0</v>
      </c>
    </row>
    <row r="221" spans="1:16" ht="12.75">
      <c r="A221" s="184" t="str">
        <f t="shared" si="11"/>
        <v>HYD-S1U-LS-PxO-220</v>
      </c>
      <c r="B221" s="184">
        <v>220</v>
      </c>
      <c r="C221" s="184" t="str">
        <f t="shared" si="12"/>
        <v>[SWAC-6-O] S1 Umbilical extend accumulator Isolator open</v>
      </c>
      <c r="D221" s="184" t="s">
        <v>481</v>
      </c>
      <c r="E221" s="184" t="s">
        <v>482</v>
      </c>
      <c r="F221" s="184" t="s">
        <v>318</v>
      </c>
      <c r="G221" s="184" t="s">
        <v>53</v>
      </c>
      <c r="H221" s="184" t="s">
        <v>107</v>
      </c>
      <c r="I221" s="184" t="s">
        <v>73</v>
      </c>
      <c r="J221" s="184"/>
      <c r="K221" s="184" t="s">
        <v>115</v>
      </c>
      <c r="L221" s="184" t="s">
        <v>50</v>
      </c>
      <c r="M221" s="184"/>
      <c r="N221" s="184"/>
      <c r="O221" s="184"/>
      <c r="P221" s="184" t="b">
        <v>0</v>
      </c>
    </row>
    <row r="222" spans="1:16" ht="12.75">
      <c r="A222" s="184" t="str">
        <f t="shared" si="11"/>
        <v>HYD-S1U-PXS-PxE-221</v>
      </c>
      <c r="B222" s="184">
        <v>221</v>
      </c>
      <c r="C222" s="184" t="str">
        <f t="shared" si="12"/>
        <v>[HYD-S1U-PXS-Px-221] S1 Position Prox 1 Extended</v>
      </c>
      <c r="D222" s="184" t="s">
        <v>483</v>
      </c>
      <c r="E222" s="184" t="s">
        <v>484</v>
      </c>
      <c r="F222" s="184" t="s">
        <v>318</v>
      </c>
      <c r="G222" s="184" t="s">
        <v>53</v>
      </c>
      <c r="H222" s="184" t="s">
        <v>485</v>
      </c>
      <c r="I222" s="184" t="s">
        <v>73</v>
      </c>
      <c r="J222" s="184"/>
      <c r="K222" s="184" t="s">
        <v>486</v>
      </c>
      <c r="L222" s="184" t="s">
        <v>50</v>
      </c>
      <c r="M222" s="184"/>
      <c r="N222" s="184"/>
      <c r="O222" s="184"/>
      <c r="P222" s="184" t="b">
        <v>0</v>
      </c>
    </row>
    <row r="223" spans="1:16" ht="12.75">
      <c r="A223" s="184" t="str">
        <f t="shared" si="11"/>
        <v>HYD-S1U-PXS-Px-222</v>
      </c>
      <c r="B223" s="184">
        <v>222</v>
      </c>
      <c r="C223" s="184" t="str">
        <f t="shared" si="12"/>
        <v>[HYD-S1U-PXS-Px-222] S1 Position Prox 2 Cleared Flame Bucket</v>
      </c>
      <c r="D223" s="184" t="s">
        <v>487</v>
      </c>
      <c r="E223" s="184" t="s">
        <v>488</v>
      </c>
      <c r="F223" s="184" t="s">
        <v>318</v>
      </c>
      <c r="G223" s="184" t="s">
        <v>53</v>
      </c>
      <c r="H223" s="184" t="s">
        <v>485</v>
      </c>
      <c r="I223" s="184" t="s">
        <v>73</v>
      </c>
      <c r="J223" s="184"/>
      <c r="K223" s="184" t="s">
        <v>489</v>
      </c>
      <c r="L223" s="184" t="s">
        <v>50</v>
      </c>
      <c r="M223" s="184"/>
      <c r="N223" s="184"/>
      <c r="O223" s="184"/>
      <c r="P223" s="184" t="b">
        <v>0</v>
      </c>
    </row>
    <row r="224" spans="1:16" ht="12.75">
      <c r="A224" s="184" t="str">
        <f t="shared" si="11"/>
        <v>HYD-S1U-PXS-Px-223</v>
      </c>
      <c r="B224" s="184">
        <v>223</v>
      </c>
      <c r="C224" s="184" t="str">
        <f t="shared" si="12"/>
        <v>[HYD-S1U-PXS-Px-223] S1 Position Prox 3 Cleared Flame Bucket</v>
      </c>
      <c r="D224" s="184" t="s">
        <v>490</v>
      </c>
      <c r="E224" s="184" t="s">
        <v>491</v>
      </c>
      <c r="F224" s="184" t="s">
        <v>318</v>
      </c>
      <c r="G224" s="184" t="s">
        <v>53</v>
      </c>
      <c r="H224" s="184" t="s">
        <v>485</v>
      </c>
      <c r="I224" s="184" t="s">
        <v>73</v>
      </c>
      <c r="J224" s="184"/>
      <c r="K224" s="184" t="s">
        <v>489</v>
      </c>
      <c r="L224" s="184" t="s">
        <v>50</v>
      </c>
      <c r="M224" s="184"/>
      <c r="N224" s="184"/>
      <c r="O224" s="184"/>
      <c r="P224" s="184" t="b">
        <v>0</v>
      </c>
    </row>
    <row r="225" spans="1:16" ht="12.75">
      <c r="A225" s="184" t="str">
        <f t="shared" si="11"/>
        <v>HYD-S1U-PXS-PxR-224</v>
      </c>
      <c r="B225" s="184">
        <v>224</v>
      </c>
      <c r="C225" s="184" t="str">
        <f t="shared" si="12"/>
        <v>[HYD-S1U-PXS-Px-224] S1 Position Prox 4 Retracted</v>
      </c>
      <c r="D225" s="184" t="s">
        <v>492</v>
      </c>
      <c r="E225" s="184" t="s">
        <v>493</v>
      </c>
      <c r="F225" s="184" t="s">
        <v>318</v>
      </c>
      <c r="G225" s="184" t="s">
        <v>53</v>
      </c>
      <c r="H225" s="184" t="s">
        <v>485</v>
      </c>
      <c r="I225" s="184" t="s">
        <v>73</v>
      </c>
      <c r="J225" s="184"/>
      <c r="K225" s="184" t="s">
        <v>494</v>
      </c>
      <c r="L225" s="184" t="s">
        <v>50</v>
      </c>
      <c r="M225" s="184"/>
      <c r="N225" s="184"/>
      <c r="O225" s="184"/>
      <c r="P225" s="184" t="b">
        <v>0</v>
      </c>
    </row>
    <row r="226" spans="1:16" ht="12.75">
      <c r="A226" s="184" t="str">
        <f t="shared" si="11"/>
        <v>HYD-HD-PXS-PxO-225</v>
      </c>
      <c r="B226" s="184">
        <v>225</v>
      </c>
      <c r="C226" s="184" t="str">
        <f t="shared" si="12"/>
        <v>[HYD-HD-PXS-Px-225] Prox Open - HD Lock 1</v>
      </c>
      <c r="D226" s="184" t="s">
        <v>495</v>
      </c>
      <c r="E226" s="184" t="s">
        <v>496</v>
      </c>
      <c r="F226" s="184" t="s">
        <v>318</v>
      </c>
      <c r="G226" s="184" t="s">
        <v>368</v>
      </c>
      <c r="H226" s="184" t="s">
        <v>485</v>
      </c>
      <c r="I226" s="184" t="s">
        <v>73</v>
      </c>
      <c r="J226" s="184"/>
      <c r="K226" s="184" t="s">
        <v>115</v>
      </c>
      <c r="L226" s="184" t="s">
        <v>50</v>
      </c>
      <c r="M226" s="184"/>
      <c r="N226" s="184"/>
      <c r="O226" s="184"/>
      <c r="P226" s="184" t="b">
        <v>0</v>
      </c>
    </row>
    <row r="227" spans="1:16" ht="12.75">
      <c r="A227" s="184" t="str">
        <f t="shared" si="11"/>
        <v>HYD-HD-PXS-PxO-226</v>
      </c>
      <c r="B227" s="184">
        <v>226</v>
      </c>
      <c r="C227" s="184" t="str">
        <f t="shared" si="12"/>
        <v>[HYD-HD-PXS-Px-226] Prox Open - HD Lock 2</v>
      </c>
      <c r="D227" s="184" t="s">
        <v>497</v>
      </c>
      <c r="E227" s="184" t="s">
        <v>498</v>
      </c>
      <c r="F227" s="184" t="s">
        <v>318</v>
      </c>
      <c r="G227" s="184" t="s">
        <v>368</v>
      </c>
      <c r="H227" s="184" t="s">
        <v>485</v>
      </c>
      <c r="I227" s="184" t="s">
        <v>73</v>
      </c>
      <c r="J227" s="184"/>
      <c r="K227" s="184" t="s">
        <v>115</v>
      </c>
      <c r="L227" s="184" t="s">
        <v>50</v>
      </c>
      <c r="M227" s="184"/>
      <c r="N227" s="184"/>
      <c r="O227" s="184"/>
      <c r="P227" s="184" t="b">
        <v>0</v>
      </c>
    </row>
    <row r="228" spans="1:16" ht="12.75">
      <c r="A228" s="184" t="str">
        <f t="shared" si="11"/>
        <v>HYD-HD-PXS-PxO-227</v>
      </c>
      <c r="B228" s="184">
        <v>227</v>
      </c>
      <c r="C228" s="184" t="str">
        <f t="shared" si="12"/>
        <v>[HYD-HD-PXS-Px-227] Prox Open - HD Lock 3</v>
      </c>
      <c r="D228" s="184" t="s">
        <v>499</v>
      </c>
      <c r="E228" s="184" t="s">
        <v>500</v>
      </c>
      <c r="F228" s="184" t="s">
        <v>318</v>
      </c>
      <c r="G228" s="184" t="s">
        <v>368</v>
      </c>
      <c r="H228" s="184" t="s">
        <v>485</v>
      </c>
      <c r="I228" s="184" t="s">
        <v>73</v>
      </c>
      <c r="J228" s="184"/>
      <c r="K228" s="184" t="s">
        <v>115</v>
      </c>
      <c r="L228" s="184" t="s">
        <v>50</v>
      </c>
      <c r="M228" s="184"/>
      <c r="N228" s="184"/>
      <c r="O228" s="184"/>
      <c r="P228" s="184" t="b">
        <v>0</v>
      </c>
    </row>
    <row r="229" spans="1:16" ht="12.75">
      <c r="A229" s="184" t="str">
        <f t="shared" ref="A229:A292" si="13">CONCATENATE(VLOOKUP(F229,Systems,2,FALSE),"-",VLOOKUP(G229,Subsystems,2,FALSE),"-",VLOOKUP(H229,Components,2,FALSE),"-",VLOOKUP(K229,Metrics,2,FALSE),"-",B229)</f>
        <v>HYD-HD-PXS-PxO-228</v>
      </c>
      <c r="B229" s="184">
        <v>228</v>
      </c>
      <c r="C229" s="184" t="str">
        <f t="shared" si="12"/>
        <v>[HYD-HD-PXS-Px-228] Prox Open - HD Lock 4</v>
      </c>
      <c r="D229" s="184" t="s">
        <v>501</v>
      </c>
      <c r="E229" s="184" t="s">
        <v>502</v>
      </c>
      <c r="F229" s="184" t="s">
        <v>318</v>
      </c>
      <c r="G229" s="184" t="s">
        <v>368</v>
      </c>
      <c r="H229" s="184" t="s">
        <v>485</v>
      </c>
      <c r="I229" s="184" t="s">
        <v>73</v>
      </c>
      <c r="J229" s="184"/>
      <c r="K229" s="184" t="s">
        <v>115</v>
      </c>
      <c r="L229" s="184" t="s">
        <v>50</v>
      </c>
      <c r="M229" s="184"/>
      <c r="N229" s="184"/>
      <c r="O229" s="184"/>
      <c r="P229" s="184" t="b">
        <v>0</v>
      </c>
    </row>
    <row r="230" spans="1:16" ht="12.75">
      <c r="A230" s="184" t="str">
        <f t="shared" si="13"/>
        <v>HYD-HD-PXS-PxC-229</v>
      </c>
      <c r="B230" s="184">
        <v>229</v>
      </c>
      <c r="C230" s="184" t="str">
        <f t="shared" si="12"/>
        <v>[HYD-HD-PXS-Px-229] Prox Closed - HD Lock 1</v>
      </c>
      <c r="D230" s="184" t="s">
        <v>503</v>
      </c>
      <c r="E230" s="184" t="s">
        <v>504</v>
      </c>
      <c r="F230" s="184" t="s">
        <v>318</v>
      </c>
      <c r="G230" s="184" t="s">
        <v>368</v>
      </c>
      <c r="H230" s="184" t="s">
        <v>485</v>
      </c>
      <c r="I230" s="184" t="s">
        <v>73</v>
      </c>
      <c r="J230" s="184"/>
      <c r="K230" s="184" t="s">
        <v>108</v>
      </c>
      <c r="L230" s="184" t="s">
        <v>50</v>
      </c>
      <c r="M230" s="184"/>
      <c r="N230" s="184"/>
      <c r="O230" s="184"/>
      <c r="P230" s="184" t="b">
        <v>0</v>
      </c>
    </row>
    <row r="231" spans="1:16" ht="12.75">
      <c r="A231" s="184" t="str">
        <f t="shared" si="13"/>
        <v>HYD-HD-PXS-PxC-230</v>
      </c>
      <c r="B231" s="184">
        <v>230</v>
      </c>
      <c r="C231" s="184" t="str">
        <f t="shared" si="12"/>
        <v>[HYD-HD-PXS-Px-230] Prox Closed - HD Lock 2</v>
      </c>
      <c r="D231" s="184" t="s">
        <v>505</v>
      </c>
      <c r="E231" s="184" t="s">
        <v>506</v>
      </c>
      <c r="F231" s="184" t="s">
        <v>318</v>
      </c>
      <c r="G231" s="184" t="s">
        <v>368</v>
      </c>
      <c r="H231" s="184" t="s">
        <v>485</v>
      </c>
      <c r="I231" s="184" t="s">
        <v>73</v>
      </c>
      <c r="J231" s="184"/>
      <c r="K231" s="184" t="s">
        <v>108</v>
      </c>
      <c r="L231" s="184" t="s">
        <v>50</v>
      </c>
      <c r="M231" s="184"/>
      <c r="N231" s="184"/>
      <c r="O231" s="184"/>
      <c r="P231" s="184" t="b">
        <v>0</v>
      </c>
    </row>
    <row r="232" spans="1:16" ht="12.75">
      <c r="A232" s="184" t="str">
        <f t="shared" si="13"/>
        <v>HYD-HD-PXS-PxC-231</v>
      </c>
      <c r="B232" s="184">
        <v>231</v>
      </c>
      <c r="C232" s="184" t="str">
        <f t="shared" si="12"/>
        <v>[HYD-HD-PXS-Px-231] Prox Closed - HD Lock 3</v>
      </c>
      <c r="D232" s="184" t="s">
        <v>507</v>
      </c>
      <c r="E232" s="184" t="s">
        <v>508</v>
      </c>
      <c r="F232" s="184" t="s">
        <v>318</v>
      </c>
      <c r="G232" s="184" t="s">
        <v>368</v>
      </c>
      <c r="H232" s="184" t="s">
        <v>485</v>
      </c>
      <c r="I232" s="184" t="s">
        <v>73</v>
      </c>
      <c r="J232" s="184"/>
      <c r="K232" s="184" t="s">
        <v>108</v>
      </c>
      <c r="L232" s="184" t="s">
        <v>50</v>
      </c>
      <c r="M232" s="184"/>
      <c r="N232" s="184"/>
      <c r="O232" s="184"/>
      <c r="P232" s="184" t="b">
        <v>0</v>
      </c>
    </row>
    <row r="233" spans="1:16" ht="12.75">
      <c r="A233" s="184" t="str">
        <f t="shared" si="13"/>
        <v>HYD-HD-PXS-PxC-232</v>
      </c>
      <c r="B233" s="184">
        <v>232</v>
      </c>
      <c r="C233" s="184" t="str">
        <f t="shared" si="12"/>
        <v>[HYD-HD-PXS-Px-232] Prox Closed - HD Lock 4</v>
      </c>
      <c r="D233" s="184" t="s">
        <v>509</v>
      </c>
      <c r="E233" s="184" t="s">
        <v>510</v>
      </c>
      <c r="F233" s="184" t="s">
        <v>318</v>
      </c>
      <c r="G233" s="184" t="s">
        <v>368</v>
      </c>
      <c r="H233" s="184" t="s">
        <v>485</v>
      </c>
      <c r="I233" s="184" t="s">
        <v>73</v>
      </c>
      <c r="J233" s="184"/>
      <c r="K233" s="184" t="s">
        <v>108</v>
      </c>
      <c r="L233" s="184" t="s">
        <v>50</v>
      </c>
      <c r="M233" s="184"/>
      <c r="N233" s="184"/>
      <c r="O233" s="184"/>
      <c r="P233" s="184" t="b">
        <v>0</v>
      </c>
    </row>
    <row r="234" spans="1:16" ht="12.75">
      <c r="A234" s="184" t="str">
        <f t="shared" si="13"/>
        <v>HYD-HD-PXS-PxE-233</v>
      </c>
      <c r="B234" s="184">
        <v>233</v>
      </c>
      <c r="C234" s="184" t="str">
        <f t="shared" si="12"/>
        <v>[HYD-HD-PXS-PxE-233] Prox Extended HD 1</v>
      </c>
      <c r="D234" s="184" t="s">
        <v>511</v>
      </c>
      <c r="E234" s="184" t="s">
        <v>512</v>
      </c>
      <c r="F234" s="184" t="s">
        <v>318</v>
      </c>
      <c r="G234" s="184" t="s">
        <v>368</v>
      </c>
      <c r="H234" s="184" t="s">
        <v>485</v>
      </c>
      <c r="I234" s="184" t="s">
        <v>73</v>
      </c>
      <c r="J234" s="184"/>
      <c r="K234" s="184" t="s">
        <v>486</v>
      </c>
      <c r="L234" s="184" t="s">
        <v>50</v>
      </c>
      <c r="M234" s="184"/>
      <c r="N234" s="184"/>
      <c r="O234" s="184"/>
      <c r="P234" s="184" t="b">
        <v>0</v>
      </c>
    </row>
    <row r="235" spans="1:16" ht="12.75">
      <c r="A235" s="184" t="str">
        <f t="shared" si="13"/>
        <v>HYD-HD-PXS-PxE-234</v>
      </c>
      <c r="B235" s="184">
        <v>234</v>
      </c>
      <c r="C235" s="184" t="str">
        <f t="shared" si="12"/>
        <v>[HYD-HD-PXS-PxE-234] Prox Extended HD 2</v>
      </c>
      <c r="D235" s="184" t="s">
        <v>513</v>
      </c>
      <c r="E235" s="184" t="s">
        <v>514</v>
      </c>
      <c r="F235" s="184" t="s">
        <v>318</v>
      </c>
      <c r="G235" s="184" t="s">
        <v>368</v>
      </c>
      <c r="H235" s="184" t="s">
        <v>485</v>
      </c>
      <c r="I235" s="184" t="s">
        <v>73</v>
      </c>
      <c r="J235" s="184"/>
      <c r="K235" s="184" t="s">
        <v>486</v>
      </c>
      <c r="L235" s="184" t="s">
        <v>50</v>
      </c>
      <c r="M235" s="184"/>
      <c r="N235" s="184"/>
      <c r="O235" s="184"/>
      <c r="P235" s="184" t="b">
        <v>0</v>
      </c>
    </row>
    <row r="236" spans="1:16" ht="12.75">
      <c r="A236" s="184" t="str">
        <f t="shared" si="13"/>
        <v>HYD-HD-PXS-PxE-235</v>
      </c>
      <c r="B236" s="184">
        <v>235</v>
      </c>
      <c r="C236" s="184" t="str">
        <f t="shared" si="12"/>
        <v>[HYD-HD-PXS-PxE-235] Prox Extended HD 3</v>
      </c>
      <c r="D236" s="184" t="s">
        <v>515</v>
      </c>
      <c r="E236" s="184" t="s">
        <v>516</v>
      </c>
      <c r="F236" s="184" t="s">
        <v>318</v>
      </c>
      <c r="G236" s="184" t="s">
        <v>368</v>
      </c>
      <c r="H236" s="184" t="s">
        <v>485</v>
      </c>
      <c r="I236" s="184" t="s">
        <v>73</v>
      </c>
      <c r="J236" s="184"/>
      <c r="K236" s="184" t="s">
        <v>486</v>
      </c>
      <c r="L236" s="184" t="s">
        <v>50</v>
      </c>
      <c r="M236" s="184"/>
      <c r="N236" s="184"/>
      <c r="O236" s="184"/>
      <c r="P236" s="184" t="b">
        <v>0</v>
      </c>
    </row>
    <row r="237" spans="1:16" ht="12.75">
      <c r="A237" s="184" t="str">
        <f t="shared" si="13"/>
        <v>HYD-HD-PXS-PxE-236</v>
      </c>
      <c r="B237" s="184">
        <v>236</v>
      </c>
      <c r="C237" s="184" t="str">
        <f t="shared" si="12"/>
        <v>[HYD-HD-PXS-PxE-236] Prox Extended HD 4</v>
      </c>
      <c r="D237" s="184" t="s">
        <v>517</v>
      </c>
      <c r="E237" s="184" t="s">
        <v>518</v>
      </c>
      <c r="F237" s="184" t="s">
        <v>318</v>
      </c>
      <c r="G237" s="184" t="s">
        <v>368</v>
      </c>
      <c r="H237" s="184" t="s">
        <v>485</v>
      </c>
      <c r="I237" s="184" t="s">
        <v>73</v>
      </c>
      <c r="J237" s="184"/>
      <c r="K237" s="184" t="s">
        <v>486</v>
      </c>
      <c r="L237" s="184" t="s">
        <v>50</v>
      </c>
      <c r="M237" s="184"/>
      <c r="N237" s="184"/>
      <c r="O237" s="184"/>
      <c r="P237" s="184" t="b">
        <v>0</v>
      </c>
    </row>
    <row r="238" spans="1:16" ht="12.75">
      <c r="A238" s="184" t="str">
        <f t="shared" si="13"/>
        <v>HYD-HD-PXS-PxR-237</v>
      </c>
      <c r="B238" s="184">
        <v>237</v>
      </c>
      <c r="C238" s="184" t="str">
        <f t="shared" si="12"/>
        <v>[HYD-HD-PXS-PxR-237] Prox Retracted HD 1</v>
      </c>
      <c r="D238" s="184" t="s">
        <v>519</v>
      </c>
      <c r="E238" s="184" t="s">
        <v>520</v>
      </c>
      <c r="F238" s="184" t="s">
        <v>318</v>
      </c>
      <c r="G238" s="184" t="s">
        <v>368</v>
      </c>
      <c r="H238" s="184" t="s">
        <v>485</v>
      </c>
      <c r="I238" s="184" t="s">
        <v>73</v>
      </c>
      <c r="J238" s="184"/>
      <c r="K238" s="184" t="s">
        <v>494</v>
      </c>
      <c r="L238" s="184" t="s">
        <v>50</v>
      </c>
      <c r="M238" s="184"/>
      <c r="N238" s="184"/>
      <c r="O238" s="184"/>
      <c r="P238" s="184" t="b">
        <v>0</v>
      </c>
    </row>
    <row r="239" spans="1:16" ht="12.75">
      <c r="A239" s="184" t="str">
        <f t="shared" si="13"/>
        <v>HYD-HD-PXS-PxR-238</v>
      </c>
      <c r="B239" s="184">
        <v>238</v>
      </c>
      <c r="C239" s="184" t="str">
        <f t="shared" si="12"/>
        <v>[HYD-HD-PXS-PxR-238] Prox Retracted HD 2</v>
      </c>
      <c r="D239" s="184" t="s">
        <v>521</v>
      </c>
      <c r="E239" s="184" t="s">
        <v>522</v>
      </c>
      <c r="F239" s="184" t="s">
        <v>318</v>
      </c>
      <c r="G239" s="184" t="s">
        <v>368</v>
      </c>
      <c r="H239" s="184" t="s">
        <v>485</v>
      </c>
      <c r="I239" s="184" t="s">
        <v>73</v>
      </c>
      <c r="J239" s="184"/>
      <c r="K239" s="184" t="s">
        <v>494</v>
      </c>
      <c r="L239" s="184" t="s">
        <v>50</v>
      </c>
      <c r="M239" s="184"/>
      <c r="N239" s="184"/>
      <c r="O239" s="184"/>
      <c r="P239" s="184" t="b">
        <v>0</v>
      </c>
    </row>
    <row r="240" spans="1:16" ht="12.75">
      <c r="A240" s="184" t="str">
        <f t="shared" si="13"/>
        <v>HYD-HD-PXS-PxR-239</v>
      </c>
      <c r="B240" s="184">
        <v>239</v>
      </c>
      <c r="C240" s="184" t="str">
        <f t="shared" si="12"/>
        <v>[HYD-HD-PXS-PxR-239] Prox Retracted HD 3</v>
      </c>
      <c r="D240" s="184" t="s">
        <v>523</v>
      </c>
      <c r="E240" s="184" t="s">
        <v>524</v>
      </c>
      <c r="F240" s="184" t="s">
        <v>318</v>
      </c>
      <c r="G240" s="184" t="s">
        <v>368</v>
      </c>
      <c r="H240" s="184" t="s">
        <v>485</v>
      </c>
      <c r="I240" s="184" t="s">
        <v>73</v>
      </c>
      <c r="J240" s="184"/>
      <c r="K240" s="184" t="s">
        <v>494</v>
      </c>
      <c r="L240" s="184" t="s">
        <v>50</v>
      </c>
      <c r="M240" s="184"/>
      <c r="N240" s="184"/>
      <c r="O240" s="184"/>
      <c r="P240" s="184" t="b">
        <v>0</v>
      </c>
    </row>
    <row r="241" spans="1:16" ht="12.75">
      <c r="A241" s="184" t="str">
        <f t="shared" si="13"/>
        <v>HYD-HD-PXS-PxR-240</v>
      </c>
      <c r="B241" s="184">
        <v>240</v>
      </c>
      <c r="C241" s="184" t="str">
        <f t="shared" si="12"/>
        <v>[HYD-HD-PXS-PxR-240] Prox Retracted HD 4</v>
      </c>
      <c r="D241" s="184" t="s">
        <v>525</v>
      </c>
      <c r="E241" s="184" t="s">
        <v>526</v>
      </c>
      <c r="F241" s="184" t="s">
        <v>318</v>
      </c>
      <c r="G241" s="184" t="s">
        <v>368</v>
      </c>
      <c r="H241" s="184" t="s">
        <v>485</v>
      </c>
      <c r="I241" s="184" t="s">
        <v>73</v>
      </c>
      <c r="J241" s="184"/>
      <c r="K241" s="184" t="s">
        <v>494</v>
      </c>
      <c r="L241" s="184" t="s">
        <v>50</v>
      </c>
      <c r="M241" s="184"/>
      <c r="N241" s="184"/>
      <c r="O241" s="184"/>
      <c r="P241" s="184" t="b">
        <v>0</v>
      </c>
    </row>
    <row r="242" spans="1:16" ht="12.75">
      <c r="A242" s="184" t="str">
        <f t="shared" si="13"/>
        <v>HYD-CL-PXS-PxO-241</v>
      </c>
      <c r="B242" s="184">
        <v>241</v>
      </c>
      <c r="C242" s="184" t="str">
        <f t="shared" si="12"/>
        <v>[HYD-CL-PXS-PxO-241] Prox Clamp Open Left</v>
      </c>
      <c r="D242" s="184" t="s">
        <v>527</v>
      </c>
      <c r="E242" s="184" t="s">
        <v>528</v>
      </c>
      <c r="F242" s="184" t="s">
        <v>318</v>
      </c>
      <c r="G242" s="184" t="s">
        <v>529</v>
      </c>
      <c r="H242" s="184" t="s">
        <v>485</v>
      </c>
      <c r="I242" s="184" t="s">
        <v>73</v>
      </c>
      <c r="J242" s="184"/>
      <c r="K242" s="184" t="s">
        <v>115</v>
      </c>
      <c r="L242" s="184" t="s">
        <v>50</v>
      </c>
      <c r="M242" s="184"/>
      <c r="N242" s="184"/>
      <c r="O242" s="184"/>
      <c r="P242" s="184" t="b">
        <v>0</v>
      </c>
    </row>
    <row r="243" spans="1:16" ht="12.75">
      <c r="A243" s="184" t="str">
        <f t="shared" si="13"/>
        <v>HYD-CL-PXS-PxO-242</v>
      </c>
      <c r="B243" s="184">
        <v>242</v>
      </c>
      <c r="C243" s="184" t="str">
        <f t="shared" si="12"/>
        <v>[HYD-CL-PXS-PxO-242] Prox Clamp Open Right</v>
      </c>
      <c r="D243" s="184" t="s">
        <v>530</v>
      </c>
      <c r="E243" s="184" t="s">
        <v>531</v>
      </c>
      <c r="F243" s="184" t="s">
        <v>318</v>
      </c>
      <c r="G243" s="184" t="s">
        <v>529</v>
      </c>
      <c r="H243" s="184" t="s">
        <v>485</v>
      </c>
      <c r="I243" s="184" t="s">
        <v>73</v>
      </c>
      <c r="J243" s="184"/>
      <c r="K243" s="184" t="s">
        <v>115</v>
      </c>
      <c r="L243" s="184" t="s">
        <v>50</v>
      </c>
      <c r="M243" s="184"/>
      <c r="N243" s="184"/>
      <c r="O243" s="184"/>
      <c r="P243" s="184" t="b">
        <v>0</v>
      </c>
    </row>
    <row r="244" spans="1:16" ht="12.75">
      <c r="A244" s="184" t="str">
        <f t="shared" si="13"/>
        <v>HYD-CL-PXS-PxC-243</v>
      </c>
      <c r="B244" s="184">
        <v>243</v>
      </c>
      <c r="C244" s="184" t="str">
        <f t="shared" si="12"/>
        <v>[HYD-CL-PXS-PxC-243] Prox Clamp Closed Left</v>
      </c>
      <c r="D244" s="184" t="s">
        <v>532</v>
      </c>
      <c r="E244" s="184" t="s">
        <v>533</v>
      </c>
      <c r="F244" s="184" t="s">
        <v>318</v>
      </c>
      <c r="G244" s="184" t="s">
        <v>529</v>
      </c>
      <c r="H244" s="184" t="s">
        <v>485</v>
      </c>
      <c r="I244" s="184" t="s">
        <v>73</v>
      </c>
      <c r="J244" s="184"/>
      <c r="K244" s="184" t="s">
        <v>108</v>
      </c>
      <c r="L244" s="184" t="s">
        <v>50</v>
      </c>
      <c r="M244" s="184"/>
      <c r="N244" s="184"/>
      <c r="O244" s="184"/>
      <c r="P244" s="184" t="b">
        <v>0</v>
      </c>
    </row>
    <row r="245" spans="1:16" ht="12.75">
      <c r="A245" s="184" t="str">
        <f t="shared" si="13"/>
        <v>HYD-CL-PXS-PxC-244</v>
      </c>
      <c r="B245" s="184">
        <v>244</v>
      </c>
      <c r="C245" s="184" t="str">
        <f t="shared" si="12"/>
        <v>[HYD-CL-PXS-PxC-244] Prox Clamp Closed Right</v>
      </c>
      <c r="D245" s="184" t="s">
        <v>534</v>
      </c>
      <c r="E245" s="184" t="s">
        <v>535</v>
      </c>
      <c r="F245" s="184" t="s">
        <v>318</v>
      </c>
      <c r="G245" s="184" t="s">
        <v>529</v>
      </c>
      <c r="H245" s="184" t="s">
        <v>485</v>
      </c>
      <c r="I245" s="184" t="s">
        <v>73</v>
      </c>
      <c r="J245" s="184"/>
      <c r="K245" s="184" t="s">
        <v>108</v>
      </c>
      <c r="L245" s="184" t="s">
        <v>50</v>
      </c>
      <c r="M245" s="184"/>
      <c r="N245" s="184"/>
      <c r="O245" s="184"/>
      <c r="P245" s="184" t="b">
        <v>0</v>
      </c>
    </row>
    <row r="246" spans="1:16" ht="12.75">
      <c r="A246" s="184" t="str">
        <f t="shared" si="13"/>
        <v>HYD-S1U-PXS-Px-245</v>
      </c>
      <c r="B246" s="184">
        <v>245</v>
      </c>
      <c r="C246" s="184" t="str">
        <f t="shared" si="12"/>
        <v>[HYD-S1U-PXS-Px-245] Stage 1 umbilical engagement distance prox</v>
      </c>
      <c r="D246" s="184" t="s">
        <v>536</v>
      </c>
      <c r="E246" s="184" t="s">
        <v>537</v>
      </c>
      <c r="F246" s="184" t="s">
        <v>318</v>
      </c>
      <c r="G246" s="184" t="s">
        <v>53</v>
      </c>
      <c r="H246" s="184" t="s">
        <v>485</v>
      </c>
      <c r="I246" s="184" t="s">
        <v>55</v>
      </c>
      <c r="J246" s="184"/>
      <c r="K246" s="184" t="s">
        <v>489</v>
      </c>
      <c r="L246" s="184" t="s">
        <v>538</v>
      </c>
      <c r="M246" s="184"/>
      <c r="N246" s="184"/>
      <c r="O246" s="184"/>
      <c r="P246" s="184" t="b">
        <v>0</v>
      </c>
    </row>
    <row r="247" spans="1:16" ht="12.75">
      <c r="A247" s="184" t="str">
        <f t="shared" si="13"/>
        <v>HYD-LFT-INC-INCL-246</v>
      </c>
      <c r="B247" s="184">
        <v>246</v>
      </c>
      <c r="C247" s="184" t="str">
        <f t="shared" si="12"/>
        <v>[08C901] Temp SB Inclinometer 1</v>
      </c>
      <c r="D247" s="184" t="s">
        <v>539</v>
      </c>
      <c r="E247" s="184" t="s">
        <v>540</v>
      </c>
      <c r="F247" s="184" t="s">
        <v>318</v>
      </c>
      <c r="G247" s="184" t="s">
        <v>350</v>
      </c>
      <c r="H247" s="184" t="s">
        <v>541</v>
      </c>
      <c r="I247" s="184" t="s">
        <v>55</v>
      </c>
      <c r="J247" s="184"/>
      <c r="K247" s="184" t="s">
        <v>542</v>
      </c>
      <c r="L247" s="184" t="s">
        <v>543</v>
      </c>
      <c r="M247" s="184"/>
      <c r="N247" s="184"/>
      <c r="O247" s="184"/>
      <c r="P247" s="184" t="b">
        <v>0</v>
      </c>
    </row>
    <row r="248" spans="1:16" ht="12.75">
      <c r="A248" s="184" t="str">
        <f t="shared" si="13"/>
        <v>HYD-LFT-INC-INCL-247</v>
      </c>
      <c r="B248" s="184">
        <v>247</v>
      </c>
      <c r="C248" s="184" t="str">
        <f t="shared" si="12"/>
        <v>[08C902] Temp SB Inclinometer 2</v>
      </c>
      <c r="D248" s="184" t="s">
        <v>544</v>
      </c>
      <c r="E248" s="184" t="s">
        <v>545</v>
      </c>
      <c r="F248" s="184" t="s">
        <v>318</v>
      </c>
      <c r="G248" s="184" t="s">
        <v>350</v>
      </c>
      <c r="H248" s="184" t="s">
        <v>541</v>
      </c>
      <c r="I248" s="184" t="s">
        <v>55</v>
      </c>
      <c r="J248" s="184"/>
      <c r="K248" s="184" t="s">
        <v>542</v>
      </c>
      <c r="L248" s="184" t="s">
        <v>543</v>
      </c>
      <c r="M248" s="184"/>
      <c r="N248" s="184"/>
      <c r="O248" s="184"/>
      <c r="P248" s="184" t="b">
        <v>0</v>
      </c>
    </row>
    <row r="249" spans="1:16" ht="12.75">
      <c r="A249" s="184" t="str">
        <f t="shared" si="13"/>
        <v>HYD-LFT-INC-INCL-248</v>
      </c>
      <c r="B249" s="184">
        <v>248</v>
      </c>
      <c r="C249" s="184" t="str">
        <f t="shared" si="12"/>
        <v>[08C903] Temp SB Inclinometer 3</v>
      </c>
      <c r="D249" s="184" t="s">
        <v>546</v>
      </c>
      <c r="E249" s="184" t="s">
        <v>547</v>
      </c>
      <c r="F249" s="184" t="s">
        <v>318</v>
      </c>
      <c r="G249" s="184" t="s">
        <v>350</v>
      </c>
      <c r="H249" s="184" t="s">
        <v>541</v>
      </c>
      <c r="I249" s="184" t="s">
        <v>55</v>
      </c>
      <c r="J249" s="184"/>
      <c r="K249" s="184" t="s">
        <v>542</v>
      </c>
      <c r="L249" s="184" t="s">
        <v>543</v>
      </c>
      <c r="M249" s="184"/>
      <c r="N249" s="184"/>
      <c r="O249" s="184"/>
      <c r="P249" s="184" t="b">
        <v>0</v>
      </c>
    </row>
    <row r="250" spans="1:16" ht="12.75" hidden="1">
      <c r="A250" s="184" t="str">
        <f t="shared" si="13"/>
        <v>HYD-HPU-CT-B-249</v>
      </c>
      <c r="B250" s="184">
        <v>249</v>
      </c>
      <c r="C250" s="184" t="str">
        <f t="shared" si="12"/>
        <v>[M3] Recirculation Pumps</v>
      </c>
      <c r="D250" s="184" t="s">
        <v>548</v>
      </c>
      <c r="E250" s="184" t="s">
        <v>549</v>
      </c>
      <c r="F250" s="184" t="s">
        <v>318</v>
      </c>
      <c r="G250" s="184" t="s">
        <v>319</v>
      </c>
      <c r="H250" s="184" t="s">
        <v>320</v>
      </c>
      <c r="I250" s="184" t="s">
        <v>48</v>
      </c>
      <c r="J250" s="184"/>
      <c r="K250" s="184" t="s">
        <v>104</v>
      </c>
      <c r="L250" s="184" t="s">
        <v>50</v>
      </c>
      <c r="M250" s="184"/>
      <c r="N250" s="184"/>
      <c r="O250" s="184"/>
      <c r="P250" s="184" t="b">
        <v>0</v>
      </c>
    </row>
    <row r="251" spans="1:16" ht="12.75">
      <c r="A251" s="184" t="str">
        <f t="shared" si="13"/>
        <v>HYD-HPU-RTD-Ts-250</v>
      </c>
      <c r="B251" s="184">
        <v>250</v>
      </c>
      <c r="C251" s="184" t="str">
        <f t="shared" si="12"/>
        <v>[TEMP-1] HYD Reservoir Oil Temp</v>
      </c>
      <c r="D251" s="184" t="s">
        <v>550</v>
      </c>
      <c r="E251" s="184" t="s">
        <v>551</v>
      </c>
      <c r="F251" s="184" t="s">
        <v>318</v>
      </c>
      <c r="G251" s="184" t="s">
        <v>319</v>
      </c>
      <c r="H251" s="184" t="s">
        <v>283</v>
      </c>
      <c r="I251" s="184" t="s">
        <v>55</v>
      </c>
      <c r="J251" s="184"/>
      <c r="K251" s="184" t="s">
        <v>231</v>
      </c>
      <c r="L251" s="184" t="s">
        <v>232</v>
      </c>
      <c r="M251" s="184"/>
      <c r="N251" s="184"/>
      <c r="O251" s="184"/>
      <c r="P251" s="184" t="b">
        <v>0</v>
      </c>
    </row>
    <row r="252" spans="1:16" ht="12.75" hidden="1">
      <c r="A252" s="184" t="str">
        <f t="shared" si="13"/>
        <v>HYD-HPU-LEV-LVL-251</v>
      </c>
      <c r="B252" s="184">
        <v>251</v>
      </c>
      <c r="C252" s="184" t="str">
        <f t="shared" si="12"/>
        <v>[LEV-1] Reservoir Oil Level</v>
      </c>
      <c r="D252" s="184" t="s">
        <v>552</v>
      </c>
      <c r="E252" s="184" t="s">
        <v>553</v>
      </c>
      <c r="F252" s="184" t="s">
        <v>318</v>
      </c>
      <c r="G252" s="184" t="s">
        <v>319</v>
      </c>
      <c r="H252" s="184" t="s">
        <v>554</v>
      </c>
      <c r="I252" s="184" t="s">
        <v>55</v>
      </c>
      <c r="J252" s="184"/>
      <c r="K252" s="184" t="s">
        <v>435</v>
      </c>
      <c r="L252" s="184" t="s">
        <v>538</v>
      </c>
      <c r="M252" s="184"/>
      <c r="N252" s="184"/>
      <c r="O252" s="184"/>
      <c r="P252" s="184" t="b">
        <v>0</v>
      </c>
    </row>
    <row r="253" spans="1:16" ht="12.75" hidden="1">
      <c r="A253" s="184" t="str">
        <f t="shared" si="13"/>
        <v>HYD-LFT-PSW-B-252</v>
      </c>
      <c r="B253" s="184">
        <v>252</v>
      </c>
      <c r="C253" s="184" t="str">
        <f t="shared" si="12"/>
        <v>[F5] Lift circuit return filter</v>
      </c>
      <c r="D253" s="184" t="s">
        <v>555</v>
      </c>
      <c r="E253" s="184" t="s">
        <v>556</v>
      </c>
      <c r="F253" s="184" t="s">
        <v>318</v>
      </c>
      <c r="G253" s="184" t="s">
        <v>350</v>
      </c>
      <c r="H253" s="184" t="s">
        <v>341</v>
      </c>
      <c r="I253" s="184" t="s">
        <v>73</v>
      </c>
      <c r="J253" s="184"/>
      <c r="K253" s="184" t="s">
        <v>104</v>
      </c>
      <c r="L253" s="184" t="s">
        <v>50</v>
      </c>
      <c r="M253" s="184"/>
      <c r="N253" s="184"/>
      <c r="O253" s="184"/>
      <c r="P253" s="184" t="b">
        <v>0</v>
      </c>
    </row>
    <row r="254" spans="1:16" ht="12.75" hidden="1">
      <c r="A254" s="184" t="str">
        <f t="shared" si="13"/>
        <v>HYD-HD-DVL-B-253</v>
      </c>
      <c r="B254" s="184">
        <v>253</v>
      </c>
      <c r="C254" s="184" t="str">
        <f t="shared" si="12"/>
        <v>[S16] HD circuit bleed</v>
      </c>
      <c r="D254" s="184" t="s">
        <v>557</v>
      </c>
      <c r="E254" s="184" t="s">
        <v>474</v>
      </c>
      <c r="F254" s="184" t="s">
        <v>318</v>
      </c>
      <c r="G254" s="184" t="s">
        <v>368</v>
      </c>
      <c r="H254" s="184" t="s">
        <v>47</v>
      </c>
      <c r="I254" s="184" t="s">
        <v>48</v>
      </c>
      <c r="J254" s="184"/>
      <c r="K254" s="184" t="s">
        <v>104</v>
      </c>
      <c r="L254" s="184" t="s">
        <v>50</v>
      </c>
      <c r="M254" s="184"/>
      <c r="N254" s="184"/>
      <c r="O254" s="184"/>
      <c r="P254" s="184" t="b">
        <v>0</v>
      </c>
    </row>
    <row r="255" spans="1:16" ht="12.75">
      <c r="A255" s="184" t="str">
        <f t="shared" si="13"/>
        <v>HYD-LFT-PRS-Ps-254</v>
      </c>
      <c r="B255" s="184">
        <v>254</v>
      </c>
      <c r="C255" s="184" t="str">
        <f t="shared" si="12"/>
        <v>[PT-3] Lift circuit line pressure</v>
      </c>
      <c r="D255" s="184" t="s">
        <v>558</v>
      </c>
      <c r="E255" s="184" t="s">
        <v>559</v>
      </c>
      <c r="F255" s="184" t="s">
        <v>318</v>
      </c>
      <c r="G255" s="184" t="s">
        <v>350</v>
      </c>
      <c r="H255" s="184" t="s">
        <v>54</v>
      </c>
      <c r="I255" s="184" t="s">
        <v>55</v>
      </c>
      <c r="J255" s="184"/>
      <c r="K255" s="184" t="s">
        <v>56</v>
      </c>
      <c r="L255" s="184" t="s">
        <v>330</v>
      </c>
      <c r="M255" s="184"/>
      <c r="N255" s="184"/>
      <c r="O255" s="184"/>
      <c r="P255" s="184" t="b">
        <v>0</v>
      </c>
    </row>
    <row r="256" spans="1:16" ht="12.75">
      <c r="A256" s="184" t="str">
        <f t="shared" si="13"/>
        <v>HYD-S1U-PRS-Ps-255</v>
      </c>
      <c r="B256" s="184">
        <v>255</v>
      </c>
      <c r="C256" s="184" t="str">
        <f t="shared" si="12"/>
        <v>[PTAC-6] Umbilical extend accumulator pressure</v>
      </c>
      <c r="D256" s="184" t="s">
        <v>560</v>
      </c>
      <c r="E256" s="184" t="s">
        <v>561</v>
      </c>
      <c r="F256" s="184" t="s">
        <v>318</v>
      </c>
      <c r="G256" s="184" t="s">
        <v>53</v>
      </c>
      <c r="H256" s="184" t="s">
        <v>54</v>
      </c>
      <c r="I256" s="184" t="s">
        <v>55</v>
      </c>
      <c r="J256" s="184"/>
      <c r="K256" s="184" t="s">
        <v>56</v>
      </c>
      <c r="L256" s="184" t="s">
        <v>330</v>
      </c>
      <c r="M256" s="184"/>
      <c r="N256" s="184"/>
      <c r="O256" s="184"/>
      <c r="P256" s="184" t="b">
        <v>0</v>
      </c>
    </row>
    <row r="257" spans="1:16" ht="12.75" hidden="1">
      <c r="A257" s="184" t="str">
        <f t="shared" si="13"/>
        <v>HYD-S1U-LS-PxC-256</v>
      </c>
      <c r="B257" s="184">
        <v>256</v>
      </c>
      <c r="C257" s="184" t="str">
        <f t="shared" si="12"/>
        <v>[SWAC-5-C] S1 Umbilical Accumulator Isolator closed</v>
      </c>
      <c r="D257" s="184" t="s">
        <v>562</v>
      </c>
      <c r="E257" s="184" t="s">
        <v>563</v>
      </c>
      <c r="F257" s="184" t="s">
        <v>318</v>
      </c>
      <c r="G257" s="184" t="s">
        <v>53</v>
      </c>
      <c r="H257" s="184" t="s">
        <v>107</v>
      </c>
      <c r="I257" s="184" t="s">
        <v>73</v>
      </c>
      <c r="J257" s="184"/>
      <c r="K257" s="184" t="s">
        <v>108</v>
      </c>
      <c r="L257" s="184" t="s">
        <v>50</v>
      </c>
      <c r="M257" s="184"/>
      <c r="N257" s="184"/>
      <c r="O257" s="184"/>
      <c r="P257" s="184" t="b">
        <v>0</v>
      </c>
    </row>
    <row r="258" spans="1:16" ht="12.75" hidden="1">
      <c r="A258" s="184" t="str">
        <f t="shared" si="13"/>
        <v>HYD-S1U-LS-PxC-257</v>
      </c>
      <c r="B258" s="184">
        <v>257</v>
      </c>
      <c r="C258" s="184" t="str">
        <f t="shared" ref="C258:C321" si="14">_xlfn.TEXTJOIN("", TRUE, "[", E258,"] ",D258)</f>
        <v>[SWAC-6-C] S1 Umbilical extend accumulator Isolator closed</v>
      </c>
      <c r="D258" s="184" t="s">
        <v>564</v>
      </c>
      <c r="E258" s="184" t="s">
        <v>565</v>
      </c>
      <c r="F258" s="184" t="s">
        <v>318</v>
      </c>
      <c r="G258" s="184" t="s">
        <v>53</v>
      </c>
      <c r="H258" s="184" t="s">
        <v>107</v>
      </c>
      <c r="I258" s="184" t="s">
        <v>73</v>
      </c>
      <c r="J258" s="184"/>
      <c r="K258" s="184" t="s">
        <v>108</v>
      </c>
      <c r="L258" s="184" t="s">
        <v>50</v>
      </c>
      <c r="M258" s="184"/>
      <c r="N258" s="184"/>
      <c r="O258" s="184"/>
      <c r="P258" s="184" t="b">
        <v>0</v>
      </c>
    </row>
    <row r="259" spans="1:16" ht="12.75" hidden="1">
      <c r="A259" s="184" t="str">
        <f t="shared" si="13"/>
        <v>HYD-HDL-DVL-B-258</v>
      </c>
      <c r="B259" s="184">
        <v>258</v>
      </c>
      <c r="C259" s="184" t="str">
        <f t="shared" si="14"/>
        <v>[S40] HD lock accumulator bleed  - Cmd</v>
      </c>
      <c r="D259" s="184" t="s">
        <v>566</v>
      </c>
      <c r="E259" s="184" t="s">
        <v>567</v>
      </c>
      <c r="F259" s="184" t="s">
        <v>318</v>
      </c>
      <c r="G259" s="184" t="s">
        <v>568</v>
      </c>
      <c r="H259" s="184" t="s">
        <v>47</v>
      </c>
      <c r="I259" s="184" t="s">
        <v>48</v>
      </c>
      <c r="J259" s="184"/>
      <c r="K259" s="184" t="s">
        <v>104</v>
      </c>
      <c r="L259" s="184" t="s">
        <v>50</v>
      </c>
      <c r="M259" s="184"/>
      <c r="N259" s="184"/>
      <c r="O259" s="184"/>
      <c r="P259" s="184" t="b">
        <v>0</v>
      </c>
    </row>
    <row r="260" spans="1:16" ht="12.75" hidden="1">
      <c r="A260" s="184" t="str">
        <f t="shared" si="13"/>
        <v>HYD-HDL-DVL-B-259</v>
      </c>
      <c r="B260" s="184">
        <v>259</v>
      </c>
      <c r="C260" s="184" t="str">
        <f t="shared" si="14"/>
        <v>[S41] HD lock gang open/close  - Cmd</v>
      </c>
      <c r="D260" s="184" t="s">
        <v>569</v>
      </c>
      <c r="E260" s="184" t="s">
        <v>570</v>
      </c>
      <c r="F260" s="184" t="s">
        <v>318</v>
      </c>
      <c r="G260" s="184" t="s">
        <v>568</v>
      </c>
      <c r="H260" s="184" t="s">
        <v>47</v>
      </c>
      <c r="I260" s="184" t="s">
        <v>48</v>
      </c>
      <c r="J260" s="184"/>
      <c r="K260" s="184" t="s">
        <v>104</v>
      </c>
      <c r="L260" s="184" t="s">
        <v>50</v>
      </c>
      <c r="M260" s="184"/>
      <c r="N260" s="184"/>
      <c r="O260" s="184"/>
      <c r="P260" s="184" t="b">
        <v>0</v>
      </c>
    </row>
    <row r="261" spans="1:16" ht="12.75" hidden="1">
      <c r="A261" s="184" t="str">
        <f t="shared" si="13"/>
        <v>HYD-HDL-DVL-B-260</v>
      </c>
      <c r="B261" s="184">
        <v>260</v>
      </c>
      <c r="C261" s="184" t="str">
        <f t="shared" si="14"/>
        <v>[S42] HD lock invert drive state  - Cmd</v>
      </c>
      <c r="D261" s="184" t="s">
        <v>571</v>
      </c>
      <c r="E261" s="184" t="s">
        <v>572</v>
      </c>
      <c r="F261" s="184" t="s">
        <v>318</v>
      </c>
      <c r="G261" s="184" t="s">
        <v>568</v>
      </c>
      <c r="H261" s="184" t="s">
        <v>47</v>
      </c>
      <c r="I261" s="184" t="s">
        <v>48</v>
      </c>
      <c r="J261" s="184"/>
      <c r="K261" s="184" t="s">
        <v>104</v>
      </c>
      <c r="L261" s="184" t="s">
        <v>50</v>
      </c>
      <c r="M261" s="184"/>
      <c r="N261" s="184"/>
      <c r="O261" s="184"/>
      <c r="P261" s="184" t="b">
        <v>0</v>
      </c>
    </row>
    <row r="262" spans="1:16" ht="12.75" hidden="1">
      <c r="A262" s="184" t="str">
        <f t="shared" si="13"/>
        <v>HYD-HDL-DVL-B-261</v>
      </c>
      <c r="B262" s="184">
        <v>261</v>
      </c>
      <c r="C262" s="184" t="str">
        <f t="shared" si="14"/>
        <v>[S46] Isolate HDL1 - Cmd</v>
      </c>
      <c r="D262" s="184" t="s">
        <v>573</v>
      </c>
      <c r="E262" s="184" t="s">
        <v>574</v>
      </c>
      <c r="F262" s="184" t="s">
        <v>318</v>
      </c>
      <c r="G262" s="184" t="s">
        <v>568</v>
      </c>
      <c r="H262" s="184" t="s">
        <v>47</v>
      </c>
      <c r="I262" s="184" t="s">
        <v>48</v>
      </c>
      <c r="J262" s="184"/>
      <c r="K262" s="184" t="s">
        <v>104</v>
      </c>
      <c r="L262" s="184" t="s">
        <v>50</v>
      </c>
      <c r="M262" s="184"/>
      <c r="N262" s="184"/>
      <c r="O262" s="184"/>
      <c r="P262" s="184" t="b">
        <v>0</v>
      </c>
    </row>
    <row r="263" spans="1:16" ht="12.75" hidden="1">
      <c r="A263" s="184" t="str">
        <f t="shared" si="13"/>
        <v>HYD-HDL-DVL-B-262</v>
      </c>
      <c r="B263" s="184">
        <v>262</v>
      </c>
      <c r="C263" s="184" t="str">
        <f t="shared" si="14"/>
        <v>[S45] Isolate HDL2 - Cmd</v>
      </c>
      <c r="D263" s="184" t="s">
        <v>575</v>
      </c>
      <c r="E263" s="184" t="s">
        <v>576</v>
      </c>
      <c r="F263" s="184" t="s">
        <v>318</v>
      </c>
      <c r="G263" s="184" t="s">
        <v>568</v>
      </c>
      <c r="H263" s="184" t="s">
        <v>47</v>
      </c>
      <c r="I263" s="184" t="s">
        <v>48</v>
      </c>
      <c r="J263" s="184"/>
      <c r="K263" s="184" t="s">
        <v>104</v>
      </c>
      <c r="L263" s="184" t="s">
        <v>50</v>
      </c>
      <c r="M263" s="184"/>
      <c r="N263" s="184"/>
      <c r="O263" s="184"/>
      <c r="P263" s="184" t="b">
        <v>0</v>
      </c>
    </row>
    <row r="264" spans="1:16" ht="12.75" hidden="1">
      <c r="A264" s="184" t="str">
        <f t="shared" si="13"/>
        <v>HYD-HDL-DVL-B-263</v>
      </c>
      <c r="B264" s="184">
        <v>263</v>
      </c>
      <c r="C264" s="184" t="str">
        <f t="shared" si="14"/>
        <v>[S44] Isolate HDL3  - Cmd</v>
      </c>
      <c r="D264" s="184" t="s">
        <v>577</v>
      </c>
      <c r="E264" s="184" t="s">
        <v>578</v>
      </c>
      <c r="F264" s="184" t="s">
        <v>318</v>
      </c>
      <c r="G264" s="184" t="s">
        <v>568</v>
      </c>
      <c r="H264" s="184" t="s">
        <v>47</v>
      </c>
      <c r="I264" s="184" t="s">
        <v>48</v>
      </c>
      <c r="J264" s="184"/>
      <c r="K264" s="184" t="s">
        <v>104</v>
      </c>
      <c r="L264" s="184" t="s">
        <v>50</v>
      </c>
      <c r="M264" s="184"/>
      <c r="N264" s="184"/>
      <c r="O264" s="184"/>
      <c r="P264" s="184" t="b">
        <v>0</v>
      </c>
    </row>
    <row r="265" spans="1:16" ht="12.75" hidden="1">
      <c r="A265" s="184" t="str">
        <f t="shared" si="13"/>
        <v>HYD-HDL-DVL-B-264</v>
      </c>
      <c r="B265" s="184">
        <v>264</v>
      </c>
      <c r="C265" s="184" t="str">
        <f t="shared" si="14"/>
        <v>[S43] Isolate HDL4  - Cmd</v>
      </c>
      <c r="D265" s="184" t="s">
        <v>579</v>
      </c>
      <c r="E265" s="184" t="s">
        <v>580</v>
      </c>
      <c r="F265" s="184" t="s">
        <v>318</v>
      </c>
      <c r="G265" s="184" t="s">
        <v>568</v>
      </c>
      <c r="H265" s="184" t="s">
        <v>47</v>
      </c>
      <c r="I265" s="184" t="s">
        <v>48</v>
      </c>
      <c r="J265" s="184"/>
      <c r="K265" s="184" t="s">
        <v>104</v>
      </c>
      <c r="L265" s="184" t="s">
        <v>50</v>
      </c>
      <c r="M265" s="184"/>
      <c r="N265" s="184"/>
      <c r="O265" s="184"/>
      <c r="P265" s="184" t="b">
        <v>0</v>
      </c>
    </row>
    <row r="266" spans="1:16" ht="12.75">
      <c r="A266" s="184" t="str">
        <f t="shared" si="13"/>
        <v>HYD-HDL-PRS-Ps-265</v>
      </c>
      <c r="B266" s="184">
        <v>265</v>
      </c>
      <c r="C266" s="184" t="str">
        <f t="shared" si="14"/>
        <v>[PTAC-7] HD Lock accumulator bladder pressure</v>
      </c>
      <c r="D266" s="184" t="s">
        <v>581</v>
      </c>
      <c r="E266" s="184" t="s">
        <v>582</v>
      </c>
      <c r="F266" s="184" t="s">
        <v>318</v>
      </c>
      <c r="G266" s="184" t="s">
        <v>568</v>
      </c>
      <c r="H266" s="184" t="s">
        <v>54</v>
      </c>
      <c r="I266" s="184" t="s">
        <v>55</v>
      </c>
      <c r="J266" s="184"/>
      <c r="K266" s="184" t="s">
        <v>56</v>
      </c>
      <c r="L266" s="184" t="s">
        <v>330</v>
      </c>
      <c r="M266" s="184"/>
      <c r="N266" s="184"/>
      <c r="O266" s="184"/>
      <c r="P266" s="184" t="b">
        <v>0</v>
      </c>
    </row>
    <row r="267" spans="1:16" ht="12.75">
      <c r="A267" s="184" t="str">
        <f t="shared" si="13"/>
        <v>HYD-HDL-PRS-Ps-266</v>
      </c>
      <c r="B267" s="184">
        <v>266</v>
      </c>
      <c r="C267" s="184" t="str">
        <f t="shared" si="14"/>
        <v>[PT-6] HDL line pressure</v>
      </c>
      <c r="D267" s="184" t="s">
        <v>583</v>
      </c>
      <c r="E267" s="184" t="s">
        <v>584</v>
      </c>
      <c r="F267" s="184" t="s">
        <v>318</v>
      </c>
      <c r="G267" s="184" t="s">
        <v>568</v>
      </c>
      <c r="H267" s="184" t="s">
        <v>54</v>
      </c>
      <c r="I267" s="184" t="s">
        <v>55</v>
      </c>
      <c r="J267" s="184"/>
      <c r="K267" s="184" t="s">
        <v>56</v>
      </c>
      <c r="L267" s="184" t="s">
        <v>330</v>
      </c>
      <c r="M267" s="184"/>
      <c r="N267" s="184"/>
      <c r="O267" s="184"/>
      <c r="P267" s="184" t="b">
        <v>0</v>
      </c>
    </row>
    <row r="268" spans="1:16" ht="12.75">
      <c r="A268" s="184" t="str">
        <f t="shared" si="13"/>
        <v>IGN-GOX-PRS-Ps-267</v>
      </c>
      <c r="B268" s="184">
        <v>267</v>
      </c>
      <c r="C268" s="184" t="str">
        <f t="shared" si="14"/>
        <v>[15C908] GOX accumulator pressure</v>
      </c>
      <c r="D268" s="184" t="s">
        <v>585</v>
      </c>
      <c r="E268" s="184" t="s">
        <v>586</v>
      </c>
      <c r="F268" s="184" t="s">
        <v>587</v>
      </c>
      <c r="G268" s="184" t="s">
        <v>588</v>
      </c>
      <c r="H268" s="184" t="s">
        <v>54</v>
      </c>
      <c r="I268" s="184" t="s">
        <v>55</v>
      </c>
      <c r="J268" s="184"/>
      <c r="K268" s="184" t="s">
        <v>56</v>
      </c>
      <c r="L268" s="184" t="s">
        <v>57</v>
      </c>
      <c r="M268" s="184"/>
      <c r="N268" s="184"/>
      <c r="O268" s="184"/>
      <c r="P268" s="184" t="b">
        <v>0</v>
      </c>
    </row>
    <row r="269" spans="1:16" ht="12.75">
      <c r="A269" s="184" t="str">
        <f t="shared" si="13"/>
        <v>IGN-GOX-PRS-Ps-268</v>
      </c>
      <c r="B269" s="184">
        <v>268</v>
      </c>
      <c r="C269" s="184" t="str">
        <f t="shared" si="14"/>
        <v>[15C906] GOX supply pressure</v>
      </c>
      <c r="D269" s="184" t="s">
        <v>589</v>
      </c>
      <c r="E269" s="184" t="s">
        <v>590</v>
      </c>
      <c r="F269" s="184" t="s">
        <v>587</v>
      </c>
      <c r="G269" s="184" t="s">
        <v>588</v>
      </c>
      <c r="H269" s="184" t="s">
        <v>54</v>
      </c>
      <c r="I269" s="184" t="s">
        <v>55</v>
      </c>
      <c r="J269" s="184"/>
      <c r="K269" s="184" t="s">
        <v>56</v>
      </c>
      <c r="L269" s="184" t="s">
        <v>57</v>
      </c>
      <c r="M269" s="184"/>
      <c r="N269" s="184"/>
      <c r="O269" s="184"/>
      <c r="P269" s="184" t="b">
        <v>0</v>
      </c>
    </row>
    <row r="270" spans="1:16" ht="12.75" hidden="1">
      <c r="A270" s="184" t="str">
        <f t="shared" si="13"/>
        <v>IGN-CH4-DVL-B-269</v>
      </c>
      <c r="B270" s="184">
        <v>269</v>
      </c>
      <c r="C270" s="184" t="str">
        <f t="shared" si="14"/>
        <v>[05C322] CH4 GN2 Purge Line 3-Way Solenoid Valve</v>
      </c>
      <c r="D270" s="184" t="s">
        <v>591</v>
      </c>
      <c r="E270" s="184" t="s">
        <v>592</v>
      </c>
      <c r="F270" s="184" t="s">
        <v>587</v>
      </c>
      <c r="G270" s="184" t="s">
        <v>593</v>
      </c>
      <c r="H270" s="184" t="s">
        <v>47</v>
      </c>
      <c r="I270" s="184" t="s">
        <v>48</v>
      </c>
      <c r="J270" s="184"/>
      <c r="K270" s="184" t="s">
        <v>104</v>
      </c>
      <c r="L270" s="184" t="s">
        <v>50</v>
      </c>
      <c r="M270" s="184"/>
      <c r="N270" s="184"/>
      <c r="O270" s="184"/>
      <c r="P270" s="184" t="b">
        <v>0</v>
      </c>
    </row>
    <row r="271" spans="1:16" ht="12.75">
      <c r="A271" s="184" t="str">
        <f t="shared" si="13"/>
        <v>IGN-GOX-PRS-Ps-270</v>
      </c>
      <c r="B271" s="184">
        <v>270</v>
      </c>
      <c r="C271" s="184" t="str">
        <f t="shared" si="14"/>
        <v>[15C907] GOX regulator pressure</v>
      </c>
      <c r="D271" s="184" t="s">
        <v>594</v>
      </c>
      <c r="E271" s="184" t="s">
        <v>595</v>
      </c>
      <c r="F271" s="184" t="s">
        <v>587</v>
      </c>
      <c r="G271" s="184" t="s">
        <v>588</v>
      </c>
      <c r="H271" s="184" t="s">
        <v>54</v>
      </c>
      <c r="I271" s="184" t="s">
        <v>55</v>
      </c>
      <c r="J271" s="184"/>
      <c r="K271" s="184" t="s">
        <v>56</v>
      </c>
      <c r="L271" s="184" t="s">
        <v>57</v>
      </c>
      <c r="M271" s="184"/>
      <c r="N271" s="184"/>
      <c r="O271" s="184"/>
      <c r="P271" s="184" t="b">
        <v>0</v>
      </c>
    </row>
    <row r="272" spans="1:16" ht="12.75">
      <c r="A272" s="184" t="str">
        <f t="shared" si="13"/>
        <v>IGN-CH4-PRS-Ps-271</v>
      </c>
      <c r="B272" s="184">
        <v>271</v>
      </c>
      <c r="C272" s="184" t="str">
        <f t="shared" si="14"/>
        <v>[14C913] CH4 accumulator Pressure Transducer</v>
      </c>
      <c r="D272" s="184" t="s">
        <v>596</v>
      </c>
      <c r="E272" s="184" t="s">
        <v>597</v>
      </c>
      <c r="F272" s="184" t="s">
        <v>587</v>
      </c>
      <c r="G272" s="184" t="s">
        <v>593</v>
      </c>
      <c r="H272" s="184" t="s">
        <v>54</v>
      </c>
      <c r="I272" s="184" t="s">
        <v>55</v>
      </c>
      <c r="J272" s="184"/>
      <c r="K272" s="184" t="s">
        <v>56</v>
      </c>
      <c r="L272" s="184" t="s">
        <v>57</v>
      </c>
      <c r="M272" s="184"/>
      <c r="N272" s="184"/>
      <c r="O272" s="184"/>
      <c r="P272" s="184" t="b">
        <v>0</v>
      </c>
    </row>
    <row r="273" spans="1:16" ht="12.75">
      <c r="A273" s="184" t="str">
        <f t="shared" si="13"/>
        <v>IGN-CH4-PRS-Ps-272</v>
      </c>
      <c r="B273" s="184">
        <v>272</v>
      </c>
      <c r="C273" s="184" t="str">
        <f t="shared" si="14"/>
        <v>[14C911] CH4 supply pressure</v>
      </c>
      <c r="D273" s="184" t="s">
        <v>598</v>
      </c>
      <c r="E273" s="184" t="s">
        <v>599</v>
      </c>
      <c r="F273" s="184" t="s">
        <v>587</v>
      </c>
      <c r="G273" s="184" t="s">
        <v>593</v>
      </c>
      <c r="H273" s="184" t="s">
        <v>54</v>
      </c>
      <c r="I273" s="184" t="s">
        <v>55</v>
      </c>
      <c r="J273" s="184"/>
      <c r="K273" s="184" t="s">
        <v>56</v>
      </c>
      <c r="L273" s="184" t="s">
        <v>57</v>
      </c>
      <c r="M273" s="184"/>
      <c r="N273" s="184"/>
      <c r="O273" s="184"/>
      <c r="P273" s="184" t="b">
        <v>0</v>
      </c>
    </row>
    <row r="274" spans="1:16" ht="12.75">
      <c r="A274" s="184" t="str">
        <f t="shared" si="13"/>
        <v>IGN-CH4-PRS-Ps-273</v>
      </c>
      <c r="B274" s="184">
        <v>273</v>
      </c>
      <c r="C274" s="184" t="str">
        <f t="shared" si="14"/>
        <v>[05C914] CH4 GN2 purge pressure</v>
      </c>
      <c r="D274" s="184" t="s">
        <v>600</v>
      </c>
      <c r="E274" s="184" t="s">
        <v>601</v>
      </c>
      <c r="F274" s="184" t="s">
        <v>587</v>
      </c>
      <c r="G274" s="184" t="s">
        <v>593</v>
      </c>
      <c r="H274" s="184" t="s">
        <v>54</v>
      </c>
      <c r="I274" s="184" t="s">
        <v>55</v>
      </c>
      <c r="J274" s="184"/>
      <c r="K274" s="184" t="s">
        <v>56</v>
      </c>
      <c r="L274" s="184" t="s">
        <v>57</v>
      </c>
      <c r="M274" s="184"/>
      <c r="N274" s="184"/>
      <c r="O274" s="184"/>
      <c r="P274" s="184" t="b">
        <v>0</v>
      </c>
    </row>
    <row r="275" spans="1:16" ht="12.75">
      <c r="A275" s="184" t="str">
        <f t="shared" si="13"/>
        <v>IGN-CH4-PRS-Ps-274</v>
      </c>
      <c r="B275" s="184">
        <v>274</v>
      </c>
      <c r="C275" s="184" t="str">
        <f t="shared" si="14"/>
        <v>[14C912] CH4 regulator pressure</v>
      </c>
      <c r="D275" s="184" t="s">
        <v>602</v>
      </c>
      <c r="E275" s="184" t="s">
        <v>603</v>
      </c>
      <c r="F275" s="184" t="s">
        <v>587</v>
      </c>
      <c r="G275" s="184" t="s">
        <v>593</v>
      </c>
      <c r="H275" s="184" t="s">
        <v>54</v>
      </c>
      <c r="I275" s="184" t="s">
        <v>55</v>
      </c>
      <c r="J275" s="184"/>
      <c r="K275" s="184" t="s">
        <v>56</v>
      </c>
      <c r="L275" s="184" t="s">
        <v>57</v>
      </c>
      <c r="M275" s="184"/>
      <c r="N275" s="184"/>
      <c r="O275" s="184"/>
      <c r="P275" s="184" t="b">
        <v>0</v>
      </c>
    </row>
    <row r="276" spans="1:16" ht="12.75" hidden="1">
      <c r="A276" s="184" t="str">
        <f t="shared" si="13"/>
        <v>IGN-GOX-DVL-B-275</v>
      </c>
      <c r="B276" s="184">
        <v>275</v>
      </c>
      <c r="C276" s="184" t="str">
        <f t="shared" si="14"/>
        <v>[15C310] GOX accumulator fill valve</v>
      </c>
      <c r="D276" s="184" t="s">
        <v>604</v>
      </c>
      <c r="E276" s="184" t="s">
        <v>605</v>
      </c>
      <c r="F276" s="184" t="s">
        <v>587</v>
      </c>
      <c r="G276" s="184" t="s">
        <v>588</v>
      </c>
      <c r="H276" s="184" t="s">
        <v>47</v>
      </c>
      <c r="I276" s="184" t="s">
        <v>48</v>
      </c>
      <c r="J276" s="184"/>
      <c r="K276" s="184" t="s">
        <v>104</v>
      </c>
      <c r="L276" s="184" t="s">
        <v>50</v>
      </c>
      <c r="M276" s="184"/>
      <c r="N276" s="184"/>
      <c r="O276" s="184"/>
      <c r="P276" s="184" t="b">
        <v>0</v>
      </c>
    </row>
    <row r="277" spans="1:16" ht="12.75" hidden="1">
      <c r="A277" s="184" t="str">
        <f t="shared" si="13"/>
        <v>IGN-GOX-DVL-B-276</v>
      </c>
      <c r="B277" s="184">
        <v>276</v>
      </c>
      <c r="C277" s="184" t="str">
        <f t="shared" si="14"/>
        <v>[15C311] GOX vent valve</v>
      </c>
      <c r="D277" s="184" t="s">
        <v>606</v>
      </c>
      <c r="E277" s="184" t="s">
        <v>607</v>
      </c>
      <c r="F277" s="184" t="s">
        <v>587</v>
      </c>
      <c r="G277" s="184" t="s">
        <v>588</v>
      </c>
      <c r="H277" s="184" t="s">
        <v>47</v>
      </c>
      <c r="I277" s="184" t="s">
        <v>48</v>
      </c>
      <c r="J277" s="184"/>
      <c r="K277" s="184" t="s">
        <v>104</v>
      </c>
      <c r="L277" s="184" t="s">
        <v>50</v>
      </c>
      <c r="M277" s="184"/>
      <c r="N277" s="184"/>
      <c r="O277" s="184"/>
      <c r="P277" s="184" t="b">
        <v>0</v>
      </c>
    </row>
    <row r="278" spans="1:16" ht="12.75" hidden="1">
      <c r="A278" s="184" t="str">
        <f t="shared" si="13"/>
        <v>IGN-GOX-DVL-B-277</v>
      </c>
      <c r="B278" s="184">
        <v>277</v>
      </c>
      <c r="C278" s="184" t="str">
        <f t="shared" si="14"/>
        <v>[15C312] GOX Bypass</v>
      </c>
      <c r="D278" s="184" t="s">
        <v>608</v>
      </c>
      <c r="E278" s="184" t="s">
        <v>609</v>
      </c>
      <c r="F278" s="184" t="s">
        <v>587</v>
      </c>
      <c r="G278" s="184" t="s">
        <v>588</v>
      </c>
      <c r="H278" s="184" t="s">
        <v>47</v>
      </c>
      <c r="I278" s="184" t="s">
        <v>48</v>
      </c>
      <c r="J278" s="184"/>
      <c r="K278" s="184" t="s">
        <v>104</v>
      </c>
      <c r="L278" s="184" t="s">
        <v>50</v>
      </c>
      <c r="M278" s="184"/>
      <c r="N278" s="184"/>
      <c r="O278" s="184"/>
      <c r="P278" s="184" t="b">
        <v>0</v>
      </c>
    </row>
    <row r="279" spans="1:16" ht="12.75">
      <c r="A279" s="184" t="str">
        <f t="shared" si="13"/>
        <v>IGN-GOX-PRS-Ps-278</v>
      </c>
      <c r="B279" s="184">
        <v>278</v>
      </c>
      <c r="C279" s="184" t="str">
        <f t="shared" si="14"/>
        <v>[05C909] GOX GN2 purge pressure</v>
      </c>
      <c r="D279" s="184" t="s">
        <v>610</v>
      </c>
      <c r="E279" s="184" t="s">
        <v>611</v>
      </c>
      <c r="F279" s="184" t="s">
        <v>587</v>
      </c>
      <c r="G279" s="184" t="s">
        <v>588</v>
      </c>
      <c r="H279" s="184" t="s">
        <v>54</v>
      </c>
      <c r="I279" s="184" t="s">
        <v>55</v>
      </c>
      <c r="J279" s="184"/>
      <c r="K279" s="184" t="s">
        <v>56</v>
      </c>
      <c r="L279" s="184" t="s">
        <v>57</v>
      </c>
      <c r="M279" s="184"/>
      <c r="N279" s="184"/>
      <c r="O279" s="184"/>
      <c r="P279" s="184" t="b">
        <v>0</v>
      </c>
    </row>
    <row r="280" spans="1:16" ht="12.75" hidden="1">
      <c r="A280" s="184" t="str">
        <f t="shared" si="13"/>
        <v>IGN-GOX-DVL-B-279</v>
      </c>
      <c r="B280" s="184">
        <v>279</v>
      </c>
      <c r="C280" s="184" t="str">
        <f t="shared" si="14"/>
        <v>[15C313] GOX umbilical isolation valve - Cmd</v>
      </c>
      <c r="D280" s="184" t="s">
        <v>612</v>
      </c>
      <c r="E280" s="184" t="s">
        <v>613</v>
      </c>
      <c r="F280" s="184" t="s">
        <v>587</v>
      </c>
      <c r="G280" s="184" t="s">
        <v>588</v>
      </c>
      <c r="H280" s="184" t="s">
        <v>47</v>
      </c>
      <c r="I280" s="184" t="s">
        <v>48</v>
      </c>
      <c r="J280" s="184"/>
      <c r="K280" s="184" t="s">
        <v>104</v>
      </c>
      <c r="L280" s="184" t="s">
        <v>50</v>
      </c>
      <c r="M280" s="184"/>
      <c r="N280" s="184"/>
      <c r="O280" s="184"/>
      <c r="P280" s="184" t="b">
        <v>0</v>
      </c>
    </row>
    <row r="281" spans="1:16" ht="12.75" hidden="1">
      <c r="A281" s="184" t="str">
        <f t="shared" si="13"/>
        <v>IGN-GOX-DVL-B-280</v>
      </c>
      <c r="B281" s="184">
        <v>280</v>
      </c>
      <c r="C281" s="184" t="str">
        <f t="shared" si="14"/>
        <v>[05C315] GOX GN2 Purge 3-Way Solenoid Valve</v>
      </c>
      <c r="D281" s="184" t="s">
        <v>614</v>
      </c>
      <c r="E281" s="184" t="s">
        <v>615</v>
      </c>
      <c r="F281" s="184" t="s">
        <v>587</v>
      </c>
      <c r="G281" s="184" t="s">
        <v>588</v>
      </c>
      <c r="H281" s="184" t="s">
        <v>47</v>
      </c>
      <c r="I281" s="184" t="s">
        <v>48</v>
      </c>
      <c r="J281" s="184"/>
      <c r="K281" s="184" t="s">
        <v>104</v>
      </c>
      <c r="L281" s="184" t="s">
        <v>50</v>
      </c>
      <c r="M281" s="184"/>
      <c r="N281" s="184"/>
      <c r="O281" s="184"/>
      <c r="P281" s="184" t="b">
        <v>0</v>
      </c>
    </row>
    <row r="282" spans="1:16" ht="12.75" hidden="1">
      <c r="A282" s="184" t="str">
        <f t="shared" si="13"/>
        <v>IGN-GOX-DVL-B-281</v>
      </c>
      <c r="B282" s="184">
        <v>281</v>
      </c>
      <c r="C282" s="184" t="str">
        <f t="shared" si="14"/>
        <v>[15C380] GOX umbilical vent valve</v>
      </c>
      <c r="D282" s="184" t="s">
        <v>616</v>
      </c>
      <c r="E282" s="184" t="s">
        <v>617</v>
      </c>
      <c r="F282" s="184" t="s">
        <v>587</v>
      </c>
      <c r="G282" s="184" t="s">
        <v>588</v>
      </c>
      <c r="H282" s="184" t="s">
        <v>47</v>
      </c>
      <c r="I282" s="184" t="s">
        <v>48</v>
      </c>
      <c r="J282" s="184"/>
      <c r="K282" s="184" t="s">
        <v>104</v>
      </c>
      <c r="L282" s="184" t="s">
        <v>50</v>
      </c>
      <c r="M282" s="184"/>
      <c r="N282" s="184"/>
      <c r="O282" s="184"/>
      <c r="P282" s="184" t="b">
        <v>0</v>
      </c>
    </row>
    <row r="283" spans="1:16" ht="12.75" hidden="1">
      <c r="A283" s="184" t="str">
        <f t="shared" si="13"/>
        <v>IGN-CH4-DVL-B-282</v>
      </c>
      <c r="B283" s="184">
        <v>282</v>
      </c>
      <c r="C283" s="184" t="str">
        <f t="shared" si="14"/>
        <v>[14C318] CH4 vent valve</v>
      </c>
      <c r="D283" s="184" t="s">
        <v>618</v>
      </c>
      <c r="E283" s="184" t="s">
        <v>619</v>
      </c>
      <c r="F283" s="184" t="s">
        <v>587</v>
      </c>
      <c r="G283" s="184" t="s">
        <v>593</v>
      </c>
      <c r="H283" s="184" t="s">
        <v>47</v>
      </c>
      <c r="I283" s="184" t="s">
        <v>48</v>
      </c>
      <c r="J283" s="184"/>
      <c r="K283" s="184" t="s">
        <v>104</v>
      </c>
      <c r="L283" s="184" t="s">
        <v>50</v>
      </c>
      <c r="M283" s="184"/>
      <c r="N283" s="184"/>
      <c r="O283" s="184"/>
      <c r="P283" s="184" t="b">
        <v>0</v>
      </c>
    </row>
    <row r="284" spans="1:16" ht="12.75" hidden="1">
      <c r="A284" s="184" t="str">
        <f t="shared" si="13"/>
        <v>IGN-CH4-DVL-B-283</v>
      </c>
      <c r="B284" s="184">
        <v>283</v>
      </c>
      <c r="C284" s="184" t="str">
        <f t="shared" si="14"/>
        <v>[14C319] CH4 bypass valve</v>
      </c>
      <c r="D284" s="184" t="s">
        <v>620</v>
      </c>
      <c r="E284" s="184" t="s">
        <v>621</v>
      </c>
      <c r="F284" s="184" t="s">
        <v>587</v>
      </c>
      <c r="G284" s="184" t="s">
        <v>593</v>
      </c>
      <c r="H284" s="184" t="s">
        <v>47</v>
      </c>
      <c r="I284" s="184" t="s">
        <v>48</v>
      </c>
      <c r="J284" s="184"/>
      <c r="K284" s="184" t="s">
        <v>104</v>
      </c>
      <c r="L284" s="184" t="s">
        <v>50</v>
      </c>
      <c r="M284" s="184"/>
      <c r="N284" s="184"/>
      <c r="O284" s="184"/>
      <c r="P284" s="184" t="b">
        <v>0</v>
      </c>
    </row>
    <row r="285" spans="1:16" ht="12.75" hidden="1">
      <c r="A285" s="184" t="str">
        <f t="shared" si="13"/>
        <v>IGN-CH4-DVL-B-284</v>
      </c>
      <c r="B285" s="184">
        <v>284</v>
      </c>
      <c r="C285" s="184" t="str">
        <f t="shared" si="14"/>
        <v>[14C320] CH4 umbilical isolation valve - Cmd</v>
      </c>
      <c r="D285" s="184" t="s">
        <v>622</v>
      </c>
      <c r="E285" s="184" t="s">
        <v>623</v>
      </c>
      <c r="F285" s="184" t="s">
        <v>587</v>
      </c>
      <c r="G285" s="184" t="s">
        <v>593</v>
      </c>
      <c r="H285" s="184" t="s">
        <v>47</v>
      </c>
      <c r="I285" s="184" t="s">
        <v>48</v>
      </c>
      <c r="J285" s="184"/>
      <c r="K285" s="184" t="s">
        <v>104</v>
      </c>
      <c r="L285" s="184" t="s">
        <v>50</v>
      </c>
      <c r="M285" s="184"/>
      <c r="N285" s="184"/>
      <c r="O285" s="184"/>
      <c r="P285" s="184" t="b">
        <v>0</v>
      </c>
    </row>
    <row r="286" spans="1:16" ht="12.75" hidden="1">
      <c r="A286" s="184" t="str">
        <f t="shared" si="13"/>
        <v>IGN-CH4-DVL-B-285</v>
      </c>
      <c r="B286" s="184">
        <v>285</v>
      </c>
      <c r="C286" s="184" t="str">
        <f t="shared" si="14"/>
        <v>[14CXXX] CAN BE DELETED</v>
      </c>
      <c r="D286" s="184" t="s">
        <v>624</v>
      </c>
      <c r="E286" s="184" t="s">
        <v>625</v>
      </c>
      <c r="F286" s="184" t="s">
        <v>587</v>
      </c>
      <c r="G286" s="184" t="s">
        <v>593</v>
      </c>
      <c r="H286" s="184" t="s">
        <v>47</v>
      </c>
      <c r="I286" s="184" t="s">
        <v>48</v>
      </c>
      <c r="J286" s="184"/>
      <c r="K286" s="184" t="s">
        <v>104</v>
      </c>
      <c r="L286" s="184" t="s">
        <v>50</v>
      </c>
      <c r="M286" s="184"/>
      <c r="N286" s="184"/>
      <c r="O286" s="184"/>
      <c r="P286" s="184" t="b">
        <v>0</v>
      </c>
    </row>
    <row r="287" spans="1:16" ht="12.75" hidden="1">
      <c r="A287" s="184" t="str">
        <f t="shared" si="13"/>
        <v>IGN-CH4-DVL-B-286</v>
      </c>
      <c r="B287" s="184">
        <v>286</v>
      </c>
      <c r="C287" s="184" t="str">
        <f t="shared" si="14"/>
        <v>[14C317] CH4 accumulator fill valve</v>
      </c>
      <c r="D287" s="184" t="s">
        <v>626</v>
      </c>
      <c r="E287" s="184" t="s">
        <v>627</v>
      </c>
      <c r="F287" s="184" t="s">
        <v>587</v>
      </c>
      <c r="G287" s="184" t="s">
        <v>593</v>
      </c>
      <c r="H287" s="184" t="s">
        <v>47</v>
      </c>
      <c r="I287" s="184" t="s">
        <v>48</v>
      </c>
      <c r="J287" s="184"/>
      <c r="K287" s="184" t="s">
        <v>104</v>
      </c>
      <c r="L287" s="184" t="s">
        <v>50</v>
      </c>
      <c r="M287" s="184"/>
      <c r="N287" s="184"/>
      <c r="O287" s="184"/>
      <c r="P287" s="184" t="b">
        <v>0</v>
      </c>
    </row>
    <row r="288" spans="1:16" ht="12.75" hidden="1">
      <c r="A288" s="184" t="str">
        <f t="shared" si="13"/>
        <v>KF-TS-DVL-B-287</v>
      </c>
      <c r="B288" s="184">
        <v>287</v>
      </c>
      <c r="C288" s="184" t="str">
        <f t="shared" si="14"/>
        <v>[01C308] Recirculation line isolation valve</v>
      </c>
      <c r="D288" s="184" t="s">
        <v>628</v>
      </c>
      <c r="E288" s="184" t="s">
        <v>629</v>
      </c>
      <c r="F288" s="184" t="s">
        <v>630</v>
      </c>
      <c r="G288" s="184" t="s">
        <v>631</v>
      </c>
      <c r="H288" s="184" t="s">
        <v>47</v>
      </c>
      <c r="I288" s="184" t="s">
        <v>48</v>
      </c>
      <c r="J288" s="184"/>
      <c r="K288" s="184" t="s">
        <v>104</v>
      </c>
      <c r="L288" s="184" t="s">
        <v>50</v>
      </c>
      <c r="M288" s="184"/>
      <c r="N288" s="184"/>
      <c r="O288" s="184"/>
      <c r="P288" s="184" t="b">
        <v>0</v>
      </c>
    </row>
    <row r="289" spans="1:16" ht="12.75" hidden="1">
      <c r="A289" s="184" t="str">
        <f t="shared" si="13"/>
        <v>KF-TR-DVL-B-288</v>
      </c>
      <c r="B289" s="184">
        <v>288</v>
      </c>
      <c r="C289" s="184" t="str">
        <f t="shared" si="14"/>
        <v>[01C301] Pump Transfer valve</v>
      </c>
      <c r="D289" s="184" t="s">
        <v>632</v>
      </c>
      <c r="E289" s="184" t="s">
        <v>633</v>
      </c>
      <c r="F289" s="184" t="s">
        <v>630</v>
      </c>
      <c r="G289" s="184" t="s">
        <v>634</v>
      </c>
      <c r="H289" s="184" t="s">
        <v>47</v>
      </c>
      <c r="I289" s="184" t="s">
        <v>48</v>
      </c>
      <c r="J289" s="184"/>
      <c r="K289" s="184" t="s">
        <v>104</v>
      </c>
      <c r="L289" s="184" t="s">
        <v>50</v>
      </c>
      <c r="M289" s="184"/>
      <c r="N289" s="184"/>
      <c r="O289" s="184"/>
      <c r="P289" s="184" t="b">
        <v>0</v>
      </c>
    </row>
    <row r="290" spans="1:16" ht="12.75" hidden="1">
      <c r="A290" s="184" t="str">
        <f t="shared" si="13"/>
        <v>KF-TR-DVL-B-289</v>
      </c>
      <c r="B290" s="184">
        <v>289</v>
      </c>
      <c r="C290" s="184" t="str">
        <f t="shared" si="14"/>
        <v>[01C306] Pump Bypass</v>
      </c>
      <c r="D290" s="184" t="s">
        <v>635</v>
      </c>
      <c r="E290" s="184" t="s">
        <v>636</v>
      </c>
      <c r="F290" s="184" t="s">
        <v>630</v>
      </c>
      <c r="G290" s="184" t="s">
        <v>634</v>
      </c>
      <c r="H290" s="184" t="s">
        <v>47</v>
      </c>
      <c r="I290" s="184" t="s">
        <v>48</v>
      </c>
      <c r="J290" s="184"/>
      <c r="K290" s="184" t="s">
        <v>104</v>
      </c>
      <c r="L290" s="184" t="s">
        <v>50</v>
      </c>
      <c r="M290" s="184"/>
      <c r="N290" s="184"/>
      <c r="O290" s="184"/>
      <c r="P290" s="184" t="b">
        <v>0</v>
      </c>
    </row>
    <row r="291" spans="1:16" ht="12.75" hidden="1">
      <c r="A291" s="184" t="str">
        <f t="shared" si="13"/>
        <v>KF-FS-DVL-B-290</v>
      </c>
      <c r="B291" s="184">
        <v>290</v>
      </c>
      <c r="C291" s="184" t="str">
        <f t="shared" si="14"/>
        <v>[01C302] Kero ISO dessicant filter array inlet</v>
      </c>
      <c r="D291" s="184" t="s">
        <v>637</v>
      </c>
      <c r="E291" s="184" t="s">
        <v>638</v>
      </c>
      <c r="F291" s="184" t="s">
        <v>630</v>
      </c>
      <c r="G291" s="184" t="s">
        <v>639</v>
      </c>
      <c r="H291" s="184" t="s">
        <v>47</v>
      </c>
      <c r="I291" s="184" t="s">
        <v>48</v>
      </c>
      <c r="J291" s="184"/>
      <c r="K291" s="184" t="s">
        <v>104</v>
      </c>
      <c r="L291" s="184" t="s">
        <v>50</v>
      </c>
      <c r="M291" s="184"/>
      <c r="N291" s="184"/>
      <c r="O291" s="184"/>
      <c r="P291" s="184" t="b">
        <v>0</v>
      </c>
    </row>
    <row r="292" spans="1:16" ht="12.75" hidden="1">
      <c r="A292" s="184" t="str">
        <f t="shared" si="13"/>
        <v>KF-FS-DVL-B-291</v>
      </c>
      <c r="B292" s="184">
        <v>291</v>
      </c>
      <c r="C292" s="184" t="str">
        <f t="shared" si="14"/>
        <v>[01C303] Kero ISO dessicant filter array outlet</v>
      </c>
      <c r="D292" s="184" t="s">
        <v>640</v>
      </c>
      <c r="E292" s="184" t="s">
        <v>641</v>
      </c>
      <c r="F292" s="184" t="s">
        <v>630</v>
      </c>
      <c r="G292" s="184" t="s">
        <v>639</v>
      </c>
      <c r="H292" s="184" t="s">
        <v>47</v>
      </c>
      <c r="I292" s="184" t="s">
        <v>48</v>
      </c>
      <c r="J292" s="184"/>
      <c r="K292" s="184" t="s">
        <v>104</v>
      </c>
      <c r="L292" s="184" t="s">
        <v>50</v>
      </c>
      <c r="M292" s="184"/>
      <c r="N292" s="184"/>
      <c r="O292" s="184"/>
      <c r="P292" s="184" t="b">
        <v>0</v>
      </c>
    </row>
    <row r="293" spans="1:16" ht="12.75" hidden="1">
      <c r="A293" s="184" t="str">
        <f t="shared" ref="A293:A359" si="15">CONCATENATE(VLOOKUP(F293,Systems,2,FALSE),"-",VLOOKUP(G293,Subsystems,2,FALSE),"-",VLOOKUP(H293,Components,2,FALSE),"-",VLOOKUP(K293,Metrics,2,FALSE),"-",B293)</f>
        <v>KF-FS-DVL-B-292</v>
      </c>
      <c r="B293" s="184">
        <v>292</v>
      </c>
      <c r="C293" s="184" t="str">
        <f t="shared" si="14"/>
        <v>[01C305] Kero ISO dessicant filter array bypass</v>
      </c>
      <c r="D293" s="184" t="s">
        <v>642</v>
      </c>
      <c r="E293" s="184" t="s">
        <v>643</v>
      </c>
      <c r="F293" s="184" t="s">
        <v>630</v>
      </c>
      <c r="G293" s="184" t="s">
        <v>639</v>
      </c>
      <c r="H293" s="184" t="s">
        <v>47</v>
      </c>
      <c r="I293" s="184" t="s">
        <v>48</v>
      </c>
      <c r="J293" s="184"/>
      <c r="K293" s="184" t="s">
        <v>104</v>
      </c>
      <c r="L293" s="184" t="s">
        <v>50</v>
      </c>
      <c r="M293" s="184"/>
      <c r="N293" s="184"/>
      <c r="O293" s="184"/>
      <c r="P293" s="184" t="b">
        <v>0</v>
      </c>
    </row>
    <row r="294" spans="1:16" ht="12.75" hidden="1">
      <c r="A294" s="184" t="str">
        <f t="shared" si="15"/>
        <v>KF-TR-DVL-B-293</v>
      </c>
      <c r="B294" s="184">
        <v>293</v>
      </c>
      <c r="C294" s="184" t="str">
        <f t="shared" si="14"/>
        <v>[01C307] Return to tank valve isolation valve</v>
      </c>
      <c r="D294" s="184" t="s">
        <v>644</v>
      </c>
      <c r="E294" s="184" t="s">
        <v>645</v>
      </c>
      <c r="F294" s="184" t="s">
        <v>630</v>
      </c>
      <c r="G294" s="184" t="s">
        <v>634</v>
      </c>
      <c r="H294" s="184" t="s">
        <v>47</v>
      </c>
      <c r="I294" s="184" t="s">
        <v>48</v>
      </c>
      <c r="J294" s="184"/>
      <c r="K294" s="184" t="s">
        <v>104</v>
      </c>
      <c r="L294" s="184" t="s">
        <v>50</v>
      </c>
      <c r="M294" s="184"/>
      <c r="N294" s="184"/>
      <c r="O294" s="184"/>
      <c r="P294" s="184" t="b">
        <v>0</v>
      </c>
    </row>
    <row r="295" spans="1:16" s="151" customFormat="1" ht="12.75" hidden="1">
      <c r="A295" s="184"/>
      <c r="B295" s="184">
        <v>294</v>
      </c>
      <c r="C295" s="184" t="str">
        <f t="shared" si="14"/>
        <v xml:space="preserve">[] </v>
      </c>
      <c r="D295" s="184"/>
      <c r="E295" s="184"/>
      <c r="F295" s="184"/>
      <c r="G295" s="184"/>
      <c r="H295" s="184"/>
      <c r="I295" s="184"/>
      <c r="J295" s="184"/>
      <c r="K295" s="184"/>
      <c r="L295" s="184"/>
      <c r="M295" s="184"/>
      <c r="N295" s="184"/>
      <c r="O295" s="184"/>
      <c r="P295" s="184"/>
    </row>
    <row r="296" spans="1:16" ht="12.75" hidden="1">
      <c r="A296" s="184" t="str">
        <f t="shared" si="15"/>
        <v>KF-TR-VSD-B-295</v>
      </c>
      <c r="B296" s="184">
        <v>295</v>
      </c>
      <c r="C296" s="184" t="str">
        <f t="shared" si="14"/>
        <v>[01C693.1] Kero Pump VSD Enable Contact (Internal to VSD)</v>
      </c>
      <c r="D296" s="184" t="s">
        <v>646</v>
      </c>
      <c r="E296" s="184" t="s">
        <v>647</v>
      </c>
      <c r="F296" s="184" t="s">
        <v>630</v>
      </c>
      <c r="G296" s="184" t="s">
        <v>634</v>
      </c>
      <c r="H296" s="184" t="s">
        <v>648</v>
      </c>
      <c r="I296" s="184" t="s">
        <v>48</v>
      </c>
      <c r="J296" s="184"/>
      <c r="K296" s="184" t="s">
        <v>104</v>
      </c>
      <c r="L296" s="184" t="s">
        <v>50</v>
      </c>
      <c r="M296" s="184"/>
      <c r="N296" s="184"/>
      <c r="O296" s="184"/>
      <c r="P296" s="184" t="b">
        <v>0</v>
      </c>
    </row>
    <row r="297" spans="1:16" ht="12.75">
      <c r="A297" s="184" t="str">
        <f t="shared" si="15"/>
        <v>KF-TR-VSD-SPD-296</v>
      </c>
      <c r="B297" s="184">
        <v>296</v>
      </c>
      <c r="C297" s="184" t="str">
        <f t="shared" si="14"/>
        <v>[01C693.2] Kero Pump VSD Speed Setpoint</v>
      </c>
      <c r="D297" s="184" t="s">
        <v>649</v>
      </c>
      <c r="E297" s="184" t="s">
        <v>650</v>
      </c>
      <c r="F297" s="184" t="s">
        <v>630</v>
      </c>
      <c r="G297" s="184" t="s">
        <v>634</v>
      </c>
      <c r="H297" s="184" t="s">
        <v>648</v>
      </c>
      <c r="I297" s="184" t="s">
        <v>247</v>
      </c>
      <c r="J297" s="184"/>
      <c r="K297" s="184" t="s">
        <v>651</v>
      </c>
      <c r="L297" s="184" t="s">
        <v>652</v>
      </c>
      <c r="M297" s="184"/>
      <c r="N297" s="184"/>
      <c r="O297" s="184"/>
      <c r="P297" s="184" t="b">
        <v>0</v>
      </c>
    </row>
    <row r="298" spans="1:16" ht="12.75">
      <c r="A298" s="184" t="str">
        <f t="shared" si="15"/>
        <v>KF-TS-PVL-Pos-297</v>
      </c>
      <c r="B298" s="184">
        <v>297</v>
      </c>
      <c r="C298" s="184" t="str">
        <f t="shared" si="14"/>
        <v>[01C309] Fill valve position setpoint</v>
      </c>
      <c r="D298" s="184" t="s">
        <v>653</v>
      </c>
      <c r="E298" s="184" t="s">
        <v>654</v>
      </c>
      <c r="F298" s="184" t="s">
        <v>630</v>
      </c>
      <c r="G298" s="184" t="s">
        <v>631</v>
      </c>
      <c r="H298" s="184" t="s">
        <v>246</v>
      </c>
      <c r="I298" s="184" t="s">
        <v>247</v>
      </c>
      <c r="J298" s="184"/>
      <c r="K298" s="184" t="s">
        <v>49</v>
      </c>
      <c r="L298" s="184" t="s">
        <v>248</v>
      </c>
      <c r="M298" s="184"/>
      <c r="N298" s="184">
        <v>3</v>
      </c>
      <c r="O298" s="184"/>
      <c r="P298" s="184" t="b">
        <v>0</v>
      </c>
    </row>
    <row r="299" spans="1:16" ht="12.75">
      <c r="A299" s="184" t="str">
        <f t="shared" si="15"/>
        <v>KF-TR-PRS-Ps-298</v>
      </c>
      <c r="B299" s="184">
        <v>298</v>
      </c>
      <c r="C299" s="184" t="str">
        <f t="shared" si="14"/>
        <v>[01C916] Kero pump outlet pressure</v>
      </c>
      <c r="D299" s="184" t="s">
        <v>655</v>
      </c>
      <c r="E299" s="184" t="s">
        <v>656</v>
      </c>
      <c r="F299" s="184" t="s">
        <v>630</v>
      </c>
      <c r="G299" s="184" t="s">
        <v>634</v>
      </c>
      <c r="H299" s="184" t="s">
        <v>54</v>
      </c>
      <c r="I299" s="184" t="s">
        <v>55</v>
      </c>
      <c r="J299" s="184"/>
      <c r="K299" s="184" t="s">
        <v>56</v>
      </c>
      <c r="L299" s="184" t="s">
        <v>330</v>
      </c>
      <c r="M299" s="184"/>
      <c r="N299" s="184"/>
      <c r="O299" s="184"/>
      <c r="P299" s="184" t="b">
        <v>0</v>
      </c>
    </row>
    <row r="300" spans="1:16" ht="12.75">
      <c r="A300" s="184" t="str">
        <f t="shared" si="15"/>
        <v>KF-TS-PRS-Ps-299</v>
      </c>
      <c r="B300" s="184">
        <v>299</v>
      </c>
      <c r="C300" s="184" t="str">
        <f t="shared" si="14"/>
        <v>[01C917] Kero fill pressure</v>
      </c>
      <c r="D300" s="184" t="s">
        <v>657</v>
      </c>
      <c r="E300" s="184" t="s">
        <v>658</v>
      </c>
      <c r="F300" s="184" t="s">
        <v>630</v>
      </c>
      <c r="G300" s="184" t="s">
        <v>631</v>
      </c>
      <c r="H300" s="184" t="s">
        <v>54</v>
      </c>
      <c r="I300" s="184" t="s">
        <v>55</v>
      </c>
      <c r="J300" s="184"/>
      <c r="K300" s="184" t="s">
        <v>56</v>
      </c>
      <c r="L300" s="184" t="s">
        <v>330</v>
      </c>
      <c r="M300" s="184"/>
      <c r="N300" s="184"/>
      <c r="O300" s="184"/>
      <c r="P300" s="184" t="b">
        <v>0</v>
      </c>
    </row>
    <row r="301" spans="1:16" ht="12.75">
      <c r="A301" s="184" t="str">
        <f t="shared" si="15"/>
        <v>KF-TS-PVL-Pos-300</v>
      </c>
      <c r="B301" s="184">
        <v>300</v>
      </c>
      <c r="C301" s="184" t="str">
        <f t="shared" si="14"/>
        <v>[01C309] Fill valve position feed back</v>
      </c>
      <c r="D301" s="184" t="s">
        <v>659</v>
      </c>
      <c r="E301" s="184" t="s">
        <v>654</v>
      </c>
      <c r="F301" s="184" t="s">
        <v>630</v>
      </c>
      <c r="G301" s="184" t="s">
        <v>631</v>
      </c>
      <c r="H301" s="184" t="s">
        <v>246</v>
      </c>
      <c r="I301" s="184" t="s">
        <v>55</v>
      </c>
      <c r="J301" s="184"/>
      <c r="K301" s="184" t="s">
        <v>49</v>
      </c>
      <c r="L301" s="184" t="s">
        <v>248</v>
      </c>
      <c r="M301" s="184"/>
      <c r="N301" s="184"/>
      <c r="O301" s="184"/>
      <c r="P301" s="184" t="b">
        <v>0</v>
      </c>
    </row>
    <row r="302" spans="1:16" ht="12.75" hidden="1">
      <c r="A302" s="184" t="str">
        <f t="shared" si="15"/>
        <v>KF-TR-LS-PxO-301</v>
      </c>
      <c r="B302" s="184">
        <v>301</v>
      </c>
      <c r="C302" s="184" t="str">
        <f t="shared" si="14"/>
        <v>[01C301] Pump Transfer valve - open</v>
      </c>
      <c r="D302" s="184" t="s">
        <v>660</v>
      </c>
      <c r="E302" s="184" t="s">
        <v>633</v>
      </c>
      <c r="F302" s="184" t="s">
        <v>630</v>
      </c>
      <c r="G302" s="184" t="s">
        <v>634</v>
      </c>
      <c r="H302" s="184" t="s">
        <v>107</v>
      </c>
      <c r="I302" s="184" t="s">
        <v>73</v>
      </c>
      <c r="J302" s="184"/>
      <c r="K302" s="184" t="s">
        <v>115</v>
      </c>
      <c r="L302" s="184" t="s">
        <v>50</v>
      </c>
      <c r="M302" s="184"/>
      <c r="N302" s="184"/>
      <c r="O302" s="184"/>
      <c r="P302" s="184" t="b">
        <v>0</v>
      </c>
    </row>
    <row r="303" spans="1:16" ht="12.75" hidden="1">
      <c r="A303" s="184" t="str">
        <f t="shared" si="15"/>
        <v>KF-TR-LS-PxO-302</v>
      </c>
      <c r="B303" s="184">
        <v>302</v>
      </c>
      <c r="C303" s="184" t="str">
        <f t="shared" si="14"/>
        <v>[01C306] Pump Bypass - open</v>
      </c>
      <c r="D303" s="184" t="s">
        <v>661</v>
      </c>
      <c r="E303" s="184" t="s">
        <v>636</v>
      </c>
      <c r="F303" s="184" t="s">
        <v>630</v>
      </c>
      <c r="G303" s="184" t="s">
        <v>634</v>
      </c>
      <c r="H303" s="184" t="s">
        <v>107</v>
      </c>
      <c r="I303" s="184" t="s">
        <v>73</v>
      </c>
      <c r="J303" s="184"/>
      <c r="K303" s="184" t="s">
        <v>115</v>
      </c>
      <c r="L303" s="184" t="s">
        <v>50</v>
      </c>
      <c r="M303" s="184"/>
      <c r="N303" s="184"/>
      <c r="O303" s="184"/>
      <c r="P303" s="184" t="b">
        <v>0</v>
      </c>
    </row>
    <row r="304" spans="1:16" ht="12.75" hidden="1">
      <c r="A304" s="184" t="str">
        <f t="shared" si="15"/>
        <v>KF-FS-LS-PxO-303</v>
      </c>
      <c r="B304" s="184">
        <v>303</v>
      </c>
      <c r="C304" s="184" t="str">
        <f t="shared" si="14"/>
        <v>[01C302] Kero ISO dessicant filter array inlet - open</v>
      </c>
      <c r="D304" s="184" t="s">
        <v>662</v>
      </c>
      <c r="E304" s="184" t="s">
        <v>638</v>
      </c>
      <c r="F304" s="184" t="s">
        <v>630</v>
      </c>
      <c r="G304" s="184" t="s">
        <v>639</v>
      </c>
      <c r="H304" s="184" t="s">
        <v>107</v>
      </c>
      <c r="I304" s="184" t="s">
        <v>73</v>
      </c>
      <c r="J304" s="184"/>
      <c r="K304" s="184" t="s">
        <v>115</v>
      </c>
      <c r="L304" s="184" t="s">
        <v>50</v>
      </c>
      <c r="M304" s="184"/>
      <c r="N304" s="184"/>
      <c r="O304" s="184"/>
      <c r="P304" s="184" t="b">
        <v>0</v>
      </c>
    </row>
    <row r="305" spans="1:16" ht="12.75" hidden="1">
      <c r="A305" s="184" t="str">
        <f t="shared" si="15"/>
        <v>KF-FS-LS-PxO-304</v>
      </c>
      <c r="B305" s="184">
        <v>304</v>
      </c>
      <c r="C305" s="184" t="str">
        <f t="shared" si="14"/>
        <v>[01C303] Kero ISO dessicant filter array out - open</v>
      </c>
      <c r="D305" s="184" t="s">
        <v>663</v>
      </c>
      <c r="E305" s="184" t="s">
        <v>641</v>
      </c>
      <c r="F305" s="184" t="s">
        <v>630</v>
      </c>
      <c r="G305" s="184" t="s">
        <v>639</v>
      </c>
      <c r="H305" s="184" t="s">
        <v>107</v>
      </c>
      <c r="I305" s="184" t="s">
        <v>73</v>
      </c>
      <c r="J305" s="184"/>
      <c r="K305" s="184" t="s">
        <v>115</v>
      </c>
      <c r="L305" s="184" t="s">
        <v>50</v>
      </c>
      <c r="M305" s="184"/>
      <c r="N305" s="184"/>
      <c r="O305" s="184"/>
      <c r="P305" s="184" t="b">
        <v>0</v>
      </c>
    </row>
    <row r="306" spans="1:16" ht="12.75" hidden="1">
      <c r="A306" s="184" t="str">
        <f t="shared" si="15"/>
        <v>KF-FS-LS-PxO-305</v>
      </c>
      <c r="B306" s="184">
        <v>305</v>
      </c>
      <c r="C306" s="184" t="str">
        <f t="shared" si="14"/>
        <v>[01C305] Kero ISO dessicant filter array bypass - open</v>
      </c>
      <c r="D306" s="184" t="s">
        <v>664</v>
      </c>
      <c r="E306" s="184" t="s">
        <v>643</v>
      </c>
      <c r="F306" s="184" t="s">
        <v>630</v>
      </c>
      <c r="G306" s="184" t="s">
        <v>639</v>
      </c>
      <c r="H306" s="184" t="s">
        <v>107</v>
      </c>
      <c r="I306" s="184" t="s">
        <v>73</v>
      </c>
      <c r="J306" s="184"/>
      <c r="K306" s="184" t="s">
        <v>115</v>
      </c>
      <c r="L306" s="184" t="s">
        <v>50</v>
      </c>
      <c r="M306" s="184"/>
      <c r="N306" s="184"/>
      <c r="O306" s="184"/>
      <c r="P306" s="184" t="b">
        <v>0</v>
      </c>
    </row>
    <row r="307" spans="1:16" ht="12.75" hidden="1">
      <c r="A307" s="184" t="str">
        <f t="shared" si="15"/>
        <v>KF-TR-LS-PxO-306</v>
      </c>
      <c r="B307" s="184">
        <v>306</v>
      </c>
      <c r="C307" s="184" t="str">
        <f t="shared" si="14"/>
        <v>[01C307] Return to tank valve isolation valve - open</v>
      </c>
      <c r="D307" s="184" t="s">
        <v>665</v>
      </c>
      <c r="E307" s="184" t="s">
        <v>645</v>
      </c>
      <c r="F307" s="184" t="s">
        <v>630</v>
      </c>
      <c r="G307" s="184" t="s">
        <v>634</v>
      </c>
      <c r="H307" s="184" t="s">
        <v>107</v>
      </c>
      <c r="I307" s="184" t="s">
        <v>73</v>
      </c>
      <c r="J307" s="184"/>
      <c r="K307" s="184" t="s">
        <v>115</v>
      </c>
      <c r="L307" s="184" t="s">
        <v>50</v>
      </c>
      <c r="M307" s="184"/>
      <c r="N307" s="184"/>
      <c r="O307" s="184"/>
      <c r="P307" s="184" t="b">
        <v>0</v>
      </c>
    </row>
    <row r="308" spans="1:16" s="151" customFormat="1" ht="12.75" hidden="1">
      <c r="A308" s="184"/>
      <c r="B308" s="184">
        <v>307</v>
      </c>
      <c r="C308" s="184" t="str">
        <f t="shared" si="14"/>
        <v xml:space="preserve">[] </v>
      </c>
      <c r="D308" s="184"/>
      <c r="E308" s="184"/>
      <c r="F308" s="184"/>
      <c r="G308" s="184"/>
      <c r="H308" s="184"/>
      <c r="I308" s="184"/>
      <c r="J308" s="184"/>
      <c r="K308" s="184"/>
      <c r="L308" s="184"/>
      <c r="M308" s="184"/>
      <c r="N308" s="184"/>
      <c r="O308" s="184"/>
      <c r="P308" s="184"/>
    </row>
    <row r="309" spans="1:16" ht="12.75" hidden="1">
      <c r="A309" s="184" t="str">
        <f t="shared" si="15"/>
        <v>KF-TR-LS-PxC-308</v>
      </c>
      <c r="B309" s="184">
        <v>308</v>
      </c>
      <c r="C309" s="184" t="str">
        <f t="shared" si="14"/>
        <v>[01C301] Pump Transfer valve - closed</v>
      </c>
      <c r="D309" s="184" t="s">
        <v>666</v>
      </c>
      <c r="E309" s="184" t="s">
        <v>633</v>
      </c>
      <c r="F309" s="184" t="s">
        <v>630</v>
      </c>
      <c r="G309" s="184" t="s">
        <v>634</v>
      </c>
      <c r="H309" s="184" t="s">
        <v>107</v>
      </c>
      <c r="I309" s="184" t="s">
        <v>73</v>
      </c>
      <c r="J309" s="184"/>
      <c r="K309" s="184" t="s">
        <v>108</v>
      </c>
      <c r="L309" s="184" t="s">
        <v>50</v>
      </c>
      <c r="M309" s="184"/>
      <c r="N309" s="184"/>
      <c r="O309" s="184"/>
      <c r="P309" s="184" t="b">
        <v>0</v>
      </c>
    </row>
    <row r="310" spans="1:16" ht="12.75" hidden="1">
      <c r="A310" s="184" t="str">
        <f t="shared" si="15"/>
        <v>KF-TR-LS-PxC-309</v>
      </c>
      <c r="B310" s="184">
        <v>309</v>
      </c>
      <c r="C310" s="184" t="str">
        <f t="shared" si="14"/>
        <v>[01C306] Pump Bypass - closed</v>
      </c>
      <c r="D310" s="184" t="s">
        <v>667</v>
      </c>
      <c r="E310" s="184" t="s">
        <v>636</v>
      </c>
      <c r="F310" s="184" t="s">
        <v>630</v>
      </c>
      <c r="G310" s="184" t="s">
        <v>634</v>
      </c>
      <c r="H310" s="184" t="s">
        <v>107</v>
      </c>
      <c r="I310" s="184" t="s">
        <v>73</v>
      </c>
      <c r="J310" s="184"/>
      <c r="K310" s="184" t="s">
        <v>108</v>
      </c>
      <c r="L310" s="184" t="s">
        <v>50</v>
      </c>
      <c r="M310" s="184"/>
      <c r="N310" s="184"/>
      <c r="O310" s="184"/>
      <c r="P310" s="184" t="b">
        <v>0</v>
      </c>
    </row>
    <row r="311" spans="1:16" ht="12.75" hidden="1">
      <c r="A311" s="184" t="str">
        <f t="shared" si="15"/>
        <v>KF-FS-LS-PxC-310</v>
      </c>
      <c r="B311" s="184">
        <v>310</v>
      </c>
      <c r="C311" s="184" t="str">
        <f t="shared" si="14"/>
        <v>[01C302] Kero ISO dessicant filter array inlet - closed</v>
      </c>
      <c r="D311" s="184" t="s">
        <v>668</v>
      </c>
      <c r="E311" s="184" t="s">
        <v>638</v>
      </c>
      <c r="F311" s="184" t="s">
        <v>630</v>
      </c>
      <c r="G311" s="184" t="s">
        <v>639</v>
      </c>
      <c r="H311" s="184" t="s">
        <v>107</v>
      </c>
      <c r="I311" s="184" t="s">
        <v>73</v>
      </c>
      <c r="J311" s="184"/>
      <c r="K311" s="184" t="s">
        <v>108</v>
      </c>
      <c r="L311" s="184" t="s">
        <v>50</v>
      </c>
      <c r="M311" s="184"/>
      <c r="N311" s="184"/>
      <c r="O311" s="184"/>
      <c r="P311" s="184" t="b">
        <v>0</v>
      </c>
    </row>
    <row r="312" spans="1:16" ht="12.75" hidden="1">
      <c r="A312" s="184" t="str">
        <f t="shared" si="15"/>
        <v>KF-FS-LS-PxC-311</v>
      </c>
      <c r="B312" s="184">
        <v>311</v>
      </c>
      <c r="C312" s="184" t="str">
        <f t="shared" si="14"/>
        <v>[01C303] Kero ISO dessicant filter array outlet- closed</v>
      </c>
      <c r="D312" s="184" t="s">
        <v>669</v>
      </c>
      <c r="E312" s="184" t="s">
        <v>641</v>
      </c>
      <c r="F312" s="184" t="s">
        <v>630</v>
      </c>
      <c r="G312" s="184" t="s">
        <v>639</v>
      </c>
      <c r="H312" s="184" t="s">
        <v>107</v>
      </c>
      <c r="I312" s="184" t="s">
        <v>73</v>
      </c>
      <c r="J312" s="184"/>
      <c r="K312" s="184" t="s">
        <v>108</v>
      </c>
      <c r="L312" s="184" t="s">
        <v>50</v>
      </c>
      <c r="M312" s="184"/>
      <c r="N312" s="184"/>
      <c r="O312" s="184"/>
      <c r="P312" s="184" t="b">
        <v>0</v>
      </c>
    </row>
    <row r="313" spans="1:16" ht="12.75" hidden="1">
      <c r="A313" s="184" t="str">
        <f t="shared" si="15"/>
        <v>KF-FS-LS-PxC-312</v>
      </c>
      <c r="B313" s="184">
        <v>312</v>
      </c>
      <c r="C313" s="184" t="str">
        <f t="shared" si="14"/>
        <v>[01C305] Kero ISO dessicant filter array bypass - closed</v>
      </c>
      <c r="D313" s="184" t="s">
        <v>670</v>
      </c>
      <c r="E313" s="184" t="s">
        <v>643</v>
      </c>
      <c r="F313" s="184" t="s">
        <v>630</v>
      </c>
      <c r="G313" s="184" t="s">
        <v>639</v>
      </c>
      <c r="H313" s="184" t="s">
        <v>107</v>
      </c>
      <c r="I313" s="184" t="s">
        <v>73</v>
      </c>
      <c r="J313" s="184"/>
      <c r="K313" s="184" t="s">
        <v>108</v>
      </c>
      <c r="L313" s="184" t="s">
        <v>50</v>
      </c>
      <c r="M313" s="184"/>
      <c r="N313" s="184"/>
      <c r="O313" s="184"/>
      <c r="P313" s="184" t="b">
        <v>0</v>
      </c>
    </row>
    <row r="314" spans="1:16" ht="12.75" hidden="1">
      <c r="A314" s="184" t="str">
        <f t="shared" si="15"/>
        <v>KF-TR-LS-PxC-313</v>
      </c>
      <c r="B314" s="184">
        <v>313</v>
      </c>
      <c r="C314" s="184" t="str">
        <f t="shared" si="14"/>
        <v>[01C307] Return to tank valve isolation valve - closed</v>
      </c>
      <c r="D314" s="184" t="s">
        <v>671</v>
      </c>
      <c r="E314" s="184" t="s">
        <v>645</v>
      </c>
      <c r="F314" s="184" t="s">
        <v>630</v>
      </c>
      <c r="G314" s="184" t="s">
        <v>634</v>
      </c>
      <c r="H314" s="184" t="s">
        <v>107</v>
      </c>
      <c r="I314" s="184" t="s">
        <v>73</v>
      </c>
      <c r="J314" s="184"/>
      <c r="K314" s="184" t="s">
        <v>108</v>
      </c>
      <c r="L314" s="184" t="s">
        <v>50</v>
      </c>
      <c r="M314" s="184"/>
      <c r="N314" s="184"/>
      <c r="O314" s="184"/>
      <c r="P314" s="184" t="b">
        <v>0</v>
      </c>
    </row>
    <row r="315" spans="1:16" s="151" customFormat="1" ht="12.75" hidden="1">
      <c r="A315" s="184"/>
      <c r="B315" s="184">
        <v>314</v>
      </c>
      <c r="C315" s="184" t="str">
        <f t="shared" si="14"/>
        <v xml:space="preserve">[] </v>
      </c>
      <c r="D315" s="184"/>
      <c r="E315" s="184"/>
      <c r="F315" s="184"/>
      <c r="G315" s="184"/>
      <c r="H315" s="184"/>
      <c r="I315" s="184"/>
      <c r="J315" s="184"/>
      <c r="K315" s="184"/>
      <c r="L315" s="184"/>
      <c r="M315" s="184"/>
      <c r="N315" s="184"/>
      <c r="O315" s="184"/>
      <c r="P315" s="184"/>
    </row>
    <row r="316" spans="1:16" ht="12.75">
      <c r="A316" s="184" t="str">
        <f t="shared" si="15"/>
        <v>LOX-LS1-FM-MFs-315</v>
      </c>
      <c r="B316" s="184">
        <v>315</v>
      </c>
      <c r="C316" s="184" t="str">
        <f t="shared" si="14"/>
        <v>[02C701] LO2 Flow Control Skid Primary Flow Meter</v>
      </c>
      <c r="D316" s="184" t="s">
        <v>672</v>
      </c>
      <c r="E316" s="184" t="s">
        <v>673</v>
      </c>
      <c r="F316" s="184" t="s">
        <v>674</v>
      </c>
      <c r="G316" s="184" t="s">
        <v>675</v>
      </c>
      <c r="H316" s="184" t="s">
        <v>676</v>
      </c>
      <c r="I316" s="184" t="s">
        <v>677</v>
      </c>
      <c r="J316" s="184"/>
      <c r="K316" s="184" t="s">
        <v>678</v>
      </c>
      <c r="L316" s="184" t="s">
        <v>679</v>
      </c>
      <c r="M316" s="184"/>
      <c r="N316" s="184"/>
      <c r="O316" s="184"/>
      <c r="P316" s="184" t="b">
        <v>0</v>
      </c>
    </row>
    <row r="317" spans="1:16" ht="12.75">
      <c r="A317" s="184" t="str">
        <f t="shared" si="15"/>
        <v>LOX-LS1-FM-MFs-316</v>
      </c>
      <c r="B317" s="184">
        <v>316</v>
      </c>
      <c r="C317" s="184" t="str">
        <f t="shared" si="14"/>
        <v>[02C705] LO2 Flow Control Skid Outlet Vent Line Flow Meter</v>
      </c>
      <c r="D317" s="184" t="s">
        <v>680</v>
      </c>
      <c r="E317" s="184" t="s">
        <v>681</v>
      </c>
      <c r="F317" s="184" t="s">
        <v>674</v>
      </c>
      <c r="G317" s="184" t="s">
        <v>675</v>
      </c>
      <c r="H317" s="184" t="s">
        <v>676</v>
      </c>
      <c r="I317" s="184" t="s">
        <v>677</v>
      </c>
      <c r="J317" s="184"/>
      <c r="K317" s="184" t="s">
        <v>678</v>
      </c>
      <c r="L317" s="184" t="s">
        <v>679</v>
      </c>
      <c r="M317" s="184"/>
      <c r="N317" s="184"/>
      <c r="O317" s="184"/>
      <c r="P317" s="184" t="b">
        <v>0</v>
      </c>
    </row>
    <row r="318" spans="1:16" ht="12.75" hidden="1">
      <c r="A318" s="184" t="str">
        <f t="shared" si="15"/>
        <v>LOX-LT2-DVL-B-317</v>
      </c>
      <c r="B318" s="184">
        <v>317</v>
      </c>
      <c r="C318" s="184" t="str">
        <f t="shared" si="14"/>
        <v>[02C323] LOX tank 2 pressure building valve</v>
      </c>
      <c r="D318" s="184" t="s">
        <v>682</v>
      </c>
      <c r="E318" s="184" t="s">
        <v>683</v>
      </c>
      <c r="F318" s="184" t="s">
        <v>674</v>
      </c>
      <c r="G318" s="184" t="s">
        <v>684</v>
      </c>
      <c r="H318" s="184" t="s">
        <v>47</v>
      </c>
      <c r="I318" s="184" t="s">
        <v>48</v>
      </c>
      <c r="J318" s="184"/>
      <c r="K318" s="184" t="s">
        <v>104</v>
      </c>
      <c r="L318" s="184" t="s">
        <v>50</v>
      </c>
      <c r="M318" s="184"/>
      <c r="N318" s="184"/>
      <c r="O318" s="184"/>
      <c r="P318" s="184" t="b">
        <v>0</v>
      </c>
    </row>
    <row r="319" spans="1:16" ht="12.75">
      <c r="A319" s="184" t="str">
        <f t="shared" si="15"/>
        <v>LOX-LS1-DVL-Pos-318</v>
      </c>
      <c r="B319" s="184">
        <v>318</v>
      </c>
      <c r="C319" s="184" t="str">
        <f t="shared" si="14"/>
        <v>[02C340] LOX skid 1 transfer vent valve</v>
      </c>
      <c r="D319" s="184" t="s">
        <v>685</v>
      </c>
      <c r="E319" s="184" t="s">
        <v>686</v>
      </c>
      <c r="F319" s="184" t="s">
        <v>674</v>
      </c>
      <c r="G319" s="184" t="s">
        <v>675</v>
      </c>
      <c r="H319" s="184" t="s">
        <v>47</v>
      </c>
      <c r="I319" s="184" t="s">
        <v>48</v>
      </c>
      <c r="J319" s="184"/>
      <c r="K319" s="184" t="s">
        <v>49</v>
      </c>
      <c r="L319" s="184" t="s">
        <v>248</v>
      </c>
      <c r="M319" s="184"/>
      <c r="N319" s="184"/>
      <c r="O319" s="184"/>
      <c r="P319" s="184" t="b">
        <v>0</v>
      </c>
    </row>
    <row r="320" spans="1:16" ht="12.75" hidden="1">
      <c r="A320" s="184" t="str">
        <f t="shared" si="15"/>
        <v>LOX-LT1-DVL-B-319</v>
      </c>
      <c r="B320" s="184">
        <v>319</v>
      </c>
      <c r="C320" s="184" t="str">
        <f t="shared" si="14"/>
        <v>[02C325] LOX tank 1 pressure building valve</v>
      </c>
      <c r="D320" s="184" t="s">
        <v>687</v>
      </c>
      <c r="E320" s="184" t="s">
        <v>688</v>
      </c>
      <c r="F320" s="184" t="s">
        <v>674</v>
      </c>
      <c r="G320" s="184" t="s">
        <v>689</v>
      </c>
      <c r="H320" s="184" t="s">
        <v>47</v>
      </c>
      <c r="I320" s="184" t="s">
        <v>48</v>
      </c>
      <c r="J320" s="184"/>
      <c r="K320" s="184" t="s">
        <v>104</v>
      </c>
      <c r="L320" s="184" t="s">
        <v>50</v>
      </c>
      <c r="M320" s="184"/>
      <c r="N320" s="184"/>
      <c r="O320" s="184"/>
      <c r="P320" s="184" t="b">
        <v>0</v>
      </c>
    </row>
    <row r="321" spans="1:16" ht="12.75" hidden="1">
      <c r="A321" s="184" t="str">
        <f t="shared" si="15"/>
        <v>LOX-LT2-DVL-B-320</v>
      </c>
      <c r="B321" s="184">
        <v>320</v>
      </c>
      <c r="C321" s="184" t="str">
        <f t="shared" si="14"/>
        <v>[02C326] LOX tank 2 blow down valve</v>
      </c>
      <c r="D321" s="184" t="s">
        <v>690</v>
      </c>
      <c r="E321" s="184" t="s">
        <v>691</v>
      </c>
      <c r="F321" s="184" t="s">
        <v>674</v>
      </c>
      <c r="G321" s="184" t="s">
        <v>684</v>
      </c>
      <c r="H321" s="184" t="s">
        <v>47</v>
      </c>
      <c r="I321" s="184" t="s">
        <v>48</v>
      </c>
      <c r="J321" s="184"/>
      <c r="K321" s="184" t="s">
        <v>104</v>
      </c>
      <c r="L321" s="184" t="s">
        <v>50</v>
      </c>
      <c r="M321" s="184"/>
      <c r="N321" s="184"/>
      <c r="O321" s="184"/>
      <c r="P321" s="184" t="b">
        <v>0</v>
      </c>
    </row>
    <row r="322" spans="1:16" ht="12.75">
      <c r="A322" s="184" t="str">
        <f t="shared" si="15"/>
        <v>LOX-LS1-PVL-Pos-321</v>
      </c>
      <c r="B322" s="184">
        <v>321</v>
      </c>
      <c r="C322" s="184" t="str">
        <f t="shared" ref="C322:C331" si="16">_xlfn.TEXTJOIN("", TRUE, "[", E322,"] ",D322)</f>
        <v>[02C329] LOX tank 1 bottom return response</v>
      </c>
      <c r="D322" s="184" t="s">
        <v>692</v>
      </c>
      <c r="E322" s="184" t="s">
        <v>693</v>
      </c>
      <c r="F322" s="184" t="s">
        <v>674</v>
      </c>
      <c r="G322" s="184" t="s">
        <v>675</v>
      </c>
      <c r="H322" s="184" t="s">
        <v>246</v>
      </c>
      <c r="I322" s="184" t="s">
        <v>55</v>
      </c>
      <c r="J322" s="184"/>
      <c r="K322" s="184" t="s">
        <v>49</v>
      </c>
      <c r="L322" s="184" t="s">
        <v>248</v>
      </c>
      <c r="M322" s="184"/>
      <c r="N322" s="184"/>
      <c r="O322" s="184"/>
      <c r="P322" s="184" t="b">
        <v>0</v>
      </c>
    </row>
    <row r="323" spans="1:16" ht="12.75">
      <c r="A323" s="184" t="str">
        <f t="shared" si="15"/>
        <v>LOX-LS1-DVL-Pos-322</v>
      </c>
      <c r="B323" s="184">
        <v>322</v>
      </c>
      <c r="C323" s="184" t="str">
        <f t="shared" si="16"/>
        <v>[02C330] LOX skid 1 return vent valve</v>
      </c>
      <c r="D323" s="184" t="s">
        <v>694</v>
      </c>
      <c r="E323" s="184" t="s">
        <v>695</v>
      </c>
      <c r="F323" s="184" t="s">
        <v>674</v>
      </c>
      <c r="G323" s="184" t="s">
        <v>675</v>
      </c>
      <c r="H323" s="184" t="s">
        <v>47</v>
      </c>
      <c r="I323" s="184" t="s">
        <v>48</v>
      </c>
      <c r="J323" s="184"/>
      <c r="K323" s="184" t="s">
        <v>49</v>
      </c>
      <c r="L323" s="184" t="s">
        <v>248</v>
      </c>
      <c r="M323" s="184"/>
      <c r="N323" s="184"/>
      <c r="O323" s="184"/>
      <c r="P323" s="184" t="b">
        <v>0</v>
      </c>
    </row>
    <row r="324" spans="1:16" ht="12.75">
      <c r="A324" s="184" t="str">
        <f t="shared" si="15"/>
        <v>LOX-LS1-DVL-Pos-323</v>
      </c>
      <c r="B324" s="184">
        <v>323</v>
      </c>
      <c r="C324" s="184" t="str">
        <f t="shared" si="16"/>
        <v>[02C339] LOX skid 1 pump vent valve</v>
      </c>
      <c r="D324" s="184" t="s">
        <v>696</v>
      </c>
      <c r="E324" s="184" t="s">
        <v>697</v>
      </c>
      <c r="F324" s="184" t="s">
        <v>674</v>
      </c>
      <c r="G324" s="184" t="s">
        <v>675</v>
      </c>
      <c r="H324" s="184" t="s">
        <v>47</v>
      </c>
      <c r="I324" s="184" t="s">
        <v>48</v>
      </c>
      <c r="J324" s="184"/>
      <c r="K324" s="184" t="s">
        <v>49</v>
      </c>
      <c r="L324" s="184" t="s">
        <v>248</v>
      </c>
      <c r="M324" s="184"/>
      <c r="N324" s="184"/>
      <c r="O324" s="184"/>
      <c r="P324" s="184" t="b">
        <v>0</v>
      </c>
    </row>
    <row r="325" spans="1:16" ht="12.75">
      <c r="A325" s="184" t="str">
        <f t="shared" si="15"/>
        <v>LOX-LS1-PVL-Pos-324</v>
      </c>
      <c r="B325" s="184">
        <v>324</v>
      </c>
      <c r="C325" s="184" t="str">
        <f t="shared" si="16"/>
        <v>[02C333] LOX skid 1 transfer return response</v>
      </c>
      <c r="D325" s="184" t="s">
        <v>698</v>
      </c>
      <c r="E325" s="184" t="s">
        <v>699</v>
      </c>
      <c r="F325" s="184" t="s">
        <v>674</v>
      </c>
      <c r="G325" s="184" t="s">
        <v>675</v>
      </c>
      <c r="H325" s="184" t="s">
        <v>246</v>
      </c>
      <c r="I325" s="184" t="s">
        <v>55</v>
      </c>
      <c r="J325" s="184"/>
      <c r="K325" s="184" t="s">
        <v>49</v>
      </c>
      <c r="L325" s="184" t="s">
        <v>248</v>
      </c>
      <c r="M325" s="184"/>
      <c r="N325" s="184"/>
      <c r="O325" s="184"/>
      <c r="P325" s="184" t="b">
        <v>0</v>
      </c>
    </row>
    <row r="326" spans="1:16" ht="12.75">
      <c r="A326" s="184" t="str">
        <f t="shared" si="15"/>
        <v>LOX-LS1-PVL-Pos-325</v>
      </c>
      <c r="B326" s="184">
        <v>325</v>
      </c>
      <c r="C326" s="184" t="str">
        <f t="shared" si="16"/>
        <v>[02C337] LO2 S1 Umbilical fill valve - Resp</v>
      </c>
      <c r="D326" s="184" t="s">
        <v>700</v>
      </c>
      <c r="E326" s="184" t="s">
        <v>701</v>
      </c>
      <c r="F326" s="184" t="s">
        <v>674</v>
      </c>
      <c r="G326" s="184" t="s">
        <v>675</v>
      </c>
      <c r="H326" s="184" t="s">
        <v>246</v>
      </c>
      <c r="I326" s="184" t="s">
        <v>55</v>
      </c>
      <c r="J326" s="184"/>
      <c r="K326" s="184" t="s">
        <v>49</v>
      </c>
      <c r="L326" s="184" t="s">
        <v>248</v>
      </c>
      <c r="M326" s="184"/>
      <c r="N326" s="184"/>
      <c r="O326" s="184"/>
      <c r="P326" s="184" t="b">
        <v>0</v>
      </c>
    </row>
    <row r="327" spans="1:16" ht="12.75">
      <c r="A327" s="184" t="str">
        <f t="shared" si="15"/>
        <v>LOX-LS1-PVL-Pos-326</v>
      </c>
      <c r="B327" s="184">
        <v>326</v>
      </c>
      <c r="C327" s="184" t="str">
        <f t="shared" si="16"/>
        <v>[02C338] LO2 S2 Umbilical fill valve - Resp</v>
      </c>
      <c r="D327" s="184" t="s">
        <v>702</v>
      </c>
      <c r="E327" s="184" t="s">
        <v>703</v>
      </c>
      <c r="F327" s="184" t="s">
        <v>674</v>
      </c>
      <c r="G327" s="184" t="s">
        <v>675</v>
      </c>
      <c r="H327" s="184" t="s">
        <v>246</v>
      </c>
      <c r="I327" s="184" t="s">
        <v>55</v>
      </c>
      <c r="J327" s="184"/>
      <c r="K327" s="184" t="s">
        <v>49</v>
      </c>
      <c r="L327" s="184" t="s">
        <v>248</v>
      </c>
      <c r="M327" s="184"/>
      <c r="N327" s="184"/>
      <c r="O327" s="184"/>
      <c r="P327" s="184" t="b">
        <v>0</v>
      </c>
    </row>
    <row r="328" spans="1:16" ht="12.75">
      <c r="A328" s="184" t="str">
        <f t="shared" si="15"/>
        <v>LOX-LS1-PRS-Ps-327</v>
      </c>
      <c r="B328" s="184">
        <v>327</v>
      </c>
      <c r="C328" s="184" t="str">
        <f t="shared" si="16"/>
        <v>[02C915] LOX pump 1 inlet pressure</v>
      </c>
      <c r="D328" s="184" t="s">
        <v>704</v>
      </c>
      <c r="E328" s="184" t="s">
        <v>705</v>
      </c>
      <c r="F328" s="184" t="s">
        <v>674</v>
      </c>
      <c r="G328" s="184" t="s">
        <v>675</v>
      </c>
      <c r="H328" s="184" t="s">
        <v>54</v>
      </c>
      <c r="I328" s="184" t="s">
        <v>55</v>
      </c>
      <c r="J328" s="184"/>
      <c r="K328" s="184" t="s">
        <v>56</v>
      </c>
      <c r="L328" s="184" t="s">
        <v>57</v>
      </c>
      <c r="M328" s="184"/>
      <c r="N328" s="184"/>
      <c r="O328" s="184"/>
      <c r="P328" s="184" t="b">
        <v>0</v>
      </c>
    </row>
    <row r="329" spans="1:16" ht="12.75">
      <c r="A329" s="184" t="str">
        <f t="shared" si="15"/>
        <v>LOX-LS1-PRS-Ps-328</v>
      </c>
      <c r="B329" s="184">
        <v>328</v>
      </c>
      <c r="C329" s="184" t="str">
        <f t="shared" si="16"/>
        <v>[02C917] LOX pump 2 Oulet pressure</v>
      </c>
      <c r="D329" s="184" t="s">
        <v>706</v>
      </c>
      <c r="E329" s="184" t="s">
        <v>707</v>
      </c>
      <c r="F329" s="184" t="s">
        <v>674</v>
      </c>
      <c r="G329" s="184" t="s">
        <v>675</v>
      </c>
      <c r="H329" s="184" t="s">
        <v>54</v>
      </c>
      <c r="I329" s="184" t="s">
        <v>55</v>
      </c>
      <c r="J329" s="184"/>
      <c r="K329" s="184" t="s">
        <v>56</v>
      </c>
      <c r="L329" s="184" t="s">
        <v>57</v>
      </c>
      <c r="M329" s="184"/>
      <c r="N329" s="184"/>
      <c r="O329" s="184"/>
      <c r="P329" s="184" t="b">
        <v>0</v>
      </c>
    </row>
    <row r="330" spans="1:16" ht="12.75">
      <c r="A330" s="184" t="str">
        <f t="shared" si="15"/>
        <v>LOX-LS1-PRS-Ps-329</v>
      </c>
      <c r="B330" s="184">
        <v>329</v>
      </c>
      <c r="C330" s="184" t="str">
        <f t="shared" si="16"/>
        <v>[02C919] LOX skid 1 tranfer pressure</v>
      </c>
      <c r="D330" s="184" t="s">
        <v>708</v>
      </c>
      <c r="E330" s="184" t="s">
        <v>709</v>
      </c>
      <c r="F330" s="184" t="s">
        <v>674</v>
      </c>
      <c r="G330" s="184" t="s">
        <v>675</v>
      </c>
      <c r="H330" s="184" t="s">
        <v>54</v>
      </c>
      <c r="I330" s="184" t="s">
        <v>55</v>
      </c>
      <c r="J330" s="184"/>
      <c r="K330" s="184" t="s">
        <v>56</v>
      </c>
      <c r="L330" s="184" t="s">
        <v>57</v>
      </c>
      <c r="M330" s="184"/>
      <c r="N330" s="184"/>
      <c r="O330" s="184"/>
      <c r="P330" s="184" t="b">
        <v>0</v>
      </c>
    </row>
    <row r="331" spans="1:16" ht="12.75">
      <c r="A331" s="184" t="str">
        <f t="shared" si="15"/>
        <v>LOX-S1U-PRS-Ps-330</v>
      </c>
      <c r="B331" s="184">
        <v>330</v>
      </c>
      <c r="C331" s="184" t="str">
        <f t="shared" si="16"/>
        <v>[02C921] LO2 S1 Umbilical Pressure Transducer</v>
      </c>
      <c r="D331" s="184" t="s">
        <v>710</v>
      </c>
      <c r="E331" s="184" t="s">
        <v>711</v>
      </c>
      <c r="F331" s="184" t="s">
        <v>674</v>
      </c>
      <c r="G331" s="184" t="s">
        <v>53</v>
      </c>
      <c r="H331" s="184" t="s">
        <v>54</v>
      </c>
      <c r="I331" s="184" t="s">
        <v>55</v>
      </c>
      <c r="J331" s="184"/>
      <c r="K331" s="184" t="s">
        <v>56</v>
      </c>
      <c r="L331" s="184" t="s">
        <v>57</v>
      </c>
      <c r="M331" s="184"/>
      <c r="N331" s="184"/>
      <c r="O331" s="184"/>
      <c r="P331" s="184" t="b">
        <v>0</v>
      </c>
    </row>
    <row r="332" spans="1:16" ht="12.75">
      <c r="A332" s="184" t="str">
        <f t="shared" si="15"/>
        <v>LOX-S2U-PRS-Ps-331</v>
      </c>
      <c r="B332" s="184">
        <v>331</v>
      </c>
      <c r="C332" s="184" t="str">
        <f t="shared" ref="C332:C391" si="17">_xlfn.TEXTJOIN("", TRUE, "[", E332,"] ",D332)</f>
        <v>[02C922] LO2 S2 Umbilical Pressure Transducer</v>
      </c>
      <c r="D332" s="184" t="s">
        <v>712</v>
      </c>
      <c r="E332" s="184" t="s">
        <v>713</v>
      </c>
      <c r="F332" s="184" t="s">
        <v>674</v>
      </c>
      <c r="G332" s="184" t="s">
        <v>60</v>
      </c>
      <c r="H332" s="184" t="s">
        <v>54</v>
      </c>
      <c r="I332" s="184" t="s">
        <v>55</v>
      </c>
      <c r="J332" s="184"/>
      <c r="K332" s="184" t="s">
        <v>56</v>
      </c>
      <c r="L332" s="184" t="s">
        <v>57</v>
      </c>
      <c r="M332" s="184"/>
      <c r="N332" s="184"/>
      <c r="O332" s="184"/>
      <c r="P332" s="184" t="b">
        <v>0</v>
      </c>
    </row>
    <row r="333" spans="1:16" ht="12.75">
      <c r="A333" s="184" t="str">
        <f t="shared" si="15"/>
        <v>LOX-LS1-PVL-Pos-332</v>
      </c>
      <c r="B333" s="184">
        <v>332</v>
      </c>
      <c r="C333" s="184" t="str">
        <f t="shared" si="17"/>
        <v>[02C331] LOX tank 2 bottom return response</v>
      </c>
      <c r="D333" s="184" t="s">
        <v>714</v>
      </c>
      <c r="E333" s="184" t="s">
        <v>715</v>
      </c>
      <c r="F333" s="184" t="s">
        <v>674</v>
      </c>
      <c r="G333" s="184" t="s">
        <v>675</v>
      </c>
      <c r="H333" s="184" t="s">
        <v>246</v>
      </c>
      <c r="I333" s="184" t="s">
        <v>55</v>
      </c>
      <c r="J333" s="184"/>
      <c r="K333" s="184" t="s">
        <v>49</v>
      </c>
      <c r="L333" s="184" t="s">
        <v>248</v>
      </c>
      <c r="M333" s="184"/>
      <c r="N333" s="184"/>
      <c r="O333" s="184"/>
      <c r="P333" s="184" t="b">
        <v>0</v>
      </c>
    </row>
    <row r="334" spans="1:16" ht="12.75" hidden="1">
      <c r="A334" s="184" t="str">
        <f t="shared" si="15"/>
        <v>LOX-LS1-LS-PxO-333</v>
      </c>
      <c r="B334" s="184">
        <v>333</v>
      </c>
      <c r="C334" s="184" t="str">
        <f t="shared" si="17"/>
        <v>[02C340.2] LOX skid 1 transfer vent valve - Open</v>
      </c>
      <c r="D334" s="184" t="s">
        <v>716</v>
      </c>
      <c r="E334" s="184" t="s">
        <v>717</v>
      </c>
      <c r="F334" s="184" t="s">
        <v>674</v>
      </c>
      <c r="G334" s="184" t="s">
        <v>675</v>
      </c>
      <c r="H334" s="184" t="s">
        <v>107</v>
      </c>
      <c r="I334" s="184" t="s">
        <v>73</v>
      </c>
      <c r="J334" s="184"/>
      <c r="K334" s="184" t="s">
        <v>115</v>
      </c>
      <c r="L334" s="184" t="s">
        <v>50</v>
      </c>
      <c r="M334" s="184"/>
      <c r="N334" s="184"/>
      <c r="O334" s="184"/>
      <c r="P334" s="184" t="b">
        <v>0</v>
      </c>
    </row>
    <row r="335" spans="1:16" ht="12.75" hidden="1">
      <c r="A335" s="184" t="str">
        <f t="shared" si="15"/>
        <v>LOX-LS1-LS-PxC-334</v>
      </c>
      <c r="B335" s="184">
        <v>334</v>
      </c>
      <c r="C335" s="184" t="str">
        <f t="shared" si="17"/>
        <v>[02C340.2] LOX skid 1 transfer vent valve - Closed</v>
      </c>
      <c r="D335" s="184" t="s">
        <v>718</v>
      </c>
      <c r="E335" s="184" t="s">
        <v>717</v>
      </c>
      <c r="F335" s="184" t="s">
        <v>674</v>
      </c>
      <c r="G335" s="184" t="s">
        <v>675</v>
      </c>
      <c r="H335" s="184" t="s">
        <v>107</v>
      </c>
      <c r="I335" s="184" t="s">
        <v>73</v>
      </c>
      <c r="J335" s="184"/>
      <c r="K335" s="184" t="s">
        <v>108</v>
      </c>
      <c r="L335" s="184" t="s">
        <v>50</v>
      </c>
      <c r="M335" s="184"/>
      <c r="N335" s="184"/>
      <c r="O335" s="184"/>
      <c r="P335" s="184" t="b">
        <v>0</v>
      </c>
    </row>
    <row r="336" spans="1:16" ht="12.75" hidden="1">
      <c r="A336" s="184" t="str">
        <f t="shared" si="15"/>
        <v>LOX-LS1-LS-PxO-335</v>
      </c>
      <c r="B336" s="184">
        <v>335</v>
      </c>
      <c r="C336" s="184" t="str">
        <f t="shared" si="17"/>
        <v>[02C330.2] LOX skid 1 return vent valve - Open</v>
      </c>
      <c r="D336" s="184" t="s">
        <v>719</v>
      </c>
      <c r="E336" s="184" t="s">
        <v>720</v>
      </c>
      <c r="F336" s="184" t="s">
        <v>674</v>
      </c>
      <c r="G336" s="184" t="s">
        <v>675</v>
      </c>
      <c r="H336" s="184" t="s">
        <v>107</v>
      </c>
      <c r="I336" s="184" t="s">
        <v>73</v>
      </c>
      <c r="J336" s="184"/>
      <c r="K336" s="184" t="s">
        <v>115</v>
      </c>
      <c r="L336" s="184" t="s">
        <v>50</v>
      </c>
      <c r="M336" s="184"/>
      <c r="N336" s="184"/>
      <c r="O336" s="184"/>
      <c r="P336" s="184" t="b">
        <v>0</v>
      </c>
    </row>
    <row r="337" spans="1:16" ht="12.75" hidden="1">
      <c r="A337" s="184" t="str">
        <f t="shared" si="15"/>
        <v>LOX-LS1-LS-PxC-336</v>
      </c>
      <c r="B337" s="184">
        <v>336</v>
      </c>
      <c r="C337" s="184" t="str">
        <f t="shared" si="17"/>
        <v>[02C330.2] LOX skid 1 return vent valve - Closed</v>
      </c>
      <c r="D337" s="184" t="s">
        <v>721</v>
      </c>
      <c r="E337" s="184" t="s">
        <v>720</v>
      </c>
      <c r="F337" s="184" t="s">
        <v>674</v>
      </c>
      <c r="G337" s="184" t="s">
        <v>675</v>
      </c>
      <c r="H337" s="184" t="s">
        <v>107</v>
      </c>
      <c r="I337" s="184" t="s">
        <v>73</v>
      </c>
      <c r="J337" s="184"/>
      <c r="K337" s="184" t="s">
        <v>108</v>
      </c>
      <c r="L337" s="184" t="s">
        <v>50</v>
      </c>
      <c r="M337" s="184"/>
      <c r="N337" s="184"/>
      <c r="O337" s="184"/>
      <c r="P337" s="184" t="b">
        <v>0</v>
      </c>
    </row>
    <row r="338" spans="1:16" ht="12.75" hidden="1">
      <c r="A338" s="184" t="str">
        <f t="shared" si="15"/>
        <v>LOX-LS1-LS-PxO-337</v>
      </c>
      <c r="B338" s="184">
        <v>337</v>
      </c>
      <c r="C338" s="184" t="str">
        <f t="shared" si="17"/>
        <v>[02C339.2] LOX skid 1 pump vent valve - Open</v>
      </c>
      <c r="D338" s="184" t="s">
        <v>722</v>
      </c>
      <c r="E338" s="184" t="s">
        <v>723</v>
      </c>
      <c r="F338" s="184" t="s">
        <v>674</v>
      </c>
      <c r="G338" s="184" t="s">
        <v>675</v>
      </c>
      <c r="H338" s="184" t="s">
        <v>107</v>
      </c>
      <c r="I338" s="184" t="s">
        <v>73</v>
      </c>
      <c r="J338" s="184"/>
      <c r="K338" s="184" t="s">
        <v>115</v>
      </c>
      <c r="L338" s="184" t="s">
        <v>50</v>
      </c>
      <c r="M338" s="184"/>
      <c r="N338" s="184"/>
      <c r="O338" s="184"/>
      <c r="P338" s="184" t="b">
        <v>0</v>
      </c>
    </row>
    <row r="339" spans="1:16" ht="12.75" hidden="1">
      <c r="A339" s="184" t="str">
        <f t="shared" si="15"/>
        <v>LOX-LS1-LS-PxC-338</v>
      </c>
      <c r="B339" s="184">
        <v>338</v>
      </c>
      <c r="C339" s="184" t="str">
        <f t="shared" si="17"/>
        <v>[02C339.2] LOX skid 1 pump vent valve - Closed</v>
      </c>
      <c r="D339" s="184" t="s">
        <v>724</v>
      </c>
      <c r="E339" s="184" t="s">
        <v>723</v>
      </c>
      <c r="F339" s="184" t="s">
        <v>674</v>
      </c>
      <c r="G339" s="184" t="s">
        <v>675</v>
      </c>
      <c r="H339" s="184" t="s">
        <v>107</v>
      </c>
      <c r="I339" s="184" t="s">
        <v>73</v>
      </c>
      <c r="J339" s="184"/>
      <c r="K339" s="184" t="s">
        <v>108</v>
      </c>
      <c r="L339" s="184" t="s">
        <v>50</v>
      </c>
      <c r="M339" s="184"/>
      <c r="N339" s="184"/>
      <c r="O339" s="184"/>
      <c r="P339" s="184" t="b">
        <v>0</v>
      </c>
    </row>
    <row r="340" spans="1:16" ht="12.75" hidden="1">
      <c r="A340" s="184" t="str">
        <f t="shared" si="15"/>
        <v>LOX-LS1-LS-PxO-339</v>
      </c>
      <c r="B340" s="184">
        <v>339</v>
      </c>
      <c r="C340" s="184" t="str">
        <f t="shared" si="17"/>
        <v>[02C389.2] LOX skid 1 return select - Open</v>
      </c>
      <c r="D340" s="184" t="s">
        <v>725</v>
      </c>
      <c r="E340" s="184" t="s">
        <v>726</v>
      </c>
      <c r="F340" s="184" t="s">
        <v>674</v>
      </c>
      <c r="G340" s="184" t="s">
        <v>675</v>
      </c>
      <c r="H340" s="184" t="s">
        <v>107</v>
      </c>
      <c r="I340" s="184" t="s">
        <v>73</v>
      </c>
      <c r="J340" s="184"/>
      <c r="K340" s="184" t="s">
        <v>115</v>
      </c>
      <c r="L340" s="184" t="s">
        <v>50</v>
      </c>
      <c r="M340" s="184"/>
      <c r="N340" s="184"/>
      <c r="O340" s="184"/>
      <c r="P340" s="184" t="b">
        <v>0</v>
      </c>
    </row>
    <row r="341" spans="1:16" ht="12.75" hidden="1">
      <c r="A341" s="184" t="str">
        <f t="shared" si="15"/>
        <v>LOX-LS1-LS-PxC-340</v>
      </c>
      <c r="B341" s="184">
        <v>340</v>
      </c>
      <c r="C341" s="184" t="str">
        <f t="shared" si="17"/>
        <v>[02C389.2] LOX skid 1 return select - Closed</v>
      </c>
      <c r="D341" s="184" t="s">
        <v>727</v>
      </c>
      <c r="E341" s="184" t="s">
        <v>726</v>
      </c>
      <c r="F341" s="184" t="s">
        <v>674</v>
      </c>
      <c r="G341" s="184" t="s">
        <v>675</v>
      </c>
      <c r="H341" s="184" t="s">
        <v>107</v>
      </c>
      <c r="I341" s="184" t="s">
        <v>73</v>
      </c>
      <c r="J341" s="184"/>
      <c r="K341" s="184" t="s">
        <v>108</v>
      </c>
      <c r="L341" s="184" t="s">
        <v>50</v>
      </c>
      <c r="M341" s="184"/>
      <c r="N341" s="184"/>
      <c r="O341" s="184"/>
      <c r="P341" s="184" t="b">
        <v>0</v>
      </c>
    </row>
    <row r="342" spans="1:16" ht="12.75" hidden="1">
      <c r="A342" s="184" t="str">
        <f t="shared" si="15"/>
        <v>LOX-LS1-LS-PxO-341</v>
      </c>
      <c r="B342" s="184">
        <v>341</v>
      </c>
      <c r="C342" s="184" t="str">
        <f t="shared" si="17"/>
        <v>[02C336.2] LO2 S2 Umbilical Vent Open</v>
      </c>
      <c r="D342" s="184" t="s">
        <v>728</v>
      </c>
      <c r="E342" s="184" t="s">
        <v>729</v>
      </c>
      <c r="F342" s="184" t="s">
        <v>674</v>
      </c>
      <c r="G342" s="184" t="s">
        <v>675</v>
      </c>
      <c r="H342" s="184" t="s">
        <v>107</v>
      </c>
      <c r="I342" s="184" t="s">
        <v>73</v>
      </c>
      <c r="J342" s="184"/>
      <c r="K342" s="184" t="s">
        <v>115</v>
      </c>
      <c r="L342" s="184" t="s">
        <v>50</v>
      </c>
      <c r="M342" s="184"/>
      <c r="N342" s="184"/>
      <c r="O342" s="184"/>
      <c r="P342" s="184" t="b">
        <v>0</v>
      </c>
    </row>
    <row r="343" spans="1:16" ht="12.75" hidden="1">
      <c r="A343" s="184" t="str">
        <f t="shared" si="15"/>
        <v>LOX-LS1-LS-PxC-342</v>
      </c>
      <c r="B343" s="184">
        <v>342</v>
      </c>
      <c r="C343" s="184" t="str">
        <f t="shared" si="17"/>
        <v>[02C336.2] LO2 S2 Umbilical Vent Close</v>
      </c>
      <c r="D343" s="184" t="s">
        <v>730</v>
      </c>
      <c r="E343" s="184" t="s">
        <v>729</v>
      </c>
      <c r="F343" s="184" t="s">
        <v>674</v>
      </c>
      <c r="G343" s="184" t="s">
        <v>675</v>
      </c>
      <c r="H343" s="184" t="s">
        <v>107</v>
      </c>
      <c r="I343" s="184" t="s">
        <v>73</v>
      </c>
      <c r="J343" s="184"/>
      <c r="K343" s="184" t="s">
        <v>108</v>
      </c>
      <c r="L343" s="184" t="s">
        <v>50</v>
      </c>
      <c r="M343" s="184"/>
      <c r="N343" s="184"/>
      <c r="O343" s="184"/>
      <c r="P343" s="184" t="b">
        <v>0</v>
      </c>
    </row>
    <row r="344" spans="1:16" ht="12.75" hidden="1">
      <c r="A344" s="184" t="str">
        <f t="shared" si="15"/>
        <v>LOX-LS1-LS-PxO-343</v>
      </c>
      <c r="B344" s="184">
        <v>343</v>
      </c>
      <c r="C344" s="184" t="str">
        <f t="shared" si="17"/>
        <v>[02C334.2] LO2 S1 Umbilical Vent Open</v>
      </c>
      <c r="D344" s="184" t="s">
        <v>731</v>
      </c>
      <c r="E344" s="184" t="s">
        <v>732</v>
      </c>
      <c r="F344" s="184" t="s">
        <v>674</v>
      </c>
      <c r="G344" s="184" t="s">
        <v>675</v>
      </c>
      <c r="H344" s="184" t="s">
        <v>107</v>
      </c>
      <c r="I344" s="184" t="s">
        <v>73</v>
      </c>
      <c r="J344" s="184"/>
      <c r="K344" s="184" t="s">
        <v>115</v>
      </c>
      <c r="L344" s="184" t="s">
        <v>50</v>
      </c>
      <c r="M344" s="184"/>
      <c r="N344" s="184"/>
      <c r="O344" s="184"/>
      <c r="P344" s="184" t="b">
        <v>0</v>
      </c>
    </row>
    <row r="345" spans="1:16" ht="12.75" hidden="1">
      <c r="A345" s="184" t="str">
        <f t="shared" si="15"/>
        <v>LOX-LS1-LS-PxC-344</v>
      </c>
      <c r="B345" s="184">
        <v>344</v>
      </c>
      <c r="C345" s="184" t="str">
        <f t="shared" si="17"/>
        <v>[02C334.2] LO2 S1 Umbilical Vent Close</v>
      </c>
      <c r="D345" s="184" t="s">
        <v>733</v>
      </c>
      <c r="E345" s="184" t="s">
        <v>732</v>
      </c>
      <c r="F345" s="184" t="s">
        <v>674</v>
      </c>
      <c r="G345" s="184" t="s">
        <v>675</v>
      </c>
      <c r="H345" s="184" t="s">
        <v>107</v>
      </c>
      <c r="I345" s="184" t="s">
        <v>73</v>
      </c>
      <c r="J345" s="184"/>
      <c r="K345" s="184" t="s">
        <v>108</v>
      </c>
      <c r="L345" s="184" t="s">
        <v>50</v>
      </c>
      <c r="M345" s="184"/>
      <c r="N345" s="184"/>
      <c r="O345" s="184"/>
      <c r="P345" s="184" t="b">
        <v>0</v>
      </c>
    </row>
    <row r="346" spans="1:16" ht="12.75" hidden="1">
      <c r="A346" s="184" t="str">
        <f t="shared" si="15"/>
        <v>LOX-LS1-LS-PxO-345</v>
      </c>
      <c r="B346" s="184">
        <v>345</v>
      </c>
      <c r="C346" s="184" t="str">
        <f t="shared" si="17"/>
        <v>[02C341.2] LOX skid 1 return junction vent valve - Open</v>
      </c>
      <c r="D346" s="184" t="s">
        <v>734</v>
      </c>
      <c r="E346" s="184" t="s">
        <v>735</v>
      </c>
      <c r="F346" s="184" t="s">
        <v>674</v>
      </c>
      <c r="G346" s="184" t="s">
        <v>675</v>
      </c>
      <c r="H346" s="184" t="s">
        <v>107</v>
      </c>
      <c r="I346" s="184" t="s">
        <v>73</v>
      </c>
      <c r="J346" s="184"/>
      <c r="K346" s="184" t="s">
        <v>115</v>
      </c>
      <c r="L346" s="184" t="s">
        <v>50</v>
      </c>
      <c r="M346" s="184"/>
      <c r="N346" s="184"/>
      <c r="O346" s="184"/>
      <c r="P346" s="184" t="b">
        <v>0</v>
      </c>
    </row>
    <row r="347" spans="1:16" ht="12.75" hidden="1">
      <c r="A347" s="184" t="str">
        <f t="shared" si="15"/>
        <v>LOX-LS1-LS-PxC-346</v>
      </c>
      <c r="B347" s="184">
        <v>346</v>
      </c>
      <c r="C347" s="184" t="str">
        <f t="shared" si="17"/>
        <v>[02C341.2] LOX skid 1 return junction vent valve - Closed</v>
      </c>
      <c r="D347" s="184" t="s">
        <v>736</v>
      </c>
      <c r="E347" s="184" t="s">
        <v>735</v>
      </c>
      <c r="F347" s="184" t="s">
        <v>674</v>
      </c>
      <c r="G347" s="184" t="s">
        <v>675</v>
      </c>
      <c r="H347" s="184" t="s">
        <v>107</v>
      </c>
      <c r="I347" s="184" t="s">
        <v>73</v>
      </c>
      <c r="J347" s="184"/>
      <c r="K347" s="184" t="s">
        <v>108</v>
      </c>
      <c r="L347" s="184" t="s">
        <v>50</v>
      </c>
      <c r="M347" s="184"/>
      <c r="N347" s="184"/>
      <c r="O347" s="184"/>
      <c r="P347" s="184" t="b">
        <v>0</v>
      </c>
    </row>
    <row r="348" spans="1:16" ht="12.75" hidden="1">
      <c r="A348" s="184" t="str">
        <f t="shared" si="15"/>
        <v>LOX-LS1-LS-PxO-347</v>
      </c>
      <c r="B348" s="184">
        <v>347</v>
      </c>
      <c r="C348" s="184" t="str">
        <f t="shared" si="17"/>
        <v>[02C342.2] LOX skid 2 return vent valve - Open</v>
      </c>
      <c r="D348" s="184" t="s">
        <v>737</v>
      </c>
      <c r="E348" s="184" t="s">
        <v>738</v>
      </c>
      <c r="F348" s="184" t="s">
        <v>674</v>
      </c>
      <c r="G348" s="184" t="s">
        <v>675</v>
      </c>
      <c r="H348" s="184" t="s">
        <v>107</v>
      </c>
      <c r="I348" s="184" t="s">
        <v>73</v>
      </c>
      <c r="J348" s="184"/>
      <c r="K348" s="184" t="s">
        <v>115</v>
      </c>
      <c r="L348" s="184" t="s">
        <v>50</v>
      </c>
      <c r="M348" s="184"/>
      <c r="N348" s="184"/>
      <c r="O348" s="184"/>
      <c r="P348" s="184" t="b">
        <v>0</v>
      </c>
    </row>
    <row r="349" spans="1:16" ht="12.75" hidden="1">
      <c r="A349" s="184" t="str">
        <f t="shared" si="15"/>
        <v>LOX-LS1-LS-PxC-348</v>
      </c>
      <c r="B349" s="184">
        <v>348</v>
      </c>
      <c r="C349" s="184" t="str">
        <f t="shared" si="17"/>
        <v>[02C342.2] LOX skid 2 return vent valve - Closed</v>
      </c>
      <c r="D349" s="184" t="s">
        <v>739</v>
      </c>
      <c r="E349" s="184" t="s">
        <v>738</v>
      </c>
      <c r="F349" s="184" t="s">
        <v>674</v>
      </c>
      <c r="G349" s="184" t="s">
        <v>675</v>
      </c>
      <c r="H349" s="184" t="s">
        <v>107</v>
      </c>
      <c r="I349" s="184" t="s">
        <v>73</v>
      </c>
      <c r="J349" s="184"/>
      <c r="K349" s="184" t="s">
        <v>108</v>
      </c>
      <c r="L349" s="184" t="s">
        <v>50</v>
      </c>
      <c r="M349" s="184"/>
      <c r="N349" s="184"/>
      <c r="O349" s="184"/>
      <c r="P349" s="184" t="b">
        <v>0</v>
      </c>
    </row>
    <row r="350" spans="1:16" ht="12.75" hidden="1">
      <c r="A350" s="184" t="str">
        <f t="shared" si="15"/>
        <v>LOX-LS1-LS-PxO-349</v>
      </c>
      <c r="B350" s="184">
        <v>349</v>
      </c>
      <c r="C350" s="184" t="str">
        <f t="shared" si="17"/>
        <v>[02C343.2] LOX skid 2 pump vent valve - Open</v>
      </c>
      <c r="D350" s="184" t="s">
        <v>740</v>
      </c>
      <c r="E350" s="184" t="s">
        <v>741</v>
      </c>
      <c r="F350" s="184" t="s">
        <v>674</v>
      </c>
      <c r="G350" s="184" t="s">
        <v>675</v>
      </c>
      <c r="H350" s="184" t="s">
        <v>107</v>
      </c>
      <c r="I350" s="184" t="s">
        <v>73</v>
      </c>
      <c r="J350" s="184"/>
      <c r="K350" s="184" t="s">
        <v>115</v>
      </c>
      <c r="L350" s="184" t="s">
        <v>50</v>
      </c>
      <c r="M350" s="184"/>
      <c r="N350" s="184"/>
      <c r="O350" s="184"/>
      <c r="P350" s="184" t="b">
        <v>0</v>
      </c>
    </row>
    <row r="351" spans="1:16" ht="12.75" hidden="1">
      <c r="A351" s="184" t="str">
        <f t="shared" si="15"/>
        <v>LOX-LS1-LS-PxC-350</v>
      </c>
      <c r="B351" s="184">
        <v>350</v>
      </c>
      <c r="C351" s="184" t="str">
        <f t="shared" si="17"/>
        <v>[02C343.2] LOX skid 2 pump vent valve - Closed</v>
      </c>
      <c r="D351" s="184" t="s">
        <v>742</v>
      </c>
      <c r="E351" s="184" t="s">
        <v>741</v>
      </c>
      <c r="F351" s="184" t="s">
        <v>674</v>
      </c>
      <c r="G351" s="184" t="s">
        <v>675</v>
      </c>
      <c r="H351" s="184" t="s">
        <v>107</v>
      </c>
      <c r="I351" s="184" t="s">
        <v>73</v>
      </c>
      <c r="J351" s="184"/>
      <c r="K351" s="184" t="s">
        <v>108</v>
      </c>
      <c r="L351" s="184" t="s">
        <v>50</v>
      </c>
      <c r="M351" s="184"/>
      <c r="N351" s="184"/>
      <c r="O351" s="184"/>
      <c r="P351" s="184" t="b">
        <v>0</v>
      </c>
    </row>
    <row r="352" spans="1:16" ht="12.75" hidden="1">
      <c r="A352" s="184" t="str">
        <f t="shared" si="15"/>
        <v>LOX-LT2-DVL-B-351</v>
      </c>
      <c r="B352" s="184">
        <v>351</v>
      </c>
      <c r="C352" s="184" t="str">
        <f t="shared" si="17"/>
        <v>[02C328] LOX tank 2 skid 2 liquid withdraw</v>
      </c>
      <c r="D352" s="184" t="s">
        <v>743</v>
      </c>
      <c r="E352" s="184" t="s">
        <v>744</v>
      </c>
      <c r="F352" s="184" t="s">
        <v>674</v>
      </c>
      <c r="G352" s="184" t="s">
        <v>684</v>
      </c>
      <c r="H352" s="184" t="s">
        <v>47</v>
      </c>
      <c r="I352" s="184" t="s">
        <v>48</v>
      </c>
      <c r="J352" s="184"/>
      <c r="K352" s="184" t="s">
        <v>104</v>
      </c>
      <c r="L352" s="184" t="s">
        <v>50</v>
      </c>
      <c r="M352" s="184"/>
      <c r="N352" s="184"/>
      <c r="O352" s="184"/>
      <c r="P352" s="184" t="b">
        <v>0</v>
      </c>
    </row>
    <row r="353" spans="1:16" ht="12.75" hidden="1">
      <c r="A353" s="184" t="str">
        <f t="shared" si="15"/>
        <v>LOX-LT2-DVL-B-352</v>
      </c>
      <c r="B353" s="184">
        <v>352</v>
      </c>
      <c r="C353" s="184" t="str">
        <f t="shared" si="17"/>
        <v>[02C349] LOX tank 2 skid 1 liquid withdraw - Cmd</v>
      </c>
      <c r="D353" s="184" t="s">
        <v>745</v>
      </c>
      <c r="E353" s="184" t="s">
        <v>746</v>
      </c>
      <c r="F353" s="184" t="s">
        <v>674</v>
      </c>
      <c r="G353" s="184" t="s">
        <v>684</v>
      </c>
      <c r="H353" s="184" t="s">
        <v>47</v>
      </c>
      <c r="I353" s="184" t="s">
        <v>48</v>
      </c>
      <c r="J353" s="184"/>
      <c r="K353" s="184" t="s">
        <v>104</v>
      </c>
      <c r="L353" s="184" t="s">
        <v>50</v>
      </c>
      <c r="M353" s="184"/>
      <c r="N353" s="184"/>
      <c r="O353" s="184"/>
      <c r="P353" s="184" t="b">
        <v>0</v>
      </c>
    </row>
    <row r="354" spans="1:16" ht="12.75">
      <c r="A354" s="184" t="str">
        <f t="shared" si="15"/>
        <v>LOX-LT2-PVL-Pos-353</v>
      </c>
      <c r="B354" s="184">
        <v>353</v>
      </c>
      <c r="C354" s="184" t="str">
        <f t="shared" si="17"/>
        <v>[02C383] LOX tank 2 gas return - Cmd</v>
      </c>
      <c r="D354" s="184" t="s">
        <v>747</v>
      </c>
      <c r="E354" s="184" t="s">
        <v>748</v>
      </c>
      <c r="F354" s="184" t="s">
        <v>674</v>
      </c>
      <c r="G354" s="184" t="s">
        <v>684</v>
      </c>
      <c r="H354" s="184" t="s">
        <v>246</v>
      </c>
      <c r="I354" s="184" t="s">
        <v>247</v>
      </c>
      <c r="J354" s="184"/>
      <c r="K354" s="184" t="s">
        <v>49</v>
      </c>
      <c r="L354" s="184" t="s">
        <v>50</v>
      </c>
      <c r="M354" s="184"/>
      <c r="N354" s="184"/>
      <c r="O354" s="184"/>
      <c r="P354" s="184" t="b">
        <v>0</v>
      </c>
    </row>
    <row r="355" spans="1:16" ht="12.75" hidden="1">
      <c r="A355" s="184" t="str">
        <f t="shared" si="15"/>
        <v>LOX-LT1-DVL-B-354</v>
      </c>
      <c r="B355" s="184">
        <v>354</v>
      </c>
      <c r="C355" s="184" t="str">
        <f t="shared" si="17"/>
        <v>[02C348] LOX tank 1 skid 2 liquid withdraw - Cmd</v>
      </c>
      <c r="D355" s="184" t="s">
        <v>749</v>
      </c>
      <c r="E355" s="184" t="s">
        <v>750</v>
      </c>
      <c r="F355" s="184" t="s">
        <v>674</v>
      </c>
      <c r="G355" s="184" t="s">
        <v>689</v>
      </c>
      <c r="H355" s="184" t="s">
        <v>47</v>
      </c>
      <c r="I355" s="184" t="s">
        <v>48</v>
      </c>
      <c r="J355" s="184"/>
      <c r="K355" s="184" t="s">
        <v>104</v>
      </c>
      <c r="L355" s="184" t="s">
        <v>50</v>
      </c>
      <c r="M355" s="184"/>
      <c r="N355" s="184"/>
      <c r="O355" s="184"/>
      <c r="P355" s="184" t="b">
        <v>0</v>
      </c>
    </row>
    <row r="356" spans="1:16" ht="12.75" hidden="1">
      <c r="A356" s="184" t="str">
        <f t="shared" si="15"/>
        <v>LOX-LT1-DVL-B-355</v>
      </c>
      <c r="B356" s="184">
        <v>355</v>
      </c>
      <c r="C356" s="184" t="str">
        <f t="shared" si="17"/>
        <v>[02C324] LOX tank 1 blow down valve</v>
      </c>
      <c r="D356" s="184" t="s">
        <v>751</v>
      </c>
      <c r="E356" s="184" t="s">
        <v>752</v>
      </c>
      <c r="F356" s="184" t="s">
        <v>674</v>
      </c>
      <c r="G356" s="184" t="s">
        <v>689</v>
      </c>
      <c r="H356" s="184" t="s">
        <v>47</v>
      </c>
      <c r="I356" s="184" t="s">
        <v>48</v>
      </c>
      <c r="J356" s="184"/>
      <c r="K356" s="184" t="s">
        <v>104</v>
      </c>
      <c r="L356" s="184" t="s">
        <v>50</v>
      </c>
      <c r="M356" s="184"/>
      <c r="N356" s="184"/>
      <c r="O356" s="184"/>
      <c r="P356" s="184" t="b">
        <v>0</v>
      </c>
    </row>
    <row r="357" spans="1:16" ht="12.75" hidden="1">
      <c r="A357" s="184" t="str">
        <f t="shared" si="15"/>
        <v>LOX-LT1-DVL-B-356</v>
      </c>
      <c r="B357" s="184">
        <v>356</v>
      </c>
      <c r="C357" s="184" t="str">
        <f t="shared" si="17"/>
        <v>[02C327] LOX tank 1 skid 1 liquid withdraw</v>
      </c>
      <c r="D357" s="184" t="s">
        <v>753</v>
      </c>
      <c r="E357" s="184" t="s">
        <v>754</v>
      </c>
      <c r="F357" s="184" t="s">
        <v>674</v>
      </c>
      <c r="G357" s="184" t="s">
        <v>689</v>
      </c>
      <c r="H357" s="184" t="s">
        <v>47</v>
      </c>
      <c r="I357" s="184" t="s">
        <v>48</v>
      </c>
      <c r="J357" s="184"/>
      <c r="K357" s="184" t="s">
        <v>104</v>
      </c>
      <c r="L357" s="184" t="s">
        <v>50</v>
      </c>
      <c r="M357" s="184"/>
      <c r="N357" s="184"/>
      <c r="O357" s="184"/>
      <c r="P357" s="184" t="b">
        <v>0</v>
      </c>
    </row>
    <row r="358" spans="1:16" ht="12.75">
      <c r="A358" s="184" t="str">
        <f t="shared" si="15"/>
        <v>LOX-LT1-PVL-Pos-357</v>
      </c>
      <c r="B358" s="184">
        <v>357</v>
      </c>
      <c r="C358" s="184" t="str">
        <f t="shared" si="17"/>
        <v>[02C382] LOX tank 1 gas return - Cmd</v>
      </c>
      <c r="D358" s="184" t="s">
        <v>755</v>
      </c>
      <c r="E358" s="184" t="s">
        <v>756</v>
      </c>
      <c r="F358" s="184" t="s">
        <v>674</v>
      </c>
      <c r="G358" s="184" t="s">
        <v>689</v>
      </c>
      <c r="H358" s="184" t="s">
        <v>246</v>
      </c>
      <c r="I358" s="184" t="s">
        <v>247</v>
      </c>
      <c r="J358" s="184"/>
      <c r="K358" s="184" t="s">
        <v>49</v>
      </c>
      <c r="L358" s="184" t="s">
        <v>50</v>
      </c>
      <c r="M358" s="184"/>
      <c r="N358" s="184"/>
      <c r="O358" s="184"/>
      <c r="P358" s="184" t="b">
        <v>0</v>
      </c>
    </row>
    <row r="359" spans="1:16" ht="12.75" hidden="1">
      <c r="A359" s="184" t="str">
        <f t="shared" si="15"/>
        <v>LOX-LT2-LS-PxO-358</v>
      </c>
      <c r="B359" s="184">
        <v>358</v>
      </c>
      <c r="C359" s="184" t="str">
        <f t="shared" si="17"/>
        <v>[02C323.2] LOX tank 2 pressure building valve - Open</v>
      </c>
      <c r="D359" s="184" t="s">
        <v>757</v>
      </c>
      <c r="E359" s="184" t="s">
        <v>758</v>
      </c>
      <c r="F359" s="184" t="s">
        <v>674</v>
      </c>
      <c r="G359" s="184" t="s">
        <v>684</v>
      </c>
      <c r="H359" s="184" t="s">
        <v>107</v>
      </c>
      <c r="I359" s="184" t="s">
        <v>73</v>
      </c>
      <c r="J359" s="184"/>
      <c r="K359" s="184" t="s">
        <v>115</v>
      </c>
      <c r="L359" s="184" t="s">
        <v>50</v>
      </c>
      <c r="M359" s="184"/>
      <c r="N359" s="184"/>
      <c r="O359" s="184"/>
      <c r="P359" s="184" t="b">
        <v>0</v>
      </c>
    </row>
    <row r="360" spans="1:16" ht="12.75" hidden="1">
      <c r="A360" s="184" t="str">
        <f t="shared" ref="A360:A423" si="18">CONCATENATE(VLOOKUP(F360,Systems,2,FALSE),"-",VLOOKUP(G360,Subsystems,2,FALSE),"-",VLOOKUP(H360,Components,2,FALSE),"-",VLOOKUP(K360,Metrics,2,FALSE),"-",B360)</f>
        <v>LOX-LT2-LS-PxC-359</v>
      </c>
      <c r="B360" s="184">
        <v>359</v>
      </c>
      <c r="C360" s="184" t="str">
        <f t="shared" si="17"/>
        <v>[02C323.2] LOX tank 2 pressure building valve - Closed</v>
      </c>
      <c r="D360" s="184" t="s">
        <v>759</v>
      </c>
      <c r="E360" s="184" t="s">
        <v>758</v>
      </c>
      <c r="F360" s="184" t="s">
        <v>674</v>
      </c>
      <c r="G360" s="184" t="s">
        <v>684</v>
      </c>
      <c r="H360" s="184" t="s">
        <v>107</v>
      </c>
      <c r="I360" s="184" t="s">
        <v>73</v>
      </c>
      <c r="J360" s="184"/>
      <c r="K360" s="184" t="s">
        <v>108</v>
      </c>
      <c r="L360" s="184" t="s">
        <v>50</v>
      </c>
      <c r="M360" s="184"/>
      <c r="N360" s="184"/>
      <c r="O360" s="184"/>
      <c r="P360" s="184" t="b">
        <v>0</v>
      </c>
    </row>
    <row r="361" spans="1:16" ht="12.75" hidden="1">
      <c r="A361" s="184" t="str">
        <f t="shared" si="18"/>
        <v>LOX-LT1-LS-PxO-360</v>
      </c>
      <c r="B361" s="184">
        <v>360</v>
      </c>
      <c r="C361" s="184" t="str">
        <f t="shared" si="17"/>
        <v>[02C325.2] LOX tank 1 pressure building valve - Open</v>
      </c>
      <c r="D361" s="184" t="s">
        <v>760</v>
      </c>
      <c r="E361" s="184" t="s">
        <v>761</v>
      </c>
      <c r="F361" s="184" t="s">
        <v>674</v>
      </c>
      <c r="G361" s="184" t="s">
        <v>689</v>
      </c>
      <c r="H361" s="184" t="s">
        <v>107</v>
      </c>
      <c r="I361" s="184" t="s">
        <v>73</v>
      </c>
      <c r="J361" s="184"/>
      <c r="K361" s="184" t="s">
        <v>115</v>
      </c>
      <c r="L361" s="184" t="s">
        <v>50</v>
      </c>
      <c r="M361" s="184"/>
      <c r="N361" s="184"/>
      <c r="O361" s="184"/>
      <c r="P361" s="184" t="b">
        <v>0</v>
      </c>
    </row>
    <row r="362" spans="1:16" ht="12.75" hidden="1">
      <c r="A362" s="184" t="str">
        <f t="shared" si="18"/>
        <v>LOX-LT1-LS-PxC-361</v>
      </c>
      <c r="B362" s="184">
        <v>361</v>
      </c>
      <c r="C362" s="184" t="str">
        <f t="shared" si="17"/>
        <v>[02C325.2] LOX tank 1 pressure building valve - Closed</v>
      </c>
      <c r="D362" s="184" t="s">
        <v>762</v>
      </c>
      <c r="E362" s="184" t="s">
        <v>761</v>
      </c>
      <c r="F362" s="184" t="s">
        <v>674</v>
      </c>
      <c r="G362" s="184" t="s">
        <v>689</v>
      </c>
      <c r="H362" s="184" t="s">
        <v>107</v>
      </c>
      <c r="I362" s="184" t="s">
        <v>73</v>
      </c>
      <c r="J362" s="184"/>
      <c r="K362" s="184" t="s">
        <v>108</v>
      </c>
      <c r="L362" s="184" t="s">
        <v>50</v>
      </c>
      <c r="M362" s="184"/>
      <c r="N362" s="184"/>
      <c r="O362" s="184"/>
      <c r="P362" s="184" t="b">
        <v>0</v>
      </c>
    </row>
    <row r="363" spans="1:16" ht="12.75" hidden="1">
      <c r="A363" s="184" t="str">
        <f t="shared" si="18"/>
        <v>LOX-LT2-LS-PxO-362</v>
      </c>
      <c r="B363" s="184">
        <v>362</v>
      </c>
      <c r="C363" s="184" t="str">
        <f t="shared" si="17"/>
        <v>[02C326.2] LOX tank 2 blow down valve - Open</v>
      </c>
      <c r="D363" s="184" t="s">
        <v>763</v>
      </c>
      <c r="E363" s="184" t="s">
        <v>764</v>
      </c>
      <c r="F363" s="184" t="s">
        <v>674</v>
      </c>
      <c r="G363" s="184" t="s">
        <v>684</v>
      </c>
      <c r="H363" s="184" t="s">
        <v>107</v>
      </c>
      <c r="I363" s="184" t="s">
        <v>73</v>
      </c>
      <c r="J363" s="184"/>
      <c r="K363" s="184" t="s">
        <v>115</v>
      </c>
      <c r="L363" s="184" t="s">
        <v>50</v>
      </c>
      <c r="M363" s="184"/>
      <c r="N363" s="184"/>
      <c r="O363" s="184"/>
      <c r="P363" s="184" t="b">
        <v>0</v>
      </c>
    </row>
    <row r="364" spans="1:16" ht="12.75" hidden="1">
      <c r="A364" s="184" t="str">
        <f t="shared" si="18"/>
        <v>LOX-LT2-LS-PxC-363</v>
      </c>
      <c r="B364" s="184">
        <v>363</v>
      </c>
      <c r="C364" s="184" t="str">
        <f t="shared" si="17"/>
        <v>[02C326.2] LOX tank 2 blow down valve - Closed</v>
      </c>
      <c r="D364" s="184" t="s">
        <v>765</v>
      </c>
      <c r="E364" s="184" t="s">
        <v>764</v>
      </c>
      <c r="F364" s="184" t="s">
        <v>674</v>
      </c>
      <c r="G364" s="184" t="s">
        <v>684</v>
      </c>
      <c r="H364" s="184" t="s">
        <v>107</v>
      </c>
      <c r="I364" s="184" t="s">
        <v>73</v>
      </c>
      <c r="J364" s="184"/>
      <c r="K364" s="184" t="s">
        <v>108</v>
      </c>
      <c r="L364" s="184" t="s">
        <v>50</v>
      </c>
      <c r="M364" s="184"/>
      <c r="N364" s="184"/>
      <c r="O364" s="184"/>
      <c r="P364" s="184" t="b">
        <v>0</v>
      </c>
    </row>
    <row r="365" spans="1:16" ht="12.75" hidden="1">
      <c r="A365" s="184" t="str">
        <f t="shared" si="18"/>
        <v>LOX-LT2-LS-PxO-364</v>
      </c>
      <c r="B365" s="184">
        <v>364</v>
      </c>
      <c r="C365" s="184" t="str">
        <f t="shared" si="17"/>
        <v>[02C328.2] LOX tank 2 skid 2 liquid withdraw - Open</v>
      </c>
      <c r="D365" s="184" t="s">
        <v>766</v>
      </c>
      <c r="E365" s="184" t="s">
        <v>767</v>
      </c>
      <c r="F365" s="184" t="s">
        <v>674</v>
      </c>
      <c r="G365" s="184" t="s">
        <v>684</v>
      </c>
      <c r="H365" s="184" t="s">
        <v>107</v>
      </c>
      <c r="I365" s="184" t="s">
        <v>73</v>
      </c>
      <c r="J365" s="184"/>
      <c r="K365" s="184" t="s">
        <v>115</v>
      </c>
      <c r="L365" s="184" t="s">
        <v>50</v>
      </c>
      <c r="M365" s="184"/>
      <c r="N365" s="184"/>
      <c r="O365" s="184"/>
      <c r="P365" s="184" t="b">
        <v>0</v>
      </c>
    </row>
    <row r="366" spans="1:16" ht="12.75" hidden="1">
      <c r="A366" s="184" t="str">
        <f t="shared" si="18"/>
        <v>LOX-LT2-LS-PxC-365</v>
      </c>
      <c r="B366" s="184">
        <v>365</v>
      </c>
      <c r="C366" s="184" t="str">
        <f t="shared" si="17"/>
        <v>[02C328.2] LOX tank 2 skid 2 liquid withdraw - Closed</v>
      </c>
      <c r="D366" s="184" t="s">
        <v>768</v>
      </c>
      <c r="E366" s="184" t="s">
        <v>767</v>
      </c>
      <c r="F366" s="184" t="s">
        <v>674</v>
      </c>
      <c r="G366" s="184" t="s">
        <v>684</v>
      </c>
      <c r="H366" s="184" t="s">
        <v>107</v>
      </c>
      <c r="I366" s="184" t="s">
        <v>73</v>
      </c>
      <c r="J366" s="184"/>
      <c r="K366" s="184" t="s">
        <v>108</v>
      </c>
      <c r="L366" s="184" t="s">
        <v>50</v>
      </c>
      <c r="M366" s="184"/>
      <c r="N366" s="184"/>
      <c r="O366" s="184"/>
      <c r="P366" s="184" t="b">
        <v>0</v>
      </c>
    </row>
    <row r="367" spans="1:16" ht="12.75" hidden="1">
      <c r="A367" s="184" t="str">
        <f t="shared" si="18"/>
        <v>LOX-LT2-LS-PxO-366</v>
      </c>
      <c r="B367" s="184">
        <v>366</v>
      </c>
      <c r="C367" s="184" t="str">
        <f t="shared" si="17"/>
        <v>[02C349.2] LOX tank 2 skid 1 liquid withdraw - Open</v>
      </c>
      <c r="D367" s="184" t="s">
        <v>769</v>
      </c>
      <c r="E367" s="184" t="s">
        <v>770</v>
      </c>
      <c r="F367" s="184" t="s">
        <v>674</v>
      </c>
      <c r="G367" s="184" t="s">
        <v>684</v>
      </c>
      <c r="H367" s="184" t="s">
        <v>107</v>
      </c>
      <c r="I367" s="184" t="s">
        <v>73</v>
      </c>
      <c r="J367" s="184"/>
      <c r="K367" s="184" t="s">
        <v>115</v>
      </c>
      <c r="L367" s="184" t="s">
        <v>50</v>
      </c>
      <c r="M367" s="184"/>
      <c r="N367" s="184"/>
      <c r="O367" s="184"/>
      <c r="P367" s="184" t="b">
        <v>0</v>
      </c>
    </row>
    <row r="368" spans="1:16" ht="12.75" hidden="1">
      <c r="A368" s="184" t="str">
        <f t="shared" si="18"/>
        <v>LOX-LT2-LS-PxC-367</v>
      </c>
      <c r="B368" s="184">
        <v>367</v>
      </c>
      <c r="C368" s="184" t="str">
        <f t="shared" si="17"/>
        <v>[02C349.2] LOX tank 2 skid 1 liquid withdraw - Closed</v>
      </c>
      <c r="D368" s="184" t="s">
        <v>771</v>
      </c>
      <c r="E368" s="184" t="s">
        <v>770</v>
      </c>
      <c r="F368" s="184" t="s">
        <v>674</v>
      </c>
      <c r="G368" s="184" t="s">
        <v>684</v>
      </c>
      <c r="H368" s="184" t="s">
        <v>107</v>
      </c>
      <c r="I368" s="184" t="s">
        <v>73</v>
      </c>
      <c r="J368" s="184"/>
      <c r="K368" s="184" t="s">
        <v>108</v>
      </c>
      <c r="L368" s="184" t="s">
        <v>50</v>
      </c>
      <c r="M368" s="184"/>
      <c r="N368" s="184"/>
      <c r="O368" s="184"/>
      <c r="P368" s="184" t="b">
        <v>0</v>
      </c>
    </row>
    <row r="369" spans="1:16" ht="12.75">
      <c r="A369" s="184" t="str">
        <f t="shared" si="18"/>
        <v>LOX-LT2-PVL-Pos-368</v>
      </c>
      <c r="B369" s="184">
        <v>368</v>
      </c>
      <c r="C369" s="184" t="str">
        <f t="shared" si="17"/>
        <v>[02C383] LOX tank 2 gas return - Resp</v>
      </c>
      <c r="D369" s="184" t="s">
        <v>772</v>
      </c>
      <c r="E369" s="184" t="s">
        <v>748</v>
      </c>
      <c r="F369" s="184" t="s">
        <v>674</v>
      </c>
      <c r="G369" s="184" t="s">
        <v>684</v>
      </c>
      <c r="H369" s="184" t="s">
        <v>246</v>
      </c>
      <c r="I369" s="184" t="s">
        <v>55</v>
      </c>
      <c r="J369" s="184"/>
      <c r="K369" s="184" t="s">
        <v>49</v>
      </c>
      <c r="L369" s="184" t="s">
        <v>50</v>
      </c>
      <c r="M369" s="184"/>
      <c r="N369" s="184"/>
      <c r="O369" s="184"/>
      <c r="P369" s="184" t="b">
        <v>0</v>
      </c>
    </row>
    <row r="370" spans="1:16" ht="12.75" hidden="1">
      <c r="A370" s="184" t="str">
        <f t="shared" si="18"/>
        <v>LOX-LT2-LS-PxC-369</v>
      </c>
      <c r="B370" s="184">
        <v>369</v>
      </c>
      <c r="C370" s="184" t="str">
        <f t="shared" si="17"/>
        <v>[02CXXX2.2] Tank 2 top fill open</v>
      </c>
      <c r="D370" s="184" t="s">
        <v>773</v>
      </c>
      <c r="E370" s="184" t="s">
        <v>774</v>
      </c>
      <c r="F370" s="184" t="s">
        <v>674</v>
      </c>
      <c r="G370" s="184" t="s">
        <v>684</v>
      </c>
      <c r="H370" s="184" t="s">
        <v>107</v>
      </c>
      <c r="I370" s="184" t="s">
        <v>73</v>
      </c>
      <c r="J370" s="184"/>
      <c r="K370" s="184" t="s">
        <v>108</v>
      </c>
      <c r="L370" s="184" t="s">
        <v>50</v>
      </c>
      <c r="M370" s="184"/>
      <c r="N370" s="184"/>
      <c r="O370" s="184"/>
      <c r="P370" s="184" t="b">
        <v>0</v>
      </c>
    </row>
    <row r="371" spans="1:16" ht="12.75" hidden="1">
      <c r="A371" s="184" t="str">
        <f t="shared" si="18"/>
        <v>LOX-LT1-LS-PxO-370</v>
      </c>
      <c r="B371" s="184">
        <v>370</v>
      </c>
      <c r="C371" s="184" t="str">
        <f t="shared" si="17"/>
        <v>[02C348.2] LOX tank 1 skid 2 liquid withdraw - Open</v>
      </c>
      <c r="D371" s="184" t="s">
        <v>775</v>
      </c>
      <c r="E371" s="184" t="s">
        <v>776</v>
      </c>
      <c r="F371" s="184" t="s">
        <v>674</v>
      </c>
      <c r="G371" s="184" t="s">
        <v>689</v>
      </c>
      <c r="H371" s="184" t="s">
        <v>107</v>
      </c>
      <c r="I371" s="184" t="s">
        <v>73</v>
      </c>
      <c r="J371" s="184"/>
      <c r="K371" s="184" t="s">
        <v>115</v>
      </c>
      <c r="L371" s="184" t="s">
        <v>50</v>
      </c>
      <c r="M371" s="184"/>
      <c r="N371" s="184"/>
      <c r="O371" s="184"/>
      <c r="P371" s="184" t="b">
        <v>0</v>
      </c>
    </row>
    <row r="372" spans="1:16" ht="12.75" hidden="1">
      <c r="A372" s="184" t="str">
        <f t="shared" si="18"/>
        <v>LOX-LT1-LS-PxC-371</v>
      </c>
      <c r="B372" s="184">
        <v>371</v>
      </c>
      <c r="C372" s="184" t="str">
        <f t="shared" si="17"/>
        <v>[02C348.2] LOX tank 1 skid 2 liquid withdraw - Closed</v>
      </c>
      <c r="D372" s="184" t="s">
        <v>777</v>
      </c>
      <c r="E372" s="184" t="s">
        <v>776</v>
      </c>
      <c r="F372" s="184" t="s">
        <v>674</v>
      </c>
      <c r="G372" s="184" t="s">
        <v>689</v>
      </c>
      <c r="H372" s="184" t="s">
        <v>107</v>
      </c>
      <c r="I372" s="184" t="s">
        <v>73</v>
      </c>
      <c r="J372" s="184"/>
      <c r="K372" s="184" t="s">
        <v>108</v>
      </c>
      <c r="L372" s="184" t="s">
        <v>50</v>
      </c>
      <c r="M372" s="184"/>
      <c r="N372" s="184"/>
      <c r="O372" s="184"/>
      <c r="P372" s="184" t="b">
        <v>0</v>
      </c>
    </row>
    <row r="373" spans="1:16" ht="12.75" hidden="1">
      <c r="A373" s="184" t="str">
        <f t="shared" si="18"/>
        <v>LOX-LT1-LS-PxO-372</v>
      </c>
      <c r="B373" s="184">
        <v>372</v>
      </c>
      <c r="C373" s="184" t="str">
        <f t="shared" si="17"/>
        <v>[02C327.2] LOX tank 1 skid 1 liquid withdraw - Open</v>
      </c>
      <c r="D373" s="184" t="s">
        <v>778</v>
      </c>
      <c r="E373" s="184" t="s">
        <v>779</v>
      </c>
      <c r="F373" s="184" t="s">
        <v>674</v>
      </c>
      <c r="G373" s="184" t="s">
        <v>689</v>
      </c>
      <c r="H373" s="184" t="s">
        <v>107</v>
      </c>
      <c r="I373" s="184" t="s">
        <v>73</v>
      </c>
      <c r="J373" s="184"/>
      <c r="K373" s="184" t="s">
        <v>115</v>
      </c>
      <c r="L373" s="184" t="s">
        <v>50</v>
      </c>
      <c r="M373" s="184"/>
      <c r="N373" s="184"/>
      <c r="O373" s="184"/>
      <c r="P373" s="184" t="b">
        <v>0</v>
      </c>
    </row>
    <row r="374" spans="1:16" ht="12.75" hidden="1">
      <c r="A374" s="184" t="str">
        <f t="shared" si="18"/>
        <v>LOX-LT1-LS-PxC-373</v>
      </c>
      <c r="B374" s="184">
        <v>373</v>
      </c>
      <c r="C374" s="184" t="str">
        <f t="shared" si="17"/>
        <v>[02C327.2] LOX tank 1 skid 1 liquid withdraw - Closed</v>
      </c>
      <c r="D374" s="184" t="s">
        <v>780</v>
      </c>
      <c r="E374" s="184" t="s">
        <v>779</v>
      </c>
      <c r="F374" s="184" t="s">
        <v>674</v>
      </c>
      <c r="G374" s="184" t="s">
        <v>689</v>
      </c>
      <c r="H374" s="184" t="s">
        <v>107</v>
      </c>
      <c r="I374" s="184" t="s">
        <v>73</v>
      </c>
      <c r="J374" s="184"/>
      <c r="K374" s="184" t="s">
        <v>108</v>
      </c>
      <c r="L374" s="184" t="s">
        <v>50</v>
      </c>
      <c r="M374" s="184"/>
      <c r="N374" s="184"/>
      <c r="O374" s="184"/>
      <c r="P374" s="184" t="b">
        <v>0</v>
      </c>
    </row>
    <row r="375" spans="1:16" ht="12.75">
      <c r="A375" s="184" t="str">
        <f t="shared" si="18"/>
        <v>LOX-LT1-PVL-Pos-374</v>
      </c>
      <c r="B375" s="184">
        <v>374</v>
      </c>
      <c r="C375" s="184" t="str">
        <f t="shared" si="17"/>
        <v>[02C382] LOX tank 1 gas return - Resp</v>
      </c>
      <c r="D375" s="184" t="s">
        <v>781</v>
      </c>
      <c r="E375" s="184" t="s">
        <v>756</v>
      </c>
      <c r="F375" s="184" t="s">
        <v>674</v>
      </c>
      <c r="G375" s="184" t="s">
        <v>689</v>
      </c>
      <c r="H375" s="184" t="s">
        <v>246</v>
      </c>
      <c r="I375" s="184" t="s">
        <v>55</v>
      </c>
      <c r="J375" s="184"/>
      <c r="K375" s="184" t="s">
        <v>49</v>
      </c>
      <c r="L375" s="184" t="s">
        <v>50</v>
      </c>
      <c r="M375" s="184"/>
      <c r="N375" s="184"/>
      <c r="O375" s="184"/>
      <c r="P375" s="184" t="b">
        <v>0</v>
      </c>
    </row>
    <row r="376" spans="1:16" ht="12.75" hidden="1">
      <c r="A376" s="184" t="str">
        <f t="shared" si="18"/>
        <v>LOX-LT1-LS-PxC-375</v>
      </c>
      <c r="B376" s="184">
        <v>375</v>
      </c>
      <c r="C376" s="184" t="str">
        <f t="shared" si="17"/>
        <v>[02CXXX4.2] Tank 1 top fill closed</v>
      </c>
      <c r="D376" s="184" t="s">
        <v>782</v>
      </c>
      <c r="E376" s="184" t="s">
        <v>783</v>
      </c>
      <c r="F376" s="184" t="s">
        <v>674</v>
      </c>
      <c r="G376" s="184" t="s">
        <v>689</v>
      </c>
      <c r="H376" s="184" t="s">
        <v>107</v>
      </c>
      <c r="I376" s="184" t="s">
        <v>73</v>
      </c>
      <c r="J376" s="184"/>
      <c r="K376" s="184" t="s">
        <v>108</v>
      </c>
      <c r="L376" s="184" t="s">
        <v>50</v>
      </c>
      <c r="M376" s="184"/>
      <c r="N376" s="184"/>
      <c r="O376" s="184"/>
      <c r="P376" s="184" t="b">
        <v>0</v>
      </c>
    </row>
    <row r="377" spans="1:16" ht="12.75" hidden="1">
      <c r="A377" s="184" t="str">
        <f t="shared" si="18"/>
        <v>LOX-LT1-LS-PxO-376</v>
      </c>
      <c r="B377" s="184">
        <v>376</v>
      </c>
      <c r="C377" s="184" t="str">
        <f t="shared" si="17"/>
        <v>[02C324.2] LOX tank 1 blow down valve - Open</v>
      </c>
      <c r="D377" s="184" t="s">
        <v>784</v>
      </c>
      <c r="E377" s="184" t="s">
        <v>785</v>
      </c>
      <c r="F377" s="184" t="s">
        <v>674</v>
      </c>
      <c r="G377" s="184" t="s">
        <v>689</v>
      </c>
      <c r="H377" s="184" t="s">
        <v>107</v>
      </c>
      <c r="I377" s="184" t="s">
        <v>73</v>
      </c>
      <c r="J377" s="184"/>
      <c r="K377" s="184" t="s">
        <v>115</v>
      </c>
      <c r="L377" s="184" t="s">
        <v>50</v>
      </c>
      <c r="M377" s="184"/>
      <c r="N377" s="184"/>
      <c r="O377" s="184"/>
      <c r="P377" s="184" t="b">
        <v>0</v>
      </c>
    </row>
    <row r="378" spans="1:16" ht="12.75" hidden="1">
      <c r="A378" s="184" t="str">
        <f t="shared" si="18"/>
        <v>LOX-LT1-LS-PxC-377</v>
      </c>
      <c r="B378" s="184">
        <v>377</v>
      </c>
      <c r="C378" s="184" t="str">
        <f t="shared" si="17"/>
        <v>[02C324.2] LOX tank 1 blow down valve - Closed</v>
      </c>
      <c r="D378" s="184" t="s">
        <v>786</v>
      </c>
      <c r="E378" s="184" t="s">
        <v>785</v>
      </c>
      <c r="F378" s="184" t="s">
        <v>674</v>
      </c>
      <c r="G378" s="184" t="s">
        <v>689</v>
      </c>
      <c r="H378" s="184" t="s">
        <v>107</v>
      </c>
      <c r="I378" s="184" t="s">
        <v>73</v>
      </c>
      <c r="J378" s="184"/>
      <c r="K378" s="184" t="s">
        <v>108</v>
      </c>
      <c r="L378" s="184" t="s">
        <v>50</v>
      </c>
      <c r="M378" s="184"/>
      <c r="N378" s="184"/>
      <c r="O378" s="184"/>
      <c r="P378" s="184" t="b">
        <v>0</v>
      </c>
    </row>
    <row r="379" spans="1:16" ht="12.75">
      <c r="A379" s="184" t="str">
        <f t="shared" si="18"/>
        <v>LOX-LS1-PVL-Pos-378</v>
      </c>
      <c r="B379" s="184">
        <v>378</v>
      </c>
      <c r="C379" s="184" t="str">
        <f t="shared" si="17"/>
        <v>[02C332] LOX skid 1 cross feed return response</v>
      </c>
      <c r="D379" s="184" t="s">
        <v>787</v>
      </c>
      <c r="E379" s="184" t="s">
        <v>788</v>
      </c>
      <c r="F379" s="184" t="s">
        <v>674</v>
      </c>
      <c r="G379" s="184" t="s">
        <v>675</v>
      </c>
      <c r="H379" s="184" t="s">
        <v>246</v>
      </c>
      <c r="I379" s="184" t="s">
        <v>55</v>
      </c>
      <c r="J379" s="184"/>
      <c r="K379" s="184" t="s">
        <v>49</v>
      </c>
      <c r="L379" s="184" t="s">
        <v>248</v>
      </c>
      <c r="M379" s="184"/>
      <c r="N379" s="184"/>
      <c r="O379" s="184"/>
      <c r="P379" s="184" t="b">
        <v>0</v>
      </c>
    </row>
    <row r="380" spans="1:16" ht="12.75">
      <c r="A380" s="184" t="str">
        <f t="shared" si="18"/>
        <v>LOX-LS1-DVL-Pos-379</v>
      </c>
      <c r="B380" s="184">
        <v>379</v>
      </c>
      <c r="C380" s="184" t="str">
        <f t="shared" si="17"/>
        <v>[02C389] LOX skid 1 return select - Cmd</v>
      </c>
      <c r="D380" s="184" t="s">
        <v>789</v>
      </c>
      <c r="E380" s="184" t="s">
        <v>790</v>
      </c>
      <c r="F380" s="184" t="s">
        <v>674</v>
      </c>
      <c r="G380" s="184" t="s">
        <v>675</v>
      </c>
      <c r="H380" s="184" t="s">
        <v>47</v>
      </c>
      <c r="I380" s="184" t="s">
        <v>48</v>
      </c>
      <c r="J380" s="184"/>
      <c r="K380" s="184" t="s">
        <v>49</v>
      </c>
      <c r="L380" s="184" t="s">
        <v>248</v>
      </c>
      <c r="M380" s="184"/>
      <c r="N380" s="184"/>
      <c r="O380" s="184"/>
      <c r="P380" s="184" t="b">
        <v>0</v>
      </c>
    </row>
    <row r="381" spans="1:16" ht="12.75">
      <c r="A381" s="184" t="str">
        <f t="shared" si="18"/>
        <v>LOX-LS1-DVL-Pos-380</v>
      </c>
      <c r="B381" s="184">
        <v>380</v>
      </c>
      <c r="C381" s="184" t="str">
        <f t="shared" si="17"/>
        <v>[02C336] LO2 S1 Umbilical Vent Valve</v>
      </c>
      <c r="D381" s="184" t="s">
        <v>791</v>
      </c>
      <c r="E381" s="184" t="s">
        <v>792</v>
      </c>
      <c r="F381" s="184" t="s">
        <v>674</v>
      </c>
      <c r="G381" s="184" t="s">
        <v>675</v>
      </c>
      <c r="H381" s="184" t="s">
        <v>47</v>
      </c>
      <c r="I381" s="184" t="s">
        <v>48</v>
      </c>
      <c r="J381" s="184"/>
      <c r="K381" s="184" t="s">
        <v>49</v>
      </c>
      <c r="L381" s="184" t="s">
        <v>248</v>
      </c>
      <c r="M381" s="184"/>
      <c r="N381" s="184"/>
      <c r="O381" s="184"/>
      <c r="P381" s="184" t="b">
        <v>0</v>
      </c>
    </row>
    <row r="382" spans="1:16" ht="12.75">
      <c r="A382" s="184" t="str">
        <f t="shared" si="18"/>
        <v>LOX-LS1-PVL-Pos-381</v>
      </c>
      <c r="B382" s="184">
        <v>381</v>
      </c>
      <c r="C382" s="184" t="str">
        <f t="shared" si="17"/>
        <v>[02C335] LO2 S2 Umbilical Proportional Control Vent Valve</v>
      </c>
      <c r="D382" s="184" t="s">
        <v>793</v>
      </c>
      <c r="E382" s="184" t="s">
        <v>794</v>
      </c>
      <c r="F382" s="184" t="s">
        <v>674</v>
      </c>
      <c r="G382" s="184" t="s">
        <v>675</v>
      </c>
      <c r="H382" s="184" t="s">
        <v>246</v>
      </c>
      <c r="I382" s="184" t="s">
        <v>55</v>
      </c>
      <c r="J382" s="184"/>
      <c r="K382" s="184" t="s">
        <v>49</v>
      </c>
      <c r="L382" s="184" t="s">
        <v>248</v>
      </c>
      <c r="M382" s="184"/>
      <c r="N382" s="184"/>
      <c r="O382" s="184"/>
      <c r="P382" s="184" t="b">
        <v>0</v>
      </c>
    </row>
    <row r="383" spans="1:16" ht="12.75">
      <c r="A383" s="184" t="str">
        <f t="shared" si="18"/>
        <v>LOX-LS1-DVL-Pos-382</v>
      </c>
      <c r="B383" s="184">
        <v>382</v>
      </c>
      <c r="C383" s="184" t="str">
        <f t="shared" si="17"/>
        <v>[02C334] LO2 S1 Umbilical Vent Valve</v>
      </c>
      <c r="D383" s="184" t="s">
        <v>791</v>
      </c>
      <c r="E383" s="184" t="s">
        <v>795</v>
      </c>
      <c r="F383" s="184" t="s">
        <v>674</v>
      </c>
      <c r="G383" s="184" t="s">
        <v>675</v>
      </c>
      <c r="H383" s="184" t="s">
        <v>47</v>
      </c>
      <c r="I383" s="184" t="s">
        <v>48</v>
      </c>
      <c r="J383" s="184"/>
      <c r="K383" s="184" t="s">
        <v>49</v>
      </c>
      <c r="L383" s="184" t="s">
        <v>248</v>
      </c>
      <c r="M383" s="184"/>
      <c r="N383" s="184"/>
      <c r="O383" s="184"/>
      <c r="P383" s="184" t="b">
        <v>0</v>
      </c>
    </row>
    <row r="384" spans="1:16" ht="12.75">
      <c r="A384" s="184" t="str">
        <f t="shared" si="18"/>
        <v>LOX-S1U-PVL-Pos-383</v>
      </c>
      <c r="B384" s="184">
        <v>383</v>
      </c>
      <c r="C384" s="184" t="str">
        <f t="shared" si="17"/>
        <v>[02C384] LOX stage 1 proportional vent - Resp</v>
      </c>
      <c r="D384" s="184" t="s">
        <v>796</v>
      </c>
      <c r="E384" s="184" t="s">
        <v>797</v>
      </c>
      <c r="F384" s="184" t="s">
        <v>674</v>
      </c>
      <c r="G384" s="184" t="s">
        <v>53</v>
      </c>
      <c r="H384" s="184" t="s">
        <v>246</v>
      </c>
      <c r="I384" s="184" t="s">
        <v>55</v>
      </c>
      <c r="J384" s="184"/>
      <c r="K384" s="184" t="s">
        <v>49</v>
      </c>
      <c r="L384" s="184" t="s">
        <v>248</v>
      </c>
      <c r="M384" s="184"/>
      <c r="N384" s="184"/>
      <c r="O384" s="184"/>
      <c r="P384" s="184" t="b">
        <v>0</v>
      </c>
    </row>
    <row r="385" spans="1:16" ht="12.75">
      <c r="A385" s="184" t="str">
        <f t="shared" si="18"/>
        <v>LOX-LS1-DVL-Pos-384</v>
      </c>
      <c r="B385" s="184">
        <v>384</v>
      </c>
      <c r="C385" s="184" t="str">
        <f t="shared" si="17"/>
        <v>[02C341] LOX skid 1 return junction vent valve</v>
      </c>
      <c r="D385" s="184" t="s">
        <v>798</v>
      </c>
      <c r="E385" s="184" t="s">
        <v>799</v>
      </c>
      <c r="F385" s="184" t="s">
        <v>674</v>
      </c>
      <c r="G385" s="184" t="s">
        <v>675</v>
      </c>
      <c r="H385" s="184" t="s">
        <v>47</v>
      </c>
      <c r="I385" s="184" t="s">
        <v>48</v>
      </c>
      <c r="J385" s="184"/>
      <c r="K385" s="184" t="s">
        <v>49</v>
      </c>
      <c r="L385" s="184" t="s">
        <v>248</v>
      </c>
      <c r="M385" s="184"/>
      <c r="N385" s="184"/>
      <c r="O385" s="184"/>
      <c r="P385" s="184" t="b">
        <v>0</v>
      </c>
    </row>
    <row r="386" spans="1:16" ht="12.75">
      <c r="A386" s="184" t="str">
        <f t="shared" si="18"/>
        <v>LOX-LS1-DVL-Pos-385</v>
      </c>
      <c r="B386" s="184">
        <v>385</v>
      </c>
      <c r="C386" s="184" t="str">
        <f t="shared" si="17"/>
        <v>[02C342] LOX skid 2 return vent valve</v>
      </c>
      <c r="D386" s="184" t="s">
        <v>800</v>
      </c>
      <c r="E386" s="184" t="s">
        <v>801</v>
      </c>
      <c r="F386" s="184" t="s">
        <v>674</v>
      </c>
      <c r="G386" s="184" t="s">
        <v>675</v>
      </c>
      <c r="H386" s="184" t="s">
        <v>47</v>
      </c>
      <c r="I386" s="184" t="s">
        <v>48</v>
      </c>
      <c r="J386" s="184"/>
      <c r="K386" s="184" t="s">
        <v>49</v>
      </c>
      <c r="L386" s="184" t="s">
        <v>248</v>
      </c>
      <c r="M386" s="184"/>
      <c r="N386" s="184"/>
      <c r="O386" s="184"/>
      <c r="P386" s="184" t="b">
        <v>0</v>
      </c>
    </row>
    <row r="387" spans="1:16" ht="12.75">
      <c r="A387" s="184" t="str">
        <f t="shared" si="18"/>
        <v>LOX-LS1-DVL-Pos-386</v>
      </c>
      <c r="B387" s="184">
        <v>386</v>
      </c>
      <c r="C387" s="184" t="str">
        <f t="shared" si="17"/>
        <v>[02C343] LOX skid 2 pumpvent valve</v>
      </c>
      <c r="D387" s="184" t="s">
        <v>802</v>
      </c>
      <c r="E387" s="184" t="s">
        <v>803</v>
      </c>
      <c r="F387" s="184" t="s">
        <v>674</v>
      </c>
      <c r="G387" s="184" t="s">
        <v>675</v>
      </c>
      <c r="H387" s="184" t="s">
        <v>47</v>
      </c>
      <c r="I387" s="184" t="s">
        <v>48</v>
      </c>
      <c r="J387" s="184"/>
      <c r="K387" s="184" t="s">
        <v>49</v>
      </c>
      <c r="L387" s="184" t="s">
        <v>248</v>
      </c>
      <c r="M387" s="184"/>
      <c r="N387" s="184"/>
      <c r="O387" s="184"/>
      <c r="P387" s="184" t="b">
        <v>0</v>
      </c>
    </row>
    <row r="388" spans="1:16" ht="12.75">
      <c r="A388" s="184" t="str">
        <f t="shared" si="18"/>
        <v>LOX-LS1-DVL-Pos-387</v>
      </c>
      <c r="B388" s="184">
        <v>387</v>
      </c>
      <c r="C388" s="184" t="str">
        <f t="shared" si="17"/>
        <v>[02C344] LOX skid 2 transfer vent valve</v>
      </c>
      <c r="D388" s="184" t="s">
        <v>804</v>
      </c>
      <c r="E388" s="184" t="s">
        <v>805</v>
      </c>
      <c r="F388" s="184" t="s">
        <v>674</v>
      </c>
      <c r="G388" s="184" t="s">
        <v>675</v>
      </c>
      <c r="H388" s="184" t="s">
        <v>47</v>
      </c>
      <c r="I388" s="184" t="s">
        <v>48</v>
      </c>
      <c r="J388" s="184"/>
      <c r="K388" s="184" t="s">
        <v>49</v>
      </c>
      <c r="L388" s="184" t="s">
        <v>248</v>
      </c>
      <c r="M388" s="184"/>
      <c r="N388" s="184"/>
      <c r="O388" s="184"/>
      <c r="P388" s="184" t="b">
        <v>0</v>
      </c>
    </row>
    <row r="389" spans="1:16" ht="12.75">
      <c r="A389" s="184" t="str">
        <f t="shared" si="18"/>
        <v>LOX-LS1-DVL-Pos-388</v>
      </c>
      <c r="B389" s="184">
        <v>388</v>
      </c>
      <c r="C389" s="184" t="str">
        <f t="shared" si="17"/>
        <v>[02C388] LOX skid 2 return select - Cmd</v>
      </c>
      <c r="D389" s="184" t="s">
        <v>806</v>
      </c>
      <c r="E389" s="184" t="s">
        <v>807</v>
      </c>
      <c r="F389" s="184" t="s">
        <v>674</v>
      </c>
      <c r="G389" s="184" t="s">
        <v>675</v>
      </c>
      <c r="H389" s="184" t="s">
        <v>47</v>
      </c>
      <c r="I389" s="184" t="s">
        <v>48</v>
      </c>
      <c r="J389" s="184"/>
      <c r="K389" s="184" t="s">
        <v>49</v>
      </c>
      <c r="L389" s="184" t="s">
        <v>248</v>
      </c>
      <c r="M389" s="184"/>
      <c r="N389" s="184"/>
      <c r="O389" s="184"/>
      <c r="P389" s="184" t="b">
        <v>0</v>
      </c>
    </row>
    <row r="390" spans="1:16" ht="12.75">
      <c r="A390" s="184" t="str">
        <f t="shared" si="18"/>
        <v>LOX-LS1-PVL-Pos-389</v>
      </c>
      <c r="B390" s="184">
        <v>389</v>
      </c>
      <c r="C390" s="184" t="str">
        <f t="shared" si="17"/>
        <v>[02C345] LOX skid 2 cross feed return - Resp</v>
      </c>
      <c r="D390" s="184" t="s">
        <v>808</v>
      </c>
      <c r="E390" s="184" t="s">
        <v>809</v>
      </c>
      <c r="F390" s="184" t="s">
        <v>674</v>
      </c>
      <c r="G390" s="184" t="s">
        <v>675</v>
      </c>
      <c r="H390" s="184" t="s">
        <v>246</v>
      </c>
      <c r="I390" s="184" t="s">
        <v>55</v>
      </c>
      <c r="J390" s="184"/>
      <c r="K390" s="184" t="s">
        <v>49</v>
      </c>
      <c r="L390" s="184" t="s">
        <v>248</v>
      </c>
      <c r="M390" s="184"/>
      <c r="N390" s="184"/>
      <c r="O390" s="184"/>
      <c r="P390" s="184" t="b">
        <v>0</v>
      </c>
    </row>
    <row r="391" spans="1:16" ht="12.75">
      <c r="A391" s="184" t="str">
        <f t="shared" si="18"/>
        <v>LOX-LS1-PVL-Pos-390</v>
      </c>
      <c r="B391" s="184">
        <v>390</v>
      </c>
      <c r="C391" s="184" t="str">
        <f t="shared" si="17"/>
        <v>[02C346] LOX skid 1 transfer return - Resp</v>
      </c>
      <c r="D391" s="184" t="s">
        <v>810</v>
      </c>
      <c r="E391" s="184" t="s">
        <v>811</v>
      </c>
      <c r="F391" s="184" t="s">
        <v>674</v>
      </c>
      <c r="G391" s="184" t="s">
        <v>675</v>
      </c>
      <c r="H391" s="184" t="s">
        <v>246</v>
      </c>
      <c r="I391" s="184" t="s">
        <v>55</v>
      </c>
      <c r="J391" s="184"/>
      <c r="K391" s="184" t="s">
        <v>49</v>
      </c>
      <c r="L391" s="184" t="s">
        <v>248</v>
      </c>
      <c r="M391" s="184"/>
      <c r="N391" s="184"/>
      <c r="O391" s="184"/>
      <c r="P391" s="184" t="b">
        <v>0</v>
      </c>
    </row>
    <row r="392" spans="1:16" ht="12.75" hidden="1">
      <c r="A392" s="184" t="str">
        <f t="shared" si="18"/>
        <v>LOX-LS1-LS-PxO-391</v>
      </c>
      <c r="B392" s="184">
        <v>391</v>
      </c>
      <c r="C392" s="184" t="str">
        <f t="shared" ref="C392:C457" si="19">_xlfn.TEXTJOIN("", TRUE, "[", E392,"] ",D392)</f>
        <v>[02C344.2] LOX skid 2 transfer vent valve - Open</v>
      </c>
      <c r="D392" s="184" t="s">
        <v>812</v>
      </c>
      <c r="E392" s="184" t="s">
        <v>813</v>
      </c>
      <c r="F392" s="184" t="s">
        <v>674</v>
      </c>
      <c r="G392" s="184" t="s">
        <v>675</v>
      </c>
      <c r="H392" s="184" t="s">
        <v>107</v>
      </c>
      <c r="I392" s="184" t="s">
        <v>73</v>
      </c>
      <c r="J392" s="184"/>
      <c r="K392" s="184" t="s">
        <v>115</v>
      </c>
      <c r="L392" s="184" t="s">
        <v>50</v>
      </c>
      <c r="M392" s="184"/>
      <c r="N392" s="184"/>
      <c r="O392" s="184"/>
      <c r="P392" s="184" t="b">
        <v>0</v>
      </c>
    </row>
    <row r="393" spans="1:16" ht="12.75" hidden="1">
      <c r="A393" s="184" t="str">
        <f t="shared" si="18"/>
        <v>LOX-LS1-LS-PxC-392</v>
      </c>
      <c r="B393" s="184">
        <v>392</v>
      </c>
      <c r="C393" s="184" t="str">
        <f t="shared" si="19"/>
        <v>[02C344.2] LOX skid 2 transfer vent valve - Closed</v>
      </c>
      <c r="D393" s="184" t="s">
        <v>814</v>
      </c>
      <c r="E393" s="184" t="s">
        <v>813</v>
      </c>
      <c r="F393" s="184" t="s">
        <v>674</v>
      </c>
      <c r="G393" s="184" t="s">
        <v>675</v>
      </c>
      <c r="H393" s="184" t="s">
        <v>107</v>
      </c>
      <c r="I393" s="184" t="s">
        <v>73</v>
      </c>
      <c r="J393" s="184"/>
      <c r="K393" s="184" t="s">
        <v>108</v>
      </c>
      <c r="L393" s="184" t="s">
        <v>50</v>
      </c>
      <c r="M393" s="184"/>
      <c r="N393" s="184"/>
      <c r="O393" s="184"/>
      <c r="P393" s="184" t="b">
        <v>0</v>
      </c>
    </row>
    <row r="394" spans="1:16" ht="12.75" hidden="1">
      <c r="A394" s="184" t="str">
        <f t="shared" si="18"/>
        <v>LOX-LS1-LS-PxO-393</v>
      </c>
      <c r="B394" s="184">
        <v>393</v>
      </c>
      <c r="C394" s="184" t="str">
        <f t="shared" si="19"/>
        <v>[02C388.2] LOX skid 2 return select - Open</v>
      </c>
      <c r="D394" s="184" t="s">
        <v>815</v>
      </c>
      <c r="E394" s="184" t="s">
        <v>816</v>
      </c>
      <c r="F394" s="184" t="s">
        <v>674</v>
      </c>
      <c r="G394" s="184" t="s">
        <v>675</v>
      </c>
      <c r="H394" s="184" t="s">
        <v>107</v>
      </c>
      <c r="I394" s="184" t="s">
        <v>73</v>
      </c>
      <c r="J394" s="184"/>
      <c r="K394" s="184" t="s">
        <v>115</v>
      </c>
      <c r="L394" s="184" t="s">
        <v>50</v>
      </c>
      <c r="M394" s="184"/>
      <c r="N394" s="184"/>
      <c r="O394" s="184"/>
      <c r="P394" s="184" t="b">
        <v>0</v>
      </c>
    </row>
    <row r="395" spans="1:16" ht="12.75" hidden="1">
      <c r="A395" s="184" t="str">
        <f t="shared" si="18"/>
        <v>LOX-LS1-LS-PxC-394</v>
      </c>
      <c r="B395" s="184">
        <v>394</v>
      </c>
      <c r="C395" s="184" t="str">
        <f t="shared" si="19"/>
        <v>[02C388.2] LOX skid 2 return select - Closed</v>
      </c>
      <c r="D395" s="184" t="s">
        <v>817</v>
      </c>
      <c r="E395" s="184" t="s">
        <v>816</v>
      </c>
      <c r="F395" s="184" t="s">
        <v>674</v>
      </c>
      <c r="G395" s="184" t="s">
        <v>675</v>
      </c>
      <c r="H395" s="184" t="s">
        <v>107</v>
      </c>
      <c r="I395" s="184" t="s">
        <v>73</v>
      </c>
      <c r="J395" s="184"/>
      <c r="K395" s="184" t="s">
        <v>108</v>
      </c>
      <c r="L395" s="184" t="s">
        <v>50</v>
      </c>
      <c r="M395" s="184"/>
      <c r="N395" s="184"/>
      <c r="O395" s="184"/>
      <c r="P395" s="184" t="b">
        <v>0</v>
      </c>
    </row>
    <row r="396" spans="1:16" ht="12.75">
      <c r="A396" s="184" t="str">
        <f t="shared" si="18"/>
        <v>LOX-LS1-PVL-Pos-395</v>
      </c>
      <c r="B396" s="184">
        <v>395</v>
      </c>
      <c r="C396" s="184" t="str">
        <f t="shared" si="19"/>
        <v>[02C329] LOX tank 1 bottom return cmd</v>
      </c>
      <c r="D396" s="184" t="s">
        <v>818</v>
      </c>
      <c r="E396" s="184" t="s">
        <v>693</v>
      </c>
      <c r="F396" s="184" t="s">
        <v>674</v>
      </c>
      <c r="G396" s="184" t="s">
        <v>675</v>
      </c>
      <c r="H396" s="184" t="s">
        <v>246</v>
      </c>
      <c r="I396" s="184" t="s">
        <v>247</v>
      </c>
      <c r="J396" s="184"/>
      <c r="K396" s="184" t="s">
        <v>49</v>
      </c>
      <c r="L396" s="184" t="s">
        <v>248</v>
      </c>
      <c r="M396" s="184"/>
      <c r="N396" s="184"/>
      <c r="O396" s="184"/>
      <c r="P396" s="184" t="b">
        <v>0</v>
      </c>
    </row>
    <row r="397" spans="1:16" ht="12.75">
      <c r="A397" s="184" t="str">
        <f t="shared" si="18"/>
        <v>LOX-LS1-PVL-Pos-396</v>
      </c>
      <c r="B397" s="184">
        <v>396</v>
      </c>
      <c r="C397" s="184" t="str">
        <f t="shared" si="19"/>
        <v>[02C333] LOX skid 1 transfer return cmd</v>
      </c>
      <c r="D397" s="184" t="s">
        <v>819</v>
      </c>
      <c r="E397" s="184" t="s">
        <v>699</v>
      </c>
      <c r="F397" s="184" t="s">
        <v>674</v>
      </c>
      <c r="G397" s="184" t="s">
        <v>675</v>
      </c>
      <c r="H397" s="184" t="s">
        <v>246</v>
      </c>
      <c r="I397" s="184" t="s">
        <v>247</v>
      </c>
      <c r="J397" s="184"/>
      <c r="K397" s="184" t="s">
        <v>49</v>
      </c>
      <c r="L397" s="184" t="s">
        <v>248</v>
      </c>
      <c r="M397" s="184"/>
      <c r="N397" s="184"/>
      <c r="O397" s="184"/>
      <c r="P397" s="184" t="b">
        <v>0</v>
      </c>
    </row>
    <row r="398" spans="1:16" ht="12.75">
      <c r="A398" s="184" t="str">
        <f t="shared" si="18"/>
        <v>LOX-LS1-PVL-Pos-397</v>
      </c>
      <c r="B398" s="184">
        <v>397</v>
      </c>
      <c r="C398" s="184" t="str">
        <f t="shared" si="19"/>
        <v>[02C337] LO2 S1 Umbilical fill valve - Cmd</v>
      </c>
      <c r="D398" s="184" t="s">
        <v>820</v>
      </c>
      <c r="E398" s="184" t="s">
        <v>701</v>
      </c>
      <c r="F398" s="184" t="s">
        <v>674</v>
      </c>
      <c r="G398" s="184" t="s">
        <v>675</v>
      </c>
      <c r="H398" s="184" t="s">
        <v>246</v>
      </c>
      <c r="I398" s="184" t="s">
        <v>247</v>
      </c>
      <c r="J398" s="184"/>
      <c r="K398" s="184" t="s">
        <v>49</v>
      </c>
      <c r="L398" s="184" t="s">
        <v>248</v>
      </c>
      <c r="M398" s="184"/>
      <c r="N398" s="184"/>
      <c r="O398" s="184"/>
      <c r="P398" s="184" t="b">
        <v>0</v>
      </c>
    </row>
    <row r="399" spans="1:16" ht="12.75">
      <c r="A399" s="184" t="str">
        <f t="shared" si="18"/>
        <v>LOX-LS1-PVL-Pos-398</v>
      </c>
      <c r="B399" s="184">
        <v>398</v>
      </c>
      <c r="C399" s="184" t="str">
        <f t="shared" si="19"/>
        <v>[02C338] LO2 S2 Umbilical fill valve - Cmd</v>
      </c>
      <c r="D399" s="184" t="s">
        <v>821</v>
      </c>
      <c r="E399" s="184" t="s">
        <v>703</v>
      </c>
      <c r="F399" s="184" t="s">
        <v>674</v>
      </c>
      <c r="G399" s="184" t="s">
        <v>675</v>
      </c>
      <c r="H399" s="184" t="s">
        <v>246</v>
      </c>
      <c r="I399" s="184" t="s">
        <v>247</v>
      </c>
      <c r="J399" s="184"/>
      <c r="K399" s="184" t="s">
        <v>49</v>
      </c>
      <c r="L399" s="184" t="s">
        <v>248</v>
      </c>
      <c r="M399" s="184"/>
      <c r="N399" s="184"/>
      <c r="O399" s="184"/>
      <c r="P399" s="184" t="b">
        <v>0</v>
      </c>
    </row>
    <row r="400" spans="1:16" ht="12.75">
      <c r="A400" s="184" t="str">
        <f t="shared" si="18"/>
        <v>LOX-LS1-PVL-Pos-399</v>
      </c>
      <c r="B400" s="184">
        <v>399</v>
      </c>
      <c r="C400" s="184" t="str">
        <f t="shared" si="19"/>
        <v>[02C331] LOX tank 2 bottom return cmd</v>
      </c>
      <c r="D400" s="184" t="s">
        <v>822</v>
      </c>
      <c r="E400" s="184" t="s">
        <v>715</v>
      </c>
      <c r="F400" s="184" t="s">
        <v>674</v>
      </c>
      <c r="G400" s="184" t="s">
        <v>675</v>
      </c>
      <c r="H400" s="184" t="s">
        <v>246</v>
      </c>
      <c r="I400" s="184" t="s">
        <v>247</v>
      </c>
      <c r="J400" s="184"/>
      <c r="K400" s="184" t="s">
        <v>49</v>
      </c>
      <c r="L400" s="184" t="s">
        <v>248</v>
      </c>
      <c r="M400" s="184"/>
      <c r="N400" s="184"/>
      <c r="O400" s="184"/>
      <c r="P400" s="184" t="b">
        <v>0</v>
      </c>
    </row>
    <row r="401" spans="1:16" ht="12.75">
      <c r="A401" s="184" t="str">
        <f t="shared" si="18"/>
        <v>LOX-LS1-PVL-Pos-400</v>
      </c>
      <c r="B401" s="184">
        <v>400</v>
      </c>
      <c r="C401" s="184" t="str">
        <f t="shared" si="19"/>
        <v>[02C332] LOX skid 1 cross feed return cmd</v>
      </c>
      <c r="D401" s="184" t="s">
        <v>823</v>
      </c>
      <c r="E401" s="184" t="s">
        <v>788</v>
      </c>
      <c r="F401" s="184" t="s">
        <v>674</v>
      </c>
      <c r="G401" s="184" t="s">
        <v>675</v>
      </c>
      <c r="H401" s="184" t="s">
        <v>246</v>
      </c>
      <c r="I401" s="184" t="s">
        <v>247</v>
      </c>
      <c r="J401" s="184"/>
      <c r="K401" s="184" t="s">
        <v>49</v>
      </c>
      <c r="L401" s="184" t="s">
        <v>248</v>
      </c>
      <c r="M401" s="184"/>
      <c r="N401" s="184"/>
      <c r="O401" s="184"/>
      <c r="P401" s="184" t="b">
        <v>0</v>
      </c>
    </row>
    <row r="402" spans="1:16" ht="12.75">
      <c r="A402" s="184" t="str">
        <f t="shared" si="18"/>
        <v>LOX-LS1-PVL-Pos-401</v>
      </c>
      <c r="B402" s="184">
        <v>401</v>
      </c>
      <c r="C402" s="184" t="str">
        <f t="shared" si="19"/>
        <v>[02C335] LO2 S2 Umbilical Proportional Control Vent Valve</v>
      </c>
      <c r="D402" s="184" t="s">
        <v>793</v>
      </c>
      <c r="E402" s="184" t="s">
        <v>794</v>
      </c>
      <c r="F402" s="184" t="s">
        <v>674</v>
      </c>
      <c r="G402" s="184" t="s">
        <v>675</v>
      </c>
      <c r="H402" s="184" t="s">
        <v>246</v>
      </c>
      <c r="I402" s="184" t="s">
        <v>247</v>
      </c>
      <c r="J402" s="184"/>
      <c r="K402" s="184" t="s">
        <v>49</v>
      </c>
      <c r="L402" s="184" t="s">
        <v>248</v>
      </c>
      <c r="M402" s="184"/>
      <c r="N402" s="184"/>
      <c r="O402" s="184"/>
      <c r="P402" s="184" t="b">
        <v>0</v>
      </c>
    </row>
    <row r="403" spans="1:16" ht="12.75">
      <c r="A403" s="184" t="str">
        <f t="shared" si="18"/>
        <v>LOX-LS1-PVL-Pos-402</v>
      </c>
      <c r="B403" s="184">
        <v>402</v>
      </c>
      <c r="C403" s="184" t="str">
        <f t="shared" si="19"/>
        <v>[02C384] LOX stage 1 proportional vent - Cmd</v>
      </c>
      <c r="D403" s="184" t="s">
        <v>824</v>
      </c>
      <c r="E403" s="184" t="s">
        <v>797</v>
      </c>
      <c r="F403" s="184" t="s">
        <v>674</v>
      </c>
      <c r="G403" s="184" t="s">
        <v>675</v>
      </c>
      <c r="H403" s="184" t="s">
        <v>246</v>
      </c>
      <c r="I403" s="184" t="s">
        <v>247</v>
      </c>
      <c r="J403" s="184"/>
      <c r="K403" s="184" t="s">
        <v>49</v>
      </c>
      <c r="L403" s="184" t="s">
        <v>248</v>
      </c>
      <c r="M403" s="184"/>
      <c r="N403" s="184"/>
      <c r="O403" s="184"/>
      <c r="P403" s="184" t="b">
        <v>0</v>
      </c>
    </row>
    <row r="404" spans="1:16" ht="12.75">
      <c r="A404" s="184" t="str">
        <f t="shared" si="18"/>
        <v>LOX-LS1-PVL-Pos-403</v>
      </c>
      <c r="B404" s="184">
        <v>403</v>
      </c>
      <c r="C404" s="184" t="str">
        <f t="shared" si="19"/>
        <v>[02C345] LOX skid 2 cross feed return - Cmd</v>
      </c>
      <c r="D404" s="184" t="s">
        <v>825</v>
      </c>
      <c r="E404" s="184" t="s">
        <v>809</v>
      </c>
      <c r="F404" s="184" t="s">
        <v>674</v>
      </c>
      <c r="G404" s="184" t="s">
        <v>675</v>
      </c>
      <c r="H404" s="184" t="s">
        <v>246</v>
      </c>
      <c r="I404" s="184" t="s">
        <v>247</v>
      </c>
      <c r="J404" s="184"/>
      <c r="K404" s="184" t="s">
        <v>49</v>
      </c>
      <c r="L404" s="184" t="s">
        <v>248</v>
      </c>
      <c r="M404" s="184"/>
      <c r="N404" s="184"/>
      <c r="O404" s="184"/>
      <c r="P404" s="184" t="b">
        <v>0</v>
      </c>
    </row>
    <row r="405" spans="1:16" ht="12.75">
      <c r="A405" s="184" t="str">
        <f t="shared" si="18"/>
        <v>LOX-LS1-PVL-Pos-404</v>
      </c>
      <c r="B405" s="184">
        <v>404</v>
      </c>
      <c r="C405" s="184" t="str">
        <f t="shared" si="19"/>
        <v>[02C346] LOX skid 1 transfer return - Cmd</v>
      </c>
      <c r="D405" s="184" t="s">
        <v>826</v>
      </c>
      <c r="E405" s="184" t="s">
        <v>811</v>
      </c>
      <c r="F405" s="184" t="s">
        <v>674</v>
      </c>
      <c r="G405" s="184" t="s">
        <v>675</v>
      </c>
      <c r="H405" s="184" t="s">
        <v>246</v>
      </c>
      <c r="I405" s="184" t="s">
        <v>247</v>
      </c>
      <c r="J405" s="184"/>
      <c r="K405" s="184" t="s">
        <v>49</v>
      </c>
      <c r="L405" s="184" t="s">
        <v>248</v>
      </c>
      <c r="M405" s="184"/>
      <c r="N405" s="184"/>
      <c r="O405" s="184"/>
      <c r="P405" s="184" t="b">
        <v>0</v>
      </c>
    </row>
    <row r="406" spans="1:16" ht="12.75">
      <c r="A406" s="184" t="str">
        <f t="shared" si="18"/>
        <v>LOX-LS1-RTD-Ts-405</v>
      </c>
      <c r="B406" s="184">
        <v>405</v>
      </c>
      <c r="C406" s="184" t="str">
        <f t="shared" si="19"/>
        <v>[02C916] LOX pump 1 inlet temperature</v>
      </c>
      <c r="D406" s="184" t="s">
        <v>827</v>
      </c>
      <c r="E406" s="184" t="s">
        <v>828</v>
      </c>
      <c r="F406" s="184" t="s">
        <v>674</v>
      </c>
      <c r="G406" s="184" t="s">
        <v>675</v>
      </c>
      <c r="H406" s="184" t="s">
        <v>283</v>
      </c>
      <c r="I406" s="184" t="s">
        <v>284</v>
      </c>
      <c r="J406" s="184"/>
      <c r="K406" s="184" t="s">
        <v>231</v>
      </c>
      <c r="L406" s="184" t="s">
        <v>232</v>
      </c>
      <c r="M406" s="184"/>
      <c r="N406" s="184"/>
      <c r="O406" s="184"/>
      <c r="P406" s="184" t="b">
        <v>0</v>
      </c>
    </row>
    <row r="407" spans="1:16" ht="12.75">
      <c r="A407" s="184" t="str">
        <f t="shared" si="18"/>
        <v>LOX-LS1-RTD-Ts-406</v>
      </c>
      <c r="B407" s="184">
        <v>406</v>
      </c>
      <c r="C407" s="184" t="str">
        <f t="shared" si="19"/>
        <v>[02C918] LOX pump 1 Outlet temperature</v>
      </c>
      <c r="D407" s="184" t="s">
        <v>829</v>
      </c>
      <c r="E407" s="184" t="s">
        <v>830</v>
      </c>
      <c r="F407" s="184" t="s">
        <v>674</v>
      </c>
      <c r="G407" s="184" t="s">
        <v>675</v>
      </c>
      <c r="H407" s="184" t="s">
        <v>283</v>
      </c>
      <c r="I407" s="184" t="s">
        <v>284</v>
      </c>
      <c r="J407" s="184"/>
      <c r="K407" s="184" t="s">
        <v>231</v>
      </c>
      <c r="L407" s="184" t="s">
        <v>232</v>
      </c>
      <c r="M407" s="184"/>
      <c r="N407" s="184"/>
      <c r="O407" s="184"/>
      <c r="P407" s="184" t="b">
        <v>0</v>
      </c>
    </row>
    <row r="408" spans="1:16" ht="12.75">
      <c r="A408" s="184" t="str">
        <f t="shared" si="18"/>
        <v>LOX-LS1-RTD-Ts-407</v>
      </c>
      <c r="B408" s="184">
        <v>407</v>
      </c>
      <c r="C408" s="184" t="str">
        <f t="shared" si="19"/>
        <v>[02C920] LOX skid 1 transfer temperature</v>
      </c>
      <c r="D408" s="184" t="s">
        <v>831</v>
      </c>
      <c r="E408" s="184" t="s">
        <v>832</v>
      </c>
      <c r="F408" s="184" t="s">
        <v>674</v>
      </c>
      <c r="G408" s="184" t="s">
        <v>675</v>
      </c>
      <c r="H408" s="184" t="s">
        <v>283</v>
      </c>
      <c r="I408" s="184" t="s">
        <v>284</v>
      </c>
      <c r="J408" s="184"/>
      <c r="K408" s="184" t="s">
        <v>231</v>
      </c>
      <c r="L408" s="184" t="s">
        <v>232</v>
      </c>
      <c r="M408" s="184"/>
      <c r="N408" s="184"/>
      <c r="O408" s="184"/>
      <c r="P408" s="184" t="b">
        <v>0</v>
      </c>
    </row>
    <row r="409" spans="1:16" ht="12.75">
      <c r="A409" s="184" t="str">
        <f t="shared" si="18"/>
        <v>LOX-LS1-RTD-Ts-408</v>
      </c>
      <c r="B409" s="184">
        <v>408</v>
      </c>
      <c r="C409" s="184" t="str">
        <f t="shared" si="19"/>
        <v>[02C926] LOX pump 2 outlet Temperature Sensor</v>
      </c>
      <c r="D409" s="184" t="s">
        <v>833</v>
      </c>
      <c r="E409" s="184" t="s">
        <v>834</v>
      </c>
      <c r="F409" s="184" t="s">
        <v>674</v>
      </c>
      <c r="G409" s="184" t="s">
        <v>675</v>
      </c>
      <c r="H409" s="184" t="s">
        <v>283</v>
      </c>
      <c r="I409" s="184" t="s">
        <v>284</v>
      </c>
      <c r="J409" s="184"/>
      <c r="K409" s="184" t="s">
        <v>231</v>
      </c>
      <c r="L409" s="184" t="s">
        <v>232</v>
      </c>
      <c r="M409" s="184"/>
      <c r="N409" s="184"/>
      <c r="O409" s="184"/>
      <c r="P409" s="184" t="b">
        <v>0</v>
      </c>
    </row>
    <row r="410" spans="1:16" ht="12.75">
      <c r="A410" s="184" t="str">
        <f t="shared" si="18"/>
        <v>LOX-LS1-RTD-Ts-409</v>
      </c>
      <c r="B410" s="184">
        <v>409</v>
      </c>
      <c r="C410" s="184" t="str">
        <f t="shared" si="19"/>
        <v>[02C927] LOX pump 2 Inlet Temperature Sensor</v>
      </c>
      <c r="D410" s="184" t="s">
        <v>835</v>
      </c>
      <c r="E410" s="184" t="s">
        <v>836</v>
      </c>
      <c r="F410" s="184" t="s">
        <v>674</v>
      </c>
      <c r="G410" s="184" t="s">
        <v>675</v>
      </c>
      <c r="H410" s="184" t="s">
        <v>283</v>
      </c>
      <c r="I410" s="184" t="s">
        <v>284</v>
      </c>
      <c r="J410" s="184"/>
      <c r="K410" s="184" t="s">
        <v>231</v>
      </c>
      <c r="L410" s="184" t="s">
        <v>232</v>
      </c>
      <c r="M410" s="184"/>
      <c r="N410" s="184"/>
      <c r="O410" s="184"/>
      <c r="P410" s="184" t="b">
        <v>0</v>
      </c>
    </row>
    <row r="411" spans="1:16" ht="12.75">
      <c r="A411" s="184" t="str">
        <f t="shared" si="18"/>
        <v>LOX-LS1-RTD-Ts-410</v>
      </c>
      <c r="B411" s="184">
        <v>410</v>
      </c>
      <c r="C411" s="184" t="str">
        <f t="shared" si="19"/>
        <v>[02C928] LOX skid 2 transfer temperature</v>
      </c>
      <c r="D411" s="184" t="s">
        <v>837</v>
      </c>
      <c r="E411" s="184" t="s">
        <v>838</v>
      </c>
      <c r="F411" s="184" t="s">
        <v>674</v>
      </c>
      <c r="G411" s="184" t="s">
        <v>675</v>
      </c>
      <c r="H411" s="184" t="s">
        <v>283</v>
      </c>
      <c r="I411" s="184" t="s">
        <v>284</v>
      </c>
      <c r="J411" s="184"/>
      <c r="K411" s="184" t="s">
        <v>231</v>
      </c>
      <c r="L411" s="184" t="s">
        <v>232</v>
      </c>
      <c r="M411" s="184"/>
      <c r="N411" s="184"/>
      <c r="O411" s="184"/>
      <c r="P411" s="184" t="b">
        <v>0</v>
      </c>
    </row>
    <row r="412" spans="1:16" ht="12.75">
      <c r="A412" s="184" t="str">
        <f t="shared" si="18"/>
        <v>LOX-LS1-RTD-Ts-411</v>
      </c>
      <c r="B412" s="184">
        <v>411</v>
      </c>
      <c r="C412" s="184" t="str">
        <f t="shared" si="19"/>
        <v>[02C935] S1 LOX umbilical temperature</v>
      </c>
      <c r="D412" s="184" t="s">
        <v>839</v>
      </c>
      <c r="E412" s="184" t="s">
        <v>840</v>
      </c>
      <c r="F412" s="184" t="s">
        <v>674</v>
      </c>
      <c r="G412" s="184" t="s">
        <v>675</v>
      </c>
      <c r="H412" s="184" t="s">
        <v>283</v>
      </c>
      <c r="I412" s="184" t="s">
        <v>284</v>
      </c>
      <c r="J412" s="184"/>
      <c r="K412" s="184" t="s">
        <v>231</v>
      </c>
      <c r="L412" s="184" t="s">
        <v>232</v>
      </c>
      <c r="M412" s="184"/>
      <c r="N412" s="184"/>
      <c r="O412" s="184"/>
      <c r="P412" s="184" t="b">
        <v>0</v>
      </c>
    </row>
    <row r="413" spans="1:16" ht="12.75">
      <c r="A413" s="184" t="str">
        <f t="shared" si="18"/>
        <v>LOX-LS1-RTD-Ts-412</v>
      </c>
      <c r="B413" s="184">
        <v>412</v>
      </c>
      <c r="C413" s="184" t="str">
        <f t="shared" si="19"/>
        <v>[02C923] LO2 S2 Umbilical Temperature Sensor</v>
      </c>
      <c r="D413" s="184" t="s">
        <v>841</v>
      </c>
      <c r="E413" s="184" t="s">
        <v>842</v>
      </c>
      <c r="F413" s="184" t="s">
        <v>674</v>
      </c>
      <c r="G413" s="184" t="s">
        <v>675</v>
      </c>
      <c r="H413" s="184" t="s">
        <v>283</v>
      </c>
      <c r="I413" s="184" t="s">
        <v>284</v>
      </c>
      <c r="J413" s="184"/>
      <c r="K413" s="184" t="s">
        <v>231</v>
      </c>
      <c r="L413" s="184" t="s">
        <v>232</v>
      </c>
      <c r="M413" s="184"/>
      <c r="N413" s="184"/>
      <c r="O413" s="184"/>
      <c r="P413" s="184" t="b">
        <v>0</v>
      </c>
    </row>
    <row r="414" spans="1:16" ht="12.75">
      <c r="A414" s="184" t="str">
        <f t="shared" si="18"/>
        <v>LOX-LS1-PRS-Ps-413</v>
      </c>
      <c r="B414" s="184">
        <v>413</v>
      </c>
      <c r="C414" s="184" t="str">
        <f t="shared" si="19"/>
        <v>[02C925] LOX pump 2 oultet pressure</v>
      </c>
      <c r="D414" s="184" t="s">
        <v>843</v>
      </c>
      <c r="E414" s="184" t="s">
        <v>844</v>
      </c>
      <c r="F414" s="184" t="s">
        <v>674</v>
      </c>
      <c r="G414" s="184" t="s">
        <v>675</v>
      </c>
      <c r="H414" s="184" t="s">
        <v>54</v>
      </c>
      <c r="I414" s="184" t="s">
        <v>55</v>
      </c>
      <c r="J414" s="184"/>
      <c r="K414" s="184" t="s">
        <v>56</v>
      </c>
      <c r="L414" s="184" t="s">
        <v>57</v>
      </c>
      <c r="M414" s="184"/>
      <c r="N414" s="184"/>
      <c r="O414" s="184"/>
      <c r="P414" s="184" t="b">
        <v>0</v>
      </c>
    </row>
    <row r="415" spans="1:16" ht="12.75">
      <c r="A415" s="184" t="str">
        <f t="shared" si="18"/>
        <v>LOX-LS1-PRS-Ps-414</v>
      </c>
      <c r="B415" s="184">
        <v>414</v>
      </c>
      <c r="C415" s="184" t="str">
        <f t="shared" si="19"/>
        <v>[02C924] LOX pump 2 inlet pressure</v>
      </c>
      <c r="D415" s="184" t="s">
        <v>845</v>
      </c>
      <c r="E415" s="184" t="s">
        <v>846</v>
      </c>
      <c r="F415" s="184" t="s">
        <v>674</v>
      </c>
      <c r="G415" s="184" t="s">
        <v>675</v>
      </c>
      <c r="H415" s="184" t="s">
        <v>54</v>
      </c>
      <c r="I415" s="184" t="s">
        <v>55</v>
      </c>
      <c r="J415" s="184"/>
      <c r="K415" s="184" t="s">
        <v>56</v>
      </c>
      <c r="L415" s="184" t="s">
        <v>57</v>
      </c>
      <c r="M415" s="184"/>
      <c r="N415" s="184"/>
      <c r="O415" s="184"/>
      <c r="P415" s="184" t="b">
        <v>0</v>
      </c>
    </row>
    <row r="416" spans="1:16" ht="12.75">
      <c r="A416" s="184" t="str">
        <f t="shared" si="18"/>
        <v>LOX-LS1-PRS-Ps-415</v>
      </c>
      <c r="B416" s="184">
        <v>415</v>
      </c>
      <c r="C416" s="184" t="str">
        <f t="shared" si="19"/>
        <v>[02C929] LOX skid 2 transfer pressure</v>
      </c>
      <c r="D416" s="184" t="s">
        <v>847</v>
      </c>
      <c r="E416" s="184" t="s">
        <v>848</v>
      </c>
      <c r="F416" s="184" t="s">
        <v>674</v>
      </c>
      <c r="G416" s="184" t="s">
        <v>675</v>
      </c>
      <c r="H416" s="184" t="s">
        <v>54</v>
      </c>
      <c r="I416" s="184" t="s">
        <v>55</v>
      </c>
      <c r="J416" s="184"/>
      <c r="K416" s="184" t="s">
        <v>56</v>
      </c>
      <c r="L416" s="184" t="s">
        <v>57</v>
      </c>
      <c r="M416" s="184"/>
      <c r="N416" s="184"/>
      <c r="O416" s="184"/>
      <c r="P416" s="184" t="b">
        <v>0</v>
      </c>
    </row>
    <row r="417" spans="1:16" ht="12.75">
      <c r="A417" s="184" t="str">
        <f t="shared" si="18"/>
        <v>LOX-S1U-PRS-Ps-416</v>
      </c>
      <c r="B417" s="184">
        <v>416</v>
      </c>
      <c r="C417" s="184" t="str">
        <f t="shared" si="19"/>
        <v>[02C934] S1 LOX umbilical pressure</v>
      </c>
      <c r="D417" s="184" t="s">
        <v>849</v>
      </c>
      <c r="E417" s="184" t="s">
        <v>850</v>
      </c>
      <c r="F417" s="184" t="s">
        <v>674</v>
      </c>
      <c r="G417" s="184" t="s">
        <v>53</v>
      </c>
      <c r="H417" s="184" t="s">
        <v>54</v>
      </c>
      <c r="I417" s="184" t="s">
        <v>55</v>
      </c>
      <c r="J417" s="184"/>
      <c r="K417" s="184" t="s">
        <v>56</v>
      </c>
      <c r="L417" s="184" t="s">
        <v>57</v>
      </c>
      <c r="M417" s="184"/>
      <c r="N417" s="184"/>
      <c r="O417" s="184"/>
      <c r="P417" s="184" t="b">
        <v>0</v>
      </c>
    </row>
    <row r="418" spans="1:16" ht="14.25" hidden="1">
      <c r="A418" s="184" t="str">
        <f t="shared" si="18"/>
        <v>MEC-CL-SLD-B-417</v>
      </c>
      <c r="B418" s="184">
        <v>417</v>
      </c>
      <c r="C418" s="184" t="str">
        <f t="shared" si="19"/>
        <v>[05C392.1] Clamp lock latch - energize to unlock latch</v>
      </c>
      <c r="D418" s="184" t="s">
        <v>851</v>
      </c>
      <c r="E418" s="177" t="s">
        <v>852</v>
      </c>
      <c r="F418" s="184" t="s">
        <v>853</v>
      </c>
      <c r="G418" s="184" t="s">
        <v>529</v>
      </c>
      <c r="H418" s="184" t="s">
        <v>854</v>
      </c>
      <c r="I418" s="184" t="s">
        <v>48</v>
      </c>
      <c r="J418" s="184"/>
      <c r="K418" s="184" t="s">
        <v>104</v>
      </c>
      <c r="L418" s="184" t="s">
        <v>50</v>
      </c>
      <c r="M418" s="184"/>
      <c r="N418" s="184"/>
      <c r="O418" s="184"/>
      <c r="P418" s="184" t="b">
        <v>0</v>
      </c>
    </row>
    <row r="419" spans="1:16" ht="12.75" hidden="1">
      <c r="A419" s="184" t="str">
        <f t="shared" si="18"/>
        <v>MEC-CL-PXS-PxO-418</v>
      </c>
      <c r="B419" s="184">
        <v>418</v>
      </c>
      <c r="C419" s="184" t="str">
        <f t="shared" si="19"/>
        <v>[MEC-CL-PXS-PxO-418] Clamp lock latch - state feed back - open</v>
      </c>
      <c r="D419" s="184" t="s">
        <v>855</v>
      </c>
      <c r="E419" s="184" t="s">
        <v>856</v>
      </c>
      <c r="F419" s="184" t="s">
        <v>853</v>
      </c>
      <c r="G419" s="184" t="s">
        <v>529</v>
      </c>
      <c r="H419" s="184" t="s">
        <v>485</v>
      </c>
      <c r="I419" s="184" t="s">
        <v>73</v>
      </c>
      <c r="J419" s="184"/>
      <c r="K419" s="184" t="s">
        <v>115</v>
      </c>
      <c r="L419" s="184" t="s">
        <v>50</v>
      </c>
      <c r="M419" s="184"/>
      <c r="N419" s="184"/>
      <c r="O419" s="184"/>
      <c r="P419" s="184" t="b">
        <v>0</v>
      </c>
    </row>
    <row r="420" spans="1:16" ht="12.75" hidden="1">
      <c r="A420" s="184" t="str">
        <f t="shared" si="18"/>
        <v>MEC-CL-PXS-PxC-419</v>
      </c>
      <c r="B420" s="184">
        <v>419</v>
      </c>
      <c r="C420" s="184" t="str">
        <f t="shared" si="19"/>
        <v>[MEC-CL-PXS-PxC-419] Clamp lock latch - state feed back - closed</v>
      </c>
      <c r="D420" s="184" t="s">
        <v>857</v>
      </c>
      <c r="E420" s="184" t="s">
        <v>858</v>
      </c>
      <c r="F420" s="184" t="s">
        <v>853</v>
      </c>
      <c r="G420" s="184" t="s">
        <v>529</v>
      </c>
      <c r="H420" s="184" t="s">
        <v>485</v>
      </c>
      <c r="I420" s="184" t="s">
        <v>73</v>
      </c>
      <c r="J420" s="184"/>
      <c r="K420" s="184" t="s">
        <v>108</v>
      </c>
      <c r="L420" s="184" t="s">
        <v>50</v>
      </c>
      <c r="M420" s="184"/>
      <c r="N420" s="184"/>
      <c r="O420" s="184"/>
      <c r="P420" s="184" t="b">
        <v>0</v>
      </c>
    </row>
    <row r="421" spans="1:16" ht="12.75">
      <c r="A421" s="184" t="str">
        <f t="shared" si="18"/>
        <v>PC-PRG-CTL-GV-420</v>
      </c>
      <c r="B421" s="184">
        <v>420</v>
      </c>
      <c r="C421" s="184" t="str">
        <f t="shared" si="19"/>
        <v>[PC-PRG-CTL-GV-420] Box Purge Status - From PLC</v>
      </c>
      <c r="D421" s="184" t="s">
        <v>859</v>
      </c>
      <c r="E421" s="184" t="s">
        <v>860</v>
      </c>
      <c r="F421" s="184" t="s">
        <v>314</v>
      </c>
      <c r="G421" s="184" t="s">
        <v>185</v>
      </c>
      <c r="H421" s="184" t="s">
        <v>861</v>
      </c>
      <c r="I421" s="184" t="s">
        <v>73</v>
      </c>
      <c r="J421" s="184"/>
      <c r="K421" s="184" t="s">
        <v>862</v>
      </c>
      <c r="L421" s="184" t="s">
        <v>50</v>
      </c>
      <c r="M421" s="184"/>
      <c r="N421" s="184"/>
      <c r="O421" s="184"/>
      <c r="P421" s="184" t="b">
        <v>0</v>
      </c>
    </row>
    <row r="422" spans="1:16" ht="12.75" hidden="1">
      <c r="A422" s="184" t="str">
        <f t="shared" si="18"/>
        <v>HVBH-CTRL-SSR-B-421</v>
      </c>
      <c r="B422" s="184">
        <v>421</v>
      </c>
      <c r="C422" s="184" t="str">
        <f t="shared" si="19"/>
        <v>[SSR017] ESTOP Reset HV Batt</v>
      </c>
      <c r="D422" s="184" t="s">
        <v>863</v>
      </c>
      <c r="E422" s="184" t="s">
        <v>864</v>
      </c>
      <c r="F422" s="184" t="s">
        <v>162</v>
      </c>
      <c r="G422" s="184" t="s">
        <v>865</v>
      </c>
      <c r="H422" s="184" t="s">
        <v>192</v>
      </c>
      <c r="I422" s="184" t="s">
        <v>48</v>
      </c>
      <c r="J422" s="184"/>
      <c r="K422" s="184" t="s">
        <v>104</v>
      </c>
      <c r="L422" s="184" t="s">
        <v>50</v>
      </c>
      <c r="M422" s="184"/>
      <c r="N422" s="184"/>
      <c r="O422" s="184"/>
      <c r="P422" s="184" t="b">
        <v>0</v>
      </c>
    </row>
    <row r="423" spans="1:16" ht="12.75">
      <c r="A423" s="184" t="str">
        <f t="shared" si="18"/>
        <v>BP-PRG-PRS-Ps-422</v>
      </c>
      <c r="B423" s="184">
        <v>422</v>
      </c>
      <c r="C423" s="184" t="str">
        <f t="shared" si="19"/>
        <v>[33C925] purge pressure - GOX/METHANE PANEL</v>
      </c>
      <c r="D423" s="184" t="s">
        <v>866</v>
      </c>
      <c r="E423" s="184" t="s">
        <v>867</v>
      </c>
      <c r="F423" s="184" t="s">
        <v>868</v>
      </c>
      <c r="G423" s="184" t="s">
        <v>185</v>
      </c>
      <c r="H423" s="184" t="s">
        <v>54</v>
      </c>
      <c r="I423" s="184" t="s">
        <v>55</v>
      </c>
      <c r="J423" s="184"/>
      <c r="K423" s="184" t="s">
        <v>56</v>
      </c>
      <c r="L423" s="184" t="s">
        <v>869</v>
      </c>
      <c r="M423" s="184"/>
      <c r="N423" s="184"/>
      <c r="O423" s="184"/>
      <c r="P423" s="184" t="b">
        <v>0</v>
      </c>
    </row>
    <row r="424" spans="1:16" ht="12.75">
      <c r="A424" s="184" t="str">
        <f t="shared" ref="A424:A492" si="20">CONCATENATE(VLOOKUP(F424,Systems,2,FALSE),"-",VLOOKUP(G424,Subsystems,2,FALSE),"-",VLOOKUP(H424,Components,2,FALSE),"-",VLOOKUP(K424,Metrics,2,FALSE),"-",B424)</f>
        <v>BP-PRG-PRS-Ps-423</v>
      </c>
      <c r="B424" s="184">
        <v>423</v>
      </c>
      <c r="C424" s="184" t="str">
        <f t="shared" si="19"/>
        <v>[33C910] purge pressure - CB3</v>
      </c>
      <c r="D424" s="184" t="s">
        <v>870</v>
      </c>
      <c r="E424" s="184" t="s">
        <v>871</v>
      </c>
      <c r="F424" s="184" t="s">
        <v>868</v>
      </c>
      <c r="G424" s="184" t="s">
        <v>185</v>
      </c>
      <c r="H424" s="184" t="s">
        <v>54</v>
      </c>
      <c r="I424" s="184" t="s">
        <v>55</v>
      </c>
      <c r="J424" s="184"/>
      <c r="K424" s="184" t="s">
        <v>56</v>
      </c>
      <c r="L424" s="184" t="s">
        <v>869</v>
      </c>
      <c r="M424" s="184"/>
      <c r="N424" s="184"/>
      <c r="O424" s="184"/>
      <c r="P424" s="184" t="b">
        <v>0</v>
      </c>
    </row>
    <row r="425" spans="1:16" ht="12.75">
      <c r="A425" s="184" t="str">
        <f t="shared" si="20"/>
        <v>BP-PRG-PRS-Ps-424</v>
      </c>
      <c r="B425" s="184">
        <v>424</v>
      </c>
      <c r="C425" s="184" t="str">
        <f t="shared" si="19"/>
        <v>[33C911] purge pressure - CB4</v>
      </c>
      <c r="D425" s="184" t="s">
        <v>872</v>
      </c>
      <c r="E425" s="184" t="s">
        <v>873</v>
      </c>
      <c r="F425" s="184" t="s">
        <v>868</v>
      </c>
      <c r="G425" s="184" t="s">
        <v>185</v>
      </c>
      <c r="H425" s="184" t="s">
        <v>54</v>
      </c>
      <c r="I425" s="184" t="s">
        <v>55</v>
      </c>
      <c r="J425" s="184"/>
      <c r="K425" s="184" t="s">
        <v>56</v>
      </c>
      <c r="L425" s="184" t="s">
        <v>869</v>
      </c>
      <c r="M425" s="184"/>
      <c r="N425" s="184"/>
      <c r="O425" s="184"/>
      <c r="P425" s="184" t="b">
        <v>0</v>
      </c>
    </row>
    <row r="426" spans="1:16" ht="12.75">
      <c r="A426" s="184" t="str">
        <f t="shared" si="20"/>
        <v>BP-PRG-PRS-Ps-425</v>
      </c>
      <c r="B426" s="184">
        <v>425</v>
      </c>
      <c r="C426" s="184" t="str">
        <f t="shared" si="19"/>
        <v>[33C918] purge pressure - CB5</v>
      </c>
      <c r="D426" s="184" t="s">
        <v>874</v>
      </c>
      <c r="E426" s="184" t="s">
        <v>875</v>
      </c>
      <c r="F426" s="184" t="s">
        <v>868</v>
      </c>
      <c r="G426" s="184" t="s">
        <v>185</v>
      </c>
      <c r="H426" s="184" t="s">
        <v>54</v>
      </c>
      <c r="I426" s="184" t="s">
        <v>55</v>
      </c>
      <c r="J426" s="184"/>
      <c r="K426" s="184" t="s">
        <v>56</v>
      </c>
      <c r="L426" s="184" t="s">
        <v>869</v>
      </c>
      <c r="M426" s="184"/>
      <c r="N426" s="184"/>
      <c r="O426" s="184"/>
      <c r="P426" s="184" t="b">
        <v>0</v>
      </c>
    </row>
    <row r="427" spans="1:16" ht="12.75">
      <c r="A427" s="184" t="str">
        <f t="shared" si="20"/>
        <v>BP-PRG-PRS-Ps-426</v>
      </c>
      <c r="B427" s="184">
        <v>426</v>
      </c>
      <c r="C427" s="184" t="str">
        <f t="shared" si="19"/>
        <v>[33C915] purge pressure - CB9</v>
      </c>
      <c r="D427" s="184" t="s">
        <v>876</v>
      </c>
      <c r="E427" s="184" t="s">
        <v>877</v>
      </c>
      <c r="F427" s="184" t="s">
        <v>868</v>
      </c>
      <c r="G427" s="184" t="s">
        <v>185</v>
      </c>
      <c r="H427" s="184" t="s">
        <v>54</v>
      </c>
      <c r="I427" s="184" t="s">
        <v>55</v>
      </c>
      <c r="J427" s="184"/>
      <c r="K427" s="184" t="s">
        <v>56</v>
      </c>
      <c r="L427" s="184" t="s">
        <v>869</v>
      </c>
      <c r="M427" s="184"/>
      <c r="N427" s="184"/>
      <c r="O427" s="184"/>
      <c r="P427" s="184" t="b">
        <v>0</v>
      </c>
    </row>
    <row r="428" spans="1:16" ht="12.75">
      <c r="A428" s="184" t="str">
        <f t="shared" si="20"/>
        <v>BP-PRG-PRS-Ps-427</v>
      </c>
      <c r="B428" s="184">
        <v>427</v>
      </c>
      <c r="C428" s="184" t="str">
        <f t="shared" si="19"/>
        <v>[33C920] purge pressure - CB7</v>
      </c>
      <c r="D428" s="184" t="s">
        <v>878</v>
      </c>
      <c r="E428" s="184" t="s">
        <v>879</v>
      </c>
      <c r="F428" s="184" t="s">
        <v>868</v>
      </c>
      <c r="G428" s="184" t="s">
        <v>185</v>
      </c>
      <c r="H428" s="184" t="s">
        <v>54</v>
      </c>
      <c r="I428" s="184" t="s">
        <v>55</v>
      </c>
      <c r="J428" s="184"/>
      <c r="K428" s="184" t="s">
        <v>56</v>
      </c>
      <c r="L428" s="184" t="s">
        <v>869</v>
      </c>
      <c r="M428" s="184"/>
      <c r="N428" s="184"/>
      <c r="O428" s="184"/>
      <c r="P428" s="184" t="b">
        <v>0</v>
      </c>
    </row>
    <row r="429" spans="1:16" ht="12.75">
      <c r="A429" s="184" t="str">
        <f t="shared" si="20"/>
        <v>BP-PRG-PRS-Ps-428</v>
      </c>
      <c r="B429" s="184">
        <v>428</v>
      </c>
      <c r="C429" s="184" t="str">
        <f t="shared" si="19"/>
        <v>[33C921] Purge pressure CB8</v>
      </c>
      <c r="D429" s="184" t="s">
        <v>880</v>
      </c>
      <c r="E429" s="184" t="s">
        <v>881</v>
      </c>
      <c r="F429" s="184" t="s">
        <v>868</v>
      </c>
      <c r="G429" s="184" t="s">
        <v>185</v>
      </c>
      <c r="H429" s="184" t="s">
        <v>54</v>
      </c>
      <c r="I429" s="184" t="s">
        <v>55</v>
      </c>
      <c r="J429" s="184"/>
      <c r="K429" s="184" t="s">
        <v>56</v>
      </c>
      <c r="L429" s="184" t="s">
        <v>869</v>
      </c>
      <c r="M429" s="184"/>
      <c r="N429" s="184"/>
      <c r="O429" s="184"/>
      <c r="P429" s="184" t="b">
        <v>0</v>
      </c>
    </row>
    <row r="430" spans="1:16" ht="12.75">
      <c r="A430" s="184" t="str">
        <f t="shared" si="20"/>
        <v>BP-PRG-PRS-Ps-429</v>
      </c>
      <c r="B430" s="184">
        <v>429</v>
      </c>
      <c r="C430" s="184" t="str">
        <f t="shared" si="19"/>
        <v>[33C922] purge pressure - F1</v>
      </c>
      <c r="D430" s="184" t="s">
        <v>882</v>
      </c>
      <c r="E430" s="184" t="s">
        <v>883</v>
      </c>
      <c r="F430" s="184" t="s">
        <v>868</v>
      </c>
      <c r="G430" s="184" t="s">
        <v>185</v>
      </c>
      <c r="H430" s="184" t="s">
        <v>54</v>
      </c>
      <c r="I430" s="184" t="s">
        <v>55</v>
      </c>
      <c r="J430" s="184"/>
      <c r="K430" s="184" t="s">
        <v>56</v>
      </c>
      <c r="L430" s="184" t="s">
        <v>869</v>
      </c>
      <c r="M430" s="184"/>
      <c r="N430" s="184"/>
      <c r="O430" s="184"/>
      <c r="P430" s="184" t="b">
        <v>0</v>
      </c>
    </row>
    <row r="431" spans="1:16" ht="12.75">
      <c r="A431" s="184" t="str">
        <f t="shared" si="20"/>
        <v>BP-PRG-PRS-Ps-430</v>
      </c>
      <c r="B431" s="184">
        <v>430</v>
      </c>
      <c r="C431" s="184" t="str">
        <f t="shared" si="19"/>
        <v>[33C912] purge pressure - F2</v>
      </c>
      <c r="D431" s="184" t="s">
        <v>884</v>
      </c>
      <c r="E431" s="184" t="s">
        <v>885</v>
      </c>
      <c r="F431" s="184" t="s">
        <v>868</v>
      </c>
      <c r="G431" s="184" t="s">
        <v>185</v>
      </c>
      <c r="H431" s="184" t="s">
        <v>54</v>
      </c>
      <c r="I431" s="184" t="s">
        <v>55</v>
      </c>
      <c r="J431" s="184"/>
      <c r="K431" s="184" t="s">
        <v>56</v>
      </c>
      <c r="L431" s="184" t="s">
        <v>869</v>
      </c>
      <c r="M431" s="184"/>
      <c r="N431" s="184"/>
      <c r="O431" s="184"/>
      <c r="P431" s="184" t="b">
        <v>0</v>
      </c>
    </row>
    <row r="432" spans="1:16" ht="12.75">
      <c r="A432" s="184" t="str">
        <f t="shared" si="20"/>
        <v>BP-PRG-PRS-Ps-431</v>
      </c>
      <c r="B432" s="184">
        <v>431</v>
      </c>
      <c r="C432" s="184" t="str">
        <f t="shared" si="19"/>
        <v>[33C913] purge pressure - F3</v>
      </c>
      <c r="D432" s="184" t="s">
        <v>886</v>
      </c>
      <c r="E432" s="184" t="s">
        <v>887</v>
      </c>
      <c r="F432" s="184" t="s">
        <v>868</v>
      </c>
      <c r="G432" s="184" t="s">
        <v>185</v>
      </c>
      <c r="H432" s="184" t="s">
        <v>54</v>
      </c>
      <c r="I432" s="184" t="s">
        <v>55</v>
      </c>
      <c r="J432" s="184"/>
      <c r="K432" s="184" t="s">
        <v>56</v>
      </c>
      <c r="L432" s="184" t="s">
        <v>869</v>
      </c>
      <c r="M432" s="184"/>
      <c r="N432" s="184"/>
      <c r="O432" s="184"/>
      <c r="P432" s="184" t="b">
        <v>0</v>
      </c>
    </row>
    <row r="433" spans="1:16" ht="12.75">
      <c r="A433" s="184" t="str">
        <f t="shared" si="20"/>
        <v>BP-PRG-PRS-Ps-432</v>
      </c>
      <c r="B433" s="184">
        <v>432</v>
      </c>
      <c r="C433" s="184" t="str">
        <f t="shared" si="19"/>
        <v>[33C914] purge pressure - F4</v>
      </c>
      <c r="D433" s="184" t="s">
        <v>888</v>
      </c>
      <c r="E433" s="184" t="s">
        <v>889</v>
      </c>
      <c r="F433" s="184" t="s">
        <v>868</v>
      </c>
      <c r="G433" s="184" t="s">
        <v>185</v>
      </c>
      <c r="H433" s="184" t="s">
        <v>54</v>
      </c>
      <c r="I433" s="184" t="s">
        <v>55</v>
      </c>
      <c r="J433" s="184"/>
      <c r="K433" s="184" t="s">
        <v>56</v>
      </c>
      <c r="L433" s="184" t="s">
        <v>869</v>
      </c>
      <c r="M433" s="184"/>
      <c r="N433" s="184"/>
      <c r="O433" s="184"/>
      <c r="P433" s="184" t="b">
        <v>0</v>
      </c>
    </row>
    <row r="434" spans="1:16" ht="12.75">
      <c r="A434" s="184" t="str">
        <f t="shared" si="20"/>
        <v>BP-PRG-PRS-Ps-433</v>
      </c>
      <c r="B434" s="184">
        <v>433</v>
      </c>
      <c r="C434" s="184" t="str">
        <f t="shared" si="19"/>
        <v>[33C916] purge pressure - S2</v>
      </c>
      <c r="D434" s="184" t="s">
        <v>890</v>
      </c>
      <c r="E434" s="184" t="s">
        <v>891</v>
      </c>
      <c r="F434" s="184" t="s">
        <v>868</v>
      </c>
      <c r="G434" s="184" t="s">
        <v>185</v>
      </c>
      <c r="H434" s="184" t="s">
        <v>54</v>
      </c>
      <c r="I434" s="184" t="s">
        <v>55</v>
      </c>
      <c r="J434" s="184"/>
      <c r="K434" s="184" t="s">
        <v>56</v>
      </c>
      <c r="L434" s="184" t="s">
        <v>50</v>
      </c>
      <c r="M434" s="184"/>
      <c r="N434" s="184"/>
      <c r="O434" s="184"/>
      <c r="P434" s="184" t="b">
        <v>0</v>
      </c>
    </row>
    <row r="435" spans="1:16" ht="12.75">
      <c r="A435" s="184" t="str">
        <f t="shared" si="20"/>
        <v>BP-PRG-PRS-Ps-434</v>
      </c>
      <c r="B435" s="184">
        <v>434</v>
      </c>
      <c r="C435" s="184" t="str">
        <f t="shared" si="19"/>
        <v>[33C917] purge pressure - PL</v>
      </c>
      <c r="D435" s="184" t="s">
        <v>892</v>
      </c>
      <c r="E435" s="184" t="s">
        <v>893</v>
      </c>
      <c r="F435" s="184" t="s">
        <v>868</v>
      </c>
      <c r="G435" s="184" t="s">
        <v>185</v>
      </c>
      <c r="H435" s="184" t="s">
        <v>54</v>
      </c>
      <c r="I435" s="184" t="s">
        <v>55</v>
      </c>
      <c r="J435" s="184"/>
      <c r="K435" s="184" t="s">
        <v>56</v>
      </c>
      <c r="L435" s="184" t="s">
        <v>50</v>
      </c>
      <c r="M435" s="184"/>
      <c r="N435" s="184"/>
      <c r="O435" s="184"/>
      <c r="P435" s="184" t="b">
        <v>0</v>
      </c>
    </row>
    <row r="436" spans="1:16" ht="12.75">
      <c r="A436" s="184" t="str">
        <f t="shared" si="20"/>
        <v>S2J-S2H-EV-Pos-435</v>
      </c>
      <c r="B436" s="184">
        <v>435</v>
      </c>
      <c r="C436" s="184" t="str">
        <f t="shared" si="19"/>
        <v>[05C318, 05C319] S2 Umbilical Low pressure locking valve AND High Pressure Jettison Valve</v>
      </c>
      <c r="D436" s="184" t="s">
        <v>894</v>
      </c>
      <c r="E436" s="184" t="s">
        <v>895</v>
      </c>
      <c r="F436" s="184" t="s">
        <v>896</v>
      </c>
      <c r="G436" s="184" t="s">
        <v>897</v>
      </c>
      <c r="H436" s="184" t="s">
        <v>898</v>
      </c>
      <c r="I436" s="184" t="s">
        <v>48</v>
      </c>
      <c r="J436" s="184"/>
      <c r="K436" s="184" t="s">
        <v>49</v>
      </c>
      <c r="L436" s="184" t="s">
        <v>50</v>
      </c>
      <c r="M436" s="184"/>
      <c r="N436" s="184"/>
      <c r="O436" s="184"/>
      <c r="P436" s="184" t="b">
        <v>0</v>
      </c>
    </row>
    <row r="437" spans="1:16" ht="12.75">
      <c r="A437" s="184" t="str">
        <f t="shared" si="20"/>
        <v>S2J-S2H-EV-Pos-436</v>
      </c>
      <c r="B437" s="184">
        <v>436</v>
      </c>
      <c r="C437" s="184" t="str">
        <f t="shared" si="19"/>
        <v>[05C319] S2 Umbilical High pressure jettison valve</v>
      </c>
      <c r="D437" s="184" t="s">
        <v>899</v>
      </c>
      <c r="E437" s="184" t="s">
        <v>900</v>
      </c>
      <c r="F437" s="184" t="s">
        <v>896</v>
      </c>
      <c r="G437" s="184" t="s">
        <v>897</v>
      </c>
      <c r="H437" s="184" t="s">
        <v>898</v>
      </c>
      <c r="I437" s="184" t="s">
        <v>48</v>
      </c>
      <c r="J437" s="184"/>
      <c r="K437" s="184" t="s">
        <v>49</v>
      </c>
      <c r="L437" s="184" t="s">
        <v>50</v>
      </c>
      <c r="M437" s="184"/>
      <c r="N437" s="184"/>
      <c r="O437" s="184"/>
      <c r="P437" s="184" t="b">
        <v>0</v>
      </c>
    </row>
    <row r="438" spans="1:16" ht="12.75" hidden="1">
      <c r="A438" s="184" t="str">
        <f t="shared" si="20"/>
        <v>S2J-S2H-PXS-PxE-437</v>
      </c>
      <c r="B438" s="184">
        <v>437</v>
      </c>
      <c r="C438" s="184" t="str">
        <f t="shared" si="19"/>
        <v>[S2J-S2H-PXS-PxE-437] S2 Umbilical locking ram position - Extended</v>
      </c>
      <c r="D438" s="184" t="s">
        <v>901</v>
      </c>
      <c r="E438" s="184" t="s">
        <v>902</v>
      </c>
      <c r="F438" s="184" t="s">
        <v>896</v>
      </c>
      <c r="G438" s="184" t="s">
        <v>897</v>
      </c>
      <c r="H438" s="184" t="s">
        <v>485</v>
      </c>
      <c r="I438" s="184" t="s">
        <v>73</v>
      </c>
      <c r="J438" s="184"/>
      <c r="K438" s="184" t="s">
        <v>486</v>
      </c>
      <c r="L438" s="184" t="s">
        <v>50</v>
      </c>
      <c r="M438" s="184"/>
      <c r="N438" s="184"/>
      <c r="O438" s="184"/>
      <c r="P438" s="184" t="b">
        <v>0</v>
      </c>
    </row>
    <row r="439" spans="1:16" ht="12.75" hidden="1">
      <c r="A439" s="184" t="str">
        <f t="shared" si="20"/>
        <v>S2J-S2H-PXS-PxR-438</v>
      </c>
      <c r="B439" s="184">
        <v>438</v>
      </c>
      <c r="C439" s="184" t="str">
        <f t="shared" si="19"/>
        <v>[S2J-S2H-PXS-PxR-438] S2 Umbilical locking ram position - Retracted</v>
      </c>
      <c r="D439" s="184" t="s">
        <v>903</v>
      </c>
      <c r="E439" s="184" t="s">
        <v>904</v>
      </c>
      <c r="F439" s="184" t="s">
        <v>896</v>
      </c>
      <c r="G439" s="184" t="s">
        <v>897</v>
      </c>
      <c r="H439" s="184" t="s">
        <v>485</v>
      </c>
      <c r="I439" s="184" t="s">
        <v>73</v>
      </c>
      <c r="J439" s="184"/>
      <c r="K439" s="184" t="s">
        <v>494</v>
      </c>
      <c r="L439" s="184" t="s">
        <v>50</v>
      </c>
      <c r="M439" s="184"/>
      <c r="N439" s="184"/>
      <c r="O439" s="184"/>
      <c r="P439" s="184" t="b">
        <v>0</v>
      </c>
    </row>
    <row r="440" spans="1:16" ht="12.75">
      <c r="A440" s="184" t="str">
        <f t="shared" si="20"/>
        <v>VHE-BU-DVL-Pos-439</v>
      </c>
      <c r="B440" s="184">
        <v>439</v>
      </c>
      <c r="C440" s="184" t="str">
        <f t="shared" si="19"/>
        <v>[04C339  04C343] Vehicle Helium Back up - Cmd</v>
      </c>
      <c r="D440" s="184" t="s">
        <v>905</v>
      </c>
      <c r="E440" s="184" t="s">
        <v>906</v>
      </c>
      <c r="F440" s="184" t="s">
        <v>907</v>
      </c>
      <c r="G440" s="184" t="s">
        <v>111</v>
      </c>
      <c r="H440" s="184" t="s">
        <v>47</v>
      </c>
      <c r="I440" s="184" t="s">
        <v>48</v>
      </c>
      <c r="J440" s="184"/>
      <c r="K440" s="184" t="s">
        <v>49</v>
      </c>
      <c r="L440" s="184" t="s">
        <v>50</v>
      </c>
      <c r="M440" s="184"/>
      <c r="N440" s="184"/>
      <c r="O440" s="184"/>
      <c r="P440" s="184" t="b">
        <v>0</v>
      </c>
    </row>
    <row r="441" spans="1:16" ht="12.75">
      <c r="A441" s="184" t="str">
        <f t="shared" si="20"/>
        <v>VHE-BU-DVL-Pos-440</v>
      </c>
      <c r="B441" s="184">
        <v>440</v>
      </c>
      <c r="C441" s="184" t="str">
        <f t="shared" si="19"/>
        <v>[04C340  04C344] Vehicle Helium Back up - Cmd</v>
      </c>
      <c r="D441" s="184" t="s">
        <v>905</v>
      </c>
      <c r="E441" s="184" t="s">
        <v>908</v>
      </c>
      <c r="F441" s="184" t="s">
        <v>907</v>
      </c>
      <c r="G441" s="184" t="s">
        <v>111</v>
      </c>
      <c r="H441" s="184" t="s">
        <v>47</v>
      </c>
      <c r="I441" s="184" t="s">
        <v>48</v>
      </c>
      <c r="J441" s="184"/>
      <c r="K441" s="184" t="s">
        <v>49</v>
      </c>
      <c r="L441" s="184" t="s">
        <v>50</v>
      </c>
      <c r="M441" s="184"/>
      <c r="N441" s="184"/>
      <c r="O441" s="184"/>
      <c r="P441" s="184" t="b">
        <v>0</v>
      </c>
    </row>
    <row r="442" spans="1:16" ht="12.75">
      <c r="A442" s="184" t="str">
        <f t="shared" si="20"/>
        <v>VPM-S1-PRS-Ps-441</v>
      </c>
      <c r="B442" s="184">
        <v>441</v>
      </c>
      <c r="C442" s="184" t="str">
        <f t="shared" si="19"/>
        <v>[] S1 LOX tank ullage pressure</v>
      </c>
      <c r="D442" s="184" t="s">
        <v>909</v>
      </c>
      <c r="E442" s="184"/>
      <c r="F442" s="184" t="s">
        <v>910</v>
      </c>
      <c r="G442" s="184" t="s">
        <v>911</v>
      </c>
      <c r="H442" s="184" t="s">
        <v>54</v>
      </c>
      <c r="I442" s="184" t="s">
        <v>55</v>
      </c>
      <c r="J442" s="184"/>
      <c r="K442" s="184" t="s">
        <v>56</v>
      </c>
      <c r="L442" s="184" t="s">
        <v>57</v>
      </c>
      <c r="M442" s="184"/>
      <c r="N442" s="184"/>
      <c r="O442" s="184"/>
      <c r="P442" s="184" t="b">
        <v>0</v>
      </c>
    </row>
    <row r="443" spans="1:16" ht="12.75">
      <c r="A443" s="184" t="str">
        <f t="shared" si="20"/>
        <v>VPM-S2-PRS-Ps-442</v>
      </c>
      <c r="B443" s="184">
        <v>442</v>
      </c>
      <c r="C443" s="184" t="str">
        <f t="shared" si="19"/>
        <v>[] S2 LOX tank ullage pressure</v>
      </c>
      <c r="D443" s="184" t="s">
        <v>912</v>
      </c>
      <c r="E443" s="184"/>
      <c r="F443" s="184" t="s">
        <v>910</v>
      </c>
      <c r="G443" s="184" t="s">
        <v>913</v>
      </c>
      <c r="H443" s="184" t="s">
        <v>54</v>
      </c>
      <c r="I443" s="184" t="s">
        <v>55</v>
      </c>
      <c r="J443" s="184"/>
      <c r="K443" s="184" t="s">
        <v>56</v>
      </c>
      <c r="L443" s="184" t="s">
        <v>57</v>
      </c>
      <c r="M443" s="184"/>
      <c r="N443" s="184"/>
      <c r="O443" s="184"/>
      <c r="P443" s="184" t="b">
        <v>0</v>
      </c>
    </row>
    <row r="444" spans="1:16" ht="12.75">
      <c r="A444" s="184" t="str">
        <f t="shared" si="20"/>
        <v>WD-STR-PRS-Ps-443</v>
      </c>
      <c r="B444" s="184">
        <v>443</v>
      </c>
      <c r="C444" s="184" t="str">
        <f t="shared" si="19"/>
        <v>[41C902] Water deluge supply pressure</v>
      </c>
      <c r="D444" s="184" t="s">
        <v>914</v>
      </c>
      <c r="E444" s="184" t="s">
        <v>915</v>
      </c>
      <c r="F444" s="184" t="s">
        <v>916</v>
      </c>
      <c r="G444" s="184" t="s">
        <v>100</v>
      </c>
      <c r="H444" s="184" t="s">
        <v>54</v>
      </c>
      <c r="I444" s="184" t="s">
        <v>55</v>
      </c>
      <c r="J444" s="184"/>
      <c r="K444" s="184" t="s">
        <v>56</v>
      </c>
      <c r="L444" s="184" t="s">
        <v>57</v>
      </c>
      <c r="M444" s="184"/>
      <c r="N444" s="184"/>
      <c r="O444" s="184"/>
      <c r="P444" s="184" t="b">
        <v>0</v>
      </c>
    </row>
    <row r="445" spans="1:16" ht="12.75">
      <c r="A445" s="184" t="str">
        <f t="shared" si="20"/>
        <v>WD-FLC-PRS-Ps-444</v>
      </c>
      <c r="B445" s="184">
        <v>444</v>
      </c>
      <c r="C445" s="184" t="str">
        <f t="shared" si="19"/>
        <v>[41C903] Water deluge flow pressure 1</v>
      </c>
      <c r="D445" s="184" t="s">
        <v>917</v>
      </c>
      <c r="E445" s="184" t="s">
        <v>918</v>
      </c>
      <c r="F445" s="184" t="s">
        <v>916</v>
      </c>
      <c r="G445" s="184" t="s">
        <v>919</v>
      </c>
      <c r="H445" s="184" t="s">
        <v>54</v>
      </c>
      <c r="I445" s="184" t="s">
        <v>55</v>
      </c>
      <c r="J445" s="184"/>
      <c r="K445" s="184" t="s">
        <v>56</v>
      </c>
      <c r="L445" s="184" t="s">
        <v>57</v>
      </c>
      <c r="M445" s="184"/>
      <c r="N445" s="184"/>
      <c r="O445" s="184"/>
      <c r="P445" s="184" t="b">
        <v>0</v>
      </c>
    </row>
    <row r="446" spans="1:16" ht="12.75" hidden="1">
      <c r="A446" s="184" t="str">
        <f t="shared" si="20"/>
        <v>WD-MN-PVL-B-445</v>
      </c>
      <c r="B446" s="184">
        <v>445</v>
      </c>
      <c r="C446" s="184" t="str">
        <f t="shared" si="19"/>
        <v>[41C303.2] Water deluge flow control valve - Cmd</v>
      </c>
      <c r="D446" s="184" t="s">
        <v>920</v>
      </c>
      <c r="E446" s="184" t="s">
        <v>921</v>
      </c>
      <c r="F446" s="184" t="s">
        <v>916</v>
      </c>
      <c r="G446" s="184" t="s">
        <v>103</v>
      </c>
      <c r="H446" s="184" t="s">
        <v>246</v>
      </c>
      <c r="I446" s="184" t="s">
        <v>247</v>
      </c>
      <c r="J446" s="184"/>
      <c r="K446" s="184" t="s">
        <v>104</v>
      </c>
      <c r="L446" s="184" t="s">
        <v>50</v>
      </c>
      <c r="M446" s="184"/>
      <c r="N446" s="184"/>
      <c r="O446" s="184"/>
      <c r="P446" s="184" t="b">
        <v>0</v>
      </c>
    </row>
    <row r="447" spans="1:16" ht="12.75">
      <c r="A447" s="184" t="str">
        <f t="shared" si="20"/>
        <v>WD-FLC-PRS-Ps-446</v>
      </c>
      <c r="B447" s="184">
        <v>446</v>
      </c>
      <c r="C447" s="184" t="str">
        <f t="shared" si="19"/>
        <v>[41C904] Water deluge flow pressure 2</v>
      </c>
      <c r="D447" s="184" t="s">
        <v>922</v>
      </c>
      <c r="E447" s="184" t="s">
        <v>923</v>
      </c>
      <c r="F447" s="184" t="s">
        <v>916</v>
      </c>
      <c r="G447" s="184" t="s">
        <v>919</v>
      </c>
      <c r="H447" s="184" t="s">
        <v>54</v>
      </c>
      <c r="I447" s="184" t="s">
        <v>55</v>
      </c>
      <c r="J447" s="184"/>
      <c r="K447" s="184" t="s">
        <v>56</v>
      </c>
      <c r="L447" s="184" t="s">
        <v>57</v>
      </c>
      <c r="M447" s="184"/>
      <c r="N447" s="184"/>
      <c r="O447" s="184"/>
      <c r="P447" s="184" t="b">
        <v>0</v>
      </c>
    </row>
    <row r="448" spans="1:16" ht="12.75" hidden="1">
      <c r="A448" s="184" t="str">
        <f t="shared" si="20"/>
        <v>WD-FTC-DVL-B-447</v>
      </c>
      <c r="B448" s="184">
        <v>447</v>
      </c>
      <c r="C448" s="184" t="str">
        <f t="shared" si="19"/>
        <v>[41C305.2] Flame Trence Curtain Valve Controller</v>
      </c>
      <c r="D448" s="184" t="s">
        <v>924</v>
      </c>
      <c r="E448" s="184" t="s">
        <v>925</v>
      </c>
      <c r="F448" s="184" t="s">
        <v>916</v>
      </c>
      <c r="G448" s="184" t="s">
        <v>926</v>
      </c>
      <c r="H448" s="184" t="s">
        <v>47</v>
      </c>
      <c r="I448" s="184" t="s">
        <v>48</v>
      </c>
      <c r="J448" s="184"/>
      <c r="K448" s="184" t="s">
        <v>104</v>
      </c>
      <c r="L448" s="184" t="s">
        <v>50</v>
      </c>
      <c r="M448" s="184"/>
      <c r="N448" s="184"/>
      <c r="O448" s="184"/>
      <c r="P448" s="184" t="b">
        <v>0</v>
      </c>
    </row>
    <row r="449" spans="1:16" ht="12.75">
      <c r="A449" s="184" t="str">
        <f t="shared" si="20"/>
        <v>WD-FLC-PRS-Ps-448</v>
      </c>
      <c r="B449" s="184">
        <v>448</v>
      </c>
      <c r="C449" s="184" t="str">
        <f t="shared" si="19"/>
        <v>[41C905] Water deluge flow pressure 3</v>
      </c>
      <c r="D449" s="184" t="s">
        <v>927</v>
      </c>
      <c r="E449" s="184" t="s">
        <v>928</v>
      </c>
      <c r="F449" s="184" t="s">
        <v>916</v>
      </c>
      <c r="G449" s="184" t="s">
        <v>919</v>
      </c>
      <c r="H449" s="184" t="s">
        <v>54</v>
      </c>
      <c r="I449" s="184" t="s">
        <v>55</v>
      </c>
      <c r="J449" s="184"/>
      <c r="K449" s="184" t="s">
        <v>56</v>
      </c>
      <c r="L449" s="184" t="s">
        <v>57</v>
      </c>
      <c r="M449" s="184"/>
      <c r="N449" s="184"/>
      <c r="O449" s="184"/>
      <c r="P449" s="184" t="b">
        <v>0</v>
      </c>
    </row>
    <row r="450" spans="1:16" ht="12.75" hidden="1">
      <c r="A450" s="184" t="str">
        <f t="shared" si="20"/>
        <v>WD-RB-DVL-B-449</v>
      </c>
      <c r="B450" s="184">
        <v>449</v>
      </c>
      <c r="C450" s="184" t="str">
        <f t="shared" si="19"/>
        <v>[41C306] North South Side Rainbirds Valve Controller</v>
      </c>
      <c r="D450" s="184" t="s">
        <v>929</v>
      </c>
      <c r="E450" s="184" t="s">
        <v>930</v>
      </c>
      <c r="F450" s="184" t="s">
        <v>916</v>
      </c>
      <c r="G450" s="184" t="s">
        <v>931</v>
      </c>
      <c r="H450" s="184" t="s">
        <v>47</v>
      </c>
      <c r="I450" s="184" t="s">
        <v>48</v>
      </c>
      <c r="J450" s="184"/>
      <c r="K450" s="184" t="s">
        <v>104</v>
      </c>
      <c r="L450" s="184" t="s">
        <v>50</v>
      </c>
      <c r="M450" s="184"/>
      <c r="N450" s="184"/>
      <c r="O450" s="184"/>
      <c r="P450" s="184" t="b">
        <v>0</v>
      </c>
    </row>
    <row r="451" spans="1:16" ht="12.75" hidden="1">
      <c r="A451" s="184" t="str">
        <f t="shared" si="20"/>
        <v>WD-HR-DVL-B-450</v>
      </c>
      <c r="B451" s="184">
        <v>450</v>
      </c>
      <c r="C451" s="184" t="str">
        <f t="shared" si="19"/>
        <v>[41C307.2] ASR Bleed Discrete Ball Valve Controller</v>
      </c>
      <c r="D451" s="184" t="s">
        <v>932</v>
      </c>
      <c r="E451" s="184" t="s">
        <v>933</v>
      </c>
      <c r="F451" s="184" t="s">
        <v>916</v>
      </c>
      <c r="G451" s="184" t="s">
        <v>934</v>
      </c>
      <c r="H451" s="184" t="s">
        <v>47</v>
      </c>
      <c r="I451" s="184" t="s">
        <v>48</v>
      </c>
      <c r="J451" s="184"/>
      <c r="K451" s="184" t="s">
        <v>104</v>
      </c>
      <c r="L451" s="184" t="s">
        <v>50</v>
      </c>
      <c r="M451" s="184"/>
      <c r="N451" s="184"/>
      <c r="O451" s="184"/>
      <c r="P451" s="184" t="b">
        <v>0</v>
      </c>
    </row>
    <row r="452" spans="1:16" ht="12.75" hidden="1">
      <c r="A452" s="184" t="str">
        <f t="shared" si="20"/>
        <v>WD-AUX-DVL-B-451</v>
      </c>
      <c r="B452" s="184">
        <v>451</v>
      </c>
      <c r="C452" s="184" t="str">
        <f t="shared" si="19"/>
        <v>[41C308] Ring Discrete Ball Valve Controller</v>
      </c>
      <c r="D452" s="184" t="s">
        <v>935</v>
      </c>
      <c r="E452" s="184" t="s">
        <v>936</v>
      </c>
      <c r="F452" s="184" t="s">
        <v>916</v>
      </c>
      <c r="G452" s="184" t="s">
        <v>282</v>
      </c>
      <c r="H452" s="184" t="s">
        <v>47</v>
      </c>
      <c r="I452" s="184" t="s">
        <v>48</v>
      </c>
      <c r="J452" s="184"/>
      <c r="K452" s="184" t="s">
        <v>104</v>
      </c>
      <c r="L452" s="184" t="s">
        <v>50</v>
      </c>
      <c r="M452" s="184"/>
      <c r="N452" s="184"/>
      <c r="O452" s="184"/>
      <c r="P452" s="184" t="b">
        <v>0</v>
      </c>
    </row>
    <row r="453" spans="1:16" ht="12.75" hidden="1">
      <c r="A453" s="184" t="str">
        <f t="shared" si="20"/>
        <v>WD-RB-DVL-B-452</v>
      </c>
      <c r="B453" s="184">
        <v>452</v>
      </c>
      <c r="C453" s="184" t="str">
        <f t="shared" si="19"/>
        <v>[41C309] South North Side Rainbirds Valve Controller</v>
      </c>
      <c r="D453" s="184" t="s">
        <v>937</v>
      </c>
      <c r="E453" s="184" t="s">
        <v>938</v>
      </c>
      <c r="F453" s="184" t="s">
        <v>916</v>
      </c>
      <c r="G453" s="184" t="s">
        <v>931</v>
      </c>
      <c r="H453" s="184" t="s">
        <v>47</v>
      </c>
      <c r="I453" s="184" t="s">
        <v>48</v>
      </c>
      <c r="J453" s="184"/>
      <c r="K453" s="184" t="s">
        <v>104</v>
      </c>
      <c r="L453" s="184" t="s">
        <v>50</v>
      </c>
      <c r="M453" s="184"/>
      <c r="N453" s="184"/>
      <c r="O453" s="184"/>
      <c r="P453" s="184" t="b">
        <v>0</v>
      </c>
    </row>
    <row r="454" spans="1:16" ht="12.75">
      <c r="A454" s="184" t="str">
        <f t="shared" si="20"/>
        <v>LOX-LG-HYG-WC-453</v>
      </c>
      <c r="B454" s="184">
        <v>453</v>
      </c>
      <c r="C454" s="184" t="str">
        <f t="shared" si="19"/>
        <v>[02C702] LO2 Flow Control Skid Outlet Vent Line Moisture Sensor</v>
      </c>
      <c r="D454" s="184" t="s">
        <v>939</v>
      </c>
      <c r="E454" s="184" t="s">
        <v>940</v>
      </c>
      <c r="F454" s="184" t="s">
        <v>674</v>
      </c>
      <c r="G454" s="184" t="s">
        <v>941</v>
      </c>
      <c r="H454" s="184" t="s">
        <v>942</v>
      </c>
      <c r="I454" s="184" t="s">
        <v>677</v>
      </c>
      <c r="J454" s="184"/>
      <c r="K454" s="184" t="s">
        <v>943</v>
      </c>
      <c r="L454" s="184" t="s">
        <v>944</v>
      </c>
      <c r="M454" s="184"/>
      <c r="N454" s="184"/>
      <c r="O454" s="184"/>
      <c r="P454" s="184" t="b">
        <v>0</v>
      </c>
    </row>
    <row r="455" spans="1:16" s="151" customFormat="1" ht="12.75" hidden="1">
      <c r="A455" s="184"/>
      <c r="B455" s="184">
        <v>454</v>
      </c>
      <c r="C455" s="184" t="str">
        <f t="shared" si="19"/>
        <v xml:space="preserve">[] </v>
      </c>
      <c r="D455" s="184"/>
      <c r="E455" s="184"/>
      <c r="F455" s="184"/>
      <c r="G455" s="184"/>
      <c r="H455" s="184"/>
      <c r="I455" s="184"/>
      <c r="J455" s="184"/>
      <c r="K455" s="184"/>
      <c r="L455" s="184"/>
      <c r="M455" s="184"/>
      <c r="N455" s="184"/>
      <c r="O455" s="184"/>
      <c r="P455" s="184"/>
    </row>
    <row r="456" spans="1:16" s="151" customFormat="1" ht="12.75" hidden="1">
      <c r="A456" s="184"/>
      <c r="B456" s="184">
        <v>455</v>
      </c>
      <c r="C456" s="184" t="str">
        <f t="shared" si="19"/>
        <v xml:space="preserve">[] </v>
      </c>
      <c r="D456" s="184"/>
      <c r="E456" s="184"/>
      <c r="F456" s="184"/>
      <c r="G456" s="184"/>
      <c r="H456" s="184"/>
      <c r="I456" s="184"/>
      <c r="J456" s="184"/>
      <c r="K456" s="184"/>
      <c r="L456" s="184"/>
      <c r="M456" s="184"/>
      <c r="N456" s="184"/>
      <c r="O456" s="184"/>
      <c r="P456" s="184"/>
    </row>
    <row r="457" spans="1:16" ht="12.75">
      <c r="A457" s="184" t="str">
        <f t="shared" si="20"/>
        <v>LOX-LT1-PRS-Ps-456</v>
      </c>
      <c r="B457" s="184">
        <v>456</v>
      </c>
      <c r="C457" s="184" t="str">
        <f t="shared" si="19"/>
        <v>[02C930] LOX tank 1 ullage pressure</v>
      </c>
      <c r="D457" s="184" t="s">
        <v>945</v>
      </c>
      <c r="E457" s="184" t="s">
        <v>946</v>
      </c>
      <c r="F457" s="184" t="s">
        <v>674</v>
      </c>
      <c r="G457" s="184" t="s">
        <v>689</v>
      </c>
      <c r="H457" s="184" t="s">
        <v>54</v>
      </c>
      <c r="I457" s="184" t="s">
        <v>55</v>
      </c>
      <c r="J457" s="184"/>
      <c r="K457" s="184" t="s">
        <v>56</v>
      </c>
      <c r="L457" s="184" t="s">
        <v>330</v>
      </c>
      <c r="M457" s="184"/>
      <c r="N457" s="184"/>
      <c r="O457" s="184"/>
      <c r="P457" s="184" t="b">
        <v>0</v>
      </c>
    </row>
    <row r="458" spans="1:16" ht="12.75">
      <c r="A458" s="184" t="str">
        <f t="shared" si="20"/>
        <v>LOX-LT2-PRS-Ps-457</v>
      </c>
      <c r="B458" s="184">
        <v>457</v>
      </c>
      <c r="C458" s="184" t="str">
        <f t="shared" ref="C458:C521" si="21">_xlfn.TEXTJOIN("", TRUE, "[", E458,"] ",D458)</f>
        <v>[02C931] LOX tank 2 ullage pressure</v>
      </c>
      <c r="D458" s="184" t="s">
        <v>947</v>
      </c>
      <c r="E458" s="184" t="s">
        <v>948</v>
      </c>
      <c r="F458" s="184" t="s">
        <v>674</v>
      </c>
      <c r="G458" s="184" t="s">
        <v>684</v>
      </c>
      <c r="H458" s="184" t="s">
        <v>54</v>
      </c>
      <c r="I458" s="184" t="s">
        <v>55</v>
      </c>
      <c r="J458" s="184"/>
      <c r="K458" s="184" t="s">
        <v>56</v>
      </c>
      <c r="L458" s="184" t="s">
        <v>330</v>
      </c>
      <c r="M458" s="184"/>
      <c r="N458" s="184"/>
      <c r="O458" s="184"/>
      <c r="P458" s="184" t="b">
        <v>0</v>
      </c>
    </row>
    <row r="459" spans="1:16" ht="12.75" hidden="1">
      <c r="A459" s="184" t="str">
        <f t="shared" si="20"/>
        <v>LOX-LT1-LEV-LVL-458</v>
      </c>
      <c r="B459" s="184">
        <v>458</v>
      </c>
      <c r="C459" s="184" t="str">
        <f t="shared" si="21"/>
        <v>[02C932] LOX tank 1 level sensor</v>
      </c>
      <c r="D459" s="184" t="s">
        <v>949</v>
      </c>
      <c r="E459" s="184" t="s">
        <v>950</v>
      </c>
      <c r="F459" s="184" t="s">
        <v>674</v>
      </c>
      <c r="G459" s="184" t="s">
        <v>689</v>
      </c>
      <c r="H459" s="184" t="s">
        <v>554</v>
      </c>
      <c r="I459" s="184" t="s">
        <v>55</v>
      </c>
      <c r="J459" s="184"/>
      <c r="K459" s="184" t="s">
        <v>435</v>
      </c>
      <c r="L459" s="184"/>
      <c r="M459" s="184"/>
      <c r="N459" s="184"/>
      <c r="O459" s="184"/>
      <c r="P459" s="184" t="b">
        <v>0</v>
      </c>
    </row>
    <row r="460" spans="1:16" ht="12.75" hidden="1">
      <c r="A460" s="184" t="str">
        <f t="shared" si="20"/>
        <v>LOX-LT2-LEV-LVL-459</v>
      </c>
      <c r="B460" s="184">
        <v>459</v>
      </c>
      <c r="C460" s="184" t="str">
        <f t="shared" si="21"/>
        <v>[02C933] LOX tank 2 level sensor</v>
      </c>
      <c r="D460" s="184" t="s">
        <v>951</v>
      </c>
      <c r="E460" s="184" t="s">
        <v>952</v>
      </c>
      <c r="F460" s="184" t="s">
        <v>674</v>
      </c>
      <c r="G460" s="184" t="s">
        <v>684</v>
      </c>
      <c r="H460" s="184" t="s">
        <v>554</v>
      </c>
      <c r="I460" s="184" t="s">
        <v>55</v>
      </c>
      <c r="J460" s="184"/>
      <c r="K460" s="184" t="s">
        <v>435</v>
      </c>
      <c r="L460" s="184"/>
      <c r="M460" s="184"/>
      <c r="N460" s="184"/>
      <c r="O460" s="184"/>
      <c r="P460" s="184" t="b">
        <v>0</v>
      </c>
    </row>
    <row r="461" spans="1:16" ht="12.75">
      <c r="A461" s="184" t="str">
        <f t="shared" si="20"/>
        <v>LOX-LS1-RTD-Ts-460</v>
      </c>
      <c r="B461" s="184">
        <v>460</v>
      </c>
      <c r="C461" s="184" t="str">
        <f t="shared" si="21"/>
        <v>[02C956] Skid 1 Return Vent Temp Sensor</v>
      </c>
      <c r="D461" s="184" t="s">
        <v>953</v>
      </c>
      <c r="E461" s="184" t="s">
        <v>954</v>
      </c>
      <c r="F461" s="184" t="s">
        <v>674</v>
      </c>
      <c r="G461" s="184" t="s">
        <v>675</v>
      </c>
      <c r="H461" s="184" t="s">
        <v>283</v>
      </c>
      <c r="I461" s="184" t="s">
        <v>284</v>
      </c>
      <c r="J461" s="184"/>
      <c r="K461" s="184" t="s">
        <v>231</v>
      </c>
      <c r="L461" s="184" t="s">
        <v>232</v>
      </c>
      <c r="M461" s="184"/>
      <c r="N461" s="184"/>
      <c r="O461" s="184"/>
      <c r="P461" s="184" t="b">
        <v>0</v>
      </c>
    </row>
    <row r="462" spans="1:16" ht="12.75">
      <c r="A462" s="184" t="str">
        <f t="shared" si="20"/>
        <v>LOX-LS2-RTD-Ts-461</v>
      </c>
      <c r="B462" s="184">
        <v>461</v>
      </c>
      <c r="C462" s="184" t="str">
        <f t="shared" si="21"/>
        <v>[02C957] Skid 2 Return Vent Temp Sensor</v>
      </c>
      <c r="D462" s="184" t="s">
        <v>955</v>
      </c>
      <c r="E462" s="184" t="s">
        <v>956</v>
      </c>
      <c r="F462" s="184" t="s">
        <v>674</v>
      </c>
      <c r="G462" s="184" t="s">
        <v>957</v>
      </c>
      <c r="H462" s="184" t="s">
        <v>283</v>
      </c>
      <c r="I462" s="184" t="s">
        <v>284</v>
      </c>
      <c r="J462" s="184"/>
      <c r="K462" s="184" t="s">
        <v>231</v>
      </c>
      <c r="L462" s="184" t="s">
        <v>232</v>
      </c>
      <c r="M462" s="184"/>
      <c r="N462" s="184"/>
      <c r="O462" s="184"/>
      <c r="P462" s="184" t="b">
        <v>0</v>
      </c>
    </row>
    <row r="463" spans="1:16" ht="12.75">
      <c r="A463" s="184" t="str">
        <f t="shared" si="20"/>
        <v>LOX-LD-RTD-Ts-462</v>
      </c>
      <c r="B463" s="184">
        <v>462</v>
      </c>
      <c r="C463" s="184" t="str">
        <f t="shared" si="21"/>
        <v>[02C953] LOX return junction temperature sensor</v>
      </c>
      <c r="D463" s="184" t="s">
        <v>958</v>
      </c>
      <c r="E463" s="184" t="s">
        <v>959</v>
      </c>
      <c r="F463" s="184" t="s">
        <v>674</v>
      </c>
      <c r="G463" s="184" t="s">
        <v>960</v>
      </c>
      <c r="H463" s="184" t="s">
        <v>283</v>
      </c>
      <c r="I463" s="184" t="s">
        <v>284</v>
      </c>
      <c r="J463" s="184"/>
      <c r="K463" s="184" t="s">
        <v>231</v>
      </c>
      <c r="L463" s="184" t="s">
        <v>232</v>
      </c>
      <c r="M463" s="184"/>
      <c r="N463" s="184"/>
      <c r="O463" s="184"/>
      <c r="P463" s="184" t="b">
        <v>0</v>
      </c>
    </row>
    <row r="464" spans="1:16" ht="12.75">
      <c r="A464" s="184" t="str">
        <f t="shared" si="20"/>
        <v>LOX-LG-RTD-Ts-463</v>
      </c>
      <c r="B464" s="184">
        <v>463</v>
      </c>
      <c r="C464" s="184" t="str">
        <f t="shared" si="21"/>
        <v>[02C954] LOX fill junction temperature sensor</v>
      </c>
      <c r="D464" s="184" t="s">
        <v>961</v>
      </c>
      <c r="E464" s="184" t="s">
        <v>962</v>
      </c>
      <c r="F464" s="184" t="s">
        <v>674</v>
      </c>
      <c r="G464" s="184" t="s">
        <v>941</v>
      </c>
      <c r="H464" s="184" t="s">
        <v>283</v>
      </c>
      <c r="I464" s="184" t="s">
        <v>284</v>
      </c>
      <c r="J464" s="184"/>
      <c r="K464" s="184" t="s">
        <v>231</v>
      </c>
      <c r="L464" s="184" t="s">
        <v>232</v>
      </c>
      <c r="M464" s="184"/>
      <c r="N464" s="184"/>
      <c r="O464" s="184"/>
      <c r="P464" s="184" t="b">
        <v>0</v>
      </c>
    </row>
    <row r="465" spans="1:16" ht="12.75">
      <c r="A465" s="184" t="str">
        <f t="shared" si="20"/>
        <v>LOX-S2-RTD-Ts-464</v>
      </c>
      <c r="B465" s="184">
        <v>464</v>
      </c>
      <c r="C465" s="184" t="str">
        <f t="shared" si="21"/>
        <v>[02C955] LOX stage 2 fill temperature sensor</v>
      </c>
      <c r="D465" s="184" t="s">
        <v>963</v>
      </c>
      <c r="E465" s="184" t="s">
        <v>964</v>
      </c>
      <c r="F465" s="184" t="s">
        <v>674</v>
      </c>
      <c r="G465" s="184" t="s">
        <v>913</v>
      </c>
      <c r="H465" s="184" t="s">
        <v>283</v>
      </c>
      <c r="I465" s="184" t="s">
        <v>284</v>
      </c>
      <c r="J465" s="184"/>
      <c r="K465" s="184" t="s">
        <v>231</v>
      </c>
      <c r="L465" s="184" t="s">
        <v>232</v>
      </c>
      <c r="M465" s="184"/>
      <c r="N465" s="184"/>
      <c r="O465" s="184"/>
      <c r="P465" s="184" t="b">
        <v>0</v>
      </c>
    </row>
    <row r="466" spans="1:16" s="151" customFormat="1" ht="12.75" hidden="1">
      <c r="A466" s="184"/>
      <c r="B466" s="184">
        <v>465</v>
      </c>
      <c r="C466" s="184" t="str">
        <f t="shared" si="21"/>
        <v xml:space="preserve">[] </v>
      </c>
      <c r="D466" s="184"/>
      <c r="E466" s="184"/>
      <c r="F466" s="184"/>
      <c r="G466" s="184"/>
      <c r="H466" s="184"/>
      <c r="I466" s="184"/>
      <c r="J466" s="184"/>
      <c r="K466" s="184"/>
      <c r="L466" s="184"/>
      <c r="M466" s="184"/>
      <c r="N466" s="184"/>
      <c r="O466" s="184"/>
      <c r="P466" s="184"/>
    </row>
    <row r="467" spans="1:16" ht="12.75">
      <c r="A467" s="184" t="str">
        <f t="shared" si="20"/>
        <v>HVAC-FAR-FM-MFs-466</v>
      </c>
      <c r="B467" s="184">
        <v>466</v>
      </c>
      <c r="C467" s="184" t="str">
        <f t="shared" si="21"/>
        <v>[05C708] Fairing umbilical flow rate sensor</v>
      </c>
      <c r="D467" s="184" t="s">
        <v>965</v>
      </c>
      <c r="E467" s="184" t="s">
        <v>966</v>
      </c>
      <c r="F467" s="184" t="s">
        <v>244</v>
      </c>
      <c r="G467" s="184" t="s">
        <v>245</v>
      </c>
      <c r="H467" s="184" t="s">
        <v>676</v>
      </c>
      <c r="I467" s="184" t="s">
        <v>55</v>
      </c>
      <c r="J467" s="184"/>
      <c r="K467" s="184" t="s">
        <v>678</v>
      </c>
      <c r="L467" s="184" t="s">
        <v>679</v>
      </c>
      <c r="M467" s="184"/>
      <c r="N467" s="184"/>
      <c r="O467" s="184"/>
      <c r="P467" s="184" t="b">
        <v>0</v>
      </c>
    </row>
    <row r="468" spans="1:16" ht="12.75">
      <c r="A468" s="184" t="str">
        <f t="shared" si="20"/>
        <v>HVAC-IS2-FM-MFs-467</v>
      </c>
      <c r="B468" s="184">
        <v>467</v>
      </c>
      <c r="C468" s="184" t="str">
        <f t="shared" si="21"/>
        <v>[05C709] Interstage 2 flow rate sensor</v>
      </c>
      <c r="D468" s="184" t="s">
        <v>967</v>
      </c>
      <c r="E468" s="184" t="s">
        <v>968</v>
      </c>
      <c r="F468" s="184" t="s">
        <v>244</v>
      </c>
      <c r="G468" s="184" t="s">
        <v>251</v>
      </c>
      <c r="H468" s="184" t="s">
        <v>676</v>
      </c>
      <c r="I468" s="184" t="s">
        <v>55</v>
      </c>
      <c r="J468" s="184"/>
      <c r="K468" s="184" t="s">
        <v>678</v>
      </c>
      <c r="L468" s="184" t="s">
        <v>679</v>
      </c>
      <c r="M468" s="184"/>
      <c r="N468" s="184"/>
      <c r="O468" s="184"/>
      <c r="P468" s="184" t="b">
        <v>0</v>
      </c>
    </row>
    <row r="469" spans="1:16" ht="12.75">
      <c r="A469" s="184" t="str">
        <f t="shared" si="20"/>
        <v>HVAC-IS1-FM-MFs-468</v>
      </c>
      <c r="B469" s="184">
        <v>468</v>
      </c>
      <c r="C469" s="184" t="str">
        <f t="shared" si="21"/>
        <v>[05C710] Interstage 1 flow rate sensor</v>
      </c>
      <c r="D469" s="184" t="s">
        <v>969</v>
      </c>
      <c r="E469" s="184" t="s">
        <v>970</v>
      </c>
      <c r="F469" s="184" t="s">
        <v>244</v>
      </c>
      <c r="G469" s="184" t="s">
        <v>253</v>
      </c>
      <c r="H469" s="184" t="s">
        <v>676</v>
      </c>
      <c r="I469" s="184" t="s">
        <v>55</v>
      </c>
      <c r="J469" s="184"/>
      <c r="K469" s="184" t="s">
        <v>678</v>
      </c>
      <c r="L469" s="184" t="s">
        <v>679</v>
      </c>
      <c r="M469" s="184"/>
      <c r="N469" s="184"/>
      <c r="O469" s="184"/>
      <c r="P469" s="184" t="b">
        <v>0</v>
      </c>
    </row>
    <row r="470" spans="1:16" ht="12.75">
      <c r="A470" s="184" t="str">
        <f t="shared" si="20"/>
        <v>HVAC-S1-FM-MFs-469</v>
      </c>
      <c r="B470" s="184">
        <v>469</v>
      </c>
      <c r="C470" s="184" t="str">
        <f t="shared" si="21"/>
        <v>[05C711] Powerpack flow rate sensor</v>
      </c>
      <c r="D470" s="184" t="s">
        <v>971</v>
      </c>
      <c r="E470" s="184" t="s">
        <v>972</v>
      </c>
      <c r="F470" s="184" t="s">
        <v>244</v>
      </c>
      <c r="G470" s="184" t="s">
        <v>911</v>
      </c>
      <c r="H470" s="184" t="s">
        <v>676</v>
      </c>
      <c r="I470" s="184" t="s">
        <v>55</v>
      </c>
      <c r="J470" s="184"/>
      <c r="K470" s="184" t="s">
        <v>678</v>
      </c>
      <c r="L470" s="184" t="s">
        <v>679</v>
      </c>
      <c r="M470" s="184"/>
      <c r="N470" s="184"/>
      <c r="O470" s="184"/>
      <c r="P470" s="184" t="b">
        <v>0</v>
      </c>
    </row>
    <row r="471" spans="1:16" ht="12.75" hidden="1">
      <c r="A471" s="184" t="str">
        <f t="shared" si="20"/>
        <v>HVAC-S1-HTR-ST-470</v>
      </c>
      <c r="B471" s="184">
        <v>470</v>
      </c>
      <c r="C471" s="184" t="str">
        <f t="shared" si="21"/>
        <v>[HVAC-S1-HTR-ST-470] Heater 1 Enable stage 1 (110V = Enabled)</v>
      </c>
      <c r="D471" s="184" t="s">
        <v>973</v>
      </c>
      <c r="E471" s="184" t="s">
        <v>974</v>
      </c>
      <c r="F471" s="184" t="s">
        <v>244</v>
      </c>
      <c r="G471" s="184" t="s">
        <v>911</v>
      </c>
      <c r="H471" s="184" t="s">
        <v>975</v>
      </c>
      <c r="I471" s="184" t="s">
        <v>48</v>
      </c>
      <c r="J471" s="184"/>
      <c r="K471" s="184" t="s">
        <v>74</v>
      </c>
      <c r="L471" s="184" t="s">
        <v>50</v>
      </c>
      <c r="M471" s="184"/>
      <c r="N471" s="184"/>
      <c r="O471" s="184"/>
      <c r="P471" s="184" t="b">
        <v>0</v>
      </c>
    </row>
    <row r="472" spans="1:16" ht="12.75" hidden="1">
      <c r="A472" s="184" t="str">
        <f t="shared" si="20"/>
        <v>HVAC-S1-HTR-ST-471</v>
      </c>
      <c r="B472" s="184">
        <v>471</v>
      </c>
      <c r="C472" s="184" t="str">
        <f t="shared" si="21"/>
        <v>[HVAC-S1-HTR-ST-471] Heater 1 Enable stage 2 (110V = Enabled)</v>
      </c>
      <c r="D472" s="184" t="s">
        <v>976</v>
      </c>
      <c r="E472" s="184" t="s">
        <v>977</v>
      </c>
      <c r="F472" s="184" t="s">
        <v>244</v>
      </c>
      <c r="G472" s="184" t="s">
        <v>911</v>
      </c>
      <c r="H472" s="184" t="s">
        <v>975</v>
      </c>
      <c r="I472" s="184" t="s">
        <v>48</v>
      </c>
      <c r="J472" s="184"/>
      <c r="K472" s="184" t="s">
        <v>74</v>
      </c>
      <c r="L472" s="184" t="s">
        <v>50</v>
      </c>
      <c r="M472" s="184"/>
      <c r="N472" s="184"/>
      <c r="O472" s="184"/>
      <c r="P472" s="184" t="b">
        <v>0</v>
      </c>
    </row>
    <row r="473" spans="1:16" ht="12.75" hidden="1">
      <c r="A473" s="184" t="str">
        <f t="shared" si="20"/>
        <v>HVAC-S1-HTR-ST-472</v>
      </c>
      <c r="B473" s="184">
        <v>472</v>
      </c>
      <c r="C473" s="184" t="str">
        <f t="shared" si="21"/>
        <v>[HVAC-S1-HTR-ST-472] Temp Setpoint 4-20mA (0-100 degrees C)</v>
      </c>
      <c r="D473" s="184" t="s">
        <v>978</v>
      </c>
      <c r="E473" s="184" t="s">
        <v>979</v>
      </c>
      <c r="F473" s="184" t="s">
        <v>244</v>
      </c>
      <c r="G473" s="184" t="s">
        <v>911</v>
      </c>
      <c r="H473" s="184" t="s">
        <v>975</v>
      </c>
      <c r="I473" s="184" t="s">
        <v>247</v>
      </c>
      <c r="J473" s="184"/>
      <c r="K473" s="184" t="s">
        <v>74</v>
      </c>
      <c r="L473" s="184" t="s">
        <v>50</v>
      </c>
      <c r="M473" s="184"/>
      <c r="N473" s="184"/>
      <c r="O473" s="184"/>
      <c r="P473" s="184" t="b">
        <v>0</v>
      </c>
    </row>
    <row r="474" spans="1:16" ht="12.75" hidden="1">
      <c r="A474" s="184" t="str">
        <f t="shared" si="20"/>
        <v>HVAC-S1-HTR-ST-473</v>
      </c>
      <c r="B474" s="184">
        <v>473</v>
      </c>
      <c r="C474" s="184" t="str">
        <f t="shared" si="21"/>
        <v>[HVAC-S1-HTR-ST-473] Demand Setpoint 4-20mA (0-100% duty cycle)</v>
      </c>
      <c r="D474" s="184" t="s">
        <v>980</v>
      </c>
      <c r="E474" s="184" t="s">
        <v>981</v>
      </c>
      <c r="F474" s="184" t="s">
        <v>244</v>
      </c>
      <c r="G474" s="184" t="s">
        <v>911</v>
      </c>
      <c r="H474" s="184" t="s">
        <v>975</v>
      </c>
      <c r="I474" s="184" t="s">
        <v>247</v>
      </c>
      <c r="J474" s="184"/>
      <c r="K474" s="184" t="s">
        <v>74</v>
      </c>
      <c r="L474" s="184" t="s">
        <v>50</v>
      </c>
      <c r="M474" s="184"/>
      <c r="N474" s="184"/>
      <c r="O474" s="184"/>
      <c r="P474" s="184" t="b">
        <v>0</v>
      </c>
    </row>
    <row r="475" spans="1:16" ht="12.75" hidden="1">
      <c r="A475" s="184" t="str">
        <f t="shared" si="20"/>
        <v>HVAC-S1-HTR-ST-474</v>
      </c>
      <c r="B475" s="184">
        <v>474</v>
      </c>
      <c r="C475" s="184" t="str">
        <f t="shared" si="21"/>
        <v>[HVAC-S1-HTR-ST-474] Trip Reset 24V to reset</v>
      </c>
      <c r="D475" s="184" t="s">
        <v>982</v>
      </c>
      <c r="E475" s="184" t="s">
        <v>983</v>
      </c>
      <c r="F475" s="184" t="s">
        <v>244</v>
      </c>
      <c r="G475" s="184" t="s">
        <v>911</v>
      </c>
      <c r="H475" s="184" t="s">
        <v>975</v>
      </c>
      <c r="I475" s="184" t="s">
        <v>48</v>
      </c>
      <c r="J475" s="184"/>
      <c r="K475" s="184" t="s">
        <v>74</v>
      </c>
      <c r="L475" s="184" t="s">
        <v>50</v>
      </c>
      <c r="M475" s="184"/>
      <c r="N475" s="184"/>
      <c r="O475" s="184"/>
      <c r="P475" s="184" t="b">
        <v>0</v>
      </c>
    </row>
    <row r="476" spans="1:16" ht="12.75" hidden="1">
      <c r="A476" s="184" t="str">
        <f t="shared" si="20"/>
        <v>HVAC-S1-HTR-ST-475</v>
      </c>
      <c r="B476" s="184">
        <v>475</v>
      </c>
      <c r="C476" s="184" t="str">
        <f t="shared" si="21"/>
        <v>[HVAC-S1-HTR-ST-475] Mode (24V = PID mode_ 0V = demand mode)</v>
      </c>
      <c r="D476" s="184" t="s">
        <v>984</v>
      </c>
      <c r="E476" s="184" t="s">
        <v>985</v>
      </c>
      <c r="F476" s="184" t="s">
        <v>244</v>
      </c>
      <c r="G476" s="184" t="s">
        <v>911</v>
      </c>
      <c r="H476" s="184" t="s">
        <v>975</v>
      </c>
      <c r="I476" s="184" t="s">
        <v>48</v>
      </c>
      <c r="J476" s="184"/>
      <c r="K476" s="184" t="s">
        <v>74</v>
      </c>
      <c r="L476" s="184" t="s">
        <v>50</v>
      </c>
      <c r="M476" s="184"/>
      <c r="N476" s="184"/>
      <c r="O476" s="184"/>
      <c r="P476" s="184" t="b">
        <v>0</v>
      </c>
    </row>
    <row r="477" spans="1:16" ht="12.75">
      <c r="A477" s="184" t="str">
        <f t="shared" si="20"/>
        <v>HVAC-S1-HTR-Ts-476</v>
      </c>
      <c r="B477" s="184">
        <v>476</v>
      </c>
      <c r="C477" s="184" t="str">
        <f t="shared" si="21"/>
        <v>[HVAC-S1-HTR-Ts-476] Heater Outlet Temperature 4-20mA (-50 to 150 degrees C)</v>
      </c>
      <c r="D477" s="184" t="s">
        <v>986</v>
      </c>
      <c r="E477" s="184" t="s">
        <v>987</v>
      </c>
      <c r="F477" s="184" t="s">
        <v>244</v>
      </c>
      <c r="G477" s="184" t="s">
        <v>911</v>
      </c>
      <c r="H477" s="184" t="s">
        <v>975</v>
      </c>
      <c r="I477" s="184" t="s">
        <v>55</v>
      </c>
      <c r="J477" s="184"/>
      <c r="K477" s="184" t="s">
        <v>231</v>
      </c>
      <c r="L477" s="184" t="s">
        <v>232</v>
      </c>
      <c r="M477" s="184"/>
      <c r="N477" s="184"/>
      <c r="O477" s="184"/>
      <c r="P477" s="184" t="b">
        <v>0</v>
      </c>
    </row>
    <row r="478" spans="1:16" ht="12.75">
      <c r="A478" s="184" t="str">
        <f t="shared" si="20"/>
        <v>HVAC-S1-HTR-Ts-477</v>
      </c>
      <c r="B478" s="184">
        <v>477</v>
      </c>
      <c r="C478" s="184" t="str">
        <f t="shared" si="21"/>
        <v>[HVAC-S1-HTR-Ts-477] overtemp trip (0V = trip)</v>
      </c>
      <c r="D478" s="184" t="s">
        <v>988</v>
      </c>
      <c r="E478" s="184" t="s">
        <v>989</v>
      </c>
      <c r="F478" s="184" t="s">
        <v>244</v>
      </c>
      <c r="G478" s="184" t="s">
        <v>911</v>
      </c>
      <c r="H478" s="184" t="s">
        <v>975</v>
      </c>
      <c r="I478" s="184" t="s">
        <v>73</v>
      </c>
      <c r="J478" s="184"/>
      <c r="K478" s="184" t="s">
        <v>231</v>
      </c>
      <c r="L478" s="184" t="s">
        <v>50</v>
      </c>
      <c r="M478" s="184"/>
      <c r="N478" s="184"/>
      <c r="O478" s="184"/>
      <c r="P478" s="184" t="b">
        <v>0</v>
      </c>
    </row>
    <row r="479" spans="1:16" s="151" customFormat="1" ht="12.75" hidden="1">
      <c r="A479" s="184"/>
      <c r="B479" s="184">
        <v>478</v>
      </c>
      <c r="C479" s="184" t="str">
        <f t="shared" si="21"/>
        <v xml:space="preserve">[] </v>
      </c>
      <c r="D479" s="184"/>
      <c r="E479" s="184"/>
      <c r="F479" s="184"/>
      <c r="G479" s="184"/>
      <c r="H479" s="184"/>
      <c r="I479" s="184"/>
      <c r="J479" s="184"/>
      <c r="K479" s="184"/>
      <c r="L479" s="184"/>
      <c r="M479" s="184"/>
      <c r="N479" s="184"/>
      <c r="O479" s="184"/>
      <c r="P479" s="184"/>
    </row>
    <row r="480" spans="1:16" ht="12.75" hidden="1">
      <c r="A480" s="184" t="str">
        <f t="shared" si="20"/>
        <v>HVAC-IS1-HTR-ST-479</v>
      </c>
      <c r="B480" s="184">
        <v>479</v>
      </c>
      <c r="C480" s="184" t="str">
        <f t="shared" si="21"/>
        <v>[HVAC-IS1-HTR-ST-479] Interstage 1 Heater  Enable (110V = Enabled)</v>
      </c>
      <c r="D480" s="184" t="s">
        <v>990</v>
      </c>
      <c r="E480" s="184" t="s">
        <v>991</v>
      </c>
      <c r="F480" s="184" t="s">
        <v>244</v>
      </c>
      <c r="G480" s="184" t="s">
        <v>253</v>
      </c>
      <c r="H480" s="184" t="s">
        <v>975</v>
      </c>
      <c r="I480" s="184" t="s">
        <v>48</v>
      </c>
      <c r="J480" s="184"/>
      <c r="K480" s="184" t="s">
        <v>74</v>
      </c>
      <c r="L480" s="184" t="s">
        <v>50</v>
      </c>
      <c r="M480" s="184"/>
      <c r="N480" s="184"/>
      <c r="O480" s="184"/>
      <c r="P480" s="184" t="b">
        <v>0</v>
      </c>
    </row>
    <row r="481" spans="1:16" ht="12.75" hidden="1">
      <c r="A481" s="184" t="str">
        <f t="shared" si="20"/>
        <v>HVAC-IS1-HTR-ST-480</v>
      </c>
      <c r="B481" s="184">
        <v>480</v>
      </c>
      <c r="C481" s="184" t="str">
        <f t="shared" si="21"/>
        <v>[HVAC-IS1-HTR-ST-480] Temp Setpoint 4-20mA (0-100 degrees C)</v>
      </c>
      <c r="D481" s="184" t="s">
        <v>978</v>
      </c>
      <c r="E481" s="184" t="s">
        <v>992</v>
      </c>
      <c r="F481" s="184" t="s">
        <v>244</v>
      </c>
      <c r="G481" s="184" t="s">
        <v>253</v>
      </c>
      <c r="H481" s="184" t="s">
        <v>975</v>
      </c>
      <c r="I481" s="184" t="s">
        <v>247</v>
      </c>
      <c r="J481" s="184"/>
      <c r="K481" s="184" t="s">
        <v>74</v>
      </c>
      <c r="L481" s="184" t="s">
        <v>50</v>
      </c>
      <c r="M481" s="184"/>
      <c r="N481" s="184"/>
      <c r="O481" s="184"/>
      <c r="P481" s="184" t="b">
        <v>0</v>
      </c>
    </row>
    <row r="482" spans="1:16" ht="12.75" hidden="1">
      <c r="A482" s="184" t="str">
        <f t="shared" si="20"/>
        <v>HVAC-IS1-HTR-ST-481</v>
      </c>
      <c r="B482" s="184">
        <v>481</v>
      </c>
      <c r="C482" s="184" t="str">
        <f t="shared" si="21"/>
        <v>[HVAC-IS1-HTR-ST-481] Demand Setpoint 4-20mA (0-100% duty cycle)</v>
      </c>
      <c r="D482" s="184" t="s">
        <v>980</v>
      </c>
      <c r="E482" s="184" t="s">
        <v>993</v>
      </c>
      <c r="F482" s="184" t="s">
        <v>244</v>
      </c>
      <c r="G482" s="184" t="s">
        <v>253</v>
      </c>
      <c r="H482" s="184" t="s">
        <v>975</v>
      </c>
      <c r="I482" s="184" t="s">
        <v>247</v>
      </c>
      <c r="J482" s="184"/>
      <c r="K482" s="184" t="s">
        <v>74</v>
      </c>
      <c r="L482" s="184" t="s">
        <v>50</v>
      </c>
      <c r="M482" s="184"/>
      <c r="N482" s="184"/>
      <c r="O482" s="184"/>
      <c r="P482" s="184" t="b">
        <v>0</v>
      </c>
    </row>
    <row r="483" spans="1:16" ht="12.75" hidden="1">
      <c r="A483" s="184" t="str">
        <f t="shared" si="20"/>
        <v>HVAC-IS1-HTR-ST-482</v>
      </c>
      <c r="B483" s="184">
        <v>482</v>
      </c>
      <c r="C483" s="184" t="str">
        <f t="shared" si="21"/>
        <v>[HVAC-IS1-HTR-ST-482] Trip Reset 24V to reset</v>
      </c>
      <c r="D483" s="184" t="s">
        <v>982</v>
      </c>
      <c r="E483" s="184" t="s">
        <v>994</v>
      </c>
      <c r="F483" s="184" t="s">
        <v>244</v>
      </c>
      <c r="G483" s="184" t="s">
        <v>253</v>
      </c>
      <c r="H483" s="184" t="s">
        <v>975</v>
      </c>
      <c r="I483" s="184" t="s">
        <v>48</v>
      </c>
      <c r="J483" s="184"/>
      <c r="K483" s="184" t="s">
        <v>74</v>
      </c>
      <c r="L483" s="184" t="s">
        <v>50</v>
      </c>
      <c r="M483" s="184"/>
      <c r="N483" s="184"/>
      <c r="O483" s="184"/>
      <c r="P483" s="184" t="b">
        <v>0</v>
      </c>
    </row>
    <row r="484" spans="1:16" ht="12.75" hidden="1">
      <c r="A484" s="184" t="str">
        <f t="shared" si="20"/>
        <v>HVAC-IS1-HTR-ST-483</v>
      </c>
      <c r="B484" s="184">
        <v>483</v>
      </c>
      <c r="C484" s="184" t="str">
        <f t="shared" si="21"/>
        <v>[HVAC-IS1-HTR-ST-483] Mode (24V = PID mode_ 0V = demand mode)</v>
      </c>
      <c r="D484" s="184" t="s">
        <v>984</v>
      </c>
      <c r="E484" s="184" t="s">
        <v>995</v>
      </c>
      <c r="F484" s="184" t="s">
        <v>244</v>
      </c>
      <c r="G484" s="184" t="s">
        <v>253</v>
      </c>
      <c r="H484" s="184" t="s">
        <v>975</v>
      </c>
      <c r="I484" s="184" t="s">
        <v>48</v>
      </c>
      <c r="J484" s="184"/>
      <c r="K484" s="184" t="s">
        <v>74</v>
      </c>
      <c r="L484" s="184" t="s">
        <v>50</v>
      </c>
      <c r="M484" s="184"/>
      <c r="N484" s="184"/>
      <c r="O484" s="184"/>
      <c r="P484" s="184" t="b">
        <v>0</v>
      </c>
    </row>
    <row r="485" spans="1:16" ht="12.75">
      <c r="A485" s="184" t="str">
        <f t="shared" si="20"/>
        <v>HVAC-IS1-HTR-Ts-484</v>
      </c>
      <c r="B485" s="184">
        <v>484</v>
      </c>
      <c r="C485" s="184" t="str">
        <f t="shared" si="21"/>
        <v>[HVAC-IS1-HTR-Ts-484] Heater Outlet Temperature 4-20mA (-50 to 150 degrees C)</v>
      </c>
      <c r="D485" s="184" t="s">
        <v>986</v>
      </c>
      <c r="E485" s="184" t="s">
        <v>996</v>
      </c>
      <c r="F485" s="184" t="s">
        <v>244</v>
      </c>
      <c r="G485" s="184" t="s">
        <v>253</v>
      </c>
      <c r="H485" s="184" t="s">
        <v>975</v>
      </c>
      <c r="I485" s="184" t="s">
        <v>55</v>
      </c>
      <c r="J485" s="184"/>
      <c r="K485" s="184" t="s">
        <v>231</v>
      </c>
      <c r="L485" s="184" t="s">
        <v>232</v>
      </c>
      <c r="M485" s="184"/>
      <c r="N485" s="184"/>
      <c r="O485" s="184"/>
      <c r="P485" s="184" t="b">
        <v>0</v>
      </c>
    </row>
    <row r="486" spans="1:16" ht="12.75">
      <c r="A486" s="184" t="str">
        <f t="shared" si="20"/>
        <v>HVAC-IS1-HTR-Ts-485</v>
      </c>
      <c r="B486" s="184">
        <v>485</v>
      </c>
      <c r="C486" s="184" t="str">
        <f t="shared" si="21"/>
        <v>[HVAC-IS1-HTR-Ts-485] overtemp trip (0V = trip)</v>
      </c>
      <c r="D486" s="184" t="s">
        <v>988</v>
      </c>
      <c r="E486" s="184" t="s">
        <v>997</v>
      </c>
      <c r="F486" s="184" t="s">
        <v>244</v>
      </c>
      <c r="G486" s="184" t="s">
        <v>253</v>
      </c>
      <c r="H486" s="184" t="s">
        <v>975</v>
      </c>
      <c r="I486" s="184" t="s">
        <v>73</v>
      </c>
      <c r="J486" s="184"/>
      <c r="K486" s="184" t="s">
        <v>231</v>
      </c>
      <c r="L486" s="184" t="s">
        <v>50</v>
      </c>
      <c r="M486" s="184"/>
      <c r="N486" s="184"/>
      <c r="O486" s="184"/>
      <c r="P486" s="184" t="b">
        <v>0</v>
      </c>
    </row>
    <row r="487" spans="1:16" s="151" customFormat="1" ht="12.75" hidden="1">
      <c r="A487" s="184"/>
      <c r="B487" s="184">
        <v>486</v>
      </c>
      <c r="C487" s="184" t="str">
        <f t="shared" si="21"/>
        <v xml:space="preserve">[] </v>
      </c>
      <c r="D487" s="184"/>
      <c r="E487" s="184"/>
      <c r="F487" s="184"/>
      <c r="G487" s="184"/>
      <c r="H487" s="184"/>
      <c r="I487" s="184"/>
      <c r="J487" s="184"/>
      <c r="K487" s="184"/>
      <c r="L487" s="184"/>
      <c r="M487" s="184"/>
      <c r="N487" s="184"/>
      <c r="O487" s="184"/>
      <c r="P487" s="184"/>
    </row>
    <row r="488" spans="1:16" ht="12.75" hidden="1">
      <c r="A488" s="184" t="str">
        <f t="shared" si="20"/>
        <v>HVAC-IS2-HTR-ST-487</v>
      </c>
      <c r="B488" s="184">
        <v>487</v>
      </c>
      <c r="C488" s="184" t="str">
        <f t="shared" si="21"/>
        <v>[HVAC-IS2-HTR-ST-487] Heater 3 Enable (110V = Enabled)</v>
      </c>
      <c r="D488" s="184" t="s">
        <v>998</v>
      </c>
      <c r="E488" s="184" t="s">
        <v>999</v>
      </c>
      <c r="F488" s="184" t="s">
        <v>244</v>
      </c>
      <c r="G488" s="184" t="s">
        <v>251</v>
      </c>
      <c r="H488" s="184" t="s">
        <v>975</v>
      </c>
      <c r="I488" s="184" t="s">
        <v>48</v>
      </c>
      <c r="J488" s="184"/>
      <c r="K488" s="184" t="s">
        <v>74</v>
      </c>
      <c r="L488" s="184" t="s">
        <v>50</v>
      </c>
      <c r="M488" s="184"/>
      <c r="N488" s="184"/>
      <c r="O488" s="184"/>
      <c r="P488" s="184" t="b">
        <v>0</v>
      </c>
    </row>
    <row r="489" spans="1:16" ht="12.75" hidden="1">
      <c r="A489" s="184" t="str">
        <f t="shared" si="20"/>
        <v>HVAC-IS2-HTR-ST-488</v>
      </c>
      <c r="B489" s="184">
        <v>488</v>
      </c>
      <c r="C489" s="184" t="str">
        <f t="shared" si="21"/>
        <v>[HVAC-IS2-HTR-ST-488] Temp Setpoint 4-20mA (0-100 degrees C)</v>
      </c>
      <c r="D489" s="184" t="s">
        <v>978</v>
      </c>
      <c r="E489" s="184" t="s">
        <v>1000</v>
      </c>
      <c r="F489" s="184" t="s">
        <v>244</v>
      </c>
      <c r="G489" s="184" t="s">
        <v>251</v>
      </c>
      <c r="H489" s="184" t="s">
        <v>975</v>
      </c>
      <c r="I489" s="184" t="s">
        <v>247</v>
      </c>
      <c r="J489" s="184"/>
      <c r="K489" s="184" t="s">
        <v>74</v>
      </c>
      <c r="L489" s="184" t="s">
        <v>50</v>
      </c>
      <c r="M489" s="184"/>
      <c r="N489" s="184"/>
      <c r="O489" s="184"/>
      <c r="P489" s="184" t="b">
        <v>0</v>
      </c>
    </row>
    <row r="490" spans="1:16" ht="12.75" hidden="1">
      <c r="A490" s="184" t="str">
        <f t="shared" si="20"/>
        <v>HVAC-IS2-HTR-ST-489</v>
      </c>
      <c r="B490" s="184">
        <v>489</v>
      </c>
      <c r="C490" s="184" t="str">
        <f t="shared" si="21"/>
        <v>[HVAC-IS2-HTR-ST-489] Demand Setpoint 4-20mA (0-100% duty cycle)</v>
      </c>
      <c r="D490" s="184" t="s">
        <v>980</v>
      </c>
      <c r="E490" s="184" t="s">
        <v>1001</v>
      </c>
      <c r="F490" s="184" t="s">
        <v>244</v>
      </c>
      <c r="G490" s="184" t="s">
        <v>251</v>
      </c>
      <c r="H490" s="184" t="s">
        <v>975</v>
      </c>
      <c r="I490" s="184" t="s">
        <v>247</v>
      </c>
      <c r="J490" s="184"/>
      <c r="K490" s="184" t="s">
        <v>74</v>
      </c>
      <c r="L490" s="184" t="s">
        <v>50</v>
      </c>
      <c r="M490" s="184"/>
      <c r="N490" s="184"/>
      <c r="O490" s="184"/>
      <c r="P490" s="184" t="b">
        <v>0</v>
      </c>
    </row>
    <row r="491" spans="1:16" ht="12.75" hidden="1">
      <c r="A491" s="184" t="str">
        <f t="shared" si="20"/>
        <v>HVAC-IS2-HTR-ST-490</v>
      </c>
      <c r="B491" s="184">
        <v>490</v>
      </c>
      <c r="C491" s="184" t="str">
        <f t="shared" si="21"/>
        <v>[HVAC-IS2-HTR-ST-490] Trip Reset 24V to reset</v>
      </c>
      <c r="D491" s="184" t="s">
        <v>982</v>
      </c>
      <c r="E491" s="184" t="s">
        <v>1002</v>
      </c>
      <c r="F491" s="184" t="s">
        <v>244</v>
      </c>
      <c r="G491" s="184" t="s">
        <v>251</v>
      </c>
      <c r="H491" s="184" t="s">
        <v>975</v>
      </c>
      <c r="I491" s="184" t="s">
        <v>48</v>
      </c>
      <c r="J491" s="184"/>
      <c r="K491" s="184" t="s">
        <v>74</v>
      </c>
      <c r="L491" s="184" t="s">
        <v>50</v>
      </c>
      <c r="M491" s="184"/>
      <c r="N491" s="184"/>
      <c r="O491" s="184"/>
      <c r="P491" s="184" t="b">
        <v>0</v>
      </c>
    </row>
    <row r="492" spans="1:16" ht="12.75" hidden="1">
      <c r="A492" s="184" t="str">
        <f t="shared" si="20"/>
        <v>HVAC-IS2-HTR-ST-491</v>
      </c>
      <c r="B492" s="184">
        <v>491</v>
      </c>
      <c r="C492" s="184" t="str">
        <f t="shared" si="21"/>
        <v>[HVAC-IS2-HTR-ST-491] Mode (24V = PID mode_ 0V = demand mode)</v>
      </c>
      <c r="D492" s="184" t="s">
        <v>984</v>
      </c>
      <c r="E492" s="184" t="s">
        <v>1003</v>
      </c>
      <c r="F492" s="184" t="s">
        <v>244</v>
      </c>
      <c r="G492" s="184" t="s">
        <v>251</v>
      </c>
      <c r="H492" s="184" t="s">
        <v>975</v>
      </c>
      <c r="I492" s="184" t="s">
        <v>48</v>
      </c>
      <c r="J492" s="184"/>
      <c r="K492" s="184" t="s">
        <v>74</v>
      </c>
      <c r="L492" s="184" t="s">
        <v>50</v>
      </c>
      <c r="M492" s="184"/>
      <c r="N492" s="184"/>
      <c r="O492" s="184"/>
      <c r="P492" s="184" t="b">
        <v>0</v>
      </c>
    </row>
    <row r="493" spans="1:16" ht="12.75">
      <c r="A493" s="184" t="str">
        <f t="shared" ref="A493:A562" si="22">CONCATENATE(VLOOKUP(F493,Systems,2,FALSE),"-",VLOOKUP(G493,Subsystems,2,FALSE),"-",VLOOKUP(H493,Components,2,FALSE),"-",VLOOKUP(K493,Metrics,2,FALSE),"-",B493)</f>
        <v>HVAC-IS2-HTR-Ts-492</v>
      </c>
      <c r="B493" s="184">
        <v>492</v>
      </c>
      <c r="C493" s="184" t="str">
        <f t="shared" si="21"/>
        <v>[HVAC-IS2-HTR-Ts-492] Heater Outlet Temperature 4-20mA (-50 to 150 degrees C)</v>
      </c>
      <c r="D493" s="184" t="s">
        <v>986</v>
      </c>
      <c r="E493" s="184" t="s">
        <v>1004</v>
      </c>
      <c r="F493" s="184" t="s">
        <v>244</v>
      </c>
      <c r="G493" s="184" t="s">
        <v>251</v>
      </c>
      <c r="H493" s="184" t="s">
        <v>975</v>
      </c>
      <c r="I493" s="184" t="s">
        <v>55</v>
      </c>
      <c r="J493" s="184"/>
      <c r="K493" s="184" t="s">
        <v>231</v>
      </c>
      <c r="L493" s="184" t="s">
        <v>232</v>
      </c>
      <c r="M493" s="184"/>
      <c r="N493" s="184"/>
      <c r="O493" s="184"/>
      <c r="P493" s="184" t="b">
        <v>0</v>
      </c>
    </row>
    <row r="494" spans="1:16" ht="12.75">
      <c r="A494" s="184" t="str">
        <f t="shared" si="22"/>
        <v>HVAC-IS2-HTR-Ts-493</v>
      </c>
      <c r="B494" s="184">
        <v>493</v>
      </c>
      <c r="C494" s="184" t="str">
        <f t="shared" si="21"/>
        <v>[HVAC-IS2-HTR-Ts-493] overtemp trip (0V = trip)</v>
      </c>
      <c r="D494" s="184" t="s">
        <v>988</v>
      </c>
      <c r="E494" s="184" t="s">
        <v>1005</v>
      </c>
      <c r="F494" s="184" t="s">
        <v>244</v>
      </c>
      <c r="G494" s="184" t="s">
        <v>251</v>
      </c>
      <c r="H494" s="184" t="s">
        <v>975</v>
      </c>
      <c r="I494" s="184" t="s">
        <v>73</v>
      </c>
      <c r="J494" s="184"/>
      <c r="K494" s="184" t="s">
        <v>231</v>
      </c>
      <c r="L494" s="184" t="s">
        <v>50</v>
      </c>
      <c r="M494" s="184"/>
      <c r="N494" s="184"/>
      <c r="O494" s="184"/>
      <c r="P494" s="184" t="b">
        <v>0</v>
      </c>
    </row>
    <row r="495" spans="1:16" s="151" customFormat="1" ht="12.75" hidden="1">
      <c r="A495" s="184"/>
      <c r="B495" s="184">
        <v>494</v>
      </c>
      <c r="C495" s="184" t="str">
        <f t="shared" si="21"/>
        <v xml:space="preserve">[] </v>
      </c>
      <c r="D495" s="184"/>
      <c r="E495" s="184"/>
      <c r="F495" s="184"/>
      <c r="G495" s="184"/>
      <c r="H495" s="184"/>
      <c r="I495" s="184"/>
      <c r="J495" s="184"/>
      <c r="K495" s="184"/>
      <c r="L495" s="184"/>
      <c r="M495" s="184"/>
      <c r="N495" s="184"/>
      <c r="O495" s="184"/>
      <c r="P495" s="184"/>
    </row>
    <row r="496" spans="1:16" ht="12.75" hidden="1">
      <c r="A496" s="184" t="str">
        <f t="shared" si="22"/>
        <v>HVAC-FAR-HTR-ST-495</v>
      </c>
      <c r="B496" s="184">
        <v>495</v>
      </c>
      <c r="C496" s="184" t="str">
        <f t="shared" si="21"/>
        <v>[HVAC-FAR-HTR-ST-495] Fairing Heater Enable (110V = Enabled)</v>
      </c>
      <c r="D496" s="184" t="s">
        <v>1006</v>
      </c>
      <c r="E496" s="184" t="s">
        <v>1007</v>
      </c>
      <c r="F496" s="184" t="s">
        <v>244</v>
      </c>
      <c r="G496" s="184" t="s">
        <v>245</v>
      </c>
      <c r="H496" s="184" t="s">
        <v>975</v>
      </c>
      <c r="I496" s="184" t="s">
        <v>48</v>
      </c>
      <c r="J496" s="184"/>
      <c r="K496" s="184" t="s">
        <v>74</v>
      </c>
      <c r="L496" s="184" t="s">
        <v>50</v>
      </c>
      <c r="M496" s="184"/>
      <c r="N496" s="184"/>
      <c r="O496" s="184"/>
      <c r="P496" s="184" t="b">
        <v>0</v>
      </c>
    </row>
    <row r="497" spans="1:16" ht="12.75" hidden="1">
      <c r="A497" s="184" t="str">
        <f t="shared" si="22"/>
        <v>HVAC-FAR-HTR-ST-496</v>
      </c>
      <c r="B497" s="184">
        <v>496</v>
      </c>
      <c r="C497" s="184" t="str">
        <f t="shared" si="21"/>
        <v>[HVAC-FAR-HTR-ST-496] Temp Setpoint 4-20mA (0-100 degrees C)</v>
      </c>
      <c r="D497" s="184" t="s">
        <v>978</v>
      </c>
      <c r="E497" s="184" t="s">
        <v>1008</v>
      </c>
      <c r="F497" s="184" t="s">
        <v>244</v>
      </c>
      <c r="G497" s="184" t="s">
        <v>245</v>
      </c>
      <c r="H497" s="184" t="s">
        <v>975</v>
      </c>
      <c r="I497" s="184" t="s">
        <v>247</v>
      </c>
      <c r="J497" s="184"/>
      <c r="K497" s="184" t="s">
        <v>74</v>
      </c>
      <c r="L497" s="184" t="s">
        <v>50</v>
      </c>
      <c r="M497" s="184"/>
      <c r="N497" s="184"/>
      <c r="O497" s="184"/>
      <c r="P497" s="184" t="b">
        <v>0</v>
      </c>
    </row>
    <row r="498" spans="1:16" ht="12.75" hidden="1">
      <c r="A498" s="184" t="str">
        <f t="shared" si="22"/>
        <v>HVAC-FAR-HTR-ST-497</v>
      </c>
      <c r="B498" s="184">
        <v>497</v>
      </c>
      <c r="C498" s="184" t="str">
        <f t="shared" si="21"/>
        <v>[HVAC-FAR-HTR-ST-497] Demand Setpoint 4-20mA (0-100% duty cycle)</v>
      </c>
      <c r="D498" s="184" t="s">
        <v>980</v>
      </c>
      <c r="E498" s="184" t="s">
        <v>1009</v>
      </c>
      <c r="F498" s="184" t="s">
        <v>244</v>
      </c>
      <c r="G498" s="184" t="s">
        <v>245</v>
      </c>
      <c r="H498" s="184" t="s">
        <v>975</v>
      </c>
      <c r="I498" s="184" t="s">
        <v>247</v>
      </c>
      <c r="J498" s="184"/>
      <c r="K498" s="184" t="s">
        <v>74</v>
      </c>
      <c r="L498" s="184" t="s">
        <v>50</v>
      </c>
      <c r="M498" s="184"/>
      <c r="N498" s="184"/>
      <c r="O498" s="184"/>
      <c r="P498" s="184" t="b">
        <v>0</v>
      </c>
    </row>
    <row r="499" spans="1:16" ht="12.75" hidden="1">
      <c r="A499" s="184" t="str">
        <f t="shared" si="22"/>
        <v>HVAC-FAR-HTR-ST-498</v>
      </c>
      <c r="B499" s="184">
        <v>498</v>
      </c>
      <c r="C499" s="184" t="str">
        <f t="shared" si="21"/>
        <v>[HVAC-FAR-HTR-ST-498] Trip Reset 24V to reset</v>
      </c>
      <c r="D499" s="184" t="s">
        <v>982</v>
      </c>
      <c r="E499" s="184" t="s">
        <v>1010</v>
      </c>
      <c r="F499" s="184" t="s">
        <v>244</v>
      </c>
      <c r="G499" s="184" t="s">
        <v>245</v>
      </c>
      <c r="H499" s="184" t="s">
        <v>975</v>
      </c>
      <c r="I499" s="184" t="s">
        <v>48</v>
      </c>
      <c r="J499" s="184"/>
      <c r="K499" s="184" t="s">
        <v>74</v>
      </c>
      <c r="L499" s="184" t="s">
        <v>50</v>
      </c>
      <c r="M499" s="184"/>
      <c r="N499" s="184"/>
      <c r="O499" s="184"/>
      <c r="P499" s="184" t="b">
        <v>0</v>
      </c>
    </row>
    <row r="500" spans="1:16" ht="12.75" hidden="1">
      <c r="A500" s="184" t="str">
        <f t="shared" si="22"/>
        <v>HVAC-FAR-HTR-ST-499</v>
      </c>
      <c r="B500" s="184">
        <v>499</v>
      </c>
      <c r="C500" s="184" t="str">
        <f t="shared" si="21"/>
        <v>[HVAC-FAR-HTR-ST-499] Mode (24V = PID mode_ 0V = demand mode)</v>
      </c>
      <c r="D500" s="184" t="s">
        <v>984</v>
      </c>
      <c r="E500" s="184" t="s">
        <v>1011</v>
      </c>
      <c r="F500" s="184" t="s">
        <v>244</v>
      </c>
      <c r="G500" s="184" t="s">
        <v>245</v>
      </c>
      <c r="H500" s="184" t="s">
        <v>975</v>
      </c>
      <c r="I500" s="184" t="s">
        <v>48</v>
      </c>
      <c r="J500" s="184"/>
      <c r="K500" s="184" t="s">
        <v>74</v>
      </c>
      <c r="L500" s="184" t="s">
        <v>50</v>
      </c>
      <c r="M500" s="184"/>
      <c r="N500" s="184"/>
      <c r="O500" s="184"/>
      <c r="P500" s="184" t="b">
        <v>0</v>
      </c>
    </row>
    <row r="501" spans="1:16" ht="12.75">
      <c r="A501" s="184" t="str">
        <f t="shared" si="22"/>
        <v>HVAC-FAR-HTR-Ts-500</v>
      </c>
      <c r="B501" s="184">
        <v>500</v>
      </c>
      <c r="C501" s="184" t="str">
        <f t="shared" si="21"/>
        <v>[HVAC-FAR-HTR-Ts-500] Fairing Heater Outlet Temperature 4-20mA (-50 to 150 degrees C)</v>
      </c>
      <c r="D501" s="184" t="s">
        <v>1012</v>
      </c>
      <c r="E501" s="184" t="s">
        <v>1013</v>
      </c>
      <c r="F501" s="184" t="s">
        <v>244</v>
      </c>
      <c r="G501" s="184" t="s">
        <v>245</v>
      </c>
      <c r="H501" s="184" t="s">
        <v>975</v>
      </c>
      <c r="I501" s="184" t="s">
        <v>55</v>
      </c>
      <c r="J501" s="184"/>
      <c r="K501" s="184" t="s">
        <v>231</v>
      </c>
      <c r="L501" s="184" t="s">
        <v>232</v>
      </c>
      <c r="M501" s="184"/>
      <c r="N501" s="184"/>
      <c r="O501" s="184"/>
      <c r="P501" s="184" t="b">
        <v>0</v>
      </c>
    </row>
    <row r="502" spans="1:16" ht="12.75">
      <c r="A502" s="184" t="str">
        <f t="shared" si="22"/>
        <v>HVAC-FAR-HTR-Ts-501</v>
      </c>
      <c r="B502" s="184">
        <v>501</v>
      </c>
      <c r="C502" s="184" t="str">
        <f t="shared" si="21"/>
        <v>[HVAC-FAR-HTR-Ts-501] Fairing overtemp trip (0V = trip)</v>
      </c>
      <c r="D502" s="184" t="s">
        <v>1014</v>
      </c>
      <c r="E502" s="184" t="s">
        <v>1015</v>
      </c>
      <c r="F502" s="184" t="s">
        <v>244</v>
      </c>
      <c r="G502" s="184" t="s">
        <v>245</v>
      </c>
      <c r="H502" s="184" t="s">
        <v>975</v>
      </c>
      <c r="I502" s="184" t="s">
        <v>73</v>
      </c>
      <c r="J502" s="184"/>
      <c r="K502" s="184" t="s">
        <v>231</v>
      </c>
      <c r="L502" s="184" t="s">
        <v>50</v>
      </c>
      <c r="M502" s="184"/>
      <c r="N502" s="184"/>
      <c r="O502" s="184"/>
      <c r="P502" s="184" t="b">
        <v>0</v>
      </c>
    </row>
    <row r="503" spans="1:16" ht="12.75">
      <c r="A503" s="184" t="str">
        <f t="shared" si="22"/>
        <v>AG-S2-FM-MFs-502</v>
      </c>
      <c r="B503" s="184">
        <v>502</v>
      </c>
      <c r="C503" s="184" t="str">
        <f t="shared" si="21"/>
        <v>[04C706] Stage 2 Anti-Geysering flow rate</v>
      </c>
      <c r="D503" s="184" t="s">
        <v>1016</v>
      </c>
      <c r="E503" s="184" t="s">
        <v>1017</v>
      </c>
      <c r="F503" s="184" t="s">
        <v>45</v>
      </c>
      <c r="G503" s="184" t="s">
        <v>913</v>
      </c>
      <c r="H503" s="184" t="s">
        <v>676</v>
      </c>
      <c r="I503" s="184" t="s">
        <v>55</v>
      </c>
      <c r="J503" s="184"/>
      <c r="K503" s="184" t="s">
        <v>678</v>
      </c>
      <c r="L503" s="184" t="s">
        <v>679</v>
      </c>
      <c r="M503" s="184"/>
      <c r="N503" s="184"/>
      <c r="O503" s="184"/>
      <c r="P503" s="184" t="b">
        <v>0</v>
      </c>
    </row>
    <row r="504" spans="1:16" ht="12.75">
      <c r="A504" s="184" t="str">
        <f t="shared" si="22"/>
        <v>AG-S1-FM-MFs-503</v>
      </c>
      <c r="B504" s="184">
        <v>503</v>
      </c>
      <c r="C504" s="184" t="str">
        <f t="shared" si="21"/>
        <v>[04C707] Stage 1 Anti-Geysering flow rate</v>
      </c>
      <c r="D504" s="184" t="s">
        <v>1018</v>
      </c>
      <c r="E504" s="184" t="s">
        <v>1019</v>
      </c>
      <c r="F504" s="184" t="s">
        <v>45</v>
      </c>
      <c r="G504" s="184" t="s">
        <v>911</v>
      </c>
      <c r="H504" s="184" t="s">
        <v>676</v>
      </c>
      <c r="I504" s="184" t="s">
        <v>55</v>
      </c>
      <c r="J504" s="184"/>
      <c r="K504" s="184" t="s">
        <v>678</v>
      </c>
      <c r="L504" s="184" t="s">
        <v>679</v>
      </c>
      <c r="M504" s="184"/>
      <c r="N504" s="184"/>
      <c r="O504" s="184"/>
      <c r="P504" s="184" t="b">
        <v>0</v>
      </c>
    </row>
    <row r="505" spans="1:16" ht="12.75" hidden="1">
      <c r="A505" s="184" t="str">
        <f t="shared" si="22"/>
        <v>HYD-HD-MTR-B-504</v>
      </c>
      <c r="B505" s="184">
        <v>504</v>
      </c>
      <c r="C505" s="184" t="str">
        <f t="shared" si="21"/>
        <v>[M5] M5 Sump Run Feedback</v>
      </c>
      <c r="D505" s="184" t="s">
        <v>1020</v>
      </c>
      <c r="E505" s="184" t="s">
        <v>439</v>
      </c>
      <c r="F505" s="184" t="s">
        <v>318</v>
      </c>
      <c r="G505" s="184" t="s">
        <v>368</v>
      </c>
      <c r="H505" s="184" t="s">
        <v>440</v>
      </c>
      <c r="I505" s="184" t="s">
        <v>73</v>
      </c>
      <c r="J505" s="184"/>
      <c r="K505" s="184" t="s">
        <v>104</v>
      </c>
      <c r="L505" s="184" t="s">
        <v>50</v>
      </c>
      <c r="M505" s="184"/>
      <c r="N505" s="184"/>
      <c r="O505" s="184"/>
      <c r="P505" s="184" t="b">
        <v>0</v>
      </c>
    </row>
    <row r="506" spans="1:16" ht="12.75" hidden="1">
      <c r="A506" s="184" t="str">
        <f t="shared" si="22"/>
        <v>HYD-HD-MTR-B-505</v>
      </c>
      <c r="B506" s="184">
        <v>505</v>
      </c>
      <c r="C506" s="184" t="str">
        <f t="shared" si="21"/>
        <v>[M4] M4 Sump Run Feedback</v>
      </c>
      <c r="D506" s="184" t="s">
        <v>1021</v>
      </c>
      <c r="E506" s="184" t="s">
        <v>442</v>
      </c>
      <c r="F506" s="184" t="s">
        <v>318</v>
      </c>
      <c r="G506" s="184" t="s">
        <v>368</v>
      </c>
      <c r="H506" s="184" t="s">
        <v>440</v>
      </c>
      <c r="I506" s="184" t="s">
        <v>73</v>
      </c>
      <c r="J506" s="184"/>
      <c r="K506" s="184" t="s">
        <v>104</v>
      </c>
      <c r="L506" s="184" t="s">
        <v>50</v>
      </c>
      <c r="M506" s="184"/>
      <c r="N506" s="184"/>
      <c r="O506" s="184"/>
      <c r="P506" s="184" t="b">
        <v>0</v>
      </c>
    </row>
    <row r="507" spans="1:16" ht="12.75" hidden="1">
      <c r="A507" s="184" t="str">
        <f t="shared" si="22"/>
        <v>HYD-HPU-MTR-B-506</v>
      </c>
      <c r="B507" s="184">
        <v>506</v>
      </c>
      <c r="C507" s="184" t="str">
        <f t="shared" si="21"/>
        <v>[M3] Recirculation Pump Feedback</v>
      </c>
      <c r="D507" s="184" t="s">
        <v>1022</v>
      </c>
      <c r="E507" s="184" t="s">
        <v>549</v>
      </c>
      <c r="F507" s="184" t="s">
        <v>318</v>
      </c>
      <c r="G507" s="184" t="s">
        <v>319</v>
      </c>
      <c r="H507" s="184" t="s">
        <v>440</v>
      </c>
      <c r="I507" s="184" t="s">
        <v>73</v>
      </c>
      <c r="J507" s="184"/>
      <c r="K507" s="184" t="s">
        <v>104</v>
      </c>
      <c r="L507" s="184" t="s">
        <v>50</v>
      </c>
      <c r="M507" s="184"/>
      <c r="N507" s="184"/>
      <c r="O507" s="184"/>
      <c r="P507" s="184" t="b">
        <v>0</v>
      </c>
    </row>
    <row r="508" spans="1:16" ht="12.75" hidden="1">
      <c r="A508" s="184" t="str">
        <f t="shared" si="22"/>
        <v>HYD-HPU-SS-B-507</v>
      </c>
      <c r="B508" s="184">
        <v>507</v>
      </c>
      <c r="C508" s="184" t="str">
        <f t="shared" si="21"/>
        <v>[M1] Pump 1 SS Start</v>
      </c>
      <c r="D508" s="184" t="s">
        <v>1023</v>
      </c>
      <c r="E508" s="184" t="s">
        <v>317</v>
      </c>
      <c r="F508" s="184" t="s">
        <v>318</v>
      </c>
      <c r="G508" s="184" t="s">
        <v>319</v>
      </c>
      <c r="H508" s="184" t="s">
        <v>1024</v>
      </c>
      <c r="I508" s="184" t="s">
        <v>48</v>
      </c>
      <c r="J508" s="184"/>
      <c r="K508" s="184" t="s">
        <v>104</v>
      </c>
      <c r="L508" s="184" t="s">
        <v>50</v>
      </c>
      <c r="M508" s="184"/>
      <c r="N508" s="184"/>
      <c r="O508" s="184"/>
      <c r="P508" s="184" t="b">
        <v>0</v>
      </c>
    </row>
    <row r="509" spans="1:16" ht="12.75" hidden="1">
      <c r="A509" s="184" t="str">
        <f t="shared" si="22"/>
        <v>HYD-HPU-SS-B-508</v>
      </c>
      <c r="B509" s="184">
        <v>508</v>
      </c>
      <c r="C509" s="184" t="str">
        <f t="shared" si="21"/>
        <v>[M2] Pump 2 SS Start</v>
      </c>
      <c r="D509" s="184" t="s">
        <v>1025</v>
      </c>
      <c r="E509" s="184" t="s">
        <v>322</v>
      </c>
      <c r="F509" s="184" t="s">
        <v>318</v>
      </c>
      <c r="G509" s="184" t="s">
        <v>319</v>
      </c>
      <c r="H509" s="184" t="s">
        <v>1024</v>
      </c>
      <c r="I509" s="184" t="s">
        <v>48</v>
      </c>
      <c r="J509" s="184"/>
      <c r="K509" s="184" t="s">
        <v>104</v>
      </c>
      <c r="L509" s="184" t="s">
        <v>50</v>
      </c>
      <c r="M509" s="184"/>
      <c r="N509" s="184"/>
      <c r="O509" s="184"/>
      <c r="P509" s="184" t="b">
        <v>0</v>
      </c>
    </row>
    <row r="510" spans="1:16" ht="12.75">
      <c r="A510" s="184" t="str">
        <f t="shared" si="22"/>
        <v>GHe-He-PRS-Ps-509</v>
      </c>
      <c r="B510" s="184">
        <v>509</v>
      </c>
      <c r="C510" s="184" t="str">
        <f t="shared" si="21"/>
        <v>[04C927] GHe Vehilce Backup Supply Pressure</v>
      </c>
      <c r="D510" s="184" t="s">
        <v>1026</v>
      </c>
      <c r="E510" s="184" t="s">
        <v>1027</v>
      </c>
      <c r="F510" s="184" t="s">
        <v>171</v>
      </c>
      <c r="G510" s="184" t="s">
        <v>1028</v>
      </c>
      <c r="H510" s="184" t="s">
        <v>54</v>
      </c>
      <c r="I510" s="184" t="s">
        <v>55</v>
      </c>
      <c r="J510" s="184"/>
      <c r="K510" s="184" t="s">
        <v>56</v>
      </c>
      <c r="L510" s="184" t="s">
        <v>57</v>
      </c>
      <c r="M510" s="184"/>
      <c r="N510" s="184"/>
      <c r="O510" s="184"/>
      <c r="P510" s="184" t="b">
        <v>0</v>
      </c>
    </row>
    <row r="511" spans="1:16" ht="12.75">
      <c r="A511" s="184" t="str">
        <f t="shared" si="22"/>
        <v>GHe-He-PRS-Ps-510</v>
      </c>
      <c r="B511" s="184">
        <v>510</v>
      </c>
      <c r="C511" s="184" t="str">
        <f t="shared" si="21"/>
        <v>[04C929] Stage 1 Anti-Geysering Regulator Pressure</v>
      </c>
      <c r="D511" s="184" t="s">
        <v>1029</v>
      </c>
      <c r="E511" s="184" t="s">
        <v>1030</v>
      </c>
      <c r="F511" s="184" t="s">
        <v>171</v>
      </c>
      <c r="G511" s="184" t="s">
        <v>1028</v>
      </c>
      <c r="H511" s="184" t="s">
        <v>54</v>
      </c>
      <c r="I511" s="184" t="s">
        <v>55</v>
      </c>
      <c r="J511" s="184"/>
      <c r="K511" s="184" t="s">
        <v>56</v>
      </c>
      <c r="L511" s="184" t="s">
        <v>57</v>
      </c>
      <c r="M511" s="184"/>
      <c r="N511" s="184"/>
      <c r="O511" s="184"/>
      <c r="P511" s="184" t="b">
        <v>0</v>
      </c>
    </row>
    <row r="512" spans="1:16" ht="12.75">
      <c r="A512" s="184" t="str">
        <f t="shared" si="22"/>
        <v>GHe-He-PRS-Ps-511</v>
      </c>
      <c r="B512" s="184">
        <v>511</v>
      </c>
      <c r="C512" s="184" t="str">
        <f t="shared" si="21"/>
        <v>[04C931] Stage 2 Anti-Geysering Delivery Pressure</v>
      </c>
      <c r="D512" s="184" t="s">
        <v>1031</v>
      </c>
      <c r="E512" s="184" t="s">
        <v>1032</v>
      </c>
      <c r="F512" s="184" t="s">
        <v>171</v>
      </c>
      <c r="G512" s="184" t="s">
        <v>1028</v>
      </c>
      <c r="H512" s="184" t="s">
        <v>54</v>
      </c>
      <c r="I512" s="184" t="s">
        <v>55</v>
      </c>
      <c r="J512" s="184"/>
      <c r="K512" s="184" t="s">
        <v>56</v>
      </c>
      <c r="L512" s="184" t="s">
        <v>57</v>
      </c>
      <c r="M512" s="184"/>
      <c r="N512" s="184"/>
      <c r="O512" s="184"/>
      <c r="P512" s="184" t="b">
        <v>0</v>
      </c>
    </row>
    <row r="513" spans="1:16" ht="12.75">
      <c r="A513" s="184" t="str">
        <f t="shared" si="22"/>
        <v>WD-FLC-PRS-Ps-512</v>
      </c>
      <c r="B513" s="184">
        <v>512</v>
      </c>
      <c r="C513" s="184" t="str">
        <f t="shared" si="21"/>
        <v>[41CXXX1] North Side Rainbird Line Pressure</v>
      </c>
      <c r="D513" s="184" t="s">
        <v>1033</v>
      </c>
      <c r="E513" s="184" t="s">
        <v>1034</v>
      </c>
      <c r="F513" s="184" t="s">
        <v>916</v>
      </c>
      <c r="G513" s="184" t="s">
        <v>919</v>
      </c>
      <c r="H513" s="184" t="s">
        <v>54</v>
      </c>
      <c r="I513" s="184" t="s">
        <v>55</v>
      </c>
      <c r="J513" s="184"/>
      <c r="K513" s="184" t="s">
        <v>56</v>
      </c>
      <c r="L513" s="184" t="s">
        <v>57</v>
      </c>
      <c r="M513" s="184"/>
      <c r="N513" s="184"/>
      <c r="O513" s="184"/>
      <c r="P513" s="184" t="b">
        <v>0</v>
      </c>
    </row>
    <row r="514" spans="1:16" ht="12.75">
      <c r="A514" s="184" t="str">
        <f t="shared" si="22"/>
        <v>WD-FLC-PRS-Ps-513</v>
      </c>
      <c r="B514" s="184">
        <v>513</v>
      </c>
      <c r="C514" s="184" t="str">
        <f t="shared" si="21"/>
        <v>[41CXXX2] Ring Line Pressure</v>
      </c>
      <c r="D514" s="184" t="s">
        <v>1035</v>
      </c>
      <c r="E514" s="184" t="s">
        <v>1036</v>
      </c>
      <c r="F514" s="184" t="s">
        <v>916</v>
      </c>
      <c r="G514" s="184" t="s">
        <v>919</v>
      </c>
      <c r="H514" s="184" t="s">
        <v>54</v>
      </c>
      <c r="I514" s="184" t="s">
        <v>55</v>
      </c>
      <c r="J514" s="184"/>
      <c r="K514" s="184" t="s">
        <v>56</v>
      </c>
      <c r="L514" s="184" t="s">
        <v>57</v>
      </c>
      <c r="M514" s="184"/>
      <c r="N514" s="184"/>
      <c r="O514" s="184"/>
      <c r="P514" s="184" t="b">
        <v>0</v>
      </c>
    </row>
    <row r="515" spans="1:16" ht="12.75">
      <c r="A515" s="184" t="str">
        <f t="shared" si="22"/>
        <v>WD-FLC-PRS-Ps-514</v>
      </c>
      <c r="B515" s="184">
        <v>514</v>
      </c>
      <c r="C515" s="184" t="str">
        <f t="shared" si="21"/>
        <v>[41CXXX3] South Side Rainbird Line Pressure</v>
      </c>
      <c r="D515" s="184" t="s">
        <v>1037</v>
      </c>
      <c r="E515" s="184" t="s">
        <v>1038</v>
      </c>
      <c r="F515" s="184" t="s">
        <v>916</v>
      </c>
      <c r="G515" s="184" t="s">
        <v>919</v>
      </c>
      <c r="H515" s="184" t="s">
        <v>54</v>
      </c>
      <c r="I515" s="184" t="s">
        <v>55</v>
      </c>
      <c r="J515" s="184"/>
      <c r="K515" s="184" t="s">
        <v>56</v>
      </c>
      <c r="L515" s="184" t="s">
        <v>57</v>
      </c>
      <c r="M515" s="184"/>
      <c r="N515" s="184"/>
      <c r="O515" s="184"/>
      <c r="P515" s="184" t="b">
        <v>0</v>
      </c>
    </row>
    <row r="516" spans="1:16" ht="12.75" hidden="1">
      <c r="A516" s="184" t="str">
        <f t="shared" si="22"/>
        <v>GHe-STR-PXS-PxO-515</v>
      </c>
      <c r="B516" s="184">
        <v>515</v>
      </c>
      <c r="C516" s="184" t="str">
        <f t="shared" si="21"/>
        <v>[04C342.2] GHe store backup valve - Open</v>
      </c>
      <c r="D516" s="184" t="s">
        <v>1039</v>
      </c>
      <c r="E516" s="184" t="s">
        <v>1040</v>
      </c>
      <c r="F516" s="184" t="s">
        <v>171</v>
      </c>
      <c r="G516" s="184" t="s">
        <v>100</v>
      </c>
      <c r="H516" s="184" t="s">
        <v>485</v>
      </c>
      <c r="I516" s="184" t="s">
        <v>73</v>
      </c>
      <c r="J516" s="184"/>
      <c r="K516" s="184" t="s">
        <v>115</v>
      </c>
      <c r="L516" s="184" t="s">
        <v>50</v>
      </c>
      <c r="M516" s="184"/>
      <c r="N516" s="184"/>
      <c r="O516" s="184"/>
      <c r="P516" s="184" t="b">
        <v>0</v>
      </c>
    </row>
    <row r="517" spans="1:16" ht="12.75" hidden="1">
      <c r="A517" s="184" t="str">
        <f t="shared" si="22"/>
        <v>GHe-STR-PXS-PxC-516</v>
      </c>
      <c r="B517" s="184">
        <v>516</v>
      </c>
      <c r="C517" s="184" t="str">
        <f t="shared" si="21"/>
        <v>[04C342.2] GHe store backup valve - Closed</v>
      </c>
      <c r="D517" s="184" t="s">
        <v>1041</v>
      </c>
      <c r="E517" s="184" t="s">
        <v>1040</v>
      </c>
      <c r="F517" s="184" t="s">
        <v>171</v>
      </c>
      <c r="G517" s="184" t="s">
        <v>100</v>
      </c>
      <c r="H517" s="184" t="s">
        <v>485</v>
      </c>
      <c r="I517" s="184" t="s">
        <v>73</v>
      </c>
      <c r="J517" s="184"/>
      <c r="K517" s="184" t="s">
        <v>108</v>
      </c>
      <c r="L517" s="184" t="s">
        <v>50</v>
      </c>
      <c r="M517" s="184"/>
      <c r="N517" s="184"/>
      <c r="O517" s="184"/>
      <c r="P517" s="184" t="b">
        <v>0</v>
      </c>
    </row>
    <row r="518" spans="1:16" ht="12.75" hidden="1">
      <c r="A518" s="184" t="str">
        <f t="shared" si="22"/>
        <v>AG-LF-PXS-PxO-517</v>
      </c>
      <c r="B518" s="184">
        <v>517</v>
      </c>
      <c r="C518" s="184" t="str">
        <f t="shared" si="21"/>
        <v>[04C345.2] Stage 1 Anti-Geysering Low Flow Valve - Open</v>
      </c>
      <c r="D518" s="184" t="s">
        <v>1042</v>
      </c>
      <c r="E518" s="184" t="s">
        <v>1043</v>
      </c>
      <c r="F518" s="184" t="s">
        <v>45</v>
      </c>
      <c r="G518" s="184" t="s">
        <v>65</v>
      </c>
      <c r="H518" s="184" t="s">
        <v>485</v>
      </c>
      <c r="I518" s="184" t="s">
        <v>73</v>
      </c>
      <c r="J518" s="184"/>
      <c r="K518" s="184" t="s">
        <v>115</v>
      </c>
      <c r="L518" s="184" t="s">
        <v>50</v>
      </c>
      <c r="M518" s="184"/>
      <c r="N518" s="184"/>
      <c r="O518" s="184"/>
      <c r="P518" s="184" t="b">
        <v>0</v>
      </c>
    </row>
    <row r="519" spans="1:16" ht="12.75" hidden="1">
      <c r="A519" s="184" t="str">
        <f t="shared" si="22"/>
        <v>AG-LF-PXS-PxC-518</v>
      </c>
      <c r="B519" s="184">
        <v>518</v>
      </c>
      <c r="C519" s="184" t="str">
        <f t="shared" si="21"/>
        <v>[04C345.2] Stage 1 Anti-Geysering Low Flow Valve - Closed</v>
      </c>
      <c r="D519" s="184" t="s">
        <v>1044</v>
      </c>
      <c r="E519" s="184" t="s">
        <v>1043</v>
      </c>
      <c r="F519" s="184" t="s">
        <v>45</v>
      </c>
      <c r="G519" s="184" t="s">
        <v>65</v>
      </c>
      <c r="H519" s="184" t="s">
        <v>485</v>
      </c>
      <c r="I519" s="184" t="s">
        <v>73</v>
      </c>
      <c r="J519" s="184"/>
      <c r="K519" s="184" t="s">
        <v>108</v>
      </c>
      <c r="L519" s="184" t="s">
        <v>50</v>
      </c>
      <c r="M519" s="184"/>
      <c r="N519" s="184"/>
      <c r="O519" s="184"/>
      <c r="P519" s="184" t="b">
        <v>0</v>
      </c>
    </row>
    <row r="520" spans="1:16" ht="12.75" hidden="1">
      <c r="A520" s="184" t="str">
        <f t="shared" si="22"/>
        <v>AG-HF-PXS-PxO-519</v>
      </c>
      <c r="B520" s="184">
        <v>519</v>
      </c>
      <c r="C520" s="184" t="str">
        <f t="shared" si="21"/>
        <v>[04C346.2] Stage 1 Anti-Geysering High Flow Valve - Open</v>
      </c>
      <c r="D520" s="184" t="s">
        <v>1045</v>
      </c>
      <c r="E520" s="184" t="s">
        <v>1046</v>
      </c>
      <c r="F520" s="184" t="s">
        <v>45</v>
      </c>
      <c r="G520" s="184" t="s">
        <v>46</v>
      </c>
      <c r="H520" s="184" t="s">
        <v>485</v>
      </c>
      <c r="I520" s="184" t="s">
        <v>73</v>
      </c>
      <c r="J520" s="184"/>
      <c r="K520" s="184" t="s">
        <v>115</v>
      </c>
      <c r="L520" s="184" t="s">
        <v>50</v>
      </c>
      <c r="M520" s="184"/>
      <c r="N520" s="184"/>
      <c r="O520" s="184"/>
      <c r="P520" s="184" t="b">
        <v>0</v>
      </c>
    </row>
    <row r="521" spans="1:16" ht="12.75" hidden="1">
      <c r="A521" s="184" t="str">
        <f t="shared" si="22"/>
        <v>AG-HF-PXS-PxC-520</v>
      </c>
      <c r="B521" s="184">
        <v>520</v>
      </c>
      <c r="C521" s="184" t="str">
        <f t="shared" si="21"/>
        <v>[04C346.2] Stage 1 Anti-Geysering High Flow Valve - Closed</v>
      </c>
      <c r="D521" s="184" t="s">
        <v>1047</v>
      </c>
      <c r="E521" s="184" t="s">
        <v>1046</v>
      </c>
      <c r="F521" s="184" t="s">
        <v>45</v>
      </c>
      <c r="G521" s="184" t="s">
        <v>46</v>
      </c>
      <c r="H521" s="184" t="s">
        <v>485</v>
      </c>
      <c r="I521" s="184" t="s">
        <v>73</v>
      </c>
      <c r="J521" s="184"/>
      <c r="K521" s="184" t="s">
        <v>108</v>
      </c>
      <c r="L521" s="184" t="s">
        <v>50</v>
      </c>
      <c r="M521" s="184"/>
      <c r="N521" s="184"/>
      <c r="O521" s="184"/>
      <c r="P521" s="184" t="b">
        <v>0</v>
      </c>
    </row>
    <row r="522" spans="1:16" s="151" customFormat="1" ht="12.75" hidden="1">
      <c r="A522" s="184"/>
      <c r="B522" s="184">
        <v>521</v>
      </c>
      <c r="C522" s="184" t="str">
        <f t="shared" ref="C522:C585" si="23">_xlfn.TEXTJOIN("", TRUE, "[", E522,"] ",D522)</f>
        <v xml:space="preserve">[] </v>
      </c>
      <c r="D522" s="184"/>
      <c r="E522" s="184"/>
      <c r="F522" s="184"/>
      <c r="G522" s="184"/>
      <c r="H522" s="184"/>
      <c r="I522" s="184"/>
      <c r="J522" s="184"/>
      <c r="K522" s="184"/>
      <c r="L522" s="184"/>
      <c r="M522" s="184"/>
      <c r="N522" s="184"/>
      <c r="O522" s="184"/>
      <c r="P522" s="184"/>
    </row>
    <row r="523" spans="1:16" ht="12.75">
      <c r="A523" s="184" t="str">
        <f t="shared" si="22"/>
        <v>IGN-GOX-PRS-Ps-522</v>
      </c>
      <c r="B523" s="184">
        <v>522</v>
      </c>
      <c r="C523" s="184" t="str">
        <f t="shared" si="23"/>
        <v>[15C961] GOX umbilical pressure</v>
      </c>
      <c r="D523" s="184" t="s">
        <v>1048</v>
      </c>
      <c r="E523" s="184" t="s">
        <v>1049</v>
      </c>
      <c r="F523" s="184" t="s">
        <v>587</v>
      </c>
      <c r="G523" s="184" t="s">
        <v>588</v>
      </c>
      <c r="H523" s="184" t="s">
        <v>54</v>
      </c>
      <c r="I523" s="184" t="s">
        <v>55</v>
      </c>
      <c r="J523" s="184"/>
      <c r="K523" s="184" t="s">
        <v>56</v>
      </c>
      <c r="L523" s="184" t="s">
        <v>57</v>
      </c>
      <c r="M523" s="184"/>
      <c r="N523" s="184"/>
      <c r="O523" s="184"/>
      <c r="P523" s="184" t="b">
        <v>0</v>
      </c>
    </row>
    <row r="524" spans="1:16" ht="12.75" hidden="1">
      <c r="A524" s="184" t="str">
        <f t="shared" si="22"/>
        <v>IGN-CH4-EV-B-523</v>
      </c>
      <c r="B524" s="184">
        <v>523</v>
      </c>
      <c r="C524" s="184" t="str">
        <f t="shared" si="23"/>
        <v>[14C381] CH4 umbilical vent valve</v>
      </c>
      <c r="D524" s="184" t="s">
        <v>1050</v>
      </c>
      <c r="E524" s="184" t="s">
        <v>1051</v>
      </c>
      <c r="F524" s="184" t="s">
        <v>587</v>
      </c>
      <c r="G524" s="184" t="s">
        <v>593</v>
      </c>
      <c r="H524" s="184" t="s">
        <v>898</v>
      </c>
      <c r="I524" s="184" t="s">
        <v>48</v>
      </c>
      <c r="J524" s="184"/>
      <c r="K524" s="184" t="s">
        <v>104</v>
      </c>
      <c r="L524" s="184" t="s">
        <v>50</v>
      </c>
      <c r="M524" s="184"/>
      <c r="N524" s="184"/>
      <c r="O524" s="184"/>
      <c r="P524" s="184" t="b">
        <v>0</v>
      </c>
    </row>
    <row r="525" spans="1:16" ht="12.75">
      <c r="A525" s="184" t="str">
        <f t="shared" si="22"/>
        <v>CO2-MN-PRS-Ps-524</v>
      </c>
      <c r="B525" s="184">
        <v>524</v>
      </c>
      <c r="C525" s="184" t="str">
        <f t="shared" si="23"/>
        <v>[13C961] CO2 Flow indicating Pressure Transducer</v>
      </c>
      <c r="D525" s="184" t="s">
        <v>1052</v>
      </c>
      <c r="E525" s="184" t="s">
        <v>1053</v>
      </c>
      <c r="F525" s="184" t="s">
        <v>99</v>
      </c>
      <c r="G525" s="184" t="s">
        <v>103</v>
      </c>
      <c r="H525" s="184" t="s">
        <v>54</v>
      </c>
      <c r="I525" s="184" t="s">
        <v>55</v>
      </c>
      <c r="J525" s="184"/>
      <c r="K525" s="184" t="s">
        <v>56</v>
      </c>
      <c r="L525" s="184" t="s">
        <v>50</v>
      </c>
      <c r="M525" s="184"/>
      <c r="N525" s="184"/>
      <c r="O525" s="184"/>
      <c r="P525" s="184" t="b">
        <v>0</v>
      </c>
    </row>
    <row r="526" spans="1:16" s="151" customFormat="1" ht="12.75" hidden="1">
      <c r="A526" s="184"/>
      <c r="B526" s="184">
        <v>525</v>
      </c>
      <c r="C526" s="184" t="str">
        <f t="shared" si="23"/>
        <v xml:space="preserve">[] </v>
      </c>
      <c r="D526" s="184"/>
      <c r="E526" s="184"/>
      <c r="F526" s="184"/>
      <c r="G526" s="184"/>
      <c r="H526" s="184"/>
      <c r="I526" s="184"/>
      <c r="J526" s="184"/>
      <c r="K526" s="184"/>
      <c r="L526" s="184"/>
      <c r="M526" s="184"/>
      <c r="N526" s="184"/>
      <c r="O526" s="184"/>
      <c r="P526" s="184"/>
    </row>
    <row r="527" spans="1:16" s="151" customFormat="1" ht="12.75" hidden="1">
      <c r="A527" s="184"/>
      <c r="B527" s="184">
        <v>526</v>
      </c>
      <c r="C527" s="184" t="str">
        <f t="shared" si="23"/>
        <v xml:space="preserve">[] </v>
      </c>
      <c r="D527" s="184"/>
      <c r="E527" s="184"/>
      <c r="F527" s="184"/>
      <c r="G527" s="184"/>
      <c r="H527" s="184"/>
      <c r="I527" s="184"/>
      <c r="J527" s="184"/>
      <c r="K527" s="184"/>
      <c r="L527" s="184"/>
      <c r="M527" s="184"/>
      <c r="N527" s="184"/>
      <c r="O527" s="184"/>
      <c r="P527" s="184"/>
    </row>
    <row r="528" spans="1:16" ht="12.75">
      <c r="A528" s="184" t="str">
        <f t="shared" si="22"/>
        <v>IGN-CH4-PRS-Ps-527</v>
      </c>
      <c r="B528" s="184">
        <v>527</v>
      </c>
      <c r="C528" s="184" t="str">
        <f t="shared" si="23"/>
        <v>[14C969] CH4 umbilical Pressure Transducer</v>
      </c>
      <c r="D528" s="184" t="s">
        <v>1054</v>
      </c>
      <c r="E528" s="184" t="s">
        <v>1055</v>
      </c>
      <c r="F528" s="184" t="s">
        <v>587</v>
      </c>
      <c r="G528" s="184" t="s">
        <v>593</v>
      </c>
      <c r="H528" s="184" t="s">
        <v>54</v>
      </c>
      <c r="I528" s="184" t="s">
        <v>55</v>
      </c>
      <c r="J528" s="184"/>
      <c r="K528" s="184" t="s">
        <v>56</v>
      </c>
      <c r="L528" s="184" t="s">
        <v>57</v>
      </c>
      <c r="M528" s="184"/>
      <c r="N528" s="184"/>
      <c r="O528" s="184"/>
      <c r="P528" s="184" t="b">
        <v>0</v>
      </c>
    </row>
    <row r="529" spans="1:16" ht="12.75" hidden="1">
      <c r="A529" s="184" t="str">
        <f t="shared" si="22"/>
        <v>KF-TS-LS-PxO-528</v>
      </c>
      <c r="B529" s="184">
        <v>528</v>
      </c>
      <c r="C529" s="184" t="str">
        <f t="shared" si="23"/>
        <v>[01C308] Recirculation line isolation valve - Open</v>
      </c>
      <c r="D529" s="184" t="s">
        <v>1056</v>
      </c>
      <c r="E529" s="184" t="s">
        <v>629</v>
      </c>
      <c r="F529" s="184" t="s">
        <v>630</v>
      </c>
      <c r="G529" s="184" t="s">
        <v>631</v>
      </c>
      <c r="H529" s="184" t="s">
        <v>107</v>
      </c>
      <c r="I529" s="184" t="s">
        <v>73</v>
      </c>
      <c r="J529" s="184"/>
      <c r="K529" s="184" t="s">
        <v>115</v>
      </c>
      <c r="L529" s="184" t="s">
        <v>50</v>
      </c>
      <c r="M529" s="184"/>
      <c r="N529" s="184"/>
      <c r="O529" s="184"/>
      <c r="P529" s="184" t="b">
        <v>0</v>
      </c>
    </row>
    <row r="530" spans="1:16" ht="12.75" hidden="1">
      <c r="A530" s="184" t="str">
        <f t="shared" si="22"/>
        <v>KF-TS-LS-PxC-529</v>
      </c>
      <c r="B530" s="184">
        <v>529</v>
      </c>
      <c r="C530" s="184" t="str">
        <f t="shared" si="23"/>
        <v>[01C308.2] Recirculation line isolation valve- Closed</v>
      </c>
      <c r="D530" s="184" t="s">
        <v>1057</v>
      </c>
      <c r="E530" s="184" t="s">
        <v>1058</v>
      </c>
      <c r="F530" s="184" t="s">
        <v>630</v>
      </c>
      <c r="G530" s="184" t="s">
        <v>631</v>
      </c>
      <c r="H530" s="184" t="s">
        <v>107</v>
      </c>
      <c r="I530" s="184" t="s">
        <v>73</v>
      </c>
      <c r="J530" s="184"/>
      <c r="K530" s="184" t="s">
        <v>108</v>
      </c>
      <c r="L530" s="184" t="s">
        <v>50</v>
      </c>
      <c r="M530" s="184"/>
      <c r="N530" s="184"/>
      <c r="O530" s="184"/>
      <c r="P530" s="184" t="b">
        <v>0</v>
      </c>
    </row>
    <row r="531" spans="1:16" s="151" customFormat="1" ht="12.75" hidden="1">
      <c r="A531" s="184"/>
      <c r="B531" s="184">
        <v>530</v>
      </c>
      <c r="C531" s="184" t="str">
        <f t="shared" si="23"/>
        <v xml:space="preserve">[] </v>
      </c>
      <c r="D531" s="184"/>
      <c r="E531" s="184"/>
      <c r="F531" s="184"/>
      <c r="G531" s="184"/>
      <c r="H531" s="184"/>
      <c r="I531" s="184"/>
      <c r="J531" s="184"/>
      <c r="K531" s="184"/>
      <c r="L531" s="184"/>
      <c r="M531" s="184"/>
      <c r="N531" s="184"/>
      <c r="O531" s="184"/>
      <c r="P531" s="184"/>
    </row>
    <row r="532" spans="1:16" ht="12.75">
      <c r="A532" s="184" t="str">
        <f t="shared" si="22"/>
        <v>KF-TR-VSD-SPD-531</v>
      </c>
      <c r="B532" s="184">
        <v>531</v>
      </c>
      <c r="C532" s="184" t="str">
        <f t="shared" si="23"/>
        <v>[01C693] Kero Pump VSD Speed Feedback</v>
      </c>
      <c r="D532" s="184" t="s">
        <v>1059</v>
      </c>
      <c r="E532" s="184" t="s">
        <v>1060</v>
      </c>
      <c r="F532" s="184" t="s">
        <v>630</v>
      </c>
      <c r="G532" s="184" t="s">
        <v>634</v>
      </c>
      <c r="H532" s="184" t="s">
        <v>648</v>
      </c>
      <c r="I532" s="184" t="s">
        <v>55</v>
      </c>
      <c r="J532" s="184"/>
      <c r="K532" s="184" t="s">
        <v>651</v>
      </c>
      <c r="L532" s="184" t="s">
        <v>652</v>
      </c>
      <c r="M532" s="184"/>
      <c r="N532" s="184"/>
      <c r="O532" s="184"/>
      <c r="P532" s="184" t="b">
        <v>0</v>
      </c>
    </row>
    <row r="533" spans="1:16" s="151" customFormat="1" ht="12.75" hidden="1">
      <c r="A533" s="184"/>
      <c r="B533" s="184">
        <v>532</v>
      </c>
      <c r="C533" s="184" t="str">
        <f t="shared" si="23"/>
        <v xml:space="preserve">[] </v>
      </c>
      <c r="D533" s="184"/>
      <c r="E533" s="184"/>
      <c r="F533" s="184"/>
      <c r="G533" s="184"/>
      <c r="H533" s="184"/>
      <c r="I533" s="184"/>
      <c r="J533" s="184"/>
      <c r="K533" s="184"/>
      <c r="L533" s="184"/>
      <c r="M533" s="184"/>
      <c r="N533" s="184"/>
      <c r="O533" s="184"/>
      <c r="P533" s="184"/>
    </row>
    <row r="534" spans="1:16" ht="12.75" hidden="1">
      <c r="A534" s="184" t="str">
        <f t="shared" si="22"/>
        <v>KF-TR-VSD-B-533</v>
      </c>
      <c r="B534" s="184">
        <v>533</v>
      </c>
      <c r="C534" s="184" t="str">
        <f t="shared" si="23"/>
        <v>[01C693] Kero Pump VSD Fault</v>
      </c>
      <c r="D534" s="184" t="s">
        <v>1061</v>
      </c>
      <c r="E534" s="184" t="s">
        <v>1060</v>
      </c>
      <c r="F534" s="184" t="s">
        <v>630</v>
      </c>
      <c r="G534" s="184" t="s">
        <v>634</v>
      </c>
      <c r="H534" s="184" t="s">
        <v>648</v>
      </c>
      <c r="I534" s="184" t="s">
        <v>73</v>
      </c>
      <c r="J534" s="184"/>
      <c r="K534" s="184" t="s">
        <v>104</v>
      </c>
      <c r="L534" s="184" t="s">
        <v>50</v>
      </c>
      <c r="M534" s="184"/>
      <c r="N534" s="184"/>
      <c r="O534" s="184"/>
      <c r="P534" s="184" t="b">
        <v>0</v>
      </c>
    </row>
    <row r="535" spans="1:16" ht="12.75" hidden="1">
      <c r="A535" s="184" t="str">
        <f t="shared" si="22"/>
        <v>WD-RB-LS-PxO-534</v>
      </c>
      <c r="B535" s="184">
        <v>534</v>
      </c>
      <c r="C535" s="184" t="str">
        <f t="shared" si="23"/>
        <v>[41C306.2] South Side Rainbirds Valve Open</v>
      </c>
      <c r="D535" s="154" t="s">
        <v>1062</v>
      </c>
      <c r="E535" s="184" t="s">
        <v>1063</v>
      </c>
      <c r="F535" s="184" t="s">
        <v>916</v>
      </c>
      <c r="G535" s="184" t="s">
        <v>931</v>
      </c>
      <c r="H535" s="184" t="s">
        <v>107</v>
      </c>
      <c r="I535" s="184" t="s">
        <v>73</v>
      </c>
      <c r="J535" s="184"/>
      <c r="K535" s="184" t="s">
        <v>115</v>
      </c>
      <c r="L535" s="184" t="s">
        <v>50</v>
      </c>
      <c r="M535" s="184"/>
      <c r="N535" s="184"/>
      <c r="O535" s="184"/>
      <c r="P535" s="184" t="b">
        <v>0</v>
      </c>
    </row>
    <row r="536" spans="1:16" ht="12.75" hidden="1">
      <c r="A536" s="184" t="str">
        <f t="shared" si="22"/>
        <v>WD-RB-LS-PxC-535</v>
      </c>
      <c r="B536" s="184">
        <v>535</v>
      </c>
      <c r="C536" s="184" t="str">
        <f t="shared" si="23"/>
        <v>[41C306.2] South Side Rainbirds Valve Closed</v>
      </c>
      <c r="D536" s="154" t="s">
        <v>1064</v>
      </c>
      <c r="E536" s="184" t="s">
        <v>1063</v>
      </c>
      <c r="F536" s="184" t="s">
        <v>916</v>
      </c>
      <c r="G536" s="184" t="s">
        <v>931</v>
      </c>
      <c r="H536" s="184" t="s">
        <v>107</v>
      </c>
      <c r="I536" s="184" t="s">
        <v>73</v>
      </c>
      <c r="J536" s="184"/>
      <c r="K536" s="184" t="s">
        <v>108</v>
      </c>
      <c r="L536" s="184" t="s">
        <v>50</v>
      </c>
      <c r="M536" s="184"/>
      <c r="N536" s="184"/>
      <c r="O536" s="184"/>
      <c r="P536" s="184" t="b">
        <v>0</v>
      </c>
    </row>
    <row r="537" spans="1:16" ht="12.75" hidden="1">
      <c r="A537" s="184" t="str">
        <f t="shared" si="22"/>
        <v>WD-HR-LS-PxO-536</v>
      </c>
      <c r="B537" s="184">
        <v>536</v>
      </c>
      <c r="C537" s="184" t="str">
        <f t="shared" si="23"/>
        <v>[41C308.2] Ring Discrete Ball Valve Open</v>
      </c>
      <c r="D537" s="184" t="s">
        <v>1065</v>
      </c>
      <c r="E537" s="184" t="s">
        <v>1066</v>
      </c>
      <c r="F537" s="184" t="s">
        <v>916</v>
      </c>
      <c r="G537" s="184" t="s">
        <v>934</v>
      </c>
      <c r="H537" s="184" t="s">
        <v>107</v>
      </c>
      <c r="I537" s="184" t="s">
        <v>73</v>
      </c>
      <c r="J537" s="184"/>
      <c r="K537" s="184" t="s">
        <v>115</v>
      </c>
      <c r="L537" s="184" t="s">
        <v>50</v>
      </c>
      <c r="M537" s="184"/>
      <c r="N537" s="184"/>
      <c r="O537" s="184"/>
      <c r="P537" s="184" t="b">
        <v>0</v>
      </c>
    </row>
    <row r="538" spans="1:16" ht="12.75" hidden="1">
      <c r="A538" s="184" t="str">
        <f t="shared" si="22"/>
        <v>WD-HR-LS-PxC-537</v>
      </c>
      <c r="B538" s="184">
        <v>537</v>
      </c>
      <c r="C538" s="184" t="str">
        <f t="shared" si="23"/>
        <v>[41C308.2] Ring Discrete Ball Valve Closed</v>
      </c>
      <c r="D538" s="184" t="s">
        <v>1067</v>
      </c>
      <c r="E538" s="184" t="s">
        <v>1066</v>
      </c>
      <c r="F538" s="184" t="s">
        <v>916</v>
      </c>
      <c r="G538" s="184" t="s">
        <v>934</v>
      </c>
      <c r="H538" s="184" t="s">
        <v>107</v>
      </c>
      <c r="I538" s="184" t="s">
        <v>73</v>
      </c>
      <c r="J538" s="184"/>
      <c r="K538" s="184" t="s">
        <v>108</v>
      </c>
      <c r="L538" s="184" t="s">
        <v>50</v>
      </c>
      <c r="M538" s="184"/>
      <c r="N538" s="184"/>
      <c r="O538" s="184"/>
      <c r="P538" s="184" t="b">
        <v>0</v>
      </c>
    </row>
    <row r="539" spans="1:16" ht="12.75" hidden="1">
      <c r="A539" s="184" t="str">
        <f t="shared" si="22"/>
        <v>WD-RB-LS-PxO-538</v>
      </c>
      <c r="B539" s="184">
        <v>538</v>
      </c>
      <c r="C539" s="184" t="str">
        <f t="shared" si="23"/>
        <v>[41C309.2] North Side Rainbirds Valve Open</v>
      </c>
      <c r="D539" s="154" t="s">
        <v>1068</v>
      </c>
      <c r="E539" s="184" t="s">
        <v>1069</v>
      </c>
      <c r="F539" s="184" t="s">
        <v>916</v>
      </c>
      <c r="G539" s="184" t="s">
        <v>931</v>
      </c>
      <c r="H539" s="184" t="s">
        <v>107</v>
      </c>
      <c r="I539" s="184" t="s">
        <v>73</v>
      </c>
      <c r="J539" s="184"/>
      <c r="K539" s="184" t="s">
        <v>115</v>
      </c>
      <c r="L539" s="184" t="s">
        <v>50</v>
      </c>
      <c r="M539" s="184"/>
      <c r="N539" s="184"/>
      <c r="O539" s="184"/>
      <c r="P539" s="184" t="b">
        <v>0</v>
      </c>
    </row>
    <row r="540" spans="1:16" ht="12.75" hidden="1">
      <c r="A540" s="184" t="str">
        <f t="shared" si="22"/>
        <v>WD-RB-LS-PxC-539</v>
      </c>
      <c r="B540" s="184">
        <v>539</v>
      </c>
      <c r="C540" s="184" t="str">
        <f t="shared" si="23"/>
        <v>[41C309.2] North Side Rainbirds Valve Closed</v>
      </c>
      <c r="D540" s="154" t="s">
        <v>1070</v>
      </c>
      <c r="E540" s="184" t="s">
        <v>1069</v>
      </c>
      <c r="F540" s="184" t="s">
        <v>916</v>
      </c>
      <c r="G540" s="184" t="s">
        <v>931</v>
      </c>
      <c r="H540" s="184" t="s">
        <v>107</v>
      </c>
      <c r="I540" s="184" t="s">
        <v>73</v>
      </c>
      <c r="J540" s="184"/>
      <c r="K540" s="184" t="s">
        <v>108</v>
      </c>
      <c r="L540" s="184" t="s">
        <v>50</v>
      </c>
      <c r="M540" s="184"/>
      <c r="N540" s="184"/>
      <c r="O540" s="184"/>
      <c r="P540" s="184" t="b">
        <v>0</v>
      </c>
    </row>
    <row r="541" spans="1:16" ht="12.75" hidden="1">
      <c r="A541" s="184" t="str">
        <f t="shared" si="22"/>
        <v>IGN-GOX-PXS-PxO-540</v>
      </c>
      <c r="B541" s="184">
        <v>540</v>
      </c>
      <c r="C541" s="184" t="str">
        <f t="shared" si="23"/>
        <v>[15C313.2] GOX umbilical isolation valve - Open</v>
      </c>
      <c r="D541" s="184" t="s">
        <v>1071</v>
      </c>
      <c r="E541" s="184" t="s">
        <v>1072</v>
      </c>
      <c r="F541" s="184" t="s">
        <v>587</v>
      </c>
      <c r="G541" s="184" t="s">
        <v>588</v>
      </c>
      <c r="H541" s="184" t="s">
        <v>485</v>
      </c>
      <c r="I541" s="184" t="s">
        <v>73</v>
      </c>
      <c r="J541" s="184"/>
      <c r="K541" s="184" t="s">
        <v>115</v>
      </c>
      <c r="L541" s="184" t="s">
        <v>50</v>
      </c>
      <c r="M541" s="184"/>
      <c r="N541" s="184"/>
      <c r="O541" s="184"/>
      <c r="P541" s="184" t="b">
        <v>0</v>
      </c>
    </row>
    <row r="542" spans="1:16" ht="12.75" hidden="1">
      <c r="A542" s="184" t="str">
        <f t="shared" si="22"/>
        <v>IGN-GOX-PXS-PxC-541</v>
      </c>
      <c r="B542" s="184">
        <v>541</v>
      </c>
      <c r="C542" s="184" t="str">
        <f t="shared" si="23"/>
        <v>[15C313.2] GOX umbilical isolation valve - Closed</v>
      </c>
      <c r="D542" s="184" t="s">
        <v>1073</v>
      </c>
      <c r="E542" s="184" t="s">
        <v>1072</v>
      </c>
      <c r="F542" s="184" t="s">
        <v>587</v>
      </c>
      <c r="G542" s="184" t="s">
        <v>588</v>
      </c>
      <c r="H542" s="184" t="s">
        <v>485</v>
      </c>
      <c r="I542" s="184" t="s">
        <v>73</v>
      </c>
      <c r="J542" s="184"/>
      <c r="K542" s="184" t="s">
        <v>108</v>
      </c>
      <c r="L542" s="184" t="s">
        <v>50</v>
      </c>
      <c r="M542" s="184"/>
      <c r="N542" s="184"/>
      <c r="O542" s="184"/>
      <c r="P542" s="184" t="b">
        <v>0</v>
      </c>
    </row>
    <row r="543" spans="1:16" ht="12.75" hidden="1">
      <c r="A543" s="184" t="str">
        <f t="shared" si="22"/>
        <v>IGN-CH4-PXS-PxO-542</v>
      </c>
      <c r="B543" s="184">
        <v>542</v>
      </c>
      <c r="C543" s="184" t="str">
        <f t="shared" si="23"/>
        <v>[14C320.2] CH4 umbilical isolation valve - Open</v>
      </c>
      <c r="D543" s="184" t="s">
        <v>1074</v>
      </c>
      <c r="E543" s="184" t="s">
        <v>1075</v>
      </c>
      <c r="F543" s="184" t="s">
        <v>587</v>
      </c>
      <c r="G543" s="184" t="s">
        <v>593</v>
      </c>
      <c r="H543" s="184" t="s">
        <v>485</v>
      </c>
      <c r="I543" s="184" t="s">
        <v>73</v>
      </c>
      <c r="J543" s="184"/>
      <c r="K543" s="184" t="s">
        <v>115</v>
      </c>
      <c r="L543" s="184" t="s">
        <v>50</v>
      </c>
      <c r="M543" s="184"/>
      <c r="N543" s="184"/>
      <c r="O543" s="184"/>
      <c r="P543" s="184" t="b">
        <v>0</v>
      </c>
    </row>
    <row r="544" spans="1:16" ht="12.75" hidden="1">
      <c r="A544" s="184" t="str">
        <f t="shared" si="22"/>
        <v>IGN-CH4-PXS-PxC-543</v>
      </c>
      <c r="B544" s="184">
        <v>543</v>
      </c>
      <c r="C544" s="184" t="str">
        <f t="shared" si="23"/>
        <v>[14C320.2] CH4 umbilical isolation valve - Closed</v>
      </c>
      <c r="D544" s="184" t="s">
        <v>1076</v>
      </c>
      <c r="E544" s="184" t="s">
        <v>1075</v>
      </c>
      <c r="F544" s="184" t="s">
        <v>587</v>
      </c>
      <c r="G544" s="184" t="s">
        <v>593</v>
      </c>
      <c r="H544" s="184" t="s">
        <v>485</v>
      </c>
      <c r="I544" s="184" t="s">
        <v>73</v>
      </c>
      <c r="J544" s="184"/>
      <c r="K544" s="184" t="s">
        <v>108</v>
      </c>
      <c r="L544" s="184" t="s">
        <v>50</v>
      </c>
      <c r="M544" s="184"/>
      <c r="N544" s="184"/>
      <c r="O544" s="184"/>
      <c r="P544" s="184" t="b">
        <v>0</v>
      </c>
    </row>
    <row r="545" spans="1:16" ht="12.75" hidden="1">
      <c r="A545" s="184" t="str">
        <f t="shared" si="22"/>
        <v>LOX-LG-DVL-B-544</v>
      </c>
      <c r="B545" s="184">
        <v>544</v>
      </c>
      <c r="C545" s="184" t="str">
        <f t="shared" si="23"/>
        <v>[05C364] LOX pump 1 purge</v>
      </c>
      <c r="D545" s="184" t="s">
        <v>1077</v>
      </c>
      <c r="E545" s="184" t="s">
        <v>1078</v>
      </c>
      <c r="F545" s="184" t="s">
        <v>674</v>
      </c>
      <c r="G545" s="184" t="s">
        <v>941</v>
      </c>
      <c r="H545" s="184" t="s">
        <v>47</v>
      </c>
      <c r="I545" s="184" t="s">
        <v>48</v>
      </c>
      <c r="J545" s="184"/>
      <c r="K545" s="184" t="s">
        <v>104</v>
      </c>
      <c r="L545" s="184" t="s">
        <v>50</v>
      </c>
      <c r="M545" s="184"/>
      <c r="N545" s="184"/>
      <c r="O545" s="184"/>
      <c r="P545" s="184" t="b">
        <v>0</v>
      </c>
    </row>
    <row r="546" spans="1:16" ht="12.75" hidden="1">
      <c r="A546" s="184" t="str">
        <f t="shared" si="22"/>
        <v>LOX-LG-DVL-B-545</v>
      </c>
      <c r="B546" s="184">
        <v>545</v>
      </c>
      <c r="C546" s="184" t="str">
        <f t="shared" si="23"/>
        <v>[05C373] LOX pump shaft seal and motor purge - Cmd</v>
      </c>
      <c r="D546" s="184" t="s">
        <v>1079</v>
      </c>
      <c r="E546" s="184" t="s">
        <v>1080</v>
      </c>
      <c r="F546" s="184" t="s">
        <v>674</v>
      </c>
      <c r="G546" s="184" t="s">
        <v>941</v>
      </c>
      <c r="H546" s="184" t="s">
        <v>47</v>
      </c>
      <c r="I546" s="184" t="s">
        <v>48</v>
      </c>
      <c r="J546" s="184"/>
      <c r="K546" s="184" t="s">
        <v>104</v>
      </c>
      <c r="L546" s="184" t="s">
        <v>50</v>
      </c>
      <c r="M546" s="184"/>
      <c r="N546" s="184"/>
      <c r="O546" s="184"/>
      <c r="P546" s="184" t="b">
        <v>0</v>
      </c>
    </row>
    <row r="547" spans="1:16" ht="12.75" hidden="1">
      <c r="A547" s="184" t="str">
        <f t="shared" si="22"/>
        <v>LOX-LG-DVL-B-546</v>
      </c>
      <c r="B547" s="184">
        <v>546</v>
      </c>
      <c r="C547" s="184" t="str">
        <f t="shared" si="23"/>
        <v>[05C374] LOX pump 2 purge</v>
      </c>
      <c r="D547" s="184" t="s">
        <v>1081</v>
      </c>
      <c r="E547" s="184" t="s">
        <v>1082</v>
      </c>
      <c r="F547" s="184" t="s">
        <v>674</v>
      </c>
      <c r="G547" s="184" t="s">
        <v>941</v>
      </c>
      <c r="H547" s="184" t="s">
        <v>47</v>
      </c>
      <c r="I547" s="184" t="s">
        <v>48</v>
      </c>
      <c r="J547" s="184"/>
      <c r="K547" s="184" t="s">
        <v>104</v>
      </c>
      <c r="L547" s="184" t="s">
        <v>50</v>
      </c>
      <c r="M547" s="184"/>
      <c r="N547" s="184"/>
      <c r="O547" s="184"/>
      <c r="P547" s="184" t="b">
        <v>0</v>
      </c>
    </row>
    <row r="548" spans="1:16" ht="12.75" hidden="1">
      <c r="A548" s="184" t="str">
        <f t="shared" si="22"/>
        <v>LOX-LG-DVL-B-547</v>
      </c>
      <c r="B548" s="184">
        <v>547</v>
      </c>
      <c r="C548" s="184" t="str">
        <f t="shared" si="23"/>
        <v>[05C375] LOX fill skid purge</v>
      </c>
      <c r="D548" s="184" t="s">
        <v>1083</v>
      </c>
      <c r="E548" s="184" t="s">
        <v>1084</v>
      </c>
      <c r="F548" s="184" t="s">
        <v>674</v>
      </c>
      <c r="G548" s="184" t="s">
        <v>941</v>
      </c>
      <c r="H548" s="184" t="s">
        <v>47</v>
      </c>
      <c r="I548" s="184" t="s">
        <v>48</v>
      </c>
      <c r="J548" s="184"/>
      <c r="K548" s="184" t="s">
        <v>104</v>
      </c>
      <c r="L548" s="184" t="s">
        <v>50</v>
      </c>
      <c r="M548" s="184"/>
      <c r="N548" s="184"/>
      <c r="O548" s="184"/>
      <c r="P548" s="184" t="b">
        <v>0</v>
      </c>
    </row>
    <row r="549" spans="1:16" ht="12.75">
      <c r="A549" s="184" t="str">
        <f t="shared" si="22"/>
        <v>HYD-HD-TC-Ts-548</v>
      </c>
      <c r="B549" s="184">
        <v>548</v>
      </c>
      <c r="C549" s="184" t="str">
        <f t="shared" si="23"/>
        <v>[HYD-HD-TC-Ts-548] HD1 accumulator temperature</v>
      </c>
      <c r="D549" s="184" t="s">
        <v>1085</v>
      </c>
      <c r="E549" s="184" t="s">
        <v>1086</v>
      </c>
      <c r="F549" s="184" t="s">
        <v>318</v>
      </c>
      <c r="G549" s="184" t="s">
        <v>368</v>
      </c>
      <c r="H549" s="184" t="s">
        <v>229</v>
      </c>
      <c r="I549" s="184" t="s">
        <v>284</v>
      </c>
      <c r="J549" s="184"/>
      <c r="K549" s="184" t="s">
        <v>231</v>
      </c>
      <c r="L549" s="184" t="s">
        <v>232</v>
      </c>
      <c r="M549" s="184"/>
      <c r="N549" s="184"/>
      <c r="O549" s="184"/>
      <c r="P549" s="184" t="b">
        <v>0</v>
      </c>
    </row>
    <row r="550" spans="1:16" ht="12.75">
      <c r="A550" s="184" t="str">
        <f t="shared" si="22"/>
        <v>HYD-HD-TC-Ts-549</v>
      </c>
      <c r="B550" s="184">
        <v>549</v>
      </c>
      <c r="C550" s="184" t="str">
        <f t="shared" si="23"/>
        <v>[HYD-HD-TC-Ts-549] HD2 accumulator temperature</v>
      </c>
      <c r="D550" s="184" t="s">
        <v>1087</v>
      </c>
      <c r="E550" s="184" t="s">
        <v>1088</v>
      </c>
      <c r="F550" s="184" t="s">
        <v>318</v>
      </c>
      <c r="G550" s="184" t="s">
        <v>368</v>
      </c>
      <c r="H550" s="184" t="s">
        <v>229</v>
      </c>
      <c r="I550" s="184" t="s">
        <v>284</v>
      </c>
      <c r="J550" s="184"/>
      <c r="K550" s="184" t="s">
        <v>231</v>
      </c>
      <c r="L550" s="184" t="s">
        <v>232</v>
      </c>
      <c r="M550" s="184"/>
      <c r="N550" s="184"/>
      <c r="O550" s="184"/>
      <c r="P550" s="184" t="b">
        <v>0</v>
      </c>
    </row>
    <row r="551" spans="1:16" ht="12.75">
      <c r="A551" s="184" t="str">
        <f t="shared" si="22"/>
        <v>HYD-HD-TC-Ts-550</v>
      </c>
      <c r="B551" s="184">
        <v>550</v>
      </c>
      <c r="C551" s="184" t="str">
        <f t="shared" si="23"/>
        <v>[HYD-HD-TC-Ts-550] PTAC-3 Temp_ 7_26_8_27</v>
      </c>
      <c r="D551" s="184" t="s">
        <v>1089</v>
      </c>
      <c r="E551" s="184" t="s">
        <v>1090</v>
      </c>
      <c r="F551" s="184" t="s">
        <v>318</v>
      </c>
      <c r="G551" s="184" t="s">
        <v>368</v>
      </c>
      <c r="H551" s="184" t="s">
        <v>229</v>
      </c>
      <c r="I551" s="184" t="s">
        <v>284</v>
      </c>
      <c r="J551" s="184"/>
      <c r="K551" s="184" t="s">
        <v>231</v>
      </c>
      <c r="L551" s="184" t="s">
        <v>232</v>
      </c>
      <c r="M551" s="184"/>
      <c r="N551" s="184"/>
      <c r="O551" s="184"/>
      <c r="P551" s="184" t="b">
        <v>0</v>
      </c>
    </row>
    <row r="552" spans="1:16" ht="12.75">
      <c r="A552" s="184" t="str">
        <f t="shared" si="22"/>
        <v>HYD-HD-RTD-Ts-551</v>
      </c>
      <c r="B552" s="184">
        <v>551</v>
      </c>
      <c r="C552" s="184" t="str">
        <f t="shared" si="23"/>
        <v>[HYD-HD-TC-Ts-551] PTAC-4 Temp_ 11_30_12_31</v>
      </c>
      <c r="D552" s="184" t="s">
        <v>1091</v>
      </c>
      <c r="E552" s="184" t="s">
        <v>1092</v>
      </c>
      <c r="F552" s="184" t="s">
        <v>318</v>
      </c>
      <c r="G552" s="184" t="s">
        <v>368</v>
      </c>
      <c r="H552" s="184" t="s">
        <v>283</v>
      </c>
      <c r="I552" s="184" t="s">
        <v>284</v>
      </c>
      <c r="J552" s="184"/>
      <c r="K552" s="184" t="s">
        <v>231</v>
      </c>
      <c r="L552" s="184" t="s">
        <v>232</v>
      </c>
      <c r="M552" s="184"/>
      <c r="N552" s="184"/>
      <c r="O552" s="184"/>
      <c r="P552" s="184" t="b">
        <v>0</v>
      </c>
    </row>
    <row r="553" spans="1:16" ht="12.75" hidden="1">
      <c r="A553" s="184" t="str">
        <f t="shared" si="22"/>
        <v>HYD-HD-LS-PxC-552</v>
      </c>
      <c r="B553" s="184">
        <v>552</v>
      </c>
      <c r="C553" s="184" t="str">
        <f t="shared" si="23"/>
        <v>[SWAC-7-C] Accumulator isolation HD Lock Closed</v>
      </c>
      <c r="D553" s="184" t="s">
        <v>1093</v>
      </c>
      <c r="E553" s="184" t="s">
        <v>1094</v>
      </c>
      <c r="F553" s="184" t="s">
        <v>318</v>
      </c>
      <c r="G553" s="184" t="s">
        <v>368</v>
      </c>
      <c r="H553" s="184" t="s">
        <v>107</v>
      </c>
      <c r="I553" s="184" t="s">
        <v>73</v>
      </c>
      <c r="J553" s="184"/>
      <c r="K553" s="184" t="s">
        <v>108</v>
      </c>
      <c r="L553" s="184" t="s">
        <v>50</v>
      </c>
      <c r="M553" s="184"/>
      <c r="N553" s="184"/>
      <c r="O553" s="184"/>
      <c r="P553" s="184" t="b">
        <v>0</v>
      </c>
    </row>
    <row r="554" spans="1:16" ht="12.75" hidden="1">
      <c r="A554" s="184" t="str">
        <f t="shared" si="22"/>
        <v>HYD-HD-LS-PxO-553</v>
      </c>
      <c r="B554" s="184">
        <v>553</v>
      </c>
      <c r="C554" s="184" t="str">
        <f t="shared" si="23"/>
        <v>[SWAC-7-O] Accumulator isolation HD Lock Open</v>
      </c>
      <c r="D554" s="184" t="s">
        <v>1095</v>
      </c>
      <c r="E554" s="184" t="s">
        <v>1096</v>
      </c>
      <c r="F554" s="184" t="s">
        <v>318</v>
      </c>
      <c r="G554" s="184" t="s">
        <v>368</v>
      </c>
      <c r="H554" s="184" t="s">
        <v>107</v>
      </c>
      <c r="I554" s="184" t="s">
        <v>73</v>
      </c>
      <c r="J554" s="184"/>
      <c r="K554" s="184" t="s">
        <v>115</v>
      </c>
      <c r="L554" s="184" t="s">
        <v>50</v>
      </c>
      <c r="M554" s="184"/>
      <c r="N554" s="184"/>
      <c r="O554" s="184"/>
      <c r="P554" s="184" t="b">
        <v>0</v>
      </c>
    </row>
    <row r="555" spans="1:16" ht="12.75" hidden="1">
      <c r="A555" s="184" t="str">
        <f t="shared" si="22"/>
        <v>HYD-HD-LS-PxO-554</v>
      </c>
      <c r="B555" s="184">
        <v>554</v>
      </c>
      <c r="C555" s="184" t="str">
        <f t="shared" si="23"/>
        <v>[SWAC-2-O] Accumulator isolation valve state Open- HD2</v>
      </c>
      <c r="D555" s="184" t="s">
        <v>1097</v>
      </c>
      <c r="E555" s="184" t="s">
        <v>1098</v>
      </c>
      <c r="F555" s="184" t="s">
        <v>318</v>
      </c>
      <c r="G555" s="184" t="s">
        <v>368</v>
      </c>
      <c r="H555" s="184" t="s">
        <v>107</v>
      </c>
      <c r="I555" s="184" t="s">
        <v>73</v>
      </c>
      <c r="J555" s="184"/>
      <c r="K555" s="184" t="s">
        <v>115</v>
      </c>
      <c r="L555" s="184" t="s">
        <v>50</v>
      </c>
      <c r="M555" s="184"/>
      <c r="N555" s="184"/>
      <c r="O555" s="184"/>
      <c r="P555" s="184" t="b">
        <v>0</v>
      </c>
    </row>
    <row r="556" spans="1:16" ht="12.75" hidden="1">
      <c r="A556" s="184" t="str">
        <f t="shared" si="22"/>
        <v>HYD-HD-LS-PxO-555</v>
      </c>
      <c r="B556" s="184">
        <v>555</v>
      </c>
      <c r="C556" s="184" t="str">
        <f t="shared" si="23"/>
        <v>[SWAC-3-O] Accumulator isolation valve state Open - HD3</v>
      </c>
      <c r="D556" s="184" t="s">
        <v>1099</v>
      </c>
      <c r="E556" s="184" t="s">
        <v>1100</v>
      </c>
      <c r="F556" s="184" t="s">
        <v>318</v>
      </c>
      <c r="G556" s="184" t="s">
        <v>368</v>
      </c>
      <c r="H556" s="184" t="s">
        <v>107</v>
      </c>
      <c r="I556" s="184" t="s">
        <v>73</v>
      </c>
      <c r="J556" s="184"/>
      <c r="K556" s="184" t="s">
        <v>115</v>
      </c>
      <c r="L556" s="184" t="s">
        <v>50</v>
      </c>
      <c r="M556" s="184"/>
      <c r="N556" s="184"/>
      <c r="O556" s="184"/>
      <c r="P556" s="184" t="b">
        <v>0</v>
      </c>
    </row>
    <row r="557" spans="1:16" ht="12.75" hidden="1">
      <c r="A557" s="184" t="str">
        <f t="shared" si="22"/>
        <v>HYD-HD-LS-PxO-556</v>
      </c>
      <c r="B557" s="184">
        <v>556</v>
      </c>
      <c r="C557" s="184" t="str">
        <f t="shared" si="23"/>
        <v>[SWAC-4-O] Accumulator isolation valve state Open - HD4</v>
      </c>
      <c r="D557" s="184" t="s">
        <v>1101</v>
      </c>
      <c r="E557" s="184" t="s">
        <v>1102</v>
      </c>
      <c r="F557" s="184" t="s">
        <v>318</v>
      </c>
      <c r="G557" s="184" t="s">
        <v>368</v>
      </c>
      <c r="H557" s="184" t="s">
        <v>107</v>
      </c>
      <c r="I557" s="184" t="s">
        <v>73</v>
      </c>
      <c r="J557" s="184"/>
      <c r="K557" s="184" t="s">
        <v>115</v>
      </c>
      <c r="L557" s="184" t="s">
        <v>50</v>
      </c>
      <c r="M557" s="184"/>
      <c r="N557" s="184"/>
      <c r="O557" s="184"/>
      <c r="P557" s="184" t="b">
        <v>0</v>
      </c>
    </row>
    <row r="558" spans="1:16" ht="12.75" hidden="1">
      <c r="A558" s="184" t="str">
        <f t="shared" si="22"/>
        <v>HYD-HD-LS-PxO-557</v>
      </c>
      <c r="B558" s="184">
        <v>557</v>
      </c>
      <c r="C558" s="184" t="str">
        <f t="shared" si="23"/>
        <v>[SWAC-1-O] Accumulator isolation valve state Open- HD1</v>
      </c>
      <c r="D558" s="184" t="s">
        <v>1103</v>
      </c>
      <c r="E558" s="184" t="s">
        <v>1104</v>
      </c>
      <c r="F558" s="184" t="s">
        <v>318</v>
      </c>
      <c r="G558" s="184" t="s">
        <v>368</v>
      </c>
      <c r="H558" s="184" t="s">
        <v>107</v>
      </c>
      <c r="I558" s="184" t="s">
        <v>73</v>
      </c>
      <c r="J558" s="184"/>
      <c r="K558" s="184" t="s">
        <v>115</v>
      </c>
      <c r="L558" s="184" t="s">
        <v>50</v>
      </c>
      <c r="M558" s="184"/>
      <c r="N558" s="184"/>
      <c r="O558" s="184"/>
      <c r="P558" s="184" t="b">
        <v>0</v>
      </c>
    </row>
    <row r="559" spans="1:16" ht="12.75" hidden="1">
      <c r="A559" s="184" t="str">
        <f t="shared" si="22"/>
        <v>KTP-S1-LS-PxO-558</v>
      </c>
      <c r="B559" s="184">
        <v>558</v>
      </c>
      <c r="C559" s="184" t="str">
        <f t="shared" si="23"/>
        <v>[05C368.2] Stage 1 KTP isolation valve - Open</v>
      </c>
      <c r="D559" s="184" t="s">
        <v>1105</v>
      </c>
      <c r="E559" s="184" t="s">
        <v>1106</v>
      </c>
      <c r="F559" s="184" t="s">
        <v>1107</v>
      </c>
      <c r="G559" s="184" t="s">
        <v>911</v>
      </c>
      <c r="H559" s="184" t="s">
        <v>107</v>
      </c>
      <c r="I559" s="184" t="s">
        <v>73</v>
      </c>
      <c r="J559" s="184"/>
      <c r="K559" s="184" t="s">
        <v>115</v>
      </c>
      <c r="L559" s="184" t="s">
        <v>50</v>
      </c>
      <c r="M559" s="184"/>
      <c r="N559" s="184"/>
      <c r="O559" s="184"/>
      <c r="P559" s="184" t="b">
        <v>0</v>
      </c>
    </row>
    <row r="560" spans="1:16" ht="12.75" hidden="1">
      <c r="A560" s="184" t="str">
        <f t="shared" si="22"/>
        <v>KTP-S1-LS-PxC-559</v>
      </c>
      <c r="B560" s="184">
        <v>559</v>
      </c>
      <c r="C560" s="184" t="str">
        <f t="shared" si="23"/>
        <v>[05C368.2] Stage 1 KTP isolation valve - Closed</v>
      </c>
      <c r="D560" s="184" t="s">
        <v>1108</v>
      </c>
      <c r="E560" s="184" t="s">
        <v>1106</v>
      </c>
      <c r="F560" s="184" t="s">
        <v>1107</v>
      </c>
      <c r="G560" s="184" t="s">
        <v>911</v>
      </c>
      <c r="H560" s="184" t="s">
        <v>107</v>
      </c>
      <c r="I560" s="184" t="s">
        <v>73</v>
      </c>
      <c r="J560" s="184"/>
      <c r="K560" s="184" t="s">
        <v>108</v>
      </c>
      <c r="L560" s="184" t="s">
        <v>50</v>
      </c>
      <c r="M560" s="184"/>
      <c r="N560" s="184"/>
      <c r="O560" s="184"/>
      <c r="P560" s="184" t="b">
        <v>0</v>
      </c>
    </row>
    <row r="561" spans="1:16" ht="12.75">
      <c r="A561" s="184" t="str">
        <f t="shared" si="22"/>
        <v>KTP-S1-DVL-Pos-560</v>
      </c>
      <c r="B561" s="184">
        <v>560</v>
      </c>
      <c r="C561" s="184" t="str">
        <f t="shared" si="23"/>
        <v>[05C368] Stage 1 KTP isolation valve - Cmd</v>
      </c>
      <c r="D561" s="184" t="s">
        <v>1109</v>
      </c>
      <c r="E561" s="184" t="s">
        <v>1110</v>
      </c>
      <c r="F561" s="184" t="s">
        <v>1107</v>
      </c>
      <c r="G561" s="184" t="s">
        <v>911</v>
      </c>
      <c r="H561" s="184" t="s">
        <v>47</v>
      </c>
      <c r="I561" s="184" t="s">
        <v>48</v>
      </c>
      <c r="J561" s="184"/>
      <c r="K561" s="184" t="s">
        <v>49</v>
      </c>
      <c r="L561" s="184" t="s">
        <v>248</v>
      </c>
      <c r="M561" s="184"/>
      <c r="N561" s="184"/>
      <c r="O561" s="184"/>
      <c r="P561" s="184" t="b">
        <v>0</v>
      </c>
    </row>
    <row r="562" spans="1:16" ht="12.75">
      <c r="A562" s="184" t="str">
        <f t="shared" si="22"/>
        <v>HVAC-LCF-RTD-Ts-561</v>
      </c>
      <c r="B562" s="184">
        <v>561</v>
      </c>
      <c r="C562" s="184" t="str">
        <f t="shared" si="23"/>
        <v>[03C938] Fairing mixed flow temperature</v>
      </c>
      <c r="D562" s="184" t="s">
        <v>1111</v>
      </c>
      <c r="E562" s="184" t="s">
        <v>1112</v>
      </c>
      <c r="F562" s="184" t="s">
        <v>244</v>
      </c>
      <c r="G562" s="184" t="s">
        <v>1113</v>
      </c>
      <c r="H562" s="184" t="s">
        <v>283</v>
      </c>
      <c r="I562" s="184" t="s">
        <v>284</v>
      </c>
      <c r="J562" s="184"/>
      <c r="K562" s="184" t="s">
        <v>231</v>
      </c>
      <c r="L562" s="184" t="s">
        <v>232</v>
      </c>
      <c r="M562" s="184"/>
      <c r="N562" s="184"/>
      <c r="O562" s="184"/>
      <c r="P562" s="184" t="b">
        <v>0</v>
      </c>
    </row>
    <row r="563" spans="1:16" ht="12.75">
      <c r="A563" s="184" t="str">
        <f t="shared" ref="A563:A590" si="24">CONCATENATE(VLOOKUP(F563,Systems,2,FALSE),"-",VLOOKUP(G563,Subsystems,2,FALSE),"-",VLOOKUP(H563,Components,2,FALSE),"-",VLOOKUP(K563,Metrics,2,FALSE),"-",B563)</f>
        <v>HVAC-LC2.1-RTD-Ts-562</v>
      </c>
      <c r="B563" s="184">
        <v>562</v>
      </c>
      <c r="C563" s="184" t="str">
        <f t="shared" si="23"/>
        <v>[03C939] Interstage 2 mixed flow temperature</v>
      </c>
      <c r="D563" s="184" t="s">
        <v>1114</v>
      </c>
      <c r="E563" s="184" t="s">
        <v>1115</v>
      </c>
      <c r="F563" s="184" t="s">
        <v>244</v>
      </c>
      <c r="G563" s="184" t="s">
        <v>1116</v>
      </c>
      <c r="H563" s="184" t="s">
        <v>283</v>
      </c>
      <c r="I563" s="184" t="s">
        <v>284</v>
      </c>
      <c r="J563" s="184"/>
      <c r="K563" s="184" t="s">
        <v>231</v>
      </c>
      <c r="L563" s="184" t="s">
        <v>232</v>
      </c>
      <c r="M563" s="184"/>
      <c r="N563" s="184"/>
      <c r="O563" s="184"/>
      <c r="P563" s="184" t="b">
        <v>0</v>
      </c>
    </row>
    <row r="564" spans="1:16" ht="12.75">
      <c r="A564" s="184" t="str">
        <f t="shared" si="24"/>
        <v>HVAC-LC2.2-RTD-Ts-563</v>
      </c>
      <c r="B564" s="184">
        <v>563</v>
      </c>
      <c r="C564" s="184" t="str">
        <f t="shared" si="23"/>
        <v>[03C942] Interstage 1 mixed flow temperature</v>
      </c>
      <c r="D564" s="184" t="s">
        <v>1117</v>
      </c>
      <c r="E564" s="184" t="s">
        <v>1118</v>
      </c>
      <c r="F564" s="184" t="s">
        <v>244</v>
      </c>
      <c r="G564" s="184" t="s">
        <v>1119</v>
      </c>
      <c r="H564" s="184" t="s">
        <v>283</v>
      </c>
      <c r="I564" s="184" t="s">
        <v>284</v>
      </c>
      <c r="J564" s="184"/>
      <c r="K564" s="184" t="s">
        <v>231</v>
      </c>
      <c r="L564" s="184" t="s">
        <v>232</v>
      </c>
      <c r="M564" s="184"/>
      <c r="N564" s="184"/>
      <c r="O564" s="184"/>
      <c r="P564" s="184" t="b">
        <v>0</v>
      </c>
    </row>
    <row r="565" spans="1:16" ht="12.75">
      <c r="A565" s="184" t="str">
        <f t="shared" si="24"/>
        <v>HVAC-LCF-RTD-Ts-564</v>
      </c>
      <c r="B565" s="184">
        <v>564</v>
      </c>
      <c r="C565" s="184" t="str">
        <f t="shared" si="23"/>
        <v>[03C944] Powerpack mixed flow temperature</v>
      </c>
      <c r="D565" s="184" t="s">
        <v>1120</v>
      </c>
      <c r="E565" s="184" t="s">
        <v>1121</v>
      </c>
      <c r="F565" s="184" t="s">
        <v>244</v>
      </c>
      <c r="G565" s="184" t="s">
        <v>1113</v>
      </c>
      <c r="H565" s="184" t="s">
        <v>283</v>
      </c>
      <c r="I565" s="184" t="s">
        <v>284</v>
      </c>
      <c r="J565" s="184"/>
      <c r="K565" s="184" t="s">
        <v>231</v>
      </c>
      <c r="L565" s="184" t="s">
        <v>232</v>
      </c>
      <c r="M565" s="184"/>
      <c r="N565" s="184"/>
      <c r="O565" s="184"/>
      <c r="P565" s="184" t="b">
        <v>0</v>
      </c>
    </row>
    <row r="566" spans="1:16" ht="12.75" hidden="1">
      <c r="A566" s="184" t="str">
        <f t="shared" si="24"/>
        <v>HVAC-LC-DVL-B-565</v>
      </c>
      <c r="B566" s="184">
        <v>565</v>
      </c>
      <c r="C566" s="184" t="str">
        <f t="shared" si="23"/>
        <v>[03C390] LN2 Isolation Valve Cmd</v>
      </c>
      <c r="D566" s="184" t="s">
        <v>1122</v>
      </c>
      <c r="E566" s="184" t="s">
        <v>1123</v>
      </c>
      <c r="F566" s="184" t="s">
        <v>244</v>
      </c>
      <c r="G566" s="184" t="s">
        <v>287</v>
      </c>
      <c r="H566" s="184" t="s">
        <v>47</v>
      </c>
      <c r="I566" s="184" t="s">
        <v>48</v>
      </c>
      <c r="J566" s="184"/>
      <c r="K566" s="184" t="s">
        <v>104</v>
      </c>
      <c r="L566" s="184" t="s">
        <v>50</v>
      </c>
      <c r="M566" s="184"/>
      <c r="N566" s="184"/>
      <c r="O566" s="184"/>
      <c r="P566" s="184" t="b">
        <v>0</v>
      </c>
    </row>
    <row r="567" spans="1:16" ht="12.75" hidden="1">
      <c r="A567" s="184" t="str">
        <f t="shared" si="24"/>
        <v>HVAC-LC-PXS-PxO-566</v>
      </c>
      <c r="B567" s="184">
        <v>566</v>
      </c>
      <c r="C567" s="184" t="str">
        <f t="shared" si="23"/>
        <v>[03C390.2] LN2 Isolation Valve Open</v>
      </c>
      <c r="D567" s="184" t="s">
        <v>1124</v>
      </c>
      <c r="E567" s="184" t="s">
        <v>1125</v>
      </c>
      <c r="F567" s="184" t="s">
        <v>244</v>
      </c>
      <c r="G567" s="184" t="s">
        <v>287</v>
      </c>
      <c r="H567" s="184" t="s">
        <v>485</v>
      </c>
      <c r="I567" s="184" t="s">
        <v>73</v>
      </c>
      <c r="J567" s="184"/>
      <c r="K567" s="184" t="s">
        <v>115</v>
      </c>
      <c r="L567" s="184" t="s">
        <v>50</v>
      </c>
      <c r="M567" s="184"/>
      <c r="N567" s="184"/>
      <c r="O567" s="184"/>
      <c r="P567" s="184" t="b">
        <v>0</v>
      </c>
    </row>
    <row r="568" spans="1:16" ht="12.75" hidden="1">
      <c r="A568" s="184" t="str">
        <f t="shared" si="24"/>
        <v>HVAC-LC-PXS-PxC-567</v>
      </c>
      <c r="B568" s="184">
        <v>567</v>
      </c>
      <c r="C568" s="184" t="str">
        <f t="shared" si="23"/>
        <v>[03C390.2] LN2 Isolation Valve Closed</v>
      </c>
      <c r="D568" s="184" t="s">
        <v>1126</v>
      </c>
      <c r="E568" s="184" t="s">
        <v>1125</v>
      </c>
      <c r="F568" s="184" t="s">
        <v>244</v>
      </c>
      <c r="G568" s="184" t="s">
        <v>287</v>
      </c>
      <c r="H568" s="184" t="s">
        <v>485</v>
      </c>
      <c r="I568" s="184" t="s">
        <v>73</v>
      </c>
      <c r="J568" s="184"/>
      <c r="K568" s="184" t="s">
        <v>108</v>
      </c>
      <c r="L568" s="184" t="s">
        <v>50</v>
      </c>
      <c r="M568" s="184"/>
      <c r="N568" s="184"/>
      <c r="O568" s="184"/>
      <c r="P568" s="184" t="b">
        <v>0</v>
      </c>
    </row>
    <row r="569" spans="1:16" ht="12.75">
      <c r="A569" s="184" t="str">
        <f t="shared" si="24"/>
        <v>HVAC-LC-PRS-Ps-568</v>
      </c>
      <c r="B569" s="184">
        <v>568</v>
      </c>
      <c r="C569" s="184" t="str">
        <f t="shared" si="23"/>
        <v>[03C936] LN2 Regulator Supply Pressure Transducer</v>
      </c>
      <c r="D569" s="184" t="s">
        <v>1127</v>
      </c>
      <c r="E569" s="184" t="s">
        <v>1128</v>
      </c>
      <c r="F569" s="184" t="s">
        <v>244</v>
      </c>
      <c r="G569" s="184" t="s">
        <v>287</v>
      </c>
      <c r="H569" s="184" t="s">
        <v>54</v>
      </c>
      <c r="I569" s="184" t="s">
        <v>55</v>
      </c>
      <c r="J569" s="184"/>
      <c r="K569" s="184" t="s">
        <v>56</v>
      </c>
      <c r="L569" s="184" t="s">
        <v>57</v>
      </c>
      <c r="M569" s="184"/>
      <c r="N569" s="184"/>
      <c r="O569" s="184"/>
      <c r="P569" s="184" t="b">
        <v>0</v>
      </c>
    </row>
    <row r="570" spans="1:16" ht="12.75" hidden="1">
      <c r="A570" s="184" t="str">
        <f t="shared" si="24"/>
        <v>GN2-HF-DVL-B-569</v>
      </c>
      <c r="B570" s="184">
        <v>569</v>
      </c>
      <c r="C570" s="184" t="str">
        <f t="shared" si="23"/>
        <v>[05C366] GN2 High Flow isolation Valve Coil</v>
      </c>
      <c r="D570" s="184" t="s">
        <v>1129</v>
      </c>
      <c r="E570" s="184" t="s">
        <v>1130</v>
      </c>
      <c r="F570" s="184" t="s">
        <v>180</v>
      </c>
      <c r="G570" s="184" t="s">
        <v>46</v>
      </c>
      <c r="H570" s="184" t="s">
        <v>47</v>
      </c>
      <c r="I570" s="184" t="s">
        <v>48</v>
      </c>
      <c r="J570" s="184"/>
      <c r="K570" s="184" t="s">
        <v>104</v>
      </c>
      <c r="L570" s="184" t="s">
        <v>50</v>
      </c>
      <c r="M570" s="184"/>
      <c r="N570" s="184"/>
      <c r="O570" s="184"/>
      <c r="P570" s="184" t="b">
        <v>0</v>
      </c>
    </row>
    <row r="571" spans="1:16" ht="12.75" hidden="1">
      <c r="A571" s="184" t="str">
        <f t="shared" si="24"/>
        <v>GN2-HF-DVL-PxO-570</v>
      </c>
      <c r="B571" s="184">
        <v>570</v>
      </c>
      <c r="C571" s="184" t="str">
        <f t="shared" si="23"/>
        <v>[05C366.2] High Flow engine purge isolation Valve Open</v>
      </c>
      <c r="D571" s="184" t="s">
        <v>1131</v>
      </c>
      <c r="E571" s="184" t="s">
        <v>1132</v>
      </c>
      <c r="F571" s="184" t="s">
        <v>180</v>
      </c>
      <c r="G571" s="184" t="s">
        <v>46</v>
      </c>
      <c r="H571" s="184" t="s">
        <v>47</v>
      </c>
      <c r="I571" s="184" t="s">
        <v>73</v>
      </c>
      <c r="J571" s="184"/>
      <c r="K571" s="184" t="s">
        <v>115</v>
      </c>
      <c r="L571" s="184" t="s">
        <v>50</v>
      </c>
      <c r="M571" s="184"/>
      <c r="N571" s="184"/>
      <c r="O571" s="184"/>
      <c r="P571" s="184" t="b">
        <v>0</v>
      </c>
    </row>
    <row r="572" spans="1:16" ht="12.75" hidden="1">
      <c r="A572" s="184" t="str">
        <f t="shared" si="24"/>
        <v>GN2-HF-DVL-PxC-571</v>
      </c>
      <c r="B572" s="184">
        <v>571</v>
      </c>
      <c r="C572" s="184" t="str">
        <f t="shared" si="23"/>
        <v>[05C366.2] High Flow engine purge valve Close</v>
      </c>
      <c r="D572" s="184" t="s">
        <v>1133</v>
      </c>
      <c r="E572" s="184" t="s">
        <v>1132</v>
      </c>
      <c r="F572" s="184" t="s">
        <v>180</v>
      </c>
      <c r="G572" s="184" t="s">
        <v>46</v>
      </c>
      <c r="H572" s="184" t="s">
        <v>47</v>
      </c>
      <c r="I572" s="184" t="s">
        <v>73</v>
      </c>
      <c r="J572" s="184"/>
      <c r="K572" s="184" t="s">
        <v>108</v>
      </c>
      <c r="L572" s="184" t="s">
        <v>50</v>
      </c>
      <c r="M572" s="184"/>
      <c r="N572" s="184"/>
      <c r="O572" s="184"/>
      <c r="P572" s="184" t="b">
        <v>0</v>
      </c>
    </row>
    <row r="573" spans="1:16" ht="12.75" hidden="1">
      <c r="A573" s="184" t="str">
        <f t="shared" si="24"/>
        <v>KF-TR-VSD-B-572</v>
      </c>
      <c r="B573" s="184">
        <v>572</v>
      </c>
      <c r="C573" s="184" t="str">
        <f t="shared" si="23"/>
        <v>[KF-KS-CT-B-572] Motor Isolator Contactor (Upstream of VSD 3 phase feed)</v>
      </c>
      <c r="D573" s="184" t="s">
        <v>1134</v>
      </c>
      <c r="E573" s="184" t="s">
        <v>1135</v>
      </c>
      <c r="F573" s="184" t="s">
        <v>630</v>
      </c>
      <c r="G573" s="184" t="s">
        <v>634</v>
      </c>
      <c r="H573" s="184" t="s">
        <v>648</v>
      </c>
      <c r="I573" s="184" t="s">
        <v>48</v>
      </c>
      <c r="J573" s="184"/>
      <c r="K573" s="184" t="s">
        <v>104</v>
      </c>
      <c r="L573" s="184" t="s">
        <v>50</v>
      </c>
      <c r="M573" s="184"/>
      <c r="N573" s="184"/>
      <c r="O573" s="184"/>
      <c r="P573" s="184" t="b">
        <v>0</v>
      </c>
    </row>
    <row r="574" spans="1:16" ht="12.75">
      <c r="A574" s="184" t="str">
        <f t="shared" si="24"/>
        <v>KF-TR-PRS-Ps-573</v>
      </c>
      <c r="B574" s="184">
        <v>573</v>
      </c>
      <c r="C574" s="184" t="str">
        <f t="shared" si="23"/>
        <v>[KF-TR-PRS-Ps-573] RP-1 Pump Inlet Pressure</v>
      </c>
      <c r="D574" s="184" t="s">
        <v>1136</v>
      </c>
      <c r="E574" s="184" t="str">
        <f>A574</f>
        <v>KF-TR-PRS-Ps-573</v>
      </c>
      <c r="F574" s="184" t="s">
        <v>630</v>
      </c>
      <c r="G574" s="184" t="s">
        <v>634</v>
      </c>
      <c r="H574" s="184" t="s">
        <v>54</v>
      </c>
      <c r="I574" s="184" t="s">
        <v>55</v>
      </c>
      <c r="J574" s="184"/>
      <c r="K574" s="184" t="s">
        <v>56</v>
      </c>
      <c r="L574" s="184" t="s">
        <v>57</v>
      </c>
      <c r="M574" s="184"/>
      <c r="N574" s="184"/>
      <c r="O574" s="184"/>
      <c r="P574" s="184" t="b">
        <v>0</v>
      </c>
    </row>
    <row r="575" spans="1:16" ht="12.75" hidden="1">
      <c r="A575" s="184" t="str">
        <f t="shared" si="24"/>
        <v>HYD-HDL-SLD-B-574</v>
      </c>
      <c r="B575" s="184">
        <v>574</v>
      </c>
      <c r="C575" s="184" t="str">
        <f t="shared" si="23"/>
        <v>[C34] Holddown lock circulation bleed</v>
      </c>
      <c r="D575" s="184" t="s">
        <v>1137</v>
      </c>
      <c r="E575" s="184" t="s">
        <v>1138</v>
      </c>
      <c r="F575" s="184" t="s">
        <v>318</v>
      </c>
      <c r="G575" s="184" t="s">
        <v>568</v>
      </c>
      <c r="H575" s="184" t="s">
        <v>854</v>
      </c>
      <c r="I575" s="184" t="s">
        <v>48</v>
      </c>
      <c r="J575" s="184"/>
      <c r="K575" s="184" t="s">
        <v>104</v>
      </c>
      <c r="L575" s="184" t="s">
        <v>50</v>
      </c>
      <c r="M575" s="184"/>
      <c r="N575" s="184"/>
      <c r="O575" s="184"/>
      <c r="P575" s="184" t="b">
        <v>0</v>
      </c>
    </row>
    <row r="576" spans="1:16" ht="12.75" hidden="1">
      <c r="A576" s="184" t="str">
        <f t="shared" si="24"/>
        <v>KTP-S2-DVL-B-575</v>
      </c>
      <c r="B576" s="184">
        <v>575</v>
      </c>
      <c r="C576" s="184" t="str">
        <f t="shared" si="23"/>
        <v>[05C369] Stage 2 KTP isolation valve - Cmd</v>
      </c>
      <c r="D576" s="184" t="s">
        <v>1139</v>
      </c>
      <c r="E576" s="184" t="s">
        <v>1140</v>
      </c>
      <c r="F576" s="184" t="s">
        <v>1107</v>
      </c>
      <c r="G576" s="184" t="s">
        <v>913</v>
      </c>
      <c r="H576" s="184" t="s">
        <v>47</v>
      </c>
      <c r="I576" s="184" t="s">
        <v>48</v>
      </c>
      <c r="J576" s="184"/>
      <c r="K576" s="184" t="s">
        <v>104</v>
      </c>
      <c r="L576" s="184" t="s">
        <v>50</v>
      </c>
      <c r="M576" s="184"/>
      <c r="N576" s="184"/>
      <c r="O576" s="184"/>
      <c r="P576" s="184" t="b">
        <v>0</v>
      </c>
    </row>
    <row r="577" spans="1:16" ht="12.75" hidden="1">
      <c r="A577" s="184" t="str">
        <f t="shared" si="24"/>
        <v>KTP-S2-PXS-PxO-576</v>
      </c>
      <c r="B577" s="184">
        <v>576</v>
      </c>
      <c r="C577" s="184" t="str">
        <f t="shared" si="23"/>
        <v>[05C369.2] Stage 2 KTP isolation valve - Open</v>
      </c>
      <c r="D577" s="184" t="s">
        <v>1141</v>
      </c>
      <c r="E577" s="184" t="s">
        <v>1142</v>
      </c>
      <c r="F577" s="184" t="s">
        <v>1107</v>
      </c>
      <c r="G577" s="184" t="s">
        <v>913</v>
      </c>
      <c r="H577" s="184" t="s">
        <v>485</v>
      </c>
      <c r="I577" s="184" t="s">
        <v>73</v>
      </c>
      <c r="J577" s="184"/>
      <c r="K577" s="184" t="s">
        <v>115</v>
      </c>
      <c r="L577" s="184" t="s">
        <v>50</v>
      </c>
      <c r="M577" s="184"/>
      <c r="N577" s="184"/>
      <c r="O577" s="184"/>
      <c r="P577" s="184" t="b">
        <v>0</v>
      </c>
    </row>
    <row r="578" spans="1:16" ht="12.75" hidden="1">
      <c r="A578" s="184" t="str">
        <f t="shared" si="24"/>
        <v>KTP-S2-PXS-PxC-577</v>
      </c>
      <c r="B578" s="184">
        <v>577</v>
      </c>
      <c r="C578" s="184" t="str">
        <f t="shared" si="23"/>
        <v>[05C369.2] Stage 2 KTP isolation valve - Closed</v>
      </c>
      <c r="D578" s="184" t="s">
        <v>1143</v>
      </c>
      <c r="E578" s="184" t="s">
        <v>1142</v>
      </c>
      <c r="F578" s="184" t="s">
        <v>1107</v>
      </c>
      <c r="G578" s="184" t="s">
        <v>913</v>
      </c>
      <c r="H578" s="184" t="s">
        <v>485</v>
      </c>
      <c r="I578" s="184" t="s">
        <v>73</v>
      </c>
      <c r="J578" s="184"/>
      <c r="K578" s="184" t="s">
        <v>108</v>
      </c>
      <c r="L578" s="184" t="s">
        <v>50</v>
      </c>
      <c r="M578" s="184"/>
      <c r="N578" s="184"/>
      <c r="O578" s="184"/>
      <c r="P578" s="184" t="b">
        <v>0</v>
      </c>
    </row>
    <row r="579" spans="1:16" ht="12.75" hidden="1">
      <c r="A579" s="184" t="str">
        <f t="shared" si="24"/>
        <v>HYD-S1U-PXS-Px-578</v>
      </c>
      <c r="B579" s="184">
        <v>578</v>
      </c>
      <c r="C579" s="184" t="str">
        <f t="shared" si="23"/>
        <v>[HYD-S1U-PXS-Px-578] Duplicate of S1 inductive prox - to be removed!</v>
      </c>
      <c r="D579" s="184" t="s">
        <v>1144</v>
      </c>
      <c r="E579" s="184" t="s">
        <v>1145</v>
      </c>
      <c r="F579" s="184" t="s">
        <v>318</v>
      </c>
      <c r="G579" s="184" t="s">
        <v>53</v>
      </c>
      <c r="H579" s="184" t="s">
        <v>485</v>
      </c>
      <c r="I579" s="184" t="s">
        <v>55</v>
      </c>
      <c r="J579" s="184"/>
      <c r="K579" s="184" t="s">
        <v>489</v>
      </c>
      <c r="L579" s="184" t="s">
        <v>538</v>
      </c>
      <c r="M579" s="184"/>
      <c r="N579" s="184"/>
      <c r="O579" s="184"/>
      <c r="P579" s="184" t="b">
        <v>0</v>
      </c>
    </row>
    <row r="580" spans="1:16" ht="12.75">
      <c r="A580" s="184" t="str">
        <f t="shared" si="24"/>
        <v>GN2-HF-FS-MFs-579</v>
      </c>
      <c r="B580" s="184">
        <v>579</v>
      </c>
      <c r="C580" s="184" t="str">
        <f t="shared" si="23"/>
        <v>[05C959] High Flow GN2|Flow Switch</v>
      </c>
      <c r="D580" s="184" t="s">
        <v>1146</v>
      </c>
      <c r="E580" s="184" t="s">
        <v>1147</v>
      </c>
      <c r="F580" s="184" t="s">
        <v>180</v>
      </c>
      <c r="G580" s="184" t="s">
        <v>46</v>
      </c>
      <c r="H580" s="184" t="s">
        <v>1148</v>
      </c>
      <c r="I580" s="184" t="s">
        <v>73</v>
      </c>
      <c r="J580" s="184"/>
      <c r="K580" s="184" t="s">
        <v>678</v>
      </c>
      <c r="L580" s="184" t="s">
        <v>50</v>
      </c>
      <c r="M580" s="184"/>
      <c r="N580" s="184"/>
      <c r="O580" s="184"/>
      <c r="P580" s="184" t="b">
        <v>0</v>
      </c>
    </row>
    <row r="581" spans="1:16" ht="12.75" hidden="1">
      <c r="A581" s="184" t="str">
        <f t="shared" si="24"/>
        <v>PRG-LX1-EV-B-580</v>
      </c>
      <c r="B581" s="184">
        <v>580</v>
      </c>
      <c r="C581" s="184" t="str">
        <f t="shared" si="23"/>
        <v>[05C360] LOX stage 1 purge</v>
      </c>
      <c r="D581" s="184" t="s">
        <v>1149</v>
      </c>
      <c r="E581" s="184" t="s">
        <v>1150</v>
      </c>
      <c r="F581" s="184" t="s">
        <v>185</v>
      </c>
      <c r="G581" s="184" t="s">
        <v>1151</v>
      </c>
      <c r="H581" s="184" t="s">
        <v>898</v>
      </c>
      <c r="I581" s="184" t="s">
        <v>48</v>
      </c>
      <c r="J581" s="184"/>
      <c r="K581" s="184" t="s">
        <v>104</v>
      </c>
      <c r="L581" s="184" t="s">
        <v>50</v>
      </c>
      <c r="M581" s="184"/>
      <c r="N581" s="184"/>
      <c r="O581" s="184"/>
      <c r="P581" s="184" t="b">
        <v>0</v>
      </c>
    </row>
    <row r="582" spans="1:16" ht="12.75" hidden="1">
      <c r="A582" s="184" t="str">
        <f t="shared" si="24"/>
        <v>PRG-LX1-SLD-B-581</v>
      </c>
      <c r="B582" s="184">
        <v>581</v>
      </c>
      <c r="C582" s="184" t="str">
        <f t="shared" si="23"/>
        <v>[05C361] SPARE</v>
      </c>
      <c r="D582" s="184" t="s">
        <v>1152</v>
      </c>
      <c r="E582" s="184" t="s">
        <v>1153</v>
      </c>
      <c r="F582" s="184" t="s">
        <v>185</v>
      </c>
      <c r="G582" s="184" t="s">
        <v>1151</v>
      </c>
      <c r="H582" s="184" t="s">
        <v>854</v>
      </c>
      <c r="I582" s="184" t="s">
        <v>48</v>
      </c>
      <c r="J582" s="184"/>
      <c r="K582" s="184" t="s">
        <v>104</v>
      </c>
      <c r="L582" s="184" t="s">
        <v>50</v>
      </c>
      <c r="M582" s="184"/>
      <c r="N582" s="184"/>
      <c r="O582" s="184"/>
      <c r="P582" s="184" t="b">
        <v>0</v>
      </c>
    </row>
    <row r="583" spans="1:16" ht="12.75" hidden="1">
      <c r="A583" s="184" t="str">
        <f t="shared" si="24"/>
        <v>PRG-LX1-SLD-B-582</v>
      </c>
      <c r="B583" s="184">
        <v>582</v>
      </c>
      <c r="C583" s="184" t="str">
        <f t="shared" si="23"/>
        <v>[05C362] Valve, Electronic Solenoid (TBC)</v>
      </c>
      <c r="D583" s="184" t="s">
        <v>1154</v>
      </c>
      <c r="E583" s="184" t="s">
        <v>1155</v>
      </c>
      <c r="F583" s="184" t="s">
        <v>185</v>
      </c>
      <c r="G583" s="184" t="s">
        <v>1151</v>
      </c>
      <c r="H583" s="184" t="s">
        <v>854</v>
      </c>
      <c r="I583" s="184" t="s">
        <v>48</v>
      </c>
      <c r="J583" s="184"/>
      <c r="K583" s="184" t="s">
        <v>104</v>
      </c>
      <c r="L583" s="184" t="s">
        <v>50</v>
      </c>
      <c r="M583" s="184"/>
      <c r="N583" s="184"/>
      <c r="O583" s="184"/>
      <c r="P583" s="184" t="b">
        <v>0</v>
      </c>
    </row>
    <row r="584" spans="1:16" ht="12.75" hidden="1">
      <c r="A584" s="184" t="str">
        <f t="shared" si="24"/>
        <v>PRG-ECP-SLD-B-583</v>
      </c>
      <c r="B584" s="184">
        <v>583</v>
      </c>
      <c r="C584" s="184" t="str">
        <f t="shared" si="23"/>
        <v>[05C363] Valve, Electronic Solenoid (TBC)</v>
      </c>
      <c r="D584" s="184" t="s">
        <v>1154</v>
      </c>
      <c r="E584" s="184" t="s">
        <v>1156</v>
      </c>
      <c r="F584" s="184" t="s">
        <v>185</v>
      </c>
      <c r="G584" s="184" t="s">
        <v>1157</v>
      </c>
      <c r="H584" s="184" t="s">
        <v>854</v>
      </c>
      <c r="I584" s="184" t="s">
        <v>48</v>
      </c>
      <c r="J584" s="184"/>
      <c r="K584" s="184" t="s">
        <v>104</v>
      </c>
      <c r="L584" s="184" t="s">
        <v>50</v>
      </c>
      <c r="M584" s="184"/>
      <c r="N584" s="184"/>
      <c r="O584" s="184"/>
      <c r="P584" s="184" t="b">
        <v>0</v>
      </c>
    </row>
    <row r="585" spans="1:16" ht="12.75" hidden="1">
      <c r="A585" s="184" t="str">
        <f t="shared" si="24"/>
        <v>PRG-FS1-SLD-B-584</v>
      </c>
      <c r="B585" s="184">
        <v>584</v>
      </c>
      <c r="C585" s="184" t="str">
        <f t="shared" si="23"/>
        <v>[05C365] Valve, Electronic Solenoid (TBC)</v>
      </c>
      <c r="D585" s="184" t="s">
        <v>1154</v>
      </c>
      <c r="E585" s="184" t="s">
        <v>1158</v>
      </c>
      <c r="F585" s="184" t="s">
        <v>185</v>
      </c>
      <c r="G585" s="184" t="s">
        <v>1159</v>
      </c>
      <c r="H585" s="184" t="s">
        <v>854</v>
      </c>
      <c r="I585" s="184" t="s">
        <v>48</v>
      </c>
      <c r="J585" s="184"/>
      <c r="K585" s="184" t="s">
        <v>104</v>
      </c>
      <c r="L585" s="184" t="s">
        <v>50</v>
      </c>
      <c r="M585" s="184"/>
      <c r="N585" s="184"/>
      <c r="O585" s="184"/>
      <c r="P585" s="184" t="b">
        <v>0</v>
      </c>
    </row>
    <row r="586" spans="1:16" ht="12.75" hidden="1">
      <c r="A586" s="184" t="str">
        <f t="shared" si="24"/>
        <v>PRG-FS1-SLD-B-585</v>
      </c>
      <c r="B586" s="184">
        <v>585</v>
      </c>
      <c r="C586" s="184" t="str">
        <f t="shared" ref="C586:C649" si="25">_xlfn.TEXTJOIN("", TRUE, "[", E586,"] ",D586)</f>
        <v>[05C370] Valve, Electronic Solenoid (TBC)</v>
      </c>
      <c r="D586" s="184" t="s">
        <v>1154</v>
      </c>
      <c r="E586" s="184" t="s">
        <v>1160</v>
      </c>
      <c r="F586" s="184" t="s">
        <v>185</v>
      </c>
      <c r="G586" s="184" t="s">
        <v>1159</v>
      </c>
      <c r="H586" s="184" t="s">
        <v>854</v>
      </c>
      <c r="I586" s="184" t="s">
        <v>48</v>
      </c>
      <c r="J586" s="184"/>
      <c r="K586" s="184" t="s">
        <v>104</v>
      </c>
      <c r="L586" s="184" t="s">
        <v>50</v>
      </c>
      <c r="M586" s="184"/>
      <c r="N586" s="184"/>
      <c r="O586" s="184"/>
      <c r="P586" s="184" t="b">
        <v>0</v>
      </c>
    </row>
    <row r="587" spans="1:16" ht="12.75" hidden="1">
      <c r="A587" s="184" t="str">
        <f t="shared" si="24"/>
        <v>PRG-FS1-SLD-B-586</v>
      </c>
      <c r="B587" s="184">
        <v>586</v>
      </c>
      <c r="C587" s="184" t="str">
        <f t="shared" si="25"/>
        <v>[05C371] Valve, Electronic Solenoid (TBC)</v>
      </c>
      <c r="D587" s="184" t="s">
        <v>1154</v>
      </c>
      <c r="E587" s="184" t="s">
        <v>1161</v>
      </c>
      <c r="F587" s="184" t="s">
        <v>185</v>
      </c>
      <c r="G587" s="184" t="s">
        <v>1159</v>
      </c>
      <c r="H587" s="184" t="s">
        <v>854</v>
      </c>
      <c r="I587" s="184" t="s">
        <v>48</v>
      </c>
      <c r="J587" s="184"/>
      <c r="K587" s="184" t="s">
        <v>104</v>
      </c>
      <c r="L587" s="184" t="s">
        <v>50</v>
      </c>
      <c r="M587" s="184"/>
      <c r="N587" s="184"/>
      <c r="O587" s="184"/>
      <c r="P587" s="184" t="b">
        <v>0</v>
      </c>
    </row>
    <row r="588" spans="1:16" ht="12.75" hidden="1">
      <c r="A588" s="184" t="str">
        <f t="shared" si="24"/>
        <v>PRG-IGN-SLD-B-587</v>
      </c>
      <c r="B588" s="184">
        <v>587</v>
      </c>
      <c r="C588" s="184" t="str">
        <f t="shared" si="25"/>
        <v>[05C372] Valve, Electronic Solenoid (TBC)</v>
      </c>
      <c r="D588" s="184" t="s">
        <v>1154</v>
      </c>
      <c r="E588" s="184" t="s">
        <v>1162</v>
      </c>
      <c r="F588" s="184" t="s">
        <v>185</v>
      </c>
      <c r="G588" s="184" t="s">
        <v>1163</v>
      </c>
      <c r="H588" s="184" t="s">
        <v>854</v>
      </c>
      <c r="I588" s="184" t="s">
        <v>48</v>
      </c>
      <c r="J588" s="184"/>
      <c r="K588" s="184" t="s">
        <v>104</v>
      </c>
      <c r="L588" s="184" t="s">
        <v>50</v>
      </c>
      <c r="M588" s="184"/>
      <c r="N588" s="184"/>
      <c r="O588" s="184"/>
      <c r="P588" s="184" t="b">
        <v>0</v>
      </c>
    </row>
    <row r="589" spans="1:16" ht="12.75" hidden="1">
      <c r="A589" s="184" t="str">
        <f t="shared" si="24"/>
        <v>FARU-TL-SLD-B-588</v>
      </c>
      <c r="B589" s="184">
        <v>588</v>
      </c>
      <c r="C589" s="184" t="str">
        <f t="shared" si="25"/>
        <v>[05C390] Fairng umbilical tilt cmd</v>
      </c>
      <c r="D589" s="184" t="s">
        <v>1164</v>
      </c>
      <c r="E589" s="184" t="s">
        <v>1165</v>
      </c>
      <c r="F589" s="184" t="s">
        <v>1166</v>
      </c>
      <c r="G589" s="184" t="s">
        <v>1167</v>
      </c>
      <c r="H589" s="184" t="s">
        <v>854</v>
      </c>
      <c r="I589" s="184" t="s">
        <v>48</v>
      </c>
      <c r="J589" s="184"/>
      <c r="K589" s="184" t="s">
        <v>104</v>
      </c>
      <c r="L589" s="184" t="s">
        <v>50</v>
      </c>
      <c r="M589" s="184"/>
      <c r="N589" s="184"/>
      <c r="O589" s="184"/>
      <c r="P589" s="184" t="b">
        <v>0</v>
      </c>
    </row>
    <row r="590" spans="1:16" ht="12.75" hidden="1">
      <c r="A590" s="184" t="str">
        <f t="shared" si="24"/>
        <v>FARU-INTF-SLD-B-589</v>
      </c>
      <c r="B590" s="184">
        <v>589</v>
      </c>
      <c r="C590" s="184" t="str">
        <f t="shared" si="25"/>
        <v>[05C391] Fairing umbilical enage retract cmd</v>
      </c>
      <c r="D590" s="184" t="s">
        <v>1168</v>
      </c>
      <c r="E590" s="184" t="s">
        <v>1169</v>
      </c>
      <c r="F590" s="184" t="s">
        <v>1166</v>
      </c>
      <c r="G590" s="184" t="s">
        <v>1170</v>
      </c>
      <c r="H590" s="184" t="s">
        <v>854</v>
      </c>
      <c r="I590" s="184" t="s">
        <v>48</v>
      </c>
      <c r="J590" s="184"/>
      <c r="K590" s="184" t="s">
        <v>104</v>
      </c>
      <c r="L590" s="184" t="s">
        <v>50</v>
      </c>
      <c r="M590" s="184"/>
      <c r="N590" s="184"/>
      <c r="O590" s="184"/>
      <c r="P590" s="184" t="b">
        <v>0</v>
      </c>
    </row>
    <row r="591" spans="1:16" ht="12.75" hidden="1">
      <c r="A591" s="184"/>
      <c r="B591" s="184">
        <v>590</v>
      </c>
      <c r="C591" s="184" t="str">
        <f t="shared" si="25"/>
        <v xml:space="preserve">[] </v>
      </c>
      <c r="D591" s="184"/>
      <c r="E591" s="184"/>
      <c r="F591" s="184"/>
      <c r="G591" s="184"/>
      <c r="H591" s="184"/>
      <c r="I591" s="184"/>
      <c r="J591" s="184"/>
      <c r="K591" s="184"/>
      <c r="L591" s="184"/>
      <c r="M591" s="184"/>
      <c r="N591" s="184"/>
      <c r="O591" s="184"/>
      <c r="P591" s="184"/>
    </row>
    <row r="592" spans="1:16" ht="12.75" hidden="1">
      <c r="A592" s="184" t="str">
        <f t="shared" ref="A592:A625" si="26">CONCATENATE(VLOOKUP(F592,Systems,2,FALSE),"-",VLOOKUP(G592,Subsystems,2,FALSE),"-",VLOOKUP(H592,Components,2,FALSE),"-",VLOOKUP(K592,Metrics,2,FALSE),"-",B592)</f>
        <v>FARU-INTF-PXS-PxE-591</v>
      </c>
      <c r="B592" s="184">
        <v>591</v>
      </c>
      <c r="C592" s="184" t="str">
        <f t="shared" si="25"/>
        <v>[FARU-INTF-PXS-PxE-591] Fairing umbilical extend prox</v>
      </c>
      <c r="D592" s="184" t="s">
        <v>1171</v>
      </c>
      <c r="E592" s="184" t="s">
        <v>1172</v>
      </c>
      <c r="F592" s="184" t="s">
        <v>1166</v>
      </c>
      <c r="G592" s="184" t="s">
        <v>1170</v>
      </c>
      <c r="H592" s="184" t="s">
        <v>485</v>
      </c>
      <c r="I592" s="184" t="s">
        <v>73</v>
      </c>
      <c r="J592" s="184"/>
      <c r="K592" s="184" t="s">
        <v>486</v>
      </c>
      <c r="L592" s="184" t="s">
        <v>50</v>
      </c>
      <c r="M592" s="184"/>
      <c r="N592" s="184"/>
      <c r="O592" s="184"/>
      <c r="P592" s="184" t="b">
        <v>0</v>
      </c>
    </row>
    <row r="593" spans="1:16" ht="12.75" hidden="1">
      <c r="A593" s="184" t="str">
        <f t="shared" si="26"/>
        <v>FARU-INTF-PXS-PxR-592</v>
      </c>
      <c r="B593" s="184">
        <v>592</v>
      </c>
      <c r="C593" s="184" t="str">
        <f t="shared" si="25"/>
        <v>[FARU-INTF-PXS-PxR-592] Fairing umbilical extended prox</v>
      </c>
      <c r="D593" s="184" t="s">
        <v>1173</v>
      </c>
      <c r="E593" s="184" t="s">
        <v>1174</v>
      </c>
      <c r="F593" s="184" t="s">
        <v>1166</v>
      </c>
      <c r="G593" s="184" t="s">
        <v>1170</v>
      </c>
      <c r="H593" s="184" t="s">
        <v>485</v>
      </c>
      <c r="I593" s="184" t="s">
        <v>73</v>
      </c>
      <c r="J593" s="184"/>
      <c r="K593" s="184" t="s">
        <v>494</v>
      </c>
      <c r="L593" s="184" t="s">
        <v>50</v>
      </c>
      <c r="M593" s="184"/>
      <c r="N593" s="184"/>
      <c r="O593" s="184"/>
      <c r="P593" s="184" t="b">
        <v>0</v>
      </c>
    </row>
    <row r="594" spans="1:16" ht="12.75" hidden="1">
      <c r="A594" s="184" t="str">
        <f t="shared" si="26"/>
        <v>FARU-TL-PXS-PxE-593</v>
      </c>
      <c r="B594" s="184">
        <v>593</v>
      </c>
      <c r="C594" s="184" t="str">
        <f t="shared" si="25"/>
        <v>[FARU-TL-PXS-PxE-593] Fairing umbilical tilt prox</v>
      </c>
      <c r="D594" s="184" t="s">
        <v>1175</v>
      </c>
      <c r="E594" s="184" t="s">
        <v>1176</v>
      </c>
      <c r="F594" s="184" t="s">
        <v>1166</v>
      </c>
      <c r="G594" s="184" t="s">
        <v>1167</v>
      </c>
      <c r="H594" s="184" t="s">
        <v>485</v>
      </c>
      <c r="I594" s="184" t="s">
        <v>73</v>
      </c>
      <c r="J594" s="184"/>
      <c r="K594" s="184" t="s">
        <v>486</v>
      </c>
      <c r="L594" s="184" t="s">
        <v>50</v>
      </c>
      <c r="M594" s="184"/>
      <c r="N594" s="184"/>
      <c r="O594" s="184"/>
      <c r="P594" s="184" t="b">
        <v>0</v>
      </c>
    </row>
    <row r="595" spans="1:16" ht="12.75" hidden="1">
      <c r="A595" s="184" t="str">
        <f t="shared" si="26"/>
        <v>FARU-TL-PXS-PxR-594</v>
      </c>
      <c r="B595" s="184">
        <v>594</v>
      </c>
      <c r="C595" s="184" t="str">
        <f t="shared" si="25"/>
        <v>[FARU-TL-PXS-PxR-594] Fairing umbilical home prox</v>
      </c>
      <c r="D595" s="184" t="s">
        <v>1177</v>
      </c>
      <c r="E595" s="184" t="s">
        <v>1178</v>
      </c>
      <c r="F595" s="184" t="s">
        <v>1166</v>
      </c>
      <c r="G595" s="184" t="s">
        <v>1167</v>
      </c>
      <c r="H595" s="184" t="s">
        <v>485</v>
      </c>
      <c r="I595" s="184" t="s">
        <v>73</v>
      </c>
      <c r="J595" s="184"/>
      <c r="K595" s="184" t="s">
        <v>494</v>
      </c>
      <c r="L595" s="184" t="s">
        <v>50</v>
      </c>
      <c r="M595" s="184"/>
      <c r="N595" s="184"/>
      <c r="O595" s="184"/>
      <c r="P595" s="184" t="b">
        <v>0</v>
      </c>
    </row>
    <row r="596" spans="1:16" ht="12.75" hidden="1">
      <c r="A596" s="184" t="str">
        <f t="shared" si="26"/>
        <v>EP-S2-SLD-B-595</v>
      </c>
      <c r="B596" s="184">
        <v>595</v>
      </c>
      <c r="C596" s="184" t="str">
        <f t="shared" si="25"/>
        <v>[05C333] Stage 2 umbilical face purge</v>
      </c>
      <c r="D596" s="184" t="s">
        <v>1179</v>
      </c>
      <c r="E596" s="184" t="s">
        <v>1180</v>
      </c>
      <c r="F596" s="184" t="s">
        <v>1181</v>
      </c>
      <c r="G596" s="184" t="s">
        <v>913</v>
      </c>
      <c r="H596" s="184" t="s">
        <v>854</v>
      </c>
      <c r="I596" s="184" t="s">
        <v>48</v>
      </c>
      <c r="J596" s="184"/>
      <c r="K596" s="184" t="s">
        <v>104</v>
      </c>
      <c r="L596" s="184" t="s">
        <v>50</v>
      </c>
      <c r="M596" s="184"/>
      <c r="N596" s="184"/>
      <c r="O596" s="184"/>
      <c r="P596" s="184" t="b">
        <v>0</v>
      </c>
    </row>
    <row r="597" spans="1:16" ht="12.75" hidden="1">
      <c r="A597" s="184" t="str">
        <f t="shared" si="26"/>
        <v>PRG-LX2-EV-B-596</v>
      </c>
      <c r="B597" s="184">
        <v>596</v>
      </c>
      <c r="C597" s="184" t="str">
        <f t="shared" si="25"/>
        <v>[05C336] LOX strongback purge</v>
      </c>
      <c r="D597" s="184" t="s">
        <v>1182</v>
      </c>
      <c r="E597" s="184" t="s">
        <v>1183</v>
      </c>
      <c r="F597" s="184" t="s">
        <v>185</v>
      </c>
      <c r="G597" s="184" t="s">
        <v>1184</v>
      </c>
      <c r="H597" s="184" t="s">
        <v>898</v>
      </c>
      <c r="I597" s="184" t="s">
        <v>48</v>
      </c>
      <c r="J597" s="184"/>
      <c r="K597" s="184" t="s">
        <v>104</v>
      </c>
      <c r="L597" s="184" t="s">
        <v>50</v>
      </c>
      <c r="M597" s="184"/>
      <c r="N597" s="184"/>
      <c r="O597" s="184"/>
      <c r="P597" s="184" t="b">
        <v>0</v>
      </c>
    </row>
    <row r="598" spans="1:16" ht="12.75" hidden="1">
      <c r="A598" s="184" t="str">
        <f t="shared" si="26"/>
        <v>PRG-LX2-EV-B-597</v>
      </c>
      <c r="B598" s="184">
        <v>597</v>
      </c>
      <c r="C598" s="184" t="str">
        <f t="shared" si="25"/>
        <v>[05C337] LOX stage 2 umbilical back purge</v>
      </c>
      <c r="D598" s="184" t="s">
        <v>1185</v>
      </c>
      <c r="E598" s="184" t="s">
        <v>1186</v>
      </c>
      <c r="F598" s="184" t="s">
        <v>185</v>
      </c>
      <c r="G598" s="184" t="s">
        <v>1184</v>
      </c>
      <c r="H598" s="184" t="s">
        <v>898</v>
      </c>
      <c r="I598" s="184" t="s">
        <v>48</v>
      </c>
      <c r="J598" s="184"/>
      <c r="K598" s="184" t="s">
        <v>104</v>
      </c>
      <c r="L598" s="184" t="s">
        <v>50</v>
      </c>
      <c r="M598" s="184"/>
      <c r="N598" s="184"/>
      <c r="O598" s="184"/>
      <c r="P598" s="184" t="b">
        <v>0</v>
      </c>
    </row>
    <row r="599" spans="1:16" ht="12.75" hidden="1">
      <c r="A599" s="184" t="str">
        <f t="shared" si="26"/>
        <v>FARU-SPLY-SLD-B-598</v>
      </c>
      <c r="B599" s="184">
        <v>598</v>
      </c>
      <c r="C599" s="184" t="str">
        <f t="shared" si="25"/>
        <v>[05C338] Fairing umbilical supply</v>
      </c>
      <c r="D599" s="184" t="s">
        <v>1187</v>
      </c>
      <c r="E599" s="184" t="s">
        <v>1188</v>
      </c>
      <c r="F599" s="184" t="s">
        <v>1166</v>
      </c>
      <c r="G599" s="184" t="s">
        <v>1189</v>
      </c>
      <c r="H599" s="184" t="s">
        <v>854</v>
      </c>
      <c r="I599" s="184" t="s">
        <v>48</v>
      </c>
      <c r="J599" s="184"/>
      <c r="K599" s="184" t="s">
        <v>104</v>
      </c>
      <c r="L599" s="184" t="s">
        <v>50</v>
      </c>
      <c r="M599" s="184"/>
      <c r="N599" s="184"/>
      <c r="O599" s="184"/>
      <c r="P599" s="184" t="b">
        <v>0</v>
      </c>
    </row>
    <row r="600" spans="1:16" ht="12.75" hidden="1">
      <c r="A600" s="184" t="str">
        <f t="shared" si="26"/>
        <v>KTP-S2-DVL-B-599</v>
      </c>
      <c r="B600" s="184">
        <v>599</v>
      </c>
      <c r="C600" s="184" t="str">
        <f t="shared" si="25"/>
        <v>[05C331] Stage 2 KTP mode - Cmd - Energize for Auto</v>
      </c>
      <c r="D600" s="184" t="s">
        <v>1190</v>
      </c>
      <c r="E600" s="184" t="s">
        <v>1191</v>
      </c>
      <c r="F600" s="184" t="s">
        <v>1107</v>
      </c>
      <c r="G600" s="184" t="s">
        <v>913</v>
      </c>
      <c r="H600" s="184" t="s">
        <v>47</v>
      </c>
      <c r="I600" s="184" t="s">
        <v>48</v>
      </c>
      <c r="J600" s="184"/>
      <c r="K600" s="184" t="s">
        <v>104</v>
      </c>
      <c r="L600" s="184" t="s">
        <v>50</v>
      </c>
      <c r="M600" s="184"/>
      <c r="N600" s="184"/>
      <c r="O600" s="184"/>
      <c r="P600" s="184" t="b">
        <v>0</v>
      </c>
    </row>
    <row r="601" spans="1:16" ht="12.75" hidden="1">
      <c r="A601" s="184" t="str">
        <f t="shared" si="26"/>
        <v>KTP-S2-PXS-PxO-600</v>
      </c>
      <c r="B601" s="184">
        <v>600</v>
      </c>
      <c r="C601" s="184" t="str">
        <f t="shared" si="25"/>
        <v>[05C331.2] Stage 2 KTP mode - Manual</v>
      </c>
      <c r="D601" s="184" t="s">
        <v>1192</v>
      </c>
      <c r="E601" s="184" t="s">
        <v>1193</v>
      </c>
      <c r="F601" s="184" t="s">
        <v>1107</v>
      </c>
      <c r="G601" s="184" t="s">
        <v>913</v>
      </c>
      <c r="H601" s="184" t="s">
        <v>485</v>
      </c>
      <c r="I601" s="184" t="s">
        <v>73</v>
      </c>
      <c r="J601" s="184"/>
      <c r="K601" s="184" t="s">
        <v>115</v>
      </c>
      <c r="L601" s="184" t="s">
        <v>50</v>
      </c>
      <c r="M601" s="184"/>
      <c r="N601" s="184"/>
      <c r="O601" s="184"/>
      <c r="P601" s="184" t="b">
        <v>0</v>
      </c>
    </row>
    <row r="602" spans="1:16" ht="12.75" hidden="1">
      <c r="A602" s="184" t="str">
        <f t="shared" si="26"/>
        <v>KTP-S2-PXS-PxC-601</v>
      </c>
      <c r="B602" s="184">
        <v>601</v>
      </c>
      <c r="C602" s="184" t="str">
        <f t="shared" si="25"/>
        <v>[05C331.2] Stage 2 KTP mode - Ereg</v>
      </c>
      <c r="D602" s="184" t="s">
        <v>1194</v>
      </c>
      <c r="E602" s="184" t="s">
        <v>1193</v>
      </c>
      <c r="F602" s="184" t="s">
        <v>1107</v>
      </c>
      <c r="G602" s="184" t="s">
        <v>913</v>
      </c>
      <c r="H602" s="184" t="s">
        <v>485</v>
      </c>
      <c r="I602" s="184" t="s">
        <v>73</v>
      </c>
      <c r="J602" s="184"/>
      <c r="K602" s="184" t="s">
        <v>108</v>
      </c>
      <c r="L602" s="184" t="s">
        <v>50</v>
      </c>
      <c r="M602" s="184"/>
      <c r="N602" s="184"/>
      <c r="O602" s="184"/>
      <c r="P602" s="184" t="b">
        <v>0</v>
      </c>
    </row>
    <row r="603" spans="1:16" ht="12.75">
      <c r="A603" s="184" t="str">
        <f t="shared" si="26"/>
        <v>KTP-S1-EREG-Ps-602</v>
      </c>
      <c r="B603" s="184">
        <v>602</v>
      </c>
      <c r="C603" s="184" t="str">
        <f t="shared" si="25"/>
        <v>[05C022] Electrical Regulator Kero S1</v>
      </c>
      <c r="D603" s="184" t="s">
        <v>1195</v>
      </c>
      <c r="E603" s="184" t="s">
        <v>1196</v>
      </c>
      <c r="F603" s="184" t="s">
        <v>1107</v>
      </c>
      <c r="G603" s="184" t="s">
        <v>911</v>
      </c>
      <c r="H603" s="184" t="s">
        <v>1197</v>
      </c>
      <c r="I603" s="184" t="s">
        <v>247</v>
      </c>
      <c r="J603" s="184"/>
      <c r="K603" s="184" t="s">
        <v>56</v>
      </c>
      <c r="L603" s="184" t="s">
        <v>57</v>
      </c>
      <c r="M603" s="184"/>
      <c r="N603" s="184"/>
      <c r="O603" s="184"/>
      <c r="P603" s="184" t="b">
        <v>0</v>
      </c>
    </row>
    <row r="604" spans="1:16" ht="12.75" hidden="1">
      <c r="A604" s="184" t="str">
        <f t="shared" si="26"/>
        <v>S2J-SPLY-DVL-B-603</v>
      </c>
      <c r="B604" s="184">
        <v>603</v>
      </c>
      <c r="C604" s="184" t="str">
        <f t="shared" si="25"/>
        <v>[05C335] Stage 2 supply jettsion pressure</v>
      </c>
      <c r="D604" s="184" t="s">
        <v>1198</v>
      </c>
      <c r="E604" s="184" t="s">
        <v>1199</v>
      </c>
      <c r="F604" s="184" t="s">
        <v>896</v>
      </c>
      <c r="G604" s="184" t="s">
        <v>1189</v>
      </c>
      <c r="H604" s="184" t="s">
        <v>47</v>
      </c>
      <c r="I604" s="184" t="s">
        <v>48</v>
      </c>
      <c r="J604" s="184"/>
      <c r="K604" s="184" t="s">
        <v>104</v>
      </c>
      <c r="L604" s="184" t="s">
        <v>50</v>
      </c>
      <c r="M604" s="184"/>
      <c r="N604" s="184"/>
      <c r="O604" s="184"/>
      <c r="P604" s="184" t="b">
        <v>0</v>
      </c>
    </row>
    <row r="605" spans="1:16" ht="12.75">
      <c r="A605" s="184" t="str">
        <f t="shared" si="26"/>
        <v>S2J-ACC-PRS-Ps-604</v>
      </c>
      <c r="B605" s="184">
        <v>604</v>
      </c>
      <c r="C605" s="184" t="str">
        <f t="shared" si="25"/>
        <v>[05C963] Stage 2 high pressure jettison accumulator pressure</v>
      </c>
      <c r="D605" s="184" t="s">
        <v>1200</v>
      </c>
      <c r="E605" s="184" t="s">
        <v>1201</v>
      </c>
      <c r="F605" s="184" t="s">
        <v>896</v>
      </c>
      <c r="G605" s="184" t="s">
        <v>1202</v>
      </c>
      <c r="H605" s="184" t="s">
        <v>54</v>
      </c>
      <c r="I605" s="184" t="s">
        <v>55</v>
      </c>
      <c r="J605" s="184"/>
      <c r="K605" s="184" t="s">
        <v>56</v>
      </c>
      <c r="L605" s="184" t="s">
        <v>869</v>
      </c>
      <c r="M605" s="184"/>
      <c r="N605" s="184"/>
      <c r="O605" s="184"/>
      <c r="P605" s="184" t="b">
        <v>0</v>
      </c>
    </row>
    <row r="606" spans="1:16" ht="12.75">
      <c r="A606" s="184" t="str">
        <f t="shared" si="26"/>
        <v>KTP-S2-PRS-Ps-605</v>
      </c>
      <c r="B606" s="184">
        <v>605</v>
      </c>
      <c r="C606" s="184" t="str">
        <f t="shared" si="25"/>
        <v>[05C958] Stage 2 KTP pressure</v>
      </c>
      <c r="D606" s="184" t="s">
        <v>1203</v>
      </c>
      <c r="E606" s="184" t="s">
        <v>1204</v>
      </c>
      <c r="F606" s="184" t="s">
        <v>1107</v>
      </c>
      <c r="G606" s="184" t="s">
        <v>913</v>
      </c>
      <c r="H606" s="184" t="s">
        <v>54</v>
      </c>
      <c r="I606" s="184" t="s">
        <v>55</v>
      </c>
      <c r="J606" s="184"/>
      <c r="K606" s="184" t="s">
        <v>56</v>
      </c>
      <c r="L606" s="184" t="s">
        <v>57</v>
      </c>
      <c r="M606" s="184"/>
      <c r="N606" s="184"/>
      <c r="O606" s="184"/>
      <c r="P606" s="184" t="b">
        <v>0</v>
      </c>
    </row>
    <row r="607" spans="1:16" ht="12.75" hidden="1">
      <c r="A607" s="184" t="str">
        <f t="shared" si="26"/>
        <v>KTP-S1-DVL-B-606</v>
      </c>
      <c r="B607" s="184">
        <v>606</v>
      </c>
      <c r="C607" s="184" t="str">
        <f t="shared" si="25"/>
        <v>[05C332] Stage 1 KTP mode - Cmd - Energize for Auto</v>
      </c>
      <c r="D607" s="184" t="s">
        <v>1205</v>
      </c>
      <c r="E607" s="184" t="s">
        <v>1206</v>
      </c>
      <c r="F607" s="184" t="s">
        <v>1107</v>
      </c>
      <c r="G607" s="184" t="s">
        <v>911</v>
      </c>
      <c r="H607" s="184" t="s">
        <v>47</v>
      </c>
      <c r="I607" s="184" t="s">
        <v>48</v>
      </c>
      <c r="J607" s="184"/>
      <c r="K607" s="184" t="s">
        <v>104</v>
      </c>
      <c r="L607" s="184" t="s">
        <v>50</v>
      </c>
      <c r="M607" s="184"/>
      <c r="N607" s="184"/>
      <c r="O607" s="184"/>
      <c r="P607" s="184" t="b">
        <v>0</v>
      </c>
    </row>
    <row r="608" spans="1:16" ht="12.75" hidden="1">
      <c r="A608" s="184" t="str">
        <f t="shared" si="26"/>
        <v>KTP-S1-PXS-PxO-607</v>
      </c>
      <c r="B608" s="184">
        <v>607</v>
      </c>
      <c r="C608" s="184" t="str">
        <f t="shared" si="25"/>
        <v>[05C332.2] Stage 1 KTP mode - Ereg</v>
      </c>
      <c r="D608" s="184" t="s">
        <v>1207</v>
      </c>
      <c r="E608" s="184" t="s">
        <v>1208</v>
      </c>
      <c r="F608" s="184" t="s">
        <v>1107</v>
      </c>
      <c r="G608" s="184" t="s">
        <v>911</v>
      </c>
      <c r="H608" s="184" t="s">
        <v>485</v>
      </c>
      <c r="I608" s="184" t="s">
        <v>73</v>
      </c>
      <c r="J608" s="184"/>
      <c r="K608" s="184" t="s">
        <v>115</v>
      </c>
      <c r="L608" s="184" t="s">
        <v>50</v>
      </c>
      <c r="M608" s="184"/>
      <c r="N608" s="184"/>
      <c r="O608" s="184"/>
      <c r="P608" s="184" t="b">
        <v>0</v>
      </c>
    </row>
    <row r="609" spans="1:16" ht="12.75" hidden="1">
      <c r="A609" s="184" t="str">
        <f t="shared" si="26"/>
        <v>KTP-S1-PXS-PxC-608</v>
      </c>
      <c r="B609" s="184">
        <v>608</v>
      </c>
      <c r="C609" s="184" t="str">
        <f t="shared" si="25"/>
        <v>[05C332.2] Stage 1 KTP mode - Manual</v>
      </c>
      <c r="D609" s="184" t="s">
        <v>1209</v>
      </c>
      <c r="E609" s="184" t="s">
        <v>1208</v>
      </c>
      <c r="F609" s="184" t="s">
        <v>1107</v>
      </c>
      <c r="G609" s="184" t="s">
        <v>911</v>
      </c>
      <c r="H609" s="184" t="s">
        <v>485</v>
      </c>
      <c r="I609" s="184" t="s">
        <v>73</v>
      </c>
      <c r="J609" s="184"/>
      <c r="K609" s="184" t="s">
        <v>108</v>
      </c>
      <c r="L609" s="184" t="s">
        <v>50</v>
      </c>
      <c r="M609" s="184"/>
      <c r="N609" s="184"/>
      <c r="O609" s="184"/>
      <c r="P609" s="184" t="b">
        <v>0</v>
      </c>
    </row>
    <row r="610" spans="1:16" ht="12.75">
      <c r="A610" s="184" t="str">
        <f t="shared" si="26"/>
        <v>KTP-S2-EREG-Ps-609</v>
      </c>
      <c r="B610" s="184">
        <v>609</v>
      </c>
      <c r="C610" s="184" t="str">
        <f t="shared" si="25"/>
        <v>[05C027] Electrical Regulator Kero S2</v>
      </c>
      <c r="D610" s="184" t="s">
        <v>1210</v>
      </c>
      <c r="E610" s="184" t="s">
        <v>1211</v>
      </c>
      <c r="F610" s="184" t="s">
        <v>1107</v>
      </c>
      <c r="G610" s="184" t="s">
        <v>913</v>
      </c>
      <c r="H610" s="184" t="s">
        <v>1197</v>
      </c>
      <c r="I610" s="184" t="s">
        <v>247</v>
      </c>
      <c r="J610" s="184"/>
      <c r="K610" s="184" t="s">
        <v>56</v>
      </c>
      <c r="L610" s="184" t="s">
        <v>57</v>
      </c>
      <c r="M610" s="184"/>
      <c r="N610" s="184"/>
      <c r="O610" s="184"/>
      <c r="P610" s="184" t="b">
        <v>0</v>
      </c>
    </row>
    <row r="611" spans="1:16" ht="12.75">
      <c r="A611" s="184" t="str">
        <f t="shared" si="26"/>
        <v>KTP-S1-PRS-Ps-610</v>
      </c>
      <c r="B611" s="184">
        <v>610</v>
      </c>
      <c r="C611" s="184" t="str">
        <f t="shared" si="25"/>
        <v>[05C957] Stage 1 KTP pressure</v>
      </c>
      <c r="D611" s="184" t="s">
        <v>1212</v>
      </c>
      <c r="E611" s="184" t="s">
        <v>1213</v>
      </c>
      <c r="F611" s="184" t="s">
        <v>1107</v>
      </c>
      <c r="G611" s="184" t="s">
        <v>911</v>
      </c>
      <c r="H611" s="184" t="s">
        <v>54</v>
      </c>
      <c r="I611" s="184" t="s">
        <v>55</v>
      </c>
      <c r="J611" s="184"/>
      <c r="K611" s="184" t="s">
        <v>56</v>
      </c>
      <c r="L611" s="184" t="s">
        <v>57</v>
      </c>
      <c r="M611" s="184"/>
      <c r="N611" s="184"/>
      <c r="O611" s="184"/>
      <c r="P611" s="184" t="b">
        <v>0</v>
      </c>
    </row>
    <row r="612" spans="1:16" ht="12.75">
      <c r="A612" s="184" t="str">
        <f t="shared" si="26"/>
        <v>KTP-S2-HYG-WC-611</v>
      </c>
      <c r="B612" s="184">
        <v>611</v>
      </c>
      <c r="C612" s="184" t="str">
        <f t="shared" si="25"/>
        <v>[05C760] S2 Kero Tank Purge Moisture Sensor</v>
      </c>
      <c r="D612" s="184" t="s">
        <v>1214</v>
      </c>
      <c r="E612" s="184" t="s">
        <v>1215</v>
      </c>
      <c r="F612" s="184" t="s">
        <v>1107</v>
      </c>
      <c r="G612" s="184" t="s">
        <v>913</v>
      </c>
      <c r="H612" s="184" t="s">
        <v>942</v>
      </c>
      <c r="I612" s="184" t="s">
        <v>1216</v>
      </c>
      <c r="J612" s="184"/>
      <c r="K612" s="184" t="s">
        <v>943</v>
      </c>
      <c r="L612" s="184" t="s">
        <v>944</v>
      </c>
      <c r="M612" s="184"/>
      <c r="N612" s="184"/>
      <c r="O612" s="184"/>
      <c r="P612" s="184" t="b">
        <v>0</v>
      </c>
    </row>
    <row r="613" spans="1:16" ht="12.75">
      <c r="A613" s="184" t="str">
        <f t="shared" si="26"/>
        <v>KTP-S2-PRS-Ps-612</v>
      </c>
      <c r="B613" s="184">
        <v>612</v>
      </c>
      <c r="C613" s="184" t="str">
        <f t="shared" si="25"/>
        <v>[05C962] Strongback accumulator pressure</v>
      </c>
      <c r="D613" s="184" t="s">
        <v>1217</v>
      </c>
      <c r="E613" s="184" t="s">
        <v>1218</v>
      </c>
      <c r="F613" s="184" t="s">
        <v>1107</v>
      </c>
      <c r="G613" s="184" t="s">
        <v>913</v>
      </c>
      <c r="H613" s="184" t="s">
        <v>54</v>
      </c>
      <c r="I613" s="184" t="s">
        <v>55</v>
      </c>
      <c r="J613" s="184"/>
      <c r="K613" s="184" t="s">
        <v>56</v>
      </c>
      <c r="L613" s="184" t="s">
        <v>57</v>
      </c>
      <c r="M613" s="184"/>
      <c r="N613" s="184"/>
      <c r="O613" s="184"/>
      <c r="P613" s="184" t="b">
        <v>0</v>
      </c>
    </row>
    <row r="614" spans="1:16" ht="12.75">
      <c r="A614" s="184" t="str">
        <f t="shared" si="26"/>
        <v>KTP-S2-PRS-Ps-613</v>
      </c>
      <c r="B614" s="184">
        <v>613</v>
      </c>
      <c r="C614" s="184" t="str">
        <f t="shared" si="25"/>
        <v>[05CXXX MP115.2] Hexane skid pressure</v>
      </c>
      <c r="D614" s="184" t="s">
        <v>1219</v>
      </c>
      <c r="E614" s="184" t="s">
        <v>1220</v>
      </c>
      <c r="F614" s="184" t="s">
        <v>1107</v>
      </c>
      <c r="G614" s="184" t="s">
        <v>913</v>
      </c>
      <c r="H614" s="184" t="s">
        <v>54</v>
      </c>
      <c r="I614" s="184" t="s">
        <v>55</v>
      </c>
      <c r="J614" s="184"/>
      <c r="K614" s="184" t="s">
        <v>56</v>
      </c>
      <c r="L614" s="184" t="s">
        <v>57</v>
      </c>
      <c r="M614" s="184"/>
      <c r="N614" s="184"/>
      <c r="O614" s="184"/>
      <c r="P614" s="184" t="b">
        <v>0</v>
      </c>
    </row>
    <row r="615" spans="1:16" ht="12.75">
      <c r="A615" s="184" t="str">
        <f t="shared" si="26"/>
        <v>FARU-FAR-TC-Ts-614</v>
      </c>
      <c r="B615" s="184">
        <v>614</v>
      </c>
      <c r="C615" s="184" t="str">
        <f t="shared" si="25"/>
        <v>[05C952XXX2] Fairing umbilical temperature 2</v>
      </c>
      <c r="D615" s="184" t="s">
        <v>1221</v>
      </c>
      <c r="E615" s="184" t="s">
        <v>1222</v>
      </c>
      <c r="F615" s="184" t="s">
        <v>1166</v>
      </c>
      <c r="G615" s="184" t="s">
        <v>245</v>
      </c>
      <c r="H615" s="184" t="s">
        <v>229</v>
      </c>
      <c r="I615" s="184" t="s">
        <v>284</v>
      </c>
      <c r="J615" s="184"/>
      <c r="K615" s="184" t="s">
        <v>231</v>
      </c>
      <c r="L615" s="184" t="s">
        <v>232</v>
      </c>
      <c r="M615" s="184"/>
      <c r="N615" s="184"/>
      <c r="O615" s="184"/>
      <c r="P615" s="184" t="b">
        <v>0</v>
      </c>
    </row>
    <row r="616" spans="1:16" ht="12.75">
      <c r="A616" s="184" t="str">
        <f t="shared" si="26"/>
        <v>FARU-FAR-TC-Ts-615</v>
      </c>
      <c r="B616" s="184">
        <v>615</v>
      </c>
      <c r="C616" s="184" t="str">
        <f t="shared" si="25"/>
        <v>[05C952XXX3] Fairing umbilical temperature 3</v>
      </c>
      <c r="D616" s="184" t="s">
        <v>1223</v>
      </c>
      <c r="E616" s="184" t="s">
        <v>1224</v>
      </c>
      <c r="F616" s="184" t="s">
        <v>1166</v>
      </c>
      <c r="G616" s="184" t="s">
        <v>245</v>
      </c>
      <c r="H616" s="184" t="s">
        <v>229</v>
      </c>
      <c r="I616" s="184" t="s">
        <v>284</v>
      </c>
      <c r="J616" s="184"/>
      <c r="K616" s="184" t="s">
        <v>231</v>
      </c>
      <c r="L616" s="184" t="s">
        <v>232</v>
      </c>
      <c r="M616" s="184"/>
      <c r="N616" s="184"/>
      <c r="O616" s="184"/>
      <c r="P616" s="184" t="b">
        <v>0</v>
      </c>
    </row>
    <row r="617" spans="1:16" ht="12.75">
      <c r="A617" s="184" t="str">
        <f t="shared" si="26"/>
        <v>WD-MN-PVL-Pos-616</v>
      </c>
      <c r="B617" s="184">
        <v>616</v>
      </c>
      <c r="C617" s="184" t="str">
        <f t="shared" si="25"/>
        <v>[41C303.2] Water deluge flow control valve - Resp</v>
      </c>
      <c r="D617" s="184" t="s">
        <v>1225</v>
      </c>
      <c r="E617" s="184" t="s">
        <v>921</v>
      </c>
      <c r="F617" s="184" t="s">
        <v>916</v>
      </c>
      <c r="G617" s="184" t="s">
        <v>103</v>
      </c>
      <c r="H617" s="184" t="s">
        <v>246</v>
      </c>
      <c r="I617" s="184" t="s">
        <v>55</v>
      </c>
      <c r="J617" s="184"/>
      <c r="K617" s="184" t="s">
        <v>49</v>
      </c>
      <c r="L617" s="184" t="s">
        <v>248</v>
      </c>
      <c r="M617" s="184"/>
      <c r="N617" s="184"/>
      <c r="O617" s="184"/>
      <c r="P617" s="184" t="b">
        <v>0</v>
      </c>
    </row>
    <row r="618" spans="1:16" ht="12.75" hidden="1">
      <c r="A618" s="184" t="str">
        <f t="shared" si="26"/>
        <v>FARU-MA-SLD-B-617</v>
      </c>
      <c r="B618" s="184">
        <v>617</v>
      </c>
      <c r="C618" s="184" t="str">
        <f t="shared" si="25"/>
        <v>[FARU-MA-SLD-B-617] Fairing Umb Rev 2. Muscle Air Enable</v>
      </c>
      <c r="D618" s="184" t="s">
        <v>1226</v>
      </c>
      <c r="E618" s="184" t="s">
        <v>1227</v>
      </c>
      <c r="F618" s="184" t="s">
        <v>1166</v>
      </c>
      <c r="G618" s="184" t="s">
        <v>1228</v>
      </c>
      <c r="H618" s="184" t="s">
        <v>854</v>
      </c>
      <c r="I618" s="184" t="s">
        <v>48</v>
      </c>
      <c r="J618" s="184"/>
      <c r="K618" s="184" t="s">
        <v>104</v>
      </c>
      <c r="L618" s="184" t="s">
        <v>50</v>
      </c>
      <c r="M618" s="184"/>
      <c r="N618" s="184"/>
      <c r="O618" s="184"/>
      <c r="P618" s="184" t="b">
        <v>0</v>
      </c>
    </row>
    <row r="619" spans="1:16" ht="12.75" hidden="1">
      <c r="A619" s="184" t="str">
        <f t="shared" si="26"/>
        <v>FARU-MA-SLD-B-618</v>
      </c>
      <c r="B619" s="184">
        <v>618</v>
      </c>
      <c r="C619" s="184" t="str">
        <f t="shared" si="25"/>
        <v>[FARU-MA-SLD-B-618] Fairing Umb Rev 2. Muscle Air Disable</v>
      </c>
      <c r="D619" s="184" t="s">
        <v>1229</v>
      </c>
      <c r="E619" s="184" t="s">
        <v>1230</v>
      </c>
      <c r="F619" s="184" t="s">
        <v>1166</v>
      </c>
      <c r="G619" s="184" t="s">
        <v>1228</v>
      </c>
      <c r="H619" s="184" t="s">
        <v>854</v>
      </c>
      <c r="I619" s="184" t="s">
        <v>48</v>
      </c>
      <c r="J619" s="184"/>
      <c r="K619" s="184" t="s">
        <v>104</v>
      </c>
      <c r="L619" s="184" t="s">
        <v>50</v>
      </c>
      <c r="M619" s="184"/>
      <c r="N619" s="184"/>
      <c r="O619" s="184"/>
      <c r="P619" s="184" t="b">
        <v>0</v>
      </c>
    </row>
    <row r="620" spans="1:16" ht="12.75" hidden="1">
      <c r="A620" s="184" t="str">
        <f t="shared" si="26"/>
        <v>FARU-INTF-LE-Px-619</v>
      </c>
      <c r="B620" s="184">
        <v>619</v>
      </c>
      <c r="C620" s="184" t="str">
        <f t="shared" si="25"/>
        <v>[FARU-INTF-LE-Px-619] Fairing Umbi Encoder</v>
      </c>
      <c r="D620" s="184" t="s">
        <v>1231</v>
      </c>
      <c r="E620" s="184" t="s">
        <v>1232</v>
      </c>
      <c r="F620" s="184" t="s">
        <v>1166</v>
      </c>
      <c r="G620" s="184" t="s">
        <v>1170</v>
      </c>
      <c r="H620" s="184" t="s">
        <v>1233</v>
      </c>
      <c r="I620" s="184" t="s">
        <v>55</v>
      </c>
      <c r="J620" s="184"/>
      <c r="K620" s="184" t="s">
        <v>489</v>
      </c>
      <c r="L620" s="184" t="s">
        <v>538</v>
      </c>
      <c r="M620" s="184"/>
      <c r="N620" s="184"/>
      <c r="O620" s="184"/>
      <c r="P620" s="184" t="b">
        <v>0</v>
      </c>
    </row>
    <row r="621" spans="1:16" s="151" customFormat="1" ht="12.75" hidden="1">
      <c r="A621" s="184"/>
      <c r="B621" s="184">
        <v>620</v>
      </c>
      <c r="C621" s="184" t="str">
        <f t="shared" si="25"/>
        <v xml:space="preserve">[] </v>
      </c>
      <c r="D621" s="184"/>
      <c r="E621" s="184"/>
      <c r="F621" s="184"/>
      <c r="G621" s="184"/>
      <c r="H621" s="184"/>
      <c r="I621" s="184"/>
      <c r="J621" s="184"/>
      <c r="K621" s="184"/>
      <c r="L621" s="184"/>
      <c r="M621" s="184"/>
      <c r="N621" s="184"/>
      <c r="O621" s="184"/>
      <c r="P621" s="184"/>
    </row>
    <row r="622" spans="1:16" s="151" customFormat="1" ht="12.75" hidden="1">
      <c r="A622" s="184"/>
      <c r="B622" s="184">
        <v>621</v>
      </c>
      <c r="C622" s="184" t="str">
        <f t="shared" si="25"/>
        <v xml:space="preserve">[] </v>
      </c>
      <c r="D622" s="184"/>
      <c r="E622" s="184"/>
      <c r="F622" s="184"/>
      <c r="G622" s="184"/>
      <c r="H622" s="184"/>
      <c r="I622" s="184"/>
      <c r="J622" s="184"/>
      <c r="K622" s="184"/>
      <c r="L622" s="184"/>
      <c r="M622" s="184"/>
      <c r="N622" s="184"/>
      <c r="O622" s="184"/>
      <c r="P622" s="184"/>
    </row>
    <row r="623" spans="1:16" ht="12.75">
      <c r="A623" s="184" t="str">
        <f t="shared" si="26"/>
        <v>LOX-LS1-VSD-SPD-622</v>
      </c>
      <c r="B623" s="184">
        <v>622</v>
      </c>
      <c r="C623" s="184" t="str">
        <f t="shared" si="25"/>
        <v>[M9] LOX pump 1 Speed Cmd</v>
      </c>
      <c r="D623" s="184" t="s">
        <v>1234</v>
      </c>
      <c r="E623" s="184" t="s">
        <v>1235</v>
      </c>
      <c r="F623" s="184" t="s">
        <v>674</v>
      </c>
      <c r="G623" s="184" t="s">
        <v>675</v>
      </c>
      <c r="H623" s="184" t="s">
        <v>648</v>
      </c>
      <c r="I623" s="184" t="s">
        <v>247</v>
      </c>
      <c r="J623" s="184"/>
      <c r="K623" s="184" t="s">
        <v>651</v>
      </c>
      <c r="L623" s="184" t="s">
        <v>652</v>
      </c>
      <c r="M623" s="184"/>
      <c r="N623" s="184"/>
      <c r="O623" s="184"/>
      <c r="P623" s="184" t="b">
        <v>0</v>
      </c>
    </row>
    <row r="624" spans="1:16" ht="12.75" hidden="1">
      <c r="A624" s="184" t="str">
        <f t="shared" si="26"/>
        <v>LOX-LS1-VSD-B-623</v>
      </c>
      <c r="B624" s="184">
        <v>623</v>
      </c>
      <c r="C624" s="184" t="str">
        <f t="shared" si="25"/>
        <v>[M9] LOX pump 1 VSD cmd</v>
      </c>
      <c r="D624" s="184" t="s">
        <v>1236</v>
      </c>
      <c r="E624" s="184" t="s">
        <v>1235</v>
      </c>
      <c r="F624" s="184" t="s">
        <v>674</v>
      </c>
      <c r="G624" s="184" t="s">
        <v>675</v>
      </c>
      <c r="H624" s="184" t="s">
        <v>648</v>
      </c>
      <c r="I624" s="184" t="s">
        <v>48</v>
      </c>
      <c r="J624" s="184"/>
      <c r="K624" s="184" t="s">
        <v>104</v>
      </c>
      <c r="L624" s="184" t="s">
        <v>50</v>
      </c>
      <c r="M624" s="184"/>
      <c r="N624" s="184"/>
      <c r="O624" s="184"/>
      <c r="P624" s="184" t="b">
        <v>0</v>
      </c>
    </row>
    <row r="625" spans="1:16" ht="12.75">
      <c r="A625" s="184" t="str">
        <f t="shared" si="26"/>
        <v>LOX-LS1-VSD-SPD-624</v>
      </c>
      <c r="B625" s="184">
        <v>624</v>
      </c>
      <c r="C625" s="184" t="str">
        <f t="shared" si="25"/>
        <v>[M9] LOX pump 1 Speed resp</v>
      </c>
      <c r="D625" s="184" t="s">
        <v>1237</v>
      </c>
      <c r="E625" s="184" t="s">
        <v>1235</v>
      </c>
      <c r="F625" s="184" t="s">
        <v>674</v>
      </c>
      <c r="G625" s="184" t="s">
        <v>675</v>
      </c>
      <c r="H625" s="184" t="s">
        <v>648</v>
      </c>
      <c r="I625" s="184" t="s">
        <v>55</v>
      </c>
      <c r="J625" s="184"/>
      <c r="K625" s="184" t="s">
        <v>651</v>
      </c>
      <c r="L625" s="184" t="s">
        <v>652</v>
      </c>
      <c r="M625" s="184"/>
      <c r="N625" s="184"/>
      <c r="O625" s="184"/>
      <c r="P625" s="184" t="b">
        <v>0</v>
      </c>
    </row>
    <row r="626" spans="1:16" ht="12.75" hidden="1">
      <c r="A626" s="184" t="str">
        <f t="shared" ref="A626:A661" si="27">CONCATENATE(VLOOKUP(F626,Systems,2,FALSE),"-",VLOOKUP(G626,Subsystems,2,FALSE),"-",VLOOKUP(H626,Components,2,FALSE),"-",VLOOKUP(K626,Metrics,2,FALSE),"-",B626)</f>
        <v>LOX-LS1-VSD-B-625</v>
      </c>
      <c r="B626" s="184">
        <v>625</v>
      </c>
      <c r="C626" s="184" t="str">
        <f t="shared" si="25"/>
        <v>[M9] LOX pump 1 VSD resp</v>
      </c>
      <c r="D626" s="184" t="s">
        <v>1238</v>
      </c>
      <c r="E626" s="184" t="s">
        <v>1235</v>
      </c>
      <c r="F626" s="184" t="s">
        <v>674</v>
      </c>
      <c r="G626" s="184" t="s">
        <v>675</v>
      </c>
      <c r="H626" s="184" t="s">
        <v>648</v>
      </c>
      <c r="I626" s="184" t="s">
        <v>73</v>
      </c>
      <c r="J626" s="184"/>
      <c r="K626" s="184" t="s">
        <v>104</v>
      </c>
      <c r="L626" s="184" t="s">
        <v>50</v>
      </c>
      <c r="M626" s="184"/>
      <c r="N626" s="184"/>
      <c r="O626" s="184"/>
      <c r="P626" s="184" t="b">
        <v>0</v>
      </c>
    </row>
    <row r="627" spans="1:16" ht="12.75" hidden="1">
      <c r="A627" s="184" t="str">
        <f t="shared" si="27"/>
        <v>LOX-LS1-CT-B-626</v>
      </c>
      <c r="B627" s="184">
        <v>626</v>
      </c>
      <c r="C627" s="184" t="str">
        <f t="shared" si="25"/>
        <v>[M9K] LOX pump 1 Enable Contactor</v>
      </c>
      <c r="D627" s="184" t="s">
        <v>1239</v>
      </c>
      <c r="E627" s="184" t="s">
        <v>1240</v>
      </c>
      <c r="F627" s="184" t="s">
        <v>674</v>
      </c>
      <c r="G627" s="184" t="s">
        <v>675</v>
      </c>
      <c r="H627" s="184" t="s">
        <v>320</v>
      </c>
      <c r="I627" s="184" t="s">
        <v>48</v>
      </c>
      <c r="J627" s="184"/>
      <c r="K627" s="184" t="s">
        <v>104</v>
      </c>
      <c r="L627" s="184" t="s">
        <v>50</v>
      </c>
      <c r="M627" s="184"/>
      <c r="N627" s="184"/>
      <c r="O627" s="184"/>
      <c r="P627" s="184" t="b">
        <v>0</v>
      </c>
    </row>
    <row r="628" spans="1:16" ht="12.75">
      <c r="A628" s="184" t="str">
        <f t="shared" si="27"/>
        <v>LOX-LS2-VSD-SPD-627</v>
      </c>
      <c r="B628" s="184">
        <v>627</v>
      </c>
      <c r="C628" s="184" t="str">
        <f t="shared" si="25"/>
        <v>[M10] LOX pump 2 Speed Cmd</v>
      </c>
      <c r="D628" s="184" t="s">
        <v>1241</v>
      </c>
      <c r="E628" s="184" t="s">
        <v>1242</v>
      </c>
      <c r="F628" s="184" t="s">
        <v>674</v>
      </c>
      <c r="G628" s="184" t="s">
        <v>957</v>
      </c>
      <c r="H628" s="184" t="s">
        <v>648</v>
      </c>
      <c r="I628" s="184" t="s">
        <v>247</v>
      </c>
      <c r="J628" s="184"/>
      <c r="K628" s="184" t="s">
        <v>651</v>
      </c>
      <c r="L628" s="184" t="s">
        <v>652</v>
      </c>
      <c r="M628" s="184"/>
      <c r="N628" s="184"/>
      <c r="O628" s="184"/>
      <c r="P628" s="184" t="b">
        <v>0</v>
      </c>
    </row>
    <row r="629" spans="1:16" ht="12.75" hidden="1">
      <c r="A629" s="184" t="str">
        <f t="shared" si="27"/>
        <v>LOX-LS2-VSD-B-628</v>
      </c>
      <c r="B629" s="184">
        <v>628</v>
      </c>
      <c r="C629" s="184" t="str">
        <f t="shared" si="25"/>
        <v>[M10] LOX pump 2 VSD cmd</v>
      </c>
      <c r="D629" s="184" t="s">
        <v>1243</v>
      </c>
      <c r="E629" s="184" t="s">
        <v>1242</v>
      </c>
      <c r="F629" s="184" t="s">
        <v>674</v>
      </c>
      <c r="G629" s="184" t="s">
        <v>957</v>
      </c>
      <c r="H629" s="184" t="s">
        <v>648</v>
      </c>
      <c r="I629" s="184" t="s">
        <v>48</v>
      </c>
      <c r="J629" s="184"/>
      <c r="K629" s="184" t="s">
        <v>104</v>
      </c>
      <c r="L629" s="184" t="s">
        <v>50</v>
      </c>
      <c r="M629" s="184"/>
      <c r="N629" s="184"/>
      <c r="O629" s="184"/>
      <c r="P629" s="184" t="b">
        <v>0</v>
      </c>
    </row>
    <row r="630" spans="1:16" ht="12.75">
      <c r="A630" s="184" t="str">
        <f t="shared" si="27"/>
        <v>LOX-LS2-VSD-SPD-629</v>
      </c>
      <c r="B630" s="184">
        <v>629</v>
      </c>
      <c r="C630" s="184" t="str">
        <f t="shared" si="25"/>
        <v>[M10] LOX pump 2 Speed resp</v>
      </c>
      <c r="D630" s="184" t="s">
        <v>1244</v>
      </c>
      <c r="E630" s="184" t="s">
        <v>1242</v>
      </c>
      <c r="F630" s="184" t="s">
        <v>674</v>
      </c>
      <c r="G630" s="184" t="s">
        <v>957</v>
      </c>
      <c r="H630" s="184" t="s">
        <v>648</v>
      </c>
      <c r="I630" s="184" t="s">
        <v>55</v>
      </c>
      <c r="J630" s="184"/>
      <c r="K630" s="184" t="s">
        <v>651</v>
      </c>
      <c r="L630" s="184" t="s">
        <v>652</v>
      </c>
      <c r="M630" s="184"/>
      <c r="N630" s="184"/>
      <c r="O630" s="184"/>
      <c r="P630" s="184" t="b">
        <v>0</v>
      </c>
    </row>
    <row r="631" spans="1:16" ht="12.75" hidden="1">
      <c r="A631" s="184" t="str">
        <f t="shared" si="27"/>
        <v>LOX-LS2-VSD-B-630</v>
      </c>
      <c r="B631" s="184">
        <v>630</v>
      </c>
      <c r="C631" s="184" t="str">
        <f t="shared" si="25"/>
        <v>[M10] LOX pump 2 VSD resp</v>
      </c>
      <c r="D631" s="184" t="s">
        <v>1245</v>
      </c>
      <c r="E631" s="184" t="s">
        <v>1242</v>
      </c>
      <c r="F631" s="184" t="s">
        <v>674</v>
      </c>
      <c r="G631" s="184" t="s">
        <v>957</v>
      </c>
      <c r="H631" s="184" t="s">
        <v>648</v>
      </c>
      <c r="I631" s="184" t="s">
        <v>73</v>
      </c>
      <c r="J631" s="184"/>
      <c r="K631" s="184" t="s">
        <v>104</v>
      </c>
      <c r="L631" s="184" t="s">
        <v>50</v>
      </c>
      <c r="M631" s="184"/>
      <c r="N631" s="184"/>
      <c r="O631" s="184"/>
      <c r="P631" s="184" t="b">
        <v>0</v>
      </c>
    </row>
    <row r="632" spans="1:16" ht="12.75" hidden="1">
      <c r="A632" s="184" t="str">
        <f t="shared" si="27"/>
        <v>LOX-LS2-CT-B-631</v>
      </c>
      <c r="B632" s="184">
        <v>631</v>
      </c>
      <c r="C632" s="184" t="str">
        <f t="shared" si="25"/>
        <v>[M10K] LOX pump 2 enable contactor</v>
      </c>
      <c r="D632" s="184" t="s">
        <v>1246</v>
      </c>
      <c r="E632" s="184" t="s">
        <v>1247</v>
      </c>
      <c r="F632" s="184" t="s">
        <v>674</v>
      </c>
      <c r="G632" s="184" t="s">
        <v>957</v>
      </c>
      <c r="H632" s="184" t="s">
        <v>320</v>
      </c>
      <c r="I632" s="184" t="s">
        <v>48</v>
      </c>
      <c r="J632" s="184"/>
      <c r="K632" s="184" t="s">
        <v>104</v>
      </c>
      <c r="L632" s="184" t="s">
        <v>50</v>
      </c>
      <c r="M632" s="184"/>
      <c r="N632" s="184"/>
      <c r="O632" s="184"/>
      <c r="P632" s="184" t="b">
        <v>0</v>
      </c>
    </row>
    <row r="633" spans="1:16" ht="12.75" hidden="1">
      <c r="A633" s="184" t="str">
        <f t="shared" si="27"/>
        <v>HYD-HPU-SS-B-632</v>
      </c>
      <c r="B633" s="184">
        <v>632</v>
      </c>
      <c r="C633" s="184" t="str">
        <f t="shared" si="25"/>
        <v>[M1] Pump 1 SS Stop</v>
      </c>
      <c r="D633" s="184" t="s">
        <v>1248</v>
      </c>
      <c r="E633" s="184" t="s">
        <v>317</v>
      </c>
      <c r="F633" s="184" t="s">
        <v>318</v>
      </c>
      <c r="G633" s="184" t="s">
        <v>319</v>
      </c>
      <c r="H633" s="184" t="s">
        <v>1024</v>
      </c>
      <c r="I633" s="184" t="s">
        <v>48</v>
      </c>
      <c r="J633" s="184"/>
      <c r="K633" s="184" t="s">
        <v>104</v>
      </c>
      <c r="L633" s="184" t="s">
        <v>50</v>
      </c>
      <c r="M633" s="184"/>
      <c r="N633" s="184"/>
      <c r="O633" s="184"/>
      <c r="P633" s="184" t="b">
        <v>0</v>
      </c>
    </row>
    <row r="634" spans="1:16" ht="12.75" hidden="1">
      <c r="A634" s="184" t="str">
        <f t="shared" si="27"/>
        <v>HYD-HPU-SS-B-633</v>
      </c>
      <c r="B634" s="184">
        <v>633</v>
      </c>
      <c r="C634" s="184" t="str">
        <f t="shared" si="25"/>
        <v>[M2] Pump 2 SS Stop</v>
      </c>
      <c r="D634" s="184" t="s">
        <v>1249</v>
      </c>
      <c r="E634" s="184" t="s">
        <v>322</v>
      </c>
      <c r="F634" s="184" t="s">
        <v>318</v>
      </c>
      <c r="G634" s="184" t="s">
        <v>319</v>
      </c>
      <c r="H634" s="184" t="s">
        <v>1024</v>
      </c>
      <c r="I634" s="184" t="s">
        <v>48</v>
      </c>
      <c r="J634" s="184"/>
      <c r="K634" s="184" t="s">
        <v>104</v>
      </c>
      <c r="L634" s="184" t="s">
        <v>50</v>
      </c>
      <c r="M634" s="184"/>
      <c r="N634" s="184"/>
      <c r="O634" s="184"/>
      <c r="P634" s="184" t="b">
        <v>0</v>
      </c>
    </row>
    <row r="635" spans="1:16" ht="12.75">
      <c r="A635" s="184" t="str">
        <f t="shared" si="27"/>
        <v>GN2-LF-HYG-WC-634</v>
      </c>
      <c r="B635" s="184">
        <v>634</v>
      </c>
      <c r="C635" s="184" t="str">
        <f t="shared" si="25"/>
        <v>[05C761] S2 Kero Tank Purge Moisture Sensor</v>
      </c>
      <c r="D635" s="184" t="s">
        <v>1214</v>
      </c>
      <c r="E635" s="184" t="s">
        <v>1250</v>
      </c>
      <c r="F635" s="184" t="s">
        <v>180</v>
      </c>
      <c r="G635" s="184" t="s">
        <v>65</v>
      </c>
      <c r="H635" s="184" t="s">
        <v>942</v>
      </c>
      <c r="I635" s="184" t="s">
        <v>1216</v>
      </c>
      <c r="J635" s="184"/>
      <c r="K635" s="184" t="s">
        <v>943</v>
      </c>
      <c r="L635" s="184" t="s">
        <v>944</v>
      </c>
      <c r="M635" s="184"/>
      <c r="N635" s="184"/>
      <c r="O635" s="184"/>
      <c r="P635" s="184" t="b">
        <v>0</v>
      </c>
    </row>
    <row r="636" spans="1:16" s="151" customFormat="1" ht="12.75" hidden="1">
      <c r="A636" s="184"/>
      <c r="B636" s="184">
        <v>635</v>
      </c>
      <c r="C636" s="184" t="str">
        <f t="shared" si="25"/>
        <v xml:space="preserve">[] </v>
      </c>
      <c r="D636" s="184"/>
      <c r="E636" s="184"/>
      <c r="F636" s="184"/>
      <c r="G636" s="184"/>
      <c r="H636" s="184"/>
      <c r="I636" s="184"/>
      <c r="J636" s="184"/>
      <c r="K636" s="184"/>
      <c r="L636" s="184"/>
      <c r="M636" s="184"/>
      <c r="N636" s="184"/>
      <c r="O636" s="184"/>
      <c r="P636" s="184"/>
    </row>
    <row r="637" spans="1:16" s="151" customFormat="1" ht="12.75" hidden="1">
      <c r="A637" s="184"/>
      <c r="B637" s="184">
        <v>636</v>
      </c>
      <c r="C637" s="184" t="str">
        <f t="shared" si="25"/>
        <v xml:space="preserve">[] </v>
      </c>
      <c r="D637" s="184"/>
      <c r="E637" s="184"/>
      <c r="F637" s="184"/>
      <c r="G637" s="184"/>
      <c r="H637" s="184"/>
      <c r="I637" s="184"/>
      <c r="J637" s="184"/>
      <c r="K637" s="184"/>
      <c r="L637" s="184"/>
      <c r="M637" s="184"/>
      <c r="N637" s="184"/>
      <c r="O637" s="184"/>
      <c r="P637" s="184"/>
    </row>
    <row r="638" spans="1:16" s="151" customFormat="1" ht="12.75" hidden="1">
      <c r="A638" s="184"/>
      <c r="B638" s="184">
        <v>637</v>
      </c>
      <c r="C638" s="184" t="str">
        <f t="shared" si="25"/>
        <v xml:space="preserve">[] </v>
      </c>
      <c r="D638" s="184"/>
      <c r="E638" s="184"/>
      <c r="F638" s="184"/>
      <c r="G638" s="184"/>
      <c r="H638" s="184"/>
      <c r="I638" s="184"/>
      <c r="J638" s="184"/>
      <c r="K638" s="184"/>
      <c r="L638" s="184"/>
      <c r="M638" s="184"/>
      <c r="N638" s="184"/>
      <c r="O638" s="184"/>
      <c r="P638" s="184"/>
    </row>
    <row r="639" spans="1:16" ht="12.75">
      <c r="A639" s="184" t="str">
        <f t="shared" si="27"/>
        <v>BP-PRG-PRS-Ps-638</v>
      </c>
      <c r="B639" s="184">
        <v>638</v>
      </c>
      <c r="C639" s="184" t="str">
        <f t="shared" si="25"/>
        <v>[BP-PRG-PRS-Ps-638] purge pressure - S1U</v>
      </c>
      <c r="D639" s="184" t="s">
        <v>1251</v>
      </c>
      <c r="E639" s="184" t="s">
        <v>1252</v>
      </c>
      <c r="F639" s="184" t="s">
        <v>868</v>
      </c>
      <c r="G639" s="184" t="s">
        <v>185</v>
      </c>
      <c r="H639" s="184" t="s">
        <v>54</v>
      </c>
      <c r="I639" s="184" t="s">
        <v>55</v>
      </c>
      <c r="J639" s="184"/>
      <c r="K639" s="184" t="s">
        <v>56</v>
      </c>
      <c r="L639" s="184" t="s">
        <v>57</v>
      </c>
      <c r="M639" s="184"/>
      <c r="N639" s="184"/>
      <c r="O639" s="184"/>
      <c r="P639" s="184" t="b">
        <v>0</v>
      </c>
    </row>
    <row r="640" spans="1:16" s="151" customFormat="1" ht="12.75" hidden="1">
      <c r="A640" s="184"/>
      <c r="B640" s="184">
        <v>639</v>
      </c>
      <c r="C640" s="184" t="str">
        <f t="shared" si="25"/>
        <v xml:space="preserve">[] </v>
      </c>
      <c r="D640" s="184"/>
      <c r="E640" s="184"/>
      <c r="F640" s="184"/>
      <c r="G640" s="184"/>
      <c r="H640" s="184"/>
      <c r="I640" s="184"/>
      <c r="J640" s="184"/>
      <c r="K640" s="184"/>
      <c r="L640" s="184"/>
      <c r="M640" s="184"/>
      <c r="N640" s="184"/>
      <c r="O640" s="184"/>
      <c r="P640" s="184"/>
    </row>
    <row r="641" spans="1:16" ht="12.75" hidden="1">
      <c r="A641" s="184" t="str">
        <f t="shared" si="27"/>
        <v>HYD-HD-LS-PxC-640</v>
      </c>
      <c r="B641" s="184">
        <v>640</v>
      </c>
      <c r="C641" s="184" t="str">
        <f t="shared" si="25"/>
        <v>[SW29] S1 Umbilical accumulator bleed valve state</v>
      </c>
      <c r="D641" s="184" t="s">
        <v>1253</v>
      </c>
      <c r="E641" s="184" t="s">
        <v>1254</v>
      </c>
      <c r="F641" s="184" t="s">
        <v>318</v>
      </c>
      <c r="G641" s="184" t="s">
        <v>368</v>
      </c>
      <c r="H641" s="184" t="s">
        <v>107</v>
      </c>
      <c r="I641" s="184" t="s">
        <v>73</v>
      </c>
      <c r="J641" s="184"/>
      <c r="K641" s="184" t="s">
        <v>108</v>
      </c>
      <c r="L641" s="184" t="s">
        <v>50</v>
      </c>
      <c r="M641" s="184"/>
      <c r="N641" s="184"/>
      <c r="O641" s="184"/>
      <c r="P641" s="184" t="b">
        <v>0</v>
      </c>
    </row>
    <row r="642" spans="1:16" ht="12.75" hidden="1">
      <c r="A642" s="184" t="str">
        <f t="shared" si="27"/>
        <v>HYD-HD-LS-PxO-641</v>
      </c>
      <c r="B642" s="184">
        <v>641</v>
      </c>
      <c r="C642" s="184" t="str">
        <f t="shared" si="25"/>
        <v>[SW40] HD lock accumulator bleed valve state</v>
      </c>
      <c r="D642" s="184" t="s">
        <v>1255</v>
      </c>
      <c r="E642" s="184" t="s">
        <v>1256</v>
      </c>
      <c r="F642" s="184" t="s">
        <v>318</v>
      </c>
      <c r="G642" s="184" t="s">
        <v>368</v>
      </c>
      <c r="H642" s="184" t="s">
        <v>107</v>
      </c>
      <c r="I642" s="184" t="s">
        <v>73</v>
      </c>
      <c r="J642" s="184"/>
      <c r="K642" s="184" t="s">
        <v>115</v>
      </c>
      <c r="L642" s="184" t="s">
        <v>50</v>
      </c>
      <c r="M642" s="184"/>
      <c r="N642" s="184"/>
      <c r="O642" s="184"/>
      <c r="P642" s="184" t="b">
        <v>0</v>
      </c>
    </row>
    <row r="643" spans="1:16" ht="12.75" hidden="1">
      <c r="A643" s="184" t="str">
        <f t="shared" si="27"/>
        <v>HYD-S1U-SLD-B-642</v>
      </c>
      <c r="B643" s="184">
        <v>642</v>
      </c>
      <c r="C643" s="184" t="str">
        <f t="shared" si="25"/>
        <v>[C28] Stage 1 umbilical circulation bleed</v>
      </c>
      <c r="D643" s="184" t="s">
        <v>1257</v>
      </c>
      <c r="E643" s="184" t="s">
        <v>1258</v>
      </c>
      <c r="F643" s="184" t="s">
        <v>318</v>
      </c>
      <c r="G643" s="184" t="s">
        <v>53</v>
      </c>
      <c r="H643" s="184" t="s">
        <v>854</v>
      </c>
      <c r="I643" s="184" t="s">
        <v>48</v>
      </c>
      <c r="J643" s="184"/>
      <c r="K643" s="184" t="s">
        <v>104</v>
      </c>
      <c r="L643" s="184" t="s">
        <v>50</v>
      </c>
      <c r="M643" s="184"/>
      <c r="N643" s="184"/>
      <c r="O643" s="184"/>
      <c r="P643" s="184" t="b">
        <v>0</v>
      </c>
    </row>
    <row r="644" spans="1:16" ht="12.75" hidden="1">
      <c r="A644" s="184" t="str">
        <f t="shared" si="27"/>
        <v>HYD-HD-SLD-B-643</v>
      </c>
      <c r="B644" s="184">
        <v>643</v>
      </c>
      <c r="C644" s="184" t="str">
        <f t="shared" si="25"/>
        <v>[S47.1] Hold Down Cylinder Oil Circulation Valve HD1 - Cmd</v>
      </c>
      <c r="D644" s="184" t="s">
        <v>1259</v>
      </c>
      <c r="E644" s="184" t="s">
        <v>1260</v>
      </c>
      <c r="F644" s="184" t="s">
        <v>318</v>
      </c>
      <c r="G644" s="184" t="s">
        <v>368</v>
      </c>
      <c r="H644" s="184" t="s">
        <v>854</v>
      </c>
      <c r="I644" s="184" t="s">
        <v>48</v>
      </c>
      <c r="J644" s="184"/>
      <c r="K644" s="184" t="s">
        <v>104</v>
      </c>
      <c r="L644" s="184" t="s">
        <v>50</v>
      </c>
      <c r="M644" s="184"/>
      <c r="N644" s="184"/>
      <c r="O644" s="184"/>
      <c r="P644" s="184" t="b">
        <v>0</v>
      </c>
    </row>
    <row r="645" spans="1:16" ht="12.75" hidden="1">
      <c r="A645" s="184" t="str">
        <f t="shared" si="27"/>
        <v>HYD-HD-SLD-B-644</v>
      </c>
      <c r="B645" s="184">
        <v>644</v>
      </c>
      <c r="C645" s="184" t="str">
        <f t="shared" si="25"/>
        <v>[S47.2] Hold Down Cylinder Oil Circulation Valve HD2 - Cmd</v>
      </c>
      <c r="D645" s="184" t="s">
        <v>1261</v>
      </c>
      <c r="E645" s="184" t="s">
        <v>1262</v>
      </c>
      <c r="F645" s="184" t="s">
        <v>318</v>
      </c>
      <c r="G645" s="184" t="s">
        <v>368</v>
      </c>
      <c r="H645" s="184" t="s">
        <v>854</v>
      </c>
      <c r="I645" s="184" t="s">
        <v>48</v>
      </c>
      <c r="J645" s="184"/>
      <c r="K645" s="184" t="s">
        <v>104</v>
      </c>
      <c r="L645" s="184" t="s">
        <v>50</v>
      </c>
      <c r="M645" s="184"/>
      <c r="N645" s="184"/>
      <c r="O645" s="184"/>
      <c r="P645" s="184" t="b">
        <v>0</v>
      </c>
    </row>
    <row r="646" spans="1:16" ht="12.75" hidden="1">
      <c r="A646" s="184" t="str">
        <f t="shared" si="27"/>
        <v>HYD-HD-SLD-B-645</v>
      </c>
      <c r="B646" s="184">
        <v>645</v>
      </c>
      <c r="C646" s="184" t="str">
        <f t="shared" si="25"/>
        <v>[S47.3] Hold Down Cylinder Oil Circulation Valve HD3 - Cmd</v>
      </c>
      <c r="D646" s="184" t="s">
        <v>1263</v>
      </c>
      <c r="E646" s="184" t="s">
        <v>1264</v>
      </c>
      <c r="F646" s="184" t="s">
        <v>318</v>
      </c>
      <c r="G646" s="184" t="s">
        <v>368</v>
      </c>
      <c r="H646" s="184" t="s">
        <v>854</v>
      </c>
      <c r="I646" s="184" t="s">
        <v>48</v>
      </c>
      <c r="J646" s="184"/>
      <c r="K646" s="184" t="s">
        <v>104</v>
      </c>
      <c r="L646" s="184" t="s">
        <v>50</v>
      </c>
      <c r="M646" s="184"/>
      <c r="N646" s="184"/>
      <c r="O646" s="184"/>
      <c r="P646" s="184" t="b">
        <v>0</v>
      </c>
    </row>
    <row r="647" spans="1:16" ht="12.75" hidden="1">
      <c r="A647" s="184" t="str">
        <f t="shared" si="27"/>
        <v>HYD-HD-SLD-B-646</v>
      </c>
      <c r="B647" s="184">
        <v>646</v>
      </c>
      <c r="C647" s="184" t="str">
        <f t="shared" si="25"/>
        <v>[S47.4] Hold Down Cylinder Oil Circulation Valve HD4 - Cmd</v>
      </c>
      <c r="D647" s="184" t="s">
        <v>1265</v>
      </c>
      <c r="E647" s="184" t="s">
        <v>1266</v>
      </c>
      <c r="F647" s="184" t="s">
        <v>318</v>
      </c>
      <c r="G647" s="184" t="s">
        <v>368</v>
      </c>
      <c r="H647" s="184" t="s">
        <v>854</v>
      </c>
      <c r="I647" s="184" t="s">
        <v>48</v>
      </c>
      <c r="J647" s="184"/>
      <c r="K647" s="184" t="s">
        <v>104</v>
      </c>
      <c r="L647" s="184" t="s">
        <v>50</v>
      </c>
      <c r="M647" s="184"/>
      <c r="N647" s="184"/>
      <c r="O647" s="184"/>
      <c r="P647" s="184" t="b">
        <v>0</v>
      </c>
    </row>
    <row r="648" spans="1:16" ht="12.75" hidden="1">
      <c r="A648" s="184" t="str">
        <f t="shared" si="27"/>
        <v>HYD-HPU-SLD-B-647</v>
      </c>
      <c r="B648" s="184">
        <v>647</v>
      </c>
      <c r="C648" s="184" t="str">
        <f t="shared" si="25"/>
        <v>[S4] Bypass Valve For Pressure Testing HD Circuit</v>
      </c>
      <c r="D648" s="184" t="s">
        <v>1267</v>
      </c>
      <c r="E648" s="184" t="s">
        <v>1268</v>
      </c>
      <c r="F648" s="184" t="s">
        <v>318</v>
      </c>
      <c r="G648" s="184" t="s">
        <v>319</v>
      </c>
      <c r="H648" s="184" t="s">
        <v>854</v>
      </c>
      <c r="I648" s="184" t="s">
        <v>48</v>
      </c>
      <c r="J648" s="184"/>
      <c r="K648" s="184" t="s">
        <v>104</v>
      </c>
      <c r="L648" s="184" t="s">
        <v>50</v>
      </c>
      <c r="M648" s="184"/>
      <c r="N648" s="184"/>
      <c r="O648" s="184"/>
      <c r="P648" s="184" t="b">
        <v>0</v>
      </c>
    </row>
    <row r="649" spans="1:16" ht="12.75" hidden="1">
      <c r="A649" s="184" t="str">
        <f t="shared" si="27"/>
        <v>HYD-LFT-SLD-B-648</v>
      </c>
      <c r="B649" s="184">
        <v>648</v>
      </c>
      <c r="C649" s="184" t="str">
        <f t="shared" si="25"/>
        <v>[C9] Lift circuit circulation bleed</v>
      </c>
      <c r="D649" s="184" t="s">
        <v>1269</v>
      </c>
      <c r="E649" s="184" t="s">
        <v>1270</v>
      </c>
      <c r="F649" s="184" t="s">
        <v>318</v>
      </c>
      <c r="G649" s="184" t="s">
        <v>350</v>
      </c>
      <c r="H649" s="184" t="s">
        <v>854</v>
      </c>
      <c r="I649" s="184" t="s">
        <v>48</v>
      </c>
      <c r="J649" s="184"/>
      <c r="K649" s="184" t="s">
        <v>104</v>
      </c>
      <c r="L649" s="184" t="s">
        <v>50</v>
      </c>
      <c r="M649" s="184"/>
      <c r="N649" s="184"/>
      <c r="O649" s="184"/>
      <c r="P649" s="184" t="b">
        <v>0</v>
      </c>
    </row>
    <row r="650" spans="1:16" ht="14.25" hidden="1">
      <c r="A650" s="184" t="str">
        <f t="shared" si="27"/>
        <v>MEC-CL-SLD-B-649</v>
      </c>
      <c r="B650" s="184">
        <v>649</v>
      </c>
      <c r="C650" s="184" t="str">
        <f t="shared" ref="C650:C713" si="28">_xlfn.TEXTJOIN("", TRUE, "[", E650,"] ",D650)</f>
        <v>[05C392.2] Clamp Lock - Energize to Lock clamp</v>
      </c>
      <c r="D650" s="184" t="s">
        <v>1271</v>
      </c>
      <c r="E650" s="177" t="s">
        <v>1272</v>
      </c>
      <c r="F650" s="184" t="s">
        <v>853</v>
      </c>
      <c r="G650" s="184" t="s">
        <v>529</v>
      </c>
      <c r="H650" s="184" t="s">
        <v>854</v>
      </c>
      <c r="I650" s="184" t="s">
        <v>48</v>
      </c>
      <c r="J650" s="184"/>
      <c r="K650" s="184" t="s">
        <v>104</v>
      </c>
      <c r="L650" s="184" t="s">
        <v>50</v>
      </c>
      <c r="M650" s="184"/>
      <c r="N650" s="184"/>
      <c r="O650" s="184"/>
      <c r="P650" s="184" t="b">
        <v>0</v>
      </c>
    </row>
    <row r="651" spans="1:16" ht="14.25" hidden="1">
      <c r="A651" s="184" t="str">
        <f t="shared" si="27"/>
        <v>MEC-CL-PXS-PxO-650</v>
      </c>
      <c r="B651" s="184">
        <v>650</v>
      </c>
      <c r="C651" s="184" t="str">
        <f t="shared" si="28"/>
        <v>[MEC-CL-PXS-PxO-650] Clamp Lock position - unlocked</v>
      </c>
      <c r="D651" s="184" t="s">
        <v>1273</v>
      </c>
      <c r="E651" s="177" t="s">
        <v>1274</v>
      </c>
      <c r="F651" s="184" t="s">
        <v>853</v>
      </c>
      <c r="G651" s="184" t="s">
        <v>529</v>
      </c>
      <c r="H651" s="184" t="s">
        <v>485</v>
      </c>
      <c r="I651" s="184" t="s">
        <v>73</v>
      </c>
      <c r="J651" s="184"/>
      <c r="K651" s="184" t="s">
        <v>115</v>
      </c>
      <c r="L651" s="184" t="s">
        <v>50</v>
      </c>
      <c r="M651" s="184"/>
      <c r="N651" s="184"/>
      <c r="O651" s="184"/>
      <c r="P651" s="184" t="b">
        <v>0</v>
      </c>
    </row>
    <row r="652" spans="1:16" ht="14.25" hidden="1">
      <c r="A652" s="184" t="str">
        <f t="shared" si="27"/>
        <v>MEC-CL-PXS-PxC-651</v>
      </c>
      <c r="B652" s="184">
        <v>651</v>
      </c>
      <c r="C652" s="184" t="str">
        <f t="shared" si="28"/>
        <v>[MEC-CL-PXS-PxC-651] Clamp Lock position - locked</v>
      </c>
      <c r="D652" s="184" t="s">
        <v>1275</v>
      </c>
      <c r="E652" s="177" t="s">
        <v>1276</v>
      </c>
      <c r="F652" s="184" t="s">
        <v>853</v>
      </c>
      <c r="G652" s="184" t="s">
        <v>529</v>
      </c>
      <c r="H652" s="184" t="s">
        <v>485</v>
      </c>
      <c r="I652" s="184" t="s">
        <v>73</v>
      </c>
      <c r="J652" s="184"/>
      <c r="K652" s="184" t="s">
        <v>108</v>
      </c>
      <c r="L652" s="184" t="s">
        <v>50</v>
      </c>
      <c r="M652" s="184"/>
      <c r="N652" s="184"/>
      <c r="O652" s="184"/>
      <c r="P652" s="184" t="b">
        <v>0</v>
      </c>
    </row>
    <row r="653" spans="1:16" ht="14.25" hidden="1">
      <c r="A653" s="184" t="str">
        <f t="shared" si="27"/>
        <v>MEC-CL-PXS-PxO-652</v>
      </c>
      <c r="B653" s="184">
        <v>652</v>
      </c>
      <c r="C653" s="184" t="str">
        <f t="shared" si="28"/>
        <v>[MEC-CL-PXS-PxO-652] Clamp Lock position - unlocked</v>
      </c>
      <c r="D653" s="184" t="s">
        <v>1273</v>
      </c>
      <c r="E653" s="177" t="s">
        <v>1277</v>
      </c>
      <c r="F653" s="184" t="s">
        <v>853</v>
      </c>
      <c r="G653" s="184" t="s">
        <v>529</v>
      </c>
      <c r="H653" s="184" t="s">
        <v>485</v>
      </c>
      <c r="I653" s="184" t="s">
        <v>73</v>
      </c>
      <c r="J653" s="184"/>
      <c r="K653" s="184" t="s">
        <v>115</v>
      </c>
      <c r="L653" s="184" t="s">
        <v>50</v>
      </c>
      <c r="M653" s="184"/>
      <c r="N653" s="184"/>
      <c r="O653" s="184"/>
      <c r="P653" s="184" t="b">
        <v>0</v>
      </c>
    </row>
    <row r="654" spans="1:16" ht="14.25" hidden="1">
      <c r="A654" s="184" t="str">
        <f t="shared" si="27"/>
        <v>MEC-CL-PXS-PxC-653</v>
      </c>
      <c r="B654" s="184">
        <v>653</v>
      </c>
      <c r="C654" s="184" t="str">
        <f t="shared" si="28"/>
        <v>[MEC-CL-PXS-PxC-653] Clamp Lock position - locked</v>
      </c>
      <c r="D654" s="184" t="s">
        <v>1275</v>
      </c>
      <c r="E654" s="177" t="s">
        <v>1278</v>
      </c>
      <c r="F654" s="184" t="s">
        <v>853</v>
      </c>
      <c r="G654" s="184" t="s">
        <v>529</v>
      </c>
      <c r="H654" s="184" t="s">
        <v>485</v>
      </c>
      <c r="I654" s="184" t="s">
        <v>73</v>
      </c>
      <c r="J654" s="184"/>
      <c r="K654" s="184" t="s">
        <v>108</v>
      </c>
      <c r="L654" s="184" t="s">
        <v>50</v>
      </c>
      <c r="M654" s="184"/>
      <c r="N654" s="184"/>
      <c r="O654" s="184"/>
      <c r="P654" s="184" t="b">
        <v>0</v>
      </c>
    </row>
    <row r="655" spans="1:16" ht="14.25" hidden="1">
      <c r="A655" s="184" t="str">
        <f t="shared" si="27"/>
        <v>MEC-CL-PXS-PxO-654</v>
      </c>
      <c r="B655" s="184">
        <v>654</v>
      </c>
      <c r="C655" s="184" t="str">
        <f t="shared" si="28"/>
        <v>[MEC-CL-PXS-PxO-650] FPGA - Clamp Lock position - unlocked</v>
      </c>
      <c r="D655" s="184" t="s">
        <v>1279</v>
      </c>
      <c r="E655" s="178" t="s">
        <v>1274</v>
      </c>
      <c r="F655" s="184" t="s">
        <v>853</v>
      </c>
      <c r="G655" s="184" t="s">
        <v>529</v>
      </c>
      <c r="H655" s="184" t="s">
        <v>485</v>
      </c>
      <c r="I655" s="184" t="s">
        <v>73</v>
      </c>
      <c r="J655" s="184"/>
      <c r="K655" s="184" t="s">
        <v>115</v>
      </c>
      <c r="L655" s="184" t="s">
        <v>50</v>
      </c>
      <c r="M655" s="184"/>
      <c r="N655" s="184"/>
      <c r="O655" s="184"/>
      <c r="P655" s="184" t="b">
        <v>0</v>
      </c>
    </row>
    <row r="656" spans="1:16" ht="14.25" hidden="1">
      <c r="A656" s="184" t="str">
        <f t="shared" si="27"/>
        <v>MEC-CL-PXS-PxC-655</v>
      </c>
      <c r="B656" s="184">
        <v>655</v>
      </c>
      <c r="C656" s="184" t="str">
        <f t="shared" si="28"/>
        <v>[MEC-CL-PXS-PxC-651] FPGA - Clamp Lock position - locked</v>
      </c>
      <c r="D656" s="184" t="s">
        <v>1280</v>
      </c>
      <c r="E656" s="178" t="s">
        <v>1276</v>
      </c>
      <c r="F656" s="184" t="s">
        <v>853</v>
      </c>
      <c r="G656" s="184" t="s">
        <v>529</v>
      </c>
      <c r="H656" s="184" t="s">
        <v>485</v>
      </c>
      <c r="I656" s="184" t="s">
        <v>73</v>
      </c>
      <c r="J656" s="184"/>
      <c r="K656" s="184" t="s">
        <v>108</v>
      </c>
      <c r="L656" s="184" t="s">
        <v>50</v>
      </c>
      <c r="M656" s="184"/>
      <c r="N656" s="184"/>
      <c r="O656" s="184"/>
      <c r="P656" s="184" t="b">
        <v>0</v>
      </c>
    </row>
    <row r="657" spans="1:16" ht="14.25" hidden="1">
      <c r="A657" s="184" t="str">
        <f t="shared" si="27"/>
        <v>MEC-CL-PXS-PxO-656</v>
      </c>
      <c r="B657" s="184">
        <v>656</v>
      </c>
      <c r="C657" s="184" t="str">
        <f t="shared" si="28"/>
        <v>[MEC-CL-PXS-PxO-652] FPGA - Clamp Lock position - unlocked for</v>
      </c>
      <c r="D657" s="184" t="s">
        <v>1281</v>
      </c>
      <c r="E657" s="178" t="s">
        <v>1277</v>
      </c>
      <c r="F657" s="184" t="s">
        <v>853</v>
      </c>
      <c r="G657" s="184" t="s">
        <v>529</v>
      </c>
      <c r="H657" s="184" t="s">
        <v>485</v>
      </c>
      <c r="I657" s="184" t="s">
        <v>73</v>
      </c>
      <c r="J657" s="184"/>
      <c r="K657" s="184" t="s">
        <v>115</v>
      </c>
      <c r="L657" s="184" t="s">
        <v>50</v>
      </c>
      <c r="M657" s="184"/>
      <c r="N657" s="184"/>
      <c r="O657" s="184"/>
      <c r="P657" s="184" t="b">
        <v>0</v>
      </c>
    </row>
    <row r="658" spans="1:16" ht="14.25" hidden="1">
      <c r="A658" s="184" t="str">
        <f t="shared" si="27"/>
        <v>MEC-CL-PXS-PxC-657</v>
      </c>
      <c r="B658" s="184">
        <v>657</v>
      </c>
      <c r="C658" s="184" t="str">
        <f t="shared" si="28"/>
        <v>[MEC-CL-PXS-PxC-653] FPGA - Clamp Lock position - locked for</v>
      </c>
      <c r="D658" s="184" t="s">
        <v>1282</v>
      </c>
      <c r="E658" s="178" t="s">
        <v>1278</v>
      </c>
      <c r="F658" s="184" t="s">
        <v>853</v>
      </c>
      <c r="G658" s="184" t="s">
        <v>529</v>
      </c>
      <c r="H658" s="184" t="s">
        <v>485</v>
      </c>
      <c r="I658" s="184" t="s">
        <v>73</v>
      </c>
      <c r="J658" s="184"/>
      <c r="K658" s="184" t="s">
        <v>108</v>
      </c>
      <c r="L658" s="184" t="s">
        <v>50</v>
      </c>
      <c r="M658" s="184"/>
      <c r="N658" s="184"/>
      <c r="O658" s="184"/>
      <c r="P658" s="184" t="b">
        <v>0</v>
      </c>
    </row>
    <row r="659" spans="1:16" ht="12.75" hidden="1">
      <c r="A659" s="184" t="str">
        <f t="shared" si="27"/>
        <v>MEC-CL-PXS-PxO-658</v>
      </c>
      <c r="B659" s="184">
        <v>658</v>
      </c>
      <c r="C659" s="184" t="str">
        <f t="shared" si="28"/>
        <v>[HYD-CL-PXS-PxO-241] FPGA - Clamp Left Open</v>
      </c>
      <c r="D659" s="184" t="s">
        <v>1283</v>
      </c>
      <c r="E659" s="184" t="s">
        <v>528</v>
      </c>
      <c r="F659" s="184" t="s">
        <v>853</v>
      </c>
      <c r="G659" s="184" t="s">
        <v>529</v>
      </c>
      <c r="H659" s="184" t="s">
        <v>485</v>
      </c>
      <c r="I659" s="184" t="s">
        <v>73</v>
      </c>
      <c r="J659" s="184"/>
      <c r="K659" s="184" t="s">
        <v>115</v>
      </c>
      <c r="L659" s="184" t="s">
        <v>50</v>
      </c>
      <c r="M659" s="184"/>
      <c r="N659" s="184"/>
      <c r="O659" s="184"/>
      <c r="P659" s="184" t="b">
        <v>0</v>
      </c>
    </row>
    <row r="660" spans="1:16" ht="12.75" hidden="1">
      <c r="A660" s="184" t="str">
        <f t="shared" si="27"/>
        <v>MEC-CL-PXS-PxO-659</v>
      </c>
      <c r="B660" s="184">
        <v>659</v>
      </c>
      <c r="C660" s="184" t="str">
        <f t="shared" si="28"/>
        <v>[HYD-CL-PXS-PxO-242] FPGA - Clamp Right Open</v>
      </c>
      <c r="D660" s="184" t="s">
        <v>1284</v>
      </c>
      <c r="E660" s="184" t="s">
        <v>531</v>
      </c>
      <c r="F660" s="184" t="s">
        <v>853</v>
      </c>
      <c r="G660" s="184" t="s">
        <v>529</v>
      </c>
      <c r="H660" s="184" t="s">
        <v>485</v>
      </c>
      <c r="I660" s="184" t="s">
        <v>73</v>
      </c>
      <c r="J660" s="184"/>
      <c r="K660" s="184" t="s">
        <v>115</v>
      </c>
      <c r="L660" s="184" t="s">
        <v>50</v>
      </c>
      <c r="M660" s="184"/>
      <c r="N660" s="184"/>
      <c r="O660" s="184"/>
      <c r="P660" s="184" t="b">
        <v>0</v>
      </c>
    </row>
    <row r="661" spans="1:16" ht="12.75" hidden="1">
      <c r="A661" s="184" t="str">
        <f t="shared" si="27"/>
        <v>MEC-CL-PXS-PxC-660</v>
      </c>
      <c r="B661" s="184">
        <v>660</v>
      </c>
      <c r="C661" s="184" t="str">
        <f t="shared" si="28"/>
        <v>[HYD-CL-PXS-PxC-243] FPGA - Clamp Left Closed for</v>
      </c>
      <c r="D661" s="184" t="s">
        <v>1285</v>
      </c>
      <c r="E661" s="184" t="s">
        <v>533</v>
      </c>
      <c r="F661" s="184" t="s">
        <v>853</v>
      </c>
      <c r="G661" s="184" t="s">
        <v>529</v>
      </c>
      <c r="H661" s="184" t="s">
        <v>485</v>
      </c>
      <c r="I661" s="184" t="s">
        <v>73</v>
      </c>
      <c r="J661" s="184"/>
      <c r="K661" s="184" t="s">
        <v>108</v>
      </c>
      <c r="L661" s="184" t="s">
        <v>50</v>
      </c>
      <c r="M661" s="184"/>
      <c r="N661" s="184"/>
      <c r="O661" s="184"/>
      <c r="P661" s="184" t="b">
        <v>0</v>
      </c>
    </row>
    <row r="662" spans="1:16" ht="12.75" hidden="1">
      <c r="A662" s="184" t="str">
        <f t="shared" ref="A662:A693" si="29">CONCATENATE(VLOOKUP(F662,Systems,2,FALSE),"-",VLOOKUP(G662,Subsystems,2,FALSE),"-",VLOOKUP(H662,Components,2,FALSE),"-",VLOOKUP(K662,Metrics,2,FALSE),"-",B662)</f>
        <v>MEC-CL-PXS-PxC-661</v>
      </c>
      <c r="B662" s="184">
        <v>661</v>
      </c>
      <c r="C662" s="184" t="str">
        <f t="shared" si="28"/>
        <v>[HYD-CL-PXS-PxC-244] FPGA - Clamp Right Closed for</v>
      </c>
      <c r="D662" s="184" t="s">
        <v>1286</v>
      </c>
      <c r="E662" s="184" t="s">
        <v>535</v>
      </c>
      <c r="F662" s="184" t="s">
        <v>853</v>
      </c>
      <c r="G662" s="184" t="s">
        <v>529</v>
      </c>
      <c r="H662" s="184" t="s">
        <v>485</v>
      </c>
      <c r="I662" s="184" t="s">
        <v>73</v>
      </c>
      <c r="J662" s="184"/>
      <c r="K662" s="184" t="s">
        <v>108</v>
      </c>
      <c r="L662" s="184" t="s">
        <v>50</v>
      </c>
      <c r="M662" s="184"/>
      <c r="N662" s="184"/>
      <c r="O662" s="184"/>
      <c r="P662" s="184" t="b">
        <v>0</v>
      </c>
    </row>
    <row r="663" spans="1:16" ht="12.75" hidden="1">
      <c r="A663" s="184" t="str">
        <f t="shared" si="29"/>
        <v>MEC-HD-PXS-PxE-662</v>
      </c>
      <c r="B663" s="184">
        <v>662</v>
      </c>
      <c r="C663" s="184" t="str">
        <f t="shared" si="28"/>
        <v>[HYD-HD-PXS-PxE-233] FPGA - Hold Down 1 Extended</v>
      </c>
      <c r="D663" s="184" t="s">
        <v>1287</v>
      </c>
      <c r="E663" s="184" t="s">
        <v>512</v>
      </c>
      <c r="F663" s="184" t="s">
        <v>853</v>
      </c>
      <c r="G663" s="184" t="s">
        <v>368</v>
      </c>
      <c r="H663" s="184" t="s">
        <v>485</v>
      </c>
      <c r="I663" s="184" t="s">
        <v>73</v>
      </c>
      <c r="J663" s="184"/>
      <c r="K663" s="184" t="s">
        <v>486</v>
      </c>
      <c r="L663" s="184" t="s">
        <v>50</v>
      </c>
      <c r="M663" s="184"/>
      <c r="N663" s="184"/>
      <c r="O663" s="184"/>
      <c r="P663" s="184" t="b">
        <v>0</v>
      </c>
    </row>
    <row r="664" spans="1:16" ht="12.75" hidden="1">
      <c r="A664" s="184" t="str">
        <f t="shared" si="29"/>
        <v>MEC-HD-PXS-PxR-663</v>
      </c>
      <c r="B664" s="184">
        <v>663</v>
      </c>
      <c r="C664" s="184" t="str">
        <f t="shared" si="28"/>
        <v>[HYD-HD-PXS-PxR-237] FPGA - Hold Down 1 Retracted</v>
      </c>
      <c r="D664" s="184" t="s">
        <v>1288</v>
      </c>
      <c r="E664" s="184" t="s">
        <v>520</v>
      </c>
      <c r="F664" s="184" t="s">
        <v>853</v>
      </c>
      <c r="G664" s="184" t="s">
        <v>368</v>
      </c>
      <c r="H664" s="184" t="s">
        <v>485</v>
      </c>
      <c r="I664" s="184" t="s">
        <v>73</v>
      </c>
      <c r="J664" s="184"/>
      <c r="K664" s="184" t="s">
        <v>494</v>
      </c>
      <c r="L664" s="184" t="s">
        <v>50</v>
      </c>
      <c r="M664" s="184"/>
      <c r="N664" s="184"/>
      <c r="O664" s="184"/>
      <c r="P664" s="184" t="b">
        <v>0</v>
      </c>
    </row>
    <row r="665" spans="1:16" ht="12.75" hidden="1">
      <c r="A665" s="184" t="str">
        <f t="shared" si="29"/>
        <v>MEC-HD-PXS-PxE-664</v>
      </c>
      <c r="B665" s="184">
        <v>664</v>
      </c>
      <c r="C665" s="184" t="str">
        <f t="shared" si="28"/>
        <v>[HYD-HD-PXS-PxE-234] FPGA - Hold Down 2 Extended</v>
      </c>
      <c r="D665" s="184" t="s">
        <v>1289</v>
      </c>
      <c r="E665" s="184" t="s">
        <v>514</v>
      </c>
      <c r="F665" s="184" t="s">
        <v>853</v>
      </c>
      <c r="G665" s="184" t="s">
        <v>368</v>
      </c>
      <c r="H665" s="184" t="s">
        <v>485</v>
      </c>
      <c r="I665" s="184" t="s">
        <v>73</v>
      </c>
      <c r="J665" s="184"/>
      <c r="K665" s="184" t="s">
        <v>486</v>
      </c>
      <c r="L665" s="184" t="s">
        <v>50</v>
      </c>
      <c r="M665" s="184"/>
      <c r="N665" s="184"/>
      <c r="O665" s="184"/>
      <c r="P665" s="184" t="b">
        <v>0</v>
      </c>
    </row>
    <row r="666" spans="1:16" ht="12.75" hidden="1">
      <c r="A666" s="184" t="str">
        <f t="shared" si="29"/>
        <v>MEC-HD-PXS-PxR-665</v>
      </c>
      <c r="B666" s="184">
        <v>665</v>
      </c>
      <c r="C666" s="184" t="str">
        <f t="shared" si="28"/>
        <v>[HYD-HD-PXS-PxR-238] FPGA - Hold Down 2 Retracted</v>
      </c>
      <c r="D666" s="184" t="s">
        <v>1290</v>
      </c>
      <c r="E666" s="184" t="s">
        <v>522</v>
      </c>
      <c r="F666" s="184" t="s">
        <v>853</v>
      </c>
      <c r="G666" s="184" t="s">
        <v>368</v>
      </c>
      <c r="H666" s="184" t="s">
        <v>485</v>
      </c>
      <c r="I666" s="184" t="s">
        <v>73</v>
      </c>
      <c r="J666" s="184"/>
      <c r="K666" s="184" t="s">
        <v>494</v>
      </c>
      <c r="L666" s="184" t="s">
        <v>50</v>
      </c>
      <c r="M666" s="184"/>
      <c r="N666" s="184"/>
      <c r="O666" s="184"/>
      <c r="P666" s="184" t="b">
        <v>0</v>
      </c>
    </row>
    <row r="667" spans="1:16" ht="12.75" hidden="1">
      <c r="A667" s="184" t="str">
        <f t="shared" si="29"/>
        <v>MEC-HD-PXS-PxE-666</v>
      </c>
      <c r="B667" s="184">
        <v>666</v>
      </c>
      <c r="C667" s="184" t="str">
        <f t="shared" si="28"/>
        <v>[HYD-HD-PXS-PxE-235] FPGA - Hold Down 3 Extended for</v>
      </c>
      <c r="D667" s="184" t="s">
        <v>1291</v>
      </c>
      <c r="E667" s="184" t="s">
        <v>516</v>
      </c>
      <c r="F667" s="184" t="s">
        <v>853</v>
      </c>
      <c r="G667" s="184" t="s">
        <v>368</v>
      </c>
      <c r="H667" s="184" t="s">
        <v>485</v>
      </c>
      <c r="I667" s="184" t="s">
        <v>73</v>
      </c>
      <c r="J667" s="184"/>
      <c r="K667" s="184" t="s">
        <v>486</v>
      </c>
      <c r="L667" s="184" t="s">
        <v>50</v>
      </c>
      <c r="M667" s="184"/>
      <c r="N667" s="184"/>
      <c r="O667" s="184"/>
      <c r="P667" s="184" t="b">
        <v>0</v>
      </c>
    </row>
    <row r="668" spans="1:16" ht="12.75" hidden="1">
      <c r="A668" s="184" t="str">
        <f t="shared" si="29"/>
        <v>MEC-HD-PXS-PxR-667</v>
      </c>
      <c r="B668" s="184">
        <v>667</v>
      </c>
      <c r="C668" s="184" t="str">
        <f t="shared" si="28"/>
        <v>[HYD-HD-PXS-PxR-239] FPGA - Hold Down 3 Retracted for</v>
      </c>
      <c r="D668" s="184" t="s">
        <v>1292</v>
      </c>
      <c r="E668" s="184" t="s">
        <v>524</v>
      </c>
      <c r="F668" s="184" t="s">
        <v>853</v>
      </c>
      <c r="G668" s="184" t="s">
        <v>368</v>
      </c>
      <c r="H668" s="184" t="s">
        <v>485</v>
      </c>
      <c r="I668" s="184" t="s">
        <v>73</v>
      </c>
      <c r="J668" s="184"/>
      <c r="K668" s="184" t="s">
        <v>494</v>
      </c>
      <c r="L668" s="184" t="s">
        <v>50</v>
      </c>
      <c r="M668" s="184"/>
      <c r="N668" s="184"/>
      <c r="O668" s="184"/>
      <c r="P668" s="184" t="b">
        <v>0</v>
      </c>
    </row>
    <row r="669" spans="1:16" ht="12.75" hidden="1">
      <c r="A669" s="184" t="str">
        <f t="shared" si="29"/>
        <v>MEC-HD-PXS-PxE-668</v>
      </c>
      <c r="B669" s="184">
        <v>668</v>
      </c>
      <c r="C669" s="184" t="str">
        <f t="shared" si="28"/>
        <v>[HYD-HD-PXS-PxE-236] FPGA - Hold Down 4 Extended for</v>
      </c>
      <c r="D669" s="184" t="s">
        <v>1293</v>
      </c>
      <c r="E669" s="184" t="s">
        <v>518</v>
      </c>
      <c r="F669" s="184" t="s">
        <v>853</v>
      </c>
      <c r="G669" s="184" t="s">
        <v>368</v>
      </c>
      <c r="H669" s="184" t="s">
        <v>485</v>
      </c>
      <c r="I669" s="184" t="s">
        <v>73</v>
      </c>
      <c r="J669" s="184"/>
      <c r="K669" s="184" t="s">
        <v>486</v>
      </c>
      <c r="L669" s="184" t="s">
        <v>50</v>
      </c>
      <c r="M669" s="184"/>
      <c r="N669" s="184"/>
      <c r="O669" s="184"/>
      <c r="P669" s="184" t="b">
        <v>0</v>
      </c>
    </row>
    <row r="670" spans="1:16" ht="12.75" hidden="1">
      <c r="A670" s="184" t="str">
        <f t="shared" si="29"/>
        <v>MEC-HD-PXS-PxR-669</v>
      </c>
      <c r="B670" s="184">
        <v>669</v>
      </c>
      <c r="C670" s="184" t="str">
        <f t="shared" si="28"/>
        <v>[HYD-HD-PXS-PxR-240] FPGA - Hold Down 4 Retracted for</v>
      </c>
      <c r="D670" s="184" t="s">
        <v>1294</v>
      </c>
      <c r="E670" s="184" t="s">
        <v>526</v>
      </c>
      <c r="F670" s="184" t="s">
        <v>853</v>
      </c>
      <c r="G670" s="184" t="s">
        <v>368</v>
      </c>
      <c r="H670" s="184" t="s">
        <v>485</v>
      </c>
      <c r="I670" s="184" t="s">
        <v>73</v>
      </c>
      <c r="J670" s="184"/>
      <c r="K670" s="184" t="s">
        <v>494</v>
      </c>
      <c r="L670" s="184" t="s">
        <v>50</v>
      </c>
      <c r="M670" s="184"/>
      <c r="N670" s="184"/>
      <c r="O670" s="184"/>
      <c r="P670" s="184" t="b">
        <v>0</v>
      </c>
    </row>
    <row r="671" spans="1:16" ht="12.75" hidden="1">
      <c r="A671" s="184" t="str">
        <f t="shared" si="29"/>
        <v>MEC-HDL-PXS-PxO-670</v>
      </c>
      <c r="B671" s="184">
        <v>670</v>
      </c>
      <c r="C671" s="184" t="str">
        <f t="shared" si="28"/>
        <v>[HYD-HD-PXS-PxO-225] FPGA - Hold Down Lock 1 Armed for</v>
      </c>
      <c r="D671" s="184" t="s">
        <v>1295</v>
      </c>
      <c r="E671" s="184" t="s">
        <v>1296</v>
      </c>
      <c r="F671" s="184" t="s">
        <v>853</v>
      </c>
      <c r="G671" s="184" t="s">
        <v>568</v>
      </c>
      <c r="H671" s="184" t="s">
        <v>485</v>
      </c>
      <c r="I671" s="184" t="s">
        <v>73</v>
      </c>
      <c r="J671" s="184"/>
      <c r="K671" s="184" t="s">
        <v>115</v>
      </c>
      <c r="L671" s="184" t="s">
        <v>50</v>
      </c>
      <c r="M671" s="184"/>
      <c r="N671" s="184"/>
      <c r="O671" s="184"/>
      <c r="P671" s="184" t="b">
        <v>0</v>
      </c>
    </row>
    <row r="672" spans="1:16" ht="12.75" hidden="1">
      <c r="A672" s="184" t="str">
        <f t="shared" si="29"/>
        <v>MEC-HDL-PXS-PxO-671</v>
      </c>
      <c r="B672" s="184">
        <v>671</v>
      </c>
      <c r="C672" s="184" t="str">
        <f t="shared" si="28"/>
        <v>[HYD-HD-PXS-PxO-226] FPGA - Hold Down Lock 2 Armed for</v>
      </c>
      <c r="D672" s="184" t="s">
        <v>1297</v>
      </c>
      <c r="E672" s="184" t="s">
        <v>1298</v>
      </c>
      <c r="F672" s="184" t="s">
        <v>853</v>
      </c>
      <c r="G672" s="184" t="s">
        <v>568</v>
      </c>
      <c r="H672" s="184" t="s">
        <v>485</v>
      </c>
      <c r="I672" s="184" t="s">
        <v>73</v>
      </c>
      <c r="J672" s="184"/>
      <c r="K672" s="184" t="s">
        <v>115</v>
      </c>
      <c r="L672" s="184" t="s">
        <v>50</v>
      </c>
      <c r="M672" s="184"/>
      <c r="N672" s="184"/>
      <c r="O672" s="184"/>
      <c r="P672" s="184" t="b">
        <v>0</v>
      </c>
    </row>
    <row r="673" spans="1:16" ht="12.75" hidden="1">
      <c r="A673" s="184" t="str">
        <f t="shared" si="29"/>
        <v>MEC-HDL-PXS-PxO-672</v>
      </c>
      <c r="B673" s="184">
        <v>672</v>
      </c>
      <c r="C673" s="184" t="str">
        <f t="shared" si="28"/>
        <v>[HYD-HD-PXS-PxO-227] FPGA - Hold Down Lock 3 Armed for</v>
      </c>
      <c r="D673" s="184" t="s">
        <v>1299</v>
      </c>
      <c r="E673" s="184" t="s">
        <v>1300</v>
      </c>
      <c r="F673" s="184" t="s">
        <v>853</v>
      </c>
      <c r="G673" s="184" t="s">
        <v>568</v>
      </c>
      <c r="H673" s="184" t="s">
        <v>485</v>
      </c>
      <c r="I673" s="184" t="s">
        <v>73</v>
      </c>
      <c r="J673" s="184"/>
      <c r="K673" s="184" t="s">
        <v>115</v>
      </c>
      <c r="L673" s="184" t="s">
        <v>50</v>
      </c>
      <c r="M673" s="184"/>
      <c r="N673" s="184"/>
      <c r="O673" s="184"/>
      <c r="P673" s="184" t="b">
        <v>0</v>
      </c>
    </row>
    <row r="674" spans="1:16" ht="12.75" hidden="1">
      <c r="A674" s="184" t="str">
        <f t="shared" si="29"/>
        <v>MEC-HDL-PXS-PxO-673</v>
      </c>
      <c r="B674" s="184">
        <v>673</v>
      </c>
      <c r="C674" s="184" t="str">
        <f t="shared" si="28"/>
        <v>[HYD-HD-PXS-PxO-228] FPGA - Hold Down Lock 4 Armed for</v>
      </c>
      <c r="D674" s="184" t="s">
        <v>1301</v>
      </c>
      <c r="E674" s="184" t="s">
        <v>1302</v>
      </c>
      <c r="F674" s="184" t="s">
        <v>853</v>
      </c>
      <c r="G674" s="184" t="s">
        <v>568</v>
      </c>
      <c r="H674" s="184" t="s">
        <v>485</v>
      </c>
      <c r="I674" s="184" t="s">
        <v>73</v>
      </c>
      <c r="J674" s="184"/>
      <c r="K674" s="184" t="s">
        <v>115</v>
      </c>
      <c r="L674" s="184" t="s">
        <v>50</v>
      </c>
      <c r="M674" s="184"/>
      <c r="N674" s="184"/>
      <c r="O674" s="184"/>
      <c r="P674" s="184" t="b">
        <v>0</v>
      </c>
    </row>
    <row r="675" spans="1:16" ht="12.75" hidden="1">
      <c r="A675" s="184" t="str">
        <f t="shared" si="29"/>
        <v>MEC-HDL-PXS-PxC-674</v>
      </c>
      <c r="B675" s="184">
        <v>674</v>
      </c>
      <c r="C675" s="184" t="str">
        <f t="shared" si="28"/>
        <v>[HYD-HD-PXS-PxC-229] FPGA - Hold Down Lock 1 Safe for</v>
      </c>
      <c r="D675" s="184" t="s">
        <v>1303</v>
      </c>
      <c r="E675" s="184" t="s">
        <v>1304</v>
      </c>
      <c r="F675" s="184" t="s">
        <v>853</v>
      </c>
      <c r="G675" s="184" t="s">
        <v>568</v>
      </c>
      <c r="H675" s="184" t="s">
        <v>485</v>
      </c>
      <c r="I675" s="184" t="s">
        <v>73</v>
      </c>
      <c r="J675" s="184"/>
      <c r="K675" s="184" t="s">
        <v>108</v>
      </c>
      <c r="L675" s="184" t="s">
        <v>50</v>
      </c>
      <c r="M675" s="184"/>
      <c r="N675" s="184"/>
      <c r="O675" s="184"/>
      <c r="P675" s="184" t="b">
        <v>0</v>
      </c>
    </row>
    <row r="676" spans="1:16" ht="12.75" hidden="1">
      <c r="A676" s="184" t="str">
        <f t="shared" si="29"/>
        <v>MEC-HDL-PXS-PxC-675</v>
      </c>
      <c r="B676" s="184">
        <v>675</v>
      </c>
      <c r="C676" s="184" t="str">
        <f t="shared" si="28"/>
        <v>[HYD-HD-PXS-PxC-230] FPGA - Hold Down Lock 2 Safe for</v>
      </c>
      <c r="D676" s="184" t="s">
        <v>1305</v>
      </c>
      <c r="E676" s="184" t="s">
        <v>1306</v>
      </c>
      <c r="F676" s="184" t="s">
        <v>853</v>
      </c>
      <c r="G676" s="184" t="s">
        <v>568</v>
      </c>
      <c r="H676" s="184" t="s">
        <v>485</v>
      </c>
      <c r="I676" s="184" t="s">
        <v>73</v>
      </c>
      <c r="J676" s="184"/>
      <c r="K676" s="184" t="s">
        <v>108</v>
      </c>
      <c r="L676" s="184" t="s">
        <v>50</v>
      </c>
      <c r="M676" s="184"/>
      <c r="N676" s="184"/>
      <c r="O676" s="184"/>
      <c r="P676" s="184" t="b">
        <v>0</v>
      </c>
    </row>
    <row r="677" spans="1:16" ht="12.75" hidden="1">
      <c r="A677" s="184" t="str">
        <f t="shared" si="29"/>
        <v>MEC-HDL-PXS-PxC-676</v>
      </c>
      <c r="B677" s="184">
        <v>676</v>
      </c>
      <c r="C677" s="184" t="str">
        <f t="shared" si="28"/>
        <v>[HYD-HD-PXS-PxC-231] FPGA - Hold Down Lock 3 Safe for</v>
      </c>
      <c r="D677" s="184" t="s">
        <v>1307</v>
      </c>
      <c r="E677" s="184" t="s">
        <v>1308</v>
      </c>
      <c r="F677" s="184" t="s">
        <v>853</v>
      </c>
      <c r="G677" s="184" t="s">
        <v>568</v>
      </c>
      <c r="H677" s="184" t="s">
        <v>485</v>
      </c>
      <c r="I677" s="184" t="s">
        <v>73</v>
      </c>
      <c r="J677" s="184"/>
      <c r="K677" s="184" t="s">
        <v>108</v>
      </c>
      <c r="L677" s="184" t="s">
        <v>50</v>
      </c>
      <c r="M677" s="184"/>
      <c r="N677" s="184"/>
      <c r="O677" s="184"/>
      <c r="P677" s="184" t="b">
        <v>0</v>
      </c>
    </row>
    <row r="678" spans="1:16" ht="12.75" hidden="1">
      <c r="A678" s="184" t="str">
        <f t="shared" si="29"/>
        <v>MEC-HDL-PXS-PxC-677</v>
      </c>
      <c r="B678" s="184">
        <v>677</v>
      </c>
      <c r="C678" s="184" t="str">
        <f t="shared" si="28"/>
        <v>[HYD-HD-PXS-PxC-232] FPGA - Hold Down Lock 4 Safe for</v>
      </c>
      <c r="D678" s="184" t="s">
        <v>1309</v>
      </c>
      <c r="E678" s="184" t="s">
        <v>1310</v>
      </c>
      <c r="F678" s="184" t="s">
        <v>853</v>
      </c>
      <c r="G678" s="184" t="s">
        <v>568</v>
      </c>
      <c r="H678" s="184" t="s">
        <v>485</v>
      </c>
      <c r="I678" s="184" t="s">
        <v>73</v>
      </c>
      <c r="J678" s="184"/>
      <c r="K678" s="184" t="s">
        <v>108</v>
      </c>
      <c r="L678" s="184" t="s">
        <v>50</v>
      </c>
      <c r="M678" s="184"/>
      <c r="N678" s="184"/>
      <c r="O678" s="184"/>
      <c r="P678" s="184" t="b">
        <v>0</v>
      </c>
    </row>
    <row r="679" spans="1:16" ht="12.75" hidden="1">
      <c r="A679" s="184" t="str">
        <f t="shared" si="29"/>
        <v>MEC-S1U-PXS-Px-678</v>
      </c>
      <c r="B679" s="184">
        <v>678</v>
      </c>
      <c r="C679" s="184" t="str">
        <f t="shared" si="28"/>
        <v>[HYD-S1U-PXS-PxE-221] FPGA - S1U Retract 1 - NO Prox</v>
      </c>
      <c r="D679" s="184" t="s">
        <v>1311</v>
      </c>
      <c r="E679" s="184" t="s">
        <v>1312</v>
      </c>
      <c r="F679" s="184" t="s">
        <v>853</v>
      </c>
      <c r="G679" s="184" t="s">
        <v>53</v>
      </c>
      <c r="H679" s="184" t="s">
        <v>485</v>
      </c>
      <c r="I679" s="184" t="s">
        <v>73</v>
      </c>
      <c r="J679" s="184"/>
      <c r="K679" s="184" t="s">
        <v>489</v>
      </c>
      <c r="L679" s="184" t="s">
        <v>50</v>
      </c>
      <c r="M679" s="184"/>
      <c r="N679" s="184"/>
      <c r="O679" s="184"/>
      <c r="P679" s="184" t="b">
        <v>0</v>
      </c>
    </row>
    <row r="680" spans="1:16" ht="12.75" hidden="1">
      <c r="A680" s="184" t="str">
        <f t="shared" si="29"/>
        <v>MEC-S1U-PXS-Px-679</v>
      </c>
      <c r="B680" s="184">
        <v>679</v>
      </c>
      <c r="C680" s="184" t="str">
        <f t="shared" si="28"/>
        <v>[HYD-S1U-PXS-Px-222] FPGA - S1U Retract 2 - NO Prox</v>
      </c>
      <c r="D680" s="184" t="s">
        <v>1313</v>
      </c>
      <c r="E680" s="184" t="s">
        <v>488</v>
      </c>
      <c r="F680" s="184" t="s">
        <v>853</v>
      </c>
      <c r="G680" s="184" t="s">
        <v>53</v>
      </c>
      <c r="H680" s="184" t="s">
        <v>485</v>
      </c>
      <c r="I680" s="184" t="s">
        <v>73</v>
      </c>
      <c r="J680" s="184"/>
      <c r="K680" s="184" t="s">
        <v>489</v>
      </c>
      <c r="L680" s="184" t="s">
        <v>50</v>
      </c>
      <c r="M680" s="184"/>
      <c r="N680" s="184"/>
      <c r="O680" s="184"/>
      <c r="P680" s="184" t="b">
        <v>0</v>
      </c>
    </row>
    <row r="681" spans="1:16" ht="12.75" hidden="1">
      <c r="A681" s="184" t="str">
        <f t="shared" si="29"/>
        <v>MEC-S1U-PXS-Px-680</v>
      </c>
      <c r="B681" s="184">
        <v>680</v>
      </c>
      <c r="C681" s="184" t="str">
        <f t="shared" si="28"/>
        <v>[HYD-S1U-PXS-Px-223] FPGA - S1U Retract 3 - NO Prox for</v>
      </c>
      <c r="D681" s="184" t="s">
        <v>1314</v>
      </c>
      <c r="E681" s="184" t="s">
        <v>491</v>
      </c>
      <c r="F681" s="184" t="s">
        <v>853</v>
      </c>
      <c r="G681" s="184" t="s">
        <v>53</v>
      </c>
      <c r="H681" s="184" t="s">
        <v>485</v>
      </c>
      <c r="I681" s="184" t="s">
        <v>73</v>
      </c>
      <c r="J681" s="184"/>
      <c r="K681" s="184" t="s">
        <v>489</v>
      </c>
      <c r="L681" s="184" t="s">
        <v>50</v>
      </c>
      <c r="M681" s="184"/>
      <c r="N681" s="184"/>
      <c r="O681" s="184"/>
      <c r="P681" s="184" t="b">
        <v>0</v>
      </c>
    </row>
    <row r="682" spans="1:16" ht="12.75" hidden="1">
      <c r="A682" s="184" t="str">
        <f t="shared" si="29"/>
        <v>MEC-S1U-PXS-Px-681</v>
      </c>
      <c r="B682" s="184">
        <v>681</v>
      </c>
      <c r="C682" s="184" t="str">
        <f t="shared" si="28"/>
        <v>[HYD-S1U-PXS-PxR-224] FPGA - S1U Retract 4 - NO Prox for</v>
      </c>
      <c r="D682" s="184" t="s">
        <v>1315</v>
      </c>
      <c r="E682" s="184" t="s">
        <v>1316</v>
      </c>
      <c r="F682" s="184" t="s">
        <v>853</v>
      </c>
      <c r="G682" s="184" t="s">
        <v>53</v>
      </c>
      <c r="H682" s="184" t="s">
        <v>485</v>
      </c>
      <c r="I682" s="184" t="s">
        <v>73</v>
      </c>
      <c r="J682" s="184"/>
      <c r="K682" s="184" t="s">
        <v>489</v>
      </c>
      <c r="L682" s="184" t="s">
        <v>50</v>
      </c>
      <c r="M682" s="184"/>
      <c r="N682" s="184"/>
      <c r="O682" s="184"/>
      <c r="P682" s="184" t="b">
        <v>0</v>
      </c>
    </row>
    <row r="683" spans="1:16" ht="12.75">
      <c r="A683" s="184" t="str">
        <f t="shared" si="29"/>
        <v>MEC-LFT-INC-INCL-682</v>
      </c>
      <c r="B683" s="184">
        <v>682</v>
      </c>
      <c r="C683" s="184" t="str">
        <f t="shared" si="28"/>
        <v>[HYD-LFT-INC-INCL-246] FPGA - Erector/Strongback inclinometer 1 for</v>
      </c>
      <c r="D683" s="184" t="s">
        <v>1317</v>
      </c>
      <c r="E683" s="184" t="s">
        <v>1318</v>
      </c>
      <c r="F683" s="184" t="s">
        <v>853</v>
      </c>
      <c r="G683" s="184" t="s">
        <v>350</v>
      </c>
      <c r="H683" s="184" t="s">
        <v>541</v>
      </c>
      <c r="I683" s="184" t="s">
        <v>55</v>
      </c>
      <c r="J683" s="184"/>
      <c r="K683" s="184" t="s">
        <v>542</v>
      </c>
      <c r="L683" s="184" t="s">
        <v>543</v>
      </c>
      <c r="M683" s="184"/>
      <c r="N683" s="184"/>
      <c r="O683" s="184"/>
      <c r="P683" s="184" t="b">
        <v>0</v>
      </c>
    </row>
    <row r="684" spans="1:16" ht="12.75">
      <c r="A684" s="184" t="str">
        <f t="shared" si="29"/>
        <v>MEC-LFT-INC-INCL-683</v>
      </c>
      <c r="B684" s="184">
        <v>683</v>
      </c>
      <c r="C684" s="184" t="str">
        <f t="shared" si="28"/>
        <v>[HYD-LFT-INC-INCL-247] FPGA - Erector/Strongback inclinometer 2 for</v>
      </c>
      <c r="D684" s="184" t="s">
        <v>1319</v>
      </c>
      <c r="E684" s="184" t="s">
        <v>1320</v>
      </c>
      <c r="F684" s="184" t="s">
        <v>853</v>
      </c>
      <c r="G684" s="184" t="s">
        <v>350</v>
      </c>
      <c r="H684" s="184" t="s">
        <v>541</v>
      </c>
      <c r="I684" s="184" t="s">
        <v>55</v>
      </c>
      <c r="J684" s="184"/>
      <c r="K684" s="184" t="s">
        <v>542</v>
      </c>
      <c r="L684" s="184" t="s">
        <v>543</v>
      </c>
      <c r="M684" s="184"/>
      <c r="N684" s="184"/>
      <c r="O684" s="184"/>
      <c r="P684" s="184" t="b">
        <v>0</v>
      </c>
    </row>
    <row r="685" spans="1:16" ht="12.75">
      <c r="A685" s="184" t="str">
        <f t="shared" si="29"/>
        <v>MEC-LFT-INC-INCL-684</v>
      </c>
      <c r="B685" s="184">
        <v>684</v>
      </c>
      <c r="C685" s="184" t="str">
        <f t="shared" si="28"/>
        <v>[HYD-LFT-INC-INCL-248] FPGA - Erector/Strongback inclinometer 3 for</v>
      </c>
      <c r="D685" s="184" t="s">
        <v>1321</v>
      </c>
      <c r="E685" s="184" t="s">
        <v>1322</v>
      </c>
      <c r="F685" s="184" t="s">
        <v>853</v>
      </c>
      <c r="G685" s="184" t="s">
        <v>350</v>
      </c>
      <c r="H685" s="184" t="s">
        <v>541</v>
      </c>
      <c r="I685" s="184" t="s">
        <v>55</v>
      </c>
      <c r="J685" s="184"/>
      <c r="K685" s="184" t="s">
        <v>542</v>
      </c>
      <c r="L685" s="184" t="s">
        <v>543</v>
      </c>
      <c r="M685" s="184"/>
      <c r="N685" s="184"/>
      <c r="O685" s="184"/>
      <c r="P685" s="184" t="b">
        <v>0</v>
      </c>
    </row>
    <row r="686" spans="1:16" ht="12.75">
      <c r="A686" s="184" t="str">
        <f t="shared" si="29"/>
        <v>MEC-LFT-PVL-CD-685</v>
      </c>
      <c r="B686" s="184">
        <v>685</v>
      </c>
      <c r="C686" s="184" t="str">
        <f t="shared" si="28"/>
        <v>[S8] FPGA - Clamp Spool PVA Position Feedback for</v>
      </c>
      <c r="D686" s="184" t="s">
        <v>1323</v>
      </c>
      <c r="E686" s="184" t="s">
        <v>349</v>
      </c>
      <c r="F686" s="184" t="s">
        <v>853</v>
      </c>
      <c r="G686" s="184" t="s">
        <v>350</v>
      </c>
      <c r="H686" s="184" t="s">
        <v>246</v>
      </c>
      <c r="I686" s="184" t="s">
        <v>55</v>
      </c>
      <c r="J686" s="184"/>
      <c r="K686" s="184" t="s">
        <v>122</v>
      </c>
      <c r="L686" s="184" t="s">
        <v>211</v>
      </c>
      <c r="M686" s="184"/>
      <c r="N686" s="184"/>
      <c r="O686" s="184"/>
      <c r="P686" s="184" t="b">
        <v>0</v>
      </c>
    </row>
    <row r="687" spans="1:16" ht="12.75">
      <c r="A687" s="184" t="str">
        <f t="shared" si="29"/>
        <v>MEC-LFT-PVL-CD-686</v>
      </c>
      <c r="B687" s="184">
        <v>686</v>
      </c>
      <c r="C687" s="184" t="str">
        <f t="shared" si="28"/>
        <v>[S9] FPGA - Strongback Spool PVA Feedback for</v>
      </c>
      <c r="D687" s="184" t="s">
        <v>1324</v>
      </c>
      <c r="E687" s="184" t="s">
        <v>352</v>
      </c>
      <c r="F687" s="184" t="s">
        <v>853</v>
      </c>
      <c r="G687" s="184" t="s">
        <v>350</v>
      </c>
      <c r="H687" s="184" t="s">
        <v>246</v>
      </c>
      <c r="I687" s="184" t="s">
        <v>55</v>
      </c>
      <c r="J687" s="184"/>
      <c r="K687" s="184" t="s">
        <v>122</v>
      </c>
      <c r="L687" s="184" t="s">
        <v>211</v>
      </c>
      <c r="M687" s="184"/>
      <c r="N687" s="184"/>
      <c r="O687" s="184"/>
      <c r="P687" s="184" t="b">
        <v>0</v>
      </c>
    </row>
    <row r="688" spans="1:16" ht="12.75">
      <c r="A688" s="184" t="str">
        <f t="shared" si="29"/>
        <v>MEC-LFT-PVL-CD-687</v>
      </c>
      <c r="B688" s="184">
        <v>687</v>
      </c>
      <c r="C688" s="184" t="str">
        <f t="shared" si="28"/>
        <v>[S7] FPGA - Lift Spool PVA Feedback for</v>
      </c>
      <c r="D688" s="184" t="s">
        <v>1325</v>
      </c>
      <c r="E688" s="184" t="s">
        <v>354</v>
      </c>
      <c r="F688" s="184" t="s">
        <v>853</v>
      </c>
      <c r="G688" s="184" t="s">
        <v>350</v>
      </c>
      <c r="H688" s="184" t="s">
        <v>246</v>
      </c>
      <c r="I688" s="184" t="s">
        <v>55</v>
      </c>
      <c r="J688" s="184"/>
      <c r="K688" s="184" t="s">
        <v>122</v>
      </c>
      <c r="L688" s="184" t="s">
        <v>211</v>
      </c>
      <c r="M688" s="184"/>
      <c r="N688" s="184"/>
      <c r="O688" s="184"/>
      <c r="P688" s="184" t="b">
        <v>0</v>
      </c>
    </row>
    <row r="689" spans="1:16" ht="12.75" hidden="1">
      <c r="A689" s="184" t="str">
        <f t="shared" si="29"/>
        <v>MEC-LFT-SSR-B-688</v>
      </c>
      <c r="B689" s="184">
        <v>688</v>
      </c>
      <c r="C689" s="184" t="str">
        <f t="shared" si="28"/>
        <v>[HYD-LFT-PVL-Pos-152] FPGA - Clamp Spool PVA Power Relay for</v>
      </c>
      <c r="D689" s="184" t="s">
        <v>1326</v>
      </c>
      <c r="E689" s="184" t="s">
        <v>1327</v>
      </c>
      <c r="F689" s="184" t="s">
        <v>853</v>
      </c>
      <c r="G689" s="184" t="s">
        <v>350</v>
      </c>
      <c r="H689" s="184" t="s">
        <v>192</v>
      </c>
      <c r="I689" s="184" t="s">
        <v>48</v>
      </c>
      <c r="J689" s="184"/>
      <c r="K689" s="184" t="s">
        <v>104</v>
      </c>
      <c r="L689" s="184" t="s">
        <v>50</v>
      </c>
      <c r="M689" s="184"/>
      <c r="N689" s="184"/>
      <c r="O689" s="184"/>
      <c r="P689" s="184" t="b">
        <v>0</v>
      </c>
    </row>
    <row r="690" spans="1:16" ht="12.75" hidden="1">
      <c r="A690" s="184" t="str">
        <f t="shared" si="29"/>
        <v>MEC-LFT-SSR-B-689</v>
      </c>
      <c r="B690" s="184">
        <v>689</v>
      </c>
      <c r="C690" s="184" t="str">
        <f t="shared" si="28"/>
        <v>[HYD-LFT-PVL-Pos-153] FPGA - Strongback Spool PVA Power Relay for</v>
      </c>
      <c r="D690" s="184" t="s">
        <v>1328</v>
      </c>
      <c r="E690" s="184" t="s">
        <v>1329</v>
      </c>
      <c r="F690" s="184" t="s">
        <v>853</v>
      </c>
      <c r="G690" s="184" t="s">
        <v>350</v>
      </c>
      <c r="H690" s="184" t="s">
        <v>192</v>
      </c>
      <c r="I690" s="184" t="s">
        <v>48</v>
      </c>
      <c r="J690" s="184"/>
      <c r="K690" s="184" t="s">
        <v>104</v>
      </c>
      <c r="L690" s="184" t="s">
        <v>50</v>
      </c>
      <c r="M690" s="184"/>
      <c r="N690" s="184"/>
      <c r="O690" s="184"/>
      <c r="P690" s="184" t="b">
        <v>0</v>
      </c>
    </row>
    <row r="691" spans="1:16" ht="12.75" hidden="1">
      <c r="A691" s="184" t="str">
        <f t="shared" si="29"/>
        <v>MEC-LFT-SSR-B-690</v>
      </c>
      <c r="B691" s="184">
        <v>690</v>
      </c>
      <c r="C691" s="184" t="str">
        <f t="shared" si="28"/>
        <v>[HYD-LFT-PVL-Pos-154] FPGA - Lift Spool PVA Power SSR Relay for</v>
      </c>
      <c r="D691" s="184" t="s">
        <v>1330</v>
      </c>
      <c r="E691" s="184" t="s">
        <v>1331</v>
      </c>
      <c r="F691" s="184" t="s">
        <v>853</v>
      </c>
      <c r="G691" s="184" t="s">
        <v>350</v>
      </c>
      <c r="H691" s="184" t="s">
        <v>192</v>
      </c>
      <c r="I691" s="184" t="s">
        <v>48</v>
      </c>
      <c r="J691" s="184"/>
      <c r="K691" s="184" t="s">
        <v>104</v>
      </c>
      <c r="L691" s="184" t="s">
        <v>50</v>
      </c>
      <c r="M691" s="184"/>
      <c r="N691" s="184"/>
      <c r="O691" s="184"/>
      <c r="P691" s="184" t="b">
        <v>0</v>
      </c>
    </row>
    <row r="692" spans="1:16" ht="12.75" hidden="1">
      <c r="A692" s="184" t="str">
        <f t="shared" si="29"/>
        <v>MEC-S2U-SSR-B-691</v>
      </c>
      <c r="B692" s="184">
        <v>691</v>
      </c>
      <c r="C692" s="184" t="str">
        <f t="shared" si="28"/>
        <v>[S2J-S2H-DVL-Pos-435] FPGA - S2 Jettison Enable PVA Power SSR for</v>
      </c>
      <c r="D692" s="184" t="s">
        <v>1332</v>
      </c>
      <c r="E692" s="184" t="s">
        <v>1333</v>
      </c>
      <c r="F692" s="184" t="s">
        <v>853</v>
      </c>
      <c r="G692" s="184" t="s">
        <v>60</v>
      </c>
      <c r="H692" s="184" t="s">
        <v>192</v>
      </c>
      <c r="I692" s="184" t="s">
        <v>48</v>
      </c>
      <c r="J692" s="184"/>
      <c r="K692" s="184" t="s">
        <v>104</v>
      </c>
      <c r="L692" s="184" t="s">
        <v>50</v>
      </c>
      <c r="M692" s="184"/>
      <c r="N692" s="184"/>
      <c r="O692" s="184"/>
      <c r="P692" s="184" t="b">
        <v>0</v>
      </c>
    </row>
    <row r="693" spans="1:16" ht="12.75" hidden="1">
      <c r="A693" s="184" t="str">
        <f t="shared" si="29"/>
        <v>MEC-HD-SSR-B-692</v>
      </c>
      <c r="B693" s="184">
        <v>692</v>
      </c>
      <c r="C693" s="184" t="str">
        <f t="shared" si="28"/>
        <v>[S25.2 -S26.2 -S27.2 -S28.2] FPGA - Hold Down slow retract enable for HYD-HD-DVL-B-175to178</v>
      </c>
      <c r="D693" s="184" t="s">
        <v>1334</v>
      </c>
      <c r="E693" s="184" t="s">
        <v>1335</v>
      </c>
      <c r="F693" s="184" t="s">
        <v>853</v>
      </c>
      <c r="G693" s="184" t="s">
        <v>368</v>
      </c>
      <c r="H693" s="184" t="s">
        <v>192</v>
      </c>
      <c r="I693" s="184" t="s">
        <v>48</v>
      </c>
      <c r="J693" s="184"/>
      <c r="K693" s="184" t="s">
        <v>104</v>
      </c>
      <c r="L693" s="184" t="s">
        <v>50</v>
      </c>
      <c r="M693" s="184"/>
      <c r="N693" s="184"/>
      <c r="O693" s="184"/>
      <c r="P693" s="184" t="b">
        <v>0</v>
      </c>
    </row>
    <row r="694" spans="1:16" ht="12.75" hidden="1">
      <c r="A694" s="184" t="str">
        <f t="shared" ref="A694:A733" si="30">CONCATENATE(VLOOKUP(F694,Systems,2,FALSE),"-",VLOOKUP(G694,Subsystems,2,FALSE),"-",VLOOKUP(H694,Components,2,FALSE),"-",VLOOKUP(K694,Metrics,2,FALSE),"-",B694)</f>
        <v>MEC-S1U-SSR-B-693</v>
      </c>
      <c r="B694" s="184">
        <v>693</v>
      </c>
      <c r="C694" s="184" t="str">
        <f t="shared" si="28"/>
        <v>[S30.1 - S30.2] FPGA - S1 Umbilical slow movement enable for HYD-S1U-DVL-B-208/209</v>
      </c>
      <c r="D694" s="184" t="s">
        <v>1336</v>
      </c>
      <c r="E694" s="184" t="s">
        <v>1337</v>
      </c>
      <c r="F694" s="184" t="s">
        <v>853</v>
      </c>
      <c r="G694" s="184" t="s">
        <v>53</v>
      </c>
      <c r="H694" s="184" t="s">
        <v>192</v>
      </c>
      <c r="I694" s="184" t="s">
        <v>48</v>
      </c>
      <c r="J694" s="184"/>
      <c r="K694" s="184" t="s">
        <v>104</v>
      </c>
      <c r="L694" s="184" t="s">
        <v>50</v>
      </c>
      <c r="M694" s="184"/>
      <c r="N694" s="184"/>
      <c r="O694" s="184"/>
      <c r="P694" s="184" t="b">
        <v>0</v>
      </c>
    </row>
    <row r="695" spans="1:16" ht="12.75" hidden="1">
      <c r="A695" s="184" t="str">
        <f t="shared" si="30"/>
        <v>MEC-HD-SSR-B-694</v>
      </c>
      <c r="B695" s="184">
        <v>694</v>
      </c>
      <c r="C695" s="184" t="str">
        <f t="shared" si="28"/>
        <v>[S17 -S19 -S21 -S23] FPGA - Hold Down Fast Retract Primary Enable for HYD-HD-SSR-B-168</v>
      </c>
      <c r="D695" s="184" t="s">
        <v>1338</v>
      </c>
      <c r="E695" s="184" t="s">
        <v>1339</v>
      </c>
      <c r="F695" s="184" t="s">
        <v>853</v>
      </c>
      <c r="G695" s="184" t="s">
        <v>368</v>
      </c>
      <c r="H695" s="184" t="s">
        <v>192</v>
      </c>
      <c r="I695" s="184" t="s">
        <v>48</v>
      </c>
      <c r="J695" s="184"/>
      <c r="K695" s="184" t="s">
        <v>104</v>
      </c>
      <c r="L695" s="184" t="s">
        <v>50</v>
      </c>
      <c r="M695" s="184"/>
      <c r="N695" s="184"/>
      <c r="O695" s="184"/>
      <c r="P695" s="184" t="b">
        <v>0</v>
      </c>
    </row>
    <row r="696" spans="1:16" ht="12.75" hidden="1">
      <c r="A696" s="184" t="str">
        <f t="shared" si="30"/>
        <v>MEC-HD-SSR-B-695</v>
      </c>
      <c r="B696" s="184">
        <v>695</v>
      </c>
      <c r="C696" s="184" t="str">
        <f t="shared" si="28"/>
        <v>[HYD-HD-SSR-B-169] FPGA - Hold Down Fast Retract Secondary Enable for</v>
      </c>
      <c r="D696" s="184" t="s">
        <v>1340</v>
      </c>
      <c r="E696" s="184" t="s">
        <v>380</v>
      </c>
      <c r="F696" s="184" t="s">
        <v>853</v>
      </c>
      <c r="G696" s="184" t="s">
        <v>368</v>
      </c>
      <c r="H696" s="184" t="s">
        <v>192</v>
      </c>
      <c r="I696" s="184" t="s">
        <v>48</v>
      </c>
      <c r="J696" s="184"/>
      <c r="K696" s="184" t="s">
        <v>104</v>
      </c>
      <c r="L696" s="184" t="s">
        <v>50</v>
      </c>
      <c r="M696" s="184"/>
      <c r="N696" s="184"/>
      <c r="O696" s="184"/>
      <c r="P696" s="184" t="b">
        <v>0</v>
      </c>
    </row>
    <row r="697" spans="1:16" ht="12.75" hidden="1">
      <c r="A697" s="184" t="str">
        <f t="shared" si="30"/>
        <v>MEC-S1U-SSR-B-696</v>
      </c>
      <c r="B697" s="184">
        <v>696</v>
      </c>
      <c r="C697" s="184" t="str">
        <f t="shared" si="28"/>
        <v>[S34 -S36] FPGA - S1 Umbilical Fast Retract Primary Enable for HYD-S1U-DVL-B-207</v>
      </c>
      <c r="D697" s="184" t="s">
        <v>1341</v>
      </c>
      <c r="E697" s="184" t="s">
        <v>1342</v>
      </c>
      <c r="F697" s="184" t="s">
        <v>853</v>
      </c>
      <c r="G697" s="184" t="s">
        <v>53</v>
      </c>
      <c r="H697" s="184" t="s">
        <v>192</v>
      </c>
      <c r="I697" s="184" t="s">
        <v>48</v>
      </c>
      <c r="J697" s="184"/>
      <c r="K697" s="184" t="s">
        <v>104</v>
      </c>
      <c r="L697" s="184" t="s">
        <v>50</v>
      </c>
      <c r="M697" s="184"/>
      <c r="N697" s="184"/>
      <c r="O697" s="184"/>
      <c r="P697" s="184" t="b">
        <v>0</v>
      </c>
    </row>
    <row r="698" spans="1:16" ht="12.75" hidden="1">
      <c r="A698" s="184" t="str">
        <f t="shared" si="30"/>
        <v>MEC-S1U-SSR-B-697</v>
      </c>
      <c r="B698" s="184">
        <v>697</v>
      </c>
      <c r="C698" s="184" t="str">
        <f t="shared" si="28"/>
        <v>[S35 -S37] FPGA - S1 Umbilical Fast Retract Secondary Enable for HYD-S1U-DVL-B-701</v>
      </c>
      <c r="D698" s="184" t="s">
        <v>1343</v>
      </c>
      <c r="E698" s="184" t="s">
        <v>1344</v>
      </c>
      <c r="F698" s="184" t="s">
        <v>853</v>
      </c>
      <c r="G698" s="184" t="s">
        <v>53</v>
      </c>
      <c r="H698" s="184" t="s">
        <v>192</v>
      </c>
      <c r="I698" s="184" t="s">
        <v>48</v>
      </c>
      <c r="J698" s="184"/>
      <c r="K698" s="184" t="s">
        <v>104</v>
      </c>
      <c r="L698" s="184" t="s">
        <v>50</v>
      </c>
      <c r="M698" s="184"/>
      <c r="N698" s="184"/>
      <c r="O698" s="184"/>
      <c r="P698" s="184" t="b">
        <v>0</v>
      </c>
    </row>
    <row r="699" spans="1:16" ht="12.75" hidden="1">
      <c r="A699" s="184" t="str">
        <f t="shared" si="30"/>
        <v>ASP--SSR-B-698</v>
      </c>
      <c r="B699" s="184">
        <v>698</v>
      </c>
      <c r="C699" s="184" t="str">
        <f t="shared" si="28"/>
        <v>[Relay to be added] FPGA - Shore Power Isolate Enable for CPWR-RST-FX-CD-31</v>
      </c>
      <c r="D699" s="184" t="s">
        <v>1345</v>
      </c>
      <c r="E699" s="184" t="s">
        <v>1346</v>
      </c>
      <c r="F699" s="184" t="s">
        <v>70</v>
      </c>
      <c r="G699" s="184" t="s">
        <v>71</v>
      </c>
      <c r="H699" s="184" t="s">
        <v>192</v>
      </c>
      <c r="I699" s="184" t="s">
        <v>48</v>
      </c>
      <c r="J699" s="184"/>
      <c r="K699" s="184" t="s">
        <v>104</v>
      </c>
      <c r="L699" s="184" t="s">
        <v>50</v>
      </c>
      <c r="M699" s="184"/>
      <c r="N699" s="184"/>
      <c r="O699" s="184"/>
      <c r="P699" s="184" t="b">
        <v>0</v>
      </c>
    </row>
    <row r="700" spans="1:16" ht="12.75" hidden="1">
      <c r="A700" s="184" t="str">
        <f t="shared" si="30"/>
        <v>MEC-CL-SSR-B-699</v>
      </c>
      <c r="B700" s="184">
        <v>699</v>
      </c>
      <c r="C700" s="184" t="str">
        <f t="shared" si="28"/>
        <v>[Relay to be added] FPGA - Clamp Lock Enable</v>
      </c>
      <c r="D700" s="184" t="s">
        <v>1347</v>
      </c>
      <c r="E700" s="184" t="s">
        <v>1346</v>
      </c>
      <c r="F700" s="184" t="s">
        <v>853</v>
      </c>
      <c r="G700" s="184" t="s">
        <v>529</v>
      </c>
      <c r="H700" s="184" t="s">
        <v>192</v>
      </c>
      <c r="I700" s="184" t="s">
        <v>48</v>
      </c>
      <c r="J700" s="184"/>
      <c r="K700" s="184" t="s">
        <v>104</v>
      </c>
      <c r="L700" s="184" t="s">
        <v>50</v>
      </c>
      <c r="M700" s="184"/>
      <c r="N700" s="184"/>
      <c r="O700" s="184"/>
      <c r="P700" s="184" t="b">
        <v>0</v>
      </c>
    </row>
    <row r="701" spans="1:16" ht="12.75" hidden="1">
      <c r="A701" s="184" t="str">
        <f t="shared" si="30"/>
        <v>MEC-CL-SSR-B-700</v>
      </c>
      <c r="B701" s="184">
        <v>700</v>
      </c>
      <c r="C701" s="184" t="str">
        <f t="shared" si="28"/>
        <v>[Relay to be added] FPGA - Clamp Unlock Enable SSR</v>
      </c>
      <c r="D701" s="184" t="s">
        <v>1348</v>
      </c>
      <c r="E701" s="184" t="s">
        <v>1346</v>
      </c>
      <c r="F701" s="184" t="s">
        <v>853</v>
      </c>
      <c r="G701" s="184" t="s">
        <v>529</v>
      </c>
      <c r="H701" s="184" t="s">
        <v>192</v>
      </c>
      <c r="I701" s="184" t="s">
        <v>48</v>
      </c>
      <c r="J701" s="184"/>
      <c r="K701" s="184" t="s">
        <v>104</v>
      </c>
      <c r="L701" s="184" t="s">
        <v>50</v>
      </c>
      <c r="M701" s="184"/>
      <c r="N701" s="184"/>
      <c r="O701" s="184"/>
      <c r="P701" s="184" t="b">
        <v>0</v>
      </c>
    </row>
    <row r="702" spans="1:16" ht="12.75" hidden="1">
      <c r="A702" s="184" t="str">
        <f t="shared" si="30"/>
        <v>HYD-S1U-DVL-B-701</v>
      </c>
      <c r="B702" s="184">
        <v>701</v>
      </c>
      <c r="C702" s="184" t="str">
        <f t="shared" si="28"/>
        <v>[S35 -S37] S1 Umbilical high speed retract secondary  - Cmd</v>
      </c>
      <c r="D702" s="184" t="s">
        <v>1349</v>
      </c>
      <c r="E702" s="184" t="s">
        <v>1344</v>
      </c>
      <c r="F702" s="184" t="s">
        <v>318</v>
      </c>
      <c r="G702" s="184" t="s">
        <v>53</v>
      </c>
      <c r="H702" s="184" t="s">
        <v>47</v>
      </c>
      <c r="I702" s="184" t="s">
        <v>48</v>
      </c>
      <c r="J702" s="184"/>
      <c r="K702" s="184" t="s">
        <v>104</v>
      </c>
      <c r="L702" s="184" t="s">
        <v>50</v>
      </c>
      <c r="M702" s="184"/>
      <c r="N702" s="184"/>
      <c r="O702" s="184"/>
      <c r="P702" s="184" t="b">
        <v>0</v>
      </c>
    </row>
    <row r="703" spans="1:16" ht="12.75" hidden="1">
      <c r="A703" s="184" t="str">
        <f t="shared" si="30"/>
        <v>HYD-S1U-SSR-B-702</v>
      </c>
      <c r="B703" s="184">
        <v>702</v>
      </c>
      <c r="C703" s="184" t="str">
        <f t="shared" si="28"/>
        <v>[HYD-S1U-DVL-B-202] FPGA - S1 Umbilical accumulator bleed Enable for</v>
      </c>
      <c r="D703" s="184" t="s">
        <v>1350</v>
      </c>
      <c r="E703" s="184" t="s">
        <v>1351</v>
      </c>
      <c r="F703" s="184" t="s">
        <v>318</v>
      </c>
      <c r="G703" s="184" t="s">
        <v>53</v>
      </c>
      <c r="H703" s="184" t="s">
        <v>192</v>
      </c>
      <c r="I703" s="184" t="s">
        <v>48</v>
      </c>
      <c r="J703" s="184"/>
      <c r="K703" s="184" t="s">
        <v>104</v>
      </c>
      <c r="L703" s="184" t="s">
        <v>50</v>
      </c>
      <c r="M703" s="184"/>
      <c r="N703" s="184"/>
      <c r="O703" s="184"/>
      <c r="P703" s="184" t="b">
        <v>0</v>
      </c>
    </row>
    <row r="704" spans="1:16" ht="12.75" hidden="1">
      <c r="A704" s="184" t="str">
        <f t="shared" si="30"/>
        <v>MEC-S1U-SSR-B-703</v>
      </c>
      <c r="B704" s="184">
        <v>703</v>
      </c>
      <c r="C704" s="184" t="str">
        <f t="shared" si="28"/>
        <v>[S32.2] FPGA - Prevalve close Enable for HYD-S1U-DVL-B-204</v>
      </c>
      <c r="D704" s="184" t="s">
        <v>1352</v>
      </c>
      <c r="E704" s="184" t="s">
        <v>450</v>
      </c>
      <c r="F704" s="184" t="s">
        <v>853</v>
      </c>
      <c r="G704" s="184" t="s">
        <v>53</v>
      </c>
      <c r="H704" s="184" t="s">
        <v>192</v>
      </c>
      <c r="I704" s="184" t="s">
        <v>48</v>
      </c>
      <c r="J704" s="184"/>
      <c r="K704" s="184" t="s">
        <v>104</v>
      </c>
      <c r="L704" s="184" t="s">
        <v>50</v>
      </c>
      <c r="M704" s="184"/>
      <c r="N704" s="184"/>
      <c r="O704" s="184"/>
      <c r="P704" s="184" t="b">
        <v>0</v>
      </c>
    </row>
    <row r="705" spans="1:16" ht="12.75" hidden="1">
      <c r="A705" s="184" t="str">
        <f t="shared" si="30"/>
        <v>HYD-S1U-SSR-B-704</v>
      </c>
      <c r="B705" s="184">
        <v>704</v>
      </c>
      <c r="C705" s="184" t="str">
        <f t="shared" si="28"/>
        <v>[S33] FPGA - Prevalve back up invert actuator state Enable for HYD-S1U-DVL-B-205</v>
      </c>
      <c r="D705" s="184" t="s">
        <v>1353</v>
      </c>
      <c r="E705" s="184" t="s">
        <v>452</v>
      </c>
      <c r="F705" s="184" t="s">
        <v>318</v>
      </c>
      <c r="G705" s="184" t="s">
        <v>53</v>
      </c>
      <c r="H705" s="184" t="s">
        <v>192</v>
      </c>
      <c r="I705" s="184" t="s">
        <v>48</v>
      </c>
      <c r="J705" s="184"/>
      <c r="K705" s="184" t="s">
        <v>104</v>
      </c>
      <c r="L705" s="184" t="s">
        <v>50</v>
      </c>
      <c r="M705" s="184"/>
      <c r="N705" s="184"/>
      <c r="O705" s="184"/>
      <c r="P705" s="184" t="b">
        <v>0</v>
      </c>
    </row>
    <row r="706" spans="1:16" ht="12.75" hidden="1">
      <c r="A706" s="184" t="str">
        <f t="shared" si="30"/>
        <v>HYD-S1U-SSR-B-705</v>
      </c>
      <c r="B706" s="184">
        <v>705</v>
      </c>
      <c r="C706" s="184" t="str">
        <f t="shared" si="28"/>
        <v>[S31.1 - S31.2] FPGA - S1 Umbilical slow movement enable for HYD-S1U-DVL-B-210/211</v>
      </c>
      <c r="D706" s="184" t="s">
        <v>1354</v>
      </c>
      <c r="E706" s="184" t="s">
        <v>1355</v>
      </c>
      <c r="F706" s="184" t="s">
        <v>318</v>
      </c>
      <c r="G706" s="184" t="s">
        <v>53</v>
      </c>
      <c r="H706" s="184" t="s">
        <v>192</v>
      </c>
      <c r="I706" s="184" t="s">
        <v>48</v>
      </c>
      <c r="J706" s="184"/>
      <c r="K706" s="184" t="s">
        <v>104</v>
      </c>
      <c r="L706" s="184" t="s">
        <v>50</v>
      </c>
      <c r="M706" s="184"/>
      <c r="N706" s="184"/>
      <c r="O706" s="184"/>
      <c r="P706" s="184" t="b">
        <v>0</v>
      </c>
    </row>
    <row r="707" spans="1:16" ht="12.75" hidden="1">
      <c r="A707" s="184" t="str">
        <f t="shared" si="30"/>
        <v>HYD-HD-SSR-B-706</v>
      </c>
      <c r="B707" s="184">
        <v>706</v>
      </c>
      <c r="C707" s="184" t="str">
        <f t="shared" si="28"/>
        <v>[HYD-HD-DVL-B-216] FPGA - HD circuit bleed Enable for</v>
      </c>
      <c r="D707" s="184" t="s">
        <v>1356</v>
      </c>
      <c r="E707" s="184" t="s">
        <v>1357</v>
      </c>
      <c r="F707" s="184" t="s">
        <v>318</v>
      </c>
      <c r="G707" s="184" t="s">
        <v>368</v>
      </c>
      <c r="H707" s="184" t="s">
        <v>192</v>
      </c>
      <c r="I707" s="184" t="s">
        <v>48</v>
      </c>
      <c r="J707" s="184"/>
      <c r="K707" s="184" t="s">
        <v>104</v>
      </c>
      <c r="L707" s="184" t="s">
        <v>50</v>
      </c>
      <c r="M707" s="184"/>
      <c r="N707" s="184"/>
      <c r="O707" s="184"/>
      <c r="P707" s="184" t="b">
        <v>0</v>
      </c>
    </row>
    <row r="708" spans="1:16" ht="12.75" hidden="1">
      <c r="A708" s="184" t="str">
        <f t="shared" si="30"/>
        <v>HYD-HDL-SSR-B-707</v>
      </c>
      <c r="B708" s="184">
        <v>707</v>
      </c>
      <c r="C708" s="184" t="str">
        <f t="shared" si="28"/>
        <v>[S43] FPGA - Isolate HDL1 Enable for HYD-HDL-DVL-B-261</v>
      </c>
      <c r="D708" s="184" t="s">
        <v>1358</v>
      </c>
      <c r="E708" s="184" t="s">
        <v>580</v>
      </c>
      <c r="F708" s="184" t="s">
        <v>318</v>
      </c>
      <c r="G708" s="184" t="s">
        <v>568</v>
      </c>
      <c r="H708" s="184" t="s">
        <v>192</v>
      </c>
      <c r="I708" s="184" t="s">
        <v>48</v>
      </c>
      <c r="J708" s="184"/>
      <c r="K708" s="184" t="s">
        <v>104</v>
      </c>
      <c r="L708" s="184" t="s">
        <v>50</v>
      </c>
      <c r="M708" s="184"/>
      <c r="N708" s="184"/>
      <c r="O708" s="184"/>
      <c r="P708" s="184" t="b">
        <v>0</v>
      </c>
    </row>
    <row r="709" spans="1:16" ht="12.75" hidden="1">
      <c r="A709" s="184" t="str">
        <f t="shared" si="30"/>
        <v>HYD-HDL-SSR-B-708</v>
      </c>
      <c r="B709" s="184">
        <v>708</v>
      </c>
      <c r="C709" s="184" t="str">
        <f t="shared" si="28"/>
        <v>[S44] FPGA - Isolate HDL2 Enable for HYD-HDL-DVL-B-262</v>
      </c>
      <c r="D709" s="184" t="s">
        <v>1359</v>
      </c>
      <c r="E709" s="184" t="s">
        <v>578</v>
      </c>
      <c r="F709" s="184" t="s">
        <v>318</v>
      </c>
      <c r="G709" s="184" t="s">
        <v>568</v>
      </c>
      <c r="H709" s="184" t="s">
        <v>192</v>
      </c>
      <c r="I709" s="184" t="s">
        <v>48</v>
      </c>
      <c r="J709" s="184"/>
      <c r="K709" s="184" t="s">
        <v>104</v>
      </c>
      <c r="L709" s="184" t="s">
        <v>50</v>
      </c>
      <c r="M709" s="184"/>
      <c r="N709" s="184"/>
      <c r="O709" s="184"/>
      <c r="P709" s="184" t="b">
        <v>0</v>
      </c>
    </row>
    <row r="710" spans="1:16" ht="12.75" hidden="1">
      <c r="A710" s="184" t="str">
        <f t="shared" si="30"/>
        <v>HYD-HDL-SSR-B-709</v>
      </c>
      <c r="B710" s="184">
        <v>709</v>
      </c>
      <c r="C710" s="184" t="str">
        <f t="shared" si="28"/>
        <v>[S45] FPGA - Isolate HDL3 Enable for HYD-HDL-DVL-B-263</v>
      </c>
      <c r="D710" s="184" t="s">
        <v>1360</v>
      </c>
      <c r="E710" s="184" t="s">
        <v>576</v>
      </c>
      <c r="F710" s="184" t="s">
        <v>318</v>
      </c>
      <c r="G710" s="184" t="s">
        <v>568</v>
      </c>
      <c r="H710" s="184" t="s">
        <v>192</v>
      </c>
      <c r="I710" s="184" t="s">
        <v>48</v>
      </c>
      <c r="J710" s="184"/>
      <c r="K710" s="184" t="s">
        <v>104</v>
      </c>
      <c r="L710" s="184" t="s">
        <v>50</v>
      </c>
      <c r="M710" s="184"/>
      <c r="N710" s="184"/>
      <c r="O710" s="184"/>
      <c r="P710" s="184" t="b">
        <v>0</v>
      </c>
    </row>
    <row r="711" spans="1:16" ht="12.75" hidden="1">
      <c r="A711" s="184" t="str">
        <f t="shared" si="30"/>
        <v>HYD-HDL-SSR-B-710</v>
      </c>
      <c r="B711" s="184">
        <v>710</v>
      </c>
      <c r="C711" s="184" t="str">
        <f t="shared" si="28"/>
        <v>[S46] FPGA - Isolate HDL4 Enable for HYD-HDL-DVL-B-264</v>
      </c>
      <c r="D711" s="184" t="s">
        <v>1361</v>
      </c>
      <c r="E711" s="184" t="s">
        <v>574</v>
      </c>
      <c r="F711" s="184" t="s">
        <v>318</v>
      </c>
      <c r="G711" s="184" t="s">
        <v>568</v>
      </c>
      <c r="H711" s="184" t="s">
        <v>192</v>
      </c>
      <c r="I711" s="184" t="s">
        <v>48</v>
      </c>
      <c r="J711" s="184"/>
      <c r="K711" s="184" t="s">
        <v>104</v>
      </c>
      <c r="L711" s="184" t="s">
        <v>50</v>
      </c>
      <c r="M711" s="184"/>
      <c r="N711" s="184"/>
      <c r="O711" s="184"/>
      <c r="P711" s="184" t="b">
        <v>0</v>
      </c>
    </row>
    <row r="712" spans="1:16" s="151" customFormat="1" ht="12.75" hidden="1">
      <c r="A712" s="184"/>
      <c r="B712" s="184">
        <v>711</v>
      </c>
      <c r="C712" s="184" t="str">
        <f t="shared" si="28"/>
        <v xml:space="preserve">[] </v>
      </c>
      <c r="D712" s="184"/>
      <c r="E712" s="184"/>
      <c r="F712" s="184"/>
      <c r="G712" s="184"/>
      <c r="H712" s="184"/>
      <c r="I712" s="184"/>
      <c r="J712" s="184"/>
      <c r="K712" s="184"/>
      <c r="L712" s="184"/>
      <c r="M712" s="184"/>
      <c r="N712" s="184"/>
      <c r="O712" s="184"/>
      <c r="P712" s="184"/>
    </row>
    <row r="713" spans="1:16" s="151" customFormat="1" ht="12.75" hidden="1">
      <c r="A713" s="184"/>
      <c r="B713" s="184">
        <v>712</v>
      </c>
      <c r="C713" s="184" t="str">
        <f t="shared" si="28"/>
        <v xml:space="preserve">[] </v>
      </c>
      <c r="D713" s="184"/>
      <c r="E713" s="184"/>
      <c r="F713" s="184"/>
      <c r="G713" s="184"/>
      <c r="H713" s="184"/>
      <c r="I713" s="184"/>
      <c r="J713" s="184"/>
      <c r="K713" s="184"/>
      <c r="L713" s="184"/>
      <c r="M713" s="184"/>
      <c r="N713" s="184"/>
      <c r="O713" s="184"/>
      <c r="P713" s="184"/>
    </row>
    <row r="714" spans="1:16" s="151" customFormat="1" ht="12.75" hidden="1">
      <c r="A714" s="184"/>
      <c r="B714" s="184">
        <v>713</v>
      </c>
      <c r="C714" s="184" t="str">
        <f t="shared" ref="C714:C777" si="31">_xlfn.TEXTJOIN("", TRUE, "[", E714,"] ",D714)</f>
        <v xml:space="preserve">[] </v>
      </c>
      <c r="D714" s="184"/>
      <c r="E714" s="184"/>
      <c r="F714" s="184"/>
      <c r="G714" s="184"/>
      <c r="H714" s="184"/>
      <c r="I714" s="184"/>
      <c r="J714" s="184"/>
      <c r="K714" s="184"/>
      <c r="L714" s="184"/>
      <c r="M714" s="184"/>
      <c r="N714" s="184"/>
      <c r="O714" s="184"/>
      <c r="P714" s="184"/>
    </row>
    <row r="715" spans="1:16" s="151" customFormat="1" ht="12.75" hidden="1">
      <c r="A715" s="184"/>
      <c r="B715" s="184">
        <v>714</v>
      </c>
      <c r="C715" s="184" t="str">
        <f t="shared" si="31"/>
        <v xml:space="preserve">[] </v>
      </c>
      <c r="D715" s="184"/>
      <c r="E715" s="184"/>
      <c r="F715" s="184"/>
      <c r="G715" s="184"/>
      <c r="H715" s="184"/>
      <c r="I715" s="184"/>
      <c r="J715" s="184"/>
      <c r="K715" s="184"/>
      <c r="L715" s="184"/>
      <c r="M715" s="184"/>
      <c r="N715" s="184"/>
      <c r="O715" s="184"/>
      <c r="P715" s="184"/>
    </row>
    <row r="716" spans="1:16" s="151" customFormat="1" ht="12.75" hidden="1">
      <c r="A716" s="184"/>
      <c r="B716" s="184">
        <v>715</v>
      </c>
      <c r="C716" s="184" t="str">
        <f t="shared" si="31"/>
        <v xml:space="preserve">[] </v>
      </c>
      <c r="D716" s="184"/>
      <c r="E716" s="184"/>
      <c r="F716" s="184"/>
      <c r="G716" s="184"/>
      <c r="H716" s="184"/>
      <c r="I716" s="184"/>
      <c r="J716" s="184"/>
      <c r="K716" s="184"/>
      <c r="L716" s="184"/>
      <c r="M716" s="184"/>
      <c r="N716" s="184"/>
      <c r="O716" s="184"/>
      <c r="P716" s="184"/>
    </row>
    <row r="717" spans="1:16" ht="12.75" hidden="1">
      <c r="A717" s="184" t="str">
        <f t="shared" si="30"/>
        <v>HYD-HD-SSR-B-716</v>
      </c>
      <c r="B717" s="184">
        <v>716</v>
      </c>
      <c r="C717" s="184" t="str">
        <f t="shared" si="31"/>
        <v>[S25.1 - S26.1 - S27.1 - S28.1 - S47.1 - S47.2 - S47.3 - S47.4] FPGA - Hold Down slow extend enable and the HD recirc Valves</v>
      </c>
      <c r="D717" s="184" t="s">
        <v>1362</v>
      </c>
      <c r="E717" s="184" t="s">
        <v>1363</v>
      </c>
      <c r="F717" s="184" t="s">
        <v>318</v>
      </c>
      <c r="G717" s="184" t="s">
        <v>368</v>
      </c>
      <c r="H717" s="184" t="s">
        <v>192</v>
      </c>
      <c r="I717" s="184" t="s">
        <v>48</v>
      </c>
      <c r="J717" s="184"/>
      <c r="K717" s="184" t="s">
        <v>104</v>
      </c>
      <c r="L717" s="184" t="s">
        <v>50</v>
      </c>
      <c r="M717" s="184"/>
      <c r="N717" s="184"/>
      <c r="O717" s="184"/>
      <c r="P717" s="184" t="b">
        <v>0</v>
      </c>
    </row>
    <row r="718" spans="1:16" s="151" customFormat="1" ht="12.75" hidden="1">
      <c r="A718" s="184"/>
      <c r="B718" s="184">
        <v>717</v>
      </c>
      <c r="C718" s="184" t="str">
        <f t="shared" si="31"/>
        <v xml:space="preserve">[] </v>
      </c>
      <c r="D718" s="184"/>
      <c r="E718" s="184"/>
      <c r="F718" s="184"/>
      <c r="G718" s="184"/>
      <c r="H718" s="184"/>
      <c r="I718" s="184"/>
      <c r="J718" s="184"/>
      <c r="K718" s="184"/>
      <c r="L718" s="184"/>
      <c r="M718" s="184"/>
      <c r="N718" s="184"/>
      <c r="O718" s="184"/>
      <c r="P718" s="184"/>
    </row>
    <row r="719" spans="1:16" ht="12.75">
      <c r="A719" s="184" t="str">
        <f t="shared" si="30"/>
        <v>TMP-ZT-RTD-Ts-718</v>
      </c>
      <c r="B719" s="184">
        <v>718</v>
      </c>
      <c r="C719" s="184" t="str">
        <f t="shared" si="31"/>
        <v>[S1-UMB_Ts] S1 Umbilical top cover Temperature CB3</v>
      </c>
      <c r="D719" s="184" t="s">
        <v>1364</v>
      </c>
      <c r="E719" s="184" t="s">
        <v>1365</v>
      </c>
      <c r="F719" s="184" t="s">
        <v>1366</v>
      </c>
      <c r="G719" s="184" t="s">
        <v>1367</v>
      </c>
      <c r="H719" s="184" t="s">
        <v>283</v>
      </c>
      <c r="I719" s="184" t="s">
        <v>284</v>
      </c>
      <c r="J719" s="184"/>
      <c r="K719" s="184" t="s">
        <v>231</v>
      </c>
      <c r="L719" s="184" t="s">
        <v>232</v>
      </c>
      <c r="M719" s="184"/>
      <c r="N719" s="184"/>
      <c r="O719" s="184"/>
      <c r="P719" s="184" t="b">
        <v>0</v>
      </c>
    </row>
    <row r="720" spans="1:16" ht="12.75">
      <c r="A720" s="184" t="str">
        <f t="shared" si="30"/>
        <v>TMP-ZT-RTD-Ts-719</v>
      </c>
      <c r="B720" s="184">
        <v>719</v>
      </c>
      <c r="C720" s="184" t="str">
        <f t="shared" si="31"/>
        <v>[S1-UMB_Face_Ts] S1 Umbilical face Temperature CB3</v>
      </c>
      <c r="D720" s="184" t="s">
        <v>1368</v>
      </c>
      <c r="E720" s="184" t="s">
        <v>1369</v>
      </c>
      <c r="F720" s="184" t="s">
        <v>1366</v>
      </c>
      <c r="G720" s="184" t="s">
        <v>1367</v>
      </c>
      <c r="H720" s="184" t="s">
        <v>283</v>
      </c>
      <c r="I720" s="184" t="s">
        <v>284</v>
      </c>
      <c r="J720" s="184"/>
      <c r="K720" s="184" t="s">
        <v>231</v>
      </c>
      <c r="L720" s="184" t="s">
        <v>232</v>
      </c>
      <c r="M720" s="184"/>
      <c r="N720" s="184"/>
      <c r="O720" s="184"/>
      <c r="P720" s="184" t="b">
        <v>0</v>
      </c>
    </row>
    <row r="721" spans="1:16" ht="12.75">
      <c r="A721" s="184" t="str">
        <f t="shared" si="30"/>
        <v>TMP-ZT-RTD-Ts-720</v>
      </c>
      <c r="B721" s="184">
        <v>720</v>
      </c>
      <c r="C721" s="184" t="str">
        <f t="shared" si="31"/>
        <v>[IGN_Ts] IGN store bottle Tempurature CB3</v>
      </c>
      <c r="D721" s="184" t="s">
        <v>1370</v>
      </c>
      <c r="E721" s="184" t="s">
        <v>1371</v>
      </c>
      <c r="F721" s="184" t="s">
        <v>1366</v>
      </c>
      <c r="G721" s="184" t="s">
        <v>1367</v>
      </c>
      <c r="H721" s="184" t="s">
        <v>283</v>
      </c>
      <c r="I721" s="184" t="s">
        <v>284</v>
      </c>
      <c r="J721" s="184"/>
      <c r="K721" s="184" t="s">
        <v>231</v>
      </c>
      <c r="L721" s="184" t="s">
        <v>232</v>
      </c>
      <c r="M721" s="184"/>
      <c r="N721" s="184"/>
      <c r="O721" s="184"/>
      <c r="P721" s="184" t="b">
        <v>0</v>
      </c>
    </row>
    <row r="722" spans="1:16" ht="12.75">
      <c r="A722" s="184" t="str">
        <f t="shared" si="30"/>
        <v>TMP-ZT-RTD-Ts-721</v>
      </c>
      <c r="B722" s="184">
        <v>721</v>
      </c>
      <c r="C722" s="184" t="str">
        <f t="shared" si="31"/>
        <v>[TMP-ZT-RTD-Ts-721] Umbilical temp Sensor CB3</v>
      </c>
      <c r="D722" s="184" t="s">
        <v>1372</v>
      </c>
      <c r="E722" s="184" t="s">
        <v>1373</v>
      </c>
      <c r="F722" s="184" t="s">
        <v>1366</v>
      </c>
      <c r="G722" s="184" t="s">
        <v>1367</v>
      </c>
      <c r="H722" s="184" t="s">
        <v>283</v>
      </c>
      <c r="I722" s="184" t="s">
        <v>284</v>
      </c>
      <c r="J722" s="184"/>
      <c r="K722" s="184" t="s">
        <v>231</v>
      </c>
      <c r="L722" s="184" t="s">
        <v>232</v>
      </c>
      <c r="M722" s="184"/>
      <c r="N722" s="184"/>
      <c r="O722" s="184"/>
      <c r="P722" s="184" t="b">
        <v>0</v>
      </c>
    </row>
    <row r="723" spans="1:16" s="151" customFormat="1" ht="12.75" hidden="1">
      <c r="A723" s="184"/>
      <c r="B723" s="184">
        <v>722</v>
      </c>
      <c r="C723" s="184" t="str">
        <f t="shared" si="31"/>
        <v xml:space="preserve">[] </v>
      </c>
      <c r="D723" s="184"/>
      <c r="E723" s="184"/>
      <c r="F723" s="184"/>
      <c r="G723" s="184"/>
      <c r="H723" s="184"/>
      <c r="I723" s="184"/>
      <c r="J723" s="184"/>
      <c r="K723" s="184"/>
      <c r="L723" s="184"/>
      <c r="M723" s="184"/>
      <c r="N723" s="184"/>
      <c r="O723" s="184"/>
      <c r="P723" s="184"/>
    </row>
    <row r="724" spans="1:16" s="151" customFormat="1" ht="12.75" hidden="1">
      <c r="A724" s="184"/>
      <c r="B724" s="184">
        <v>723</v>
      </c>
      <c r="C724" s="184" t="str">
        <f t="shared" si="31"/>
        <v xml:space="preserve">[] </v>
      </c>
      <c r="D724" s="184"/>
      <c r="E724" s="184"/>
      <c r="F724" s="184"/>
      <c r="G724" s="184"/>
      <c r="H724" s="184"/>
      <c r="I724" s="184"/>
      <c r="J724" s="184"/>
      <c r="K724" s="184"/>
      <c r="L724" s="184"/>
      <c r="M724" s="184"/>
      <c r="N724" s="184"/>
      <c r="O724" s="184"/>
      <c r="P724" s="184"/>
    </row>
    <row r="725" spans="1:16" ht="12.75">
      <c r="A725" s="184" t="str">
        <f t="shared" si="30"/>
        <v>TMP-ZT-RTD-Ts-724</v>
      </c>
      <c r="B725" s="184">
        <v>724</v>
      </c>
      <c r="C725" s="184" t="str">
        <f t="shared" si="31"/>
        <v>[STB_Fr_Face_Ts] Strongback face Temp CB5</v>
      </c>
      <c r="D725" s="184" t="s">
        <v>1374</v>
      </c>
      <c r="E725" s="184" t="s">
        <v>1375</v>
      </c>
      <c r="F725" s="184" t="s">
        <v>1366</v>
      </c>
      <c r="G725" s="184" t="s">
        <v>1367</v>
      </c>
      <c r="H725" s="184" t="s">
        <v>283</v>
      </c>
      <c r="I725" s="184" t="s">
        <v>284</v>
      </c>
      <c r="J725" s="184"/>
      <c r="K725" s="184" t="s">
        <v>231</v>
      </c>
      <c r="L725" s="184" t="s">
        <v>232</v>
      </c>
      <c r="M725" s="184"/>
      <c r="N725" s="184"/>
      <c r="O725" s="184"/>
      <c r="P725" s="184" t="b">
        <v>0</v>
      </c>
    </row>
    <row r="726" spans="1:16" ht="12.75">
      <c r="A726" s="184" t="str">
        <f t="shared" si="30"/>
        <v>TMP-ZT-RTD-Ts-725</v>
      </c>
      <c r="B726" s="184">
        <v>725</v>
      </c>
      <c r="C726" s="184" t="str">
        <f t="shared" si="31"/>
        <v>[S2-Umb_Ts] S2 Umbilical face temperature CB5</v>
      </c>
      <c r="D726" s="184" t="s">
        <v>1376</v>
      </c>
      <c r="E726" s="184" t="s">
        <v>1377</v>
      </c>
      <c r="F726" s="184" t="s">
        <v>1366</v>
      </c>
      <c r="G726" s="184" t="s">
        <v>1367</v>
      </c>
      <c r="H726" s="184" t="s">
        <v>283</v>
      </c>
      <c r="I726" s="184" t="s">
        <v>284</v>
      </c>
      <c r="J726" s="184"/>
      <c r="K726" s="184" t="s">
        <v>231</v>
      </c>
      <c r="L726" s="184" t="s">
        <v>232</v>
      </c>
      <c r="M726" s="184"/>
      <c r="N726" s="184"/>
      <c r="O726" s="184"/>
      <c r="P726" s="184" t="b">
        <v>0</v>
      </c>
    </row>
    <row r="727" spans="1:16" ht="12.75">
      <c r="A727" s="184" t="str">
        <f t="shared" si="30"/>
        <v>TMP-ZT-RTD-Ts-726</v>
      </c>
      <c r="B727" s="184">
        <v>726</v>
      </c>
      <c r="C727" s="184" t="str">
        <f t="shared" si="31"/>
        <v>[TMP-ZT-RTD-Ts-726] HD 2 Accumulator Temperature</v>
      </c>
      <c r="D727" s="184" t="s">
        <v>1378</v>
      </c>
      <c r="E727" s="184" t="s">
        <v>1379</v>
      </c>
      <c r="F727" s="184" t="s">
        <v>1366</v>
      </c>
      <c r="G727" s="184" t="s">
        <v>1367</v>
      </c>
      <c r="H727" s="184" t="s">
        <v>283</v>
      </c>
      <c r="I727" s="184" t="s">
        <v>284</v>
      </c>
      <c r="J727" s="184"/>
      <c r="K727" s="184" t="s">
        <v>231</v>
      </c>
      <c r="L727" s="184" t="s">
        <v>232</v>
      </c>
      <c r="M727" s="184"/>
      <c r="N727" s="184"/>
      <c r="O727" s="184"/>
      <c r="P727" s="184" t="b">
        <v>0</v>
      </c>
    </row>
    <row r="728" spans="1:16" ht="12.75">
      <c r="A728" s="184" t="str">
        <f t="shared" si="30"/>
        <v>TMP-ZT-RTD-Ts-727</v>
      </c>
      <c r="B728" s="184">
        <v>727</v>
      </c>
      <c r="C728" s="184" t="str">
        <f t="shared" si="31"/>
        <v>[TMP-ZT-RTD-Ts-727] HD 3 Accumulator Temperature</v>
      </c>
      <c r="D728" s="184" t="s">
        <v>1380</v>
      </c>
      <c r="E728" s="184" t="s">
        <v>1381</v>
      </c>
      <c r="F728" s="184" t="s">
        <v>1366</v>
      </c>
      <c r="G728" s="184" t="s">
        <v>1367</v>
      </c>
      <c r="H728" s="184" t="s">
        <v>283</v>
      </c>
      <c r="I728" s="184" t="s">
        <v>284</v>
      </c>
      <c r="J728" s="184"/>
      <c r="K728" s="184" t="s">
        <v>231</v>
      </c>
      <c r="L728" s="184" t="s">
        <v>232</v>
      </c>
      <c r="M728" s="184"/>
      <c r="N728" s="184"/>
      <c r="O728" s="184"/>
      <c r="P728" s="184" t="b">
        <v>0</v>
      </c>
    </row>
    <row r="729" spans="1:16" ht="12.75">
      <c r="A729" s="184" t="str">
        <f t="shared" si="30"/>
        <v>TMP-ZT-RTD-Ts-728</v>
      </c>
      <c r="B729" s="184">
        <v>728</v>
      </c>
      <c r="C729" s="184" t="str">
        <f t="shared" si="31"/>
        <v>[TMP-ZT-RTD-Ts-728] HD 1 Accumulator Temperature</v>
      </c>
      <c r="D729" s="184" t="s">
        <v>1382</v>
      </c>
      <c r="E729" s="184" t="s">
        <v>1383</v>
      </c>
      <c r="F729" s="184" t="s">
        <v>1366</v>
      </c>
      <c r="G729" s="184" t="s">
        <v>1367</v>
      </c>
      <c r="H729" s="184" t="s">
        <v>283</v>
      </c>
      <c r="I729" s="184" t="s">
        <v>284</v>
      </c>
      <c r="J729" s="184"/>
      <c r="K729" s="184" t="s">
        <v>231</v>
      </c>
      <c r="L729" s="184" t="s">
        <v>232</v>
      </c>
      <c r="M729" s="184"/>
      <c r="N729" s="184"/>
      <c r="O729" s="184"/>
      <c r="P729" s="184" t="b">
        <v>0</v>
      </c>
    </row>
    <row r="730" spans="1:16" ht="12.75">
      <c r="A730" s="184" t="str">
        <f t="shared" si="30"/>
        <v>TMP-ZT-RTD-Ts-729</v>
      </c>
      <c r="B730" s="184">
        <v>729</v>
      </c>
      <c r="C730" s="184" t="str">
        <f t="shared" si="31"/>
        <v>[TMP-ZT-RTD-Ts-729] HD 4 Accumulator Temperature</v>
      </c>
      <c r="D730" s="184" t="s">
        <v>1384</v>
      </c>
      <c r="E730" s="184" t="s">
        <v>1385</v>
      </c>
      <c r="F730" s="184" t="s">
        <v>1366</v>
      </c>
      <c r="G730" s="184" t="s">
        <v>1367</v>
      </c>
      <c r="H730" s="184" t="s">
        <v>283</v>
      </c>
      <c r="I730" s="184" t="s">
        <v>284</v>
      </c>
      <c r="J730" s="184"/>
      <c r="K730" s="184" t="s">
        <v>231</v>
      </c>
      <c r="L730" s="184" t="s">
        <v>232</v>
      </c>
      <c r="M730" s="184"/>
      <c r="N730" s="184"/>
      <c r="O730" s="184"/>
      <c r="P730" s="184" t="b">
        <v>0</v>
      </c>
    </row>
    <row r="731" spans="1:16" ht="12.75">
      <c r="A731" s="184" t="str">
        <f t="shared" si="30"/>
        <v>TMP-ZT-RTD-Ts-730</v>
      </c>
      <c r="B731" s="184">
        <v>730</v>
      </c>
      <c r="C731" s="184" t="str">
        <f t="shared" si="31"/>
        <v>[TMP-ZT-RTD-Ts-730] Return Recirc heating temperature near CB4</v>
      </c>
      <c r="D731" s="184" t="s">
        <v>1386</v>
      </c>
      <c r="E731" s="184" t="s">
        <v>1387</v>
      </c>
      <c r="F731" s="184" t="s">
        <v>1366</v>
      </c>
      <c r="G731" s="184" t="s">
        <v>1367</v>
      </c>
      <c r="H731" s="184" t="s">
        <v>283</v>
      </c>
      <c r="I731" s="184" t="s">
        <v>284</v>
      </c>
      <c r="J731" s="184"/>
      <c r="K731" s="184" t="s">
        <v>231</v>
      </c>
      <c r="L731" s="184" t="s">
        <v>232</v>
      </c>
      <c r="M731" s="184"/>
      <c r="N731" s="184"/>
      <c r="O731" s="184"/>
      <c r="P731" s="184" t="b">
        <v>0</v>
      </c>
    </row>
    <row r="732" spans="1:16" ht="12.75">
      <c r="A732" s="184" t="str">
        <f t="shared" si="30"/>
        <v>GN2-HF-PRS-Ps-731</v>
      </c>
      <c r="B732" s="184">
        <v>731</v>
      </c>
      <c r="C732" s="184" t="str">
        <f t="shared" si="31"/>
        <v>[05C956] Engine purge pressure</v>
      </c>
      <c r="D732" s="184" t="s">
        <v>1388</v>
      </c>
      <c r="E732" s="184" t="s">
        <v>1389</v>
      </c>
      <c r="F732" s="184" t="s">
        <v>180</v>
      </c>
      <c r="G732" s="184" t="s">
        <v>46</v>
      </c>
      <c r="H732" s="184" t="s">
        <v>54</v>
      </c>
      <c r="I732" s="184" t="s">
        <v>55</v>
      </c>
      <c r="J732" s="184" t="s">
        <v>1390</v>
      </c>
      <c r="K732" s="184" t="s">
        <v>56</v>
      </c>
      <c r="L732" s="184" t="s">
        <v>57</v>
      </c>
      <c r="M732" s="184"/>
      <c r="N732" s="184"/>
      <c r="O732" s="184"/>
      <c r="P732" s="184" t="b">
        <v>0</v>
      </c>
    </row>
    <row r="733" spans="1:16" ht="12.75" hidden="1">
      <c r="A733" s="184" t="str">
        <f t="shared" si="30"/>
        <v>GN2-PRG-EV-B-732</v>
      </c>
      <c r="B733" s="184">
        <v>732</v>
      </c>
      <c r="C733" s="184" t="str">
        <f t="shared" si="31"/>
        <v>[05C344] Stage 2 umbilical pressure maintain</v>
      </c>
      <c r="D733" s="184" t="s">
        <v>1391</v>
      </c>
      <c r="E733" s="184" t="s">
        <v>1392</v>
      </c>
      <c r="F733" s="184" t="s">
        <v>180</v>
      </c>
      <c r="G733" s="184" t="s">
        <v>185</v>
      </c>
      <c r="H733" s="184" t="s">
        <v>898</v>
      </c>
      <c r="I733" s="184" t="s">
        <v>48</v>
      </c>
      <c r="J733" s="184" t="s">
        <v>1393</v>
      </c>
      <c r="K733" s="184" t="s">
        <v>104</v>
      </c>
      <c r="L733" s="184" t="s">
        <v>50</v>
      </c>
      <c r="M733" s="184"/>
      <c r="N733" s="184"/>
      <c r="O733" s="184"/>
      <c r="P733" s="184" t="b">
        <v>0</v>
      </c>
    </row>
    <row r="734" spans="1:16" ht="12.75" hidden="1">
      <c r="A734" s="184" t="str">
        <f t="shared" ref="A734:A765" si="32">CONCATENATE(VLOOKUP(F734,Systems,2,FALSE),"-",VLOOKUP(G734,Subsystems,2,FALSE),"-",VLOOKUP(H734,Components,2,FALSE),"-",VLOOKUP(K734,Metrics,2,FALSE),"-",B734)</f>
        <v>GN2-PRG-EV-B-733</v>
      </c>
      <c r="B734" s="184">
        <v>733</v>
      </c>
      <c r="C734" s="184" t="str">
        <f t="shared" si="31"/>
        <v>[05C339] S2 Pressure maintain. Blanket purge</v>
      </c>
      <c r="D734" s="184" t="s">
        <v>1394</v>
      </c>
      <c r="E734" s="184" t="s">
        <v>1395</v>
      </c>
      <c r="F734" s="184" t="s">
        <v>180</v>
      </c>
      <c r="G734" s="184" t="s">
        <v>185</v>
      </c>
      <c r="H734" s="184" t="s">
        <v>898</v>
      </c>
      <c r="I734" s="184" t="s">
        <v>48</v>
      </c>
      <c r="J734" s="184" t="s">
        <v>1393</v>
      </c>
      <c r="K734" s="184" t="s">
        <v>104</v>
      </c>
      <c r="L734" s="184" t="s">
        <v>50</v>
      </c>
      <c r="M734" s="184"/>
      <c r="N734" s="184"/>
      <c r="O734" s="184"/>
      <c r="P734" s="184" t="b">
        <v>0</v>
      </c>
    </row>
    <row r="735" spans="1:16" ht="12.75">
      <c r="A735" s="184" t="str">
        <f t="shared" si="32"/>
        <v>KF-TS-FM-MS-734</v>
      </c>
      <c r="B735" s="184">
        <v>734</v>
      </c>
      <c r="C735" s="184" t="str">
        <f t="shared" si="31"/>
        <v>[01C705] Fueling Totaliser</v>
      </c>
      <c r="D735" s="184" t="s">
        <v>1396</v>
      </c>
      <c r="E735" s="184" t="s">
        <v>1397</v>
      </c>
      <c r="F735" s="184" t="s">
        <v>630</v>
      </c>
      <c r="G735" s="184" t="s">
        <v>631</v>
      </c>
      <c r="H735" s="184" t="s">
        <v>676</v>
      </c>
      <c r="I735" s="184" t="s">
        <v>677</v>
      </c>
      <c r="J735" s="184" t="s">
        <v>1398</v>
      </c>
      <c r="K735" s="184" t="s">
        <v>1399</v>
      </c>
      <c r="L735" s="184" t="s">
        <v>1400</v>
      </c>
      <c r="M735" s="184"/>
      <c r="N735" s="184"/>
      <c r="O735" s="184"/>
      <c r="P735" s="184" t="b">
        <v>0</v>
      </c>
    </row>
    <row r="736" spans="1:16" ht="12.75">
      <c r="A736" s="184" t="str">
        <f t="shared" si="32"/>
        <v>KF-TS-FM-Dn-735</v>
      </c>
      <c r="B736" s="184">
        <v>735</v>
      </c>
      <c r="C736" s="184" t="str">
        <f t="shared" si="31"/>
        <v>[01C705] Fueling Density</v>
      </c>
      <c r="D736" s="184" t="s">
        <v>1401</v>
      </c>
      <c r="E736" s="184" t="s">
        <v>1397</v>
      </c>
      <c r="F736" s="184" t="s">
        <v>630</v>
      </c>
      <c r="G736" s="184" t="s">
        <v>631</v>
      </c>
      <c r="H736" s="184" t="s">
        <v>676</v>
      </c>
      <c r="I736" s="184" t="s">
        <v>677</v>
      </c>
      <c r="J736" s="184" t="s">
        <v>1398</v>
      </c>
      <c r="K736" s="184" t="s">
        <v>1402</v>
      </c>
      <c r="L736" s="184" t="s">
        <v>1403</v>
      </c>
      <c r="M736" s="184"/>
      <c r="N736" s="184"/>
      <c r="O736" s="184"/>
      <c r="P736" s="184" t="b">
        <v>0</v>
      </c>
    </row>
    <row r="737" spans="1:16" ht="12.75">
      <c r="A737" s="184" t="str">
        <f t="shared" si="32"/>
        <v>KF-TS-FM-VFs-736</v>
      </c>
      <c r="B737" s="184">
        <v>736</v>
      </c>
      <c r="C737" s="184" t="str">
        <f t="shared" si="31"/>
        <v>[01C705] Fueling Volumetric Flow</v>
      </c>
      <c r="D737" s="184" t="s">
        <v>1404</v>
      </c>
      <c r="E737" s="184" t="s">
        <v>1397</v>
      </c>
      <c r="F737" s="184" t="s">
        <v>630</v>
      </c>
      <c r="G737" s="184" t="s">
        <v>631</v>
      </c>
      <c r="H737" s="184" t="s">
        <v>676</v>
      </c>
      <c r="I737" s="184" t="s">
        <v>677</v>
      </c>
      <c r="J737" s="184" t="s">
        <v>1398</v>
      </c>
      <c r="K737" s="184" t="s">
        <v>1405</v>
      </c>
      <c r="L737" s="184" t="s">
        <v>1406</v>
      </c>
      <c r="M737" s="184"/>
      <c r="N737" s="184"/>
      <c r="O737" s="184"/>
      <c r="P737" s="184" t="b">
        <v>0</v>
      </c>
    </row>
    <row r="738" spans="1:16" ht="12.75">
      <c r="A738" s="184" t="str">
        <f t="shared" si="32"/>
        <v>KF-TS-FM-Ts-737</v>
      </c>
      <c r="B738" s="184">
        <v>737</v>
      </c>
      <c r="C738" s="184" t="str">
        <f t="shared" si="31"/>
        <v>[01C705] Fueling Temp</v>
      </c>
      <c r="D738" s="184" t="s">
        <v>1407</v>
      </c>
      <c r="E738" s="184" t="s">
        <v>1397</v>
      </c>
      <c r="F738" s="184" t="s">
        <v>630</v>
      </c>
      <c r="G738" s="184" t="s">
        <v>631</v>
      </c>
      <c r="H738" s="184" t="s">
        <v>676</v>
      </c>
      <c r="I738" s="184" t="s">
        <v>677</v>
      </c>
      <c r="J738" s="184" t="s">
        <v>1398</v>
      </c>
      <c r="K738" s="184" t="s">
        <v>231</v>
      </c>
      <c r="L738" s="184" t="s">
        <v>1408</v>
      </c>
      <c r="M738" s="184"/>
      <c r="N738" s="184"/>
      <c r="O738" s="184"/>
      <c r="P738" s="184" t="b">
        <v>0</v>
      </c>
    </row>
    <row r="739" spans="1:16" ht="12.75">
      <c r="A739" s="184" t="str">
        <f t="shared" si="32"/>
        <v>KF-TS-FM-MFs-738</v>
      </c>
      <c r="B739" s="184">
        <v>738</v>
      </c>
      <c r="C739" s="184" t="str">
        <f t="shared" si="31"/>
        <v>[01C705] Fueling mass flow</v>
      </c>
      <c r="D739" s="184" t="s">
        <v>1409</v>
      </c>
      <c r="E739" s="184" t="s">
        <v>1397</v>
      </c>
      <c r="F739" s="184" t="s">
        <v>630</v>
      </c>
      <c r="G739" s="184" t="s">
        <v>631</v>
      </c>
      <c r="H739" s="184" t="s">
        <v>676</v>
      </c>
      <c r="I739" s="184" t="s">
        <v>677</v>
      </c>
      <c r="J739" s="184" t="s">
        <v>1398</v>
      </c>
      <c r="K739" s="184" t="s">
        <v>678</v>
      </c>
      <c r="L739" s="184" t="s">
        <v>679</v>
      </c>
      <c r="M739" s="184"/>
      <c r="N739" s="184"/>
      <c r="O739" s="184"/>
      <c r="P739" s="184" t="b">
        <v>0</v>
      </c>
    </row>
    <row r="740" spans="1:16" ht="12.75">
      <c r="A740" s="184" t="str">
        <f t="shared" si="32"/>
        <v>KF-TS-HYG-WC-739</v>
      </c>
      <c r="B740" s="184">
        <v>739</v>
      </c>
      <c r="C740" s="184" t="str">
        <f t="shared" si="31"/>
        <v>[01C711] Fueling hygrometer water content</v>
      </c>
      <c r="D740" s="184" t="s">
        <v>1410</v>
      </c>
      <c r="E740" s="184" t="s">
        <v>1411</v>
      </c>
      <c r="F740" s="184" t="s">
        <v>630</v>
      </c>
      <c r="G740" s="184" t="s">
        <v>631</v>
      </c>
      <c r="H740" s="184" t="s">
        <v>942</v>
      </c>
      <c r="I740" s="184" t="s">
        <v>677</v>
      </c>
      <c r="J740" s="184" t="s">
        <v>1398</v>
      </c>
      <c r="K740" s="184" t="s">
        <v>943</v>
      </c>
      <c r="L740" s="184" t="s">
        <v>944</v>
      </c>
      <c r="M740" s="184"/>
      <c r="N740" s="184"/>
      <c r="O740" s="184"/>
      <c r="P740" s="184" t="b">
        <v>0</v>
      </c>
    </row>
    <row r="741" spans="1:16" ht="12.75">
      <c r="A741" s="184" t="str">
        <f t="shared" si="32"/>
        <v>LOX-LS1-FM-MS-740</v>
      </c>
      <c r="B741" s="184">
        <v>740</v>
      </c>
      <c r="C741" s="184" t="str">
        <f t="shared" si="31"/>
        <v>[02C701] LO2 Skid 1 Totaliser</v>
      </c>
      <c r="D741" s="184" t="s">
        <v>1412</v>
      </c>
      <c r="E741" s="184" t="s">
        <v>673</v>
      </c>
      <c r="F741" s="184" t="s">
        <v>674</v>
      </c>
      <c r="G741" s="184" t="s">
        <v>675</v>
      </c>
      <c r="H741" s="184" t="s">
        <v>676</v>
      </c>
      <c r="I741" s="184" t="s">
        <v>677</v>
      </c>
      <c r="J741" s="184" t="s">
        <v>155</v>
      </c>
      <c r="K741" s="184" t="s">
        <v>1399</v>
      </c>
      <c r="L741" s="184" t="s">
        <v>1400</v>
      </c>
      <c r="M741" s="184"/>
      <c r="N741" s="184"/>
      <c r="O741" s="184"/>
      <c r="P741" s="184" t="b">
        <v>0</v>
      </c>
    </row>
    <row r="742" spans="1:16" ht="12.75">
      <c r="A742" s="184" t="str">
        <f t="shared" si="32"/>
        <v>LOX-LS1-FM-Dn-741</v>
      </c>
      <c r="B742" s="184">
        <v>741</v>
      </c>
      <c r="C742" s="184" t="str">
        <f t="shared" si="31"/>
        <v>[02C701] LO2 Skid 1 Density</v>
      </c>
      <c r="D742" s="184" t="s">
        <v>1413</v>
      </c>
      <c r="E742" s="184" t="s">
        <v>673</v>
      </c>
      <c r="F742" s="184" t="s">
        <v>674</v>
      </c>
      <c r="G742" s="184" t="s">
        <v>675</v>
      </c>
      <c r="H742" s="184" t="s">
        <v>676</v>
      </c>
      <c r="I742" s="184" t="s">
        <v>677</v>
      </c>
      <c r="J742" s="184" t="s">
        <v>155</v>
      </c>
      <c r="K742" s="184" t="s">
        <v>1402</v>
      </c>
      <c r="L742" s="184" t="s">
        <v>1403</v>
      </c>
      <c r="M742" s="184"/>
      <c r="N742" s="184"/>
      <c r="O742" s="184"/>
      <c r="P742" s="184" t="b">
        <v>0</v>
      </c>
    </row>
    <row r="743" spans="1:16" ht="12.75">
      <c r="A743" s="184" t="str">
        <f t="shared" si="32"/>
        <v>LOX-LS1-FM-VFs-742</v>
      </c>
      <c r="B743" s="184">
        <v>742</v>
      </c>
      <c r="C743" s="184" t="str">
        <f t="shared" si="31"/>
        <v>[02C701] LO2 Skid 1 Volumetric Flow</v>
      </c>
      <c r="D743" s="184" t="s">
        <v>1414</v>
      </c>
      <c r="E743" s="184" t="s">
        <v>673</v>
      </c>
      <c r="F743" s="184" t="s">
        <v>674</v>
      </c>
      <c r="G743" s="184" t="s">
        <v>675</v>
      </c>
      <c r="H743" s="184" t="s">
        <v>676</v>
      </c>
      <c r="I743" s="184" t="s">
        <v>677</v>
      </c>
      <c r="J743" s="184" t="s">
        <v>155</v>
      </c>
      <c r="K743" s="184" t="s">
        <v>1405</v>
      </c>
      <c r="L743" s="184" t="s">
        <v>1406</v>
      </c>
      <c r="M743" s="184"/>
      <c r="N743" s="184"/>
      <c r="O743" s="184"/>
      <c r="P743" s="184" t="b">
        <v>0</v>
      </c>
    </row>
    <row r="744" spans="1:16" ht="12.75">
      <c r="A744" s="184" t="str">
        <f t="shared" si="32"/>
        <v>LOX-LS1-FM-Ts-743</v>
      </c>
      <c r="B744" s="184">
        <v>743</v>
      </c>
      <c r="C744" s="184" t="str">
        <f t="shared" si="31"/>
        <v>[02C701] LO2 Skid 1 Temp</v>
      </c>
      <c r="D744" s="184" t="s">
        <v>1415</v>
      </c>
      <c r="E744" s="184" t="s">
        <v>673</v>
      </c>
      <c r="F744" s="184" t="s">
        <v>674</v>
      </c>
      <c r="G744" s="184" t="s">
        <v>675</v>
      </c>
      <c r="H744" s="184" t="s">
        <v>676</v>
      </c>
      <c r="I744" s="184" t="s">
        <v>677</v>
      </c>
      <c r="J744" s="184" t="s">
        <v>155</v>
      </c>
      <c r="K744" s="184" t="s">
        <v>231</v>
      </c>
      <c r="L744" s="184" t="s">
        <v>232</v>
      </c>
      <c r="M744" s="184"/>
      <c r="N744" s="184"/>
      <c r="O744" s="184"/>
      <c r="P744" s="184" t="b">
        <v>0</v>
      </c>
    </row>
    <row r="745" spans="1:16" ht="12.75">
      <c r="A745" s="184" t="str">
        <f t="shared" si="32"/>
        <v>LOX-LS1-FM-MFs-744</v>
      </c>
      <c r="B745" s="184">
        <v>744</v>
      </c>
      <c r="C745" s="184" t="str">
        <f t="shared" si="31"/>
        <v>[02C701] LO2 Skid 1 mass flow</v>
      </c>
      <c r="D745" s="184" t="s">
        <v>1416</v>
      </c>
      <c r="E745" s="184" t="s">
        <v>673</v>
      </c>
      <c r="F745" s="184" t="s">
        <v>674</v>
      </c>
      <c r="G745" s="184" t="s">
        <v>675</v>
      </c>
      <c r="H745" s="184" t="s">
        <v>676</v>
      </c>
      <c r="I745" s="184" t="s">
        <v>677</v>
      </c>
      <c r="J745" s="184" t="s">
        <v>155</v>
      </c>
      <c r="K745" s="184" t="s">
        <v>678</v>
      </c>
      <c r="L745" s="184" t="s">
        <v>679</v>
      </c>
      <c r="M745" s="184"/>
      <c r="N745" s="184"/>
      <c r="O745" s="184"/>
      <c r="P745" s="184" t="b">
        <v>0</v>
      </c>
    </row>
    <row r="746" spans="1:16" ht="12.75">
      <c r="A746" s="184" t="str">
        <f t="shared" si="32"/>
        <v>LOX-LS2-FM-MS-745</v>
      </c>
      <c r="B746" s="184">
        <v>745</v>
      </c>
      <c r="C746" s="184" t="str">
        <f t="shared" si="31"/>
        <v>[02C705] LO2 Skid 2 Totaliser</v>
      </c>
      <c r="D746" s="184" t="s">
        <v>1417</v>
      </c>
      <c r="E746" s="184" t="s">
        <v>681</v>
      </c>
      <c r="F746" s="184" t="s">
        <v>674</v>
      </c>
      <c r="G746" s="184" t="s">
        <v>957</v>
      </c>
      <c r="H746" s="184" t="s">
        <v>676</v>
      </c>
      <c r="I746" s="184" t="s">
        <v>677</v>
      </c>
      <c r="J746" s="184" t="s">
        <v>155</v>
      </c>
      <c r="K746" s="184" t="s">
        <v>1399</v>
      </c>
      <c r="L746" s="184" t="s">
        <v>1400</v>
      </c>
      <c r="M746" s="184"/>
      <c r="N746" s="184"/>
      <c r="O746" s="184"/>
      <c r="P746" s="184" t="b">
        <v>0</v>
      </c>
    </row>
    <row r="747" spans="1:16" ht="12.75">
      <c r="A747" s="184" t="str">
        <f t="shared" si="32"/>
        <v>LOX-LS2-FM-Dn-746</v>
      </c>
      <c r="B747" s="184">
        <v>746</v>
      </c>
      <c r="C747" s="184" t="str">
        <f t="shared" si="31"/>
        <v>[02C705] LO2 Skid 2 Density</v>
      </c>
      <c r="D747" s="184" t="s">
        <v>1418</v>
      </c>
      <c r="E747" s="184" t="s">
        <v>681</v>
      </c>
      <c r="F747" s="184" t="s">
        <v>674</v>
      </c>
      <c r="G747" s="184" t="s">
        <v>957</v>
      </c>
      <c r="H747" s="184" t="s">
        <v>676</v>
      </c>
      <c r="I747" s="184" t="s">
        <v>677</v>
      </c>
      <c r="J747" s="184" t="s">
        <v>155</v>
      </c>
      <c r="K747" s="184" t="s">
        <v>1402</v>
      </c>
      <c r="L747" s="184" t="s">
        <v>1403</v>
      </c>
      <c r="M747" s="184"/>
      <c r="N747" s="184"/>
      <c r="O747" s="184"/>
      <c r="P747" s="184" t="b">
        <v>0</v>
      </c>
    </row>
    <row r="748" spans="1:16" ht="12.75">
      <c r="A748" s="184" t="str">
        <f t="shared" si="32"/>
        <v>LOX-LS2-FM-VFs-747</v>
      </c>
      <c r="B748" s="184">
        <v>747</v>
      </c>
      <c r="C748" s="184" t="str">
        <f t="shared" si="31"/>
        <v>[02C705] LO2 Skid 2 Volumetric Flow</v>
      </c>
      <c r="D748" s="184" t="s">
        <v>1419</v>
      </c>
      <c r="E748" s="184" t="s">
        <v>681</v>
      </c>
      <c r="F748" s="184" t="s">
        <v>674</v>
      </c>
      <c r="G748" s="184" t="s">
        <v>957</v>
      </c>
      <c r="H748" s="184" t="s">
        <v>676</v>
      </c>
      <c r="I748" s="184" t="s">
        <v>677</v>
      </c>
      <c r="J748" s="184" t="s">
        <v>155</v>
      </c>
      <c r="K748" s="184" t="s">
        <v>1405</v>
      </c>
      <c r="L748" s="184" t="s">
        <v>1406</v>
      </c>
      <c r="M748" s="184"/>
      <c r="N748" s="184"/>
      <c r="O748" s="184"/>
      <c r="P748" s="184" t="b">
        <v>0</v>
      </c>
    </row>
    <row r="749" spans="1:16" ht="12.75">
      <c r="A749" s="184" t="str">
        <f t="shared" si="32"/>
        <v>LOX-LS2-FM-Ts-748</v>
      </c>
      <c r="B749" s="184">
        <v>748</v>
      </c>
      <c r="C749" s="184" t="str">
        <f t="shared" si="31"/>
        <v>[02C705] LO2 Skid 2 Temp</v>
      </c>
      <c r="D749" s="184" t="s">
        <v>1420</v>
      </c>
      <c r="E749" s="184" t="s">
        <v>681</v>
      </c>
      <c r="F749" s="184" t="s">
        <v>674</v>
      </c>
      <c r="G749" s="184" t="s">
        <v>957</v>
      </c>
      <c r="H749" s="184" t="s">
        <v>676</v>
      </c>
      <c r="I749" s="184" t="s">
        <v>677</v>
      </c>
      <c r="J749" s="184" t="s">
        <v>155</v>
      </c>
      <c r="K749" s="184" t="s">
        <v>231</v>
      </c>
      <c r="L749" s="184" t="s">
        <v>232</v>
      </c>
      <c r="M749" s="184"/>
      <c r="N749" s="184"/>
      <c r="O749" s="184"/>
      <c r="P749" s="184" t="b">
        <v>0</v>
      </c>
    </row>
    <row r="750" spans="1:16" ht="12.75">
      <c r="A750" s="184" t="str">
        <f t="shared" si="32"/>
        <v>LOX-LS2-FM-MFs-749</v>
      </c>
      <c r="B750" s="184">
        <v>749</v>
      </c>
      <c r="C750" s="184" t="str">
        <f t="shared" si="31"/>
        <v>[02C705] LO2 Skid 2 mass flow</v>
      </c>
      <c r="D750" s="184" t="s">
        <v>1421</v>
      </c>
      <c r="E750" s="184" t="s">
        <v>681</v>
      </c>
      <c r="F750" s="184" t="s">
        <v>674</v>
      </c>
      <c r="G750" s="184" t="s">
        <v>957</v>
      </c>
      <c r="H750" s="184" t="s">
        <v>676</v>
      </c>
      <c r="I750" s="184" t="s">
        <v>677</v>
      </c>
      <c r="J750" s="184" t="s">
        <v>155</v>
      </c>
      <c r="K750" s="184" t="s">
        <v>678</v>
      </c>
      <c r="L750" s="184" t="s">
        <v>679</v>
      </c>
      <c r="M750" s="184"/>
      <c r="N750" s="184"/>
      <c r="O750" s="184"/>
      <c r="P750" s="184" t="b">
        <v>0</v>
      </c>
    </row>
    <row r="751" spans="1:16" ht="12.75">
      <c r="A751" s="184" t="str">
        <f t="shared" si="32"/>
        <v>LOX-S1U-FM-MS-750</v>
      </c>
      <c r="B751" s="184">
        <v>750</v>
      </c>
      <c r="C751" s="184" t="str">
        <f t="shared" si="31"/>
        <v>[02C703] LO2 Fill Stage 1 Totaliser</v>
      </c>
      <c r="D751" s="184" t="s">
        <v>1422</v>
      </c>
      <c r="E751" s="184" t="s">
        <v>1423</v>
      </c>
      <c r="F751" s="184" t="s">
        <v>674</v>
      </c>
      <c r="G751" s="184" t="s">
        <v>53</v>
      </c>
      <c r="H751" s="184" t="s">
        <v>676</v>
      </c>
      <c r="I751" s="184" t="s">
        <v>677</v>
      </c>
      <c r="J751" s="184" t="s">
        <v>155</v>
      </c>
      <c r="K751" s="184" t="s">
        <v>1399</v>
      </c>
      <c r="L751" s="184" t="s">
        <v>1400</v>
      </c>
      <c r="M751" s="184"/>
      <c r="N751" s="184"/>
      <c r="O751" s="184"/>
      <c r="P751" s="184" t="b">
        <v>0</v>
      </c>
    </row>
    <row r="752" spans="1:16" ht="12.75">
      <c r="A752" s="184" t="str">
        <f t="shared" si="32"/>
        <v>LOX-S1U-FM-Dn-751</v>
      </c>
      <c r="B752" s="184">
        <v>751</v>
      </c>
      <c r="C752" s="184" t="str">
        <f t="shared" si="31"/>
        <v>[02C703] LO2 Fill Stage 1 Density</v>
      </c>
      <c r="D752" s="184" t="s">
        <v>1424</v>
      </c>
      <c r="E752" s="184" t="s">
        <v>1423</v>
      </c>
      <c r="F752" s="184" t="s">
        <v>674</v>
      </c>
      <c r="G752" s="184" t="s">
        <v>53</v>
      </c>
      <c r="H752" s="184" t="s">
        <v>676</v>
      </c>
      <c r="I752" s="184" t="s">
        <v>677</v>
      </c>
      <c r="J752" s="184" t="s">
        <v>155</v>
      </c>
      <c r="K752" s="184" t="s">
        <v>1402</v>
      </c>
      <c r="L752" s="184" t="s">
        <v>1403</v>
      </c>
      <c r="M752" s="184"/>
      <c r="N752" s="184"/>
      <c r="O752" s="184"/>
      <c r="P752" s="184" t="b">
        <v>0</v>
      </c>
    </row>
    <row r="753" spans="1:16" ht="12.75">
      <c r="A753" s="184" t="str">
        <f t="shared" si="32"/>
        <v>LOX-S1U-FM-VFs-752</v>
      </c>
      <c r="B753" s="184">
        <v>752</v>
      </c>
      <c r="C753" s="184" t="str">
        <f t="shared" si="31"/>
        <v>[02C703] LO2 Fill Stage 1 Volumetric Flow</v>
      </c>
      <c r="D753" s="184" t="s">
        <v>1425</v>
      </c>
      <c r="E753" s="184" t="s">
        <v>1423</v>
      </c>
      <c r="F753" s="184" t="s">
        <v>674</v>
      </c>
      <c r="G753" s="184" t="s">
        <v>53</v>
      </c>
      <c r="H753" s="184" t="s">
        <v>676</v>
      </c>
      <c r="I753" s="184" t="s">
        <v>677</v>
      </c>
      <c r="J753" s="184" t="s">
        <v>155</v>
      </c>
      <c r="K753" s="184" t="s">
        <v>1405</v>
      </c>
      <c r="L753" s="184" t="s">
        <v>1406</v>
      </c>
      <c r="M753" s="184"/>
      <c r="N753" s="184"/>
      <c r="O753" s="184"/>
      <c r="P753" s="184" t="b">
        <v>0</v>
      </c>
    </row>
    <row r="754" spans="1:16" ht="12.75">
      <c r="A754" s="184" t="str">
        <f t="shared" si="32"/>
        <v>LOX-S1U-FM-Ts-753</v>
      </c>
      <c r="B754" s="184">
        <v>753</v>
      </c>
      <c r="C754" s="184" t="str">
        <f t="shared" si="31"/>
        <v>[02C703] LO2 Fill Stage 1 Temp</v>
      </c>
      <c r="D754" s="184" t="s">
        <v>1426</v>
      </c>
      <c r="E754" s="184" t="s">
        <v>1423</v>
      </c>
      <c r="F754" s="184" t="s">
        <v>674</v>
      </c>
      <c r="G754" s="184" t="s">
        <v>53</v>
      </c>
      <c r="H754" s="184" t="s">
        <v>676</v>
      </c>
      <c r="I754" s="184" t="s">
        <v>677</v>
      </c>
      <c r="J754" s="184" t="s">
        <v>155</v>
      </c>
      <c r="K754" s="184" t="s">
        <v>231</v>
      </c>
      <c r="L754" s="184" t="s">
        <v>232</v>
      </c>
      <c r="M754" s="184"/>
      <c r="N754" s="184"/>
      <c r="O754" s="184"/>
      <c r="P754" s="184" t="b">
        <v>0</v>
      </c>
    </row>
    <row r="755" spans="1:16" ht="12.75">
      <c r="A755" s="184" t="str">
        <f t="shared" si="32"/>
        <v>LOX-S1U-FM-MFs-754</v>
      </c>
      <c r="B755" s="184">
        <v>754</v>
      </c>
      <c r="C755" s="184" t="str">
        <f t="shared" si="31"/>
        <v>[02C703] LO2 Fill Stage 1 mass flow</v>
      </c>
      <c r="D755" s="184" t="s">
        <v>1427</v>
      </c>
      <c r="E755" s="184" t="s">
        <v>1423</v>
      </c>
      <c r="F755" s="184" t="s">
        <v>674</v>
      </c>
      <c r="G755" s="184" t="s">
        <v>53</v>
      </c>
      <c r="H755" s="184" t="s">
        <v>676</v>
      </c>
      <c r="I755" s="184" t="s">
        <v>677</v>
      </c>
      <c r="J755" s="184" t="s">
        <v>155</v>
      </c>
      <c r="K755" s="184" t="s">
        <v>678</v>
      </c>
      <c r="L755" s="184" t="s">
        <v>679</v>
      </c>
      <c r="M755" s="184"/>
      <c r="N755" s="184"/>
      <c r="O755" s="184"/>
      <c r="P755" s="184" t="b">
        <v>0</v>
      </c>
    </row>
    <row r="756" spans="1:16" ht="12.75">
      <c r="A756" s="184" t="str">
        <f t="shared" si="32"/>
        <v>LOX-S2U-FM-MS-755</v>
      </c>
      <c r="B756" s="184">
        <v>755</v>
      </c>
      <c r="C756" s="184" t="str">
        <f t="shared" si="31"/>
        <v>[02C704] LO2 Fill Stage 2 Totaliser</v>
      </c>
      <c r="D756" s="184" t="s">
        <v>1428</v>
      </c>
      <c r="E756" s="184" t="s">
        <v>1429</v>
      </c>
      <c r="F756" s="184" t="s">
        <v>674</v>
      </c>
      <c r="G756" s="184" t="s">
        <v>60</v>
      </c>
      <c r="H756" s="184" t="s">
        <v>676</v>
      </c>
      <c r="I756" s="184" t="s">
        <v>677</v>
      </c>
      <c r="J756" s="184" t="s">
        <v>155</v>
      </c>
      <c r="K756" s="184" t="s">
        <v>1399</v>
      </c>
      <c r="L756" s="184" t="s">
        <v>1400</v>
      </c>
      <c r="M756" s="184"/>
      <c r="N756" s="184"/>
      <c r="O756" s="184"/>
      <c r="P756" s="184" t="b">
        <v>0</v>
      </c>
    </row>
    <row r="757" spans="1:16" ht="12.75">
      <c r="A757" s="184" t="str">
        <f t="shared" si="32"/>
        <v>LOX-S2U-FM-Dn-756</v>
      </c>
      <c r="B757" s="184">
        <v>756</v>
      </c>
      <c r="C757" s="184" t="str">
        <f t="shared" si="31"/>
        <v>[02C704] LO2 Fill Stage 2 Density</v>
      </c>
      <c r="D757" s="184" t="s">
        <v>1430</v>
      </c>
      <c r="E757" s="184" t="s">
        <v>1429</v>
      </c>
      <c r="F757" s="184" t="s">
        <v>674</v>
      </c>
      <c r="G757" s="184" t="s">
        <v>60</v>
      </c>
      <c r="H757" s="184" t="s">
        <v>676</v>
      </c>
      <c r="I757" s="184" t="s">
        <v>677</v>
      </c>
      <c r="J757" s="184" t="s">
        <v>155</v>
      </c>
      <c r="K757" s="184" t="s">
        <v>1402</v>
      </c>
      <c r="L757" s="184" t="s">
        <v>1403</v>
      </c>
      <c r="M757" s="184"/>
      <c r="N757" s="184"/>
      <c r="O757" s="184"/>
      <c r="P757" s="184" t="b">
        <v>0</v>
      </c>
    </row>
    <row r="758" spans="1:16" ht="12.75">
      <c r="A758" s="184" t="str">
        <f t="shared" si="32"/>
        <v>LOX-S2U-FM-VFs-757</v>
      </c>
      <c r="B758" s="184">
        <v>757</v>
      </c>
      <c r="C758" s="184" t="str">
        <f t="shared" si="31"/>
        <v>[02C704] LO2 Fill Stage 2 Volumetric Flow</v>
      </c>
      <c r="D758" s="184" t="s">
        <v>1431</v>
      </c>
      <c r="E758" s="184" t="s">
        <v>1429</v>
      </c>
      <c r="F758" s="184" t="s">
        <v>674</v>
      </c>
      <c r="G758" s="184" t="s">
        <v>60</v>
      </c>
      <c r="H758" s="184" t="s">
        <v>676</v>
      </c>
      <c r="I758" s="184" t="s">
        <v>677</v>
      </c>
      <c r="J758" s="184" t="s">
        <v>155</v>
      </c>
      <c r="K758" s="184" t="s">
        <v>1405</v>
      </c>
      <c r="L758" s="184" t="s">
        <v>1406</v>
      </c>
      <c r="M758" s="184"/>
      <c r="N758" s="184"/>
      <c r="O758" s="184"/>
      <c r="P758" s="184" t="b">
        <v>0</v>
      </c>
    </row>
    <row r="759" spans="1:16" ht="12.75">
      <c r="A759" s="184" t="str">
        <f t="shared" si="32"/>
        <v>LOX-S2U-FM-Ts-758</v>
      </c>
      <c r="B759" s="184">
        <v>758</v>
      </c>
      <c r="C759" s="184" t="str">
        <f t="shared" si="31"/>
        <v>[02C704] LO2 Fill Stage 2 Temp</v>
      </c>
      <c r="D759" s="184" t="s">
        <v>1432</v>
      </c>
      <c r="E759" s="184" t="s">
        <v>1429</v>
      </c>
      <c r="F759" s="184" t="s">
        <v>674</v>
      </c>
      <c r="G759" s="184" t="s">
        <v>60</v>
      </c>
      <c r="H759" s="184" t="s">
        <v>676</v>
      </c>
      <c r="I759" s="184" t="s">
        <v>677</v>
      </c>
      <c r="J759" s="184" t="s">
        <v>155</v>
      </c>
      <c r="K759" s="184" t="s">
        <v>231</v>
      </c>
      <c r="L759" s="184" t="s">
        <v>232</v>
      </c>
      <c r="M759" s="184"/>
      <c r="N759" s="184"/>
      <c r="O759" s="184"/>
      <c r="P759" s="184" t="b">
        <v>0</v>
      </c>
    </row>
    <row r="760" spans="1:16" ht="12.75">
      <c r="A760" s="184" t="str">
        <f t="shared" si="32"/>
        <v>LOX-S2U-FM-MFs-759</v>
      </c>
      <c r="B760" s="184">
        <v>759</v>
      </c>
      <c r="C760" s="184" t="str">
        <f t="shared" si="31"/>
        <v>[02C704] LO2 Fill Stage 2 mass flow</v>
      </c>
      <c r="D760" s="184" t="s">
        <v>1433</v>
      </c>
      <c r="E760" s="184" t="s">
        <v>1429</v>
      </c>
      <c r="F760" s="184" t="s">
        <v>674</v>
      </c>
      <c r="G760" s="184" t="s">
        <v>60</v>
      </c>
      <c r="H760" s="184" t="s">
        <v>676</v>
      </c>
      <c r="I760" s="184" t="s">
        <v>677</v>
      </c>
      <c r="J760" s="184" t="s">
        <v>155</v>
      </c>
      <c r="K760" s="184" t="s">
        <v>678</v>
      </c>
      <c r="L760" s="184" t="s">
        <v>679</v>
      </c>
      <c r="M760" s="184"/>
      <c r="N760" s="184"/>
      <c r="O760" s="184"/>
      <c r="P760" s="184" t="b">
        <v>0</v>
      </c>
    </row>
    <row r="761" spans="1:16" ht="14.25">
      <c r="A761" s="184" t="str">
        <f t="shared" si="32"/>
        <v>MEC-CL-PRS-Ps-760</v>
      </c>
      <c r="B761" s="184">
        <v>760</v>
      </c>
      <c r="C761" s="184" t="str">
        <f t="shared" si="31"/>
        <v>[05C971] Clamp lock - Locked Pressure</v>
      </c>
      <c r="D761" s="184" t="s">
        <v>1434</v>
      </c>
      <c r="E761" s="177" t="s">
        <v>1435</v>
      </c>
      <c r="F761" s="184" t="s">
        <v>853</v>
      </c>
      <c r="G761" s="184" t="s">
        <v>529</v>
      </c>
      <c r="H761" s="184" t="s">
        <v>54</v>
      </c>
      <c r="I761" s="184" t="s">
        <v>55</v>
      </c>
      <c r="J761" s="184" t="s">
        <v>1436</v>
      </c>
      <c r="K761" s="184" t="s">
        <v>56</v>
      </c>
      <c r="L761" s="184" t="s">
        <v>869</v>
      </c>
      <c r="M761" s="184"/>
      <c r="N761" s="184"/>
      <c r="O761" s="184"/>
      <c r="P761" s="184" t="b">
        <v>0</v>
      </c>
    </row>
    <row r="762" spans="1:16" ht="14.25">
      <c r="A762" s="184" t="str">
        <f t="shared" si="32"/>
        <v>MEC-CL-PRS-Ps-761</v>
      </c>
      <c r="B762" s="184">
        <v>761</v>
      </c>
      <c r="C762" s="184" t="str">
        <f t="shared" si="31"/>
        <v>[05C972] Clamp lock - Unlocked Pressure</v>
      </c>
      <c r="D762" s="184" t="s">
        <v>1437</v>
      </c>
      <c r="E762" s="177" t="s">
        <v>1438</v>
      </c>
      <c r="F762" s="184" t="s">
        <v>853</v>
      </c>
      <c r="G762" s="184" t="s">
        <v>529</v>
      </c>
      <c r="H762" s="184" t="s">
        <v>54</v>
      </c>
      <c r="I762" s="184" t="s">
        <v>55</v>
      </c>
      <c r="J762" s="184" t="s">
        <v>1436</v>
      </c>
      <c r="K762" s="184" t="s">
        <v>56</v>
      </c>
      <c r="L762" s="184" t="s">
        <v>869</v>
      </c>
      <c r="M762" s="184"/>
      <c r="N762" s="184"/>
      <c r="O762" s="184"/>
      <c r="P762" s="184" t="b">
        <v>0</v>
      </c>
    </row>
    <row r="763" spans="1:16" ht="12.75">
      <c r="A763" s="184" t="str">
        <f t="shared" si="32"/>
        <v>FARU-MA-PRS-Ps-762</v>
      </c>
      <c r="B763" s="184">
        <v>762</v>
      </c>
      <c r="C763" s="184" t="str">
        <f t="shared" si="31"/>
        <v>[05C970] Faring Umbilical Muscle Pressure</v>
      </c>
      <c r="D763" s="184" t="s">
        <v>1439</v>
      </c>
      <c r="E763" s="184" t="s">
        <v>1440</v>
      </c>
      <c r="F763" s="184" t="s">
        <v>1166</v>
      </c>
      <c r="G763" s="184" t="s">
        <v>1228</v>
      </c>
      <c r="H763" s="184" t="s">
        <v>54</v>
      </c>
      <c r="I763" s="184" t="s">
        <v>55</v>
      </c>
      <c r="J763" s="184" t="s">
        <v>1436</v>
      </c>
      <c r="K763" s="184" t="s">
        <v>56</v>
      </c>
      <c r="L763" s="184" t="s">
        <v>869</v>
      </c>
      <c r="M763" s="184"/>
      <c r="N763" s="184"/>
      <c r="O763" s="184"/>
      <c r="P763" s="184" t="b">
        <v>0</v>
      </c>
    </row>
    <row r="764" spans="1:16" ht="12.75">
      <c r="A764" s="184" t="str">
        <f t="shared" si="32"/>
        <v>LOX-AUX-RTD-Ts-763</v>
      </c>
      <c r="B764" s="184">
        <v>763</v>
      </c>
      <c r="C764" s="184" t="str">
        <f t="shared" si="31"/>
        <v>[NA] Lox Skid Spare RTD</v>
      </c>
      <c r="D764" s="184" t="s">
        <v>1441</v>
      </c>
      <c r="E764" s="184" t="s">
        <v>1442</v>
      </c>
      <c r="F764" s="184" t="s">
        <v>674</v>
      </c>
      <c r="G764" s="184" t="s">
        <v>282</v>
      </c>
      <c r="H764" s="184" t="s">
        <v>283</v>
      </c>
      <c r="I764" s="184" t="s">
        <v>55</v>
      </c>
      <c r="J764" s="184"/>
      <c r="K764" s="184" t="s">
        <v>231</v>
      </c>
      <c r="L764" s="184" t="s">
        <v>232</v>
      </c>
      <c r="M764" s="184"/>
      <c r="N764" s="184"/>
      <c r="O764" s="184"/>
      <c r="P764" s="184" t="b">
        <v>0</v>
      </c>
    </row>
    <row r="765" spans="1:16" ht="12.75">
      <c r="A765" s="184" t="str">
        <f t="shared" si="32"/>
        <v>LOX-AUX-RTD-Ts-764</v>
      </c>
      <c r="B765" s="184">
        <v>764</v>
      </c>
      <c r="C765" s="184" t="str">
        <f t="shared" si="31"/>
        <v>[NA] Lox Skid Spare RTD</v>
      </c>
      <c r="D765" s="184" t="s">
        <v>1441</v>
      </c>
      <c r="E765" s="184" t="s">
        <v>1442</v>
      </c>
      <c r="F765" s="184" t="s">
        <v>674</v>
      </c>
      <c r="G765" s="184" t="s">
        <v>282</v>
      </c>
      <c r="H765" s="184" t="s">
        <v>283</v>
      </c>
      <c r="I765" s="184" t="s">
        <v>55</v>
      </c>
      <c r="J765" s="184"/>
      <c r="K765" s="184" t="s">
        <v>231</v>
      </c>
      <c r="L765" s="184" t="s">
        <v>232</v>
      </c>
      <c r="M765" s="184"/>
      <c r="N765" s="184"/>
      <c r="O765" s="184"/>
      <c r="P765" s="184" t="b">
        <v>0</v>
      </c>
    </row>
    <row r="766" spans="1:16" ht="12.75">
      <c r="A766" s="184" t="str">
        <f t="shared" ref="A766:A797" si="33">CONCATENATE(VLOOKUP(F766,Systems,2,FALSE),"-",VLOOKUP(G766,Subsystems,2,FALSE),"-",VLOOKUP(H766,Components,2,FALSE),"-",VLOOKUP(K766,Metrics,2,FALSE),"-",B766)</f>
        <v>TMP-ZT-RTD-Ts-765</v>
      </c>
      <c r="B766" s="184">
        <v>765</v>
      </c>
      <c r="C766" s="184" t="str">
        <f t="shared" si="31"/>
        <v>[TMP-ZT-RTD-Ts-765] S1 Umbilical (B) Temp</v>
      </c>
      <c r="D766" s="184" t="s">
        <v>1443</v>
      </c>
      <c r="E766" s="184" t="str">
        <f>A766</f>
        <v>TMP-ZT-RTD-Ts-765</v>
      </c>
      <c r="F766" s="184" t="s">
        <v>1366</v>
      </c>
      <c r="G766" s="184" t="s">
        <v>1367</v>
      </c>
      <c r="H766" s="184" t="s">
        <v>283</v>
      </c>
      <c r="I766" s="184" t="s">
        <v>284</v>
      </c>
      <c r="J766" s="184"/>
      <c r="K766" s="184" t="s">
        <v>231</v>
      </c>
      <c r="L766" s="184" t="s">
        <v>232</v>
      </c>
      <c r="M766" s="184"/>
      <c r="N766" s="184"/>
      <c r="O766" s="184"/>
      <c r="P766" s="184" t="b">
        <v>0</v>
      </c>
    </row>
    <row r="767" spans="1:16" ht="12.75" hidden="1">
      <c r="A767" s="184" t="str">
        <f t="shared" si="33"/>
        <v>HVBH-CTRL-CT-B-766</v>
      </c>
      <c r="B767" s="184">
        <v>766</v>
      </c>
      <c r="C767" s="184" t="str">
        <f t="shared" si="31"/>
        <v>[HVBH-CTRL-CT-B-766] Battery Heaters Control Contact - Enable</v>
      </c>
      <c r="D767" s="184" t="s">
        <v>1444</v>
      </c>
      <c r="E767" s="184" t="str">
        <f>A767</f>
        <v>HVBH-CTRL-CT-B-766</v>
      </c>
      <c r="F767" s="184" t="s">
        <v>162</v>
      </c>
      <c r="G767" s="184" t="s">
        <v>865</v>
      </c>
      <c r="H767" s="184" t="s">
        <v>320</v>
      </c>
      <c r="I767" s="184" t="s">
        <v>48</v>
      </c>
      <c r="J767" s="184" t="s">
        <v>1393</v>
      </c>
      <c r="K767" s="184" t="s">
        <v>104</v>
      </c>
      <c r="L767" s="184" t="s">
        <v>50</v>
      </c>
      <c r="M767" s="184"/>
      <c r="N767" s="184"/>
      <c r="O767" s="184"/>
      <c r="P767" s="184" t="b">
        <v>0</v>
      </c>
    </row>
    <row r="768" spans="1:16" ht="12.75" hidden="1">
      <c r="A768" s="184" t="str">
        <f t="shared" si="33"/>
        <v>HVBH-CTRL-AxCt-B-767</v>
      </c>
      <c r="B768" s="184">
        <v>767</v>
      </c>
      <c r="C768" s="184" t="str">
        <f t="shared" si="31"/>
        <v>[HVBH-CTRL-AxCt-B-767] Battery Heaters Control Contact - State Feedback</v>
      </c>
      <c r="D768" s="184" t="s">
        <v>1445</v>
      </c>
      <c r="E768" s="184" t="str">
        <f>A768</f>
        <v>HVBH-CTRL-AxCt-B-767</v>
      </c>
      <c r="F768" s="184" t="s">
        <v>162</v>
      </c>
      <c r="G768" s="184" t="s">
        <v>865</v>
      </c>
      <c r="H768" s="184" t="s">
        <v>72</v>
      </c>
      <c r="I768" s="184" t="s">
        <v>73</v>
      </c>
      <c r="J768" s="184" t="s">
        <v>1393</v>
      </c>
      <c r="K768" s="184" t="s">
        <v>104</v>
      </c>
      <c r="L768" s="184" t="s">
        <v>50</v>
      </c>
      <c r="M768" s="184"/>
      <c r="N768" s="184"/>
      <c r="O768" s="184"/>
      <c r="P768" s="184" t="b">
        <v>0</v>
      </c>
    </row>
    <row r="769" spans="1:16" ht="12.75">
      <c r="A769" s="184" t="str">
        <f t="shared" si="33"/>
        <v>EXM--OXS-Ox-768</v>
      </c>
      <c r="B769" s="184">
        <v>768</v>
      </c>
      <c r="C769" s="184" t="str">
        <f t="shared" si="31"/>
        <v>[33C908] Launch Mount Base - south side - oxygen content monitoring - this signal terminates at the beacon 800 base station in the south vault</v>
      </c>
      <c r="D769" s="184" t="s">
        <v>1446</v>
      </c>
      <c r="E769" s="184" t="s">
        <v>1447</v>
      </c>
      <c r="F769" s="184" t="s">
        <v>1448</v>
      </c>
      <c r="G769" s="184" t="s">
        <v>71</v>
      </c>
      <c r="H769" s="184" t="s">
        <v>1449</v>
      </c>
      <c r="I769" s="184" t="s">
        <v>55</v>
      </c>
      <c r="J769" s="184" t="s">
        <v>1450</v>
      </c>
      <c r="K769" s="184" t="s">
        <v>1451</v>
      </c>
      <c r="L769" s="184" t="s">
        <v>1452</v>
      </c>
      <c r="M769" s="184"/>
      <c r="N769" s="184"/>
      <c r="O769" s="184"/>
      <c r="P769" s="184" t="b">
        <v>0</v>
      </c>
    </row>
    <row r="770" spans="1:16" ht="12.75">
      <c r="A770" s="184" t="str">
        <f t="shared" si="33"/>
        <v>EXM--OXS-Ox-769</v>
      </c>
      <c r="B770" s="184">
        <v>769</v>
      </c>
      <c r="C770" s="184" t="str">
        <f t="shared" si="31"/>
        <v>[33C909] Launch Mount Base - south side - oxygen content monitoring - this signal terminates at the beacon 800 base station in the south vault</v>
      </c>
      <c r="D770" s="184" t="s">
        <v>1446</v>
      </c>
      <c r="E770" s="184" t="s">
        <v>1453</v>
      </c>
      <c r="F770" s="184" t="s">
        <v>1448</v>
      </c>
      <c r="G770" s="184" t="s">
        <v>71</v>
      </c>
      <c r="H770" s="184" t="s">
        <v>1449</v>
      </c>
      <c r="I770" s="184" t="s">
        <v>55</v>
      </c>
      <c r="J770" s="184" t="s">
        <v>1450</v>
      </c>
      <c r="K770" s="184" t="s">
        <v>1451</v>
      </c>
      <c r="L770" s="184" t="s">
        <v>1452</v>
      </c>
      <c r="M770" s="184"/>
      <c r="N770" s="184"/>
      <c r="O770" s="184"/>
      <c r="P770" s="184" t="b">
        <v>0</v>
      </c>
    </row>
    <row r="771" spans="1:16" ht="12.75">
      <c r="A771" s="184" t="str">
        <f t="shared" si="33"/>
        <v>EXM--LEL-MLEL-770</v>
      </c>
      <c r="B771" s="184">
        <v>770</v>
      </c>
      <c r="C771" s="184" t="str">
        <f>_xlfn.TEXTJOIN("", TRUE, "[", E771,"] ",D771)</f>
        <v>[33C906] Launch Mount Base - south west side - methane content monitoring - this signal terminates at the beacon 800 base station in the south vault</v>
      </c>
      <c r="D771" s="184" t="s">
        <v>1454</v>
      </c>
      <c r="E771" s="184" t="s">
        <v>1455</v>
      </c>
      <c r="F771" s="184" t="s">
        <v>1448</v>
      </c>
      <c r="G771" s="184" t="s">
        <v>71</v>
      </c>
      <c r="H771" s="184" t="s">
        <v>1456</v>
      </c>
      <c r="I771" s="184" t="s">
        <v>55</v>
      </c>
      <c r="J771" s="184" t="s">
        <v>1450</v>
      </c>
      <c r="K771" s="184" t="s">
        <v>1457</v>
      </c>
      <c r="L771" s="184" t="s">
        <v>1458</v>
      </c>
      <c r="M771" s="184"/>
      <c r="N771" s="184"/>
      <c r="O771" s="184"/>
      <c r="P771" s="184" t="b">
        <v>0</v>
      </c>
    </row>
    <row r="772" spans="1:16" ht="12.75">
      <c r="A772" s="184" t="str">
        <f t="shared" si="33"/>
        <v>EXM--LEL-MLEL-771</v>
      </c>
      <c r="B772" s="184">
        <v>771</v>
      </c>
      <c r="C772" s="184" t="str">
        <f t="shared" si="31"/>
        <v>[33C907] Launch Mount Base - south west side - methane content monitoring - this signal terminates at the beacon 800 base station in the south vault</v>
      </c>
      <c r="D772" s="184" t="s">
        <v>1454</v>
      </c>
      <c r="E772" s="184" t="s">
        <v>1459</v>
      </c>
      <c r="F772" s="184" t="s">
        <v>1448</v>
      </c>
      <c r="G772" s="184" t="s">
        <v>71</v>
      </c>
      <c r="H772" s="184" t="s">
        <v>1456</v>
      </c>
      <c r="I772" s="184" t="s">
        <v>55</v>
      </c>
      <c r="J772" s="184" t="s">
        <v>1450</v>
      </c>
      <c r="K772" s="184" t="s">
        <v>1457</v>
      </c>
      <c r="L772" s="184" t="s">
        <v>1458</v>
      </c>
      <c r="M772" s="184"/>
      <c r="N772" s="184"/>
      <c r="O772" s="184"/>
      <c r="P772" s="184" t="b">
        <v>0</v>
      </c>
    </row>
    <row r="773" spans="1:16" ht="12.75">
      <c r="A773" s="184" t="str">
        <f t="shared" si="33"/>
        <v>EXM--LEL-GLEL-772</v>
      </c>
      <c r="B773" s="184">
        <v>772</v>
      </c>
      <c r="C773" s="184" t="str">
        <f t="shared" si="31"/>
        <v>[33C904] Launch Mount Base - south side - hydrocarbon content monitoring - near hydraulic sump pump - this signal terminates at the beacon 800 base station in the south vault</v>
      </c>
      <c r="D773" s="184" t="s">
        <v>1460</v>
      </c>
      <c r="E773" s="184" t="s">
        <v>1461</v>
      </c>
      <c r="F773" s="184" t="s">
        <v>1448</v>
      </c>
      <c r="G773" s="184" t="s">
        <v>71</v>
      </c>
      <c r="H773" s="184" t="s">
        <v>1456</v>
      </c>
      <c r="I773" s="184" t="s">
        <v>55</v>
      </c>
      <c r="J773" s="184" t="s">
        <v>1450</v>
      </c>
      <c r="K773" s="184" t="s">
        <v>1462</v>
      </c>
      <c r="L773" s="184" t="s">
        <v>1458</v>
      </c>
      <c r="M773" s="184"/>
      <c r="N773" s="184"/>
      <c r="O773" s="184"/>
      <c r="P773" s="184" t="b">
        <v>0</v>
      </c>
    </row>
    <row r="774" spans="1:16" ht="12.75">
      <c r="A774" s="184" t="str">
        <f t="shared" si="33"/>
        <v>EXM--LEL-GLEL-773</v>
      </c>
      <c r="B774" s="184">
        <v>773</v>
      </c>
      <c r="C774" s="184" t="str">
        <f t="shared" si="31"/>
        <v>[33C905] Launch Mount Base - south side - hydrocarbon content monitoring - near hydraulic sump pump - this signal terminates at the beacon 800 base station in the south vault</v>
      </c>
      <c r="D774" s="184" t="s">
        <v>1460</v>
      </c>
      <c r="E774" s="184" t="s">
        <v>1463</v>
      </c>
      <c r="F774" s="184" t="s">
        <v>1448</v>
      </c>
      <c r="G774" s="184" t="s">
        <v>71</v>
      </c>
      <c r="H774" s="184" t="s">
        <v>1456</v>
      </c>
      <c r="I774" s="184" t="s">
        <v>55</v>
      </c>
      <c r="J774" s="184" t="s">
        <v>1450</v>
      </c>
      <c r="K774" s="184" t="s">
        <v>1462</v>
      </c>
      <c r="L774" s="184" t="s">
        <v>1458</v>
      </c>
      <c r="M774" s="184"/>
      <c r="N774" s="184"/>
      <c r="O774" s="184"/>
      <c r="P774" s="184" t="b">
        <v>0</v>
      </c>
    </row>
    <row r="775" spans="1:16" ht="12.75">
      <c r="A775" s="184" t="str">
        <f t="shared" si="33"/>
        <v>EXM--LEL-GLEL-774</v>
      </c>
      <c r="B775" s="184">
        <v>774</v>
      </c>
      <c r="C775" s="184" t="str">
        <f t="shared" si="31"/>
        <v>[33C902] Launch Mount Base - north side - hydrocarbon content monitoring - near hydraulic sump pump - this signal terminates at the beacon 800 base station in the south vault</v>
      </c>
      <c r="D775" s="184" t="s">
        <v>1464</v>
      </c>
      <c r="E775" s="184" t="s">
        <v>1465</v>
      </c>
      <c r="F775" s="184" t="s">
        <v>1448</v>
      </c>
      <c r="G775" s="184" t="s">
        <v>71</v>
      </c>
      <c r="H775" s="184" t="s">
        <v>1456</v>
      </c>
      <c r="I775" s="184" t="s">
        <v>55</v>
      </c>
      <c r="J775" s="184" t="s">
        <v>1450</v>
      </c>
      <c r="K775" s="184" t="s">
        <v>1462</v>
      </c>
      <c r="L775" s="184" t="s">
        <v>1458</v>
      </c>
      <c r="M775" s="184"/>
      <c r="N775" s="184"/>
      <c r="O775" s="184"/>
      <c r="P775" s="184" t="b">
        <v>0</v>
      </c>
    </row>
    <row r="776" spans="1:16" ht="12.75">
      <c r="A776" s="184" t="str">
        <f t="shared" si="33"/>
        <v>EXM--LEL-GLEL-775</v>
      </c>
      <c r="B776" s="184">
        <v>775</v>
      </c>
      <c r="C776" s="184" t="str">
        <f t="shared" si="31"/>
        <v>[33C903] Launch Mount Base - north side - hydrocarbon content monitoring - near hydraulic sump pump - this signal terminates at the beacon 800 base station in the south vault</v>
      </c>
      <c r="D776" s="184" t="s">
        <v>1464</v>
      </c>
      <c r="E776" s="184" t="s">
        <v>1466</v>
      </c>
      <c r="F776" s="184" t="s">
        <v>1448</v>
      </c>
      <c r="G776" s="184" t="s">
        <v>71</v>
      </c>
      <c r="H776" s="184" t="s">
        <v>1456</v>
      </c>
      <c r="I776" s="184" t="s">
        <v>55</v>
      </c>
      <c r="J776" s="184" t="s">
        <v>1450</v>
      </c>
      <c r="K776" s="184" t="s">
        <v>1462</v>
      </c>
      <c r="L776" s="184" t="s">
        <v>1458</v>
      </c>
      <c r="M776" s="184"/>
      <c r="N776" s="184"/>
      <c r="O776" s="184"/>
      <c r="P776" s="184" t="b">
        <v>0</v>
      </c>
    </row>
    <row r="777" spans="1:16" ht="12.75">
      <c r="A777" s="184" t="str">
        <f t="shared" si="33"/>
        <v>AG-S2-DVL-Pos-776</v>
      </c>
      <c r="B777" s="184">
        <v>776</v>
      </c>
      <c r="C777" s="184" t="str">
        <f t="shared" si="31"/>
        <v>[04C388] Anti Geysering S2 Auxiliary</v>
      </c>
      <c r="D777" s="184" t="s">
        <v>1467</v>
      </c>
      <c r="E777" s="184" t="s">
        <v>1468</v>
      </c>
      <c r="F777" s="184" t="s">
        <v>45</v>
      </c>
      <c r="G777" s="184" t="s">
        <v>913</v>
      </c>
      <c r="H777" s="184" t="s">
        <v>47</v>
      </c>
      <c r="I777" s="184" t="s">
        <v>48</v>
      </c>
      <c r="J777" s="184" t="s">
        <v>1393</v>
      </c>
      <c r="K777" s="184" t="s">
        <v>49</v>
      </c>
      <c r="L777" s="184"/>
      <c r="M777" s="184"/>
      <c r="N777" s="184"/>
      <c r="O777" s="184"/>
      <c r="P777" s="184" t="b">
        <v>0</v>
      </c>
    </row>
    <row r="778" spans="1:16" ht="12.75">
      <c r="A778" s="184" t="str">
        <f t="shared" si="33"/>
        <v>KF-TS-HYG-WA-777</v>
      </c>
      <c r="B778" s="184">
        <v>777</v>
      </c>
      <c r="C778" s="184" t="str">
        <f t="shared" ref="C778:C809" si="34">_xlfn.TEXTJOIN("", TRUE, "[", E778,"] ",D778)</f>
        <v>[01C711] Fueling hygrometer water activity</v>
      </c>
      <c r="D778" s="184" t="s">
        <v>1469</v>
      </c>
      <c r="E778" s="184" t="s">
        <v>1411</v>
      </c>
      <c r="F778" s="184" t="s">
        <v>630</v>
      </c>
      <c r="G778" s="184" t="s">
        <v>631</v>
      </c>
      <c r="H778" s="184" t="s">
        <v>942</v>
      </c>
      <c r="I778" s="184" t="s">
        <v>677</v>
      </c>
      <c r="J778" s="184" t="s">
        <v>1398</v>
      </c>
      <c r="K778" s="184" t="s">
        <v>1470</v>
      </c>
      <c r="L778" s="184"/>
      <c r="M778" s="184"/>
      <c r="N778" s="184"/>
      <c r="O778" s="184"/>
      <c r="P778" s="184" t="b">
        <v>0</v>
      </c>
    </row>
    <row r="779" spans="1:16" ht="12.75">
      <c r="A779" s="184" t="str">
        <f t="shared" si="33"/>
        <v>KF-TS-HYG-Ts-778</v>
      </c>
      <c r="B779" s="184">
        <v>778</v>
      </c>
      <c r="C779" s="184" t="str">
        <f t="shared" si="34"/>
        <v>[01C711] Fueling hygrometer temperature</v>
      </c>
      <c r="D779" s="184" t="s">
        <v>1471</v>
      </c>
      <c r="E779" s="184" t="s">
        <v>1411</v>
      </c>
      <c r="F779" s="184" t="s">
        <v>630</v>
      </c>
      <c r="G779" s="184" t="s">
        <v>631</v>
      </c>
      <c r="H779" s="184" t="s">
        <v>942</v>
      </c>
      <c r="I779" s="184" t="s">
        <v>677</v>
      </c>
      <c r="J779" s="184" t="s">
        <v>1398</v>
      </c>
      <c r="K779" s="184" t="s">
        <v>231</v>
      </c>
      <c r="L779" s="184" t="s">
        <v>232</v>
      </c>
      <c r="M779" s="184"/>
      <c r="N779" s="184"/>
      <c r="O779" s="184"/>
      <c r="P779" s="184" t="b">
        <v>0</v>
      </c>
    </row>
    <row r="780" spans="1:16" ht="12.75">
      <c r="A780" s="184" t="str">
        <f t="shared" si="33"/>
        <v>KF-TS-FM-Vs-779</v>
      </c>
      <c r="B780" s="184">
        <v>779</v>
      </c>
      <c r="C780" s="184" t="str">
        <f t="shared" si="34"/>
        <v>[01C705] Fueling Volumetric Flow</v>
      </c>
      <c r="D780" s="184" t="s">
        <v>1404</v>
      </c>
      <c r="E780" s="184" t="s">
        <v>1397</v>
      </c>
      <c r="F780" s="184" t="s">
        <v>630</v>
      </c>
      <c r="G780" s="184" t="s">
        <v>631</v>
      </c>
      <c r="H780" s="184" t="s">
        <v>676</v>
      </c>
      <c r="I780" s="184" t="s">
        <v>677</v>
      </c>
      <c r="J780" s="184" t="s">
        <v>1398</v>
      </c>
      <c r="K780" s="184" t="s">
        <v>1472</v>
      </c>
      <c r="L780" s="184" t="s">
        <v>1473</v>
      </c>
      <c r="M780" s="184"/>
      <c r="N780" s="184"/>
      <c r="O780" s="184"/>
      <c r="P780" s="184" t="b">
        <v>0</v>
      </c>
    </row>
    <row r="781" spans="1:16" ht="12.75" hidden="1">
      <c r="A781" s="184" t="str">
        <f t="shared" si="33"/>
        <v>KF-TS-FM-B-780</v>
      </c>
      <c r="B781" s="184">
        <v>780</v>
      </c>
      <c r="C781" s="184" t="str">
        <f t="shared" si="34"/>
        <v>[01C705] Totaliser Reset</v>
      </c>
      <c r="D781" s="184" t="s">
        <v>1474</v>
      </c>
      <c r="E781" s="184" t="s">
        <v>1397</v>
      </c>
      <c r="F781" s="184" t="s">
        <v>630</v>
      </c>
      <c r="G781" s="184" t="s">
        <v>631</v>
      </c>
      <c r="H781" s="184" t="s">
        <v>676</v>
      </c>
      <c r="I781" s="184" t="s">
        <v>677</v>
      </c>
      <c r="J781" s="184" t="s">
        <v>1398</v>
      </c>
      <c r="K781" s="184" t="s">
        <v>104</v>
      </c>
      <c r="L781" s="184" t="s">
        <v>50</v>
      </c>
      <c r="M781" s="184"/>
      <c r="N781" s="184"/>
      <c r="O781" s="184"/>
      <c r="P781" s="184" t="b">
        <v>0</v>
      </c>
    </row>
    <row r="782" spans="1:16" ht="12.75">
      <c r="A782" s="184" t="str">
        <f t="shared" si="33"/>
        <v>KF-TS-HYG-WC-781</v>
      </c>
      <c r="B782" s="184">
        <v>781</v>
      </c>
      <c r="C782" s="184" t="str">
        <f t="shared" si="34"/>
        <v>[01C712] Fueling hygrometer water content</v>
      </c>
      <c r="D782" s="184" t="s">
        <v>1410</v>
      </c>
      <c r="E782" s="184" t="s">
        <v>1475</v>
      </c>
      <c r="F782" s="184" t="s">
        <v>630</v>
      </c>
      <c r="G782" s="184" t="s">
        <v>631</v>
      </c>
      <c r="H782" s="184" t="s">
        <v>942</v>
      </c>
      <c r="I782" s="184" t="s">
        <v>677</v>
      </c>
      <c r="J782" s="184" t="s">
        <v>1398</v>
      </c>
      <c r="K782" s="184" t="s">
        <v>943</v>
      </c>
      <c r="L782" s="184" t="s">
        <v>944</v>
      </c>
      <c r="M782" s="184"/>
      <c r="N782" s="184"/>
      <c r="O782" s="184"/>
      <c r="P782" s="184" t="b">
        <v>0</v>
      </c>
    </row>
    <row r="783" spans="1:16" ht="12.75">
      <c r="A783" s="184" t="str">
        <f t="shared" si="33"/>
        <v>KF-TS-HYG-WA-782</v>
      </c>
      <c r="B783" s="184">
        <v>782</v>
      </c>
      <c r="C783" s="184" t="str">
        <f t="shared" si="34"/>
        <v>[01C712] Fueling hygrometer water activity</v>
      </c>
      <c r="D783" s="184" t="s">
        <v>1469</v>
      </c>
      <c r="E783" s="184" t="s">
        <v>1475</v>
      </c>
      <c r="F783" s="184" t="s">
        <v>630</v>
      </c>
      <c r="G783" s="184" t="s">
        <v>631</v>
      </c>
      <c r="H783" s="184" t="s">
        <v>942</v>
      </c>
      <c r="I783" s="184" t="s">
        <v>677</v>
      </c>
      <c r="J783" s="184" t="s">
        <v>1398</v>
      </c>
      <c r="K783" s="184" t="s">
        <v>1470</v>
      </c>
      <c r="L783" s="184"/>
      <c r="M783" s="184"/>
      <c r="N783" s="184"/>
      <c r="O783" s="184"/>
      <c r="P783" s="184" t="b">
        <v>0</v>
      </c>
    </row>
    <row r="784" spans="1:16" ht="12.75">
      <c r="A784" s="184" t="str">
        <f t="shared" si="33"/>
        <v>KF-TS-HYG-Ts-783</v>
      </c>
      <c r="B784" s="184">
        <v>783</v>
      </c>
      <c r="C784" s="184" t="str">
        <f t="shared" si="34"/>
        <v>[01C712] Fueling hygrometer temperature</v>
      </c>
      <c r="D784" s="184" t="s">
        <v>1471</v>
      </c>
      <c r="E784" s="184" t="s">
        <v>1475</v>
      </c>
      <c r="F784" s="184" t="s">
        <v>630</v>
      </c>
      <c r="G784" s="184" t="s">
        <v>631</v>
      </c>
      <c r="H784" s="184" t="s">
        <v>942</v>
      </c>
      <c r="I784" s="184" t="s">
        <v>677</v>
      </c>
      <c r="J784" s="184" t="s">
        <v>1398</v>
      </c>
      <c r="K784" s="184" t="s">
        <v>231</v>
      </c>
      <c r="L784" s="184" t="s">
        <v>232</v>
      </c>
      <c r="M784" s="184"/>
      <c r="N784" s="184"/>
      <c r="O784" s="184"/>
      <c r="P784" s="184" t="b">
        <v>0</v>
      </c>
    </row>
    <row r="785" spans="1:16" ht="12.75" hidden="1">
      <c r="A785" s="184" t="str">
        <f t="shared" si="33"/>
        <v>HYD-HDL-SLD-B-784</v>
      </c>
      <c r="B785" s="184">
        <v>784</v>
      </c>
      <c r="C785" s="184" t="str">
        <f t="shared" si="34"/>
        <v>[S41] Unlock Hold-Downs Secondary</v>
      </c>
      <c r="D785" s="184" t="s">
        <v>1476</v>
      </c>
      <c r="E785" s="184" t="s">
        <v>570</v>
      </c>
      <c r="F785" s="184" t="s">
        <v>318</v>
      </c>
      <c r="G785" s="184" t="s">
        <v>568</v>
      </c>
      <c r="H785" s="184" t="s">
        <v>854</v>
      </c>
      <c r="I785" s="184" t="s">
        <v>48</v>
      </c>
      <c r="J785" s="184" t="s">
        <v>1477</v>
      </c>
      <c r="K785" s="184" t="s">
        <v>104</v>
      </c>
      <c r="L785" s="184" t="s">
        <v>50</v>
      </c>
      <c r="M785" s="184"/>
      <c r="N785" s="184"/>
      <c r="O785" s="184"/>
      <c r="P785" s="184" t="b">
        <v>0</v>
      </c>
    </row>
    <row r="786" spans="1:16" ht="12.75" hidden="1">
      <c r="A786" s="184" t="str">
        <f t="shared" si="33"/>
        <v>HYD-HDL-SLD-B-785</v>
      </c>
      <c r="B786" s="184">
        <v>785</v>
      </c>
      <c r="C786" s="184" t="str">
        <f t="shared" si="34"/>
        <v>[S42] Invert Hold-Down Locks Secondary</v>
      </c>
      <c r="D786" s="184" t="s">
        <v>1478</v>
      </c>
      <c r="E786" s="184" t="s">
        <v>572</v>
      </c>
      <c r="F786" s="184" t="s">
        <v>318</v>
      </c>
      <c r="G786" s="184" t="s">
        <v>568</v>
      </c>
      <c r="H786" s="184" t="s">
        <v>854</v>
      </c>
      <c r="I786" s="184" t="s">
        <v>48</v>
      </c>
      <c r="J786" s="184" t="s">
        <v>1479</v>
      </c>
      <c r="K786" s="184" t="s">
        <v>104</v>
      </c>
      <c r="L786" s="184" t="s">
        <v>50</v>
      </c>
      <c r="M786" s="184"/>
      <c r="N786" s="184"/>
      <c r="O786" s="184"/>
      <c r="P786" s="184" t="b">
        <v>0</v>
      </c>
    </row>
    <row r="787" spans="1:16" ht="12.75">
      <c r="A787" s="184" t="str">
        <f t="shared" si="33"/>
        <v>BP-PRG-PRS-Ps-786</v>
      </c>
      <c r="B787" s="184">
        <v>786</v>
      </c>
      <c r="C787" s="184" t="str">
        <f t="shared" si="34"/>
        <v>[Not Allocated] purge pressure - FGSE</v>
      </c>
      <c r="D787" s="184" t="s">
        <v>1480</v>
      </c>
      <c r="E787" s="184" t="s">
        <v>1481</v>
      </c>
      <c r="F787" s="184" t="s">
        <v>868</v>
      </c>
      <c r="G787" s="184" t="s">
        <v>185</v>
      </c>
      <c r="H787" s="184" t="s">
        <v>54</v>
      </c>
      <c r="I787" s="184" t="s">
        <v>55</v>
      </c>
      <c r="J787" s="184" t="s">
        <v>1436</v>
      </c>
      <c r="K787" s="184" t="s">
        <v>56</v>
      </c>
      <c r="L787" s="184" t="s">
        <v>869</v>
      </c>
      <c r="M787" s="184"/>
      <c r="N787" s="184"/>
      <c r="O787" s="184"/>
      <c r="P787" s="184" t="b">
        <v>0</v>
      </c>
    </row>
    <row r="788" spans="1:16" ht="12.75">
      <c r="A788" s="184" t="str">
        <f t="shared" si="33"/>
        <v>KF-TS-HYG-WA-787</v>
      </c>
      <c r="B788" s="184">
        <v>787</v>
      </c>
      <c r="C788" s="184" t="str">
        <f t="shared" si="34"/>
        <v>[01C711] Fueling hygrometer water activity</v>
      </c>
      <c r="D788" s="184" t="s">
        <v>1469</v>
      </c>
      <c r="E788" s="184" t="s">
        <v>1411</v>
      </c>
      <c r="F788" s="184" t="s">
        <v>630</v>
      </c>
      <c r="G788" s="184" t="s">
        <v>631</v>
      </c>
      <c r="H788" s="184" t="s">
        <v>942</v>
      </c>
      <c r="I788" s="184" t="s">
        <v>55</v>
      </c>
      <c r="J788" s="184" t="s">
        <v>1398</v>
      </c>
      <c r="K788" s="184" t="s">
        <v>1470</v>
      </c>
      <c r="L788" s="184"/>
      <c r="M788" s="184"/>
      <c r="N788" s="184"/>
      <c r="O788" s="184"/>
      <c r="P788" s="184" t="b">
        <v>0</v>
      </c>
    </row>
    <row r="789" spans="1:16" ht="12.75">
      <c r="A789" s="184" t="str">
        <f t="shared" si="33"/>
        <v>KF-TS-HYG-Ts-788</v>
      </c>
      <c r="B789" s="184">
        <v>788</v>
      </c>
      <c r="C789" s="184" t="str">
        <f t="shared" si="34"/>
        <v>[01C711] Fueling hygrometer temperature</v>
      </c>
      <c r="D789" s="184" t="s">
        <v>1471</v>
      </c>
      <c r="E789" s="184" t="s">
        <v>1411</v>
      </c>
      <c r="F789" s="184" t="s">
        <v>630</v>
      </c>
      <c r="G789" s="184" t="s">
        <v>631</v>
      </c>
      <c r="H789" s="184" t="s">
        <v>942</v>
      </c>
      <c r="I789" s="184" t="s">
        <v>55</v>
      </c>
      <c r="J789" s="184" t="s">
        <v>1398</v>
      </c>
      <c r="K789" s="184" t="s">
        <v>231</v>
      </c>
      <c r="L789" s="184" t="s">
        <v>232</v>
      </c>
      <c r="M789" s="184"/>
      <c r="N789" s="184"/>
      <c r="O789" s="184"/>
      <c r="P789" s="184" t="b">
        <v>0</v>
      </c>
    </row>
    <row r="790" spans="1:16" ht="12.75">
      <c r="A790" s="184" t="str">
        <f t="shared" si="33"/>
        <v>KF-TS-HYG-WA-789</v>
      </c>
      <c r="B790" s="184">
        <v>789</v>
      </c>
      <c r="C790" s="184" t="str">
        <f t="shared" si="34"/>
        <v>[01C712] Fueling hygrometer water activity</v>
      </c>
      <c r="D790" s="184" t="s">
        <v>1469</v>
      </c>
      <c r="E790" s="184" t="s">
        <v>1475</v>
      </c>
      <c r="F790" s="184" t="s">
        <v>630</v>
      </c>
      <c r="G790" s="184" t="s">
        <v>631</v>
      </c>
      <c r="H790" s="184" t="s">
        <v>942</v>
      </c>
      <c r="I790" s="184" t="s">
        <v>55</v>
      </c>
      <c r="J790" s="184" t="s">
        <v>1398</v>
      </c>
      <c r="K790" s="184" t="s">
        <v>1470</v>
      </c>
      <c r="L790" s="184"/>
      <c r="M790" s="184"/>
      <c r="N790" s="184"/>
      <c r="O790" s="184"/>
      <c r="P790" s="184" t="b">
        <v>0</v>
      </c>
    </row>
    <row r="791" spans="1:16" ht="12.75">
      <c r="A791" s="184" t="str">
        <f t="shared" si="33"/>
        <v>KF-TS-HYG-Ts-790</v>
      </c>
      <c r="B791" s="184">
        <v>790</v>
      </c>
      <c r="C791" s="184" t="str">
        <f t="shared" si="34"/>
        <v>[01C712] Fueling hygrometer temperature</v>
      </c>
      <c r="D791" s="184" t="s">
        <v>1471</v>
      </c>
      <c r="E791" s="184" t="s">
        <v>1475</v>
      </c>
      <c r="F791" s="184" t="s">
        <v>630</v>
      </c>
      <c r="G791" s="184" t="s">
        <v>631</v>
      </c>
      <c r="H791" s="184" t="s">
        <v>942</v>
      </c>
      <c r="I791" s="184" t="s">
        <v>55</v>
      </c>
      <c r="J791" s="184" t="s">
        <v>1398</v>
      </c>
      <c r="K791" s="184" t="s">
        <v>231</v>
      </c>
      <c r="L791" s="184" t="s">
        <v>232</v>
      </c>
      <c r="M791" s="184"/>
      <c r="N791" s="184"/>
      <c r="O791" s="184"/>
      <c r="P791" s="184" t="b">
        <v>0</v>
      </c>
    </row>
    <row r="792" spans="1:16" ht="12.75" hidden="1">
      <c r="A792" s="184" t="str">
        <f t="shared" si="33"/>
        <v>S2J-S2H-PXS-B-791</v>
      </c>
      <c r="B792" s="184">
        <v>791</v>
      </c>
      <c r="C792" s="184" t="str">
        <f t="shared" si="34"/>
        <v>[05C335] Stage 2 supply jettsion pressure Position 1</v>
      </c>
      <c r="D792" s="184" t="s">
        <v>1482</v>
      </c>
      <c r="E792" s="184" t="s">
        <v>1199</v>
      </c>
      <c r="F792" s="184" t="s">
        <v>896</v>
      </c>
      <c r="G792" s="184" t="s">
        <v>897</v>
      </c>
      <c r="H792" s="184" t="s">
        <v>485</v>
      </c>
      <c r="I792" s="184" t="s">
        <v>73</v>
      </c>
      <c r="J792" s="184" t="s">
        <v>1436</v>
      </c>
      <c r="K792" s="184" t="s">
        <v>104</v>
      </c>
      <c r="L792" s="184"/>
      <c r="M792" s="184"/>
      <c r="N792" s="184"/>
      <c r="O792" s="184"/>
      <c r="P792" s="184"/>
    </row>
    <row r="793" spans="1:16" ht="12.75" hidden="1">
      <c r="A793" s="184" t="str">
        <f t="shared" si="33"/>
        <v>S2J-S2H-PXS-B-792</v>
      </c>
      <c r="B793" s="184">
        <v>792</v>
      </c>
      <c r="C793" s="184" t="str">
        <f t="shared" si="34"/>
        <v xml:space="preserve">[05C335] Stage 2 supply jettsion pressure Position 2 </v>
      </c>
      <c r="D793" s="184" t="s">
        <v>1483</v>
      </c>
      <c r="E793" s="184" t="s">
        <v>1199</v>
      </c>
      <c r="F793" s="184" t="s">
        <v>896</v>
      </c>
      <c r="G793" s="184" t="s">
        <v>897</v>
      </c>
      <c r="H793" s="184" t="s">
        <v>485</v>
      </c>
      <c r="I793" s="184" t="s">
        <v>73</v>
      </c>
      <c r="J793" s="184" t="s">
        <v>1436</v>
      </c>
      <c r="K793" s="184" t="s">
        <v>104</v>
      </c>
      <c r="L793" s="184"/>
      <c r="M793" s="184"/>
      <c r="N793" s="184"/>
      <c r="O793" s="184"/>
      <c r="P793" s="184"/>
    </row>
    <row r="794" spans="1:16" ht="12.75" hidden="1">
      <c r="A794" s="184" t="str">
        <f t="shared" si="33"/>
        <v>KF-TR-DVL-B-793</v>
      </c>
      <c r="B794" s="184">
        <v>793</v>
      </c>
      <c r="C794" s="184" t="str">
        <f t="shared" si="34"/>
        <v>[01C300] Pump Inlet valve Cmd</v>
      </c>
      <c r="D794" s="184" t="s">
        <v>1484</v>
      </c>
      <c r="E794" s="184" t="s">
        <v>1485</v>
      </c>
      <c r="F794" s="184" t="s">
        <v>630</v>
      </c>
      <c r="G794" s="184" t="s">
        <v>634</v>
      </c>
      <c r="H794" s="184" t="s">
        <v>47</v>
      </c>
      <c r="I794" s="184" t="s">
        <v>48</v>
      </c>
      <c r="J794" s="184"/>
      <c r="K794" s="184" t="s">
        <v>104</v>
      </c>
      <c r="L794" s="184" t="s">
        <v>50</v>
      </c>
      <c r="M794" s="184"/>
      <c r="N794" s="184"/>
      <c r="O794" s="184"/>
      <c r="P794" s="184" t="b">
        <v>0</v>
      </c>
    </row>
    <row r="795" spans="1:16" ht="12.75" hidden="1">
      <c r="A795" s="184" t="str">
        <f t="shared" si="33"/>
        <v>KF-TR-LS-PxO-794</v>
      </c>
      <c r="B795" s="184">
        <v>794</v>
      </c>
      <c r="C795" s="184" t="str">
        <f t="shared" si="34"/>
        <v>[01C300] Pump Inlet Valve Position Switch</v>
      </c>
      <c r="D795" s="184" t="s">
        <v>1486</v>
      </c>
      <c r="E795" s="184" t="s">
        <v>1485</v>
      </c>
      <c r="F795" s="184" t="s">
        <v>630</v>
      </c>
      <c r="G795" s="184" t="s">
        <v>634</v>
      </c>
      <c r="H795" s="184" t="s">
        <v>107</v>
      </c>
      <c r="I795" s="184" t="s">
        <v>73</v>
      </c>
      <c r="J795" s="184"/>
      <c r="K795" s="184" t="s">
        <v>115</v>
      </c>
      <c r="L795" s="184" t="s">
        <v>50</v>
      </c>
      <c r="M795" s="184"/>
      <c r="N795" s="184"/>
      <c r="O795" s="184"/>
      <c r="P795" s="184" t="b">
        <v>0</v>
      </c>
    </row>
    <row r="796" spans="1:16" ht="12.75" hidden="1">
      <c r="A796" s="184" t="str">
        <f t="shared" si="33"/>
        <v>KF-TR-LS-PxC-795</v>
      </c>
      <c r="B796" s="184">
        <v>795</v>
      </c>
      <c r="C796" s="184" t="str">
        <f t="shared" si="34"/>
        <v>[01C300] Pump Inlet Valve Position Switch</v>
      </c>
      <c r="D796" s="184" t="s">
        <v>1486</v>
      </c>
      <c r="E796" s="184" t="s">
        <v>1485</v>
      </c>
      <c r="F796" s="184" t="s">
        <v>630</v>
      </c>
      <c r="G796" s="184" t="s">
        <v>634</v>
      </c>
      <c r="H796" s="184" t="s">
        <v>107</v>
      </c>
      <c r="I796" s="184" t="s">
        <v>73</v>
      </c>
      <c r="J796" s="184"/>
      <c r="K796" s="184" t="s">
        <v>108</v>
      </c>
      <c r="L796" s="184" t="s">
        <v>50</v>
      </c>
      <c r="M796" s="184"/>
      <c r="N796" s="184"/>
      <c r="O796" s="184"/>
      <c r="P796" s="184" t="b">
        <v>0</v>
      </c>
    </row>
    <row r="797" spans="1:16" ht="12.75" hidden="1">
      <c r="A797" s="184" t="str">
        <f t="shared" si="33"/>
        <v>KF-TR-VSD-B-796</v>
      </c>
      <c r="B797" s="184">
        <v>796</v>
      </c>
      <c r="C797" s="184" t="str">
        <f t="shared" si="34"/>
        <v>[31RP1-VFD001] Kero VSD E-Stop</v>
      </c>
      <c r="D797" s="184" t="s">
        <v>1487</v>
      </c>
      <c r="E797" s="184" t="s">
        <v>1488</v>
      </c>
      <c r="F797" s="184" t="s">
        <v>630</v>
      </c>
      <c r="G797" s="184" t="s">
        <v>634</v>
      </c>
      <c r="H797" s="184" t="s">
        <v>648</v>
      </c>
      <c r="I797" s="184" t="s">
        <v>73</v>
      </c>
      <c r="J797" s="184"/>
      <c r="K797" s="184" t="s">
        <v>104</v>
      </c>
      <c r="L797" s="184" t="s">
        <v>50</v>
      </c>
      <c r="M797" s="184"/>
      <c r="N797" s="184"/>
      <c r="O797" s="184"/>
      <c r="P797" s="184" t="b">
        <v>0</v>
      </c>
    </row>
    <row r="798" spans="1:16" ht="12.75" hidden="1">
      <c r="A798" s="184"/>
      <c r="B798" s="184">
        <v>797</v>
      </c>
      <c r="C798" s="184" t="str">
        <f t="shared" si="34"/>
        <v xml:space="preserve">[] </v>
      </c>
      <c r="D798" s="184"/>
      <c r="E798" s="184"/>
      <c r="F798" s="184"/>
      <c r="G798" s="184"/>
      <c r="H798" s="184"/>
      <c r="I798" s="184"/>
      <c r="J798" s="184"/>
      <c r="K798" s="184"/>
      <c r="L798" s="184"/>
      <c r="M798" s="184"/>
      <c r="N798" s="184"/>
      <c r="O798" s="184"/>
      <c r="P798" s="184" t="b">
        <v>0</v>
      </c>
    </row>
    <row r="799" spans="1:16" ht="12.75" hidden="1">
      <c r="A799" s="184"/>
      <c r="B799" s="184">
        <v>798</v>
      </c>
      <c r="C799" s="184" t="str">
        <f t="shared" si="34"/>
        <v>[] SMC_VF5120K-1D1-02F_Valve 5_2 Piloted</v>
      </c>
      <c r="D799" s="184" t="s">
        <v>1489</v>
      </c>
      <c r="E799" s="184"/>
      <c r="F799" s="184"/>
      <c r="G799" s="184"/>
      <c r="H799" s="184"/>
      <c r="I799" s="184"/>
      <c r="J799" s="184"/>
      <c r="K799" s="184"/>
      <c r="L799" s="184"/>
      <c r="M799" s="184"/>
      <c r="N799" s="184"/>
      <c r="O799" s="184"/>
      <c r="P799" s="184" t="b">
        <v>0</v>
      </c>
    </row>
    <row r="800" spans="1:16" ht="12.75" hidden="1">
      <c r="A800" s="184"/>
      <c r="B800" s="184">
        <v>799</v>
      </c>
      <c r="C800" s="184" t="str">
        <f t="shared" si="34"/>
        <v>[] SMC_VF5344K-1D1-02F_Valve 5_3 Closed Center Pilot</v>
      </c>
      <c r="D800" s="184" t="s">
        <v>1490</v>
      </c>
      <c r="E800" s="184"/>
      <c r="F800" s="184"/>
      <c r="G800" s="184"/>
      <c r="H800" s="184"/>
      <c r="I800" s="184"/>
      <c r="J800" s="184"/>
      <c r="K800" s="184"/>
      <c r="L800" s="184"/>
      <c r="M800" s="184"/>
      <c r="N800" s="184"/>
      <c r="O800" s="184"/>
      <c r="P800" s="184" t="b">
        <v>0</v>
      </c>
    </row>
    <row r="801" spans="1:16" ht="12.75">
      <c r="A801" s="184" t="str">
        <f t="shared" ref="A801:A813" si="35">CONCATENATE(VLOOKUP(F801,Systems,2,FALSE),"-",VLOOKUP(G801,Subsystems,2,FALSE),"-",VLOOKUP(H801,Components,2,FALSE),"-",VLOOKUP(K801,Metrics,2,FALSE),"-",B801)</f>
        <v>BP-PRG-PRS-Ps-800</v>
      </c>
      <c r="B801" s="184">
        <v>800</v>
      </c>
      <c r="C801" s="184" t="str">
        <f t="shared" si="34"/>
        <v>[Not Allocated] F5/F6 Box Purge</v>
      </c>
      <c r="D801" s="184" t="s">
        <v>1491</v>
      </c>
      <c r="E801" s="184" t="s">
        <v>1481</v>
      </c>
      <c r="F801" s="184" t="s">
        <v>868</v>
      </c>
      <c r="G801" s="184" t="s">
        <v>185</v>
      </c>
      <c r="H801" s="184" t="s">
        <v>54</v>
      </c>
      <c r="I801" s="184" t="s">
        <v>55</v>
      </c>
      <c r="J801" s="184" t="s">
        <v>138</v>
      </c>
      <c r="K801" s="184" t="s">
        <v>56</v>
      </c>
      <c r="L801" s="184" t="s">
        <v>330</v>
      </c>
      <c r="M801" s="184"/>
      <c r="N801" s="184"/>
      <c r="O801" s="184"/>
      <c r="P801" s="184" t="b">
        <v>0</v>
      </c>
    </row>
    <row r="802" spans="1:16" ht="12.75">
      <c r="A802" s="184" t="str">
        <f t="shared" si="35"/>
        <v>BP-PRG-PRS-Ps-801</v>
      </c>
      <c r="B802" s="184">
        <v>801</v>
      </c>
      <c r="C802" s="184" t="str">
        <f t="shared" si="34"/>
        <v>[Not Allocated] d60 Service</v>
      </c>
      <c r="D802" s="184" t="s">
        <v>1492</v>
      </c>
      <c r="E802" s="184" t="s">
        <v>1481</v>
      </c>
      <c r="F802" s="184" t="s">
        <v>868</v>
      </c>
      <c r="G802" s="184" t="s">
        <v>185</v>
      </c>
      <c r="H802" s="184" t="s">
        <v>54</v>
      </c>
      <c r="I802" s="184" t="s">
        <v>55</v>
      </c>
      <c r="J802" s="184" t="s">
        <v>1398</v>
      </c>
      <c r="K802" s="184" t="s">
        <v>56</v>
      </c>
      <c r="L802" s="184" t="s">
        <v>330</v>
      </c>
      <c r="M802" s="184"/>
      <c r="N802" s="184"/>
      <c r="O802" s="184"/>
      <c r="P802" s="184" t="b">
        <v>0</v>
      </c>
    </row>
    <row r="803" spans="1:16" ht="12.75">
      <c r="A803" s="184" t="str">
        <f t="shared" si="35"/>
        <v>BP-PRG-PRS-Ps-802</v>
      </c>
      <c r="B803" s="184">
        <v>802</v>
      </c>
      <c r="C803" s="184" t="str">
        <f t="shared" si="34"/>
        <v>[Not Allocated] Lower fluid cabinet</v>
      </c>
      <c r="D803" s="184" t="s">
        <v>1493</v>
      </c>
      <c r="E803" s="184" t="s">
        <v>1481</v>
      </c>
      <c r="F803" s="184" t="s">
        <v>868</v>
      </c>
      <c r="G803" s="184" t="s">
        <v>185</v>
      </c>
      <c r="H803" s="184" t="s">
        <v>54</v>
      </c>
      <c r="I803" s="184" t="s">
        <v>55</v>
      </c>
      <c r="J803" s="184" t="s">
        <v>1390</v>
      </c>
      <c r="K803" s="184" t="s">
        <v>56</v>
      </c>
      <c r="L803" s="184" t="s">
        <v>330</v>
      </c>
      <c r="M803" s="184"/>
      <c r="N803" s="184"/>
      <c r="O803" s="184"/>
      <c r="P803" s="184" t="b">
        <v>0</v>
      </c>
    </row>
    <row r="804" spans="1:16" ht="12.75">
      <c r="A804" s="184" t="str">
        <f t="shared" si="35"/>
        <v>BP-PRG-PRS-Ps-803</v>
      </c>
      <c r="B804" s="184">
        <v>803</v>
      </c>
      <c r="C804" s="184" t="str">
        <f t="shared" si="34"/>
        <v>[Not Allocated] Upper fluid cabinet</v>
      </c>
      <c r="D804" s="184" t="s">
        <v>1494</v>
      </c>
      <c r="E804" s="184" t="s">
        <v>1481</v>
      </c>
      <c r="F804" s="184" t="s">
        <v>868</v>
      </c>
      <c r="G804" s="184" t="s">
        <v>185</v>
      </c>
      <c r="H804" s="184" t="s">
        <v>54</v>
      </c>
      <c r="I804" s="184" t="s">
        <v>55</v>
      </c>
      <c r="J804" s="184"/>
      <c r="K804" s="184" t="s">
        <v>56</v>
      </c>
      <c r="L804" s="184" t="s">
        <v>330</v>
      </c>
      <c r="M804" s="184"/>
      <c r="N804" s="184"/>
      <c r="O804" s="184"/>
      <c r="P804" s="184" t="b">
        <v>0</v>
      </c>
    </row>
    <row r="805" spans="1:16" ht="12.75">
      <c r="A805" s="184" t="str">
        <f t="shared" si="35"/>
        <v>BP-PRG-PRS-Ps-804</v>
      </c>
      <c r="B805" s="184">
        <v>804</v>
      </c>
      <c r="C805" s="184" t="str">
        <f t="shared" si="34"/>
        <v>[] Alina will provide detail</v>
      </c>
      <c r="D805" s="184" t="s">
        <v>1495</v>
      </c>
      <c r="E805" s="184"/>
      <c r="F805" s="184" t="s">
        <v>868</v>
      </c>
      <c r="G805" s="184" t="s">
        <v>185</v>
      </c>
      <c r="H805" s="184" t="s">
        <v>54</v>
      </c>
      <c r="I805" s="184" t="s">
        <v>55</v>
      </c>
      <c r="J805" s="184"/>
      <c r="K805" s="184" t="s">
        <v>56</v>
      </c>
      <c r="L805" s="184" t="s">
        <v>330</v>
      </c>
      <c r="M805" s="184"/>
      <c r="N805" s="184"/>
      <c r="O805" s="184"/>
      <c r="P805" s="184" t="b">
        <v>0</v>
      </c>
    </row>
    <row r="806" spans="1:16" ht="12.75">
      <c r="A806" s="184" t="str">
        <f t="shared" si="35"/>
        <v>BP-PRG-PRS-Ps-805</v>
      </c>
      <c r="B806" s="184">
        <v>805</v>
      </c>
      <c r="C806" s="184" t="str">
        <f t="shared" si="34"/>
        <v>[] Alina will provide detail</v>
      </c>
      <c r="D806" s="184" t="s">
        <v>1495</v>
      </c>
      <c r="E806" s="184"/>
      <c r="F806" s="184" t="s">
        <v>868</v>
      </c>
      <c r="G806" s="184" t="s">
        <v>185</v>
      </c>
      <c r="H806" s="184" t="s">
        <v>54</v>
      </c>
      <c r="I806" s="184" t="s">
        <v>55</v>
      </c>
      <c r="J806" s="184"/>
      <c r="K806" s="184" t="s">
        <v>56</v>
      </c>
      <c r="L806" s="184" t="s">
        <v>330</v>
      </c>
      <c r="M806" s="184"/>
      <c r="N806" s="184"/>
      <c r="O806" s="184"/>
      <c r="P806" s="184" t="b">
        <v>0</v>
      </c>
    </row>
    <row r="807" spans="1:16" ht="12.75">
      <c r="A807" s="184" t="str">
        <f t="shared" si="35"/>
        <v>BP-PRG-PRS-Ps-806</v>
      </c>
      <c r="B807" s="184">
        <v>806</v>
      </c>
      <c r="C807" s="184" t="str">
        <f t="shared" si="34"/>
        <v>[] Alina will provide detail</v>
      </c>
      <c r="D807" s="184" t="s">
        <v>1495</v>
      </c>
      <c r="E807" s="184"/>
      <c r="F807" s="184" t="s">
        <v>868</v>
      </c>
      <c r="G807" s="184" t="s">
        <v>185</v>
      </c>
      <c r="H807" s="184" t="s">
        <v>54</v>
      </c>
      <c r="I807" s="184" t="s">
        <v>55</v>
      </c>
      <c r="J807" s="184"/>
      <c r="K807" s="184" t="s">
        <v>56</v>
      </c>
      <c r="L807" s="184" t="s">
        <v>330</v>
      </c>
      <c r="M807" s="184"/>
      <c r="N807" s="184"/>
      <c r="O807" s="184"/>
      <c r="P807" s="184" t="b">
        <v>0</v>
      </c>
    </row>
    <row r="808" spans="1:16" ht="12.75" hidden="1">
      <c r="A808" s="184" t="str">
        <f>CONCATENATE(VLOOKUP(F808,Systems,2,FALSE),"-",VLOOKUP(G808,Subsystems,2,FALSE),"-",VLOOKUP(H808,Components,2,FALSE),"-",VLOOKUP(K808,Metrics,2,FALSE),"-",B808)</f>
        <v>CPWR-UPS-PSU-B-807</v>
      </c>
      <c r="B808" s="184">
        <v>807</v>
      </c>
      <c r="C808" s="184" t="str">
        <f t="shared" si="34"/>
        <v>[31PSU001] North Vault Control|PSU A Health Feedback</v>
      </c>
      <c r="D808" s="184" t="s">
        <v>1496</v>
      </c>
      <c r="E808" s="184" t="s">
        <v>1497</v>
      </c>
      <c r="F808" s="184" t="s">
        <v>119</v>
      </c>
      <c r="G808" s="184" t="s">
        <v>1498</v>
      </c>
      <c r="H808" s="184" t="s">
        <v>1499</v>
      </c>
      <c r="I808" s="184" t="s">
        <v>73</v>
      </c>
      <c r="J808" s="184" t="s">
        <v>1450</v>
      </c>
      <c r="K808" s="184" t="s">
        <v>104</v>
      </c>
      <c r="L808" s="184" t="s">
        <v>50</v>
      </c>
      <c r="M808" s="184"/>
      <c r="N808" s="184"/>
      <c r="O808" s="184"/>
      <c r="P808" s="184" t="b">
        <v>0</v>
      </c>
    </row>
    <row r="809" spans="1:16" ht="12.75" hidden="1">
      <c r="A809" s="184" t="str">
        <f t="shared" si="35"/>
        <v>CPWR-GRID-PSU-B-808</v>
      </c>
      <c r="B809" s="184">
        <v>808</v>
      </c>
      <c r="C809" s="184" t="str">
        <f t="shared" si="34"/>
        <v>[31PSU002] North Vault Control|PSU B Health Feedback</v>
      </c>
      <c r="D809" s="184" t="s">
        <v>1500</v>
      </c>
      <c r="E809" s="184" t="s">
        <v>1501</v>
      </c>
      <c r="F809" s="184" t="s">
        <v>119</v>
      </c>
      <c r="G809" s="184" t="s">
        <v>1502</v>
      </c>
      <c r="H809" s="184" t="s">
        <v>1499</v>
      </c>
      <c r="I809" s="184" t="s">
        <v>73</v>
      </c>
      <c r="J809" s="184" t="s">
        <v>1450</v>
      </c>
      <c r="K809" s="184" t="s">
        <v>104</v>
      </c>
      <c r="L809" s="184" t="s">
        <v>50</v>
      </c>
      <c r="M809" s="184"/>
      <c r="N809" s="184"/>
      <c r="O809" s="184"/>
      <c r="P809" s="184" t="b">
        <v>0</v>
      </c>
    </row>
    <row r="810" spans="1:16" ht="12.75" hidden="1">
      <c r="A810" s="184" t="str">
        <f t="shared" si="35"/>
        <v>CPWR-UPS-PSU-B-809</v>
      </c>
      <c r="B810" s="184">
        <v>809</v>
      </c>
      <c r="C810" s="184" t="str">
        <f t="shared" ref="C810:C813" si="36">_xlfn.TEXTJOIN("", TRUE, "[", E810,"] ",D810)</f>
        <v>[31PSU005] Lox Control PSU|A Health Feedback</v>
      </c>
      <c r="D810" s="184" t="s">
        <v>1503</v>
      </c>
      <c r="E810" s="184" t="s">
        <v>1504</v>
      </c>
      <c r="F810" s="184" t="s">
        <v>119</v>
      </c>
      <c r="G810" s="184" t="s">
        <v>1498</v>
      </c>
      <c r="H810" s="184" t="s">
        <v>1499</v>
      </c>
      <c r="I810" s="184" t="s">
        <v>73</v>
      </c>
      <c r="J810" s="184" t="s">
        <v>1450</v>
      </c>
      <c r="K810" s="184" t="s">
        <v>104</v>
      </c>
      <c r="L810" s="184" t="s">
        <v>50</v>
      </c>
      <c r="M810" s="184"/>
      <c r="N810" s="184"/>
      <c r="O810" s="184"/>
      <c r="P810" s="184" t="b">
        <v>0</v>
      </c>
    </row>
    <row r="811" spans="1:16" ht="12.75" hidden="1">
      <c r="A811" s="184" t="str">
        <f t="shared" si="35"/>
        <v>CPWR-GRID-PSU-B-810</v>
      </c>
      <c r="B811" s="184">
        <v>810</v>
      </c>
      <c r="C811" s="184" t="str">
        <f t="shared" si="36"/>
        <v>[31PSU006] Lox Control PSU|B Health Feedback</v>
      </c>
      <c r="D811" s="184" t="s">
        <v>1505</v>
      </c>
      <c r="E811" s="184" t="s">
        <v>1506</v>
      </c>
      <c r="F811" s="184" t="s">
        <v>119</v>
      </c>
      <c r="G811" s="184" t="s">
        <v>1502</v>
      </c>
      <c r="H811" s="184" t="s">
        <v>1499</v>
      </c>
      <c r="I811" s="184" t="s">
        <v>73</v>
      </c>
      <c r="J811" s="184" t="s">
        <v>1450</v>
      </c>
      <c r="K811" s="184" t="s">
        <v>104</v>
      </c>
      <c r="L811" s="184" t="s">
        <v>50</v>
      </c>
      <c r="M811" s="184"/>
      <c r="N811" s="184"/>
      <c r="O811" s="184"/>
      <c r="P811" s="184" t="b">
        <v>0</v>
      </c>
    </row>
    <row r="812" spans="1:16" ht="12.75" hidden="1">
      <c r="A812" s="184" t="str">
        <f t="shared" si="35"/>
        <v>CPWR-UPS-PSU-B-811</v>
      </c>
      <c r="B812" s="184">
        <v>811</v>
      </c>
      <c r="C812" s="184" t="str">
        <f t="shared" si="36"/>
        <v>[31PSU003] South Vault Control PSU A Health Feedback</v>
      </c>
      <c r="D812" s="184" t="s">
        <v>1507</v>
      </c>
      <c r="E812" s="184" t="s">
        <v>1508</v>
      </c>
      <c r="F812" s="184" t="s">
        <v>119</v>
      </c>
      <c r="G812" s="184" t="s">
        <v>1498</v>
      </c>
      <c r="H812" s="184" t="s">
        <v>1499</v>
      </c>
      <c r="I812" s="184" t="s">
        <v>73</v>
      </c>
      <c r="J812" s="184" t="s">
        <v>1450</v>
      </c>
      <c r="K812" s="184" t="s">
        <v>104</v>
      </c>
      <c r="L812" s="184" t="s">
        <v>50</v>
      </c>
      <c r="M812" s="184"/>
      <c r="N812" s="184"/>
      <c r="O812" s="184"/>
      <c r="P812" s="184" t="b">
        <v>0</v>
      </c>
    </row>
    <row r="813" spans="1:16" ht="12.75" hidden="1">
      <c r="A813" s="184" t="str">
        <f t="shared" si="35"/>
        <v>CPWR-GRID-PSU-B-812</v>
      </c>
      <c r="B813" s="184">
        <v>812</v>
      </c>
      <c r="C813" s="184" t="str">
        <f t="shared" si="36"/>
        <v>[31PSU004] South Vault Control PSU B Health Feedback</v>
      </c>
      <c r="D813" s="184" t="s">
        <v>1509</v>
      </c>
      <c r="E813" s="184" t="s">
        <v>1510</v>
      </c>
      <c r="F813" s="184" t="s">
        <v>119</v>
      </c>
      <c r="G813" s="184" t="s">
        <v>1502</v>
      </c>
      <c r="H813" s="184" t="s">
        <v>1499</v>
      </c>
      <c r="I813" s="184" t="s">
        <v>73</v>
      </c>
      <c r="J813" s="184" t="s">
        <v>1450</v>
      </c>
      <c r="K813" s="184" t="s">
        <v>104</v>
      </c>
      <c r="L813" s="184" t="s">
        <v>50</v>
      </c>
      <c r="M813" s="184"/>
      <c r="N813" s="184"/>
      <c r="O813" s="184"/>
      <c r="P813" s="184" t="b">
        <v>0</v>
      </c>
    </row>
    <row r="814" spans="1:16" ht="12.75" hidden="1">
      <c r="A814" s="184"/>
      <c r="B814" s="184">
        <v>813</v>
      </c>
      <c r="C814" s="184"/>
      <c r="D814" s="184"/>
      <c r="E814" s="184"/>
      <c r="F814" s="184"/>
      <c r="G814" s="184"/>
      <c r="H814" s="184"/>
      <c r="I814" s="184"/>
      <c r="J814" s="184"/>
      <c r="K814" s="184"/>
      <c r="L814" s="184"/>
      <c r="M814" s="184"/>
      <c r="N814" s="184"/>
      <c r="O814" s="184"/>
      <c r="P814" s="184"/>
    </row>
    <row r="815" spans="1:16" ht="12.75" hidden="1">
      <c r="A815" s="184"/>
      <c r="B815" s="184">
        <v>814</v>
      </c>
      <c r="C815" s="184"/>
      <c r="D815" s="184"/>
      <c r="E815" s="184"/>
      <c r="F815" s="184"/>
      <c r="G815" s="184"/>
      <c r="H815" s="184"/>
      <c r="I815" s="184"/>
      <c r="J815" s="184"/>
      <c r="K815" s="184"/>
      <c r="L815" s="184"/>
      <c r="M815" s="184"/>
      <c r="N815" s="184"/>
      <c r="O815" s="184"/>
      <c r="P815" s="184"/>
    </row>
    <row r="816" spans="1:16" ht="12.75" hidden="1">
      <c r="A816" s="184"/>
      <c r="B816" s="184">
        <v>815</v>
      </c>
      <c r="C816" s="184"/>
      <c r="D816" s="184"/>
      <c r="E816" s="184"/>
      <c r="F816" s="184"/>
      <c r="G816" s="184"/>
      <c r="H816" s="184"/>
      <c r="I816" s="184"/>
      <c r="J816" s="184"/>
      <c r="K816" s="184"/>
      <c r="L816" s="184"/>
      <c r="M816" s="184"/>
      <c r="N816" s="184"/>
      <c r="O816" s="184"/>
      <c r="P816" s="184"/>
    </row>
    <row r="817" spans="1:16" ht="12.75" hidden="1">
      <c r="A817" s="184"/>
      <c r="B817" s="184">
        <v>816</v>
      </c>
      <c r="C817" s="184"/>
      <c r="D817" s="184"/>
      <c r="E817" s="184"/>
      <c r="F817" s="184"/>
      <c r="G817" s="184"/>
      <c r="H817" s="184"/>
      <c r="I817" s="184"/>
      <c r="J817" s="184"/>
      <c r="K817" s="184"/>
      <c r="L817" s="184"/>
      <c r="M817" s="184"/>
      <c r="N817" s="184"/>
      <c r="O817" s="184"/>
      <c r="P817" s="184"/>
    </row>
    <row r="818" spans="1:16" ht="12.75" hidden="1">
      <c r="A818" s="184"/>
      <c r="B818" s="184">
        <v>817</v>
      </c>
      <c r="C818" s="184"/>
      <c r="D818" s="184"/>
      <c r="E818" s="184"/>
      <c r="F818" s="184"/>
      <c r="G818" s="184"/>
      <c r="H818" s="184"/>
      <c r="I818" s="184"/>
      <c r="J818" s="184"/>
      <c r="K818" s="184"/>
      <c r="L818" s="184"/>
      <c r="M818" s="184"/>
      <c r="N818" s="184"/>
      <c r="O818" s="184"/>
      <c r="P818" s="184"/>
    </row>
    <row r="819" spans="1:16" ht="12.75" hidden="1">
      <c r="A819" s="184"/>
      <c r="B819" s="184">
        <v>818</v>
      </c>
      <c r="C819" s="184"/>
      <c r="D819" s="184"/>
      <c r="E819" s="184"/>
      <c r="F819" s="184"/>
      <c r="G819" s="184"/>
      <c r="H819" s="184"/>
      <c r="I819" s="184"/>
      <c r="J819" s="184"/>
      <c r="K819" s="184"/>
      <c r="L819" s="184"/>
      <c r="M819" s="184"/>
      <c r="N819" s="184"/>
      <c r="O819" s="184"/>
      <c r="P819" s="184"/>
    </row>
    <row r="820" spans="1:16" ht="12.75" hidden="1">
      <c r="A820" s="184"/>
      <c r="B820" s="184">
        <v>819</v>
      </c>
      <c r="C820" s="184"/>
      <c r="D820" s="184"/>
      <c r="E820" s="184"/>
      <c r="F820" s="184"/>
      <c r="G820" s="184"/>
      <c r="H820" s="184"/>
      <c r="I820" s="184"/>
      <c r="J820" s="184"/>
      <c r="K820" s="184"/>
      <c r="L820" s="184"/>
      <c r="M820" s="184"/>
      <c r="N820" s="184"/>
      <c r="O820" s="184"/>
      <c r="P820" s="184"/>
    </row>
    <row r="821" spans="1:16" ht="12.75" hidden="1">
      <c r="A821" s="184"/>
      <c r="B821" s="184">
        <v>820</v>
      </c>
      <c r="C821" s="184"/>
      <c r="D821" s="184"/>
      <c r="E821" s="184"/>
      <c r="F821" s="184"/>
      <c r="G821" s="184"/>
      <c r="H821" s="184"/>
      <c r="I821" s="184"/>
      <c r="J821" s="184"/>
      <c r="K821" s="184"/>
      <c r="L821" s="184"/>
      <c r="M821" s="184"/>
      <c r="N821" s="184"/>
      <c r="O821" s="184"/>
      <c r="P821" s="184"/>
    </row>
    <row r="822" spans="1:16" ht="12.75" hidden="1">
      <c r="A822" s="184"/>
      <c r="B822" s="184">
        <v>821</v>
      </c>
      <c r="C822" s="184"/>
      <c r="D822" s="184"/>
      <c r="E822" s="184"/>
      <c r="F822" s="184"/>
      <c r="G822" s="184"/>
      <c r="H822" s="184"/>
      <c r="I822" s="184"/>
      <c r="J822" s="184"/>
      <c r="K822" s="184"/>
      <c r="L822" s="184"/>
      <c r="M822" s="184"/>
      <c r="N822" s="184"/>
      <c r="O822" s="184"/>
      <c r="P822" s="184"/>
    </row>
    <row r="823" spans="1:16" ht="12.75" hidden="1">
      <c r="A823" s="184"/>
      <c r="B823" s="184">
        <v>822</v>
      </c>
      <c r="C823" s="184"/>
      <c r="D823" s="184"/>
      <c r="E823" s="184"/>
      <c r="F823" s="184"/>
      <c r="G823" s="184"/>
      <c r="H823" s="184"/>
      <c r="I823" s="184"/>
      <c r="J823" s="184"/>
      <c r="K823" s="184"/>
      <c r="L823" s="184"/>
      <c r="M823" s="184"/>
      <c r="N823" s="184"/>
      <c r="O823" s="184"/>
      <c r="P823" s="184"/>
    </row>
    <row r="824" spans="1:16" ht="12.75" hidden="1">
      <c r="A824" s="184"/>
      <c r="B824" s="184">
        <v>823</v>
      </c>
      <c r="C824" s="184"/>
      <c r="D824" s="184"/>
      <c r="E824" s="184"/>
      <c r="F824" s="184"/>
      <c r="G824" s="184"/>
      <c r="H824" s="184"/>
      <c r="I824" s="184"/>
      <c r="J824" s="184"/>
      <c r="K824" s="184"/>
      <c r="L824" s="184"/>
      <c r="M824" s="184"/>
      <c r="N824" s="184"/>
      <c r="O824" s="184"/>
      <c r="P824" s="184"/>
    </row>
    <row r="825" spans="1:16" ht="12.75" hidden="1">
      <c r="A825" s="184"/>
      <c r="B825" s="184">
        <v>824</v>
      </c>
      <c r="C825" s="184"/>
      <c r="D825" s="184"/>
      <c r="E825" s="184"/>
      <c r="F825" s="184"/>
      <c r="G825" s="184"/>
      <c r="H825" s="184"/>
      <c r="I825" s="184"/>
      <c r="J825" s="184"/>
      <c r="K825" s="184"/>
      <c r="L825" s="184"/>
      <c r="M825" s="184"/>
      <c r="N825" s="184"/>
      <c r="O825" s="184"/>
      <c r="P825" s="184"/>
    </row>
    <row r="826" spans="1:16" ht="12.75">
      <c r="A826" s="184" t="str">
        <f t="shared" ref="A826:A829" si="37">CONCATENATE(VLOOKUP(F826,Systems,2,FALSE),"-",VLOOKUP(G826,Subsystems,2,FALSE),"-",VLOOKUP(H826,Components,2,FALSE),"-",VLOOKUP(K826,Metrics,2,FALSE),"-",B826)</f>
        <v>LOX-LS1-FM-Vs-825</v>
      </c>
      <c r="B826" s="184">
        <v>825</v>
      </c>
      <c r="C826" s="184" t="str">
        <f t="shared" ref="C826:C829" si="38">_xlfn.TEXTJOIN("", TRUE, "[", E826,"] ",D826)</f>
        <v>[02C701] LO2 Skid 1 Velocity</v>
      </c>
      <c r="D826" s="184" t="s">
        <v>1511</v>
      </c>
      <c r="E826" s="184" t="s">
        <v>673</v>
      </c>
      <c r="F826" s="184" t="s">
        <v>674</v>
      </c>
      <c r="G826" s="184" t="s">
        <v>675</v>
      </c>
      <c r="H826" s="184" t="s">
        <v>676</v>
      </c>
      <c r="I826" s="184" t="s">
        <v>677</v>
      </c>
      <c r="J826" s="184" t="s">
        <v>155</v>
      </c>
      <c r="K826" s="184" t="s">
        <v>1472</v>
      </c>
      <c r="L826" s="184" t="s">
        <v>1473</v>
      </c>
      <c r="M826" s="184"/>
      <c r="N826" s="184"/>
      <c r="O826" s="184"/>
      <c r="P826" s="184" t="b">
        <v>0</v>
      </c>
    </row>
    <row r="827" spans="1:16" ht="12.75">
      <c r="A827" s="184" t="str">
        <f t="shared" si="37"/>
        <v>LOX-LS2-FM-Vs-826</v>
      </c>
      <c r="B827" s="184">
        <v>826</v>
      </c>
      <c r="C827" s="184" t="str">
        <f t="shared" si="38"/>
        <v>[02C705] LO2 Skid 2 Velocity</v>
      </c>
      <c r="D827" s="184" t="s">
        <v>1512</v>
      </c>
      <c r="E827" s="184" t="s">
        <v>681</v>
      </c>
      <c r="F827" s="184" t="s">
        <v>674</v>
      </c>
      <c r="G827" s="184" t="s">
        <v>957</v>
      </c>
      <c r="H827" s="184" t="s">
        <v>676</v>
      </c>
      <c r="I827" s="184" t="s">
        <v>677</v>
      </c>
      <c r="J827" s="184" t="s">
        <v>155</v>
      </c>
      <c r="K827" s="184" t="s">
        <v>1472</v>
      </c>
      <c r="L827" s="184" t="s">
        <v>1473</v>
      </c>
      <c r="M827" s="184"/>
      <c r="N827" s="184"/>
      <c r="O827" s="184"/>
      <c r="P827" s="184" t="b">
        <v>0</v>
      </c>
    </row>
    <row r="828" spans="1:16" ht="12.75">
      <c r="A828" s="184" t="str">
        <f t="shared" si="37"/>
        <v>LOX-S1U-FM-Vs-827</v>
      </c>
      <c r="B828" s="184">
        <v>827</v>
      </c>
      <c r="C828" s="184" t="str">
        <f t="shared" si="38"/>
        <v>[02C703] LO2 Fill Stage 1 Velocity</v>
      </c>
      <c r="D828" s="184" t="s">
        <v>1513</v>
      </c>
      <c r="E828" s="184" t="s">
        <v>1423</v>
      </c>
      <c r="F828" s="184" t="s">
        <v>674</v>
      </c>
      <c r="G828" s="184" t="s">
        <v>53</v>
      </c>
      <c r="H828" s="184" t="s">
        <v>676</v>
      </c>
      <c r="I828" s="184" t="s">
        <v>677</v>
      </c>
      <c r="J828" s="184" t="s">
        <v>155</v>
      </c>
      <c r="K828" s="184" t="s">
        <v>1472</v>
      </c>
      <c r="L828" s="184" t="s">
        <v>1473</v>
      </c>
      <c r="M828" s="184"/>
      <c r="N828" s="184"/>
      <c r="O828" s="184"/>
      <c r="P828" s="184" t="b">
        <v>0</v>
      </c>
    </row>
    <row r="829" spans="1:16" ht="12.75">
      <c r="A829" s="184" t="str">
        <f t="shared" si="37"/>
        <v>LOX-S2U-FM-Vs-828</v>
      </c>
      <c r="B829" s="184">
        <v>828</v>
      </c>
      <c r="C829" s="184" t="str">
        <f t="shared" si="38"/>
        <v>[02C704] LO2 Fill Stage 2 Velocity</v>
      </c>
      <c r="D829" s="184" t="s">
        <v>1514</v>
      </c>
      <c r="E829" s="184" t="s">
        <v>1429</v>
      </c>
      <c r="F829" s="184" t="s">
        <v>674</v>
      </c>
      <c r="G829" s="184" t="s">
        <v>60</v>
      </c>
      <c r="H829" s="184" t="s">
        <v>676</v>
      </c>
      <c r="I829" s="184" t="s">
        <v>677</v>
      </c>
      <c r="J829" s="184" t="s">
        <v>155</v>
      </c>
      <c r="K829" s="184" t="s">
        <v>1472</v>
      </c>
      <c r="L829" s="184" t="s">
        <v>1473</v>
      </c>
      <c r="M829" s="184"/>
      <c r="N829" s="184"/>
      <c r="O829" s="184"/>
      <c r="P829" s="184" t="b">
        <v>0</v>
      </c>
    </row>
    <row r="831" spans="1:16" ht="15.75" customHeight="1">
      <c r="A831" s="184"/>
      <c r="B831" s="184"/>
      <c r="C831" s="179"/>
      <c r="D831" s="184"/>
      <c r="E831" s="184"/>
      <c r="F831" s="184"/>
      <c r="G831" s="184"/>
      <c r="H831" s="184"/>
      <c r="I831" s="184"/>
      <c r="J831" s="184"/>
      <c r="K831" s="184"/>
      <c r="L831" s="184"/>
      <c r="M831" s="184"/>
      <c r="N831" s="184"/>
      <c r="O831" s="184"/>
      <c r="P831" s="184"/>
    </row>
  </sheetData>
  <autoFilter ref="A1:P829" xr:uid="{779B470F-E09F-42A1-A89D-7F3C341A00BE}">
    <filterColumn colId="10">
      <filters>
        <filter val="Current Draw"/>
        <filter val="Density"/>
        <filter val="Gas Vapor Warning"/>
        <filter val="Hydrocarbon content (0-100% of LEL)"/>
        <filter val="Inclination"/>
        <filter val="Mass Flow Rate"/>
        <filter val="Methane content (0-100% of LEL)"/>
        <filter val="Oxygen Content (0-25%)"/>
        <filter val="Pressure"/>
        <filter val="Speed"/>
        <filter val="Tanked Mass"/>
        <filter val="Temperature"/>
        <filter val="Valve Position"/>
        <filter val="Velocity"/>
        <filter val="Volumetric Flow Rate"/>
        <filter val="Water Activity"/>
        <filter val="Water Content"/>
      </filters>
    </filterColumn>
  </autoFilter>
  <customSheetViews>
    <customSheetView guid="{78BA4E64-C4E0-4459-BF93-8AA3E7DC1CE3}" filter="1" showAutoFilter="1">
      <pageMargins left="0" right="0" top="0" bottom="0" header="0" footer="0"/>
      <autoFilter ref="A3:BD731" xr:uid="{7270C563-5837-4A46-8689-B9B05E9AE2B2}">
        <filterColumn colId="8">
          <filters>
            <filter val="RTD"/>
          </filters>
        </filterColumn>
        <sortState xmlns:xlrd2="http://schemas.microsoft.com/office/spreadsheetml/2017/richdata2" ref="A3:BD731">
          <sortCondition ref="Z3:Z731"/>
          <sortCondition ref="B3:B731"/>
          <sortCondition ref="K3:K731"/>
          <sortCondition ref="O3:O731"/>
          <sortCondition ref="F3:F731"/>
          <sortCondition ref="N3:N731"/>
        </sortState>
      </autoFilter>
    </customSheetView>
    <customSheetView guid="{59EAE692-BB95-4A6A-AD01-8BBFA1080CC9}" filter="1" showAutoFilter="1">
      <pageMargins left="0" right="0" top="0" bottom="0" header="0" footer="0"/>
      <autoFilter ref="A3:W764" xr:uid="{EAE5A03C-E2D0-441A-8C7A-4B4B492C12AD}">
        <filterColumn colId="10">
          <filters>
            <filter val="C4"/>
            <filter val="C5"/>
            <filter val="N5"/>
          </filters>
        </filterColumn>
        <sortState xmlns:xlrd2="http://schemas.microsoft.com/office/spreadsheetml/2017/richdata2" ref="A3:W764">
          <sortCondition ref="M3:M764"/>
          <sortCondition ref="N3:N764"/>
        </sortState>
      </autoFilter>
    </customSheetView>
    <customSheetView guid="{FFEAEDF0-55C1-4516-9CEE-864371BB5C28}" filter="1" showAutoFilter="1">
      <pageMargins left="0" right="0" top="0" bottom="0" header="0" footer="0"/>
      <autoFilter ref="A3:BD771" xr:uid="{7EA1A26B-CEA3-485A-A4C5-707D5C0D9D73}">
        <filterColumn colId="5">
          <filters blank="1">
            <filter val="01C300"/>
            <filter val="01C705"/>
            <filter val="01C711"/>
            <filter val="01C712"/>
            <filter val="02C323"/>
            <filter val="02C323.2"/>
            <filter val="02C324"/>
            <filter val="02C324.2"/>
            <filter val="02C325"/>
            <filter val="02C325.2"/>
            <filter val="02C326"/>
            <filter val="02C326.2"/>
            <filter val="02C327"/>
            <filter val="02C327.2"/>
            <filter val="02C328"/>
            <filter val="02C328.2"/>
            <filter val="02C329"/>
            <filter val="02C330"/>
            <filter val="02C330.2"/>
            <filter val="02C331"/>
            <filter val="02C332"/>
            <filter val="02C333"/>
            <filter val="02C334"/>
            <filter val="02C334.2"/>
            <filter val="02C335"/>
            <filter val="02C336"/>
            <filter val="02C336.2"/>
            <filter val="02C337"/>
            <filter val="02C338"/>
            <filter val="02C339"/>
            <filter val="02C339.2"/>
            <filter val="02C340"/>
            <filter val="02C340.2"/>
            <filter val="02C341"/>
            <filter val="02C341.2"/>
            <filter val="02C342"/>
            <filter val="02C342.2"/>
            <filter val="02C343"/>
            <filter val="02C343.2"/>
            <filter val="02C344"/>
            <filter val="02C344.2"/>
            <filter val="02C345"/>
            <filter val="02C346"/>
            <filter val="02C348"/>
            <filter val="02C348.2"/>
            <filter val="02C349"/>
            <filter val="02C349.2"/>
            <filter val="02C382"/>
            <filter val="02C383"/>
            <filter val="02C384"/>
            <filter val="02C388"/>
            <filter val="02C388.2"/>
            <filter val="02C389"/>
            <filter val="02C389.2"/>
            <filter val="02C701"/>
            <filter val="02C702"/>
            <filter val="02C703"/>
            <filter val="02C704"/>
            <filter val="02C705"/>
            <filter val="02C915"/>
            <filter val="02C916"/>
            <filter val="02C917"/>
            <filter val="02C918"/>
            <filter val="02C919"/>
            <filter val="02C920"/>
            <filter val="02C921"/>
            <filter val="02C922"/>
            <filter val="02C923"/>
            <filter val="02C924"/>
            <filter val="02C925"/>
            <filter val="02C926"/>
            <filter val="02C927"/>
            <filter val="02C928"/>
            <filter val="02C929"/>
            <filter val="02C930"/>
            <filter val="02C931"/>
            <filter val="02C932"/>
            <filter val="02C933"/>
            <filter val="02C934"/>
            <filter val="02C935"/>
            <filter val="02C953"/>
            <filter val="02C954"/>
            <filter val="02C955"/>
            <filter val="02C956"/>
            <filter val="02C957"/>
            <filter val="02CXXX2.2"/>
            <filter val="02CXXX4.2"/>
            <filter val="03C347.1"/>
            <filter val="03C347.2"/>
            <filter val="03C348.1"/>
            <filter val="03C348.2"/>
            <filter val="03C349.1"/>
            <filter val="03C349.2"/>
            <filter val="03C350.1"/>
            <filter val="03C350.2"/>
            <filter val="03C390"/>
            <filter val="03C390.2"/>
            <filter val="03C936"/>
            <filter val="03C937"/>
            <filter val="03C938"/>
            <filter val="03C939"/>
            <filter val="03C942"/>
            <filter val="03C944"/>
            <filter val="04C339  04C343"/>
            <filter val="04C340  04C344"/>
            <filter val="04C342"/>
            <filter val="04C342.2"/>
            <filter val="04C343"/>
            <filter val="04C345"/>
            <filter val="04C345.2"/>
            <filter val="04C346"/>
            <filter val="04C346.2"/>
            <filter val="04C385"/>
            <filter val="04C386"/>
            <filter val="04C388"/>
            <filter val="04C706"/>
            <filter val="04C707"/>
            <filter val="04C924"/>
            <filter val="04C925"/>
            <filter val="04C927"/>
            <filter val="04C929"/>
            <filter val="04C930"/>
            <filter val="04C931"/>
            <filter val="04C932"/>
            <filter val="05C022"/>
            <filter val="05C027"/>
            <filter val="05C315"/>
            <filter val="05C318, 05C319"/>
            <filter val="05C319"/>
            <filter val="05C322"/>
            <filter val="05C331"/>
            <filter val="05C331.2"/>
            <filter val="05C332"/>
            <filter val="05C332.2"/>
            <filter val="05C333"/>
            <filter val="05C335"/>
            <filter val="05C336"/>
            <filter val="05C337"/>
            <filter val="05C338"/>
            <filter val="05C339"/>
            <filter val="05C344"/>
            <filter val="05C351.1"/>
            <filter val="05C351.2"/>
            <filter val="05C352.1"/>
            <filter val="05C352.2"/>
            <filter val="05C353.1"/>
            <filter val="05C353.2"/>
            <filter val="05C354.1"/>
            <filter val="05C354.2"/>
            <filter val="05C360"/>
            <filter val="05C361"/>
            <filter val="05C362"/>
            <filter val="05C363"/>
            <filter val="05C364"/>
            <filter val="05C365"/>
            <filter val="05C366"/>
            <filter val="05C366.2"/>
            <filter val="05C368"/>
            <filter val="05C368.2"/>
            <filter val="05C369"/>
            <filter val="05C369.2"/>
            <filter val="05C370"/>
            <filter val="05C371"/>
            <filter val="05C372"/>
            <filter val="05C373"/>
            <filter val="05C374"/>
            <filter val="05C375"/>
            <filter val="05C390"/>
            <filter val="05C391"/>
            <filter val="05C392.1"/>
            <filter val="05C392.2"/>
            <filter val="05C708"/>
            <filter val="05C709"/>
            <filter val="05C710"/>
            <filter val="05C711"/>
            <filter val="05C760"/>
            <filter val="05C761"/>
            <filter val="05C909"/>
            <filter val="05C914"/>
            <filter val="05C938"/>
            <filter val="05C939"/>
            <filter val="05C940"/>
            <filter val="05C941"/>
            <filter val="05C942"/>
            <filter val="05C943"/>
            <filter val="05C944"/>
            <filter val="05C945"/>
            <filter val="05C946"/>
            <filter val="05C947"/>
            <filter val="05C948"/>
            <filter val="05C949"/>
            <filter val="05C951"/>
            <filter val="05C952"/>
            <filter val="05C952XXX2"/>
            <filter val="05C952XXX3"/>
            <filter val="05C953"/>
            <filter val="05C954"/>
            <filter val="05C955"/>
            <filter val="05C956"/>
            <filter val="05C957"/>
            <filter val="05C958"/>
            <filter val="05C959"/>
            <filter val="05C962"/>
            <filter val="05C963 WRONG"/>
            <filter val="05C970"/>
            <filter val="05C971"/>
            <filter val="05C972"/>
            <filter val="08C901"/>
            <filter val="08C902"/>
            <filter val="08C903"/>
            <filter val="13C301.1"/>
            <filter val="13C301.2"/>
            <filter val="13C302.1"/>
            <filter val="13C302.2"/>
            <filter val="13C901"/>
            <filter val="13C961"/>
            <filter val="14C317"/>
            <filter val="14C318"/>
            <filter val="14C319"/>
            <filter val="14C320"/>
            <filter val="14C320.2"/>
            <filter val="14C381"/>
            <filter val="14C911"/>
            <filter val="14C912"/>
            <filter val="14C913"/>
            <filter val="14C969"/>
            <filter val="14CXXX"/>
            <filter val="15C310"/>
            <filter val="15C311"/>
            <filter val="15C312"/>
            <filter val="15C313"/>
            <filter val="15C313.2"/>
            <filter val="15C380"/>
            <filter val="15C906"/>
            <filter val="15C907"/>
            <filter val="15C908"/>
            <filter val="15C961"/>
            <filter val="31RP1-VFD001"/>
            <filter val="33C902"/>
            <filter val="33C903"/>
            <filter val="33C904"/>
            <filter val="33C905"/>
            <filter val="33C906"/>
            <filter val="33C907"/>
            <filter val="33C908"/>
            <filter val="33C909"/>
            <filter val="33C910"/>
            <filter val="33C911"/>
            <filter val="33C912"/>
            <filter val="33C913"/>
            <filter val="33C914"/>
            <filter val="33C915"/>
            <filter val="33C916"/>
            <filter val="33C917"/>
            <filter val="33C918"/>
            <filter val="33C920"/>
            <filter val="33C921"/>
            <filter val="33C922"/>
            <filter val="33C925"/>
            <filter val="41C303.2"/>
            <filter val="41C305.2"/>
            <filter val="41C306"/>
            <filter val="41C306.2"/>
            <filter val="41C307.2"/>
            <filter val="41C308"/>
            <filter val="41C308.2"/>
            <filter val="41C309"/>
            <filter val="41C309.2"/>
            <filter val="41C902"/>
            <filter val="41C903"/>
            <filter val="41C904"/>
            <filter val="41C905"/>
            <filter val="41CXXX1"/>
            <filter val="41CXXX2"/>
            <filter val="41CXXX3"/>
            <filter val="BP-PRG-PRS-Ps-638"/>
            <filter val="C28"/>
            <filter val="C34"/>
            <filter val="C9"/>
            <filter val="CPWR-RST-FX-CD-45"/>
            <filter val="F1"/>
            <filter val="F2"/>
            <filter val="F3"/>
            <filter val="F4"/>
            <filter val="F5"/>
            <filter val="F6"/>
            <filter val="FARU-INTF-LE-Px-619"/>
            <filter val="FARU-INTF-PXS-PxE-591"/>
            <filter val="FARU-INTF-PXS-PxR-592"/>
            <filter val="FARU-MA-SLD-B-617"/>
            <filter val="FARU-MA-SLD-B-618"/>
            <filter val="FARU-TL-PXS-PxE-593"/>
            <filter val="FARU-TL-PXS-PxR-594"/>
            <filter val="FTS-ISO(A)"/>
            <filter val="FTS-ISO(B)"/>
            <filter val="HVAC-AUX-RTD-Ts-114"/>
            <filter val="HVAC-FAR-HTR-ST-495"/>
            <filter val="HVAC-FAR-HTR-ST-496"/>
            <filter val="HVAC-FAR-HTR-ST-497"/>
            <filter val="HVAC-FAR-HTR-ST-498"/>
            <filter val="HVAC-FAR-HTR-ST-499"/>
            <filter val="HVAC-FAR-HTR-Ts-500"/>
            <filter val="HVAC-FAR-HTR-Ts-501"/>
            <filter val="HVAC-IS1-HTR-ST-479"/>
            <filter val="HVAC-IS1-HTR-ST-480"/>
            <filter val="HVAC-IS1-HTR-ST-481"/>
            <filter val="HVAC-IS1-HTR-ST-482"/>
            <filter val="HVAC-IS1-HTR-ST-483"/>
            <filter val="HVAC-IS1-HTR-Ts-484"/>
            <filter val="HVAC-IS1-HTR-Ts-485"/>
            <filter val="HVAC-IS2-HTR-ST-487"/>
            <filter val="HVAC-IS2-HTR-ST-488"/>
            <filter val="HVAC-IS2-HTR-ST-489"/>
            <filter val="HVAC-IS2-HTR-ST-490"/>
            <filter val="HVAC-IS2-HTR-ST-491"/>
            <filter val="HVAC-IS2-HTR-Ts-492"/>
            <filter val="HVAC-IS2-HTR-Ts-493"/>
            <filter val="HVAC-S1-HTR-ST-470"/>
            <filter val="HVAC-S1-HTR-ST-471"/>
            <filter val="HVAC-S1-HTR-ST-472"/>
            <filter val="HVAC-S1-HTR-ST-473"/>
            <filter val="HVAC-S1-HTR-ST-474"/>
            <filter val="HVAC-S1-HTR-ST-475"/>
            <filter val="HVAC-S1-HTR-Ts-476"/>
            <filter val="HVAC-S1-HTR-Ts-477"/>
            <filter val="HVBH-CD-AMP-CD-72"/>
            <filter val="HVBH-CD-AMP-CD-73"/>
            <filter val="HVBH-CD-AMP-CD-74"/>
            <filter val="HVBH-CD-AMP-CD-75"/>
            <filter val="HVBH-CD-AMP-CD-76"/>
            <filter val="HVBH-CD-AMP-CD-77"/>
            <filter val="HVBH-CD-AMP-CD-78"/>
            <filter val="HVBH-CD-AMP-CD-79"/>
            <filter val="HVBH-CD-AMP-CD-80"/>
            <filter val="HVBH-CD-AMP-CD-81"/>
            <filter val="HVBH-CD-AMP-CD-82"/>
            <filter val="HVBH-CD-AMP-CD-83"/>
            <filter val="HVBH-CD-AMP-CD-84"/>
            <filter val="HVBH-CD-AMP-CD-85"/>
            <filter val="HVBH-CD-AMP-CD-86"/>
            <filter val="HVBH-CD-AMP-CD-87"/>
            <filter val="HVBH-CTRL-AxCt-B-767"/>
            <filter val="HVBH-CTRL-CT-B-766"/>
            <filter val="HVBH-FSE-SSR-B-70"/>
            <filter val="HVBH-FSE-SSR-B-71"/>
            <filter val="HVBH-HSE-SSR-B-56"/>
            <filter val="HVBH-HSE-SSR-B-57"/>
            <filter val="HVBH-HSE-SSR-B-58"/>
            <filter val="HVBH-HSE-SSR-B-59"/>
            <filter val="HVBH-HSE-SSR-B-60"/>
            <filter val="HVBH-HSE-SSR-B-61"/>
            <filter val="HVBH-HSE-SSR-B-62"/>
            <filter val="HVBH-HSE-SSR-B-63"/>
            <filter val="HVBH-HSE-SSR-B-64"/>
            <filter val="HVBH-HSE-SSR-B-65"/>
            <filter val="HVBH-HSE-SSR-B-66"/>
            <filter val="HVBH-HSE-SSR-B-67"/>
            <filter val="HVBH-HSE-SSR-B-68"/>
            <filter val="HVBH-HSE-SSR-B-69"/>
            <filter val="HVBH-TF-TC-Ts-88"/>
            <filter val="HVBH-TF-TC-Ts-89"/>
            <filter val="HVBH-TF-TC-Ts-90"/>
            <filter val="HVBH-TF-TC-Ts-91"/>
            <filter val="HVBH-TF-TC-Ts-92"/>
            <filter val="HVBH-TF-TC-Ts-93"/>
            <filter val="HVBH-TF-TC-Ts-94"/>
            <filter val="HVBH-TF-TC-Ts-95"/>
            <filter val="HVBH-TF-TC-Ts-96"/>
            <filter val="HVBH-TF-TC-Ts-97"/>
            <filter val="HVHSUP"/>
            <filter val="HYD-CL-PXS-PxC-243"/>
            <filter val="HYD-CL-PXS-PxC-244"/>
            <filter val="HYD-CL-PXS-PxO-241"/>
            <filter val="HYD-CL-PXS-PxO-242"/>
            <filter val="HYD-HD-DVL-B-216"/>
            <filter val="HYD-HD-PXS-Px-225"/>
            <filter val="HYD-HD-PXS-Px-226"/>
            <filter val="HYD-HD-PXS-Px-227"/>
            <filter val="HYD-HD-PXS-Px-228"/>
            <filter val="HYD-HD-PXS-Px-229"/>
            <filter val="HYD-HD-PXS-Px-230"/>
            <filter val="HYD-HD-PXS-Px-231"/>
            <filter val="HYD-HD-PXS-Px-232"/>
            <filter val="HYD-HD-PXS-PxC-229"/>
            <filter val="HYD-HD-PXS-PxC-230"/>
            <filter val="HYD-HD-PXS-PxC-231"/>
            <filter val="HYD-HD-PXS-PxC-232"/>
            <filter val="HYD-HD-PXS-PxE-233"/>
            <filter val="HYD-HD-PXS-PxE-234"/>
            <filter val="HYD-HD-PXS-PxE-235"/>
            <filter val="HYD-HD-PXS-PxE-236"/>
            <filter val="HYD-HD-PXS-PxO-225"/>
            <filter val="HYD-HD-PXS-PxO-226"/>
            <filter val="HYD-HD-PXS-PxO-227"/>
            <filter val="HYD-HD-PXS-PxO-228"/>
            <filter val="HYD-HD-PXS-PxR-237"/>
            <filter val="HYD-HD-PXS-PxR-238"/>
            <filter val="HYD-HD-PXS-PxR-239"/>
            <filter val="HYD-HD-PXS-PxR-240"/>
            <filter val="HYD-HD-SSR-B-168"/>
            <filter val="HYD-HD-SSR-B-169"/>
            <filter val="HYD-HD-TC-Ts-548"/>
            <filter val="HYD-HD-TC-Ts-549"/>
            <filter val="HYD-HD-TC-Ts-550"/>
            <filter val="HYD-HD-TC-Ts-551"/>
            <filter val="HYD-LFT-INC-INCL-246"/>
            <filter val="HYD-LFT-INC-INCL-247"/>
            <filter val="HYD-LFT-INC-INCL-248"/>
            <filter val="HYD-LFT-PVL-Pos-152"/>
            <filter val="HYD-LFT-PVL-Pos-153"/>
            <filter val="HYD-LFT-PVL-Pos-154"/>
            <filter val="HYD-S1U-DVL-B-202"/>
            <filter val="HYD-S1U-PXS-Px-221"/>
            <filter val="HYD-S1U-PXS-Px-222"/>
            <filter val="HYD-S1U-PXS-Px-223"/>
            <filter val="HYD-S1U-PXS-Px-224"/>
            <filter val="HYD-S1U-PXS-Px-245"/>
            <filter val="HYD-S1U-PXS-Px-578"/>
            <filter val="HYD-S1U-PXS-PxE-221"/>
            <filter val="HYD-S1U-PXS-PxR-224"/>
            <filter val="IGN_Ts"/>
            <filter val="ISO-EN PSU A"/>
            <filter val="ISO-EN PSU B"/>
            <filter val="LEV-1"/>
            <filter val="LEV-2"/>
            <filter val="LEV-3"/>
            <filter val="M1"/>
            <filter val="M10"/>
            <filter val="M10K"/>
            <filter val="M2"/>
            <filter val="M3"/>
            <filter val="M4"/>
            <filter val="M5"/>
            <filter val="M9"/>
            <filter val="M9K"/>
            <filter val="MEC-CL-PXS-PxC-419"/>
            <filter val="MEC-CL-PXS-PxC-651"/>
            <filter val="MEC-CL-PXS-PxC-653"/>
            <filter val="MEC-CL-PXS-PxO-418"/>
            <filter val="MEC-CL-PXS-PxO-650"/>
            <filter val="MEC-CL-PXS-PxO-652"/>
            <filter val="NA"/>
            <filter val="Not Allocated"/>
            <filter val="P1 PRV (S5)"/>
            <filter val="P2 PRV (S6)"/>
            <filter val="PC-FAR-COT-ST-131"/>
            <filter val="PC-PRG-CTL-GV-420"/>
            <filter val="PT-1"/>
            <filter val="PT-2"/>
            <filter val="PT-3"/>
            <filter val="PT-4"/>
            <filter val="PT-5"/>
            <filter val="PT-6"/>
            <filter val="PTA-1"/>
            <filter val="PTA-2"/>
            <filter val="PTA-3"/>
            <filter val="PTA-4"/>
            <filter val="PTA-5"/>
            <filter val="PTA-6"/>
            <filter val="PTAC-1"/>
            <filter val="PTAC-2"/>
            <filter val="PTAC-3"/>
            <filter val="PTAC-4"/>
            <filter val="PTAC-5"/>
            <filter val="PTAC-6"/>
            <filter val="PTAC-7"/>
            <filter val="PTB-1"/>
            <filter val="PTB-2"/>
            <filter val="PTB-3"/>
            <filter val="PTB-4"/>
            <filter val="PTB-5"/>
            <filter val="PTB-6"/>
            <filter val="Relay to be added"/>
            <filter val="S1"/>
            <filter val="S10.1"/>
            <filter val="S10.2"/>
            <filter val="S11 - S12"/>
            <filter val="S13.1"/>
            <filter val="S13.2"/>
            <filter val="S14 - S15"/>
            <filter val="S16"/>
            <filter val="S17"/>
            <filter val="S17 -S19 -S21 -S23"/>
            <filter val="S18 -S20 -S22 -S24"/>
            <filter val="S19"/>
            <filter val="S1L-ISO(A)"/>
            <filter val="S1L-ISO(B)"/>
            <filter val="S1U-ISO(A)"/>
            <filter val="S1U-ISO(B)"/>
            <filter val="S1-UMB_Face_Ts"/>
            <filter val="S1-UMB_Ts"/>
            <filter val="S2"/>
            <filter val="S21"/>
            <filter val="S23"/>
            <filter val="S25.1"/>
            <filter val="S25.1 - S26.1 - S27.1 - S28.1 - S47.1 - S47.2 - S47.3 - S47.4"/>
            <filter val="S25.2"/>
            <filter val="S25.2 -S26.2 -S27.2 -S28.2"/>
            <filter val="S26.1"/>
            <filter val="S26.2"/>
            <filter val="S27.1"/>
            <filter val="S27.2"/>
            <filter val="S28.1"/>
            <filter val="S28.2"/>
            <filter val="S29"/>
            <filter val="S2J-S2H-DVL-Pos-435"/>
            <filter val="S2J-S2H-PXS-PxE-437"/>
            <filter val="S2J-S2H-PXS-PxR-438"/>
            <filter val="S2L-ISO(A)"/>
            <filter val="S2L-ISO(B)"/>
            <filter val="S2U-ISO(A)"/>
            <filter val="S2U-ISO(B)"/>
            <filter val="S2-Umb_Ts"/>
            <filter val="S3"/>
            <filter val="S30.1"/>
            <filter val="S30.1 - S30.2"/>
            <filter val="S30.2"/>
            <filter val="S31.1"/>
            <filter val="S31.1 - S31.2"/>
            <filter val="S31.2"/>
            <filter val="S32.1"/>
            <filter val="S32.2"/>
            <filter val="S33"/>
            <filter val="S34 - S36"/>
            <filter val="S34 -S36"/>
            <filter val="S35 -S37"/>
            <filter val="S38 - S39"/>
            <filter val="S3-ISO(A)"/>
            <filter val="S3-ISO(B)"/>
            <filter val="S4"/>
            <filter val="S40"/>
            <filter val="S41"/>
            <filter val="S42"/>
            <filter val="S43"/>
            <filter val="S44"/>
            <filter val="S45"/>
            <filter val="S46"/>
            <filter val="S47.1"/>
            <filter val="S47.2"/>
            <filter val="S47.3"/>
            <filter val="S47.4"/>
            <filter val="S7"/>
            <filter val="S8"/>
            <filter val="S9"/>
            <filter val="SITOP1"/>
            <filter val="SITOP10"/>
            <filter val="SITOP11"/>
            <filter val="SITOP12"/>
            <filter val="SITOP14"/>
            <filter val="SITOP15"/>
            <filter val="SITOP2"/>
            <filter val="SITOP3"/>
            <filter val="SITOP4"/>
            <filter val="SITOP5"/>
            <filter val="SITOP6"/>
            <filter val="SITOP7"/>
            <filter val="SITOP8"/>
            <filter val="SITOP9"/>
            <filter val="SSR017"/>
            <filter val="STB_Fr_Face_Ts"/>
            <filter val="STP-CB6RST"/>
            <filter val="STP-CB8RST"/>
            <filter val="STP-RST"/>
            <filter val="SW16"/>
            <filter val="SW29"/>
            <filter val="SW40"/>
            <filter val="SWAC-1-C"/>
            <filter val="SWAC-1-O"/>
            <filter val="SWAC-2-C"/>
            <filter val="SWAC-2-O"/>
            <filter val="SWAC-3-C"/>
            <filter val="SWAC-3-O"/>
            <filter val="SWAC-4-C"/>
            <filter val="SWAC-4-O"/>
            <filter val="SWAC-5-C"/>
            <filter val="SWAC-5-O"/>
            <filter val="SWAC-6-C"/>
            <filter val="SWAC-6-O"/>
            <filter val="SWAC-7-C"/>
            <filter val="SWAC-7-O"/>
            <filter val="TEMP-1"/>
            <filter val="TMP-ZT-RTD-Ts-721"/>
            <filter val="TMP-ZT-RTD-Ts-726"/>
            <filter val="TMP-ZT-RTD-Ts-727"/>
            <filter val="TMP-ZT-RTD-Ts-728"/>
            <filter val="TMP-ZT-RTD-Ts-729"/>
            <filter val="TMP-ZT-RTD-Ts-730"/>
            <filter val="TMP-ZT-RTD-Ts-765"/>
          </filters>
        </filterColumn>
        <filterColumn colId="18">
          <filters>
            <filter val="CB7"/>
          </filters>
        </filterColumn>
        <sortState xmlns:xlrd2="http://schemas.microsoft.com/office/spreadsheetml/2017/richdata2" ref="A3:BD771">
          <sortCondition ref="O3:O771"/>
          <sortCondition ref="J3:J771"/>
          <sortCondition ref="B3:B771"/>
          <sortCondition ref="P3:P771"/>
          <sortCondition ref="N3:N771"/>
          <sortCondition ref="H3:H771"/>
          <sortCondition ref="F3:F771"/>
          <sortCondition ref="Z3:Z771"/>
        </sortState>
      </autoFilter>
    </customSheetView>
    <customSheetView guid="{867D6050-DAED-4E31-8A23-756326E87753}" filter="1" showAutoFilter="1">
      <pageMargins left="0" right="0" top="0" bottom="0" header="0" footer="0"/>
      <autoFilter ref="A3:BD771" xr:uid="{2D79119B-5736-460A-AF4D-32E359814938}">
        <filterColumn colId="10">
          <filters>
            <filter val="C1"/>
            <filter val="C4"/>
            <filter val="C5"/>
          </filters>
        </filterColumn>
      </autoFilter>
    </customSheetView>
    <customSheetView guid="{A2AC78AE-28DC-435C-BA12-3B308A889B0E}" filter="1" showAutoFilter="1">
      <pageMargins left="0" right="0" top="0" bottom="0" header="0" footer="0"/>
      <autoFilter ref="A3:BD771" xr:uid="{7E9A7834-0E8A-4AA0-8ED2-E7DE4794524F}">
        <sortState xmlns:xlrd2="http://schemas.microsoft.com/office/spreadsheetml/2017/richdata2" ref="A3:BD771">
          <sortCondition ref="B3:B771"/>
          <sortCondition descending="1" ref="N3:N771"/>
          <sortCondition ref="P3:P771"/>
          <sortCondition ref="K3:K771"/>
          <sortCondition ref="O3:O771"/>
          <sortCondition ref="F3:F771"/>
        </sortState>
      </autoFilter>
    </customSheetView>
    <customSheetView guid="{01F646B7-0485-413E-A82A-E3D81AB42A15}" filter="1" showAutoFilter="1">
      <pageMargins left="0" right="0" top="0" bottom="0" header="0" footer="0"/>
      <autoFilter ref="A3:BD771" xr:uid="{E553BD8E-8FEA-495E-AF44-D27C07B3D16D}">
        <filterColumn colId="6">
          <filters>
            <filter val="Engine purge"/>
            <filter val="Explosive Atmosphere Monitoring"/>
            <filter val="Liquid Oxygen"/>
            <filter val="Mechanical"/>
          </filters>
        </filterColumn>
      </autoFilter>
    </customSheetView>
    <customSheetView guid="{DB50723B-586F-406C-8CA1-27F4DAECE29A}" filter="1" showAutoFilter="1">
      <pageMargins left="0" right="0" top="0" bottom="0" header="0" footer="0"/>
      <autoFilter ref="A3:AE731" xr:uid="{25F6772F-5FB2-44BA-A0FE-9849CBCCD263}">
        <filterColumn colId="6">
          <filters>
            <filter val="Hydraulics"/>
            <filter val="Engine purge"/>
          </filters>
        </filterColumn>
      </autoFilter>
    </customSheetView>
    <customSheetView guid="{8F9A93E5-38CD-444A-8C50-E67337D8B4C6}" filter="1" showAutoFilter="1">
      <pageMargins left="0" right="0" top="0" bottom="0" header="0" footer="0"/>
      <autoFilter ref="A3:U771" xr:uid="{03EF1CF2-184D-4117-A65F-954AC8E5902D}">
        <filterColumn colId="4">
          <filters>
            <filter val="Accumulator isolation HD Lock Closed"/>
            <filter val="Accumulator isolation HD Lock Open"/>
            <filter val="Fairing umbilical supply"/>
            <filter val="HD Lock accumulator bladder pressure"/>
            <filter val="HD lock accumulator bleed  - Cmd"/>
            <filter val="HD lock accumulator bleed valve state"/>
            <filter val="HD lock gang open/close  - Cmd"/>
            <filter val="HD lock invert drive state  - Cmd"/>
            <filter val="Kero ISO dessicant filter array bypass"/>
            <filter val="Kero VSD E-Stop"/>
            <filter val="LOX pump 2 Oulet pressure"/>
            <filter val="LOX stage 2 umbilical back purge"/>
            <filter val="Prox Closed - HD Lock 1"/>
            <filter val="Prox Closed - HD Lock 2"/>
            <filter val="Prox Closed - HD Lock 3"/>
            <filter val="Prox Closed - HD Lock 4"/>
            <filter val="Prox Open - HD Lock 1"/>
            <filter val="Prox Open - HD Lock 2"/>
            <filter val="Prox Open - HD Lock 3"/>
            <filter val="Prox Open - HD Lock 4"/>
            <filter val="Pump Inlet valve Cmd"/>
            <filter val="S2 Umbilical Low pressure locking valve AND High Pressure Jettison Valve"/>
          </filters>
        </filterColumn>
        <sortState xmlns:xlrd2="http://schemas.microsoft.com/office/spreadsheetml/2017/richdata2" ref="A3:U771">
          <sortCondition ref="B3:B771"/>
          <sortCondition ref="O3:O771"/>
          <sortCondition ref="F3:F771"/>
        </sortState>
      </autoFilter>
    </customSheetView>
    <customSheetView guid="{29A3BF3D-CB98-4450-A9E3-CDD1603A5F48}" filter="1" showAutoFilter="1">
      <pageMargins left="0" right="0" top="0" bottom="0" header="0" footer="0"/>
      <autoFilter ref="A3:U771" xr:uid="{60819EEA-2209-4913-92A6-720F79C5C001}">
        <filterColumn colId="5">
          <filters>
            <filter val="01C300"/>
            <filter val="01C705"/>
            <filter val="01C711"/>
            <filter val="01C712"/>
            <filter val="02C348"/>
            <filter val="02C348.2"/>
            <filter val="02C703"/>
            <filter val="02C704"/>
            <filter val="04C388"/>
            <filter val="05C318, 05C319"/>
            <filter val="05C963 WRONG"/>
            <filter val="13C301.1"/>
            <filter val="13C302.1"/>
            <filter val="31RP1-VFD001"/>
            <filter val="33C902"/>
            <filter val="33C903"/>
            <filter val="33C904"/>
            <filter val="33C905"/>
            <filter val="33C906"/>
            <filter val="33C907"/>
            <filter val="33C908"/>
            <filter val="33C909"/>
            <filter val="HVBH-CTRL-AxCt-B-767"/>
            <filter val="HVBH-CTRL-CT-B-766"/>
            <filter val="KF-TR-PRS-Ps-573"/>
            <filter val="Not Allocated"/>
            <filter val="PC-FAR-COT-ST-131"/>
            <filter val="S11 - S12"/>
            <filter val="S14 - S15"/>
            <filter val="S17 -S19 -S21 -S23"/>
            <filter val="S18 -S20 -S22 -S24"/>
            <filter val="S25.1 - S26.1 - S27.1 - S28.1 - S47.1 - S47.2 - S47.3 - S47.4"/>
            <filter val="S25.2 -S26.2 -S27.2 -S28.2"/>
            <filter val="S30.1 - S30.2"/>
            <filter val="S31.1 - S31.2"/>
            <filter val="S34 - S36"/>
            <filter val="S34 -S36"/>
            <filter val="S35 -S37"/>
            <filter val="S38 - S39"/>
            <filter val="TMP-ZT-RTD-Ts-765"/>
          </filters>
        </filterColumn>
        <sortState xmlns:xlrd2="http://schemas.microsoft.com/office/spreadsheetml/2017/richdata2" ref="A3:U771">
          <sortCondition ref="B3:B771"/>
          <sortCondition ref="K3:K771"/>
        </sortState>
      </autoFilter>
    </customSheetView>
    <customSheetView guid="{2D2FE776-7B95-4E94-BE67-069406AAE06D}" filter="1" showAutoFilter="1">
      <pageMargins left="0" right="0" top="0" bottom="0" header="0" footer="0"/>
      <autoFilter ref="A1:BD731" xr:uid="{EDB95A7F-8CAF-43E5-B4A6-4689F5746C9F}"/>
    </customSheetView>
    <customSheetView guid="{A692BA3E-DCED-4157-8340-C6216F1B5E02}" filter="1" showAutoFilter="1">
      <pageMargins left="0" right="0" top="0" bottom="0" header="0" footer="0"/>
      <autoFilter ref="A1:BD731" xr:uid="{2FA63B56-B801-464C-8F87-6A979ABD260F}"/>
    </customSheetView>
    <customSheetView guid="{56797E49-470F-47D9-93E5-43FD85CF278F}" filter="1" showAutoFilter="1">
      <pageMargins left="0" right="0" top="0" bottom="0" header="0" footer="0"/>
      <autoFilter ref="A3:AL771" xr:uid="{72DF4BC9-6B99-44DB-9B4F-AE38B4D032F3}"/>
    </customSheetView>
  </customSheetViews>
  <conditionalFormatting sqref="A1">
    <cfRule type="colorScale" priority="26">
      <colorScale>
        <cfvo type="min"/>
        <cfvo type="max"/>
        <color rgb="FF57BB8A"/>
        <color rgb="FFFFFFFF"/>
      </colorScale>
    </cfRule>
  </conditionalFormatting>
  <dataValidations count="3">
    <dataValidation type="list" allowBlank="1" sqref="L826:L829 L2:L810" xr:uid="{4C006A7B-A2AB-485F-B5F0-05E9C10A6217}">
      <formula1>Units</formula1>
    </dataValidation>
    <dataValidation type="list" allowBlank="1" showErrorMessage="1" sqref="M2:M765 M780:M781" xr:uid="{2862B7C9-EF86-46A7-8B8D-2B04BDEFDDE9}">
      <formula1>"Critical,Non-Critical"</formula1>
    </dataValidation>
    <dataValidation type="list" allowBlank="1" sqref="I826:I829 I2:I810" xr:uid="{E511EAD0-7C76-4B8D-B898-1CC1DC2788E2}">
      <formula1>IO_Types</formula1>
    </dataValidation>
  </dataValidations>
  <printOptions horizontalCentered="1" gridLines="1"/>
  <pageMargins left="0.7" right="0.7" top="0.75" bottom="0.75" header="0" footer="0"/>
  <pageSetup paperSize="8" fitToHeight="0" pageOrder="overThenDown" orientation="landscape" cellComments="atEnd" r:id="rId1"/>
  <legacyDrawing r:id="rId2"/>
  <extLst>
    <ext xmlns:x14="http://schemas.microsoft.com/office/spreadsheetml/2009/9/main" uri="{CCE6A557-97BC-4b89-ADB6-D9C93CAAB3DF}">
      <x14:dataValidations xmlns:xm="http://schemas.microsoft.com/office/excel/2006/main" count="31">
        <x14:dataValidation type="list" allowBlank="1" xr:uid="{E32E3221-6E41-48D2-BFF6-266C0F8B3E01}">
          <x14:formula1>
            <xm:f>'REF - System &amp; Subsystem'!$G:$G</xm:f>
          </x14:formula1>
          <xm:sqref>K826:K829 K2:K810</xm:sqref>
        </x14:dataValidation>
        <x14:dataValidation type="list" allowBlank="1" xr:uid="{D01927AA-3722-4729-9628-5D46E626D01E}">
          <x14:formula1>
            <xm:f>'REF - System &amp; Subsystem'!$A:$A</xm:f>
          </x14:formula1>
          <xm:sqref>F826:F829 F2:F810</xm:sqref>
        </x14:dataValidation>
        <x14:dataValidation type="list" allowBlank="1" xr:uid="{417C7072-331E-4D0A-9E3C-266D112E1EE6}">
          <x14:formula1>
            <xm:f>'REF - System &amp; Subsystem'!$C:$C</xm:f>
          </x14:formula1>
          <xm:sqref>G826:G829 G2:G813</xm:sqref>
        </x14:dataValidation>
        <x14:dataValidation type="list" allowBlank="1" xr:uid="{A7A1C293-C201-4A02-B028-65503C01437C}">
          <x14:formula1>
            <xm:f>'REF - System &amp; Subsystem'!$E:$E</xm:f>
          </x14:formula1>
          <xm:sqref>H826:H829 H2:H810</xm:sqref>
        </x14:dataValidation>
        <x14:dataValidation type="list" allowBlank="1" xr:uid="{211CFCFF-5625-4EA6-A315-8A16BD91F155}">
          <x14:formula1>
            <xm:f>'REF - System &amp; Subsystem'!$Q$2:$Q1473</xm:f>
          </x14:formula1>
          <xm:sqref>O725:O810</xm:sqref>
        </x14:dataValidation>
        <x14:dataValidation type="list" allowBlank="1" xr:uid="{08424EF0-A00E-4744-A0DB-DDFC5059CD2C}">
          <x14:formula1>
            <xm:f>'REF - System &amp; Subsystem'!$Q$2:$Q1468</xm:f>
          </x14:formula1>
          <xm:sqref>O717:O718</xm:sqref>
        </x14:dataValidation>
        <x14:dataValidation type="list" allowBlank="1" xr:uid="{B0E0F837-60B2-4D85-995F-0841CABF551F}">
          <x14:formula1>
            <xm:f>'REF - System &amp; Subsystem'!$Q$2:$Q1469</xm:f>
          </x14:formula1>
          <xm:sqref>O719:O724</xm:sqref>
        </x14:dataValidation>
        <x14:dataValidation type="list" allowBlank="1" xr:uid="{30107BB7-49AA-4507-BBC9-3EAA98C2D6CE}">
          <x14:formula1>
            <xm:f>'REF - System &amp; Subsystem'!$Q$2:$Q1468</xm:f>
          </x14:formula1>
          <xm:sqref>O715:O716</xm:sqref>
        </x14:dataValidation>
        <x14:dataValidation type="list" allowBlank="1" xr:uid="{430A256B-DE49-407B-8482-B926D71B4626}">
          <x14:formula1>
            <xm:f>'REF - System &amp; Subsystem'!$Q$2:$Q1468</xm:f>
          </x14:formula1>
          <xm:sqref>O714</xm:sqref>
        </x14:dataValidation>
        <x14:dataValidation type="list" allowBlank="1" xr:uid="{4711685A-E20C-479C-9C17-4DE6CD9A40F1}">
          <x14:formula1>
            <xm:f>'REF - System &amp; Subsystem'!$Q$2:$Q1397</xm:f>
          </x14:formula1>
          <xm:sqref>O641:O713</xm:sqref>
        </x14:dataValidation>
        <x14:dataValidation type="list" allowBlank="1" xr:uid="{791199AE-BE42-4FE1-8C16-96F9F94C6210}">
          <x14:formula1>
            <xm:f>'REF - System &amp; Subsystem'!$Q$2:$Q1396</xm:f>
          </x14:formula1>
          <xm:sqref>O639:O640</xm:sqref>
        </x14:dataValidation>
        <x14:dataValidation type="list" allowBlank="1" xr:uid="{77C83724-E755-459A-AB2F-54629ED22004}">
          <x14:formula1>
            <xm:f>'REF - System &amp; Subsystem'!$Q$2:$Q1396</xm:f>
          </x14:formula1>
          <xm:sqref>O638</xm:sqref>
        </x14:dataValidation>
        <x14:dataValidation type="list" allowBlank="1" xr:uid="{A00B6621-A7E1-4914-BEBE-634756B2C06D}">
          <x14:formula1>
            <xm:f>'REF - System &amp; Subsystem'!$Q$2:$Q1383</xm:f>
          </x14:formula1>
          <xm:sqref>O623:O636</xm:sqref>
        </x14:dataValidation>
        <x14:dataValidation type="list" allowBlank="1" xr:uid="{8642146D-8804-42BD-87B0-43B69E55D014}">
          <x14:formula1>
            <xm:f>'REF - System &amp; Subsystem'!$Q$2:$Q1396</xm:f>
          </x14:formula1>
          <xm:sqref>O637</xm:sqref>
        </x14:dataValidation>
        <x14:dataValidation type="list" allowBlank="1" xr:uid="{989E29D4-9D28-4DF7-A056-08342DA45219}">
          <x14:formula1>
            <xm:f>'REF - System &amp; Subsystem'!$Q$2:$Q1292</xm:f>
          </x14:formula1>
          <xm:sqref>O528:O531</xm:sqref>
        </x14:dataValidation>
        <x14:dataValidation type="list" allowBlank="1" xr:uid="{1D2DDA6E-423B-474F-8EC6-FC2636A7EE39}">
          <x14:formula1>
            <xm:f>'REF - System &amp; Subsystem'!$Q$2:$Q1295</xm:f>
          </x14:formula1>
          <xm:sqref>O532:O533</xm:sqref>
        </x14:dataValidation>
        <x14:dataValidation type="list" allowBlank="1" xr:uid="{2C92E64D-EC15-41FC-8EE5-FC0846514296}">
          <x14:formula1>
            <xm:f>'REF - System &amp; Subsystem'!$Q$2:$Q1296</xm:f>
          </x14:formula1>
          <xm:sqref>O534:O622</xm:sqref>
        </x14:dataValidation>
        <x14:dataValidation type="list" allowBlank="1" xr:uid="{5471D68A-2C65-444B-B2B7-50ACE9D28C4C}">
          <x14:formula1>
            <xm:f>'REF - System &amp; Subsystem'!$Q$2:$Q1228</xm:f>
          </x14:formula1>
          <xm:sqref>O457:O466</xm:sqref>
        </x14:dataValidation>
        <x14:dataValidation type="list" allowBlank="1" xr:uid="{51FBE809-F8CC-41C2-806D-7CEA8EC5F0DA}">
          <x14:formula1>
            <xm:f>'REF - System &amp; Subsystem'!$Q$2:$Q1237</xm:f>
          </x14:formula1>
          <xm:sqref>O467:O479</xm:sqref>
        </x14:dataValidation>
        <x14:dataValidation type="list" allowBlank="1" xr:uid="{E0B3BA43-AA24-44EA-8591-CA12C083B2A4}">
          <x14:formula1>
            <xm:f>'REF - System &amp; Subsystem'!$Q$2:$Q1249</xm:f>
          </x14:formula1>
          <xm:sqref>O480:O487</xm:sqref>
        </x14:dataValidation>
        <x14:dataValidation type="list" allowBlank="1" xr:uid="{73344E30-3BE7-4A97-9DB5-71FD9059E69F}">
          <x14:formula1>
            <xm:f>'REF - System &amp; Subsystem'!$Q$2:$Q1256</xm:f>
          </x14:formula1>
          <xm:sqref>O488:O495</xm:sqref>
        </x14:dataValidation>
        <x14:dataValidation type="list" allowBlank="1" xr:uid="{9B157AFD-5845-4118-8A66-1EE6FCDC256A}">
          <x14:formula1>
            <xm:f>'REF - System &amp; Subsystem'!$Q$2:$Q1263</xm:f>
          </x14:formula1>
          <xm:sqref>O496:O522</xm:sqref>
        </x14:dataValidation>
        <x14:dataValidation type="list" allowBlank="1" xr:uid="{7288E140-6115-4E3C-AB36-74157FEF27A4}">
          <x14:formula1>
            <xm:f>'REF - System &amp; Subsystem'!$Q$2:$Q1289</xm:f>
          </x14:formula1>
          <xm:sqref>O523:O527</xm:sqref>
        </x14:dataValidation>
        <x14:dataValidation type="list" allowBlank="1" xr:uid="{0AC0217B-1D9C-4A6C-B96D-C01F52C07881}">
          <x14:formula1>
            <xm:f>'REF - System &amp; Subsystem'!$Q$2:$Q900</xm:f>
          </x14:formula1>
          <xm:sqref>O123:O197</xm:sqref>
        </x14:dataValidation>
        <x14:dataValidation type="list" allowBlank="1" xr:uid="{41408916-39D1-49C9-92C9-CF38AF2C7DB3}">
          <x14:formula1>
            <xm:f>'REF - System &amp; Subsystem'!$Q$2:$Q974</xm:f>
          </x14:formula1>
          <xm:sqref>O198:O295</xm:sqref>
        </x14:dataValidation>
        <x14:dataValidation type="list" allowBlank="1" xr:uid="{B3A76096-8827-4320-AC43-48E14AADD21B}">
          <x14:formula1>
            <xm:f>'REF - System &amp; Subsystem'!$Q$2:$Q1071</xm:f>
          </x14:formula1>
          <xm:sqref>O296:O308</xm:sqref>
        </x14:dataValidation>
        <x14:dataValidation type="list" allowBlank="1" xr:uid="{81E93094-D441-4D4C-A9C2-1A62E320D580}">
          <x14:formula1>
            <xm:f>'REF - System &amp; Subsystem'!$Q$2:$Q1083</xm:f>
          </x14:formula1>
          <xm:sqref>O309:O315</xm:sqref>
        </x14:dataValidation>
        <x14:dataValidation type="list" allowBlank="1" xr:uid="{F210098D-B280-47E5-9F2E-DBFAD47763F2}">
          <x14:formula1>
            <xm:f>'REF - System &amp; Subsystem'!$Q$2:$Q1089</xm:f>
          </x14:formula1>
          <xm:sqref>O316:O455</xm:sqref>
        </x14:dataValidation>
        <x14:dataValidation type="list" allowBlank="1" xr:uid="{51913DA0-6D97-484C-A3D5-657EF78D59C6}">
          <x14:formula1>
            <xm:f>'REF - System &amp; Subsystem'!$Q$2:$Q1228</xm:f>
          </x14:formula1>
          <xm:sqref>O456</xm:sqref>
        </x14:dataValidation>
        <x14:dataValidation type="list" allowBlank="1" xr:uid="{B03FDC60-7080-4CD5-B53F-81000F3673AA}">
          <x14:formula1>
            <xm:f>'REF - System &amp; Subsystem'!$Q$2:$Q781</xm:f>
          </x14:formula1>
          <xm:sqref>O2:O121</xm:sqref>
        </x14:dataValidation>
        <x14:dataValidation type="list" allowBlank="1" xr:uid="{BA6AADAC-9C47-4A70-A2F0-4888C6A46D7D}">
          <x14:formula1>
            <xm:f>'REF - System &amp; Subsystem'!$Q$2:$Q900</xm:f>
          </x14:formula1>
          <xm:sqref>O122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7EC53-CDA9-42D3-9EE0-7E811552224B}">
  <dimension ref="A1:L1107"/>
  <sheetViews>
    <sheetView topLeftCell="A439" workbookViewId="0">
      <selection activeCell="H463" sqref="H463"/>
    </sheetView>
  </sheetViews>
  <sheetFormatPr defaultRowHeight="12.75"/>
  <cols>
    <col min="1" max="1" width="8.1328125" bestFit="1" customWidth="1"/>
    <col min="2" max="2" width="16.73046875" bestFit="1" customWidth="1"/>
    <col min="3" max="3" width="32.59765625" bestFit="1" customWidth="1"/>
    <col min="4" max="4" width="16.1328125" bestFit="1" customWidth="1"/>
    <col min="5" max="5" width="7.86328125" bestFit="1" customWidth="1"/>
    <col min="6" max="6" width="22.73046875" bestFit="1" customWidth="1"/>
    <col min="7" max="7" width="16.1328125" bestFit="1" customWidth="1"/>
    <col min="8" max="8" width="74.3984375" bestFit="1" customWidth="1"/>
    <col min="9" max="9" width="45" bestFit="1" customWidth="1"/>
    <col min="10" max="10" width="47.1328125" bestFit="1" customWidth="1"/>
    <col min="11" max="12" width="25" bestFit="1" customWidth="1"/>
  </cols>
  <sheetData>
    <row r="1" spans="1:12">
      <c r="A1" s="184" t="s">
        <v>1515</v>
      </c>
      <c r="B1" s="184" t="s">
        <v>1516</v>
      </c>
      <c r="C1" s="184" t="s">
        <v>1517</v>
      </c>
      <c r="D1" s="184" t="s">
        <v>1518</v>
      </c>
      <c r="E1" s="184" t="s">
        <v>1519</v>
      </c>
      <c r="F1" s="184" t="s">
        <v>1520</v>
      </c>
      <c r="G1" s="184" t="s">
        <v>1521</v>
      </c>
      <c r="H1" s="184" t="s">
        <v>1522</v>
      </c>
      <c r="I1" s="184" t="s">
        <v>1523</v>
      </c>
      <c r="J1" s="184" t="s">
        <v>1524</v>
      </c>
      <c r="K1" s="184" t="s">
        <v>1525</v>
      </c>
      <c r="L1" s="184" t="s">
        <v>1526</v>
      </c>
    </row>
    <row r="2" spans="1:12">
      <c r="A2" s="184" t="s">
        <v>1527</v>
      </c>
      <c r="B2" s="184" t="s">
        <v>1528</v>
      </c>
      <c r="C2" s="184" t="s">
        <v>1529</v>
      </c>
      <c r="D2" s="184" t="s">
        <v>1530</v>
      </c>
      <c r="E2" s="184"/>
      <c r="F2" s="184" t="s">
        <v>1531</v>
      </c>
      <c r="G2" s="184" t="s">
        <v>1532</v>
      </c>
      <c r="H2" s="184" t="s">
        <v>1533</v>
      </c>
      <c r="I2" s="184" t="s">
        <v>352</v>
      </c>
      <c r="J2" s="184" t="s">
        <v>354</v>
      </c>
      <c r="K2" s="184"/>
      <c r="L2" s="184"/>
    </row>
    <row r="3" spans="1:12">
      <c r="A3" s="184" t="s">
        <v>1527</v>
      </c>
      <c r="B3" s="184" t="s">
        <v>1528</v>
      </c>
      <c r="C3" s="184" t="s">
        <v>1529</v>
      </c>
      <c r="D3" s="184" t="s">
        <v>1530</v>
      </c>
      <c r="E3" s="184"/>
      <c r="F3" s="184" t="s">
        <v>1534</v>
      </c>
      <c r="G3" s="184" t="s">
        <v>1532</v>
      </c>
      <c r="H3" s="184" t="s">
        <v>1535</v>
      </c>
      <c r="I3" s="184" t="s">
        <v>354</v>
      </c>
      <c r="J3" s="184" t="s">
        <v>1536</v>
      </c>
      <c r="K3" s="184"/>
      <c r="L3" s="184"/>
    </row>
    <row r="4" spans="1:12">
      <c r="A4" s="184" t="s">
        <v>1527</v>
      </c>
      <c r="B4" s="184" t="s">
        <v>1528</v>
      </c>
      <c r="C4" s="184" t="s">
        <v>1529</v>
      </c>
      <c r="D4" s="184" t="s">
        <v>1530</v>
      </c>
      <c r="E4" s="184"/>
      <c r="F4" s="184" t="s">
        <v>1537</v>
      </c>
      <c r="G4" s="184" t="s">
        <v>1532</v>
      </c>
      <c r="H4" s="184" t="s">
        <v>1538</v>
      </c>
      <c r="I4" s="184" t="s">
        <v>243</v>
      </c>
      <c r="J4" s="184"/>
      <c r="K4" s="184"/>
      <c r="L4" s="184"/>
    </row>
    <row r="5" spans="1:12">
      <c r="A5" s="184" t="s">
        <v>1527</v>
      </c>
      <c r="B5" s="184" t="s">
        <v>1528</v>
      </c>
      <c r="C5" s="184" t="s">
        <v>1529</v>
      </c>
      <c r="D5" s="184" t="s">
        <v>1530</v>
      </c>
      <c r="E5" s="184"/>
      <c r="F5" s="184" t="s">
        <v>1539</v>
      </c>
      <c r="G5" s="184" t="s">
        <v>1532</v>
      </c>
      <c r="H5" s="184" t="s">
        <v>1540</v>
      </c>
      <c r="I5" s="184" t="s">
        <v>250</v>
      </c>
      <c r="J5" s="184"/>
      <c r="K5" s="184"/>
      <c r="L5" s="184"/>
    </row>
    <row r="6" spans="1:12">
      <c r="A6" s="184" t="s">
        <v>1527</v>
      </c>
      <c r="B6" s="184" t="s">
        <v>1528</v>
      </c>
      <c r="C6" s="184" t="s">
        <v>1529</v>
      </c>
      <c r="D6" s="184" t="s">
        <v>1530</v>
      </c>
      <c r="E6" s="184"/>
      <c r="F6" s="184" t="s">
        <v>1541</v>
      </c>
      <c r="G6" s="184" t="s">
        <v>1532</v>
      </c>
      <c r="H6" s="184" t="s">
        <v>1542</v>
      </c>
      <c r="I6" s="184" t="s">
        <v>252</v>
      </c>
      <c r="J6" s="184"/>
      <c r="K6" s="184"/>
      <c r="L6" s="184"/>
    </row>
    <row r="7" spans="1:12">
      <c r="A7" s="184" t="s">
        <v>1527</v>
      </c>
      <c r="B7" s="184" t="s">
        <v>1528</v>
      </c>
      <c r="C7" s="184" t="s">
        <v>1529</v>
      </c>
      <c r="D7" s="184" t="s">
        <v>1530</v>
      </c>
      <c r="E7" s="184"/>
      <c r="F7" s="184" t="s">
        <v>1543</v>
      </c>
      <c r="G7" s="184" t="s">
        <v>1532</v>
      </c>
      <c r="H7" s="184" t="s">
        <v>1544</v>
      </c>
      <c r="I7" s="184" t="s">
        <v>255</v>
      </c>
      <c r="J7" s="184"/>
      <c r="K7" s="184"/>
      <c r="L7" s="184"/>
    </row>
    <row r="8" spans="1:12">
      <c r="A8" s="184" t="s">
        <v>1527</v>
      </c>
      <c r="B8" s="184" t="s">
        <v>1528</v>
      </c>
      <c r="C8" s="184" t="s">
        <v>1529</v>
      </c>
      <c r="D8" s="184" t="s">
        <v>1530</v>
      </c>
      <c r="E8" s="184"/>
      <c r="F8" s="184" t="s">
        <v>1545</v>
      </c>
      <c r="G8" s="184" t="s">
        <v>1532</v>
      </c>
      <c r="H8" s="184" t="s">
        <v>1546</v>
      </c>
      <c r="I8" s="184" t="s">
        <v>258</v>
      </c>
      <c r="J8" s="184"/>
      <c r="K8" s="184"/>
      <c r="L8" s="184"/>
    </row>
    <row r="9" spans="1:12">
      <c r="A9" s="184" t="s">
        <v>1527</v>
      </c>
      <c r="B9" s="184" t="s">
        <v>1528</v>
      </c>
      <c r="C9" s="184" t="s">
        <v>1547</v>
      </c>
      <c r="D9" s="184" t="s">
        <v>1530</v>
      </c>
      <c r="E9" s="184"/>
      <c r="F9" s="184" t="s">
        <v>1548</v>
      </c>
      <c r="G9" s="184" t="s">
        <v>1532</v>
      </c>
      <c r="H9" s="184" t="s">
        <v>1549</v>
      </c>
      <c r="I9" s="184" t="s">
        <v>260</v>
      </c>
      <c r="J9" s="184"/>
      <c r="K9" s="184"/>
      <c r="L9" s="184"/>
    </row>
    <row r="10" spans="1:12">
      <c r="A10" s="184" t="s">
        <v>1527</v>
      </c>
      <c r="B10" s="184" t="s">
        <v>1528</v>
      </c>
      <c r="C10" s="184" t="s">
        <v>1547</v>
      </c>
      <c r="D10" s="184" t="s">
        <v>1530</v>
      </c>
      <c r="E10" s="184"/>
      <c r="F10" s="184" t="s">
        <v>1550</v>
      </c>
      <c r="G10" s="184" t="s">
        <v>1532</v>
      </c>
      <c r="H10" s="184" t="s">
        <v>1549</v>
      </c>
      <c r="I10" s="184" t="s">
        <v>262</v>
      </c>
      <c r="J10" s="184"/>
      <c r="K10" s="184"/>
      <c r="L10" s="184"/>
    </row>
    <row r="11" spans="1:12">
      <c r="A11" s="184" t="s">
        <v>1527</v>
      </c>
      <c r="B11" s="184" t="s">
        <v>1528</v>
      </c>
      <c r="C11" s="184" t="s">
        <v>1547</v>
      </c>
      <c r="D11" s="184" t="s">
        <v>1530</v>
      </c>
      <c r="E11" s="184"/>
      <c r="F11" s="184" t="s">
        <v>1551</v>
      </c>
      <c r="G11" s="184" t="s">
        <v>1532</v>
      </c>
      <c r="H11" s="184" t="s">
        <v>1552</v>
      </c>
      <c r="I11" s="184" t="s">
        <v>264</v>
      </c>
      <c r="J11" s="184"/>
      <c r="K11" s="184"/>
      <c r="L11" s="184"/>
    </row>
    <row r="12" spans="1:12">
      <c r="A12" s="184" t="s">
        <v>1527</v>
      </c>
      <c r="B12" s="184" t="s">
        <v>1528</v>
      </c>
      <c r="C12" s="184" t="s">
        <v>1529</v>
      </c>
      <c r="D12" s="184" t="s">
        <v>1530</v>
      </c>
      <c r="E12" s="184"/>
      <c r="F12" s="184" t="s">
        <v>1553</v>
      </c>
      <c r="G12" s="184" t="s">
        <v>1532</v>
      </c>
      <c r="H12" s="184" t="s">
        <v>1554</v>
      </c>
      <c r="I12" s="184" t="s">
        <v>349</v>
      </c>
      <c r="J12" s="184" t="s">
        <v>1555</v>
      </c>
      <c r="K12" s="184"/>
      <c r="L12" s="184"/>
    </row>
    <row r="13" spans="1:12">
      <c r="A13" s="184" t="s">
        <v>1527</v>
      </c>
      <c r="B13" s="184" t="s">
        <v>1556</v>
      </c>
      <c r="C13" s="184" t="s">
        <v>1557</v>
      </c>
      <c r="D13" s="184" t="s">
        <v>1558</v>
      </c>
      <c r="E13" s="184"/>
      <c r="F13" s="184" t="s">
        <v>1559</v>
      </c>
      <c r="G13" s="184" t="s">
        <v>1532</v>
      </c>
      <c r="H13" s="184" t="s">
        <v>1560</v>
      </c>
      <c r="I13" s="184" t="s">
        <v>627</v>
      </c>
      <c r="J13" s="184" t="s">
        <v>106</v>
      </c>
      <c r="K13" s="184"/>
      <c r="L13" s="184"/>
    </row>
    <row r="14" spans="1:12">
      <c r="A14" s="184" t="s">
        <v>1527</v>
      </c>
      <c r="B14" s="184" t="s">
        <v>1556</v>
      </c>
      <c r="C14" s="184" t="s">
        <v>1557</v>
      </c>
      <c r="D14" s="184" t="s">
        <v>1558</v>
      </c>
      <c r="E14" s="184"/>
      <c r="F14" s="184" t="s">
        <v>1561</v>
      </c>
      <c r="G14" s="184" t="s">
        <v>1532</v>
      </c>
      <c r="H14" s="184" t="s">
        <v>1562</v>
      </c>
      <c r="I14" s="184" t="s">
        <v>102</v>
      </c>
      <c r="J14" s="184" t="s">
        <v>102</v>
      </c>
      <c r="K14" s="184"/>
      <c r="L14" s="184"/>
    </row>
    <row r="15" spans="1:12">
      <c r="A15" s="184" t="s">
        <v>1527</v>
      </c>
      <c r="B15" s="184" t="s">
        <v>1556</v>
      </c>
      <c r="C15" s="184" t="s">
        <v>1557</v>
      </c>
      <c r="D15" s="184" t="s">
        <v>1558</v>
      </c>
      <c r="E15" s="184"/>
      <c r="F15" s="184" t="s">
        <v>1563</v>
      </c>
      <c r="G15" s="184" t="s">
        <v>1532</v>
      </c>
      <c r="H15" s="184" t="s">
        <v>1564</v>
      </c>
      <c r="I15" s="184" t="s">
        <v>1565</v>
      </c>
      <c r="J15" s="184"/>
      <c r="K15" s="184"/>
      <c r="L15" s="184"/>
    </row>
    <row r="16" spans="1:12">
      <c r="A16" s="184" t="s">
        <v>1527</v>
      </c>
      <c r="B16" s="184" t="s">
        <v>1556</v>
      </c>
      <c r="C16" s="184" t="s">
        <v>1557</v>
      </c>
      <c r="D16" s="184" t="s">
        <v>1558</v>
      </c>
      <c r="E16" s="184"/>
      <c r="F16" s="184" t="s">
        <v>1566</v>
      </c>
      <c r="G16" s="184" t="s">
        <v>1532</v>
      </c>
      <c r="H16" s="184" t="s">
        <v>1567</v>
      </c>
      <c r="I16" s="184" t="s">
        <v>1063</v>
      </c>
      <c r="J16" s="184" t="s">
        <v>1063</v>
      </c>
      <c r="K16" s="184"/>
      <c r="L16" s="184"/>
    </row>
    <row r="17" spans="1:10">
      <c r="A17" s="184" t="s">
        <v>1527</v>
      </c>
      <c r="B17" s="184" t="s">
        <v>1556</v>
      </c>
      <c r="C17" s="184" t="s">
        <v>1557</v>
      </c>
      <c r="D17" s="184" t="s">
        <v>1558</v>
      </c>
      <c r="E17" s="184"/>
      <c r="F17" s="184" t="s">
        <v>1568</v>
      </c>
      <c r="G17" s="184" t="s">
        <v>1532</v>
      </c>
      <c r="H17" s="184" t="s">
        <v>1569</v>
      </c>
      <c r="I17" s="184" t="s">
        <v>1570</v>
      </c>
      <c r="J17" s="184" t="s">
        <v>1570</v>
      </c>
    </row>
    <row r="18" spans="1:10">
      <c r="A18" s="184" t="s">
        <v>1527</v>
      </c>
      <c r="B18" s="184" t="s">
        <v>1556</v>
      </c>
      <c r="C18" s="184" t="s">
        <v>1557</v>
      </c>
      <c r="D18" s="184" t="s">
        <v>1558</v>
      </c>
      <c r="E18" s="184"/>
      <c r="F18" s="184" t="s">
        <v>1571</v>
      </c>
      <c r="G18" s="184" t="s">
        <v>1532</v>
      </c>
      <c r="H18" s="184" t="s">
        <v>1572</v>
      </c>
      <c r="I18" s="184" t="s">
        <v>1573</v>
      </c>
      <c r="J18" s="184" t="s">
        <v>1573</v>
      </c>
    </row>
    <row r="19" spans="1:10">
      <c r="A19" s="184" t="s">
        <v>1527</v>
      </c>
      <c r="B19" s="184" t="s">
        <v>1556</v>
      </c>
      <c r="C19" s="184" t="s">
        <v>1557</v>
      </c>
      <c r="D19" s="184" t="s">
        <v>1558</v>
      </c>
      <c r="E19" s="184"/>
      <c r="F19" s="184" t="s">
        <v>1574</v>
      </c>
      <c r="G19" s="184" t="s">
        <v>1532</v>
      </c>
      <c r="H19" s="184" t="s">
        <v>1575</v>
      </c>
      <c r="I19" s="184" t="s">
        <v>605</v>
      </c>
      <c r="J19" s="184"/>
    </row>
    <row r="20" spans="1:10">
      <c r="A20" s="184" t="s">
        <v>1527</v>
      </c>
      <c r="B20" s="184" t="s">
        <v>1556</v>
      </c>
      <c r="C20" s="184" t="s">
        <v>1557</v>
      </c>
      <c r="D20" s="184" t="s">
        <v>1558</v>
      </c>
      <c r="E20" s="184"/>
      <c r="F20" s="184" t="s">
        <v>1576</v>
      </c>
      <c r="G20" s="184" t="s">
        <v>1532</v>
      </c>
      <c r="H20" s="184" t="s">
        <v>1577</v>
      </c>
      <c r="I20" s="184" t="s">
        <v>607</v>
      </c>
      <c r="J20" s="184"/>
    </row>
    <row r="21" spans="1:10">
      <c r="A21" s="184" t="s">
        <v>1527</v>
      </c>
      <c r="B21" s="184" t="s">
        <v>1556</v>
      </c>
      <c r="C21" s="184" t="s">
        <v>1557</v>
      </c>
      <c r="D21" s="184" t="s">
        <v>1558</v>
      </c>
      <c r="E21" s="184"/>
      <c r="F21" s="184" t="s">
        <v>1578</v>
      </c>
      <c r="G21" s="184" t="s">
        <v>1532</v>
      </c>
      <c r="H21" s="184" t="s">
        <v>1579</v>
      </c>
      <c r="I21" s="184" t="s">
        <v>609</v>
      </c>
      <c r="J21" s="184"/>
    </row>
    <row r="22" spans="1:10">
      <c r="A22" s="184" t="s">
        <v>1527</v>
      </c>
      <c r="B22" s="184" t="s">
        <v>1556</v>
      </c>
      <c r="C22" s="184" t="s">
        <v>1557</v>
      </c>
      <c r="D22" s="184" t="s">
        <v>1558</v>
      </c>
      <c r="E22" s="184"/>
      <c r="F22" s="184" t="s">
        <v>1580</v>
      </c>
      <c r="G22" s="184" t="s">
        <v>1532</v>
      </c>
      <c r="H22" s="184" t="s">
        <v>1581</v>
      </c>
      <c r="I22" s="184" t="s">
        <v>613</v>
      </c>
      <c r="J22" s="184"/>
    </row>
    <row r="23" spans="1:10">
      <c r="A23" s="184" t="s">
        <v>1527</v>
      </c>
      <c r="B23" s="184" t="s">
        <v>1556</v>
      </c>
      <c r="C23" s="184" t="s">
        <v>1557</v>
      </c>
      <c r="D23" s="184" t="s">
        <v>1558</v>
      </c>
      <c r="E23" s="184"/>
      <c r="F23" s="184" t="s">
        <v>1582</v>
      </c>
      <c r="G23" s="184" t="s">
        <v>1532</v>
      </c>
      <c r="H23" s="184" t="s">
        <v>1583</v>
      </c>
      <c r="I23" s="184" t="s">
        <v>1584</v>
      </c>
      <c r="J23" s="184"/>
    </row>
    <row r="24" spans="1:10">
      <c r="A24" s="184" t="s">
        <v>1527</v>
      </c>
      <c r="B24" s="184" t="s">
        <v>1556</v>
      </c>
      <c r="C24" s="184" t="s">
        <v>1557</v>
      </c>
      <c r="D24" s="184" t="s">
        <v>1558</v>
      </c>
      <c r="E24" s="184"/>
      <c r="F24" s="184" t="s">
        <v>1585</v>
      </c>
      <c r="G24" s="184" t="s">
        <v>1532</v>
      </c>
      <c r="H24" s="184" t="s">
        <v>1586</v>
      </c>
      <c r="I24" s="184" t="s">
        <v>619</v>
      </c>
      <c r="J24" s="184"/>
    </row>
    <row r="25" spans="1:10">
      <c r="A25" s="184" t="s">
        <v>1527</v>
      </c>
      <c r="B25" s="184" t="s">
        <v>1556</v>
      </c>
      <c r="C25" s="184" t="s">
        <v>1557</v>
      </c>
      <c r="D25" s="184" t="s">
        <v>1558</v>
      </c>
      <c r="E25" s="184"/>
      <c r="F25" s="184" t="s">
        <v>1587</v>
      </c>
      <c r="G25" s="184" t="s">
        <v>1532</v>
      </c>
      <c r="H25" s="184" t="s">
        <v>1588</v>
      </c>
      <c r="I25" s="184" t="s">
        <v>621</v>
      </c>
      <c r="J25" s="184"/>
    </row>
    <row r="26" spans="1:10">
      <c r="A26" s="184" t="s">
        <v>1527</v>
      </c>
      <c r="B26" s="184" t="s">
        <v>1556</v>
      </c>
      <c r="C26" s="184" t="s">
        <v>1557</v>
      </c>
      <c r="D26" s="184" t="s">
        <v>1558</v>
      </c>
      <c r="E26" s="184"/>
      <c r="F26" s="184" t="s">
        <v>1589</v>
      </c>
      <c r="G26" s="184" t="s">
        <v>1532</v>
      </c>
      <c r="H26" s="184" t="s">
        <v>1590</v>
      </c>
      <c r="I26" s="184" t="s">
        <v>623</v>
      </c>
      <c r="J26" s="184"/>
    </row>
    <row r="27" spans="1:10">
      <c r="A27" s="184" t="s">
        <v>1527</v>
      </c>
      <c r="B27" s="184" t="s">
        <v>1556</v>
      </c>
      <c r="C27" s="184" t="s">
        <v>1591</v>
      </c>
      <c r="D27" s="184" t="s">
        <v>1558</v>
      </c>
      <c r="E27" s="184"/>
      <c r="F27" s="184" t="s">
        <v>1592</v>
      </c>
      <c r="G27" s="184" t="s">
        <v>1532</v>
      </c>
      <c r="H27" s="184" t="s">
        <v>1593</v>
      </c>
      <c r="I27" s="184" t="s">
        <v>356</v>
      </c>
      <c r="J27" s="184" t="s">
        <v>1594</v>
      </c>
    </row>
    <row r="28" spans="1:10">
      <c r="A28" s="184" t="s">
        <v>1527</v>
      </c>
      <c r="B28" s="184" t="s">
        <v>1556</v>
      </c>
      <c r="C28" s="184" t="s">
        <v>1591</v>
      </c>
      <c r="D28" s="184" t="s">
        <v>1558</v>
      </c>
      <c r="E28" s="184"/>
      <c r="F28" s="184" t="s">
        <v>1595</v>
      </c>
      <c r="G28" s="184" t="s">
        <v>1532</v>
      </c>
      <c r="H28" s="184" t="s">
        <v>1596</v>
      </c>
      <c r="I28" s="184" t="s">
        <v>358</v>
      </c>
      <c r="J28" s="184" t="s">
        <v>1597</v>
      </c>
    </row>
    <row r="29" spans="1:10">
      <c r="A29" s="184" t="s">
        <v>1527</v>
      </c>
      <c r="B29" s="184" t="s">
        <v>1556</v>
      </c>
      <c r="C29" s="184" t="s">
        <v>1591</v>
      </c>
      <c r="D29" s="184" t="s">
        <v>1558</v>
      </c>
      <c r="E29" s="184"/>
      <c r="F29" s="184" t="s">
        <v>1598</v>
      </c>
      <c r="G29" s="184" t="s">
        <v>1532</v>
      </c>
      <c r="H29" s="184" t="s">
        <v>1599</v>
      </c>
      <c r="I29" s="184" t="s">
        <v>360</v>
      </c>
      <c r="J29" s="184" t="s">
        <v>1600</v>
      </c>
    </row>
    <row r="30" spans="1:10">
      <c r="A30" s="184" t="s">
        <v>1527</v>
      </c>
      <c r="B30" s="184" t="s">
        <v>1556</v>
      </c>
      <c r="C30" s="184" t="s">
        <v>1591</v>
      </c>
      <c r="D30" s="184" t="s">
        <v>1558</v>
      </c>
      <c r="E30" s="184"/>
      <c r="F30" s="184" t="s">
        <v>1601</v>
      </c>
      <c r="G30" s="184" t="s">
        <v>1532</v>
      </c>
      <c r="H30" s="184" t="s">
        <v>1602</v>
      </c>
      <c r="I30" s="184" t="s">
        <v>362</v>
      </c>
      <c r="J30" s="184" t="s">
        <v>1603</v>
      </c>
    </row>
    <row r="31" spans="1:10">
      <c r="A31" s="184" t="s">
        <v>1527</v>
      </c>
      <c r="B31" s="184" t="s">
        <v>1556</v>
      </c>
      <c r="C31" s="184" t="s">
        <v>1591</v>
      </c>
      <c r="D31" s="184" t="s">
        <v>1558</v>
      </c>
      <c r="E31" s="184"/>
      <c r="F31" s="184" t="s">
        <v>1604</v>
      </c>
      <c r="G31" s="184" t="s">
        <v>1532</v>
      </c>
      <c r="H31" s="184" t="s">
        <v>1605</v>
      </c>
      <c r="I31" s="184" t="s">
        <v>1606</v>
      </c>
      <c r="J31" s="184" t="s">
        <v>1607</v>
      </c>
    </row>
    <row r="32" spans="1:10">
      <c r="A32" s="184" t="s">
        <v>1527</v>
      </c>
      <c r="B32" s="184" t="s">
        <v>1556</v>
      </c>
      <c r="C32" s="184" t="s">
        <v>1591</v>
      </c>
      <c r="D32" s="184" t="s">
        <v>1558</v>
      </c>
      <c r="E32" s="184"/>
      <c r="F32" s="184" t="s">
        <v>1608</v>
      </c>
      <c r="G32" s="184" t="s">
        <v>1532</v>
      </c>
      <c r="H32" s="184" t="s">
        <v>1609</v>
      </c>
      <c r="I32" s="184" t="s">
        <v>1610</v>
      </c>
      <c r="J32" s="184" t="s">
        <v>1611</v>
      </c>
    </row>
    <row r="33" spans="1:10">
      <c r="A33" s="184" t="s">
        <v>1527</v>
      </c>
      <c r="B33" s="184" t="s">
        <v>1556</v>
      </c>
      <c r="C33" s="184" t="s">
        <v>1591</v>
      </c>
      <c r="D33" s="184" t="s">
        <v>1558</v>
      </c>
      <c r="E33" s="184"/>
      <c r="F33" s="184" t="s">
        <v>1612</v>
      </c>
      <c r="G33" s="184" t="s">
        <v>1532</v>
      </c>
      <c r="H33" s="184" t="s">
        <v>1613</v>
      </c>
      <c r="I33" s="184" t="s">
        <v>370</v>
      </c>
      <c r="J33" s="184" t="s">
        <v>1614</v>
      </c>
    </row>
    <row r="34" spans="1:10">
      <c r="A34" s="184" t="s">
        <v>1527</v>
      </c>
      <c r="B34" s="184" t="s">
        <v>1556</v>
      </c>
      <c r="C34" s="184" t="s">
        <v>1591</v>
      </c>
      <c r="D34" s="184" t="s">
        <v>1558</v>
      </c>
      <c r="E34" s="184"/>
      <c r="F34" s="184" t="s">
        <v>1615</v>
      </c>
      <c r="G34" s="184" t="s">
        <v>1532</v>
      </c>
      <c r="H34" s="184" t="s">
        <v>1616</v>
      </c>
      <c r="I34" s="184" t="s">
        <v>372</v>
      </c>
      <c r="J34" s="184" t="s">
        <v>1617</v>
      </c>
    </row>
    <row r="35" spans="1:10">
      <c r="A35" s="184" t="s">
        <v>1527</v>
      </c>
      <c r="B35" s="184" t="s">
        <v>1556</v>
      </c>
      <c r="C35" s="184" t="s">
        <v>1591</v>
      </c>
      <c r="D35" s="184" t="s">
        <v>1558</v>
      </c>
      <c r="E35" s="184"/>
      <c r="F35" s="184" t="s">
        <v>1618</v>
      </c>
      <c r="G35" s="184" t="s">
        <v>1532</v>
      </c>
      <c r="H35" s="184" t="s">
        <v>1619</v>
      </c>
      <c r="I35" s="184" t="s">
        <v>374</v>
      </c>
      <c r="J35" s="184" t="s">
        <v>1620</v>
      </c>
    </row>
    <row r="36" spans="1:10">
      <c r="A36" s="184" t="s">
        <v>1527</v>
      </c>
      <c r="B36" s="184" t="s">
        <v>1556</v>
      </c>
      <c r="C36" s="184" t="s">
        <v>1591</v>
      </c>
      <c r="D36" s="184" t="s">
        <v>1558</v>
      </c>
      <c r="E36" s="184"/>
      <c r="F36" s="184" t="s">
        <v>1621</v>
      </c>
      <c r="G36" s="184" t="s">
        <v>1532</v>
      </c>
      <c r="H36" s="184" t="s">
        <v>1622</v>
      </c>
      <c r="I36" s="184" t="s">
        <v>376</v>
      </c>
      <c r="J36" s="184" t="s">
        <v>1623</v>
      </c>
    </row>
    <row r="37" spans="1:10">
      <c r="A37" s="184" t="s">
        <v>1527</v>
      </c>
      <c r="B37" s="184" t="s">
        <v>1556</v>
      </c>
      <c r="C37" s="184" t="s">
        <v>1557</v>
      </c>
      <c r="D37" s="184" t="s">
        <v>1558</v>
      </c>
      <c r="E37" s="184"/>
      <c r="F37" s="184" t="s">
        <v>380</v>
      </c>
      <c r="G37" s="184" t="s">
        <v>1532</v>
      </c>
      <c r="H37" s="184" t="s">
        <v>1624</v>
      </c>
      <c r="I37" s="184" t="s">
        <v>380</v>
      </c>
      <c r="J37" s="184"/>
    </row>
    <row r="38" spans="1:10">
      <c r="A38" s="184" t="s">
        <v>1527</v>
      </c>
      <c r="B38" s="184" t="s">
        <v>1556</v>
      </c>
      <c r="C38" s="184" t="s">
        <v>1557</v>
      </c>
      <c r="D38" s="184" t="s">
        <v>1558</v>
      </c>
      <c r="E38" s="184"/>
      <c r="F38" s="184" t="s">
        <v>1625</v>
      </c>
      <c r="G38" s="184" t="s">
        <v>1532</v>
      </c>
      <c r="H38" s="184" t="s">
        <v>1626</v>
      </c>
      <c r="I38" s="184" t="s">
        <v>1627</v>
      </c>
      <c r="J38" s="184" t="s">
        <v>1628</v>
      </c>
    </row>
    <row r="39" spans="1:10">
      <c r="A39" s="184" t="s">
        <v>1527</v>
      </c>
      <c r="B39" s="184" t="s">
        <v>1556</v>
      </c>
      <c r="C39" s="184" t="s">
        <v>1591</v>
      </c>
      <c r="D39" s="184" t="s">
        <v>1558</v>
      </c>
      <c r="E39" s="184"/>
      <c r="F39" s="184" t="s">
        <v>1629</v>
      </c>
      <c r="G39" s="184" t="s">
        <v>1532</v>
      </c>
      <c r="H39" s="184" t="s">
        <v>1630</v>
      </c>
      <c r="I39" s="184" t="s">
        <v>384</v>
      </c>
      <c r="J39" s="184" t="s">
        <v>1631</v>
      </c>
    </row>
    <row r="40" spans="1:10">
      <c r="A40" s="184" t="s">
        <v>1527</v>
      </c>
      <c r="B40" s="184" t="s">
        <v>1556</v>
      </c>
      <c r="C40" s="184" t="s">
        <v>1591</v>
      </c>
      <c r="D40" s="184" t="s">
        <v>1558</v>
      </c>
      <c r="E40" s="184"/>
      <c r="F40" s="184" t="s">
        <v>1632</v>
      </c>
      <c r="G40" s="184" t="s">
        <v>1532</v>
      </c>
      <c r="H40" s="184" t="s">
        <v>1633</v>
      </c>
      <c r="I40" s="184" t="s">
        <v>386</v>
      </c>
      <c r="J40" s="184" t="s">
        <v>1634</v>
      </c>
    </row>
    <row r="41" spans="1:10">
      <c r="A41" s="184" t="s">
        <v>1527</v>
      </c>
      <c r="B41" s="184" t="s">
        <v>1556</v>
      </c>
      <c r="C41" s="184" t="s">
        <v>1591</v>
      </c>
      <c r="D41" s="184" t="s">
        <v>1558</v>
      </c>
      <c r="E41" s="184"/>
      <c r="F41" s="184" t="s">
        <v>1635</v>
      </c>
      <c r="G41" s="184" t="s">
        <v>1532</v>
      </c>
      <c r="H41" s="184" t="s">
        <v>1636</v>
      </c>
      <c r="I41" s="184" t="s">
        <v>388</v>
      </c>
      <c r="J41" s="184" t="s">
        <v>1637</v>
      </c>
    </row>
    <row r="42" spans="1:10">
      <c r="A42" s="184" t="s">
        <v>1527</v>
      </c>
      <c r="B42" s="184" t="s">
        <v>1556</v>
      </c>
      <c r="C42" s="184" t="s">
        <v>1591</v>
      </c>
      <c r="D42" s="184" t="s">
        <v>1558</v>
      </c>
      <c r="E42" s="184"/>
      <c r="F42" s="184" t="s">
        <v>1638</v>
      </c>
      <c r="G42" s="184" t="s">
        <v>1532</v>
      </c>
      <c r="H42" s="184" t="s">
        <v>1639</v>
      </c>
      <c r="I42" s="184" t="s">
        <v>390</v>
      </c>
      <c r="J42" s="184" t="s">
        <v>1640</v>
      </c>
    </row>
    <row r="43" spans="1:10">
      <c r="A43" s="184" t="s">
        <v>1527</v>
      </c>
      <c r="B43" s="184" t="s">
        <v>1556</v>
      </c>
      <c r="C43" s="184" t="s">
        <v>1591</v>
      </c>
      <c r="D43" s="184" t="s">
        <v>1558</v>
      </c>
      <c r="E43" s="184"/>
      <c r="F43" s="184" t="s">
        <v>1641</v>
      </c>
      <c r="G43" s="184" t="s">
        <v>1532</v>
      </c>
      <c r="H43" s="184" t="s">
        <v>1642</v>
      </c>
      <c r="I43" s="184" t="s">
        <v>392</v>
      </c>
      <c r="J43" s="184" t="s">
        <v>356</v>
      </c>
    </row>
    <row r="44" spans="1:10">
      <c r="A44" s="184" t="s">
        <v>1527</v>
      </c>
      <c r="B44" s="184" t="s">
        <v>1556</v>
      </c>
      <c r="C44" s="184" t="s">
        <v>1591</v>
      </c>
      <c r="D44" s="184" t="s">
        <v>1558</v>
      </c>
      <c r="E44" s="184"/>
      <c r="F44" s="184" t="s">
        <v>1643</v>
      </c>
      <c r="G44" s="184" t="s">
        <v>1532</v>
      </c>
      <c r="H44" s="184" t="s">
        <v>1644</v>
      </c>
      <c r="I44" s="184" t="s">
        <v>394</v>
      </c>
      <c r="J44" s="184" t="s">
        <v>358</v>
      </c>
    </row>
    <row r="45" spans="1:10">
      <c r="A45" s="184" t="s">
        <v>1527</v>
      </c>
      <c r="B45" s="184" t="s">
        <v>1556</v>
      </c>
      <c r="C45" s="184" t="s">
        <v>1591</v>
      </c>
      <c r="D45" s="184" t="s">
        <v>1558</v>
      </c>
      <c r="E45" s="184"/>
      <c r="F45" s="184" t="s">
        <v>1645</v>
      </c>
      <c r="G45" s="184" t="s">
        <v>1532</v>
      </c>
      <c r="H45" s="184" t="s">
        <v>1646</v>
      </c>
      <c r="I45" s="184" t="s">
        <v>396</v>
      </c>
      <c r="J45" s="184" t="s">
        <v>1647</v>
      </c>
    </row>
    <row r="46" spans="1:10">
      <c r="A46" s="184" t="s">
        <v>1527</v>
      </c>
      <c r="B46" s="184" t="s">
        <v>1556</v>
      </c>
      <c r="C46" s="184" t="s">
        <v>1591</v>
      </c>
      <c r="D46" s="184" t="s">
        <v>1558</v>
      </c>
      <c r="E46" s="184"/>
      <c r="F46" s="184" t="s">
        <v>1648</v>
      </c>
      <c r="G46" s="184" t="s">
        <v>1532</v>
      </c>
      <c r="H46" s="184" t="s">
        <v>1649</v>
      </c>
      <c r="I46" s="184" t="s">
        <v>398</v>
      </c>
      <c r="J46" s="184" t="s">
        <v>1650</v>
      </c>
    </row>
    <row r="47" spans="1:10">
      <c r="A47" s="184" t="s">
        <v>1527</v>
      </c>
      <c r="B47" s="184" t="s">
        <v>1556</v>
      </c>
      <c r="C47" s="184" t="s">
        <v>1651</v>
      </c>
      <c r="D47" s="184" t="s">
        <v>1558</v>
      </c>
      <c r="E47" s="184"/>
      <c r="F47" s="184" t="s">
        <v>1652</v>
      </c>
      <c r="G47" s="184" t="s">
        <v>1532</v>
      </c>
      <c r="H47" s="184" t="s">
        <v>1653</v>
      </c>
      <c r="I47" s="184" t="s">
        <v>439</v>
      </c>
      <c r="J47" s="184" t="s">
        <v>439</v>
      </c>
    </row>
    <row r="48" spans="1:10">
      <c r="A48" s="184" t="s">
        <v>1527</v>
      </c>
      <c r="B48" s="184" t="s">
        <v>1556</v>
      </c>
      <c r="C48" s="184" t="s">
        <v>1651</v>
      </c>
      <c r="D48" s="184" t="s">
        <v>1558</v>
      </c>
      <c r="E48" s="184"/>
      <c r="F48" s="184" t="s">
        <v>1654</v>
      </c>
      <c r="G48" s="184" t="s">
        <v>1532</v>
      </c>
      <c r="H48" s="184" t="s">
        <v>1655</v>
      </c>
      <c r="I48" s="184" t="s">
        <v>442</v>
      </c>
      <c r="J48" s="184" t="s">
        <v>442</v>
      </c>
    </row>
    <row r="49" spans="1:10">
      <c r="A49" s="184" t="s">
        <v>1527</v>
      </c>
      <c r="B49" s="184" t="s">
        <v>1556</v>
      </c>
      <c r="C49" s="184" t="s">
        <v>1591</v>
      </c>
      <c r="D49" s="184" t="s">
        <v>1558</v>
      </c>
      <c r="E49" s="184"/>
      <c r="F49" s="184" t="s">
        <v>1351</v>
      </c>
      <c r="G49" s="184" t="s">
        <v>1532</v>
      </c>
      <c r="H49" s="184" t="s">
        <v>1656</v>
      </c>
      <c r="I49" s="184" t="s">
        <v>446</v>
      </c>
      <c r="J49" s="184" t="s">
        <v>1657</v>
      </c>
    </row>
    <row r="50" spans="1:10">
      <c r="A50" s="184" t="s">
        <v>1527</v>
      </c>
      <c r="B50" s="184" t="s">
        <v>1556</v>
      </c>
      <c r="C50" s="184" t="s">
        <v>1591</v>
      </c>
      <c r="D50" s="184" t="s">
        <v>1558</v>
      </c>
      <c r="E50" s="184"/>
      <c r="F50" s="184" t="s">
        <v>1658</v>
      </c>
      <c r="G50" s="184" t="s">
        <v>1532</v>
      </c>
      <c r="H50" s="184" t="s">
        <v>1659</v>
      </c>
      <c r="I50" s="184" t="s">
        <v>448</v>
      </c>
      <c r="J50" s="184" t="s">
        <v>1660</v>
      </c>
    </row>
    <row r="51" spans="1:10">
      <c r="A51" s="184" t="s">
        <v>1527</v>
      </c>
      <c r="B51" s="184" t="s">
        <v>1556</v>
      </c>
      <c r="C51" s="184" t="s">
        <v>1591</v>
      </c>
      <c r="D51" s="184" t="s">
        <v>1558</v>
      </c>
      <c r="E51" s="184"/>
      <c r="F51" s="184" t="s">
        <v>1661</v>
      </c>
      <c r="G51" s="184" t="s">
        <v>1532</v>
      </c>
      <c r="H51" s="184" t="s">
        <v>1662</v>
      </c>
      <c r="I51" s="184" t="s">
        <v>450</v>
      </c>
      <c r="J51" s="184" t="s">
        <v>1663</v>
      </c>
    </row>
    <row r="52" spans="1:10">
      <c r="A52" s="184" t="s">
        <v>1527</v>
      </c>
      <c r="B52" s="184" t="s">
        <v>1556</v>
      </c>
      <c r="C52" s="184" t="s">
        <v>1591</v>
      </c>
      <c r="D52" s="184" t="s">
        <v>1558</v>
      </c>
      <c r="E52" s="184"/>
      <c r="F52" s="184" t="s">
        <v>1664</v>
      </c>
      <c r="G52" s="184" t="s">
        <v>1532</v>
      </c>
      <c r="H52" s="184" t="s">
        <v>1665</v>
      </c>
      <c r="I52" s="184" t="s">
        <v>452</v>
      </c>
      <c r="J52" s="184" t="s">
        <v>1666</v>
      </c>
    </row>
    <row r="53" spans="1:10">
      <c r="A53" s="184" t="s">
        <v>1527</v>
      </c>
      <c r="B53" s="184" t="s">
        <v>1556</v>
      </c>
      <c r="C53" s="184" t="s">
        <v>1591</v>
      </c>
      <c r="D53" s="184" t="s">
        <v>1558</v>
      </c>
      <c r="E53" s="184"/>
      <c r="F53" s="184" t="s">
        <v>1667</v>
      </c>
      <c r="G53" s="184" t="s">
        <v>1532</v>
      </c>
      <c r="H53" s="184" t="s">
        <v>1668</v>
      </c>
      <c r="I53" s="184" t="s">
        <v>1669</v>
      </c>
      <c r="J53" s="184" t="s">
        <v>1670</v>
      </c>
    </row>
    <row r="54" spans="1:10">
      <c r="A54" s="184" t="s">
        <v>1527</v>
      </c>
      <c r="B54" s="184" t="s">
        <v>1556</v>
      </c>
      <c r="C54" s="184" t="s">
        <v>1591</v>
      </c>
      <c r="D54" s="184" t="s">
        <v>1558</v>
      </c>
      <c r="E54" s="184"/>
      <c r="F54" s="184" t="s">
        <v>1671</v>
      </c>
      <c r="G54" s="184" t="s">
        <v>1532</v>
      </c>
      <c r="H54" s="184" t="s">
        <v>1672</v>
      </c>
      <c r="I54" s="184" t="s">
        <v>1673</v>
      </c>
      <c r="J54" s="184" t="s">
        <v>1674</v>
      </c>
    </row>
    <row r="55" spans="1:10">
      <c r="A55" s="184" t="s">
        <v>1527</v>
      </c>
      <c r="B55" s="184" t="s">
        <v>1556</v>
      </c>
      <c r="C55" s="184" t="s">
        <v>1591</v>
      </c>
      <c r="D55" s="184" t="s">
        <v>1558</v>
      </c>
      <c r="E55" s="184"/>
      <c r="F55" s="184" t="s">
        <v>1675</v>
      </c>
      <c r="G55" s="184" t="s">
        <v>1532</v>
      </c>
      <c r="H55" s="184" t="s">
        <v>1676</v>
      </c>
      <c r="I55" s="184" t="s">
        <v>459</v>
      </c>
      <c r="J55" s="184" t="s">
        <v>1677</v>
      </c>
    </row>
    <row r="56" spans="1:10">
      <c r="A56" s="184" t="s">
        <v>1527</v>
      </c>
      <c r="B56" s="184" t="s">
        <v>1556</v>
      </c>
      <c r="C56" s="184" t="s">
        <v>1591</v>
      </c>
      <c r="D56" s="184" t="s">
        <v>1558</v>
      </c>
      <c r="E56" s="184"/>
      <c r="F56" s="184" t="s">
        <v>1678</v>
      </c>
      <c r="G56" s="184" t="s">
        <v>1532</v>
      </c>
      <c r="H56" s="184" t="s">
        <v>1679</v>
      </c>
      <c r="I56" s="184" t="s">
        <v>461</v>
      </c>
      <c r="J56" s="184" t="s">
        <v>1680</v>
      </c>
    </row>
    <row r="57" spans="1:10">
      <c r="A57" s="184" t="s">
        <v>1527</v>
      </c>
      <c r="B57" s="184" t="s">
        <v>1556</v>
      </c>
      <c r="C57" s="184" t="s">
        <v>1681</v>
      </c>
      <c r="D57" s="184" t="s">
        <v>1558</v>
      </c>
      <c r="E57" s="184"/>
      <c r="F57" s="184" t="s">
        <v>1682</v>
      </c>
      <c r="G57" s="184" t="s">
        <v>1532</v>
      </c>
      <c r="H57" s="184" t="s">
        <v>1683</v>
      </c>
      <c r="I57" s="184" t="s">
        <v>463</v>
      </c>
      <c r="J57" s="184" t="s">
        <v>1684</v>
      </c>
    </row>
    <row r="58" spans="1:10">
      <c r="A58" s="184" t="s">
        <v>1527</v>
      </c>
      <c r="B58" s="184" t="s">
        <v>1556</v>
      </c>
      <c r="C58" s="184" t="s">
        <v>1681</v>
      </c>
      <c r="D58" s="184" t="s">
        <v>1558</v>
      </c>
      <c r="E58" s="184"/>
      <c r="F58" s="184" t="s">
        <v>1685</v>
      </c>
      <c r="G58" s="184" t="s">
        <v>1532</v>
      </c>
      <c r="H58" s="184" t="s">
        <v>1686</v>
      </c>
      <c r="I58" s="184" t="s">
        <v>465</v>
      </c>
      <c r="J58" s="184" t="s">
        <v>1687</v>
      </c>
    </row>
    <row r="59" spans="1:10">
      <c r="A59" s="184" t="s">
        <v>1527</v>
      </c>
      <c r="B59" s="184" t="s">
        <v>1556</v>
      </c>
      <c r="C59" s="184" t="s">
        <v>1591</v>
      </c>
      <c r="D59" s="184" t="s">
        <v>1558</v>
      </c>
      <c r="E59" s="184"/>
      <c r="F59" s="184" t="s">
        <v>1357</v>
      </c>
      <c r="G59" s="184" t="s">
        <v>1532</v>
      </c>
      <c r="H59" s="184" t="s">
        <v>557</v>
      </c>
      <c r="I59" s="184" t="s">
        <v>474</v>
      </c>
      <c r="J59" s="184" t="s">
        <v>474</v>
      </c>
    </row>
    <row r="60" spans="1:10">
      <c r="A60" s="184" t="s">
        <v>1527</v>
      </c>
      <c r="B60" s="184" t="s">
        <v>1556</v>
      </c>
      <c r="C60" s="184" t="s">
        <v>1681</v>
      </c>
      <c r="D60" s="184" t="s">
        <v>1558</v>
      </c>
      <c r="E60" s="184"/>
      <c r="F60" s="184" t="s">
        <v>1688</v>
      </c>
      <c r="G60" s="184" t="s">
        <v>1532</v>
      </c>
      <c r="H60" s="184" t="s">
        <v>1689</v>
      </c>
      <c r="I60" s="184" t="s">
        <v>62</v>
      </c>
      <c r="J60" s="184"/>
    </row>
    <row r="61" spans="1:10">
      <c r="A61" s="184" t="s">
        <v>1527</v>
      </c>
      <c r="B61" s="184" t="s">
        <v>1556</v>
      </c>
      <c r="C61" s="184" t="s">
        <v>1681</v>
      </c>
      <c r="D61" s="184" t="s">
        <v>1558</v>
      </c>
      <c r="E61" s="184"/>
      <c r="F61" s="184" t="s">
        <v>1690</v>
      </c>
      <c r="G61" s="184" t="s">
        <v>1532</v>
      </c>
      <c r="H61" s="184" t="s">
        <v>1691</v>
      </c>
      <c r="I61" s="184" t="s">
        <v>1692</v>
      </c>
      <c r="J61" s="184"/>
    </row>
    <row r="62" spans="1:10">
      <c r="A62" s="184" t="s">
        <v>1527</v>
      </c>
      <c r="B62" s="184" t="s">
        <v>1693</v>
      </c>
      <c r="C62" s="184" t="s">
        <v>1694</v>
      </c>
      <c r="D62" s="184" t="s">
        <v>1695</v>
      </c>
      <c r="E62" s="184"/>
      <c r="F62" s="184" t="s">
        <v>1312</v>
      </c>
      <c r="G62" s="184" t="s">
        <v>1532</v>
      </c>
      <c r="H62" s="184" t="s">
        <v>1696</v>
      </c>
      <c r="I62" s="184" t="s">
        <v>484</v>
      </c>
      <c r="J62" s="184" t="s">
        <v>484</v>
      </c>
    </row>
    <row r="63" spans="1:10">
      <c r="A63" s="184" t="s">
        <v>1527</v>
      </c>
      <c r="B63" s="184" t="s">
        <v>1693</v>
      </c>
      <c r="C63" s="184" t="s">
        <v>1694</v>
      </c>
      <c r="D63" s="184" t="s">
        <v>1695</v>
      </c>
      <c r="E63" s="184"/>
      <c r="F63" s="184" t="s">
        <v>488</v>
      </c>
      <c r="G63" s="184" t="s">
        <v>1532</v>
      </c>
      <c r="H63" s="184" t="s">
        <v>1697</v>
      </c>
      <c r="I63" s="184" t="s">
        <v>488</v>
      </c>
      <c r="J63" s="184" t="s">
        <v>488</v>
      </c>
    </row>
    <row r="64" spans="1:10">
      <c r="A64" s="184" t="s">
        <v>1527</v>
      </c>
      <c r="B64" s="184" t="s">
        <v>1693</v>
      </c>
      <c r="C64" s="184" t="s">
        <v>1694</v>
      </c>
      <c r="D64" s="184" t="s">
        <v>1695</v>
      </c>
      <c r="E64" s="184"/>
      <c r="F64" s="184" t="s">
        <v>491</v>
      </c>
      <c r="G64" s="184" t="s">
        <v>1532</v>
      </c>
      <c r="H64" s="184" t="s">
        <v>1698</v>
      </c>
      <c r="I64" s="184" t="s">
        <v>491</v>
      </c>
      <c r="J64" s="184" t="s">
        <v>491</v>
      </c>
    </row>
    <row r="65" spans="1:10">
      <c r="A65" s="184" t="s">
        <v>1527</v>
      </c>
      <c r="B65" s="184" t="s">
        <v>1693</v>
      </c>
      <c r="C65" s="184" t="s">
        <v>1694</v>
      </c>
      <c r="D65" s="184" t="s">
        <v>1695</v>
      </c>
      <c r="E65" s="184"/>
      <c r="F65" s="184" t="s">
        <v>1316</v>
      </c>
      <c r="G65" s="184" t="s">
        <v>1532</v>
      </c>
      <c r="H65" s="184" t="s">
        <v>1699</v>
      </c>
      <c r="I65" s="184" t="s">
        <v>493</v>
      </c>
      <c r="J65" s="184" t="s">
        <v>493</v>
      </c>
    </row>
    <row r="66" spans="1:10">
      <c r="A66" s="184" t="s">
        <v>1527</v>
      </c>
      <c r="B66" s="184" t="s">
        <v>1693</v>
      </c>
      <c r="C66" s="184" t="s">
        <v>1694</v>
      </c>
      <c r="D66" s="184" t="s">
        <v>1695</v>
      </c>
      <c r="E66" s="184"/>
      <c r="F66" s="184" t="s">
        <v>1700</v>
      </c>
      <c r="G66" s="184" t="s">
        <v>1532</v>
      </c>
      <c r="H66" s="184"/>
      <c r="I66" s="184"/>
      <c r="J66" s="184"/>
    </row>
    <row r="67" spans="1:10">
      <c r="A67" s="184" t="s">
        <v>1527</v>
      </c>
      <c r="B67" s="184" t="s">
        <v>1701</v>
      </c>
      <c r="C67" s="184" t="s">
        <v>1702</v>
      </c>
      <c r="D67" s="184" t="s">
        <v>1703</v>
      </c>
      <c r="E67" s="184"/>
      <c r="F67" s="184" t="s">
        <v>1704</v>
      </c>
      <c r="G67" s="184" t="s">
        <v>1532</v>
      </c>
      <c r="H67" s="184" t="s">
        <v>1705</v>
      </c>
      <c r="I67" s="184" t="s">
        <v>98</v>
      </c>
      <c r="J67" s="184" t="s">
        <v>98</v>
      </c>
    </row>
    <row r="68" spans="1:10">
      <c r="A68" s="184" t="s">
        <v>1527</v>
      </c>
      <c r="B68" s="184" t="s">
        <v>1701</v>
      </c>
      <c r="C68" s="184" t="s">
        <v>1702</v>
      </c>
      <c r="D68" s="184" t="s">
        <v>1703</v>
      </c>
      <c r="E68" s="184"/>
      <c r="F68" s="184" t="s">
        <v>1706</v>
      </c>
      <c r="G68" s="184" t="s">
        <v>1532</v>
      </c>
      <c r="H68" s="184" t="s">
        <v>1707</v>
      </c>
      <c r="I68" s="184" t="s">
        <v>590</v>
      </c>
      <c r="J68" s="184" t="s">
        <v>1708</v>
      </c>
    </row>
    <row r="69" spans="1:10">
      <c r="A69" s="184" t="s">
        <v>1527</v>
      </c>
      <c r="B69" s="184" t="s">
        <v>1701</v>
      </c>
      <c r="C69" s="184" t="s">
        <v>1702</v>
      </c>
      <c r="D69" s="184" t="s">
        <v>1703</v>
      </c>
      <c r="E69" s="184"/>
      <c r="F69" s="184" t="s">
        <v>1709</v>
      </c>
      <c r="G69" s="184" t="s">
        <v>1532</v>
      </c>
      <c r="H69" s="184" t="s">
        <v>1710</v>
      </c>
      <c r="I69" s="184" t="s">
        <v>595</v>
      </c>
      <c r="J69" s="184" t="s">
        <v>1708</v>
      </c>
    </row>
    <row r="70" spans="1:10">
      <c r="A70" s="184" t="s">
        <v>1527</v>
      </c>
      <c r="B70" s="184" t="s">
        <v>1701</v>
      </c>
      <c r="C70" s="184" t="s">
        <v>1702</v>
      </c>
      <c r="D70" s="184" t="s">
        <v>1703</v>
      </c>
      <c r="E70" s="184"/>
      <c r="F70" s="184" t="s">
        <v>1711</v>
      </c>
      <c r="G70" s="184" t="s">
        <v>1532</v>
      </c>
      <c r="H70" s="184" t="s">
        <v>1712</v>
      </c>
      <c r="I70" s="184" t="s">
        <v>599</v>
      </c>
      <c r="J70" s="184" t="s">
        <v>1708</v>
      </c>
    </row>
    <row r="71" spans="1:10">
      <c r="A71" s="184" t="s">
        <v>1527</v>
      </c>
      <c r="B71" s="184" t="s">
        <v>1701</v>
      </c>
      <c r="C71" s="184" t="s">
        <v>1702</v>
      </c>
      <c r="D71" s="184" t="s">
        <v>1703</v>
      </c>
      <c r="E71" s="184"/>
      <c r="F71" s="184" t="s">
        <v>1713</v>
      </c>
      <c r="G71" s="184" t="s">
        <v>1532</v>
      </c>
      <c r="H71" s="184" t="s">
        <v>1714</v>
      </c>
      <c r="I71" s="184" t="s">
        <v>603</v>
      </c>
      <c r="J71" s="184" t="s">
        <v>1708</v>
      </c>
    </row>
    <row r="72" spans="1:10">
      <c r="A72" s="184" t="s">
        <v>1527</v>
      </c>
      <c r="B72" s="184" t="s">
        <v>1701</v>
      </c>
      <c r="C72" s="184" t="s">
        <v>1702</v>
      </c>
      <c r="D72" s="184" t="s">
        <v>1703</v>
      </c>
      <c r="E72" s="184"/>
      <c r="F72" s="184" t="s">
        <v>1715</v>
      </c>
      <c r="G72" s="184" t="s">
        <v>1532</v>
      </c>
      <c r="H72" s="184" t="s">
        <v>1538</v>
      </c>
      <c r="I72" s="184" t="s">
        <v>266</v>
      </c>
      <c r="J72" s="184"/>
    </row>
    <row r="73" spans="1:10">
      <c r="A73" s="184" t="s">
        <v>1527</v>
      </c>
      <c r="B73" s="184" t="s">
        <v>1701</v>
      </c>
      <c r="C73" s="184" t="s">
        <v>1702</v>
      </c>
      <c r="D73" s="184" t="s">
        <v>1703</v>
      </c>
      <c r="E73" s="184"/>
      <c r="F73" s="184" t="s">
        <v>1716</v>
      </c>
      <c r="G73" s="184" t="s">
        <v>1532</v>
      </c>
      <c r="H73" s="184" t="s">
        <v>1540</v>
      </c>
      <c r="I73" s="184" t="s">
        <v>268</v>
      </c>
      <c r="J73" s="184"/>
    </row>
    <row r="74" spans="1:10">
      <c r="A74" s="184" t="s">
        <v>1527</v>
      </c>
      <c r="B74" s="184" t="s">
        <v>1701</v>
      </c>
      <c r="C74" s="184" t="s">
        <v>1702</v>
      </c>
      <c r="D74" s="184" t="s">
        <v>1703</v>
      </c>
      <c r="E74" s="184"/>
      <c r="F74" s="184" t="s">
        <v>1717</v>
      </c>
      <c r="G74" s="184" t="s">
        <v>1532</v>
      </c>
      <c r="H74" s="184" t="s">
        <v>1542</v>
      </c>
      <c r="I74" s="184" t="s">
        <v>269</v>
      </c>
      <c r="J74" s="184"/>
    </row>
    <row r="75" spans="1:10">
      <c r="A75" s="184" t="s">
        <v>1527</v>
      </c>
      <c r="B75" s="184" t="s">
        <v>1701</v>
      </c>
      <c r="C75" s="184" t="s">
        <v>1702</v>
      </c>
      <c r="D75" s="184" t="s">
        <v>1703</v>
      </c>
      <c r="E75" s="184"/>
      <c r="F75" s="184" t="s">
        <v>1718</v>
      </c>
      <c r="G75" s="184" t="s">
        <v>1532</v>
      </c>
      <c r="H75" s="184" t="s">
        <v>1544</v>
      </c>
      <c r="I75" s="184" t="s">
        <v>271</v>
      </c>
      <c r="J75" s="184"/>
    </row>
    <row r="76" spans="1:10">
      <c r="A76" s="184" t="s">
        <v>1527</v>
      </c>
      <c r="B76" s="184" t="s">
        <v>1701</v>
      </c>
      <c r="C76" s="184" t="s">
        <v>1702</v>
      </c>
      <c r="D76" s="184" t="s">
        <v>1703</v>
      </c>
      <c r="E76" s="184"/>
      <c r="F76" s="184" t="s">
        <v>1719</v>
      </c>
      <c r="G76" s="184" t="s">
        <v>1532</v>
      </c>
      <c r="H76" s="184" t="s">
        <v>1720</v>
      </c>
      <c r="I76" s="184" t="s">
        <v>273</v>
      </c>
      <c r="J76" s="184"/>
    </row>
    <row r="77" spans="1:10">
      <c r="A77" s="184" t="s">
        <v>1527</v>
      </c>
      <c r="B77" s="184" t="s">
        <v>1701</v>
      </c>
      <c r="C77" s="184" t="s">
        <v>1702</v>
      </c>
      <c r="D77" s="184" t="s">
        <v>1703</v>
      </c>
      <c r="E77" s="184"/>
      <c r="F77" s="184" t="s">
        <v>1721</v>
      </c>
      <c r="G77" s="184" t="s">
        <v>1532</v>
      </c>
      <c r="H77" s="184" t="s">
        <v>1549</v>
      </c>
      <c r="I77" s="184" t="s">
        <v>275</v>
      </c>
      <c r="J77" s="184"/>
    </row>
    <row r="78" spans="1:10">
      <c r="A78" s="184" t="s">
        <v>1527</v>
      </c>
      <c r="B78" s="184" t="s">
        <v>1701</v>
      </c>
      <c r="C78" s="184" t="s">
        <v>1702</v>
      </c>
      <c r="D78" s="184" t="s">
        <v>1703</v>
      </c>
      <c r="E78" s="184"/>
      <c r="F78" s="184" t="s">
        <v>1722</v>
      </c>
      <c r="G78" s="184" t="s">
        <v>1532</v>
      </c>
      <c r="H78" s="184" t="s">
        <v>1549</v>
      </c>
      <c r="I78" s="184" t="s">
        <v>277</v>
      </c>
      <c r="J78" s="184"/>
    </row>
    <row r="79" spans="1:10">
      <c r="A79" s="184" t="s">
        <v>1527</v>
      </c>
      <c r="B79" s="184" t="s">
        <v>1701</v>
      </c>
      <c r="C79" s="184" t="s">
        <v>1702</v>
      </c>
      <c r="D79" s="184" t="s">
        <v>1703</v>
      </c>
      <c r="E79" s="184"/>
      <c r="F79" s="184" t="s">
        <v>1723</v>
      </c>
      <c r="G79" s="184" t="s">
        <v>1532</v>
      </c>
      <c r="H79" s="184" t="s">
        <v>1552</v>
      </c>
      <c r="I79" s="184" t="s">
        <v>279</v>
      </c>
      <c r="J79" s="184"/>
    </row>
    <row r="80" spans="1:10">
      <c r="A80" s="184" t="s">
        <v>1527</v>
      </c>
      <c r="B80" s="184" t="s">
        <v>1701</v>
      </c>
      <c r="C80" s="184" t="s">
        <v>1724</v>
      </c>
      <c r="D80" s="184" t="s">
        <v>1703</v>
      </c>
      <c r="E80" s="184"/>
      <c r="F80" s="184" t="s">
        <v>1725</v>
      </c>
      <c r="G80" s="184" t="s">
        <v>1532</v>
      </c>
      <c r="H80" s="184" t="s">
        <v>1726</v>
      </c>
      <c r="I80" s="184" t="s">
        <v>173</v>
      </c>
      <c r="J80" s="184"/>
    </row>
    <row r="81" spans="1:10">
      <c r="A81" s="184" t="s">
        <v>1527</v>
      </c>
      <c r="B81" s="184" t="s">
        <v>1701</v>
      </c>
      <c r="C81" s="184" t="s">
        <v>1724</v>
      </c>
      <c r="D81" s="184" t="s">
        <v>1703</v>
      </c>
      <c r="E81" s="184"/>
      <c r="F81" s="184" t="s">
        <v>1727</v>
      </c>
      <c r="G81" s="184" t="s">
        <v>1532</v>
      </c>
      <c r="H81" s="184" t="s">
        <v>1728</v>
      </c>
      <c r="I81" s="184" t="s">
        <v>175</v>
      </c>
      <c r="J81" s="184"/>
    </row>
    <row r="82" spans="1:10">
      <c r="A82" s="184" t="s">
        <v>1527</v>
      </c>
      <c r="B82" s="184" t="s">
        <v>1701</v>
      </c>
      <c r="C82" s="184" t="s">
        <v>1702</v>
      </c>
      <c r="D82" s="184" t="s">
        <v>1703</v>
      </c>
      <c r="E82" s="184"/>
      <c r="F82" s="184" t="s">
        <v>1152</v>
      </c>
      <c r="G82" s="184" t="s">
        <v>1532</v>
      </c>
      <c r="H82" s="184" t="s">
        <v>1152</v>
      </c>
      <c r="I82" s="184" t="s">
        <v>1152</v>
      </c>
      <c r="J82" s="184" t="s">
        <v>1708</v>
      </c>
    </row>
    <row r="83" spans="1:10">
      <c r="A83" s="184" t="s">
        <v>1527</v>
      </c>
      <c r="B83" s="184" t="s">
        <v>1701</v>
      </c>
      <c r="C83" s="184" t="s">
        <v>1702</v>
      </c>
      <c r="D83" s="184" t="s">
        <v>1703</v>
      </c>
      <c r="E83" s="184"/>
      <c r="F83" s="184" t="s">
        <v>1152</v>
      </c>
      <c r="G83" s="184" t="s">
        <v>1532</v>
      </c>
      <c r="H83" s="184" t="s">
        <v>1152</v>
      </c>
      <c r="I83" s="184" t="s">
        <v>1152</v>
      </c>
      <c r="J83" s="184" t="s">
        <v>1708</v>
      </c>
    </row>
    <row r="84" spans="1:10">
      <c r="A84" s="184" t="s">
        <v>1527</v>
      </c>
      <c r="B84" s="184" t="s">
        <v>1693</v>
      </c>
      <c r="C84" s="184" t="s">
        <v>1729</v>
      </c>
      <c r="D84" s="184" t="s">
        <v>1730</v>
      </c>
      <c r="E84" s="184"/>
      <c r="F84" s="184" t="s">
        <v>1731</v>
      </c>
      <c r="G84" s="184" t="s">
        <v>1532</v>
      </c>
      <c r="H84" s="184" t="s">
        <v>1732</v>
      </c>
      <c r="I84" s="184" t="s">
        <v>106</v>
      </c>
      <c r="J84" s="184"/>
    </row>
    <row r="85" spans="1:10">
      <c r="A85" s="184" t="s">
        <v>1527</v>
      </c>
      <c r="B85" s="184" t="s">
        <v>1693</v>
      </c>
      <c r="C85" s="184" t="s">
        <v>1729</v>
      </c>
      <c r="D85" s="184" t="s">
        <v>1730</v>
      </c>
      <c r="E85" s="184"/>
      <c r="F85" s="184" t="s">
        <v>1733</v>
      </c>
      <c r="G85" s="184" t="s">
        <v>1532</v>
      </c>
      <c r="H85" s="184" t="s">
        <v>1734</v>
      </c>
      <c r="I85" s="184" t="s">
        <v>106</v>
      </c>
      <c r="J85" s="184"/>
    </row>
    <row r="86" spans="1:10">
      <c r="A86" s="184" t="s">
        <v>1527</v>
      </c>
      <c r="B86" s="184" t="s">
        <v>1693</v>
      </c>
      <c r="C86" s="184" t="s">
        <v>1729</v>
      </c>
      <c r="D86" s="184" t="s">
        <v>1730</v>
      </c>
      <c r="E86" s="184"/>
      <c r="F86" s="184" t="s">
        <v>1735</v>
      </c>
      <c r="G86" s="184" t="s">
        <v>1532</v>
      </c>
      <c r="H86" s="184" t="s">
        <v>1736</v>
      </c>
      <c r="I86" s="184" t="s">
        <v>113</v>
      </c>
      <c r="J86" s="184"/>
    </row>
    <row r="87" spans="1:10">
      <c r="A87" s="184" t="s">
        <v>1527</v>
      </c>
      <c r="B87" s="184" t="s">
        <v>1693</v>
      </c>
      <c r="C87" s="184" t="s">
        <v>1729</v>
      </c>
      <c r="D87" s="184" t="s">
        <v>1730</v>
      </c>
      <c r="E87" s="184"/>
      <c r="F87" s="184" t="s">
        <v>1737</v>
      </c>
      <c r="G87" s="184" t="s">
        <v>1532</v>
      </c>
      <c r="H87" s="184" t="s">
        <v>1738</v>
      </c>
      <c r="I87" s="184" t="s">
        <v>113</v>
      </c>
      <c r="J87" s="184"/>
    </row>
    <row r="88" spans="1:10">
      <c r="A88" s="184" t="s">
        <v>1527</v>
      </c>
      <c r="B88" s="184" t="s">
        <v>1693</v>
      </c>
      <c r="C88" s="184" t="s">
        <v>1729</v>
      </c>
      <c r="D88" s="184" t="s">
        <v>1730</v>
      </c>
      <c r="E88" s="184"/>
      <c r="F88" s="184" t="s">
        <v>860</v>
      </c>
      <c r="G88" s="184" t="s">
        <v>1532</v>
      </c>
      <c r="H88" s="184" t="s">
        <v>1739</v>
      </c>
      <c r="I88" s="184" t="s">
        <v>860</v>
      </c>
      <c r="J88" s="184" t="s">
        <v>1708</v>
      </c>
    </row>
    <row r="89" spans="1:10">
      <c r="A89" s="184" t="s">
        <v>1527</v>
      </c>
      <c r="B89" s="184" t="s">
        <v>1693</v>
      </c>
      <c r="C89" s="184" t="s">
        <v>1729</v>
      </c>
      <c r="D89" s="184" t="s">
        <v>1730</v>
      </c>
      <c r="E89" s="184"/>
      <c r="F89" s="184" t="s">
        <v>1740</v>
      </c>
      <c r="G89" s="184" t="s">
        <v>1532</v>
      </c>
      <c r="H89" s="184" t="s">
        <v>1741</v>
      </c>
      <c r="I89" s="184"/>
      <c r="J89" s="184"/>
    </row>
    <row r="90" spans="1:10">
      <c r="A90" s="184" t="s">
        <v>1527</v>
      </c>
      <c r="B90" s="184" t="s">
        <v>1693</v>
      </c>
      <c r="C90" s="184" t="s">
        <v>1729</v>
      </c>
      <c r="D90" s="184" t="s">
        <v>1730</v>
      </c>
      <c r="E90" s="184"/>
      <c r="F90" s="184" t="s">
        <v>1742</v>
      </c>
      <c r="G90" s="184" t="s">
        <v>1532</v>
      </c>
      <c r="H90" s="184" t="s">
        <v>1743</v>
      </c>
      <c r="I90" s="184" t="s">
        <v>1744</v>
      </c>
      <c r="J90" s="184" t="s">
        <v>244</v>
      </c>
    </row>
    <row r="91" spans="1:10">
      <c r="A91" s="184" t="s">
        <v>1527</v>
      </c>
      <c r="B91" s="184" t="s">
        <v>1693</v>
      </c>
      <c r="C91" s="184" t="s">
        <v>1729</v>
      </c>
      <c r="D91" s="184" t="s">
        <v>1730</v>
      </c>
      <c r="E91" s="184"/>
      <c r="F91" s="184" t="s">
        <v>1745</v>
      </c>
      <c r="G91" s="184" t="s">
        <v>1532</v>
      </c>
      <c r="H91" s="184" t="s">
        <v>1746</v>
      </c>
      <c r="I91" s="184" t="s">
        <v>1747</v>
      </c>
      <c r="J91" s="184" t="s">
        <v>244</v>
      </c>
    </row>
    <row r="92" spans="1:10">
      <c r="A92" s="184" t="s">
        <v>1527</v>
      </c>
      <c r="B92" s="184" t="s">
        <v>1693</v>
      </c>
      <c r="C92" s="184" t="s">
        <v>1729</v>
      </c>
      <c r="D92" s="184" t="s">
        <v>1730</v>
      </c>
      <c r="E92" s="184"/>
      <c r="F92" s="184" t="s">
        <v>1748</v>
      </c>
      <c r="G92" s="184" t="s">
        <v>1532</v>
      </c>
      <c r="H92" s="184" t="s">
        <v>1749</v>
      </c>
      <c r="I92" s="184" t="s">
        <v>1750</v>
      </c>
      <c r="J92" s="184" t="s">
        <v>244</v>
      </c>
    </row>
    <row r="93" spans="1:10">
      <c r="A93" s="184" t="s">
        <v>1527</v>
      </c>
      <c r="B93" s="184" t="s">
        <v>1693</v>
      </c>
      <c r="C93" s="184" t="s">
        <v>1729</v>
      </c>
      <c r="D93" s="184" t="s">
        <v>1730</v>
      </c>
      <c r="E93" s="184"/>
      <c r="F93" s="184" t="s">
        <v>1152</v>
      </c>
      <c r="G93" s="184" t="s">
        <v>1532</v>
      </c>
      <c r="H93" s="184" t="s">
        <v>1152</v>
      </c>
      <c r="I93" s="184" t="s">
        <v>1152</v>
      </c>
      <c r="J93" s="184"/>
    </row>
    <row r="94" spans="1:10">
      <c r="A94" s="184" t="s">
        <v>1527</v>
      </c>
      <c r="B94" s="184" t="s">
        <v>1701</v>
      </c>
      <c r="C94" s="184" t="s">
        <v>1751</v>
      </c>
      <c r="D94" s="184" t="s">
        <v>1703</v>
      </c>
      <c r="E94" s="184"/>
      <c r="F94" s="184" t="s">
        <v>1752</v>
      </c>
      <c r="G94" s="184" t="s">
        <v>1532</v>
      </c>
      <c r="H94" s="184" t="s">
        <v>1753</v>
      </c>
      <c r="I94" s="184" t="s">
        <v>915</v>
      </c>
      <c r="J94" s="184" t="s">
        <v>915</v>
      </c>
    </row>
    <row r="95" spans="1:10">
      <c r="A95" s="184" t="s">
        <v>1527</v>
      </c>
      <c r="B95" s="184" t="s">
        <v>1701</v>
      </c>
      <c r="C95" s="184" t="s">
        <v>1754</v>
      </c>
      <c r="D95" s="184" t="s">
        <v>1703</v>
      </c>
      <c r="E95" s="184"/>
      <c r="F95" s="184" t="s">
        <v>1755</v>
      </c>
      <c r="G95" s="184" t="s">
        <v>1532</v>
      </c>
      <c r="H95" s="184" t="s">
        <v>1756</v>
      </c>
      <c r="I95" s="184" t="s">
        <v>586</v>
      </c>
      <c r="J95" s="184"/>
    </row>
    <row r="96" spans="1:10">
      <c r="A96" s="184" t="s">
        <v>1527</v>
      </c>
      <c r="B96" s="184" t="s">
        <v>1701</v>
      </c>
      <c r="C96" s="184" t="s">
        <v>1751</v>
      </c>
      <c r="D96" s="184" t="s">
        <v>1703</v>
      </c>
      <c r="E96" s="184"/>
      <c r="F96" s="184" t="s">
        <v>1757</v>
      </c>
      <c r="G96" s="184" t="s">
        <v>1532</v>
      </c>
      <c r="H96" s="184" t="s">
        <v>1758</v>
      </c>
      <c r="I96" s="184" t="s">
        <v>918</v>
      </c>
      <c r="J96" s="184" t="s">
        <v>918</v>
      </c>
    </row>
    <row r="97" spans="1:10">
      <c r="A97" s="184" t="s">
        <v>1527</v>
      </c>
      <c r="B97" s="184" t="s">
        <v>1701</v>
      </c>
      <c r="C97" s="184" t="s">
        <v>1751</v>
      </c>
      <c r="D97" s="184" t="s">
        <v>1703</v>
      </c>
      <c r="E97" s="184"/>
      <c r="F97" s="184" t="s">
        <v>1759</v>
      </c>
      <c r="G97" s="184" t="s">
        <v>1532</v>
      </c>
      <c r="H97" s="184" t="s">
        <v>1760</v>
      </c>
      <c r="I97" s="184" t="s">
        <v>923</v>
      </c>
      <c r="J97" s="184" t="s">
        <v>923</v>
      </c>
    </row>
    <row r="98" spans="1:10">
      <c r="A98" s="184" t="s">
        <v>1527</v>
      </c>
      <c r="B98" s="184" t="s">
        <v>1701</v>
      </c>
      <c r="C98" s="184" t="s">
        <v>1754</v>
      </c>
      <c r="D98" s="184" t="s">
        <v>1703</v>
      </c>
      <c r="E98" s="184"/>
      <c r="F98" s="184" t="s">
        <v>1761</v>
      </c>
      <c r="G98" s="184" t="s">
        <v>1532</v>
      </c>
      <c r="H98" s="184" t="s">
        <v>1762</v>
      </c>
      <c r="I98" s="184" t="s">
        <v>597</v>
      </c>
      <c r="J98" s="184"/>
    </row>
    <row r="99" spans="1:10">
      <c r="A99" s="184" t="s">
        <v>1527</v>
      </c>
      <c r="B99" s="184" t="s">
        <v>1701</v>
      </c>
      <c r="C99" s="184" t="s">
        <v>1751</v>
      </c>
      <c r="D99" s="184" t="s">
        <v>1703</v>
      </c>
      <c r="E99" s="184"/>
      <c r="F99" s="184" t="s">
        <v>1763</v>
      </c>
      <c r="G99" s="184" t="s">
        <v>1532</v>
      </c>
      <c r="H99" s="184" t="s">
        <v>1764</v>
      </c>
      <c r="I99" s="184" t="s">
        <v>928</v>
      </c>
      <c r="J99" s="184" t="s">
        <v>928</v>
      </c>
    </row>
    <row r="100" spans="1:10">
      <c r="A100" s="184" t="s">
        <v>1527</v>
      </c>
      <c r="B100" s="184" t="s">
        <v>1701</v>
      </c>
      <c r="C100" s="184" t="s">
        <v>1754</v>
      </c>
      <c r="D100" s="184" t="s">
        <v>1703</v>
      </c>
      <c r="E100" s="184"/>
      <c r="F100" s="184" t="s">
        <v>1765</v>
      </c>
      <c r="G100" s="184" t="s">
        <v>1532</v>
      </c>
      <c r="H100" s="184" t="s">
        <v>1766</v>
      </c>
      <c r="I100" s="184" t="s">
        <v>601</v>
      </c>
      <c r="J100" s="184"/>
    </row>
    <row r="101" spans="1:10">
      <c r="A101" s="184" t="s">
        <v>1527</v>
      </c>
      <c r="B101" s="184" t="s">
        <v>1701</v>
      </c>
      <c r="C101" s="184" t="s">
        <v>1754</v>
      </c>
      <c r="D101" s="184" t="s">
        <v>1703</v>
      </c>
      <c r="E101" s="184"/>
      <c r="F101" s="184" t="s">
        <v>1767</v>
      </c>
      <c r="G101" s="184" t="s">
        <v>1532</v>
      </c>
      <c r="H101" s="184" t="s">
        <v>1768</v>
      </c>
      <c r="I101" s="184" t="s">
        <v>611</v>
      </c>
      <c r="J101" s="184"/>
    </row>
    <row r="102" spans="1:10">
      <c r="A102" s="184" t="s">
        <v>1527</v>
      </c>
      <c r="B102" s="184" t="s">
        <v>1701</v>
      </c>
      <c r="C102" s="184" t="s">
        <v>1769</v>
      </c>
      <c r="D102" s="184" t="s">
        <v>1703</v>
      </c>
      <c r="E102" s="184"/>
      <c r="F102" s="184" t="s">
        <v>1770</v>
      </c>
      <c r="G102" s="184" t="s">
        <v>1532</v>
      </c>
      <c r="H102" s="184" t="s">
        <v>1771</v>
      </c>
      <c r="I102" s="184" t="s">
        <v>467</v>
      </c>
      <c r="J102" s="184" t="s">
        <v>467</v>
      </c>
    </row>
    <row r="103" spans="1:10">
      <c r="A103" s="184" t="s">
        <v>1527</v>
      </c>
      <c r="B103" s="184" t="s">
        <v>1701</v>
      </c>
      <c r="C103" s="184" t="s">
        <v>1769</v>
      </c>
      <c r="D103" s="184" t="s">
        <v>1703</v>
      </c>
      <c r="E103" s="184"/>
      <c r="F103" s="184" t="s">
        <v>1772</v>
      </c>
      <c r="G103" s="184" t="s">
        <v>1532</v>
      </c>
      <c r="H103" s="184" t="s">
        <v>1773</v>
      </c>
      <c r="I103" s="184" t="s">
        <v>469</v>
      </c>
      <c r="J103" s="184" t="s">
        <v>469</v>
      </c>
    </row>
    <row r="104" spans="1:10">
      <c r="A104" s="184" t="s">
        <v>1527</v>
      </c>
      <c r="B104" s="184" t="s">
        <v>1701</v>
      </c>
      <c r="C104" s="184" t="s">
        <v>1769</v>
      </c>
      <c r="D104" s="184" t="s">
        <v>1703</v>
      </c>
      <c r="E104" s="184"/>
      <c r="F104" s="184" t="s">
        <v>1774</v>
      </c>
      <c r="G104" s="184" t="s">
        <v>1532</v>
      </c>
      <c r="H104" s="184" t="s">
        <v>1775</v>
      </c>
      <c r="I104" s="184" t="s">
        <v>471</v>
      </c>
      <c r="J104" s="184" t="s">
        <v>471</v>
      </c>
    </row>
    <row r="105" spans="1:10">
      <c r="A105" s="184" t="s">
        <v>1527</v>
      </c>
      <c r="B105" s="184" t="s">
        <v>1701</v>
      </c>
      <c r="C105" s="184" t="s">
        <v>1769</v>
      </c>
      <c r="D105" s="184" t="s">
        <v>1703</v>
      </c>
      <c r="E105" s="184"/>
      <c r="F105" s="184" t="s">
        <v>1776</v>
      </c>
      <c r="G105" s="184" t="s">
        <v>1532</v>
      </c>
      <c r="H105" s="184" t="s">
        <v>1777</v>
      </c>
      <c r="I105" s="184" t="s">
        <v>472</v>
      </c>
      <c r="J105" s="184" t="s">
        <v>472</v>
      </c>
    </row>
    <row r="106" spans="1:10">
      <c r="A106" s="184" t="s">
        <v>1527</v>
      </c>
      <c r="B106" s="184" t="s">
        <v>1701</v>
      </c>
      <c r="C106" s="184" t="s">
        <v>1769</v>
      </c>
      <c r="D106" s="184" t="s">
        <v>1703</v>
      </c>
      <c r="E106" s="184"/>
      <c r="F106" s="184" t="s">
        <v>1778</v>
      </c>
      <c r="G106" s="184" t="s">
        <v>1532</v>
      </c>
      <c r="H106" s="184" t="s">
        <v>1779</v>
      </c>
      <c r="I106" s="184" t="s">
        <v>476</v>
      </c>
      <c r="J106" s="184" t="s">
        <v>476</v>
      </c>
    </row>
    <row r="107" spans="1:10">
      <c r="A107" s="184" t="s">
        <v>1527</v>
      </c>
      <c r="B107" s="184" t="s">
        <v>1701</v>
      </c>
      <c r="C107" s="184" t="s">
        <v>1769</v>
      </c>
      <c r="D107" s="184" t="s">
        <v>1703</v>
      </c>
      <c r="E107" s="184"/>
      <c r="F107" s="184" t="s">
        <v>1780</v>
      </c>
      <c r="G107" s="184" t="s">
        <v>1532</v>
      </c>
      <c r="H107" s="184" t="s">
        <v>1781</v>
      </c>
      <c r="I107" s="184" t="s">
        <v>478</v>
      </c>
      <c r="J107" s="184" t="s">
        <v>1782</v>
      </c>
    </row>
    <row r="108" spans="1:10">
      <c r="A108" s="184" t="s">
        <v>1527</v>
      </c>
      <c r="B108" s="184" t="s">
        <v>1701</v>
      </c>
      <c r="C108" s="184" t="s">
        <v>1769</v>
      </c>
      <c r="D108" s="184" t="s">
        <v>1703</v>
      </c>
      <c r="E108" s="184"/>
      <c r="F108" s="184" t="s">
        <v>537</v>
      </c>
      <c r="G108" s="184" t="s">
        <v>1532</v>
      </c>
      <c r="H108" s="184" t="s">
        <v>1783</v>
      </c>
      <c r="I108" s="184" t="s">
        <v>537</v>
      </c>
      <c r="J108" s="184" t="s">
        <v>1708</v>
      </c>
    </row>
    <row r="109" spans="1:10">
      <c r="A109" s="184" t="s">
        <v>1527</v>
      </c>
      <c r="B109" s="184" t="s">
        <v>1701</v>
      </c>
      <c r="C109" s="184" t="s">
        <v>1784</v>
      </c>
      <c r="D109" s="184" t="s">
        <v>1703</v>
      </c>
      <c r="E109" s="184"/>
      <c r="F109" s="184" t="s">
        <v>1318</v>
      </c>
      <c r="G109" s="184" t="s">
        <v>1532</v>
      </c>
      <c r="H109" s="184" t="s">
        <v>1785</v>
      </c>
      <c r="I109" s="184" t="s">
        <v>540</v>
      </c>
      <c r="J109" s="184" t="s">
        <v>540</v>
      </c>
    </row>
    <row r="110" spans="1:10">
      <c r="A110" s="184" t="s">
        <v>1527</v>
      </c>
      <c r="B110" s="184" t="s">
        <v>1701</v>
      </c>
      <c r="C110" s="184" t="s">
        <v>1784</v>
      </c>
      <c r="D110" s="184" t="s">
        <v>1703</v>
      </c>
      <c r="E110" s="184"/>
      <c r="F110" s="184" t="s">
        <v>1320</v>
      </c>
      <c r="G110" s="184" t="s">
        <v>1532</v>
      </c>
      <c r="H110" s="184" t="s">
        <v>1786</v>
      </c>
      <c r="I110" s="184" t="s">
        <v>545</v>
      </c>
      <c r="J110" s="184" t="s">
        <v>545</v>
      </c>
    </row>
    <row r="111" spans="1:10">
      <c r="A111" s="184" t="s">
        <v>1527</v>
      </c>
      <c r="B111" s="184" t="s">
        <v>1701</v>
      </c>
      <c r="C111" s="184" t="s">
        <v>1784</v>
      </c>
      <c r="D111" s="184" t="s">
        <v>1703</v>
      </c>
      <c r="E111" s="184"/>
      <c r="F111" s="184" t="s">
        <v>1322</v>
      </c>
      <c r="G111" s="184" t="s">
        <v>1532</v>
      </c>
      <c r="H111" s="184" t="s">
        <v>1787</v>
      </c>
      <c r="I111" s="184" t="s">
        <v>547</v>
      </c>
      <c r="J111" s="184" t="s">
        <v>547</v>
      </c>
    </row>
    <row r="112" spans="1:10">
      <c r="A112" s="184" t="s">
        <v>1527</v>
      </c>
      <c r="B112" s="184" t="s">
        <v>1701</v>
      </c>
      <c r="C112" s="184" t="s">
        <v>1724</v>
      </c>
      <c r="D112" s="184" t="s">
        <v>1703</v>
      </c>
      <c r="E112" s="184"/>
      <c r="F112" s="184" t="s">
        <v>1788</v>
      </c>
      <c r="G112" s="184" t="s">
        <v>1532</v>
      </c>
      <c r="H112" s="184" t="s">
        <v>1789</v>
      </c>
      <c r="I112" s="184" t="s">
        <v>711</v>
      </c>
      <c r="J112" s="184"/>
    </row>
    <row r="113" spans="1:10">
      <c r="A113" s="184" t="s">
        <v>1527</v>
      </c>
      <c r="B113" s="184" t="s">
        <v>1701</v>
      </c>
      <c r="C113" s="184" t="s">
        <v>1784</v>
      </c>
      <c r="D113" s="184" t="s">
        <v>1703</v>
      </c>
      <c r="E113" s="184"/>
      <c r="F113" s="184" t="s">
        <v>1790</v>
      </c>
      <c r="G113" s="184" t="s">
        <v>1532</v>
      </c>
      <c r="H113" s="184" t="s">
        <v>1791</v>
      </c>
      <c r="I113" s="184" t="s">
        <v>713</v>
      </c>
      <c r="J113" s="184"/>
    </row>
    <row r="114" spans="1:10">
      <c r="A114" s="184" t="s">
        <v>1527</v>
      </c>
      <c r="B114" s="184" t="s">
        <v>1701</v>
      </c>
      <c r="C114" s="184" t="s">
        <v>1754</v>
      </c>
      <c r="D114" s="184" t="s">
        <v>1703</v>
      </c>
      <c r="E114" s="184"/>
      <c r="F114" s="184" t="s">
        <v>1792</v>
      </c>
      <c r="G114" s="184" t="s">
        <v>1532</v>
      </c>
      <c r="H114" s="184" t="s">
        <v>1793</v>
      </c>
      <c r="I114" s="184" t="s">
        <v>52</v>
      </c>
      <c r="J114" s="184"/>
    </row>
    <row r="115" spans="1:10">
      <c r="A115" s="184" t="s">
        <v>1527</v>
      </c>
      <c r="B115" s="184" t="s">
        <v>1701</v>
      </c>
      <c r="C115" s="184" t="s">
        <v>1754</v>
      </c>
      <c r="D115" s="184" t="s">
        <v>1703</v>
      </c>
      <c r="E115" s="184"/>
      <c r="F115" s="184" t="s">
        <v>1794</v>
      </c>
      <c r="G115" s="184" t="s">
        <v>1532</v>
      </c>
      <c r="H115" s="184" t="s">
        <v>1795</v>
      </c>
      <c r="I115" s="184" t="s">
        <v>946</v>
      </c>
      <c r="J115" s="184"/>
    </row>
    <row r="116" spans="1:10">
      <c r="A116" s="184" t="s">
        <v>1527</v>
      </c>
      <c r="B116" s="184" t="s">
        <v>1701</v>
      </c>
      <c r="C116" s="184" t="s">
        <v>1769</v>
      </c>
      <c r="D116" s="184" t="s">
        <v>1703</v>
      </c>
      <c r="E116" s="184"/>
      <c r="F116" s="184" t="s">
        <v>1796</v>
      </c>
      <c r="G116" s="184" t="s">
        <v>1532</v>
      </c>
      <c r="H116" s="184" t="s">
        <v>1797</v>
      </c>
      <c r="I116" s="184" t="s">
        <v>404</v>
      </c>
      <c r="J116" s="184" t="s">
        <v>404</v>
      </c>
    </row>
    <row r="117" spans="1:10">
      <c r="A117" s="184" t="s">
        <v>1527</v>
      </c>
      <c r="B117" s="184" t="s">
        <v>1701</v>
      </c>
      <c r="C117" s="184" t="s">
        <v>1769</v>
      </c>
      <c r="D117" s="184" t="s">
        <v>1703</v>
      </c>
      <c r="E117" s="184"/>
      <c r="F117" s="184" t="s">
        <v>1798</v>
      </c>
      <c r="G117" s="184" t="s">
        <v>1532</v>
      </c>
      <c r="H117" s="184" t="s">
        <v>1799</v>
      </c>
      <c r="I117" s="184" t="s">
        <v>406</v>
      </c>
      <c r="J117" s="184" t="s">
        <v>406</v>
      </c>
    </row>
    <row r="118" spans="1:10">
      <c r="A118" s="184" t="s">
        <v>1527</v>
      </c>
      <c r="B118" s="184" t="s">
        <v>1701</v>
      </c>
      <c r="C118" s="184" t="s">
        <v>1769</v>
      </c>
      <c r="D118" s="184" t="s">
        <v>1703</v>
      </c>
      <c r="E118" s="184"/>
      <c r="F118" s="184" t="s">
        <v>1800</v>
      </c>
      <c r="G118" s="184" t="s">
        <v>1532</v>
      </c>
      <c r="H118" s="184" t="s">
        <v>1801</v>
      </c>
      <c r="I118" s="184" t="s">
        <v>412</v>
      </c>
      <c r="J118" s="184" t="s">
        <v>412</v>
      </c>
    </row>
    <row r="119" spans="1:10">
      <c r="A119" s="184" t="s">
        <v>1527</v>
      </c>
      <c r="B119" s="184" t="s">
        <v>1701</v>
      </c>
      <c r="C119" s="184" t="s">
        <v>1769</v>
      </c>
      <c r="D119" s="184" t="s">
        <v>1703</v>
      </c>
      <c r="E119" s="184"/>
      <c r="F119" s="184" t="s">
        <v>1802</v>
      </c>
      <c r="G119" s="184" t="s">
        <v>1532</v>
      </c>
      <c r="H119" s="184" t="s">
        <v>1803</v>
      </c>
      <c r="I119" s="184" t="s">
        <v>414</v>
      </c>
      <c r="J119" s="184" t="s">
        <v>414</v>
      </c>
    </row>
    <row r="120" spans="1:10">
      <c r="A120" s="184" t="s">
        <v>1527</v>
      </c>
      <c r="B120" s="184" t="s">
        <v>1701</v>
      </c>
      <c r="C120" s="184" t="s">
        <v>1769</v>
      </c>
      <c r="D120" s="184" t="s">
        <v>1703</v>
      </c>
      <c r="E120" s="184"/>
      <c r="F120" s="184" t="s">
        <v>1804</v>
      </c>
      <c r="G120" s="184" t="s">
        <v>1532</v>
      </c>
      <c r="H120" s="184" t="s">
        <v>1805</v>
      </c>
      <c r="I120" s="184" t="s">
        <v>420</v>
      </c>
      <c r="J120" s="184" t="s">
        <v>420</v>
      </c>
    </row>
    <row r="121" spans="1:10">
      <c r="A121" s="184" t="s">
        <v>1527</v>
      </c>
      <c r="B121" s="184" t="s">
        <v>1701</v>
      </c>
      <c r="C121" s="184" t="s">
        <v>1769</v>
      </c>
      <c r="D121" s="184" t="s">
        <v>1703</v>
      </c>
      <c r="E121" s="184"/>
      <c r="F121" s="184" t="s">
        <v>1806</v>
      </c>
      <c r="G121" s="184" t="s">
        <v>1532</v>
      </c>
      <c r="H121" s="184" t="s">
        <v>1807</v>
      </c>
      <c r="I121" s="184" t="s">
        <v>422</v>
      </c>
      <c r="J121" s="184" t="s">
        <v>422</v>
      </c>
    </row>
    <row r="122" spans="1:10">
      <c r="A122" s="184" t="s">
        <v>1527</v>
      </c>
      <c r="B122" s="184" t="s">
        <v>1693</v>
      </c>
      <c r="C122" s="184" t="s">
        <v>1808</v>
      </c>
      <c r="D122" s="184" t="s">
        <v>1730</v>
      </c>
      <c r="E122" s="184"/>
      <c r="F122" s="184" t="s">
        <v>1809</v>
      </c>
      <c r="G122" s="184" t="s">
        <v>1532</v>
      </c>
      <c r="H122" s="184" t="s">
        <v>1810</v>
      </c>
      <c r="I122" s="184" t="s">
        <v>1811</v>
      </c>
      <c r="J122" s="184" t="s">
        <v>1811</v>
      </c>
    </row>
    <row r="123" spans="1:10">
      <c r="A123" s="184" t="s">
        <v>1527</v>
      </c>
      <c r="B123" s="184" t="s">
        <v>1693</v>
      </c>
      <c r="C123" s="184" t="s">
        <v>1808</v>
      </c>
      <c r="D123" s="184" t="s">
        <v>1730</v>
      </c>
      <c r="E123" s="184"/>
      <c r="F123" s="184" t="s">
        <v>1812</v>
      </c>
      <c r="G123" s="184" t="s">
        <v>1532</v>
      </c>
      <c r="H123" s="184" t="s">
        <v>1813</v>
      </c>
      <c r="I123" s="184" t="s">
        <v>1814</v>
      </c>
      <c r="J123" s="184" t="s">
        <v>1814</v>
      </c>
    </row>
    <row r="124" spans="1:10">
      <c r="A124" s="184" t="s">
        <v>1527</v>
      </c>
      <c r="B124" s="184" t="s">
        <v>1693</v>
      </c>
      <c r="C124" s="184" t="s">
        <v>1808</v>
      </c>
      <c r="D124" s="184" t="s">
        <v>1730</v>
      </c>
      <c r="E124" s="184"/>
      <c r="F124" s="184" t="s">
        <v>1815</v>
      </c>
      <c r="G124" s="184" t="s">
        <v>1532</v>
      </c>
      <c r="H124" s="184" t="s">
        <v>436</v>
      </c>
      <c r="I124" s="184" t="s">
        <v>437</v>
      </c>
      <c r="J124" s="184" t="s">
        <v>437</v>
      </c>
    </row>
    <row r="125" spans="1:10">
      <c r="A125" s="184" t="s">
        <v>1527</v>
      </c>
      <c r="B125" s="184" t="s">
        <v>1693</v>
      </c>
      <c r="C125" s="184" t="s">
        <v>1808</v>
      </c>
      <c r="D125" s="184" t="s">
        <v>1730</v>
      </c>
      <c r="E125" s="184"/>
      <c r="F125" s="184" t="s">
        <v>1298</v>
      </c>
      <c r="G125" s="184" t="s">
        <v>1532</v>
      </c>
      <c r="H125" s="184" t="s">
        <v>1816</v>
      </c>
      <c r="I125" s="184" t="s">
        <v>498</v>
      </c>
      <c r="J125" s="184" t="s">
        <v>1817</v>
      </c>
    </row>
    <row r="126" spans="1:10">
      <c r="A126" s="184" t="s">
        <v>1527</v>
      </c>
      <c r="B126" s="184" t="s">
        <v>1693</v>
      </c>
      <c r="C126" s="184" t="s">
        <v>1808</v>
      </c>
      <c r="D126" s="184" t="s">
        <v>1730</v>
      </c>
      <c r="E126" s="184"/>
      <c r="F126" s="184" t="s">
        <v>1300</v>
      </c>
      <c r="G126" s="184" t="s">
        <v>1532</v>
      </c>
      <c r="H126" s="184" t="s">
        <v>1818</v>
      </c>
      <c r="I126" s="184" t="s">
        <v>500</v>
      </c>
      <c r="J126" s="184" t="s">
        <v>1819</v>
      </c>
    </row>
    <row r="127" spans="1:10">
      <c r="A127" s="184" t="s">
        <v>1527</v>
      </c>
      <c r="B127" s="184" t="s">
        <v>1693</v>
      </c>
      <c r="C127" s="184" t="s">
        <v>1808</v>
      </c>
      <c r="D127" s="184" t="s">
        <v>1730</v>
      </c>
      <c r="E127" s="184"/>
      <c r="F127" s="184" t="s">
        <v>1306</v>
      </c>
      <c r="G127" s="184" t="s">
        <v>1532</v>
      </c>
      <c r="H127" s="184" t="s">
        <v>1820</v>
      </c>
      <c r="I127" s="184" t="s">
        <v>506</v>
      </c>
      <c r="J127" s="184" t="s">
        <v>1821</v>
      </c>
    </row>
    <row r="128" spans="1:10">
      <c r="A128" s="184" t="s">
        <v>1527</v>
      </c>
      <c r="B128" s="184" t="s">
        <v>1693</v>
      </c>
      <c r="C128" s="184" t="s">
        <v>1808</v>
      </c>
      <c r="D128" s="184" t="s">
        <v>1730</v>
      </c>
      <c r="E128" s="184"/>
      <c r="F128" s="184" t="s">
        <v>1308</v>
      </c>
      <c r="G128" s="184" t="s">
        <v>1532</v>
      </c>
      <c r="H128" s="184" t="s">
        <v>1822</v>
      </c>
      <c r="I128" s="184" t="s">
        <v>508</v>
      </c>
      <c r="J128" s="184" t="s">
        <v>1823</v>
      </c>
    </row>
    <row r="129" spans="1:10">
      <c r="A129" s="184" t="s">
        <v>1527</v>
      </c>
      <c r="B129" s="184" t="s">
        <v>1693</v>
      </c>
      <c r="C129" s="184" t="s">
        <v>1808</v>
      </c>
      <c r="D129" s="184" t="s">
        <v>1730</v>
      </c>
      <c r="E129" s="184"/>
      <c r="F129" s="184" t="s">
        <v>514</v>
      </c>
      <c r="G129" s="184" t="s">
        <v>1532</v>
      </c>
      <c r="H129" s="184" t="s">
        <v>1824</v>
      </c>
      <c r="I129" s="184" t="s">
        <v>514</v>
      </c>
      <c r="J129" s="184" t="s">
        <v>1825</v>
      </c>
    </row>
    <row r="130" spans="1:10">
      <c r="A130" s="184" t="s">
        <v>1527</v>
      </c>
      <c r="B130" s="184" t="s">
        <v>1693</v>
      </c>
      <c r="C130" s="184" t="s">
        <v>1808</v>
      </c>
      <c r="D130" s="184" t="s">
        <v>1730</v>
      </c>
      <c r="E130" s="184"/>
      <c r="F130" s="184" t="s">
        <v>516</v>
      </c>
      <c r="G130" s="184" t="s">
        <v>1532</v>
      </c>
      <c r="H130" s="184" t="s">
        <v>1826</v>
      </c>
      <c r="I130" s="184" t="s">
        <v>516</v>
      </c>
      <c r="J130" s="184" t="s">
        <v>1827</v>
      </c>
    </row>
    <row r="131" spans="1:10">
      <c r="A131" s="184" t="s">
        <v>1527</v>
      </c>
      <c r="B131" s="184" t="s">
        <v>1693</v>
      </c>
      <c r="C131" s="184" t="s">
        <v>1808</v>
      </c>
      <c r="D131" s="184" t="s">
        <v>1730</v>
      </c>
      <c r="E131" s="184"/>
      <c r="F131" s="184" t="s">
        <v>522</v>
      </c>
      <c r="G131" s="184" t="s">
        <v>1532</v>
      </c>
      <c r="H131" s="184" t="s">
        <v>1828</v>
      </c>
      <c r="I131" s="184" t="s">
        <v>522</v>
      </c>
      <c r="J131" s="184" t="s">
        <v>1829</v>
      </c>
    </row>
    <row r="132" spans="1:10">
      <c r="A132" s="184" t="s">
        <v>1527</v>
      </c>
      <c r="B132" s="184" t="s">
        <v>1693</v>
      </c>
      <c r="C132" s="184" t="s">
        <v>1808</v>
      </c>
      <c r="D132" s="184" t="s">
        <v>1730</v>
      </c>
      <c r="E132" s="184"/>
      <c r="F132" s="184" t="s">
        <v>524</v>
      </c>
      <c r="G132" s="184" t="s">
        <v>1532</v>
      </c>
      <c r="H132" s="184" t="s">
        <v>1830</v>
      </c>
      <c r="I132" s="184" t="s">
        <v>524</v>
      </c>
      <c r="J132" s="184" t="s">
        <v>1831</v>
      </c>
    </row>
    <row r="133" spans="1:10">
      <c r="A133" s="184" t="s">
        <v>1527</v>
      </c>
      <c r="B133" s="184" t="s">
        <v>1701</v>
      </c>
      <c r="C133" s="184"/>
      <c r="D133" s="184"/>
      <c r="E133" s="184"/>
      <c r="F133" s="184" t="s">
        <v>1327</v>
      </c>
      <c r="G133" s="184" t="s">
        <v>1532</v>
      </c>
      <c r="H133" s="184" t="s">
        <v>1832</v>
      </c>
      <c r="I133" s="184" t="s">
        <v>349</v>
      </c>
      <c r="J133" s="184" t="s">
        <v>1555</v>
      </c>
    </row>
    <row r="134" spans="1:10">
      <c r="A134" s="184" t="s">
        <v>1527</v>
      </c>
      <c r="B134" s="184" t="s">
        <v>1701</v>
      </c>
      <c r="C134" s="184" t="s">
        <v>1833</v>
      </c>
      <c r="D134" s="184" t="s">
        <v>1703</v>
      </c>
      <c r="E134" s="184"/>
      <c r="F134" s="184" t="s">
        <v>1152</v>
      </c>
      <c r="G134" s="184" t="s">
        <v>1532</v>
      </c>
      <c r="H134" s="184"/>
      <c r="I134" s="184"/>
      <c r="J134" s="184"/>
    </row>
    <row r="135" spans="1:10">
      <c r="A135" s="184" t="s">
        <v>1527</v>
      </c>
      <c r="B135" s="184" t="s">
        <v>1701</v>
      </c>
      <c r="C135" s="184" t="s">
        <v>1833</v>
      </c>
      <c r="D135" s="184" t="s">
        <v>1703</v>
      </c>
      <c r="E135" s="184"/>
      <c r="F135" s="184" t="s">
        <v>1834</v>
      </c>
      <c r="G135" s="184" t="s">
        <v>1532</v>
      </c>
      <c r="H135" s="184" t="s">
        <v>558</v>
      </c>
      <c r="I135" s="184" t="s">
        <v>559</v>
      </c>
      <c r="J135" s="184"/>
    </row>
    <row r="136" spans="1:10">
      <c r="A136" s="184" t="s">
        <v>1527</v>
      </c>
      <c r="B136" s="184" t="s">
        <v>1701</v>
      </c>
      <c r="C136" s="184" t="s">
        <v>1833</v>
      </c>
      <c r="D136" s="184" t="s">
        <v>1703</v>
      </c>
      <c r="E136" s="184"/>
      <c r="F136" s="184" t="s">
        <v>1700</v>
      </c>
      <c r="G136" s="184" t="s">
        <v>1532</v>
      </c>
      <c r="H136" s="184"/>
      <c r="I136" s="184"/>
      <c r="J136" s="184"/>
    </row>
    <row r="137" spans="1:10">
      <c r="A137" s="184" t="s">
        <v>1527</v>
      </c>
      <c r="B137" s="184" t="s">
        <v>1701</v>
      </c>
      <c r="C137" s="184" t="s">
        <v>1833</v>
      </c>
      <c r="D137" s="184" t="s">
        <v>1703</v>
      </c>
      <c r="E137" s="184"/>
      <c r="F137" s="184" t="s">
        <v>1700</v>
      </c>
      <c r="G137" s="184" t="s">
        <v>1532</v>
      </c>
      <c r="H137" s="184"/>
      <c r="I137" s="184"/>
      <c r="J137" s="184"/>
    </row>
    <row r="138" spans="1:10">
      <c r="A138" s="184" t="s">
        <v>1527</v>
      </c>
      <c r="B138" s="184" t="s">
        <v>1701</v>
      </c>
      <c r="C138" s="184" t="s">
        <v>1833</v>
      </c>
      <c r="D138" s="184" t="s">
        <v>1703</v>
      </c>
      <c r="E138" s="184"/>
      <c r="F138" s="184" t="s">
        <v>1835</v>
      </c>
      <c r="G138" s="184" t="s">
        <v>1532</v>
      </c>
      <c r="H138" s="184" t="s">
        <v>1836</v>
      </c>
      <c r="I138" s="184" t="s">
        <v>400</v>
      </c>
      <c r="J138" s="184" t="s">
        <v>1837</v>
      </c>
    </row>
    <row r="139" spans="1:10">
      <c r="A139" s="184" t="s">
        <v>1527</v>
      </c>
      <c r="B139" s="184" t="s">
        <v>1701</v>
      </c>
      <c r="C139" s="184" t="s">
        <v>1833</v>
      </c>
      <c r="D139" s="184" t="s">
        <v>1703</v>
      </c>
      <c r="E139" s="184"/>
      <c r="F139" s="184" t="s">
        <v>1838</v>
      </c>
      <c r="G139" s="184" t="s">
        <v>1532</v>
      </c>
      <c r="H139" s="184" t="s">
        <v>1839</v>
      </c>
      <c r="I139" s="184" t="s">
        <v>402</v>
      </c>
      <c r="J139" s="184" t="s">
        <v>402</v>
      </c>
    </row>
    <row r="140" spans="1:10">
      <c r="A140" s="184" t="s">
        <v>1527</v>
      </c>
      <c r="B140" s="184" t="s">
        <v>1701</v>
      </c>
      <c r="C140" s="184" t="s">
        <v>1833</v>
      </c>
      <c r="D140" s="184" t="s">
        <v>1703</v>
      </c>
      <c r="E140" s="184"/>
      <c r="F140" s="184" t="s">
        <v>1840</v>
      </c>
      <c r="G140" s="184" t="s">
        <v>1532</v>
      </c>
      <c r="H140" s="184" t="s">
        <v>1841</v>
      </c>
      <c r="I140" s="184" t="s">
        <v>408</v>
      </c>
      <c r="J140" s="184" t="s">
        <v>408</v>
      </c>
    </row>
    <row r="141" spans="1:10">
      <c r="A141" s="184" t="s">
        <v>1527</v>
      </c>
      <c r="B141" s="184" t="s">
        <v>1701</v>
      </c>
      <c r="C141" s="184" t="s">
        <v>1833</v>
      </c>
      <c r="D141" s="184" t="s">
        <v>1703</v>
      </c>
      <c r="E141" s="184"/>
      <c r="F141" s="184" t="s">
        <v>1842</v>
      </c>
      <c r="G141" s="184" t="s">
        <v>1532</v>
      </c>
      <c r="H141" s="184" t="s">
        <v>1843</v>
      </c>
      <c r="I141" s="184" t="s">
        <v>410</v>
      </c>
      <c r="J141" s="184" t="s">
        <v>410</v>
      </c>
    </row>
    <row r="142" spans="1:10">
      <c r="A142" s="184" t="s">
        <v>1527</v>
      </c>
      <c r="B142" s="184" t="s">
        <v>1701</v>
      </c>
      <c r="C142" s="184" t="s">
        <v>1833</v>
      </c>
      <c r="D142" s="184" t="s">
        <v>1703</v>
      </c>
      <c r="E142" s="184"/>
      <c r="F142" s="184" t="s">
        <v>1844</v>
      </c>
      <c r="G142" s="184" t="s">
        <v>1532</v>
      </c>
      <c r="H142" s="184" t="s">
        <v>1845</v>
      </c>
      <c r="I142" s="184" t="s">
        <v>416</v>
      </c>
      <c r="J142" s="184" t="s">
        <v>416</v>
      </c>
    </row>
    <row r="143" spans="1:10">
      <c r="A143" s="184" t="s">
        <v>1527</v>
      </c>
      <c r="B143" s="184" t="s">
        <v>1701</v>
      </c>
      <c r="C143" s="184" t="s">
        <v>1833</v>
      </c>
      <c r="D143" s="184" t="s">
        <v>1703</v>
      </c>
      <c r="E143" s="184"/>
      <c r="F143" s="184" t="s">
        <v>1846</v>
      </c>
      <c r="G143" s="184" t="s">
        <v>1532</v>
      </c>
      <c r="H143" s="184" t="s">
        <v>1847</v>
      </c>
      <c r="I143" s="184" t="s">
        <v>418</v>
      </c>
      <c r="J143" s="184" t="s">
        <v>418</v>
      </c>
    </row>
    <row r="144" spans="1:10">
      <c r="A144" s="184" t="s">
        <v>1527</v>
      </c>
      <c r="B144" s="184" t="s">
        <v>1701</v>
      </c>
      <c r="C144" s="184" t="s">
        <v>1833</v>
      </c>
      <c r="D144" s="184" t="s">
        <v>1703</v>
      </c>
      <c r="E144" s="184"/>
      <c r="F144" s="184" t="s">
        <v>1848</v>
      </c>
      <c r="G144" s="184" t="s">
        <v>1532</v>
      </c>
      <c r="H144" s="184" t="s">
        <v>1849</v>
      </c>
      <c r="I144" s="184" t="s">
        <v>424</v>
      </c>
      <c r="J144" s="184" t="s">
        <v>424</v>
      </c>
    </row>
    <row r="145" spans="1:10">
      <c r="A145" s="184" t="s">
        <v>1527</v>
      </c>
      <c r="B145" s="184" t="s">
        <v>1693</v>
      </c>
      <c r="C145" s="184" t="s">
        <v>1850</v>
      </c>
      <c r="D145" s="184" t="s">
        <v>1730</v>
      </c>
      <c r="E145" s="184"/>
      <c r="F145" s="184" t="s">
        <v>1851</v>
      </c>
      <c r="G145" s="184" t="s">
        <v>1532</v>
      </c>
      <c r="H145" s="184" t="s">
        <v>1852</v>
      </c>
      <c r="I145" s="184" t="s">
        <v>367</v>
      </c>
      <c r="J145" s="184" t="s">
        <v>367</v>
      </c>
    </row>
    <row r="146" spans="1:10">
      <c r="A146" s="184" t="s">
        <v>1527</v>
      </c>
      <c r="B146" s="184" t="s">
        <v>1693</v>
      </c>
      <c r="C146" s="184" t="s">
        <v>1850</v>
      </c>
      <c r="D146" s="184" t="s">
        <v>1730</v>
      </c>
      <c r="E146" s="184"/>
      <c r="F146" s="184" t="s">
        <v>1853</v>
      </c>
      <c r="G146" s="184" t="s">
        <v>1532</v>
      </c>
      <c r="H146" s="184" t="s">
        <v>1854</v>
      </c>
      <c r="I146" s="184" t="s">
        <v>1855</v>
      </c>
      <c r="J146" s="184" t="s">
        <v>1855</v>
      </c>
    </row>
    <row r="147" spans="1:10">
      <c r="A147" s="184" t="s">
        <v>1527</v>
      </c>
      <c r="B147" s="184" t="s">
        <v>1693</v>
      </c>
      <c r="C147" s="184" t="s">
        <v>1850</v>
      </c>
      <c r="D147" s="184" t="s">
        <v>1730</v>
      </c>
      <c r="E147" s="184"/>
      <c r="F147" s="184" t="s">
        <v>1856</v>
      </c>
      <c r="G147" s="184" t="s">
        <v>1532</v>
      </c>
      <c r="H147" s="184" t="s">
        <v>1857</v>
      </c>
      <c r="I147" s="184" t="s">
        <v>1858</v>
      </c>
      <c r="J147" s="184" t="s">
        <v>1858</v>
      </c>
    </row>
    <row r="148" spans="1:10">
      <c r="A148" s="184" t="s">
        <v>1527</v>
      </c>
      <c r="B148" s="184" t="s">
        <v>1693</v>
      </c>
      <c r="C148" s="184" t="s">
        <v>1850</v>
      </c>
      <c r="D148" s="184" t="s">
        <v>1730</v>
      </c>
      <c r="E148" s="184"/>
      <c r="F148" s="184" t="s">
        <v>1859</v>
      </c>
      <c r="G148" s="184" t="s">
        <v>1532</v>
      </c>
      <c r="H148" s="184" t="s">
        <v>1860</v>
      </c>
      <c r="I148" s="184" t="s">
        <v>434</v>
      </c>
      <c r="J148" s="184" t="s">
        <v>434</v>
      </c>
    </row>
    <row r="149" spans="1:10">
      <c r="A149" s="184" t="s">
        <v>1527</v>
      </c>
      <c r="B149" s="184" t="s">
        <v>1693</v>
      </c>
      <c r="C149" s="184" t="s">
        <v>1850</v>
      </c>
      <c r="D149" s="184" t="s">
        <v>1730</v>
      </c>
      <c r="E149" s="184"/>
      <c r="F149" s="184" t="s">
        <v>1861</v>
      </c>
      <c r="G149" s="184" t="s">
        <v>1532</v>
      </c>
      <c r="H149" s="184" t="s">
        <v>1862</v>
      </c>
      <c r="I149" s="184" t="s">
        <v>444</v>
      </c>
      <c r="J149" s="184" t="s">
        <v>1863</v>
      </c>
    </row>
    <row r="150" spans="1:10">
      <c r="A150" s="184" t="s">
        <v>1527</v>
      </c>
      <c r="B150" s="184" t="s">
        <v>1693</v>
      </c>
      <c r="C150" s="184" t="s">
        <v>1808</v>
      </c>
      <c r="D150" s="184" t="s">
        <v>1730</v>
      </c>
      <c r="E150" s="184"/>
      <c r="F150" s="184" t="s">
        <v>1864</v>
      </c>
      <c r="G150" s="184" t="s">
        <v>1532</v>
      </c>
      <c r="H150" s="184" t="s">
        <v>1865</v>
      </c>
      <c r="I150" s="184" t="s">
        <v>480</v>
      </c>
      <c r="J150" s="184" t="s">
        <v>1866</v>
      </c>
    </row>
    <row r="151" spans="1:10">
      <c r="A151" s="184" t="s">
        <v>1527</v>
      </c>
      <c r="B151" s="184" t="s">
        <v>1693</v>
      </c>
      <c r="C151" s="184" t="s">
        <v>1808</v>
      </c>
      <c r="D151" s="184" t="s">
        <v>1730</v>
      </c>
      <c r="E151" s="184"/>
      <c r="F151" s="184" t="s">
        <v>1867</v>
      </c>
      <c r="G151" s="184" t="s">
        <v>1532</v>
      </c>
      <c r="H151" s="184" t="s">
        <v>1868</v>
      </c>
      <c r="I151" s="184" t="s">
        <v>1869</v>
      </c>
      <c r="J151" s="184"/>
    </row>
    <row r="152" spans="1:10">
      <c r="A152" s="184" t="s">
        <v>1527</v>
      </c>
      <c r="B152" s="184" t="s">
        <v>1693</v>
      </c>
      <c r="C152" s="184" t="s">
        <v>1850</v>
      </c>
      <c r="D152" s="184" t="s">
        <v>1730</v>
      </c>
      <c r="E152" s="184"/>
      <c r="F152" s="184" t="s">
        <v>1296</v>
      </c>
      <c r="G152" s="184" t="s">
        <v>1532</v>
      </c>
      <c r="H152" s="184" t="s">
        <v>1870</v>
      </c>
      <c r="I152" s="184" t="s">
        <v>496</v>
      </c>
      <c r="J152" s="184" t="s">
        <v>1871</v>
      </c>
    </row>
    <row r="153" spans="1:10">
      <c r="A153" s="184" t="s">
        <v>1527</v>
      </c>
      <c r="B153" s="184" t="s">
        <v>1693</v>
      </c>
      <c r="C153" s="184" t="s">
        <v>1850</v>
      </c>
      <c r="D153" s="184" t="s">
        <v>1730</v>
      </c>
      <c r="E153" s="184"/>
      <c r="F153" s="184" t="s">
        <v>1302</v>
      </c>
      <c r="G153" s="184" t="s">
        <v>1532</v>
      </c>
      <c r="H153" s="184" t="s">
        <v>1872</v>
      </c>
      <c r="I153" s="184" t="s">
        <v>502</v>
      </c>
      <c r="J153" s="184" t="s">
        <v>1873</v>
      </c>
    </row>
    <row r="154" spans="1:10">
      <c r="A154" s="184" t="s">
        <v>1527</v>
      </c>
      <c r="B154" s="184" t="s">
        <v>1693</v>
      </c>
      <c r="C154" s="184" t="s">
        <v>1850</v>
      </c>
      <c r="D154" s="184" t="s">
        <v>1730</v>
      </c>
      <c r="E154" s="184"/>
      <c r="F154" s="184" t="s">
        <v>1304</v>
      </c>
      <c r="G154" s="184" t="s">
        <v>1532</v>
      </c>
      <c r="H154" s="184" t="s">
        <v>1874</v>
      </c>
      <c r="I154" s="184" t="s">
        <v>504</v>
      </c>
      <c r="J154" s="184" t="s">
        <v>1875</v>
      </c>
    </row>
    <row r="155" spans="1:10">
      <c r="A155" s="184" t="s">
        <v>1527</v>
      </c>
      <c r="B155" s="184" t="s">
        <v>1693</v>
      </c>
      <c r="C155" s="184" t="s">
        <v>1850</v>
      </c>
      <c r="D155" s="184" t="s">
        <v>1730</v>
      </c>
      <c r="E155" s="184"/>
      <c r="F155" s="184" t="s">
        <v>1310</v>
      </c>
      <c r="G155" s="184" t="s">
        <v>1532</v>
      </c>
      <c r="H155" s="184" t="s">
        <v>1876</v>
      </c>
      <c r="I155" s="184" t="s">
        <v>510</v>
      </c>
      <c r="J155" s="184" t="s">
        <v>1877</v>
      </c>
    </row>
    <row r="156" spans="1:10">
      <c r="A156" s="184" t="s">
        <v>1527</v>
      </c>
      <c r="B156" s="184" t="s">
        <v>1693</v>
      </c>
      <c r="C156" s="184" t="s">
        <v>1850</v>
      </c>
      <c r="D156" s="184" t="s">
        <v>1730</v>
      </c>
      <c r="E156" s="184"/>
      <c r="F156" s="184" t="s">
        <v>512</v>
      </c>
      <c r="G156" s="184" t="s">
        <v>1532</v>
      </c>
      <c r="H156" s="184" t="s">
        <v>1878</v>
      </c>
      <c r="I156" s="184" t="s">
        <v>512</v>
      </c>
      <c r="J156" s="184" t="s">
        <v>1879</v>
      </c>
    </row>
    <row r="157" spans="1:10">
      <c r="A157" s="184" t="s">
        <v>1527</v>
      </c>
      <c r="B157" s="184" t="s">
        <v>1693</v>
      </c>
      <c r="C157" s="184" t="s">
        <v>1850</v>
      </c>
      <c r="D157" s="184" t="s">
        <v>1730</v>
      </c>
      <c r="E157" s="184"/>
      <c r="F157" s="184" t="s">
        <v>518</v>
      </c>
      <c r="G157" s="184" t="s">
        <v>1532</v>
      </c>
      <c r="H157" s="184" t="s">
        <v>1880</v>
      </c>
      <c r="I157" s="184" t="s">
        <v>518</v>
      </c>
      <c r="J157" s="184" t="s">
        <v>1881</v>
      </c>
    </row>
    <row r="158" spans="1:10">
      <c r="A158" s="184" t="s">
        <v>1527</v>
      </c>
      <c r="B158" s="184" t="s">
        <v>1693</v>
      </c>
      <c r="C158" s="184" t="s">
        <v>1850</v>
      </c>
      <c r="D158" s="184" t="s">
        <v>1730</v>
      </c>
      <c r="E158" s="184"/>
      <c r="F158" s="184" t="s">
        <v>520</v>
      </c>
      <c r="G158" s="184" t="s">
        <v>1532</v>
      </c>
      <c r="H158" s="184" t="s">
        <v>1882</v>
      </c>
      <c r="I158" s="184" t="s">
        <v>520</v>
      </c>
      <c r="J158" s="184" t="s">
        <v>1883</v>
      </c>
    </row>
    <row r="159" spans="1:10">
      <c r="A159" s="184" t="s">
        <v>1527</v>
      </c>
      <c r="B159" s="184" t="s">
        <v>1693</v>
      </c>
      <c r="C159" s="184" t="s">
        <v>1850</v>
      </c>
      <c r="D159" s="184" t="s">
        <v>1730</v>
      </c>
      <c r="E159" s="184"/>
      <c r="F159" s="184" t="s">
        <v>526</v>
      </c>
      <c r="G159" s="184" t="s">
        <v>1532</v>
      </c>
      <c r="H159" s="184" t="s">
        <v>1884</v>
      </c>
      <c r="I159" s="184" t="s">
        <v>526</v>
      </c>
      <c r="J159" s="184" t="s">
        <v>1885</v>
      </c>
    </row>
    <row r="160" spans="1:10">
      <c r="A160" s="184" t="s">
        <v>1527</v>
      </c>
      <c r="B160" s="184" t="s">
        <v>1701</v>
      </c>
      <c r="C160" s="184" t="s">
        <v>1751</v>
      </c>
      <c r="D160" s="184" t="s">
        <v>1703</v>
      </c>
      <c r="E160" s="184"/>
      <c r="F160" s="184" t="s">
        <v>1886</v>
      </c>
      <c r="G160" s="184" t="s">
        <v>1532</v>
      </c>
      <c r="H160" s="184" t="s">
        <v>328</v>
      </c>
      <c r="I160" s="184" t="s">
        <v>329</v>
      </c>
      <c r="J160" s="184" t="s">
        <v>1887</v>
      </c>
    </row>
    <row r="161" spans="1:10">
      <c r="A161" s="184" t="s">
        <v>1527</v>
      </c>
      <c r="B161" s="184" t="s">
        <v>1701</v>
      </c>
      <c r="C161" s="184" t="s">
        <v>1751</v>
      </c>
      <c r="D161" s="184" t="s">
        <v>1703</v>
      </c>
      <c r="E161" s="184"/>
      <c r="F161" s="184" t="s">
        <v>1888</v>
      </c>
      <c r="G161" s="184" t="s">
        <v>1532</v>
      </c>
      <c r="H161" s="184" t="s">
        <v>331</v>
      </c>
      <c r="I161" s="184" t="s">
        <v>332</v>
      </c>
      <c r="J161" s="184" t="s">
        <v>1889</v>
      </c>
    </row>
    <row r="162" spans="1:10">
      <c r="A162" s="184" t="s">
        <v>1527</v>
      </c>
      <c r="B162" s="184" t="s">
        <v>1528</v>
      </c>
      <c r="C162" s="184" t="s">
        <v>1890</v>
      </c>
      <c r="D162" s="184" t="s">
        <v>1530</v>
      </c>
      <c r="E162" s="184"/>
      <c r="F162" s="184" t="s">
        <v>1891</v>
      </c>
      <c r="G162" s="184" t="s">
        <v>1532</v>
      </c>
      <c r="H162" s="184" t="s">
        <v>323</v>
      </c>
      <c r="I162" s="184" t="s">
        <v>324</v>
      </c>
      <c r="J162" s="184" t="s">
        <v>1892</v>
      </c>
    </row>
    <row r="163" spans="1:10">
      <c r="A163" s="184" t="s">
        <v>1527</v>
      </c>
      <c r="B163" s="184" t="s">
        <v>1528</v>
      </c>
      <c r="C163" s="184" t="s">
        <v>1890</v>
      </c>
      <c r="D163" s="184" t="s">
        <v>1530</v>
      </c>
      <c r="E163" s="184"/>
      <c r="F163" s="184" t="s">
        <v>1893</v>
      </c>
      <c r="G163" s="184" t="s">
        <v>1532</v>
      </c>
      <c r="H163" s="184" t="s">
        <v>326</v>
      </c>
      <c r="I163" s="184" t="s">
        <v>327</v>
      </c>
      <c r="J163" s="184" t="s">
        <v>1894</v>
      </c>
    </row>
    <row r="164" spans="1:10">
      <c r="A164" s="184" t="s">
        <v>1527</v>
      </c>
      <c r="B164" s="184" t="s">
        <v>1693</v>
      </c>
      <c r="C164" s="184" t="s">
        <v>1895</v>
      </c>
      <c r="D164" s="184" t="s">
        <v>1730</v>
      </c>
      <c r="E164" s="184"/>
      <c r="F164" s="184" t="s">
        <v>1896</v>
      </c>
      <c r="G164" s="184" t="s">
        <v>1532</v>
      </c>
      <c r="H164" s="184" t="s">
        <v>1897</v>
      </c>
      <c r="I164" s="184" t="s">
        <v>340</v>
      </c>
      <c r="J164" s="184" t="s">
        <v>340</v>
      </c>
    </row>
    <row r="165" spans="1:10">
      <c r="A165" s="184" t="s">
        <v>1527</v>
      </c>
      <c r="B165" s="184" t="s">
        <v>1693</v>
      </c>
      <c r="C165" s="184" t="s">
        <v>1895</v>
      </c>
      <c r="D165" s="184" t="s">
        <v>1730</v>
      </c>
      <c r="E165" s="184"/>
      <c r="F165" s="184" t="s">
        <v>1898</v>
      </c>
      <c r="G165" s="184" t="s">
        <v>1532</v>
      </c>
      <c r="H165" s="184" t="s">
        <v>1899</v>
      </c>
      <c r="I165" s="184" t="s">
        <v>343</v>
      </c>
      <c r="J165" s="184" t="s">
        <v>343</v>
      </c>
    </row>
    <row r="166" spans="1:10">
      <c r="A166" s="184" t="s">
        <v>1527</v>
      </c>
      <c r="B166" s="184" t="s">
        <v>1693</v>
      </c>
      <c r="C166" s="184" t="s">
        <v>1895</v>
      </c>
      <c r="D166" s="184" t="s">
        <v>1730</v>
      </c>
      <c r="E166" s="184"/>
      <c r="F166" s="184" t="s">
        <v>1900</v>
      </c>
      <c r="G166" s="184" t="s">
        <v>1532</v>
      </c>
      <c r="H166" s="184" t="s">
        <v>1901</v>
      </c>
      <c r="I166" s="184" t="s">
        <v>345</v>
      </c>
      <c r="J166" s="184" t="s">
        <v>345</v>
      </c>
    </row>
    <row r="167" spans="1:10">
      <c r="A167" s="184" t="s">
        <v>1527</v>
      </c>
      <c r="B167" s="184" t="s">
        <v>1693</v>
      </c>
      <c r="C167" s="184" t="s">
        <v>1895</v>
      </c>
      <c r="D167" s="184" t="s">
        <v>1730</v>
      </c>
      <c r="E167" s="184"/>
      <c r="F167" s="184" t="s">
        <v>1902</v>
      </c>
      <c r="G167" s="184" t="s">
        <v>1532</v>
      </c>
      <c r="H167" s="184" t="s">
        <v>1903</v>
      </c>
      <c r="I167" s="184" t="s">
        <v>347</v>
      </c>
      <c r="J167" s="184" t="s">
        <v>347</v>
      </c>
    </row>
    <row r="168" spans="1:10">
      <c r="A168" s="184" t="s">
        <v>1527</v>
      </c>
      <c r="B168" s="184" t="s">
        <v>1556</v>
      </c>
      <c r="C168" s="184" t="s">
        <v>1651</v>
      </c>
      <c r="D168" s="184" t="s">
        <v>1558</v>
      </c>
      <c r="E168" s="184"/>
      <c r="F168" s="184" t="s">
        <v>1904</v>
      </c>
      <c r="G168" s="184" t="s">
        <v>1532</v>
      </c>
      <c r="H168" s="184" t="s">
        <v>1905</v>
      </c>
      <c r="I168" s="184" t="s">
        <v>317</v>
      </c>
      <c r="J168" s="184" t="s">
        <v>317</v>
      </c>
    </row>
    <row r="169" spans="1:10">
      <c r="A169" s="184" t="s">
        <v>1527</v>
      </c>
      <c r="B169" s="184" t="s">
        <v>1556</v>
      </c>
      <c r="C169" s="184" t="s">
        <v>1651</v>
      </c>
      <c r="D169" s="184" t="s">
        <v>1558</v>
      </c>
      <c r="E169" s="184"/>
      <c r="F169" s="184" t="s">
        <v>1906</v>
      </c>
      <c r="G169" s="184" t="s">
        <v>1532</v>
      </c>
      <c r="H169" s="184" t="s">
        <v>1907</v>
      </c>
      <c r="I169" s="184" t="s">
        <v>322</v>
      </c>
      <c r="J169" s="184" t="s">
        <v>322</v>
      </c>
    </row>
    <row r="170" spans="1:10">
      <c r="A170" s="184" t="s">
        <v>1527</v>
      </c>
      <c r="B170" s="184" t="s">
        <v>1556</v>
      </c>
      <c r="C170" s="184" t="s">
        <v>1651</v>
      </c>
      <c r="D170" s="184" t="s">
        <v>1558</v>
      </c>
      <c r="E170" s="184"/>
      <c r="F170" s="184" t="s">
        <v>1908</v>
      </c>
      <c r="G170" s="184" t="s">
        <v>1532</v>
      </c>
      <c r="H170" s="184" t="s">
        <v>1909</v>
      </c>
      <c r="I170" s="184" t="s">
        <v>336</v>
      </c>
      <c r="J170" s="184" t="s">
        <v>1910</v>
      </c>
    </row>
    <row r="171" spans="1:10">
      <c r="A171" s="184" t="s">
        <v>1527</v>
      </c>
      <c r="B171" s="184" t="s">
        <v>1556</v>
      </c>
      <c r="C171" s="184" t="s">
        <v>1651</v>
      </c>
      <c r="D171" s="184" t="s">
        <v>1558</v>
      </c>
      <c r="E171" s="184"/>
      <c r="F171" s="184" t="s">
        <v>1911</v>
      </c>
      <c r="G171" s="184" t="s">
        <v>1532</v>
      </c>
      <c r="H171" s="184" t="s">
        <v>1912</v>
      </c>
      <c r="I171" s="184" t="s">
        <v>334</v>
      </c>
      <c r="J171" s="184" t="s">
        <v>1913</v>
      </c>
    </row>
    <row r="172" spans="1:10">
      <c r="A172" s="184" t="s">
        <v>1527</v>
      </c>
      <c r="B172" s="184" t="s">
        <v>1556</v>
      </c>
      <c r="C172" s="184" t="s">
        <v>1651</v>
      </c>
      <c r="D172" s="184" t="s">
        <v>1558</v>
      </c>
      <c r="E172" s="184"/>
      <c r="F172" s="184" t="s">
        <v>1914</v>
      </c>
      <c r="G172" s="184" t="s">
        <v>1532</v>
      </c>
      <c r="H172" s="184" t="s">
        <v>1915</v>
      </c>
      <c r="I172" s="184" t="s">
        <v>338</v>
      </c>
      <c r="J172" s="184" t="s">
        <v>334</v>
      </c>
    </row>
    <row r="173" spans="1:10">
      <c r="A173" s="184" t="s">
        <v>1527</v>
      </c>
      <c r="B173" s="184" t="s">
        <v>1693</v>
      </c>
      <c r="C173" s="184" t="s">
        <v>1916</v>
      </c>
      <c r="D173" s="184" t="s">
        <v>1730</v>
      </c>
      <c r="E173" s="184"/>
      <c r="F173" s="184" t="s">
        <v>528</v>
      </c>
      <c r="G173" s="184" t="s">
        <v>1532</v>
      </c>
      <c r="H173" s="184" t="s">
        <v>1917</v>
      </c>
      <c r="I173" s="184" t="s">
        <v>1918</v>
      </c>
      <c r="J173" s="184"/>
    </row>
    <row r="174" spans="1:10">
      <c r="A174" s="184" t="s">
        <v>1527</v>
      </c>
      <c r="B174" s="184" t="s">
        <v>1693</v>
      </c>
      <c r="C174" s="184" t="s">
        <v>1916</v>
      </c>
      <c r="D174" s="184" t="s">
        <v>1730</v>
      </c>
      <c r="E174" s="184"/>
      <c r="F174" s="184" t="s">
        <v>531</v>
      </c>
      <c r="G174" s="184" t="s">
        <v>1532</v>
      </c>
      <c r="H174" s="184" t="s">
        <v>1919</v>
      </c>
      <c r="I174" s="184" t="s">
        <v>1920</v>
      </c>
      <c r="J174" s="184" t="s">
        <v>1921</v>
      </c>
    </row>
    <row r="175" spans="1:10">
      <c r="A175" s="184" t="s">
        <v>1527</v>
      </c>
      <c r="B175" s="184" t="s">
        <v>1693</v>
      </c>
      <c r="C175" s="184" t="s">
        <v>1916</v>
      </c>
      <c r="D175" s="184" t="s">
        <v>1730</v>
      </c>
      <c r="E175" s="184"/>
      <c r="F175" s="184" t="s">
        <v>533</v>
      </c>
      <c r="G175" s="184" t="s">
        <v>1532</v>
      </c>
      <c r="H175" s="184" t="s">
        <v>1922</v>
      </c>
      <c r="I175" s="184" t="s">
        <v>1923</v>
      </c>
      <c r="J175" s="184" t="s">
        <v>1924</v>
      </c>
    </row>
    <row r="176" spans="1:10">
      <c r="A176" s="184" t="s">
        <v>1527</v>
      </c>
      <c r="B176" s="184" t="s">
        <v>1693</v>
      </c>
      <c r="C176" s="184" t="s">
        <v>1916</v>
      </c>
      <c r="D176" s="184" t="s">
        <v>1730</v>
      </c>
      <c r="E176" s="184"/>
      <c r="F176" s="184" t="s">
        <v>535</v>
      </c>
      <c r="G176" s="184" t="s">
        <v>1532</v>
      </c>
      <c r="H176" s="184" t="s">
        <v>1925</v>
      </c>
      <c r="I176" s="184" t="s">
        <v>1926</v>
      </c>
      <c r="J176" s="184" t="s">
        <v>1927</v>
      </c>
    </row>
    <row r="177" spans="1:10">
      <c r="A177" s="184" t="s">
        <v>1527</v>
      </c>
      <c r="B177" s="184" t="s">
        <v>1701</v>
      </c>
      <c r="C177" s="184" t="s">
        <v>1928</v>
      </c>
      <c r="D177" s="184" t="s">
        <v>1703</v>
      </c>
      <c r="E177" s="184"/>
      <c r="F177" s="184" t="s">
        <v>1929</v>
      </c>
      <c r="G177" s="184" t="s">
        <v>1532</v>
      </c>
      <c r="H177" s="184" t="s">
        <v>1930</v>
      </c>
      <c r="I177" s="184" t="s">
        <v>709</v>
      </c>
      <c r="J177" s="184" t="s">
        <v>709</v>
      </c>
    </row>
    <row r="178" spans="1:10">
      <c r="A178" s="184" t="s">
        <v>1527</v>
      </c>
      <c r="B178" s="184" t="s">
        <v>1701</v>
      </c>
      <c r="C178" s="184" t="s">
        <v>1928</v>
      </c>
      <c r="D178" s="184" t="s">
        <v>1703</v>
      </c>
      <c r="E178" s="184"/>
      <c r="F178" s="184" t="s">
        <v>1931</v>
      </c>
      <c r="G178" s="184" t="s">
        <v>1532</v>
      </c>
      <c r="H178" s="184" t="s">
        <v>1932</v>
      </c>
      <c r="I178" s="184" t="s">
        <v>707</v>
      </c>
      <c r="J178" s="184" t="s">
        <v>707</v>
      </c>
    </row>
    <row r="179" spans="1:10">
      <c r="A179" s="184" t="s">
        <v>1527</v>
      </c>
      <c r="B179" s="184" t="s">
        <v>1701</v>
      </c>
      <c r="C179" s="184" t="s">
        <v>1928</v>
      </c>
      <c r="D179" s="184" t="s">
        <v>1703</v>
      </c>
      <c r="E179" s="184"/>
      <c r="F179" s="184" t="s">
        <v>1933</v>
      </c>
      <c r="G179" s="184" t="s">
        <v>1532</v>
      </c>
      <c r="H179" s="184" t="s">
        <v>1934</v>
      </c>
      <c r="I179" s="184" t="s">
        <v>705</v>
      </c>
      <c r="J179" s="184" t="s">
        <v>705</v>
      </c>
    </row>
    <row r="180" spans="1:10">
      <c r="A180" s="184" t="s">
        <v>1527</v>
      </c>
      <c r="B180" s="184" t="s">
        <v>1701</v>
      </c>
      <c r="C180" s="184" t="s">
        <v>1935</v>
      </c>
      <c r="D180" s="184" t="s">
        <v>1703</v>
      </c>
      <c r="E180" s="184"/>
      <c r="F180" s="184" t="s">
        <v>1936</v>
      </c>
      <c r="G180" s="184" t="s">
        <v>1532</v>
      </c>
      <c r="H180" s="184" t="s">
        <v>209</v>
      </c>
      <c r="I180" s="184" t="s">
        <v>1936</v>
      </c>
      <c r="J180" s="184" t="s">
        <v>1708</v>
      </c>
    </row>
    <row r="181" spans="1:10">
      <c r="A181" s="184" t="s">
        <v>1527</v>
      </c>
      <c r="B181" s="184" t="s">
        <v>1701</v>
      </c>
      <c r="C181" s="184" t="s">
        <v>1935</v>
      </c>
      <c r="D181" s="184" t="s">
        <v>1703</v>
      </c>
      <c r="E181" s="184"/>
      <c r="F181" s="184" t="s">
        <v>1937</v>
      </c>
      <c r="G181" s="184" t="s">
        <v>1532</v>
      </c>
      <c r="H181" s="184" t="s">
        <v>212</v>
      </c>
      <c r="I181" s="184" t="s">
        <v>1937</v>
      </c>
      <c r="J181" s="184" t="s">
        <v>1708</v>
      </c>
    </row>
    <row r="182" spans="1:10">
      <c r="A182" s="184" t="s">
        <v>1527</v>
      </c>
      <c r="B182" s="184" t="s">
        <v>1701</v>
      </c>
      <c r="C182" s="184" t="s">
        <v>1935</v>
      </c>
      <c r="D182" s="184" t="s">
        <v>1703</v>
      </c>
      <c r="E182" s="184"/>
      <c r="F182" s="184" t="s">
        <v>1938</v>
      </c>
      <c r="G182" s="184" t="s">
        <v>1532</v>
      </c>
      <c r="H182" s="184" t="s">
        <v>213</v>
      </c>
      <c r="I182" s="184" t="s">
        <v>1938</v>
      </c>
      <c r="J182" s="184" t="s">
        <v>1708</v>
      </c>
    </row>
    <row r="183" spans="1:10">
      <c r="A183" s="184" t="s">
        <v>1527</v>
      </c>
      <c r="B183" s="184" t="s">
        <v>1701</v>
      </c>
      <c r="C183" s="184" t="s">
        <v>1935</v>
      </c>
      <c r="D183" s="184" t="s">
        <v>1703</v>
      </c>
      <c r="E183" s="184"/>
      <c r="F183" s="184" t="s">
        <v>1939</v>
      </c>
      <c r="G183" s="184" t="s">
        <v>1532</v>
      </c>
      <c r="H183" s="184" t="s">
        <v>214</v>
      </c>
      <c r="I183" s="184" t="s">
        <v>1939</v>
      </c>
      <c r="J183" s="184" t="s">
        <v>1708</v>
      </c>
    </row>
    <row r="184" spans="1:10">
      <c r="A184" s="184" t="s">
        <v>1527</v>
      </c>
      <c r="B184" s="184" t="s">
        <v>1701</v>
      </c>
      <c r="C184" s="184" t="s">
        <v>1935</v>
      </c>
      <c r="D184" s="184" t="s">
        <v>1703</v>
      </c>
      <c r="E184" s="184"/>
      <c r="F184" s="184" t="s">
        <v>1940</v>
      </c>
      <c r="G184" s="184" t="s">
        <v>1532</v>
      </c>
      <c r="H184" s="184" t="s">
        <v>215</v>
      </c>
      <c r="I184" s="184" t="s">
        <v>1940</v>
      </c>
      <c r="J184" s="184" t="s">
        <v>1708</v>
      </c>
    </row>
    <row r="185" spans="1:10">
      <c r="A185" s="184" t="s">
        <v>1527</v>
      </c>
      <c r="B185" s="184" t="s">
        <v>1701</v>
      </c>
      <c r="C185" s="184" t="s">
        <v>1935</v>
      </c>
      <c r="D185" s="184" t="s">
        <v>1703</v>
      </c>
      <c r="E185" s="184"/>
      <c r="F185" s="184" t="s">
        <v>1941</v>
      </c>
      <c r="G185" s="184" t="s">
        <v>1532</v>
      </c>
      <c r="H185" s="184" t="s">
        <v>216</v>
      </c>
      <c r="I185" s="184" t="s">
        <v>1941</v>
      </c>
      <c r="J185" s="184" t="s">
        <v>1708</v>
      </c>
    </row>
    <row r="186" spans="1:10">
      <c r="A186" s="184" t="s">
        <v>1527</v>
      </c>
      <c r="B186" s="184" t="s">
        <v>1701</v>
      </c>
      <c r="C186" s="184" t="s">
        <v>1935</v>
      </c>
      <c r="D186" s="184" t="s">
        <v>1703</v>
      </c>
      <c r="E186" s="184"/>
      <c r="F186" s="184" t="s">
        <v>1942</v>
      </c>
      <c r="G186" s="184" t="s">
        <v>1532</v>
      </c>
      <c r="H186" s="184" t="s">
        <v>217</v>
      </c>
      <c r="I186" s="184" t="s">
        <v>1942</v>
      </c>
      <c r="J186" s="184" t="s">
        <v>1708</v>
      </c>
    </row>
    <row r="187" spans="1:10">
      <c r="A187" s="184" t="s">
        <v>1527</v>
      </c>
      <c r="B187" s="184" t="s">
        <v>1701</v>
      </c>
      <c r="C187" s="184" t="s">
        <v>1935</v>
      </c>
      <c r="D187" s="184" t="s">
        <v>1703</v>
      </c>
      <c r="E187" s="184"/>
      <c r="F187" s="184" t="s">
        <v>1943</v>
      </c>
      <c r="G187" s="184" t="s">
        <v>1532</v>
      </c>
      <c r="H187" s="184" t="s">
        <v>218</v>
      </c>
      <c r="I187" s="184" t="s">
        <v>1943</v>
      </c>
      <c r="J187" s="184" t="s">
        <v>1708</v>
      </c>
    </row>
    <row r="188" spans="1:10">
      <c r="A188" s="184" t="s">
        <v>1527</v>
      </c>
      <c r="B188" s="184" t="s">
        <v>1701</v>
      </c>
      <c r="C188" s="184" t="s">
        <v>1935</v>
      </c>
      <c r="D188" s="184" t="s">
        <v>1703</v>
      </c>
      <c r="E188" s="184"/>
      <c r="F188" s="184" t="s">
        <v>1944</v>
      </c>
      <c r="G188" s="184" t="s">
        <v>1532</v>
      </c>
      <c r="H188" s="184" t="s">
        <v>219</v>
      </c>
      <c r="I188" s="184" t="s">
        <v>1944</v>
      </c>
      <c r="J188" s="184" t="s">
        <v>1708</v>
      </c>
    </row>
    <row r="189" spans="1:10">
      <c r="A189" s="184" t="s">
        <v>1527</v>
      </c>
      <c r="B189" s="184" t="s">
        <v>1701</v>
      </c>
      <c r="C189" s="184" t="s">
        <v>1935</v>
      </c>
      <c r="D189" s="184" t="s">
        <v>1703</v>
      </c>
      <c r="E189" s="184"/>
      <c r="F189" s="184" t="s">
        <v>1945</v>
      </c>
      <c r="G189" s="184" t="s">
        <v>1532</v>
      </c>
      <c r="H189" s="184" t="s">
        <v>220</v>
      </c>
      <c r="I189" s="184" t="s">
        <v>1945</v>
      </c>
      <c r="J189" s="184" t="s">
        <v>1708</v>
      </c>
    </row>
    <row r="190" spans="1:10">
      <c r="A190" s="184" t="s">
        <v>1527</v>
      </c>
      <c r="B190" s="184" t="s">
        <v>1701</v>
      </c>
      <c r="C190" s="184" t="s">
        <v>1935</v>
      </c>
      <c r="D190" s="184" t="s">
        <v>1703</v>
      </c>
      <c r="E190" s="184"/>
      <c r="F190" s="184" t="s">
        <v>1946</v>
      </c>
      <c r="G190" s="184" t="s">
        <v>1532</v>
      </c>
      <c r="H190" s="184" t="s">
        <v>221</v>
      </c>
      <c r="I190" s="184" t="s">
        <v>1946</v>
      </c>
      <c r="J190" s="184" t="s">
        <v>1708</v>
      </c>
    </row>
    <row r="191" spans="1:10">
      <c r="A191" s="184" t="s">
        <v>1527</v>
      </c>
      <c r="B191" s="184" t="s">
        <v>1701</v>
      </c>
      <c r="C191" s="184" t="s">
        <v>1935</v>
      </c>
      <c r="D191" s="184" t="s">
        <v>1703</v>
      </c>
      <c r="E191" s="184"/>
      <c r="F191" s="184" t="s">
        <v>1947</v>
      </c>
      <c r="G191" s="184" t="s">
        <v>1532</v>
      </c>
      <c r="H191" s="184" t="s">
        <v>222</v>
      </c>
      <c r="I191" s="184" t="s">
        <v>1947</v>
      </c>
      <c r="J191" s="184" t="s">
        <v>1708</v>
      </c>
    </row>
    <row r="192" spans="1:10">
      <c r="A192" s="184" t="s">
        <v>1527</v>
      </c>
      <c r="B192" s="184" t="s">
        <v>1701</v>
      </c>
      <c r="C192" s="184" t="s">
        <v>1935</v>
      </c>
      <c r="D192" s="184" t="s">
        <v>1703</v>
      </c>
      <c r="E192" s="184"/>
      <c r="F192" s="184" t="s">
        <v>1948</v>
      </c>
      <c r="G192" s="184" t="s">
        <v>1532</v>
      </c>
      <c r="H192" s="184" t="s">
        <v>223</v>
      </c>
      <c r="I192" s="184" t="s">
        <v>1948</v>
      </c>
      <c r="J192" s="184" t="s">
        <v>1708</v>
      </c>
    </row>
    <row r="193" spans="1:10">
      <c r="A193" s="184" t="s">
        <v>1527</v>
      </c>
      <c r="B193" s="184" t="s">
        <v>1701</v>
      </c>
      <c r="C193" s="184" t="s">
        <v>1935</v>
      </c>
      <c r="D193" s="184" t="s">
        <v>1703</v>
      </c>
      <c r="E193" s="184"/>
      <c r="F193" s="184" t="s">
        <v>1949</v>
      </c>
      <c r="G193" s="184" t="s">
        <v>1532</v>
      </c>
      <c r="H193" s="184" t="s">
        <v>224</v>
      </c>
      <c r="I193" s="184" t="s">
        <v>1949</v>
      </c>
      <c r="J193" s="184" t="s">
        <v>1708</v>
      </c>
    </row>
    <row r="194" spans="1:10">
      <c r="A194" s="184" t="s">
        <v>1527</v>
      </c>
      <c r="B194" s="184" t="s">
        <v>1701</v>
      </c>
      <c r="C194" s="184" t="s">
        <v>1935</v>
      </c>
      <c r="D194" s="184" t="s">
        <v>1703</v>
      </c>
      <c r="E194" s="184"/>
      <c r="F194" s="184" t="s">
        <v>1950</v>
      </c>
      <c r="G194" s="184" t="s">
        <v>1532</v>
      </c>
      <c r="H194" s="184" t="s">
        <v>225</v>
      </c>
      <c r="I194" s="184" t="s">
        <v>1950</v>
      </c>
      <c r="J194" s="184" t="s">
        <v>1708</v>
      </c>
    </row>
    <row r="195" spans="1:10">
      <c r="A195" s="184" t="s">
        <v>1527</v>
      </c>
      <c r="B195" s="184" t="s">
        <v>1701</v>
      </c>
      <c r="C195" s="184" t="s">
        <v>1935</v>
      </c>
      <c r="D195" s="184" t="s">
        <v>1703</v>
      </c>
      <c r="E195" s="184"/>
      <c r="F195" s="184" t="s">
        <v>1951</v>
      </c>
      <c r="G195" s="184" t="s">
        <v>1532</v>
      </c>
      <c r="H195" s="184" t="s">
        <v>226</v>
      </c>
      <c r="I195" s="184" t="s">
        <v>1951</v>
      </c>
      <c r="J195" s="184"/>
    </row>
    <row r="196" spans="1:10">
      <c r="A196" s="184" t="s">
        <v>1527</v>
      </c>
      <c r="B196" s="184" t="s">
        <v>1556</v>
      </c>
      <c r="C196" s="184" t="s">
        <v>1681</v>
      </c>
      <c r="D196" s="184" t="s">
        <v>1558</v>
      </c>
      <c r="E196" s="184"/>
      <c r="F196" s="184" t="s">
        <v>1952</v>
      </c>
      <c r="G196" s="184" t="s">
        <v>1532</v>
      </c>
      <c r="H196" s="184" t="s">
        <v>1953</v>
      </c>
      <c r="I196" s="184" t="s">
        <v>64</v>
      </c>
      <c r="J196" s="184"/>
    </row>
    <row r="197" spans="1:10">
      <c r="A197" s="184" t="s">
        <v>1527</v>
      </c>
      <c r="B197" s="184" t="s">
        <v>1556</v>
      </c>
      <c r="C197" s="184" t="s">
        <v>1681</v>
      </c>
      <c r="D197" s="184" t="s">
        <v>1558</v>
      </c>
      <c r="E197" s="184"/>
      <c r="F197" s="184" t="s">
        <v>1954</v>
      </c>
      <c r="G197" s="184" t="s">
        <v>1532</v>
      </c>
      <c r="H197" s="184" t="s">
        <v>1955</v>
      </c>
      <c r="I197" s="184" t="s">
        <v>44</v>
      </c>
      <c r="J197" s="184"/>
    </row>
    <row r="198" spans="1:10">
      <c r="A198" s="184" t="s">
        <v>1527</v>
      </c>
      <c r="B198" s="184" t="s">
        <v>1556</v>
      </c>
      <c r="C198" s="184" t="s">
        <v>1681</v>
      </c>
      <c r="D198" s="184" t="s">
        <v>1558</v>
      </c>
      <c r="E198" s="184"/>
      <c r="F198" s="184" t="s">
        <v>1956</v>
      </c>
      <c r="G198" s="184" t="s">
        <v>1532</v>
      </c>
      <c r="H198" s="184" t="s">
        <v>1691</v>
      </c>
      <c r="I198" s="184" t="s">
        <v>177</v>
      </c>
      <c r="J198" s="184"/>
    </row>
    <row r="199" spans="1:10">
      <c r="A199" s="184" t="s">
        <v>1527</v>
      </c>
      <c r="B199" s="184" t="s">
        <v>1556</v>
      </c>
      <c r="C199" s="184" t="s">
        <v>1681</v>
      </c>
      <c r="D199" s="184" t="s">
        <v>1558</v>
      </c>
      <c r="E199" s="184"/>
      <c r="F199" s="184" t="s">
        <v>1957</v>
      </c>
      <c r="G199" s="184" t="s">
        <v>1532</v>
      </c>
      <c r="H199" s="184" t="s">
        <v>1958</v>
      </c>
      <c r="I199" s="184" t="s">
        <v>67</v>
      </c>
      <c r="J199" s="184"/>
    </row>
    <row r="200" spans="1:10">
      <c r="A200" s="184" t="s">
        <v>1527</v>
      </c>
      <c r="B200" s="184" t="s">
        <v>1693</v>
      </c>
      <c r="C200" s="184" t="s">
        <v>1694</v>
      </c>
      <c r="D200" s="184" t="s">
        <v>1695</v>
      </c>
      <c r="E200" s="184"/>
      <c r="F200" s="184" t="s">
        <v>1959</v>
      </c>
      <c r="G200" s="184" t="s">
        <v>1532</v>
      </c>
      <c r="H200" s="184" t="s">
        <v>1960</v>
      </c>
      <c r="I200" s="184" t="s">
        <v>161</v>
      </c>
      <c r="J200" s="184"/>
    </row>
    <row r="201" spans="1:10">
      <c r="A201" s="184" t="s">
        <v>1527</v>
      </c>
      <c r="B201" s="184" t="s">
        <v>1556</v>
      </c>
      <c r="C201" s="184" t="s">
        <v>1961</v>
      </c>
      <c r="D201" s="184" t="s">
        <v>1695</v>
      </c>
      <c r="E201" s="184"/>
      <c r="F201" s="184" t="s">
        <v>1962</v>
      </c>
      <c r="G201" s="184" t="s">
        <v>1532</v>
      </c>
      <c r="H201" s="184" t="s">
        <v>1963</v>
      </c>
      <c r="I201" s="184" t="s">
        <v>1962</v>
      </c>
      <c r="J201" s="184"/>
    </row>
    <row r="202" spans="1:10">
      <c r="A202" s="184" t="s">
        <v>1527</v>
      </c>
      <c r="B202" s="184" t="s">
        <v>1556</v>
      </c>
      <c r="C202" s="184" t="s">
        <v>1961</v>
      </c>
      <c r="D202" s="184" t="s">
        <v>1695</v>
      </c>
      <c r="E202" s="184"/>
      <c r="F202" s="184" t="s">
        <v>1964</v>
      </c>
      <c r="G202" s="184" t="s">
        <v>1532</v>
      </c>
      <c r="H202" s="184" t="s">
        <v>1965</v>
      </c>
      <c r="I202" s="184" t="s">
        <v>1964</v>
      </c>
      <c r="J202" s="184"/>
    </row>
    <row r="203" spans="1:10">
      <c r="A203" s="184" t="s">
        <v>1527</v>
      </c>
      <c r="B203" s="184" t="s">
        <v>1556</v>
      </c>
      <c r="C203" s="184" t="s">
        <v>1961</v>
      </c>
      <c r="D203" s="184" t="s">
        <v>1695</v>
      </c>
      <c r="E203" s="184"/>
      <c r="F203" s="184" t="s">
        <v>1966</v>
      </c>
      <c r="G203" s="184" t="s">
        <v>1532</v>
      </c>
      <c r="H203" s="184" t="s">
        <v>1967</v>
      </c>
      <c r="I203" s="184" t="s">
        <v>1966</v>
      </c>
      <c r="J203" s="184"/>
    </row>
    <row r="204" spans="1:10">
      <c r="A204" s="184" t="s">
        <v>1527</v>
      </c>
      <c r="B204" s="184" t="s">
        <v>1556</v>
      </c>
      <c r="C204" s="184" t="s">
        <v>1961</v>
      </c>
      <c r="D204" s="184" t="s">
        <v>1695</v>
      </c>
      <c r="E204" s="184"/>
      <c r="F204" s="184" t="s">
        <v>1968</v>
      </c>
      <c r="G204" s="184" t="s">
        <v>1532</v>
      </c>
      <c r="H204" s="184" t="s">
        <v>1969</v>
      </c>
      <c r="I204" s="184" t="s">
        <v>1968</v>
      </c>
      <c r="J204" s="184"/>
    </row>
    <row r="205" spans="1:10">
      <c r="A205" s="184" t="s">
        <v>1527</v>
      </c>
      <c r="B205" s="184" t="s">
        <v>1556</v>
      </c>
      <c r="C205" s="184" t="s">
        <v>1961</v>
      </c>
      <c r="D205" s="184" t="s">
        <v>1695</v>
      </c>
      <c r="E205" s="184"/>
      <c r="F205" s="184" t="s">
        <v>1970</v>
      </c>
      <c r="G205" s="184" t="s">
        <v>1532</v>
      </c>
      <c r="H205" s="184" t="s">
        <v>1971</v>
      </c>
      <c r="I205" s="184" t="s">
        <v>1970</v>
      </c>
      <c r="J205" s="184"/>
    </row>
    <row r="206" spans="1:10">
      <c r="A206" s="184" t="s">
        <v>1527</v>
      </c>
      <c r="B206" s="184" t="s">
        <v>1556</v>
      </c>
      <c r="C206" s="184" t="s">
        <v>1961</v>
      </c>
      <c r="D206" s="184" t="s">
        <v>1695</v>
      </c>
      <c r="E206" s="184"/>
      <c r="F206" s="184" t="s">
        <v>1972</v>
      </c>
      <c r="G206" s="184" t="s">
        <v>1532</v>
      </c>
      <c r="H206" s="184" t="s">
        <v>1973</v>
      </c>
      <c r="I206" s="184" t="s">
        <v>1972</v>
      </c>
      <c r="J206" s="184"/>
    </row>
    <row r="207" spans="1:10">
      <c r="A207" s="184" t="s">
        <v>1527</v>
      </c>
      <c r="B207" s="184" t="s">
        <v>1556</v>
      </c>
      <c r="C207" s="184" t="s">
        <v>1961</v>
      </c>
      <c r="D207" s="184" t="s">
        <v>1695</v>
      </c>
      <c r="E207" s="184"/>
      <c r="F207" s="184" t="s">
        <v>1974</v>
      </c>
      <c r="G207" s="184" t="s">
        <v>1532</v>
      </c>
      <c r="H207" s="184" t="s">
        <v>1975</v>
      </c>
      <c r="I207" s="184" t="s">
        <v>1974</v>
      </c>
      <c r="J207" s="184"/>
    </row>
    <row r="208" spans="1:10">
      <c r="A208" s="184" t="s">
        <v>1527</v>
      </c>
      <c r="B208" s="184" t="s">
        <v>1556</v>
      </c>
      <c r="C208" s="184" t="s">
        <v>1961</v>
      </c>
      <c r="D208" s="184" t="s">
        <v>1695</v>
      </c>
      <c r="E208" s="184"/>
      <c r="F208" s="184" t="s">
        <v>1976</v>
      </c>
      <c r="G208" s="184" t="s">
        <v>1532</v>
      </c>
      <c r="H208" s="184" t="s">
        <v>1977</v>
      </c>
      <c r="I208" s="184" t="s">
        <v>1976</v>
      </c>
      <c r="J208" s="184"/>
    </row>
    <row r="209" spans="1:9">
      <c r="A209" s="184" t="s">
        <v>1527</v>
      </c>
      <c r="B209" s="184" t="s">
        <v>1556</v>
      </c>
      <c r="C209" s="184" t="s">
        <v>1961</v>
      </c>
      <c r="D209" s="184" t="s">
        <v>1695</v>
      </c>
      <c r="E209" s="184"/>
      <c r="F209" s="184" t="s">
        <v>1978</v>
      </c>
      <c r="G209" s="184" t="s">
        <v>1532</v>
      </c>
      <c r="H209" s="184" t="s">
        <v>1979</v>
      </c>
      <c r="I209" s="184" t="s">
        <v>1978</v>
      </c>
    </row>
    <row r="210" spans="1:9">
      <c r="A210" s="184" t="s">
        <v>1527</v>
      </c>
      <c r="B210" s="184" t="s">
        <v>1556</v>
      </c>
      <c r="C210" s="184" t="s">
        <v>1961</v>
      </c>
      <c r="D210" s="184" t="s">
        <v>1695</v>
      </c>
      <c r="E210" s="184"/>
      <c r="F210" s="184" t="s">
        <v>1980</v>
      </c>
      <c r="G210" s="184" t="s">
        <v>1532</v>
      </c>
      <c r="H210" s="184" t="s">
        <v>1981</v>
      </c>
      <c r="I210" s="184" t="s">
        <v>1980</v>
      </c>
    </row>
    <row r="211" spans="1:9">
      <c r="A211" s="184" t="s">
        <v>1527</v>
      </c>
      <c r="B211" s="184" t="s">
        <v>1556</v>
      </c>
      <c r="C211" s="184" t="s">
        <v>1961</v>
      </c>
      <c r="D211" s="184" t="s">
        <v>1695</v>
      </c>
      <c r="E211" s="184"/>
      <c r="F211" s="184" t="s">
        <v>1982</v>
      </c>
      <c r="G211" s="184" t="s">
        <v>1532</v>
      </c>
      <c r="H211" s="184" t="s">
        <v>1983</v>
      </c>
      <c r="I211" s="184" t="s">
        <v>1982</v>
      </c>
    </row>
    <row r="212" spans="1:9">
      <c r="A212" s="184" t="s">
        <v>1527</v>
      </c>
      <c r="B212" s="184" t="s">
        <v>1556</v>
      </c>
      <c r="C212" s="184" t="s">
        <v>1961</v>
      </c>
      <c r="D212" s="184" t="s">
        <v>1695</v>
      </c>
      <c r="E212" s="184"/>
      <c r="F212" s="184" t="s">
        <v>1984</v>
      </c>
      <c r="G212" s="184" t="s">
        <v>1532</v>
      </c>
      <c r="H212" s="184" t="s">
        <v>1985</v>
      </c>
      <c r="I212" s="184" t="s">
        <v>1984</v>
      </c>
    </row>
    <row r="213" spans="1:9">
      <c r="A213" s="184" t="s">
        <v>1527</v>
      </c>
      <c r="B213" s="184" t="s">
        <v>1556</v>
      </c>
      <c r="C213" s="184" t="s">
        <v>1961</v>
      </c>
      <c r="D213" s="184" t="s">
        <v>1695</v>
      </c>
      <c r="E213" s="184"/>
      <c r="F213" s="184" t="s">
        <v>1986</v>
      </c>
      <c r="G213" s="184" t="s">
        <v>1532</v>
      </c>
      <c r="H213" s="184" t="s">
        <v>1987</v>
      </c>
      <c r="I213" s="184" t="s">
        <v>1986</v>
      </c>
    </row>
    <row r="214" spans="1:9">
      <c r="A214" s="184" t="s">
        <v>1527</v>
      </c>
      <c r="B214" s="184" t="s">
        <v>1556</v>
      </c>
      <c r="C214" s="184" t="s">
        <v>1961</v>
      </c>
      <c r="D214" s="184" t="s">
        <v>1695</v>
      </c>
      <c r="E214" s="184"/>
      <c r="F214" s="184" t="s">
        <v>1988</v>
      </c>
      <c r="G214" s="184" t="s">
        <v>1532</v>
      </c>
      <c r="H214" s="184" t="s">
        <v>1989</v>
      </c>
      <c r="I214" s="184" t="s">
        <v>1988</v>
      </c>
    </row>
    <row r="215" spans="1:9">
      <c r="A215" s="184" t="s">
        <v>1527</v>
      </c>
      <c r="B215" s="184" t="s">
        <v>1556</v>
      </c>
      <c r="C215" s="184" t="s">
        <v>1961</v>
      </c>
      <c r="D215" s="184" t="s">
        <v>1695</v>
      </c>
      <c r="E215" s="184"/>
      <c r="F215" s="184" t="s">
        <v>1990</v>
      </c>
      <c r="G215" s="184" t="s">
        <v>1532</v>
      </c>
      <c r="H215" s="184" t="s">
        <v>1991</v>
      </c>
      <c r="I215" s="184" t="s">
        <v>1990</v>
      </c>
    </row>
    <row r="216" spans="1:9">
      <c r="A216" s="184" t="s">
        <v>1527</v>
      </c>
      <c r="B216" s="184" t="s">
        <v>1556</v>
      </c>
      <c r="C216" s="184" t="s">
        <v>1961</v>
      </c>
      <c r="D216" s="184" t="s">
        <v>1695</v>
      </c>
      <c r="E216" s="184"/>
      <c r="F216" s="184" t="s">
        <v>1992</v>
      </c>
      <c r="G216" s="184" t="s">
        <v>1532</v>
      </c>
      <c r="H216" s="184" t="s">
        <v>1993</v>
      </c>
      <c r="I216" s="184" t="s">
        <v>1992</v>
      </c>
    </row>
    <row r="217" spans="1:9">
      <c r="A217" s="184" t="s">
        <v>1527</v>
      </c>
      <c r="B217" s="184" t="s">
        <v>1701</v>
      </c>
      <c r="C217" s="184" t="s">
        <v>1994</v>
      </c>
      <c r="D217" s="184" t="s">
        <v>1995</v>
      </c>
      <c r="E217" s="184"/>
      <c r="F217" s="184" t="s">
        <v>1996</v>
      </c>
      <c r="G217" s="184" t="s">
        <v>1532</v>
      </c>
      <c r="H217" s="184" t="s">
        <v>227</v>
      </c>
      <c r="I217" s="184" t="s">
        <v>1996</v>
      </c>
    </row>
    <row r="218" spans="1:9">
      <c r="A218" s="184" t="s">
        <v>1527</v>
      </c>
      <c r="B218" s="184" t="s">
        <v>1701</v>
      </c>
      <c r="C218" s="184" t="s">
        <v>1994</v>
      </c>
      <c r="D218" s="184" t="s">
        <v>1995</v>
      </c>
      <c r="E218" s="184"/>
      <c r="F218" s="184" t="s">
        <v>1997</v>
      </c>
      <c r="G218" s="184" t="s">
        <v>1532</v>
      </c>
      <c r="H218" s="184" t="s">
        <v>233</v>
      </c>
      <c r="I218" s="184" t="s">
        <v>1997</v>
      </c>
    </row>
    <row r="219" spans="1:9">
      <c r="A219" s="184" t="s">
        <v>1527</v>
      </c>
      <c r="B219" s="184" t="s">
        <v>1701</v>
      </c>
      <c r="C219" s="184" t="s">
        <v>1994</v>
      </c>
      <c r="D219" s="184" t="s">
        <v>1995</v>
      </c>
      <c r="E219" s="184"/>
      <c r="F219" s="184" t="s">
        <v>1998</v>
      </c>
      <c r="G219" s="184" t="s">
        <v>1532</v>
      </c>
      <c r="H219" s="184" t="s">
        <v>234</v>
      </c>
      <c r="I219" s="184" t="s">
        <v>1998</v>
      </c>
    </row>
    <row r="220" spans="1:9">
      <c r="A220" s="184" t="s">
        <v>1527</v>
      </c>
      <c r="B220" s="184" t="s">
        <v>1701</v>
      </c>
      <c r="C220" s="184" t="s">
        <v>1994</v>
      </c>
      <c r="D220" s="184" t="s">
        <v>1995</v>
      </c>
      <c r="E220" s="184"/>
      <c r="F220" s="184" t="s">
        <v>1999</v>
      </c>
      <c r="G220" s="184" t="s">
        <v>1532</v>
      </c>
      <c r="H220" s="184" t="s">
        <v>235</v>
      </c>
      <c r="I220" s="184" t="s">
        <v>1999</v>
      </c>
    </row>
    <row r="221" spans="1:9">
      <c r="A221" s="184" t="s">
        <v>1527</v>
      </c>
      <c r="B221" s="184" t="s">
        <v>1701</v>
      </c>
      <c r="C221" s="184" t="s">
        <v>1994</v>
      </c>
      <c r="D221" s="184" t="s">
        <v>1995</v>
      </c>
      <c r="E221" s="184"/>
      <c r="F221" s="184" t="s">
        <v>2000</v>
      </c>
      <c r="G221" s="184" t="s">
        <v>1532</v>
      </c>
      <c r="H221" s="184" t="s">
        <v>236</v>
      </c>
      <c r="I221" s="184" t="s">
        <v>2000</v>
      </c>
    </row>
    <row r="222" spans="1:9">
      <c r="A222" s="184" t="s">
        <v>1527</v>
      </c>
      <c r="B222" s="184" t="s">
        <v>1701</v>
      </c>
      <c r="C222" s="184" t="s">
        <v>1994</v>
      </c>
      <c r="D222" s="184" t="s">
        <v>1995</v>
      </c>
      <c r="E222" s="184"/>
      <c r="F222" s="184" t="s">
        <v>2001</v>
      </c>
      <c r="G222" s="184" t="s">
        <v>1532</v>
      </c>
      <c r="H222" s="184" t="s">
        <v>237</v>
      </c>
      <c r="I222" s="184" t="s">
        <v>2001</v>
      </c>
    </row>
    <row r="223" spans="1:9">
      <c r="A223" s="184" t="s">
        <v>1527</v>
      </c>
      <c r="B223" s="184" t="s">
        <v>1701</v>
      </c>
      <c r="C223" s="184" t="s">
        <v>1994</v>
      </c>
      <c r="D223" s="184" t="s">
        <v>1995</v>
      </c>
      <c r="E223" s="184"/>
      <c r="F223" s="184" t="s">
        <v>2002</v>
      </c>
      <c r="G223" s="184" t="s">
        <v>1532</v>
      </c>
      <c r="H223" s="184" t="s">
        <v>238</v>
      </c>
      <c r="I223" s="184" t="s">
        <v>2002</v>
      </c>
    </row>
    <row r="224" spans="1:9">
      <c r="A224" s="184" t="s">
        <v>1527</v>
      </c>
      <c r="B224" s="184" t="s">
        <v>1701</v>
      </c>
      <c r="C224" s="184" t="s">
        <v>1994</v>
      </c>
      <c r="D224" s="184" t="s">
        <v>1995</v>
      </c>
      <c r="E224" s="184"/>
      <c r="F224" s="184" t="s">
        <v>2003</v>
      </c>
      <c r="G224" s="184" t="s">
        <v>1532</v>
      </c>
      <c r="H224" s="184" t="s">
        <v>239</v>
      </c>
      <c r="I224" s="184" t="s">
        <v>2003</v>
      </c>
    </row>
    <row r="225" spans="1:10">
      <c r="A225" s="184" t="s">
        <v>1527</v>
      </c>
      <c r="B225" s="184" t="s">
        <v>1701</v>
      </c>
      <c r="C225" s="184" t="s">
        <v>1994</v>
      </c>
      <c r="D225" s="184" t="s">
        <v>1995</v>
      </c>
      <c r="E225" s="184"/>
      <c r="F225" s="184" t="s">
        <v>2004</v>
      </c>
      <c r="G225" s="184" t="s">
        <v>1532</v>
      </c>
      <c r="H225" s="184" t="s">
        <v>240</v>
      </c>
      <c r="I225" s="184" t="s">
        <v>2004</v>
      </c>
      <c r="J225" s="184"/>
    </row>
    <row r="226" spans="1:10">
      <c r="A226" s="184" t="s">
        <v>1527</v>
      </c>
      <c r="B226" s="184" t="s">
        <v>1701</v>
      </c>
      <c r="C226" s="184" t="s">
        <v>1994</v>
      </c>
      <c r="D226" s="184" t="s">
        <v>1995</v>
      </c>
      <c r="E226" s="184"/>
      <c r="F226" s="184" t="s">
        <v>2005</v>
      </c>
      <c r="G226" s="184" t="s">
        <v>1532</v>
      </c>
      <c r="H226" s="184" t="s">
        <v>241</v>
      </c>
      <c r="I226" s="184" t="s">
        <v>2005</v>
      </c>
      <c r="J226" s="184"/>
    </row>
    <row r="227" spans="1:10">
      <c r="A227" s="184" t="s">
        <v>1527</v>
      </c>
      <c r="B227" s="184" t="s">
        <v>1701</v>
      </c>
      <c r="C227" s="184" t="s">
        <v>1994</v>
      </c>
      <c r="D227" s="184" t="s">
        <v>1995</v>
      </c>
      <c r="E227" s="184"/>
      <c r="F227" s="184" t="s">
        <v>1700</v>
      </c>
      <c r="G227" s="184" t="s">
        <v>1532</v>
      </c>
      <c r="H227" s="184"/>
      <c r="I227" s="184"/>
      <c r="J227" s="184"/>
    </row>
    <row r="228" spans="1:10">
      <c r="A228" s="184" t="s">
        <v>1527</v>
      </c>
      <c r="B228" s="184" t="s">
        <v>1701</v>
      </c>
      <c r="C228" s="184" t="s">
        <v>1994</v>
      </c>
      <c r="D228" s="184" t="s">
        <v>1995</v>
      </c>
      <c r="E228" s="184"/>
      <c r="F228" s="184" t="s">
        <v>1700</v>
      </c>
      <c r="G228" s="184" t="s">
        <v>1532</v>
      </c>
      <c r="H228" s="184"/>
      <c r="I228" s="184"/>
      <c r="J228" s="184"/>
    </row>
    <row r="229" spans="1:10">
      <c r="A229" s="184" t="s">
        <v>1527</v>
      </c>
      <c r="B229" s="184" t="s">
        <v>1701</v>
      </c>
      <c r="C229" s="184" t="s">
        <v>1994</v>
      </c>
      <c r="D229" s="184" t="s">
        <v>1995</v>
      </c>
      <c r="E229" s="184"/>
      <c r="F229" s="184" t="s">
        <v>1700</v>
      </c>
      <c r="G229" s="184" t="s">
        <v>1532</v>
      </c>
      <c r="H229" s="184"/>
      <c r="I229" s="184"/>
      <c r="J229" s="184"/>
    </row>
    <row r="230" spans="1:10">
      <c r="A230" s="184" t="s">
        <v>1527</v>
      </c>
      <c r="B230" s="184" t="s">
        <v>1701</v>
      </c>
      <c r="C230" s="184" t="s">
        <v>1994</v>
      </c>
      <c r="D230" s="184" t="s">
        <v>1995</v>
      </c>
      <c r="E230" s="184"/>
      <c r="F230" s="184" t="s">
        <v>1700</v>
      </c>
      <c r="G230" s="184" t="s">
        <v>1532</v>
      </c>
      <c r="H230" s="184"/>
      <c r="I230" s="184"/>
      <c r="J230" s="184"/>
    </row>
    <row r="231" spans="1:10">
      <c r="A231" s="184" t="s">
        <v>1527</v>
      </c>
      <c r="B231" s="184" t="s">
        <v>1701</v>
      </c>
      <c r="C231" s="184" t="s">
        <v>1994</v>
      </c>
      <c r="D231" s="184" t="s">
        <v>1995</v>
      </c>
      <c r="E231" s="184"/>
      <c r="F231" s="184" t="s">
        <v>1700</v>
      </c>
      <c r="G231" s="184" t="s">
        <v>1532</v>
      </c>
      <c r="H231" s="184"/>
      <c r="I231" s="184"/>
      <c r="J231" s="184"/>
    </row>
    <row r="232" spans="1:10">
      <c r="A232" s="184" t="s">
        <v>1527</v>
      </c>
      <c r="B232" s="184" t="s">
        <v>1701</v>
      </c>
      <c r="C232" s="184" t="s">
        <v>1994</v>
      </c>
      <c r="D232" s="184" t="s">
        <v>1995</v>
      </c>
      <c r="E232" s="184"/>
      <c r="F232" s="184" t="s">
        <v>1700</v>
      </c>
      <c r="G232" s="184" t="s">
        <v>1532</v>
      </c>
      <c r="H232" s="184"/>
      <c r="I232" s="184"/>
      <c r="J232" s="184"/>
    </row>
    <row r="233" spans="1:10">
      <c r="A233" s="184" t="s">
        <v>1527</v>
      </c>
      <c r="B233" s="184" t="s">
        <v>1693</v>
      </c>
      <c r="C233" s="184" t="s">
        <v>1729</v>
      </c>
      <c r="D233" s="184" t="s">
        <v>1730</v>
      </c>
      <c r="E233" s="184"/>
      <c r="F233" s="184" t="s">
        <v>2006</v>
      </c>
      <c r="G233" s="184" t="s">
        <v>1532</v>
      </c>
      <c r="H233" s="184" t="s">
        <v>2007</v>
      </c>
      <c r="I233" s="184" t="s">
        <v>69</v>
      </c>
      <c r="J233" s="184"/>
    </row>
    <row r="234" spans="1:10">
      <c r="A234" s="184" t="s">
        <v>1527</v>
      </c>
      <c r="B234" s="184" t="s">
        <v>1693</v>
      </c>
      <c r="C234" s="184" t="s">
        <v>1729</v>
      </c>
      <c r="D234" s="184" t="s">
        <v>1730</v>
      </c>
      <c r="E234" s="184"/>
      <c r="F234" s="184" t="s">
        <v>2008</v>
      </c>
      <c r="G234" s="184" t="s">
        <v>1532</v>
      </c>
      <c r="H234" s="184" t="s">
        <v>2009</v>
      </c>
      <c r="I234" s="184" t="s">
        <v>76</v>
      </c>
      <c r="J234" s="184"/>
    </row>
    <row r="235" spans="1:10">
      <c r="A235" s="184" t="s">
        <v>1527</v>
      </c>
      <c r="B235" s="184" t="s">
        <v>1693</v>
      </c>
      <c r="C235" s="184" t="s">
        <v>1729</v>
      </c>
      <c r="D235" s="184" t="s">
        <v>1730</v>
      </c>
      <c r="E235" s="184"/>
      <c r="F235" s="184" t="s">
        <v>2010</v>
      </c>
      <c r="G235" s="184" t="s">
        <v>1532</v>
      </c>
      <c r="H235" s="184" t="s">
        <v>2011</v>
      </c>
      <c r="I235" s="184" t="s">
        <v>94</v>
      </c>
      <c r="J235" s="184"/>
    </row>
    <row r="236" spans="1:10">
      <c r="A236" s="184" t="s">
        <v>1527</v>
      </c>
      <c r="B236" s="184" t="s">
        <v>1701</v>
      </c>
      <c r="C236" s="184" t="s">
        <v>1751</v>
      </c>
      <c r="D236" s="184" t="s">
        <v>1703</v>
      </c>
      <c r="E236" s="184"/>
      <c r="F236" s="184" t="s">
        <v>2012</v>
      </c>
      <c r="G236" s="184" t="s">
        <v>1532</v>
      </c>
      <c r="H236" s="184" t="s">
        <v>2013</v>
      </c>
      <c r="I236" s="184" t="s">
        <v>551</v>
      </c>
      <c r="J236" s="184" t="s">
        <v>551</v>
      </c>
    </row>
    <row r="237" spans="1:10">
      <c r="A237" s="184" t="s">
        <v>1527</v>
      </c>
      <c r="B237" s="184" t="s">
        <v>1701</v>
      </c>
      <c r="C237" s="184" t="s">
        <v>1751</v>
      </c>
      <c r="D237" s="184" t="s">
        <v>1703</v>
      </c>
      <c r="E237" s="184"/>
      <c r="F237" s="184" t="s">
        <v>2014</v>
      </c>
      <c r="G237" s="184" t="s">
        <v>1532</v>
      </c>
      <c r="H237" s="184" t="s">
        <v>552</v>
      </c>
      <c r="I237" s="184" t="s">
        <v>553</v>
      </c>
      <c r="J237" s="184"/>
    </row>
    <row r="238" spans="1:10">
      <c r="A238" s="184" t="s">
        <v>1527</v>
      </c>
      <c r="B238" s="184" t="s">
        <v>1556</v>
      </c>
      <c r="C238" s="184" t="s">
        <v>1651</v>
      </c>
      <c r="D238" s="184" t="s">
        <v>1558</v>
      </c>
      <c r="E238" s="184"/>
      <c r="F238" s="184" t="s">
        <v>2015</v>
      </c>
      <c r="G238" s="184" t="s">
        <v>1532</v>
      </c>
      <c r="H238" s="184" t="s">
        <v>548</v>
      </c>
      <c r="I238" s="184" t="s">
        <v>549</v>
      </c>
      <c r="J238" s="184"/>
    </row>
    <row r="239" spans="1:10">
      <c r="A239" s="184" t="s">
        <v>1527</v>
      </c>
      <c r="B239" s="184" t="s">
        <v>1556</v>
      </c>
      <c r="C239" s="184" t="s">
        <v>1557</v>
      </c>
      <c r="D239" s="184" t="s">
        <v>1558</v>
      </c>
      <c r="E239" s="184"/>
      <c r="F239" s="184" t="s">
        <v>2016</v>
      </c>
      <c r="G239" s="184" t="s">
        <v>1532</v>
      </c>
      <c r="H239" s="184" t="s">
        <v>2017</v>
      </c>
      <c r="I239" s="184" t="s">
        <v>567</v>
      </c>
      <c r="J239" s="184"/>
    </row>
    <row r="240" spans="1:10">
      <c r="A240" s="184" t="s">
        <v>1527</v>
      </c>
      <c r="B240" s="184" t="s">
        <v>1556</v>
      </c>
      <c r="C240" s="184" t="s">
        <v>1557</v>
      </c>
      <c r="D240" s="184" t="s">
        <v>1558</v>
      </c>
      <c r="E240" s="184"/>
      <c r="F240" s="184" t="s">
        <v>2018</v>
      </c>
      <c r="G240" s="184" t="s">
        <v>1532</v>
      </c>
      <c r="H240" s="184" t="s">
        <v>2019</v>
      </c>
      <c r="I240" s="184" t="s">
        <v>570</v>
      </c>
      <c r="J240" s="184"/>
    </row>
    <row r="241" spans="1:10">
      <c r="A241" s="184" t="s">
        <v>1527</v>
      </c>
      <c r="B241" s="184" t="s">
        <v>1556</v>
      </c>
      <c r="C241" s="184" t="s">
        <v>1557</v>
      </c>
      <c r="D241" s="184" t="s">
        <v>1558</v>
      </c>
      <c r="E241" s="184"/>
      <c r="F241" s="184" t="s">
        <v>2020</v>
      </c>
      <c r="G241" s="184" t="s">
        <v>1532</v>
      </c>
      <c r="H241" s="184" t="s">
        <v>2021</v>
      </c>
      <c r="I241" s="184" t="s">
        <v>572</v>
      </c>
      <c r="J241" s="184"/>
    </row>
    <row r="242" spans="1:10">
      <c r="A242" s="184" t="s">
        <v>1527</v>
      </c>
      <c r="B242" s="184" t="s">
        <v>1556</v>
      </c>
      <c r="C242" s="184" t="s">
        <v>1557</v>
      </c>
      <c r="D242" s="184" t="s">
        <v>1558</v>
      </c>
      <c r="E242" s="184"/>
      <c r="F242" s="184" t="s">
        <v>2022</v>
      </c>
      <c r="G242" s="184" t="s">
        <v>1532</v>
      </c>
      <c r="H242" s="184" t="s">
        <v>2023</v>
      </c>
      <c r="I242" s="184" t="s">
        <v>580</v>
      </c>
      <c r="J242" s="184"/>
    </row>
    <row r="243" spans="1:10">
      <c r="A243" s="184" t="s">
        <v>1527</v>
      </c>
      <c r="B243" s="184" t="s">
        <v>1556</v>
      </c>
      <c r="C243" s="184" t="s">
        <v>1557</v>
      </c>
      <c r="D243" s="184" t="s">
        <v>1558</v>
      </c>
      <c r="E243" s="184"/>
      <c r="F243" s="184" t="s">
        <v>2024</v>
      </c>
      <c r="G243" s="184" t="s">
        <v>1532</v>
      </c>
      <c r="H243" s="184" t="s">
        <v>2025</v>
      </c>
      <c r="I243" s="184" t="s">
        <v>578</v>
      </c>
      <c r="J243" s="184"/>
    </row>
    <row r="244" spans="1:10">
      <c r="A244" s="184" t="s">
        <v>1527</v>
      </c>
      <c r="B244" s="184" t="s">
        <v>1556</v>
      </c>
      <c r="C244" s="184" t="s">
        <v>1557</v>
      </c>
      <c r="D244" s="184" t="s">
        <v>1558</v>
      </c>
      <c r="E244" s="184"/>
      <c r="F244" s="184" t="s">
        <v>2026</v>
      </c>
      <c r="G244" s="184" t="s">
        <v>1532</v>
      </c>
      <c r="H244" s="184" t="s">
        <v>2027</v>
      </c>
      <c r="I244" s="184" t="s">
        <v>576</v>
      </c>
      <c r="J244" s="184"/>
    </row>
    <row r="245" spans="1:10">
      <c r="A245" s="184" t="s">
        <v>1527</v>
      </c>
      <c r="B245" s="184" t="s">
        <v>1556</v>
      </c>
      <c r="C245" s="184" t="s">
        <v>1557</v>
      </c>
      <c r="D245" s="184" t="s">
        <v>1558</v>
      </c>
      <c r="E245" s="184"/>
      <c r="F245" s="184" t="s">
        <v>2028</v>
      </c>
      <c r="G245" s="184" t="s">
        <v>1532</v>
      </c>
      <c r="H245" s="184" t="s">
        <v>2029</v>
      </c>
      <c r="I245" s="184" t="s">
        <v>574</v>
      </c>
      <c r="J245" s="184"/>
    </row>
    <row r="246" spans="1:10">
      <c r="A246" s="184" t="s">
        <v>1527</v>
      </c>
      <c r="B246" s="184" t="s">
        <v>1701</v>
      </c>
      <c r="C246" s="184" t="s">
        <v>1833</v>
      </c>
      <c r="D246" s="184" t="s">
        <v>1703</v>
      </c>
      <c r="E246" s="184"/>
      <c r="F246" s="184" t="s">
        <v>2030</v>
      </c>
      <c r="G246" s="184" t="s">
        <v>1532</v>
      </c>
      <c r="H246" s="184" t="s">
        <v>2031</v>
      </c>
      <c r="I246" s="184" t="s">
        <v>582</v>
      </c>
      <c r="J246" s="184"/>
    </row>
    <row r="247" spans="1:10">
      <c r="A247" s="184" t="s">
        <v>1527</v>
      </c>
      <c r="B247" s="184" t="s">
        <v>1701</v>
      </c>
      <c r="C247" s="184" t="s">
        <v>1833</v>
      </c>
      <c r="D247" s="184" t="s">
        <v>1703</v>
      </c>
      <c r="E247" s="184"/>
      <c r="F247" s="184" t="s">
        <v>2032</v>
      </c>
      <c r="G247" s="184" t="s">
        <v>1532</v>
      </c>
      <c r="H247" s="184" t="s">
        <v>583</v>
      </c>
      <c r="I247" s="184" t="s">
        <v>584</v>
      </c>
      <c r="J247" s="184"/>
    </row>
    <row r="248" spans="1:10">
      <c r="A248" s="184" t="s">
        <v>1527</v>
      </c>
      <c r="B248" s="184" t="s">
        <v>1701</v>
      </c>
      <c r="C248" s="184" t="s">
        <v>1754</v>
      </c>
      <c r="D248" s="184" t="s">
        <v>1703</v>
      </c>
      <c r="E248" s="184"/>
      <c r="F248" s="184" t="s">
        <v>2033</v>
      </c>
      <c r="G248" s="184" t="s">
        <v>1532</v>
      </c>
      <c r="H248" s="184" t="s">
        <v>560</v>
      </c>
      <c r="I248" s="184" t="s">
        <v>561</v>
      </c>
      <c r="J248" s="184"/>
    </row>
    <row r="249" spans="1:10">
      <c r="A249" s="184" t="s">
        <v>1527</v>
      </c>
      <c r="B249" s="184" t="s">
        <v>1701</v>
      </c>
      <c r="C249" s="184" t="s">
        <v>1784</v>
      </c>
      <c r="D249" s="184" t="s">
        <v>1703</v>
      </c>
      <c r="E249" s="184"/>
      <c r="F249" s="184" t="s">
        <v>1834</v>
      </c>
      <c r="G249" s="184" t="s">
        <v>1532</v>
      </c>
      <c r="H249" s="184" t="s">
        <v>558</v>
      </c>
      <c r="I249" s="184" t="s">
        <v>2034</v>
      </c>
      <c r="J249" s="184"/>
    </row>
    <row r="250" spans="1:10">
      <c r="A250" s="184" t="s">
        <v>1527</v>
      </c>
      <c r="B250" s="184" t="s">
        <v>1693</v>
      </c>
      <c r="C250" s="184" t="s">
        <v>1850</v>
      </c>
      <c r="D250" s="184" t="s">
        <v>1730</v>
      </c>
      <c r="E250" s="184"/>
      <c r="F250" s="184" t="s">
        <v>2035</v>
      </c>
      <c r="G250" s="184" t="s">
        <v>1532</v>
      </c>
      <c r="H250" s="184" t="s">
        <v>2036</v>
      </c>
      <c r="I250" s="184" t="s">
        <v>556</v>
      </c>
      <c r="J250" s="184"/>
    </row>
    <row r="251" spans="1:10">
      <c r="A251" s="184" t="s">
        <v>1527</v>
      </c>
      <c r="B251" s="184" t="s">
        <v>1693</v>
      </c>
      <c r="C251" s="184" t="s">
        <v>1916</v>
      </c>
      <c r="D251" s="184" t="s">
        <v>1730</v>
      </c>
      <c r="E251" s="184"/>
      <c r="F251" s="184" t="s">
        <v>2037</v>
      </c>
      <c r="G251" s="184" t="s">
        <v>1532</v>
      </c>
      <c r="H251" s="184" t="s">
        <v>1482</v>
      </c>
      <c r="I251" s="184" t="s">
        <v>1199</v>
      </c>
      <c r="J251" s="184" t="s">
        <v>856</v>
      </c>
    </row>
    <row r="252" spans="1:10">
      <c r="A252" s="184" t="s">
        <v>1527</v>
      </c>
      <c r="B252" s="184" t="s">
        <v>1693</v>
      </c>
      <c r="C252" s="184" t="s">
        <v>1916</v>
      </c>
      <c r="D252" s="184" t="s">
        <v>1730</v>
      </c>
      <c r="E252" s="184"/>
      <c r="F252" s="184" t="s">
        <v>2038</v>
      </c>
      <c r="G252" s="184" t="s">
        <v>1532</v>
      </c>
      <c r="H252" s="184" t="s">
        <v>2039</v>
      </c>
      <c r="I252" s="184" t="s">
        <v>1199</v>
      </c>
      <c r="J252" s="184" t="s">
        <v>858</v>
      </c>
    </row>
    <row r="253" spans="1:10">
      <c r="A253" s="184" t="s">
        <v>1527</v>
      </c>
      <c r="B253" s="184" t="s">
        <v>1701</v>
      </c>
      <c r="C253" s="184" t="s">
        <v>2040</v>
      </c>
      <c r="D253" s="184" t="s">
        <v>2041</v>
      </c>
      <c r="E253" s="184"/>
      <c r="F253" s="184" t="s">
        <v>2042</v>
      </c>
      <c r="G253" s="184" t="s">
        <v>1532</v>
      </c>
      <c r="H253" s="184" t="s">
        <v>2043</v>
      </c>
      <c r="I253" s="184" t="s">
        <v>295</v>
      </c>
      <c r="J253" s="184"/>
    </row>
    <row r="254" spans="1:10">
      <c r="A254" s="184" t="s">
        <v>1527</v>
      </c>
      <c r="B254" s="184" t="s">
        <v>1556</v>
      </c>
      <c r="C254" s="184" t="s">
        <v>1557</v>
      </c>
      <c r="D254" s="184" t="s">
        <v>1558</v>
      </c>
      <c r="E254" s="184"/>
      <c r="F254" s="184" t="s">
        <v>2044</v>
      </c>
      <c r="G254" s="184" t="s">
        <v>1532</v>
      </c>
      <c r="H254" s="184" t="s">
        <v>2045</v>
      </c>
      <c r="I254" s="184" t="s">
        <v>2046</v>
      </c>
      <c r="J254" s="184"/>
    </row>
    <row r="255" spans="1:10">
      <c r="A255" s="184" t="s">
        <v>1527</v>
      </c>
      <c r="B255" s="184" t="s">
        <v>1701</v>
      </c>
      <c r="C255" s="184" t="s">
        <v>2047</v>
      </c>
      <c r="D255" s="184" t="s">
        <v>2041</v>
      </c>
      <c r="E255" s="184"/>
      <c r="F255" s="184" t="s">
        <v>2048</v>
      </c>
      <c r="G255" s="184" t="s">
        <v>1532</v>
      </c>
      <c r="H255" s="184" t="s">
        <v>2049</v>
      </c>
      <c r="I255" s="184" t="s">
        <v>302</v>
      </c>
      <c r="J255" s="184"/>
    </row>
    <row r="256" spans="1:10">
      <c r="A256" s="184" t="s">
        <v>1527</v>
      </c>
      <c r="B256" s="184" t="s">
        <v>1701</v>
      </c>
      <c r="C256" s="184" t="s">
        <v>2047</v>
      </c>
      <c r="D256" s="184" t="s">
        <v>2041</v>
      </c>
      <c r="E256" s="184"/>
      <c r="F256" s="184" t="s">
        <v>2050</v>
      </c>
      <c r="G256" s="184" t="s">
        <v>1532</v>
      </c>
      <c r="H256" s="184" t="s">
        <v>2051</v>
      </c>
      <c r="I256" s="184" t="s">
        <v>304</v>
      </c>
      <c r="J256" s="184"/>
    </row>
    <row r="257" spans="1:10">
      <c r="A257" s="184" t="s">
        <v>1527</v>
      </c>
      <c r="B257" s="184" t="s">
        <v>1701</v>
      </c>
      <c r="C257" s="184" t="s">
        <v>2047</v>
      </c>
      <c r="D257" s="184" t="s">
        <v>2041</v>
      </c>
      <c r="E257" s="184"/>
      <c r="F257" s="184" t="s">
        <v>1152</v>
      </c>
      <c r="G257" s="184" t="s">
        <v>1532</v>
      </c>
      <c r="H257" s="184" t="s">
        <v>2052</v>
      </c>
      <c r="I257" s="184" t="s">
        <v>1152</v>
      </c>
      <c r="J257" s="184"/>
    </row>
    <row r="258" spans="1:10">
      <c r="A258" s="184" t="s">
        <v>1527</v>
      </c>
      <c r="B258" s="184" t="s">
        <v>1701</v>
      </c>
      <c r="C258" s="184" t="s">
        <v>2047</v>
      </c>
      <c r="D258" s="184" t="s">
        <v>2041</v>
      </c>
      <c r="E258" s="184"/>
      <c r="F258" s="184" t="s">
        <v>2053</v>
      </c>
      <c r="G258" s="184" t="s">
        <v>1532</v>
      </c>
      <c r="H258" s="184" t="s">
        <v>2054</v>
      </c>
      <c r="I258" s="184" t="s">
        <v>286</v>
      </c>
      <c r="J258" s="184"/>
    </row>
    <row r="259" spans="1:10">
      <c r="A259" s="184" t="s">
        <v>1527</v>
      </c>
      <c r="B259" s="184" t="s">
        <v>1701</v>
      </c>
      <c r="C259" s="184" t="s">
        <v>2055</v>
      </c>
      <c r="D259" s="184" t="s">
        <v>2041</v>
      </c>
      <c r="E259" s="184"/>
      <c r="F259" s="184" t="s">
        <v>2056</v>
      </c>
      <c r="G259" s="184" t="s">
        <v>1532</v>
      </c>
      <c r="H259" s="184" t="s">
        <v>2057</v>
      </c>
      <c r="I259" s="184" t="s">
        <v>299</v>
      </c>
      <c r="J259" s="184" t="s">
        <v>2058</v>
      </c>
    </row>
    <row r="260" spans="1:10">
      <c r="A260" s="184" t="s">
        <v>1527</v>
      </c>
      <c r="B260" s="184" t="s">
        <v>1701</v>
      </c>
      <c r="C260" s="184" t="s">
        <v>2055</v>
      </c>
      <c r="D260" s="184" t="s">
        <v>2041</v>
      </c>
      <c r="E260" s="184"/>
      <c r="F260" s="184" t="s">
        <v>2059</v>
      </c>
      <c r="G260" s="184" t="s">
        <v>1532</v>
      </c>
      <c r="H260" s="184" t="s">
        <v>2060</v>
      </c>
      <c r="I260" s="184" t="s">
        <v>182</v>
      </c>
      <c r="J260" s="184" t="s">
        <v>2059</v>
      </c>
    </row>
    <row r="261" spans="1:10">
      <c r="A261" s="184" t="s">
        <v>1527</v>
      </c>
      <c r="B261" s="184" t="s">
        <v>1701</v>
      </c>
      <c r="C261" s="184" t="s">
        <v>2055</v>
      </c>
      <c r="D261" s="184" t="s">
        <v>2041</v>
      </c>
      <c r="E261" s="184"/>
      <c r="F261" s="184" t="s">
        <v>2061</v>
      </c>
      <c r="G261" s="184" t="s">
        <v>1532</v>
      </c>
      <c r="H261" s="184" t="s">
        <v>2062</v>
      </c>
      <c r="I261" s="184" t="s">
        <v>289</v>
      </c>
      <c r="J261" s="184" t="s">
        <v>2061</v>
      </c>
    </row>
    <row r="262" spans="1:10">
      <c r="A262" s="184" t="s">
        <v>1527</v>
      </c>
      <c r="B262" s="184" t="s">
        <v>1701</v>
      </c>
      <c r="C262" s="184" t="s">
        <v>2055</v>
      </c>
      <c r="D262" s="184" t="s">
        <v>2041</v>
      </c>
      <c r="E262" s="184"/>
      <c r="F262" s="184" t="s">
        <v>2063</v>
      </c>
      <c r="G262" s="184" t="s">
        <v>1532</v>
      </c>
      <c r="H262" s="184" t="s">
        <v>2064</v>
      </c>
      <c r="I262" s="184" t="s">
        <v>291</v>
      </c>
      <c r="J262" s="184" t="s">
        <v>2063</v>
      </c>
    </row>
    <row r="263" spans="1:10">
      <c r="A263" s="184" t="s">
        <v>1527</v>
      </c>
      <c r="B263" s="184" t="s">
        <v>1701</v>
      </c>
      <c r="C263" s="184" t="s">
        <v>2055</v>
      </c>
      <c r="D263" s="184" t="s">
        <v>2041</v>
      </c>
      <c r="E263" s="184"/>
      <c r="F263" s="184" t="s">
        <v>2065</v>
      </c>
      <c r="G263" s="184" t="s">
        <v>1532</v>
      </c>
      <c r="H263" s="184" t="s">
        <v>2066</v>
      </c>
      <c r="I263" s="184" t="s">
        <v>293</v>
      </c>
      <c r="J263" s="184" t="s">
        <v>2065</v>
      </c>
    </row>
    <row r="264" spans="1:10">
      <c r="A264" s="184" t="s">
        <v>1527</v>
      </c>
      <c r="B264" s="184" t="s">
        <v>1701</v>
      </c>
      <c r="C264" s="184" t="s">
        <v>2055</v>
      </c>
      <c r="D264" s="184" t="s">
        <v>2041</v>
      </c>
      <c r="E264" s="184"/>
      <c r="F264" s="184" t="s">
        <v>2067</v>
      </c>
      <c r="G264" s="184" t="s">
        <v>1532</v>
      </c>
      <c r="H264" s="184" t="s">
        <v>2068</v>
      </c>
      <c r="I264" s="184" t="s">
        <v>297</v>
      </c>
      <c r="J264" s="184" t="s">
        <v>2067</v>
      </c>
    </row>
    <row r="265" spans="1:10">
      <c r="A265" s="184" t="s">
        <v>1527</v>
      </c>
      <c r="B265" s="184" t="s">
        <v>1556</v>
      </c>
      <c r="C265" s="184" t="s">
        <v>1681</v>
      </c>
      <c r="D265" s="184" t="s">
        <v>1558</v>
      </c>
      <c r="E265" s="184"/>
      <c r="F265" s="184" t="s">
        <v>1333</v>
      </c>
      <c r="G265" s="184" t="s">
        <v>1532</v>
      </c>
      <c r="H265" s="184" t="s">
        <v>2069</v>
      </c>
      <c r="I265" s="184" t="s">
        <v>2070</v>
      </c>
      <c r="J265" s="184"/>
    </row>
    <row r="266" spans="1:10">
      <c r="A266" s="184" t="s">
        <v>1527</v>
      </c>
      <c r="B266" s="184" t="s">
        <v>1556</v>
      </c>
      <c r="C266" s="184" t="s">
        <v>1681</v>
      </c>
      <c r="D266" s="184" t="s">
        <v>1558</v>
      </c>
      <c r="E266" s="184"/>
      <c r="F266" s="184" t="s">
        <v>2071</v>
      </c>
      <c r="G266" s="184" t="s">
        <v>1532</v>
      </c>
      <c r="H266" s="184" t="s">
        <v>2072</v>
      </c>
      <c r="I266" s="184" t="s">
        <v>900</v>
      </c>
      <c r="J266" s="184" t="s">
        <v>2072</v>
      </c>
    </row>
    <row r="267" spans="1:10">
      <c r="A267" s="184" t="s">
        <v>1527</v>
      </c>
      <c r="B267" s="184" t="s">
        <v>1693</v>
      </c>
      <c r="C267" s="184" t="s">
        <v>1916</v>
      </c>
      <c r="D267" s="184" t="s">
        <v>1730</v>
      </c>
      <c r="E267" s="184"/>
      <c r="F267" s="184" t="s">
        <v>902</v>
      </c>
      <c r="G267" s="184" t="s">
        <v>1532</v>
      </c>
      <c r="H267" s="184" t="s">
        <v>2073</v>
      </c>
      <c r="I267" s="184" t="s">
        <v>902</v>
      </c>
      <c r="J267" s="184" t="s">
        <v>1708</v>
      </c>
    </row>
    <row r="268" spans="1:10">
      <c r="A268" s="184" t="s">
        <v>1527</v>
      </c>
      <c r="B268" s="184" t="s">
        <v>1693</v>
      </c>
      <c r="C268" s="184" t="s">
        <v>1916</v>
      </c>
      <c r="D268" s="184" t="s">
        <v>1730</v>
      </c>
      <c r="E268" s="184"/>
      <c r="F268" s="184" t="s">
        <v>904</v>
      </c>
      <c r="G268" s="184" t="s">
        <v>1532</v>
      </c>
      <c r="H268" s="184" t="s">
        <v>2074</v>
      </c>
      <c r="I268" s="184" t="s">
        <v>904</v>
      </c>
      <c r="J268" s="184" t="s">
        <v>1708</v>
      </c>
    </row>
    <row r="269" spans="1:10">
      <c r="A269" s="184" t="s">
        <v>1527</v>
      </c>
      <c r="B269" s="184" t="s">
        <v>1693</v>
      </c>
      <c r="C269" s="184" t="s">
        <v>1729</v>
      </c>
      <c r="D269" s="184" t="s">
        <v>1730</v>
      </c>
      <c r="E269" s="184"/>
      <c r="F269" s="184" t="s">
        <v>2075</v>
      </c>
      <c r="G269" s="184" t="s">
        <v>1532</v>
      </c>
      <c r="H269" s="184" t="s">
        <v>2076</v>
      </c>
      <c r="I269" s="184" t="s">
        <v>78</v>
      </c>
      <c r="J269" s="184"/>
    </row>
    <row r="270" spans="1:10">
      <c r="A270" s="184" t="s">
        <v>1527</v>
      </c>
      <c r="B270" s="184" t="s">
        <v>1693</v>
      </c>
      <c r="C270" s="184" t="s">
        <v>1729</v>
      </c>
      <c r="D270" s="184" t="s">
        <v>1730</v>
      </c>
      <c r="E270" s="184"/>
      <c r="F270" s="184" t="s">
        <v>2077</v>
      </c>
      <c r="G270" s="184" t="s">
        <v>1532</v>
      </c>
      <c r="H270" s="184" t="s">
        <v>2078</v>
      </c>
      <c r="I270" s="184" t="s">
        <v>80</v>
      </c>
      <c r="J270" s="184"/>
    </row>
    <row r="271" spans="1:10">
      <c r="A271" s="184" t="s">
        <v>1527</v>
      </c>
      <c r="B271" s="184" t="s">
        <v>1693</v>
      </c>
      <c r="C271" s="184" t="s">
        <v>1729</v>
      </c>
      <c r="D271" s="184" t="s">
        <v>1730</v>
      </c>
      <c r="E271" s="184"/>
      <c r="F271" s="184" t="s">
        <v>2079</v>
      </c>
      <c r="G271" s="184" t="s">
        <v>1532</v>
      </c>
      <c r="H271" s="184" t="s">
        <v>2080</v>
      </c>
      <c r="I271" s="184" t="s">
        <v>82</v>
      </c>
      <c r="J271" s="184"/>
    </row>
    <row r="272" spans="1:10">
      <c r="A272" s="184" t="s">
        <v>1527</v>
      </c>
      <c r="B272" s="184" t="s">
        <v>1693</v>
      </c>
      <c r="C272" s="184" t="s">
        <v>1729</v>
      </c>
      <c r="D272" s="184" t="s">
        <v>1730</v>
      </c>
      <c r="E272" s="184"/>
      <c r="F272" s="184" t="s">
        <v>2081</v>
      </c>
      <c r="G272" s="184" t="s">
        <v>1532</v>
      </c>
      <c r="H272" s="184" t="s">
        <v>2082</v>
      </c>
      <c r="I272" s="184" t="s">
        <v>84</v>
      </c>
      <c r="J272" s="184"/>
    </row>
    <row r="273" spans="1:10">
      <c r="A273" s="184" t="s">
        <v>1527</v>
      </c>
      <c r="B273" s="184" t="s">
        <v>1693</v>
      </c>
      <c r="C273" s="184" t="s">
        <v>1729</v>
      </c>
      <c r="D273" s="184" t="s">
        <v>1730</v>
      </c>
      <c r="E273" s="184"/>
      <c r="F273" s="184" t="s">
        <v>2083</v>
      </c>
      <c r="G273" s="184" t="s">
        <v>1532</v>
      </c>
      <c r="H273" s="184" t="s">
        <v>2084</v>
      </c>
      <c r="I273" s="184" t="s">
        <v>86</v>
      </c>
      <c r="J273" s="184"/>
    </row>
    <row r="274" spans="1:10">
      <c r="A274" s="184" t="s">
        <v>1527</v>
      </c>
      <c r="B274" s="184" t="s">
        <v>1693</v>
      </c>
      <c r="C274" s="184" t="s">
        <v>1729</v>
      </c>
      <c r="D274" s="184" t="s">
        <v>1730</v>
      </c>
      <c r="E274" s="184"/>
      <c r="F274" s="184" t="s">
        <v>2085</v>
      </c>
      <c r="G274" s="184" t="s">
        <v>1532</v>
      </c>
      <c r="H274" s="184" t="s">
        <v>2086</v>
      </c>
      <c r="I274" s="184" t="s">
        <v>88</v>
      </c>
      <c r="J274" s="184"/>
    </row>
    <row r="275" spans="1:10">
      <c r="A275" s="184" t="s">
        <v>1527</v>
      </c>
      <c r="B275" s="184" t="s">
        <v>1693</v>
      </c>
      <c r="C275" s="184" t="s">
        <v>1729</v>
      </c>
      <c r="D275" s="184" t="s">
        <v>1730</v>
      </c>
      <c r="E275" s="184"/>
      <c r="F275" s="184" t="s">
        <v>2087</v>
      </c>
      <c r="G275" s="184" t="s">
        <v>1532</v>
      </c>
      <c r="H275" s="184" t="s">
        <v>2088</v>
      </c>
      <c r="I275" s="184" t="s">
        <v>96</v>
      </c>
      <c r="J275" s="184"/>
    </row>
    <row r="276" spans="1:10">
      <c r="A276" s="184" t="s">
        <v>1527</v>
      </c>
      <c r="B276" s="184" t="s">
        <v>1693</v>
      </c>
      <c r="C276" s="184" t="s">
        <v>1729</v>
      </c>
      <c r="D276" s="184" t="s">
        <v>1730</v>
      </c>
      <c r="E276" s="184"/>
      <c r="F276" s="184" t="s">
        <v>2089</v>
      </c>
      <c r="G276" s="184" t="s">
        <v>1532</v>
      </c>
      <c r="H276" s="184" t="s">
        <v>2090</v>
      </c>
      <c r="I276" s="184" t="s">
        <v>90</v>
      </c>
      <c r="J276" s="184"/>
    </row>
    <row r="277" spans="1:10">
      <c r="A277" s="184" t="s">
        <v>1527</v>
      </c>
      <c r="B277" s="184" t="s">
        <v>1693</v>
      </c>
      <c r="C277" s="184" t="s">
        <v>1729</v>
      </c>
      <c r="D277" s="184" t="s">
        <v>1730</v>
      </c>
      <c r="E277" s="184"/>
      <c r="F277" s="184" t="s">
        <v>2091</v>
      </c>
      <c r="G277" s="184" t="s">
        <v>1532</v>
      </c>
      <c r="H277" s="184" t="s">
        <v>2092</v>
      </c>
      <c r="I277" s="184" t="s">
        <v>92</v>
      </c>
      <c r="J277" s="184"/>
    </row>
    <row r="278" spans="1:10">
      <c r="A278" s="184" t="s">
        <v>1527</v>
      </c>
      <c r="B278" s="184" t="s">
        <v>1556</v>
      </c>
      <c r="C278" s="184" t="s">
        <v>1557</v>
      </c>
      <c r="D278" s="184" t="s">
        <v>1558</v>
      </c>
      <c r="E278" s="184"/>
      <c r="F278" s="184" t="s">
        <v>2093</v>
      </c>
      <c r="G278" s="184" t="s">
        <v>1532</v>
      </c>
      <c r="H278" s="184" t="s">
        <v>2094</v>
      </c>
      <c r="I278" s="184" t="s">
        <v>1138</v>
      </c>
      <c r="J278" s="184"/>
    </row>
    <row r="279" spans="1:10">
      <c r="A279" s="184" t="s">
        <v>1527</v>
      </c>
      <c r="B279" s="184" t="s">
        <v>1556</v>
      </c>
      <c r="C279" s="184" t="s">
        <v>1557</v>
      </c>
      <c r="D279" s="184" t="s">
        <v>1558</v>
      </c>
      <c r="E279" s="184"/>
      <c r="F279" s="184" t="s">
        <v>1735</v>
      </c>
      <c r="G279" s="184" t="s">
        <v>1532</v>
      </c>
      <c r="H279" s="184" t="s">
        <v>2095</v>
      </c>
      <c r="I279" s="184" t="s">
        <v>110</v>
      </c>
      <c r="J279" s="184" t="s">
        <v>110</v>
      </c>
    </row>
    <row r="280" spans="1:10">
      <c r="A280" s="184" t="s">
        <v>1527</v>
      </c>
      <c r="B280" s="184" t="s">
        <v>1693</v>
      </c>
      <c r="C280" s="184" t="s">
        <v>1729</v>
      </c>
      <c r="D280" s="184" t="s">
        <v>1730</v>
      </c>
      <c r="E280" s="184"/>
      <c r="F280" s="184" t="s">
        <v>2096</v>
      </c>
      <c r="G280" s="184" t="s">
        <v>1532</v>
      </c>
      <c r="H280" s="184" t="s">
        <v>2097</v>
      </c>
      <c r="I280" s="184" t="s">
        <v>118</v>
      </c>
      <c r="J280" s="184"/>
    </row>
    <row r="281" spans="1:10">
      <c r="A281" s="184" t="s">
        <v>1527</v>
      </c>
      <c r="B281" s="184" t="s">
        <v>1693</v>
      </c>
      <c r="C281" s="184" t="s">
        <v>1729</v>
      </c>
      <c r="D281" s="184" t="s">
        <v>1730</v>
      </c>
      <c r="E281" s="184"/>
      <c r="F281" s="184" t="s">
        <v>2098</v>
      </c>
      <c r="G281" s="184" t="s">
        <v>1532</v>
      </c>
      <c r="H281" s="184" t="s">
        <v>2099</v>
      </c>
      <c r="I281" s="184" t="s">
        <v>124</v>
      </c>
      <c r="J281" s="184"/>
    </row>
    <row r="282" spans="1:10">
      <c r="A282" s="184" t="s">
        <v>1527</v>
      </c>
      <c r="B282" s="184" t="s">
        <v>1556</v>
      </c>
      <c r="C282" s="184" t="s">
        <v>1694</v>
      </c>
      <c r="D282" s="184" t="s">
        <v>1695</v>
      </c>
      <c r="E282" s="184"/>
      <c r="F282" s="184" t="s">
        <v>2100</v>
      </c>
      <c r="G282" s="184" t="s">
        <v>1532</v>
      </c>
      <c r="H282" s="184" t="s">
        <v>2101</v>
      </c>
      <c r="I282" s="184" t="s">
        <v>2102</v>
      </c>
      <c r="J282" s="184"/>
    </row>
    <row r="283" spans="1:10">
      <c r="A283" s="184" t="s">
        <v>1527</v>
      </c>
      <c r="B283" s="184" t="s">
        <v>1556</v>
      </c>
      <c r="C283" s="184" t="s">
        <v>1681</v>
      </c>
      <c r="D283" s="184" t="s">
        <v>1558</v>
      </c>
      <c r="E283" s="184"/>
      <c r="F283" s="184" t="s">
        <v>2103</v>
      </c>
      <c r="G283" s="184" t="s">
        <v>1532</v>
      </c>
      <c r="H283" s="184" t="s">
        <v>156</v>
      </c>
      <c r="I283" s="184" t="s">
        <v>157</v>
      </c>
      <c r="J283" s="184"/>
    </row>
    <row r="284" spans="1:10">
      <c r="A284" s="184" t="s">
        <v>1527</v>
      </c>
      <c r="B284" s="184" t="s">
        <v>1693</v>
      </c>
      <c r="C284" s="184" t="s">
        <v>1729</v>
      </c>
      <c r="D284" s="184" t="s">
        <v>1730</v>
      </c>
      <c r="E284" s="184"/>
      <c r="F284" s="184" t="s">
        <v>2104</v>
      </c>
      <c r="G284" s="184" t="s">
        <v>1532</v>
      </c>
      <c r="H284" s="184" t="s">
        <v>2105</v>
      </c>
      <c r="I284" s="184" t="s">
        <v>142</v>
      </c>
      <c r="J284" s="184"/>
    </row>
    <row r="285" spans="1:10">
      <c r="A285" s="184" t="s">
        <v>1527</v>
      </c>
      <c r="B285" s="184" t="s">
        <v>1693</v>
      </c>
      <c r="C285" s="184" t="s">
        <v>1729</v>
      </c>
      <c r="D285" s="184" t="s">
        <v>1730</v>
      </c>
      <c r="E285" s="184"/>
      <c r="F285" s="184" t="s">
        <v>2106</v>
      </c>
      <c r="G285" s="184" t="s">
        <v>1532</v>
      </c>
      <c r="H285" s="184" t="s">
        <v>2107</v>
      </c>
      <c r="I285" s="184" t="s">
        <v>126</v>
      </c>
      <c r="J285" s="184"/>
    </row>
    <row r="286" spans="1:10">
      <c r="A286" s="184" t="s">
        <v>1527</v>
      </c>
      <c r="B286" s="184" t="s">
        <v>1693</v>
      </c>
      <c r="C286" s="184" t="s">
        <v>1729</v>
      </c>
      <c r="D286" s="184" t="s">
        <v>1730</v>
      </c>
      <c r="E286" s="184"/>
      <c r="F286" s="184" t="s">
        <v>2108</v>
      </c>
      <c r="G286" s="184" t="s">
        <v>1532</v>
      </c>
      <c r="H286" s="184" t="s">
        <v>2109</v>
      </c>
      <c r="I286" s="184" t="s">
        <v>144</v>
      </c>
      <c r="J286" s="184"/>
    </row>
    <row r="287" spans="1:10">
      <c r="A287" s="184" t="s">
        <v>1527</v>
      </c>
      <c r="B287" s="184" t="s">
        <v>1693</v>
      </c>
      <c r="C287" s="184" t="s">
        <v>1729</v>
      </c>
      <c r="D287" s="184" t="s">
        <v>1730</v>
      </c>
      <c r="E287" s="184"/>
      <c r="F287" s="184" t="s">
        <v>2110</v>
      </c>
      <c r="G287" s="184" t="s">
        <v>1532</v>
      </c>
      <c r="H287" s="184" t="s">
        <v>2111</v>
      </c>
      <c r="I287" s="184" t="s">
        <v>128</v>
      </c>
      <c r="J287" s="184"/>
    </row>
    <row r="288" spans="1:10">
      <c r="A288" s="184" t="s">
        <v>1527</v>
      </c>
      <c r="B288" s="184" t="s">
        <v>1693</v>
      </c>
      <c r="C288" s="184" t="s">
        <v>1729</v>
      </c>
      <c r="D288" s="184" t="s">
        <v>1730</v>
      </c>
      <c r="E288" s="184"/>
      <c r="F288" s="184" t="s">
        <v>2112</v>
      </c>
      <c r="G288" s="184" t="s">
        <v>1532</v>
      </c>
      <c r="H288" s="184" t="s">
        <v>2113</v>
      </c>
      <c r="I288" s="184" t="s">
        <v>130</v>
      </c>
      <c r="J288" s="184"/>
    </row>
    <row r="289" spans="1:9">
      <c r="A289" s="184" t="s">
        <v>1527</v>
      </c>
      <c r="B289" s="184" t="s">
        <v>1693</v>
      </c>
      <c r="C289" s="184" t="s">
        <v>1895</v>
      </c>
      <c r="D289" s="184" t="s">
        <v>1730</v>
      </c>
      <c r="E289" s="184"/>
      <c r="F289" s="184" t="s">
        <v>2114</v>
      </c>
      <c r="G289" s="184" t="s">
        <v>1532</v>
      </c>
      <c r="H289" s="184" t="s">
        <v>2115</v>
      </c>
      <c r="I289" s="184" t="s">
        <v>148</v>
      </c>
    </row>
    <row r="290" spans="1:9">
      <c r="A290" s="184" t="s">
        <v>1527</v>
      </c>
      <c r="B290" s="184" t="s">
        <v>1693</v>
      </c>
      <c r="C290" s="184" t="s">
        <v>1729</v>
      </c>
      <c r="D290" s="184" t="s">
        <v>1730</v>
      </c>
      <c r="E290" s="184"/>
      <c r="F290" s="184" t="s">
        <v>2116</v>
      </c>
      <c r="G290" s="184" t="s">
        <v>1532</v>
      </c>
      <c r="H290" s="184" t="s">
        <v>2117</v>
      </c>
      <c r="I290" s="184" t="s">
        <v>159</v>
      </c>
    </row>
    <row r="291" spans="1:9">
      <c r="A291" s="184" t="s">
        <v>1527</v>
      </c>
      <c r="B291" s="184" t="s">
        <v>1693</v>
      </c>
      <c r="C291" s="184" t="s">
        <v>1961</v>
      </c>
      <c r="D291" s="184" t="s">
        <v>1695</v>
      </c>
      <c r="E291" s="184"/>
      <c r="F291" s="184" t="s">
        <v>2118</v>
      </c>
      <c r="G291" s="184" t="s">
        <v>1532</v>
      </c>
      <c r="H291" s="184" t="s">
        <v>2119</v>
      </c>
      <c r="I291" s="184" t="s">
        <v>146</v>
      </c>
    </row>
    <row r="292" spans="1:9">
      <c r="A292" s="184" t="s">
        <v>1527</v>
      </c>
      <c r="B292" s="184" t="s">
        <v>1556</v>
      </c>
      <c r="C292" s="184" t="s">
        <v>2120</v>
      </c>
      <c r="D292" s="184" t="s">
        <v>1558</v>
      </c>
      <c r="E292" s="184"/>
      <c r="F292" s="184" t="s">
        <v>2121</v>
      </c>
      <c r="G292" s="184" t="s">
        <v>1532</v>
      </c>
      <c r="H292" s="184" t="s">
        <v>2122</v>
      </c>
      <c r="I292" s="184" t="s">
        <v>629</v>
      </c>
    </row>
    <row r="293" spans="1:9">
      <c r="A293" s="184" t="s">
        <v>1527</v>
      </c>
      <c r="B293" s="184" t="s">
        <v>1556</v>
      </c>
      <c r="C293" s="184" t="s">
        <v>2120</v>
      </c>
      <c r="D293" s="184" t="s">
        <v>1558</v>
      </c>
      <c r="E293" s="184"/>
      <c r="F293" s="184" t="s">
        <v>2123</v>
      </c>
      <c r="G293" s="184" t="s">
        <v>1532</v>
      </c>
      <c r="H293" s="184" t="s">
        <v>632</v>
      </c>
      <c r="I293" s="184" t="s">
        <v>633</v>
      </c>
    </row>
    <row r="294" spans="1:9">
      <c r="A294" s="184" t="s">
        <v>1527</v>
      </c>
      <c r="B294" s="184" t="s">
        <v>1556</v>
      </c>
      <c r="C294" s="184" t="s">
        <v>2120</v>
      </c>
      <c r="D294" s="184" t="s">
        <v>1558</v>
      </c>
      <c r="E294" s="184"/>
      <c r="F294" s="184" t="s">
        <v>2124</v>
      </c>
      <c r="G294" s="184" t="s">
        <v>1532</v>
      </c>
      <c r="H294" s="184" t="s">
        <v>635</v>
      </c>
      <c r="I294" s="184" t="s">
        <v>636</v>
      </c>
    </row>
    <row r="295" spans="1:9">
      <c r="A295" s="184" t="s">
        <v>1527</v>
      </c>
      <c r="B295" s="184" t="s">
        <v>1556</v>
      </c>
      <c r="C295" s="184" t="s">
        <v>2120</v>
      </c>
      <c r="D295" s="184" t="s">
        <v>1558</v>
      </c>
      <c r="E295" s="184"/>
      <c r="F295" s="184" t="s">
        <v>2125</v>
      </c>
      <c r="G295" s="184" t="s">
        <v>1532</v>
      </c>
      <c r="H295" s="184" t="s">
        <v>637</v>
      </c>
      <c r="I295" s="184" t="s">
        <v>638</v>
      </c>
    </row>
    <row r="296" spans="1:9">
      <c r="A296" s="184" t="s">
        <v>1527</v>
      </c>
      <c r="B296" s="184" t="s">
        <v>1556</v>
      </c>
      <c r="C296" s="184" t="s">
        <v>2120</v>
      </c>
      <c r="D296" s="184" t="s">
        <v>1558</v>
      </c>
      <c r="E296" s="184"/>
      <c r="F296" s="184" t="s">
        <v>2126</v>
      </c>
      <c r="G296" s="184" t="s">
        <v>1532</v>
      </c>
      <c r="H296" s="184" t="s">
        <v>640</v>
      </c>
      <c r="I296" s="184" t="s">
        <v>641</v>
      </c>
    </row>
    <row r="297" spans="1:9">
      <c r="A297" s="184" t="s">
        <v>1527</v>
      </c>
      <c r="B297" s="184" t="s">
        <v>1556</v>
      </c>
      <c r="C297" s="184" t="s">
        <v>2120</v>
      </c>
      <c r="D297" s="184" t="s">
        <v>1558</v>
      </c>
      <c r="E297" s="184"/>
      <c r="F297" s="184" t="s">
        <v>2127</v>
      </c>
      <c r="G297" s="184" t="s">
        <v>1532</v>
      </c>
      <c r="H297" s="184" t="s">
        <v>642</v>
      </c>
      <c r="I297" s="184" t="s">
        <v>643</v>
      </c>
    </row>
    <row r="298" spans="1:9">
      <c r="A298" s="184" t="s">
        <v>1527</v>
      </c>
      <c r="B298" s="184" t="s">
        <v>1556</v>
      </c>
      <c r="C298" s="184" t="s">
        <v>2120</v>
      </c>
      <c r="D298" s="184" t="s">
        <v>1558</v>
      </c>
      <c r="E298" s="184"/>
      <c r="F298" s="184" t="s">
        <v>2128</v>
      </c>
      <c r="G298" s="184" t="s">
        <v>1532</v>
      </c>
      <c r="H298" s="184" t="s">
        <v>2129</v>
      </c>
      <c r="I298" s="184" t="s">
        <v>645</v>
      </c>
    </row>
    <row r="299" spans="1:9">
      <c r="A299" s="184" t="s">
        <v>1527</v>
      </c>
      <c r="B299" s="184" t="s">
        <v>1556</v>
      </c>
      <c r="C299" s="184" t="s">
        <v>2120</v>
      </c>
      <c r="D299" s="184" t="s">
        <v>1558</v>
      </c>
      <c r="E299" s="184"/>
      <c r="F299" s="184" t="s">
        <v>2130</v>
      </c>
      <c r="G299" s="184" t="s">
        <v>1532</v>
      </c>
      <c r="H299" s="184" t="s">
        <v>2131</v>
      </c>
      <c r="I299" s="184" t="s">
        <v>1485</v>
      </c>
    </row>
    <row r="300" spans="1:9">
      <c r="A300" s="184" t="s">
        <v>1527</v>
      </c>
      <c r="B300" s="184" t="s">
        <v>1556</v>
      </c>
      <c r="C300" s="184" t="s">
        <v>2120</v>
      </c>
      <c r="D300" s="184" t="s">
        <v>1558</v>
      </c>
      <c r="E300" s="184"/>
      <c r="F300" s="184" t="s">
        <v>2132</v>
      </c>
      <c r="G300" s="184" t="s">
        <v>1532</v>
      </c>
      <c r="H300" s="184" t="s">
        <v>2133</v>
      </c>
      <c r="I300" s="184" t="s">
        <v>647</v>
      </c>
    </row>
    <row r="301" spans="1:9">
      <c r="A301" s="184" t="s">
        <v>1527</v>
      </c>
      <c r="B301" s="184" t="s">
        <v>1528</v>
      </c>
      <c r="C301" s="184" t="s">
        <v>2134</v>
      </c>
      <c r="D301" s="184" t="s">
        <v>1530</v>
      </c>
      <c r="E301" s="184"/>
      <c r="F301" s="184" t="s">
        <v>2135</v>
      </c>
      <c r="G301" s="184" t="s">
        <v>1532</v>
      </c>
      <c r="H301" s="184" t="s">
        <v>649</v>
      </c>
      <c r="I301" s="184" t="s">
        <v>650</v>
      </c>
    </row>
    <row r="302" spans="1:9">
      <c r="A302" s="184" t="s">
        <v>1527</v>
      </c>
      <c r="B302" s="184" t="s">
        <v>1528</v>
      </c>
      <c r="C302" s="184" t="s">
        <v>2134</v>
      </c>
      <c r="D302" s="184" t="s">
        <v>1530</v>
      </c>
      <c r="E302" s="184"/>
      <c r="F302" s="184" t="s">
        <v>2136</v>
      </c>
      <c r="G302" s="184" t="s">
        <v>1532</v>
      </c>
      <c r="H302" s="184" t="s">
        <v>653</v>
      </c>
      <c r="I302" s="184" t="s">
        <v>654</v>
      </c>
    </row>
    <row r="303" spans="1:9">
      <c r="A303" s="184" t="s">
        <v>1527</v>
      </c>
      <c r="B303" s="184" t="s">
        <v>1701</v>
      </c>
      <c r="C303" s="184" t="s">
        <v>2137</v>
      </c>
      <c r="D303" s="184" t="s">
        <v>1703</v>
      </c>
      <c r="E303" s="184"/>
      <c r="F303" s="184" t="s">
        <v>2138</v>
      </c>
      <c r="G303" s="184" t="s">
        <v>1532</v>
      </c>
      <c r="H303" s="184" t="s">
        <v>1136</v>
      </c>
      <c r="I303" s="184" t="s">
        <v>2138</v>
      </c>
    </row>
    <row r="304" spans="1:9">
      <c r="A304" s="184" t="s">
        <v>1527</v>
      </c>
      <c r="B304" s="184" t="s">
        <v>1701</v>
      </c>
      <c r="C304" s="184" t="s">
        <v>2137</v>
      </c>
      <c r="D304" s="184" t="s">
        <v>1703</v>
      </c>
      <c r="E304" s="184"/>
      <c r="F304" s="184" t="s">
        <v>2139</v>
      </c>
      <c r="G304" s="184" t="s">
        <v>1532</v>
      </c>
      <c r="H304" s="184" t="s">
        <v>655</v>
      </c>
      <c r="I304" s="184" t="s">
        <v>656</v>
      </c>
    </row>
    <row r="305" spans="1:11">
      <c r="A305" s="184" t="s">
        <v>1527</v>
      </c>
      <c r="B305" s="184" t="s">
        <v>1701</v>
      </c>
      <c r="C305" s="184" t="s">
        <v>2137</v>
      </c>
      <c r="D305" s="184" t="s">
        <v>1703</v>
      </c>
      <c r="E305" s="184"/>
      <c r="F305" s="184" t="s">
        <v>2140</v>
      </c>
      <c r="G305" s="184" t="s">
        <v>1532</v>
      </c>
      <c r="H305" s="184" t="s">
        <v>2141</v>
      </c>
      <c r="I305" s="184" t="s">
        <v>658</v>
      </c>
      <c r="J305" s="184" t="s">
        <v>2140</v>
      </c>
      <c r="K305" s="184" t="s">
        <v>658</v>
      </c>
    </row>
    <row r="306" spans="1:11">
      <c r="A306" s="184" t="s">
        <v>1527</v>
      </c>
      <c r="B306" s="184" t="s">
        <v>1701</v>
      </c>
      <c r="C306" s="184" t="s">
        <v>2137</v>
      </c>
      <c r="D306" s="184" t="s">
        <v>1703</v>
      </c>
      <c r="E306" s="184"/>
      <c r="F306" s="184" t="s">
        <v>2142</v>
      </c>
      <c r="G306" s="184" t="s">
        <v>1532</v>
      </c>
      <c r="H306" s="184" t="s">
        <v>2143</v>
      </c>
      <c r="I306" s="184" t="s">
        <v>654</v>
      </c>
      <c r="J306" s="184" t="s">
        <v>2144</v>
      </c>
      <c r="K306" s="184" t="s">
        <v>658</v>
      </c>
    </row>
    <row r="307" spans="1:11">
      <c r="A307" s="184" t="s">
        <v>1527</v>
      </c>
      <c r="B307" s="184" t="s">
        <v>1693</v>
      </c>
      <c r="C307" s="184" t="s">
        <v>1694</v>
      </c>
      <c r="D307" s="184" t="s">
        <v>1695</v>
      </c>
      <c r="E307" s="184"/>
      <c r="F307" s="184" t="s">
        <v>2145</v>
      </c>
      <c r="G307" s="184" t="s">
        <v>1532</v>
      </c>
      <c r="H307" s="184" t="s">
        <v>2146</v>
      </c>
      <c r="I307" s="184" t="s">
        <v>2145</v>
      </c>
      <c r="J307" s="184"/>
      <c r="K307" s="184"/>
    </row>
    <row r="308" spans="1:11">
      <c r="A308" s="184" t="s">
        <v>1527</v>
      </c>
      <c r="B308" s="184" t="s">
        <v>1693</v>
      </c>
      <c r="C308" s="184" t="s">
        <v>2147</v>
      </c>
      <c r="D308" s="184" t="s">
        <v>1730</v>
      </c>
      <c r="E308" s="184"/>
      <c r="F308" s="184" t="s">
        <v>2148</v>
      </c>
      <c r="G308" s="184" t="s">
        <v>1532</v>
      </c>
      <c r="H308" s="184" t="s">
        <v>660</v>
      </c>
      <c r="I308" s="184" t="s">
        <v>633</v>
      </c>
      <c r="J308" s="184" t="s">
        <v>2149</v>
      </c>
      <c r="K308" s="184"/>
    </row>
    <row r="309" spans="1:11">
      <c r="A309" s="184" t="s">
        <v>1527</v>
      </c>
      <c r="B309" s="184" t="s">
        <v>1693</v>
      </c>
      <c r="C309" s="184" t="s">
        <v>2147</v>
      </c>
      <c r="D309" s="184" t="s">
        <v>1730</v>
      </c>
      <c r="E309" s="184"/>
      <c r="F309" s="184" t="s">
        <v>2150</v>
      </c>
      <c r="G309" s="184" t="s">
        <v>1532</v>
      </c>
      <c r="H309" s="184" t="s">
        <v>661</v>
      </c>
      <c r="I309" s="184" t="s">
        <v>636</v>
      </c>
      <c r="J309" s="184" t="s">
        <v>2151</v>
      </c>
      <c r="K309" s="184"/>
    </row>
    <row r="310" spans="1:11">
      <c r="A310" s="184" t="s">
        <v>1527</v>
      </c>
      <c r="B310" s="184" t="s">
        <v>1693</v>
      </c>
      <c r="C310" s="184" t="s">
        <v>2147</v>
      </c>
      <c r="D310" s="184" t="s">
        <v>1730</v>
      </c>
      <c r="E310" s="184"/>
      <c r="F310" s="184" t="s">
        <v>2152</v>
      </c>
      <c r="G310" s="184" t="s">
        <v>1532</v>
      </c>
      <c r="H310" s="184" t="s">
        <v>2153</v>
      </c>
      <c r="I310" s="184" t="s">
        <v>638</v>
      </c>
      <c r="J310" s="184" t="s">
        <v>2154</v>
      </c>
      <c r="K310" s="184"/>
    </row>
    <row r="311" spans="1:11">
      <c r="A311" s="184" t="s">
        <v>1527</v>
      </c>
      <c r="B311" s="184" t="s">
        <v>1693</v>
      </c>
      <c r="C311" s="184" t="s">
        <v>2147</v>
      </c>
      <c r="D311" s="184" t="s">
        <v>1730</v>
      </c>
      <c r="E311" s="184"/>
      <c r="F311" s="184" t="s">
        <v>2155</v>
      </c>
      <c r="G311" s="184" t="s">
        <v>1532</v>
      </c>
      <c r="H311" s="184" t="s">
        <v>2156</v>
      </c>
      <c r="I311" s="184" t="s">
        <v>641</v>
      </c>
      <c r="J311" s="184" t="s">
        <v>2157</v>
      </c>
      <c r="K311" s="184"/>
    </row>
    <row r="312" spans="1:11">
      <c r="A312" s="184" t="s">
        <v>1527</v>
      </c>
      <c r="B312" s="184" t="s">
        <v>1693</v>
      </c>
      <c r="C312" s="184" t="s">
        <v>2147</v>
      </c>
      <c r="D312" s="184" t="s">
        <v>1730</v>
      </c>
      <c r="E312" s="184"/>
      <c r="F312" s="184" t="s">
        <v>2158</v>
      </c>
      <c r="G312" s="184" t="s">
        <v>1532</v>
      </c>
      <c r="H312" s="184" t="s">
        <v>2159</v>
      </c>
      <c r="I312" s="184" t="s">
        <v>643</v>
      </c>
      <c r="J312" s="184" t="s">
        <v>2160</v>
      </c>
      <c r="K312" s="184"/>
    </row>
    <row r="313" spans="1:11">
      <c r="A313" s="184" t="s">
        <v>1527</v>
      </c>
      <c r="B313" s="184" t="s">
        <v>1693</v>
      </c>
      <c r="C313" s="184" t="s">
        <v>2147</v>
      </c>
      <c r="D313" s="184" t="s">
        <v>1730</v>
      </c>
      <c r="E313" s="184"/>
      <c r="F313" s="184" t="s">
        <v>2161</v>
      </c>
      <c r="G313" s="184" t="s">
        <v>1532</v>
      </c>
      <c r="H313" s="184" t="s">
        <v>2162</v>
      </c>
      <c r="I313" s="184" t="s">
        <v>645</v>
      </c>
      <c r="J313" s="184" t="s">
        <v>2163</v>
      </c>
      <c r="K313" s="184"/>
    </row>
    <row r="314" spans="1:11">
      <c r="A314" s="184" t="s">
        <v>1527</v>
      </c>
      <c r="B314" s="184" t="s">
        <v>1693</v>
      </c>
      <c r="C314" s="184" t="s">
        <v>2147</v>
      </c>
      <c r="D314" s="184" t="s">
        <v>1730</v>
      </c>
      <c r="E314" s="184"/>
      <c r="F314" s="184" t="s">
        <v>2164</v>
      </c>
      <c r="G314" s="184" t="s">
        <v>1532</v>
      </c>
      <c r="H314" s="184" t="s">
        <v>2165</v>
      </c>
      <c r="I314" s="184" t="s">
        <v>1485</v>
      </c>
      <c r="J314" s="184" t="s">
        <v>2166</v>
      </c>
      <c r="K314" s="184"/>
    </row>
    <row r="315" spans="1:11">
      <c r="A315" s="184" t="s">
        <v>1527</v>
      </c>
      <c r="B315" s="184" t="s">
        <v>1693</v>
      </c>
      <c r="C315" s="184" t="s">
        <v>2147</v>
      </c>
      <c r="D315" s="184" t="s">
        <v>1730</v>
      </c>
      <c r="E315" s="184"/>
      <c r="F315" s="184" t="s">
        <v>2167</v>
      </c>
      <c r="G315" s="184" t="s">
        <v>1532</v>
      </c>
      <c r="H315" s="184" t="s">
        <v>666</v>
      </c>
      <c r="I315" s="184" t="s">
        <v>633</v>
      </c>
      <c r="J315" s="184" t="s">
        <v>2149</v>
      </c>
      <c r="K315" s="184"/>
    </row>
    <row r="316" spans="1:11">
      <c r="A316" s="184" t="s">
        <v>1527</v>
      </c>
      <c r="B316" s="184" t="s">
        <v>1693</v>
      </c>
      <c r="C316" s="184" t="s">
        <v>2147</v>
      </c>
      <c r="D316" s="184" t="s">
        <v>1730</v>
      </c>
      <c r="E316" s="184"/>
      <c r="F316" s="184" t="s">
        <v>2168</v>
      </c>
      <c r="G316" s="184" t="s">
        <v>1532</v>
      </c>
      <c r="H316" s="184" t="s">
        <v>667</v>
      </c>
      <c r="I316" s="184" t="s">
        <v>636</v>
      </c>
      <c r="J316" s="184" t="s">
        <v>2151</v>
      </c>
      <c r="K316" s="184"/>
    </row>
    <row r="317" spans="1:11">
      <c r="A317" s="184" t="s">
        <v>1527</v>
      </c>
      <c r="B317" s="184" t="s">
        <v>1693</v>
      </c>
      <c r="C317" s="184" t="s">
        <v>2147</v>
      </c>
      <c r="D317" s="184" t="s">
        <v>1730</v>
      </c>
      <c r="E317" s="184"/>
      <c r="F317" s="184" t="s">
        <v>2169</v>
      </c>
      <c r="G317" s="184" t="s">
        <v>1532</v>
      </c>
      <c r="H317" s="184" t="s">
        <v>2170</v>
      </c>
      <c r="I317" s="184" t="s">
        <v>638</v>
      </c>
      <c r="J317" s="184" t="s">
        <v>2154</v>
      </c>
      <c r="K317" s="184"/>
    </row>
    <row r="318" spans="1:11">
      <c r="A318" s="184" t="s">
        <v>1527</v>
      </c>
      <c r="B318" s="184" t="s">
        <v>1693</v>
      </c>
      <c r="C318" s="184" t="s">
        <v>2147</v>
      </c>
      <c r="D318" s="184" t="s">
        <v>1730</v>
      </c>
      <c r="E318" s="184"/>
      <c r="F318" s="184" t="s">
        <v>2171</v>
      </c>
      <c r="G318" s="184" t="s">
        <v>1532</v>
      </c>
      <c r="H318" s="184" t="s">
        <v>2172</v>
      </c>
      <c r="I318" s="184" t="s">
        <v>641</v>
      </c>
      <c r="J318" s="184" t="s">
        <v>2157</v>
      </c>
      <c r="K318" s="184"/>
    </row>
    <row r="319" spans="1:11">
      <c r="A319" s="184" t="s">
        <v>1527</v>
      </c>
      <c r="B319" s="184" t="s">
        <v>1693</v>
      </c>
      <c r="C319" s="184" t="s">
        <v>2147</v>
      </c>
      <c r="D319" s="184" t="s">
        <v>1730</v>
      </c>
      <c r="E319" s="184"/>
      <c r="F319" s="184" t="s">
        <v>2173</v>
      </c>
      <c r="G319" s="184" t="s">
        <v>1532</v>
      </c>
      <c r="H319" s="184" t="s">
        <v>2174</v>
      </c>
      <c r="I319" s="184" t="s">
        <v>643</v>
      </c>
      <c r="J319" s="184" t="s">
        <v>2160</v>
      </c>
      <c r="K319" s="184"/>
    </row>
    <row r="320" spans="1:11">
      <c r="A320" s="184" t="s">
        <v>1527</v>
      </c>
      <c r="B320" s="184" t="s">
        <v>1693</v>
      </c>
      <c r="C320" s="184" t="s">
        <v>2147</v>
      </c>
      <c r="D320" s="184" t="s">
        <v>1730</v>
      </c>
      <c r="E320" s="184"/>
      <c r="F320" s="184" t="s">
        <v>2175</v>
      </c>
      <c r="G320" s="184" t="s">
        <v>1532</v>
      </c>
      <c r="H320" s="184" t="s">
        <v>2176</v>
      </c>
      <c r="I320" s="184" t="s">
        <v>645</v>
      </c>
      <c r="J320" s="184" t="s">
        <v>2163</v>
      </c>
      <c r="K320" s="184"/>
    </row>
    <row r="321" spans="1:10">
      <c r="A321" s="184" t="s">
        <v>1527</v>
      </c>
      <c r="B321" s="184" t="s">
        <v>1693</v>
      </c>
      <c r="C321" s="184" t="s">
        <v>2147</v>
      </c>
      <c r="D321" s="184" t="s">
        <v>1730</v>
      </c>
      <c r="E321" s="184"/>
      <c r="F321" s="184" t="s">
        <v>2177</v>
      </c>
      <c r="G321" s="184" t="s">
        <v>1532</v>
      </c>
      <c r="H321" s="184" t="s">
        <v>2178</v>
      </c>
      <c r="I321" s="184" t="s">
        <v>1485</v>
      </c>
      <c r="J321" s="184" t="s">
        <v>2166</v>
      </c>
    </row>
    <row r="322" spans="1:10">
      <c r="A322" s="184" t="s">
        <v>1527</v>
      </c>
      <c r="B322" s="184" t="s">
        <v>1693</v>
      </c>
      <c r="C322" s="184" t="s">
        <v>2147</v>
      </c>
      <c r="D322" s="184" t="s">
        <v>1730</v>
      </c>
      <c r="E322" s="184"/>
      <c r="F322" s="184" t="s">
        <v>1700</v>
      </c>
      <c r="G322" s="184" t="s">
        <v>1532</v>
      </c>
      <c r="H322" s="184"/>
      <c r="I322" s="184"/>
      <c r="J322" s="184"/>
    </row>
    <row r="323" spans="1:10">
      <c r="A323" s="184" t="s">
        <v>1527</v>
      </c>
      <c r="B323" s="184" t="s">
        <v>1693</v>
      </c>
      <c r="C323" s="184" t="s">
        <v>2147</v>
      </c>
      <c r="D323" s="184" t="s">
        <v>1730</v>
      </c>
      <c r="E323" s="184"/>
      <c r="F323" s="184" t="s">
        <v>1700</v>
      </c>
      <c r="G323" s="184" t="s">
        <v>1532</v>
      </c>
      <c r="H323" s="184"/>
      <c r="I323" s="184"/>
      <c r="J323" s="184"/>
    </row>
    <row r="324" spans="1:10">
      <c r="A324" s="184" t="s">
        <v>1527</v>
      </c>
      <c r="B324" s="184" t="s">
        <v>1693</v>
      </c>
      <c r="C324" s="184" t="s">
        <v>2147</v>
      </c>
      <c r="D324" s="184" t="s">
        <v>1730</v>
      </c>
      <c r="E324" s="184"/>
      <c r="F324" s="184" t="s">
        <v>1700</v>
      </c>
      <c r="G324" s="184" t="s">
        <v>1532</v>
      </c>
      <c r="H324" s="184"/>
      <c r="I324" s="184"/>
      <c r="J324" s="184"/>
    </row>
    <row r="325" spans="1:10">
      <c r="A325" s="184" t="s">
        <v>1527</v>
      </c>
      <c r="B325" s="184" t="s">
        <v>1693</v>
      </c>
      <c r="C325" s="184" t="s">
        <v>2147</v>
      </c>
      <c r="D325" s="184" t="s">
        <v>1730</v>
      </c>
      <c r="E325" s="184"/>
      <c r="F325" s="184" t="s">
        <v>1700</v>
      </c>
      <c r="G325" s="184" t="s">
        <v>1532</v>
      </c>
      <c r="H325" s="184"/>
      <c r="I325" s="184"/>
      <c r="J325" s="184"/>
    </row>
    <row r="326" spans="1:10">
      <c r="A326" s="184" t="s">
        <v>1527</v>
      </c>
      <c r="B326" s="184" t="s">
        <v>1693</v>
      </c>
      <c r="C326" s="184" t="s">
        <v>2147</v>
      </c>
      <c r="D326" s="184" t="s">
        <v>1730</v>
      </c>
      <c r="E326" s="184"/>
      <c r="F326" s="184" t="s">
        <v>1700</v>
      </c>
      <c r="G326" s="184" t="s">
        <v>1532</v>
      </c>
      <c r="H326" s="184"/>
      <c r="I326" s="184"/>
      <c r="J326" s="184"/>
    </row>
    <row r="327" spans="1:10">
      <c r="A327" s="184" t="s">
        <v>1527</v>
      </c>
      <c r="B327" s="184" t="s">
        <v>1693</v>
      </c>
      <c r="C327" s="184" t="s">
        <v>2147</v>
      </c>
      <c r="D327" s="184" t="s">
        <v>1730</v>
      </c>
      <c r="E327" s="184"/>
      <c r="F327" s="184" t="s">
        <v>1700</v>
      </c>
      <c r="G327" s="184" t="s">
        <v>1532</v>
      </c>
      <c r="H327" s="184"/>
      <c r="I327" s="184"/>
      <c r="J327" s="184"/>
    </row>
    <row r="328" spans="1:10">
      <c r="A328" s="184" t="s">
        <v>1527</v>
      </c>
      <c r="B328" s="184" t="s">
        <v>1693</v>
      </c>
      <c r="C328" s="184" t="s">
        <v>2147</v>
      </c>
      <c r="D328" s="184" t="s">
        <v>1730</v>
      </c>
      <c r="E328" s="184"/>
      <c r="F328" s="184" t="s">
        <v>1700</v>
      </c>
      <c r="G328" s="184" t="s">
        <v>1532</v>
      </c>
      <c r="H328" s="184"/>
      <c r="I328" s="184"/>
      <c r="J328" s="184"/>
    </row>
    <row r="329" spans="1:10">
      <c r="A329" s="184" t="s">
        <v>1527</v>
      </c>
      <c r="B329" s="184" t="s">
        <v>1693</v>
      </c>
      <c r="C329" s="184" t="s">
        <v>2147</v>
      </c>
      <c r="D329" s="184" t="s">
        <v>1730</v>
      </c>
      <c r="E329" s="184"/>
      <c r="F329" s="184" t="s">
        <v>1700</v>
      </c>
      <c r="G329" s="184" t="s">
        <v>1532</v>
      </c>
      <c r="H329" s="184"/>
      <c r="I329" s="184"/>
      <c r="J329" s="184"/>
    </row>
    <row r="330" spans="1:10">
      <c r="A330" s="184" t="s">
        <v>1527</v>
      </c>
      <c r="B330" s="184" t="s">
        <v>1693</v>
      </c>
      <c r="C330" s="184" t="s">
        <v>2147</v>
      </c>
      <c r="D330" s="184" t="s">
        <v>1730</v>
      </c>
      <c r="E330" s="184"/>
      <c r="F330" s="184" t="s">
        <v>1700</v>
      </c>
      <c r="G330" s="184" t="s">
        <v>1532</v>
      </c>
      <c r="H330" s="184"/>
      <c r="I330" s="184"/>
      <c r="J330" s="184"/>
    </row>
    <row r="331" spans="1:10">
      <c r="A331" s="184" t="s">
        <v>1527</v>
      </c>
      <c r="B331" s="184" t="s">
        <v>1556</v>
      </c>
      <c r="C331" s="184" t="s">
        <v>1694</v>
      </c>
      <c r="D331" s="184" t="s">
        <v>1695</v>
      </c>
      <c r="E331" s="184"/>
      <c r="F331" s="184" t="s">
        <v>2179</v>
      </c>
      <c r="G331" s="184" t="s">
        <v>1532</v>
      </c>
      <c r="H331" s="184" t="s">
        <v>2180</v>
      </c>
      <c r="I331" s="184" t="s">
        <v>2179</v>
      </c>
      <c r="J331" s="184"/>
    </row>
    <row r="332" spans="1:10">
      <c r="A332" s="184" t="s">
        <v>1527</v>
      </c>
      <c r="B332" s="184" t="s">
        <v>1693</v>
      </c>
      <c r="C332" s="184" t="s">
        <v>2147</v>
      </c>
      <c r="D332" s="184" t="s">
        <v>1730</v>
      </c>
      <c r="E332" s="184"/>
      <c r="F332" s="184" t="s">
        <v>1700</v>
      </c>
      <c r="G332" s="184" t="s">
        <v>1532</v>
      </c>
      <c r="H332" s="184"/>
      <c r="I332" s="184"/>
      <c r="J332" s="184"/>
    </row>
    <row r="333" spans="1:10">
      <c r="A333" s="184" t="s">
        <v>1527</v>
      </c>
      <c r="B333" s="184" t="s">
        <v>1701</v>
      </c>
      <c r="C333" s="184" t="s">
        <v>1754</v>
      </c>
      <c r="D333" s="184" t="s">
        <v>1703</v>
      </c>
      <c r="E333" s="184"/>
      <c r="F333" s="184" t="s">
        <v>2181</v>
      </c>
      <c r="G333" s="184" t="s">
        <v>1532</v>
      </c>
      <c r="H333" s="184" t="s">
        <v>2182</v>
      </c>
      <c r="I333" s="184" t="s">
        <v>2183</v>
      </c>
      <c r="J333" s="184"/>
    </row>
    <row r="334" spans="1:10">
      <c r="A334" s="184" t="s">
        <v>1527</v>
      </c>
      <c r="B334" s="184" t="s">
        <v>1701</v>
      </c>
      <c r="C334" s="184" t="s">
        <v>1784</v>
      </c>
      <c r="D334" s="184" t="s">
        <v>1703</v>
      </c>
      <c r="E334" s="184"/>
      <c r="F334" s="184" t="s">
        <v>2184</v>
      </c>
      <c r="G334" s="184" t="s">
        <v>1532</v>
      </c>
      <c r="H334" s="184" t="s">
        <v>2185</v>
      </c>
      <c r="I334" s="184" t="s">
        <v>2186</v>
      </c>
      <c r="J334" s="184"/>
    </row>
    <row r="335" spans="1:10">
      <c r="A335" s="184" t="s">
        <v>1527</v>
      </c>
      <c r="B335" s="184" t="s">
        <v>1556</v>
      </c>
      <c r="C335" s="184" t="s">
        <v>1681</v>
      </c>
      <c r="D335" s="184" t="s">
        <v>1558</v>
      </c>
      <c r="E335" s="184"/>
      <c r="F335" s="184" t="s">
        <v>2187</v>
      </c>
      <c r="G335" s="184" t="s">
        <v>1532</v>
      </c>
      <c r="H335" s="184" t="s">
        <v>2188</v>
      </c>
      <c r="I335" s="184" t="s">
        <v>2189</v>
      </c>
      <c r="J335" s="184"/>
    </row>
    <row r="336" spans="1:10">
      <c r="A336" s="184" t="s">
        <v>1527</v>
      </c>
      <c r="B336" s="184" t="s">
        <v>1556</v>
      </c>
      <c r="C336" s="184" t="s">
        <v>1557</v>
      </c>
      <c r="D336" s="184" t="s">
        <v>1558</v>
      </c>
      <c r="E336" s="184"/>
      <c r="F336" s="184" t="s">
        <v>1700</v>
      </c>
      <c r="G336" s="184" t="s">
        <v>1532</v>
      </c>
      <c r="H336" s="184"/>
      <c r="I336" s="184"/>
      <c r="J336" s="184"/>
    </row>
    <row r="337" spans="1:9">
      <c r="A337" s="184" t="s">
        <v>1527</v>
      </c>
      <c r="B337" s="184" t="s">
        <v>1556</v>
      </c>
      <c r="C337" s="184" t="s">
        <v>2120</v>
      </c>
      <c r="D337" s="184" t="s">
        <v>1558</v>
      </c>
      <c r="E337" s="184"/>
      <c r="F337" s="184" t="s">
        <v>1135</v>
      </c>
      <c r="G337" s="184" t="s">
        <v>1532</v>
      </c>
      <c r="H337" s="184" t="s">
        <v>2190</v>
      </c>
      <c r="I337" s="184" t="s">
        <v>1135</v>
      </c>
    </row>
    <row r="338" spans="1:9">
      <c r="A338" s="184" t="s">
        <v>1527</v>
      </c>
      <c r="B338" s="184" t="s">
        <v>1693</v>
      </c>
      <c r="C338" s="184" t="s">
        <v>1808</v>
      </c>
      <c r="D338" s="184" t="s">
        <v>1730</v>
      </c>
      <c r="E338" s="184"/>
      <c r="F338" s="184" t="s">
        <v>2191</v>
      </c>
      <c r="G338" s="184" t="s">
        <v>1532</v>
      </c>
      <c r="H338" s="184" t="s">
        <v>2192</v>
      </c>
      <c r="I338" s="184" t="s">
        <v>563</v>
      </c>
    </row>
    <row r="339" spans="1:9">
      <c r="A339" s="184" t="s">
        <v>1527</v>
      </c>
      <c r="B339" s="184" t="s">
        <v>1693</v>
      </c>
      <c r="C339" s="184" t="s">
        <v>1808</v>
      </c>
      <c r="D339" s="184" t="s">
        <v>1730</v>
      </c>
      <c r="E339" s="184"/>
      <c r="F339" s="184" t="s">
        <v>2193</v>
      </c>
      <c r="G339" s="184" t="s">
        <v>1532</v>
      </c>
      <c r="H339" s="184" t="s">
        <v>2194</v>
      </c>
      <c r="I339" s="184" t="s">
        <v>565</v>
      </c>
    </row>
    <row r="340" spans="1:9">
      <c r="A340" s="184" t="s">
        <v>1527</v>
      </c>
      <c r="B340" s="184" t="s">
        <v>1556</v>
      </c>
      <c r="C340" s="184" t="s">
        <v>1651</v>
      </c>
      <c r="D340" s="184" t="s">
        <v>1558</v>
      </c>
      <c r="E340" s="184"/>
      <c r="F340" s="184" t="s">
        <v>2195</v>
      </c>
      <c r="G340" s="184" t="s">
        <v>1532</v>
      </c>
      <c r="H340" s="184" t="s">
        <v>136</v>
      </c>
      <c r="I340" s="184" t="s">
        <v>2195</v>
      </c>
    </row>
    <row r="341" spans="1:9">
      <c r="A341" s="184" t="s">
        <v>1527</v>
      </c>
      <c r="B341" s="184" t="s">
        <v>1693</v>
      </c>
      <c r="C341" s="184" t="s">
        <v>1895</v>
      </c>
      <c r="D341" s="184" t="s">
        <v>1730</v>
      </c>
      <c r="E341" s="184"/>
      <c r="F341" s="184" t="s">
        <v>2196</v>
      </c>
      <c r="G341" s="184" t="s">
        <v>1532</v>
      </c>
      <c r="H341" s="184" t="s">
        <v>2197</v>
      </c>
      <c r="I341" s="184" t="s">
        <v>168</v>
      </c>
    </row>
    <row r="342" spans="1:9">
      <c r="A342" s="184" t="s">
        <v>1527</v>
      </c>
      <c r="B342" s="184" t="s">
        <v>1693</v>
      </c>
      <c r="C342" s="184" t="s">
        <v>1895</v>
      </c>
      <c r="D342" s="184" t="s">
        <v>1730</v>
      </c>
      <c r="E342" s="184"/>
      <c r="F342" s="184" t="s">
        <v>2198</v>
      </c>
      <c r="G342" s="184" t="s">
        <v>1532</v>
      </c>
      <c r="H342" s="184" t="s">
        <v>2199</v>
      </c>
      <c r="I342" s="184" t="s">
        <v>150</v>
      </c>
    </row>
    <row r="343" spans="1:9">
      <c r="A343" s="184" t="s">
        <v>1527</v>
      </c>
      <c r="B343" s="184" t="s">
        <v>1556</v>
      </c>
      <c r="C343" s="184" t="s">
        <v>2200</v>
      </c>
      <c r="D343" s="184" t="s">
        <v>1558</v>
      </c>
      <c r="E343" s="184"/>
      <c r="F343" s="184" t="s">
        <v>2201</v>
      </c>
      <c r="G343" s="184" t="s">
        <v>1532</v>
      </c>
      <c r="H343" s="184" t="s">
        <v>2202</v>
      </c>
      <c r="I343" s="184" t="s">
        <v>683</v>
      </c>
    </row>
    <row r="344" spans="1:9">
      <c r="A344" s="184" t="s">
        <v>1527</v>
      </c>
      <c r="B344" s="184" t="s">
        <v>1693</v>
      </c>
      <c r="C344" s="184" t="s">
        <v>2203</v>
      </c>
      <c r="D344" s="184" t="s">
        <v>1730</v>
      </c>
      <c r="E344" s="184"/>
      <c r="F344" s="184" t="s">
        <v>2204</v>
      </c>
      <c r="G344" s="184" t="s">
        <v>1532</v>
      </c>
      <c r="H344" s="184" t="s">
        <v>2205</v>
      </c>
      <c r="I344" s="184" t="s">
        <v>2204</v>
      </c>
    </row>
    <row r="345" spans="1:9">
      <c r="A345" s="184" t="s">
        <v>1527</v>
      </c>
      <c r="B345" s="184" t="s">
        <v>1693</v>
      </c>
      <c r="C345" s="184" t="s">
        <v>2203</v>
      </c>
      <c r="D345" s="184" t="s">
        <v>1730</v>
      </c>
      <c r="E345" s="184"/>
      <c r="F345" s="184" t="s">
        <v>2206</v>
      </c>
      <c r="G345" s="184" t="s">
        <v>1532</v>
      </c>
      <c r="H345" s="184" t="s">
        <v>2207</v>
      </c>
      <c r="I345" s="184" t="s">
        <v>2206</v>
      </c>
    </row>
    <row r="346" spans="1:9">
      <c r="A346" s="184" t="s">
        <v>1527</v>
      </c>
      <c r="B346" s="184" t="s">
        <v>1556</v>
      </c>
      <c r="C346" s="184" t="s">
        <v>2200</v>
      </c>
      <c r="D346" s="184" t="s">
        <v>1558</v>
      </c>
      <c r="E346" s="184"/>
      <c r="F346" s="184" t="s">
        <v>2208</v>
      </c>
      <c r="G346" s="184" t="s">
        <v>1532</v>
      </c>
      <c r="H346" s="184" t="s">
        <v>2209</v>
      </c>
      <c r="I346" s="184" t="s">
        <v>688</v>
      </c>
    </row>
    <row r="347" spans="1:9">
      <c r="A347" s="184" t="s">
        <v>1527</v>
      </c>
      <c r="B347" s="184" t="s">
        <v>1556</v>
      </c>
      <c r="C347" s="184" t="s">
        <v>2200</v>
      </c>
      <c r="D347" s="184" t="s">
        <v>1558</v>
      </c>
      <c r="E347" s="184"/>
      <c r="F347" s="184" t="s">
        <v>2210</v>
      </c>
      <c r="G347" s="184" t="s">
        <v>1532</v>
      </c>
      <c r="H347" s="184" t="s">
        <v>2211</v>
      </c>
      <c r="I347" s="184" t="s">
        <v>691</v>
      </c>
    </row>
    <row r="348" spans="1:9">
      <c r="A348" s="184" t="s">
        <v>1527</v>
      </c>
      <c r="B348" s="184" t="s">
        <v>1556</v>
      </c>
      <c r="C348" s="184" t="s">
        <v>2200</v>
      </c>
      <c r="D348" s="184" t="s">
        <v>1558</v>
      </c>
      <c r="E348" s="184"/>
      <c r="F348" s="184" t="s">
        <v>2212</v>
      </c>
      <c r="G348" s="184" t="s">
        <v>1532</v>
      </c>
      <c r="H348" s="184" t="s">
        <v>2213</v>
      </c>
      <c r="I348" s="184" t="s">
        <v>744</v>
      </c>
    </row>
    <row r="349" spans="1:9">
      <c r="A349" s="184" t="s">
        <v>1527</v>
      </c>
      <c r="B349" s="184" t="s">
        <v>1556</v>
      </c>
      <c r="C349" s="184" t="s">
        <v>2200</v>
      </c>
      <c r="D349" s="184" t="s">
        <v>1558</v>
      </c>
      <c r="E349" s="184"/>
      <c r="F349" s="184" t="s">
        <v>2214</v>
      </c>
      <c r="G349" s="184" t="s">
        <v>1532</v>
      </c>
      <c r="H349" s="184" t="s">
        <v>2215</v>
      </c>
      <c r="I349" s="184" t="s">
        <v>746</v>
      </c>
    </row>
    <row r="350" spans="1:9">
      <c r="A350" s="184" t="s">
        <v>1527</v>
      </c>
      <c r="B350" s="184" t="s">
        <v>1556</v>
      </c>
      <c r="C350" s="184" t="s">
        <v>2200</v>
      </c>
      <c r="D350" s="184" t="s">
        <v>1558</v>
      </c>
      <c r="E350" s="184"/>
      <c r="F350" s="184" t="s">
        <v>2216</v>
      </c>
      <c r="G350" s="184" t="s">
        <v>1532</v>
      </c>
      <c r="H350" s="184" t="s">
        <v>2217</v>
      </c>
      <c r="I350" s="184" t="s">
        <v>750</v>
      </c>
    </row>
    <row r="351" spans="1:9">
      <c r="A351" s="184" t="s">
        <v>1527</v>
      </c>
      <c r="B351" s="184" t="s">
        <v>1556</v>
      </c>
      <c r="C351" s="184" t="s">
        <v>2200</v>
      </c>
      <c r="D351" s="184" t="s">
        <v>1558</v>
      </c>
      <c r="E351" s="184"/>
      <c r="F351" s="184" t="s">
        <v>2218</v>
      </c>
      <c r="G351" s="184" t="s">
        <v>1532</v>
      </c>
      <c r="H351" s="184" t="s">
        <v>2219</v>
      </c>
      <c r="I351" s="184" t="s">
        <v>752</v>
      </c>
    </row>
    <row r="352" spans="1:9">
      <c r="A352" s="184" t="s">
        <v>1527</v>
      </c>
      <c r="B352" s="184" t="s">
        <v>1556</v>
      </c>
      <c r="C352" s="184" t="s">
        <v>2200</v>
      </c>
      <c r="D352" s="184" t="s">
        <v>1558</v>
      </c>
      <c r="E352" s="184"/>
      <c r="F352" s="184" t="s">
        <v>2220</v>
      </c>
      <c r="G352" s="184" t="s">
        <v>1532</v>
      </c>
      <c r="H352" s="184" t="s">
        <v>2221</v>
      </c>
      <c r="I352" s="184" t="s">
        <v>754</v>
      </c>
    </row>
    <row r="353" spans="1:9">
      <c r="A353" s="184" t="s">
        <v>1527</v>
      </c>
      <c r="B353" s="184" t="s">
        <v>1556</v>
      </c>
      <c r="C353" s="184" t="s">
        <v>2200</v>
      </c>
      <c r="D353" s="184" t="s">
        <v>1558</v>
      </c>
      <c r="E353" s="184"/>
      <c r="F353" s="184" t="s">
        <v>2222</v>
      </c>
      <c r="G353" s="184" t="s">
        <v>1532</v>
      </c>
      <c r="H353" s="184" t="s">
        <v>153</v>
      </c>
      <c r="I353" s="184" t="s">
        <v>2222</v>
      </c>
    </row>
    <row r="354" spans="1:9">
      <c r="A354" s="184" t="s">
        <v>1527</v>
      </c>
      <c r="B354" s="184" t="s">
        <v>1693</v>
      </c>
      <c r="C354" s="184" t="s">
        <v>2203</v>
      </c>
      <c r="D354" s="184" t="s">
        <v>1730</v>
      </c>
      <c r="E354" s="184"/>
      <c r="F354" s="184" t="s">
        <v>2223</v>
      </c>
      <c r="G354" s="184" t="s">
        <v>1532</v>
      </c>
      <c r="H354" s="184" t="s">
        <v>2224</v>
      </c>
      <c r="I354" s="184" t="s">
        <v>758</v>
      </c>
    </row>
    <row r="355" spans="1:9">
      <c r="A355" s="184" t="s">
        <v>1527</v>
      </c>
      <c r="B355" s="184" t="s">
        <v>1693</v>
      </c>
      <c r="C355" s="184" t="s">
        <v>2203</v>
      </c>
      <c r="D355" s="184" t="s">
        <v>1730</v>
      </c>
      <c r="E355" s="184"/>
      <c r="F355" s="184" t="s">
        <v>2225</v>
      </c>
      <c r="G355" s="184" t="s">
        <v>1532</v>
      </c>
      <c r="H355" s="184" t="s">
        <v>2226</v>
      </c>
      <c r="I355" s="184" t="s">
        <v>758</v>
      </c>
    </row>
    <row r="356" spans="1:9">
      <c r="A356" s="184" t="s">
        <v>1527</v>
      </c>
      <c r="B356" s="184" t="s">
        <v>1693</v>
      </c>
      <c r="C356" s="184" t="s">
        <v>2203</v>
      </c>
      <c r="D356" s="184" t="s">
        <v>1730</v>
      </c>
      <c r="E356" s="184"/>
      <c r="F356" s="184" t="s">
        <v>2227</v>
      </c>
      <c r="G356" s="184" t="s">
        <v>1532</v>
      </c>
      <c r="H356" s="184" t="s">
        <v>2228</v>
      </c>
      <c r="I356" s="184" t="s">
        <v>761</v>
      </c>
    </row>
    <row r="357" spans="1:9">
      <c r="A357" s="184" t="s">
        <v>1527</v>
      </c>
      <c r="B357" s="184" t="s">
        <v>1693</v>
      </c>
      <c r="C357" s="184" t="s">
        <v>2203</v>
      </c>
      <c r="D357" s="184" t="s">
        <v>1730</v>
      </c>
      <c r="E357" s="184"/>
      <c r="F357" s="184" t="s">
        <v>2229</v>
      </c>
      <c r="G357" s="184" t="s">
        <v>1532</v>
      </c>
      <c r="H357" s="184" t="s">
        <v>2230</v>
      </c>
      <c r="I357" s="184" t="s">
        <v>761</v>
      </c>
    </row>
    <row r="358" spans="1:9">
      <c r="A358" s="184" t="s">
        <v>1527</v>
      </c>
      <c r="B358" s="184" t="s">
        <v>1693</v>
      </c>
      <c r="C358" s="184" t="s">
        <v>2203</v>
      </c>
      <c r="D358" s="184" t="s">
        <v>1730</v>
      </c>
      <c r="E358" s="184"/>
      <c r="F358" s="184" t="s">
        <v>2231</v>
      </c>
      <c r="G358" s="184" t="s">
        <v>1532</v>
      </c>
      <c r="H358" s="184" t="s">
        <v>2232</v>
      </c>
      <c r="I358" s="184" t="s">
        <v>764</v>
      </c>
    </row>
    <row r="359" spans="1:9">
      <c r="A359" s="184" t="s">
        <v>1527</v>
      </c>
      <c r="B359" s="184" t="s">
        <v>1693</v>
      </c>
      <c r="C359" s="184" t="s">
        <v>2203</v>
      </c>
      <c r="D359" s="184" t="s">
        <v>1730</v>
      </c>
      <c r="E359" s="184"/>
      <c r="F359" s="184" t="s">
        <v>2233</v>
      </c>
      <c r="G359" s="184" t="s">
        <v>1532</v>
      </c>
      <c r="H359" s="184" t="s">
        <v>2234</v>
      </c>
      <c r="I359" s="184" t="s">
        <v>764</v>
      </c>
    </row>
    <row r="360" spans="1:9">
      <c r="A360" s="184" t="s">
        <v>1527</v>
      </c>
      <c r="B360" s="184" t="s">
        <v>1693</v>
      </c>
      <c r="C360" s="184" t="s">
        <v>2203</v>
      </c>
      <c r="D360" s="184" t="s">
        <v>1730</v>
      </c>
      <c r="E360" s="184"/>
      <c r="F360" s="184" t="s">
        <v>2235</v>
      </c>
      <c r="G360" s="184" t="s">
        <v>1532</v>
      </c>
      <c r="H360" s="184" t="s">
        <v>2236</v>
      </c>
      <c r="I360" s="184" t="s">
        <v>767</v>
      </c>
    </row>
    <row r="361" spans="1:9">
      <c r="A361" s="184" t="s">
        <v>1527</v>
      </c>
      <c r="B361" s="184" t="s">
        <v>1693</v>
      </c>
      <c r="C361" s="184" t="s">
        <v>2203</v>
      </c>
      <c r="D361" s="184" t="s">
        <v>1730</v>
      </c>
      <c r="E361" s="184"/>
      <c r="F361" s="184" t="s">
        <v>2237</v>
      </c>
      <c r="G361" s="184" t="s">
        <v>1532</v>
      </c>
      <c r="H361" s="184" t="s">
        <v>2238</v>
      </c>
      <c r="I361" s="184" t="s">
        <v>767</v>
      </c>
    </row>
    <row r="362" spans="1:9">
      <c r="A362" s="184" t="s">
        <v>1527</v>
      </c>
      <c r="B362" s="184" t="s">
        <v>1693</v>
      </c>
      <c r="C362" s="184" t="s">
        <v>2203</v>
      </c>
      <c r="D362" s="184" t="s">
        <v>1730</v>
      </c>
      <c r="E362" s="184"/>
      <c r="F362" s="184" t="s">
        <v>2239</v>
      </c>
      <c r="G362" s="184" t="s">
        <v>1532</v>
      </c>
      <c r="H362" s="184" t="s">
        <v>2240</v>
      </c>
      <c r="I362" s="184" t="s">
        <v>770</v>
      </c>
    </row>
    <row r="363" spans="1:9">
      <c r="A363" s="184" t="s">
        <v>1527</v>
      </c>
      <c r="B363" s="184" t="s">
        <v>1693</v>
      </c>
      <c r="C363" s="184" t="s">
        <v>2203</v>
      </c>
      <c r="D363" s="184" t="s">
        <v>1730</v>
      </c>
      <c r="E363" s="184"/>
      <c r="F363" s="184" t="s">
        <v>2241</v>
      </c>
      <c r="G363" s="184" t="s">
        <v>1532</v>
      </c>
      <c r="H363" s="184" t="s">
        <v>2242</v>
      </c>
      <c r="I363" s="184" t="s">
        <v>770</v>
      </c>
    </row>
    <row r="364" spans="1:9">
      <c r="A364" s="184" t="s">
        <v>1527</v>
      </c>
      <c r="B364" s="184" t="s">
        <v>1693</v>
      </c>
      <c r="C364" s="184" t="s">
        <v>2203</v>
      </c>
      <c r="D364" s="184" t="s">
        <v>1730</v>
      </c>
      <c r="E364" s="184"/>
      <c r="F364" s="184" t="s">
        <v>2243</v>
      </c>
      <c r="G364" s="184" t="s">
        <v>1532</v>
      </c>
      <c r="H364" s="184" t="s">
        <v>2244</v>
      </c>
      <c r="I364" s="184" t="s">
        <v>776</v>
      </c>
    </row>
    <row r="365" spans="1:9">
      <c r="A365" s="184" t="s">
        <v>1527</v>
      </c>
      <c r="B365" s="184" t="s">
        <v>1693</v>
      </c>
      <c r="C365" s="184" t="s">
        <v>2203</v>
      </c>
      <c r="D365" s="184" t="s">
        <v>1730</v>
      </c>
      <c r="E365" s="184"/>
      <c r="F365" s="184" t="s">
        <v>2245</v>
      </c>
      <c r="G365" s="184" t="s">
        <v>1532</v>
      </c>
      <c r="H365" s="184" t="s">
        <v>2246</v>
      </c>
      <c r="I365" s="184" t="s">
        <v>776</v>
      </c>
    </row>
    <row r="366" spans="1:9">
      <c r="A366" s="184" t="s">
        <v>1527</v>
      </c>
      <c r="B366" s="184" t="s">
        <v>1693</v>
      </c>
      <c r="C366" s="184" t="s">
        <v>2203</v>
      </c>
      <c r="D366" s="184" t="s">
        <v>1730</v>
      </c>
      <c r="E366" s="184"/>
      <c r="F366" s="184" t="s">
        <v>2247</v>
      </c>
      <c r="G366" s="184" t="s">
        <v>1532</v>
      </c>
      <c r="H366" s="184" t="s">
        <v>2248</v>
      </c>
      <c r="I366" s="184" t="s">
        <v>779</v>
      </c>
    </row>
    <row r="367" spans="1:9">
      <c r="A367" s="184" t="s">
        <v>1527</v>
      </c>
      <c r="B367" s="184" t="s">
        <v>1693</v>
      </c>
      <c r="C367" s="184" t="s">
        <v>2203</v>
      </c>
      <c r="D367" s="184" t="s">
        <v>1730</v>
      </c>
      <c r="E367" s="184"/>
      <c r="F367" s="184" t="s">
        <v>2249</v>
      </c>
      <c r="G367" s="184" t="s">
        <v>1532</v>
      </c>
      <c r="H367" s="184" t="s">
        <v>2250</v>
      </c>
      <c r="I367" s="184" t="s">
        <v>779</v>
      </c>
    </row>
    <row r="368" spans="1:9">
      <c r="A368" s="184" t="s">
        <v>1527</v>
      </c>
      <c r="B368" s="184" t="s">
        <v>1693</v>
      </c>
      <c r="C368" s="184" t="s">
        <v>2203</v>
      </c>
      <c r="D368" s="184" t="s">
        <v>1730</v>
      </c>
      <c r="E368" s="184"/>
      <c r="F368" s="184" t="s">
        <v>2251</v>
      </c>
      <c r="G368" s="184" t="s">
        <v>1532</v>
      </c>
      <c r="H368" s="184" t="s">
        <v>2252</v>
      </c>
      <c r="I368" s="184" t="s">
        <v>785</v>
      </c>
    </row>
    <row r="369" spans="1:9">
      <c r="A369" s="184" t="s">
        <v>1527</v>
      </c>
      <c r="B369" s="184" t="s">
        <v>1693</v>
      </c>
      <c r="C369" s="184" t="s">
        <v>2203</v>
      </c>
      <c r="D369" s="184" t="s">
        <v>1730</v>
      </c>
      <c r="E369" s="184"/>
      <c r="F369" s="184" t="s">
        <v>2253</v>
      </c>
      <c r="G369" s="184" t="s">
        <v>1532</v>
      </c>
      <c r="H369" s="184" t="s">
        <v>2254</v>
      </c>
      <c r="I369" s="184" t="s">
        <v>785</v>
      </c>
    </row>
    <row r="370" spans="1:9">
      <c r="A370" s="184" t="s">
        <v>1527</v>
      </c>
      <c r="B370" s="184" t="s">
        <v>1701</v>
      </c>
      <c r="C370" s="184" t="s">
        <v>1751</v>
      </c>
      <c r="D370" s="184" t="s">
        <v>1703</v>
      </c>
      <c r="E370" s="184"/>
      <c r="F370" s="184" t="s">
        <v>2255</v>
      </c>
      <c r="G370" s="184" t="s">
        <v>1532</v>
      </c>
      <c r="H370" s="184" t="s">
        <v>2256</v>
      </c>
      <c r="I370" s="184" t="s">
        <v>179</v>
      </c>
    </row>
    <row r="371" spans="1:9">
      <c r="A371" s="184" t="s">
        <v>1527</v>
      </c>
      <c r="B371" s="184" t="s">
        <v>1701</v>
      </c>
      <c r="C371" s="184" t="s">
        <v>1751</v>
      </c>
      <c r="D371" s="184" t="s">
        <v>1703</v>
      </c>
      <c r="E371" s="184"/>
      <c r="F371" s="184" t="s">
        <v>2257</v>
      </c>
      <c r="G371" s="184" t="s">
        <v>1532</v>
      </c>
      <c r="H371" s="184" t="s">
        <v>2258</v>
      </c>
      <c r="I371" s="184" t="s">
        <v>182</v>
      </c>
    </row>
    <row r="372" spans="1:9">
      <c r="A372" s="184" t="s">
        <v>1527</v>
      </c>
      <c r="B372" s="184" t="s">
        <v>1701</v>
      </c>
      <c r="C372" s="184" t="s">
        <v>1751</v>
      </c>
      <c r="D372" s="184" t="s">
        <v>1703</v>
      </c>
      <c r="E372" s="184"/>
      <c r="F372" s="184" t="s">
        <v>2259</v>
      </c>
      <c r="G372" s="184" t="s">
        <v>1532</v>
      </c>
      <c r="H372" s="184" t="s">
        <v>2260</v>
      </c>
      <c r="I372" s="184" t="s">
        <v>184</v>
      </c>
    </row>
    <row r="373" spans="1:9">
      <c r="A373" s="184" t="s">
        <v>1527</v>
      </c>
      <c r="B373" s="184" t="s">
        <v>1701</v>
      </c>
      <c r="C373" s="184" t="s">
        <v>1751</v>
      </c>
      <c r="D373" s="184" t="s">
        <v>1703</v>
      </c>
      <c r="E373" s="184"/>
      <c r="F373" s="184" t="s">
        <v>2261</v>
      </c>
      <c r="G373" s="184" t="s">
        <v>1532</v>
      </c>
      <c r="H373" s="184" t="s">
        <v>2262</v>
      </c>
      <c r="I373" s="184" t="s">
        <v>187</v>
      </c>
    </row>
    <row r="374" spans="1:9">
      <c r="A374" s="184" t="s">
        <v>1527</v>
      </c>
      <c r="B374" s="184" t="s">
        <v>1701</v>
      </c>
      <c r="C374" s="184" t="s">
        <v>1751</v>
      </c>
      <c r="D374" s="184" t="s">
        <v>1703</v>
      </c>
      <c r="E374" s="184"/>
      <c r="F374" s="184" t="s">
        <v>2263</v>
      </c>
      <c r="G374" s="184" t="s">
        <v>1532</v>
      </c>
      <c r="H374" s="184" t="s">
        <v>2264</v>
      </c>
      <c r="I374" s="184" t="s">
        <v>189</v>
      </c>
    </row>
    <row r="375" spans="1:9">
      <c r="A375" s="184" t="s">
        <v>1527</v>
      </c>
      <c r="B375" s="184" t="s">
        <v>1528</v>
      </c>
      <c r="C375" s="184" t="s">
        <v>2265</v>
      </c>
      <c r="D375" s="184" t="s">
        <v>1530</v>
      </c>
      <c r="E375" s="184"/>
      <c r="F375" s="184" t="s">
        <v>2266</v>
      </c>
      <c r="G375" s="184" t="s">
        <v>1532</v>
      </c>
      <c r="H375" s="184" t="s">
        <v>2267</v>
      </c>
      <c r="I375" s="184" t="s">
        <v>693</v>
      </c>
    </row>
    <row r="376" spans="1:9">
      <c r="A376" s="184" t="s">
        <v>1527</v>
      </c>
      <c r="B376" s="184" t="s">
        <v>1528</v>
      </c>
      <c r="C376" s="184" t="s">
        <v>2265</v>
      </c>
      <c r="D376" s="184" t="s">
        <v>1530</v>
      </c>
      <c r="E376" s="184"/>
      <c r="F376" s="184" t="s">
        <v>2268</v>
      </c>
      <c r="G376" s="184" t="s">
        <v>1532</v>
      </c>
      <c r="H376" s="184" t="s">
        <v>2269</v>
      </c>
      <c r="I376" s="184" t="s">
        <v>699</v>
      </c>
    </row>
    <row r="377" spans="1:9">
      <c r="A377" s="184" t="s">
        <v>1527</v>
      </c>
      <c r="B377" s="184" t="s">
        <v>1528</v>
      </c>
      <c r="C377" s="184" t="s">
        <v>1547</v>
      </c>
      <c r="D377" s="184" t="s">
        <v>1530</v>
      </c>
      <c r="E377" s="184"/>
      <c r="F377" s="184" t="s">
        <v>2270</v>
      </c>
      <c r="G377" s="184" t="s">
        <v>1532</v>
      </c>
      <c r="H377" s="184" t="s">
        <v>2271</v>
      </c>
      <c r="I377" s="184" t="s">
        <v>701</v>
      </c>
    </row>
    <row r="378" spans="1:9">
      <c r="A378" s="184" t="s">
        <v>1527</v>
      </c>
      <c r="B378" s="184" t="s">
        <v>1528</v>
      </c>
      <c r="C378" s="184" t="s">
        <v>2265</v>
      </c>
      <c r="D378" s="184" t="s">
        <v>1530</v>
      </c>
      <c r="E378" s="184"/>
      <c r="F378" s="184" t="s">
        <v>2272</v>
      </c>
      <c r="G378" s="184" t="s">
        <v>1532</v>
      </c>
      <c r="H378" s="184" t="s">
        <v>2273</v>
      </c>
      <c r="I378" s="184" t="s">
        <v>715</v>
      </c>
    </row>
    <row r="379" spans="1:9">
      <c r="A379" s="184" t="s">
        <v>1527</v>
      </c>
      <c r="B379" s="184" t="s">
        <v>1528</v>
      </c>
      <c r="C379" s="184" t="s">
        <v>2265</v>
      </c>
      <c r="D379" s="184" t="s">
        <v>1530</v>
      </c>
      <c r="E379" s="184"/>
      <c r="F379" s="184" t="s">
        <v>2274</v>
      </c>
      <c r="G379" s="184" t="s">
        <v>1532</v>
      </c>
      <c r="H379" s="184" t="s">
        <v>2275</v>
      </c>
      <c r="I379" s="184" t="s">
        <v>788</v>
      </c>
    </row>
    <row r="380" spans="1:9">
      <c r="A380" s="184" t="s">
        <v>1527</v>
      </c>
      <c r="B380" s="184" t="s">
        <v>1528</v>
      </c>
      <c r="C380" s="184" t="s">
        <v>2265</v>
      </c>
      <c r="D380" s="184" t="s">
        <v>1530</v>
      </c>
      <c r="E380" s="184"/>
      <c r="F380" s="184" t="s">
        <v>2276</v>
      </c>
      <c r="G380" s="184" t="s">
        <v>1532</v>
      </c>
      <c r="H380" s="184" t="s">
        <v>2275</v>
      </c>
      <c r="I380" s="184" t="s">
        <v>809</v>
      </c>
    </row>
    <row r="381" spans="1:9">
      <c r="A381" s="184" t="s">
        <v>1527</v>
      </c>
      <c r="B381" s="184" t="s">
        <v>1528</v>
      </c>
      <c r="C381" s="184" t="s">
        <v>2265</v>
      </c>
      <c r="D381" s="184" t="s">
        <v>1530</v>
      </c>
      <c r="E381" s="184"/>
      <c r="F381" s="184" t="s">
        <v>2277</v>
      </c>
      <c r="G381" s="184" t="s">
        <v>1532</v>
      </c>
      <c r="H381" s="184" t="s">
        <v>2278</v>
      </c>
      <c r="I381" s="184" t="s">
        <v>811</v>
      </c>
    </row>
    <row r="382" spans="1:9">
      <c r="A382" s="184" t="s">
        <v>1527</v>
      </c>
      <c r="B382" s="184" t="s">
        <v>1556</v>
      </c>
      <c r="C382" s="184" t="s">
        <v>2200</v>
      </c>
      <c r="D382" s="184" t="s">
        <v>1558</v>
      </c>
      <c r="E382" s="184"/>
      <c r="F382" s="184" t="s">
        <v>1700</v>
      </c>
      <c r="G382" s="184" t="s">
        <v>1532</v>
      </c>
      <c r="H382" s="184"/>
      <c r="I382" s="184"/>
    </row>
    <row r="383" spans="1:9">
      <c r="A383" s="184" t="s">
        <v>1527</v>
      </c>
      <c r="B383" s="184" t="s">
        <v>1556</v>
      </c>
      <c r="C383" s="184" t="s">
        <v>2200</v>
      </c>
      <c r="D383" s="184" t="s">
        <v>1558</v>
      </c>
      <c r="E383" s="184"/>
      <c r="F383" s="184" t="s">
        <v>1700</v>
      </c>
      <c r="G383" s="184" t="s">
        <v>1532</v>
      </c>
      <c r="H383" s="184"/>
      <c r="I383" s="184"/>
    </row>
    <row r="384" spans="1:9">
      <c r="A384" s="184" t="s">
        <v>1527</v>
      </c>
      <c r="B384" s="184" t="s">
        <v>1693</v>
      </c>
      <c r="C384" s="184" t="s">
        <v>2203</v>
      </c>
      <c r="D384" s="184" t="s">
        <v>1730</v>
      </c>
      <c r="E384" s="184"/>
      <c r="F384" s="184" t="s">
        <v>1700</v>
      </c>
      <c r="G384" s="184" t="s">
        <v>1532</v>
      </c>
      <c r="H384" s="184"/>
      <c r="I384" s="184"/>
    </row>
    <row r="385" spans="1:9">
      <c r="A385" s="184" t="s">
        <v>1527</v>
      </c>
      <c r="B385" s="184" t="s">
        <v>1693</v>
      </c>
      <c r="C385" s="184" t="s">
        <v>2203</v>
      </c>
      <c r="D385" s="184" t="s">
        <v>1730</v>
      </c>
      <c r="E385" s="184"/>
      <c r="F385" s="184" t="s">
        <v>1700</v>
      </c>
      <c r="G385" s="184" t="s">
        <v>1532</v>
      </c>
      <c r="H385" s="184"/>
      <c r="I385" s="184"/>
    </row>
    <row r="386" spans="1:9">
      <c r="A386" s="184" t="s">
        <v>1527</v>
      </c>
      <c r="B386" s="184" t="s">
        <v>1693</v>
      </c>
      <c r="C386" s="184" t="s">
        <v>2203</v>
      </c>
      <c r="D386" s="184" t="s">
        <v>1730</v>
      </c>
      <c r="E386" s="184"/>
      <c r="F386" s="184" t="s">
        <v>1700</v>
      </c>
      <c r="G386" s="184" t="s">
        <v>1532</v>
      </c>
      <c r="H386" s="184"/>
      <c r="I386" s="184"/>
    </row>
    <row r="387" spans="1:9">
      <c r="A387" s="184" t="s">
        <v>1527</v>
      </c>
      <c r="B387" s="184" t="s">
        <v>1693</v>
      </c>
      <c r="C387" s="184" t="s">
        <v>2203</v>
      </c>
      <c r="D387" s="184" t="s">
        <v>1730</v>
      </c>
      <c r="E387" s="184"/>
      <c r="F387" s="184" t="s">
        <v>1700</v>
      </c>
      <c r="G387" s="184" t="s">
        <v>1532</v>
      </c>
      <c r="H387" s="184"/>
      <c r="I387" s="184"/>
    </row>
    <row r="388" spans="1:9">
      <c r="A388" s="184" t="s">
        <v>1527</v>
      </c>
      <c r="B388" s="184" t="s">
        <v>1693</v>
      </c>
      <c r="C388" s="184" t="s">
        <v>2203</v>
      </c>
      <c r="D388" s="184" t="s">
        <v>1730</v>
      </c>
      <c r="E388" s="184"/>
      <c r="F388" s="184" t="s">
        <v>1700</v>
      </c>
      <c r="G388" s="184" t="s">
        <v>1532</v>
      </c>
      <c r="H388" s="184"/>
      <c r="I388" s="184"/>
    </row>
    <row r="389" spans="1:9">
      <c r="A389" s="184" t="s">
        <v>1527</v>
      </c>
      <c r="B389" s="184" t="s">
        <v>1693</v>
      </c>
      <c r="C389" s="184" t="s">
        <v>2203</v>
      </c>
      <c r="D389" s="184" t="s">
        <v>1730</v>
      </c>
      <c r="E389" s="184"/>
      <c r="F389" s="184" t="s">
        <v>1700</v>
      </c>
      <c r="G389" s="184" t="s">
        <v>1532</v>
      </c>
      <c r="H389" s="184"/>
      <c r="I389" s="184"/>
    </row>
    <row r="390" spans="1:9">
      <c r="A390" s="184" t="s">
        <v>1527</v>
      </c>
      <c r="B390" s="184" t="s">
        <v>1693</v>
      </c>
      <c r="C390" s="184" t="s">
        <v>2203</v>
      </c>
      <c r="D390" s="184" t="s">
        <v>1730</v>
      </c>
      <c r="E390" s="184"/>
      <c r="F390" s="184" t="s">
        <v>1700</v>
      </c>
      <c r="G390" s="184" t="s">
        <v>1532</v>
      </c>
      <c r="H390" s="184"/>
      <c r="I390" s="184"/>
    </row>
    <row r="391" spans="1:9">
      <c r="A391" s="184" t="s">
        <v>1527</v>
      </c>
      <c r="B391" s="184" t="s">
        <v>1701</v>
      </c>
      <c r="C391" s="184" t="s">
        <v>1928</v>
      </c>
      <c r="D391" s="184" t="s">
        <v>1703</v>
      </c>
      <c r="E391" s="184"/>
      <c r="F391" s="184" t="s">
        <v>2279</v>
      </c>
      <c r="G391" s="184" t="s">
        <v>1532</v>
      </c>
      <c r="H391" s="184" t="s">
        <v>2280</v>
      </c>
      <c r="I391" s="184" t="s">
        <v>693</v>
      </c>
    </row>
    <row r="392" spans="1:9">
      <c r="A392" s="184" t="s">
        <v>1527</v>
      </c>
      <c r="B392" s="184" t="s">
        <v>1701</v>
      </c>
      <c r="C392" s="184" t="s">
        <v>1928</v>
      </c>
      <c r="D392" s="184" t="s">
        <v>1703</v>
      </c>
      <c r="E392" s="184"/>
      <c r="F392" s="184" t="s">
        <v>2281</v>
      </c>
      <c r="G392" s="184" t="s">
        <v>1532</v>
      </c>
      <c r="H392" s="184" t="s">
        <v>2282</v>
      </c>
      <c r="I392" s="184" t="s">
        <v>699</v>
      </c>
    </row>
    <row r="393" spans="1:9">
      <c r="A393" s="184" t="s">
        <v>1527</v>
      </c>
      <c r="B393" s="184" t="s">
        <v>1701</v>
      </c>
      <c r="C393" s="184" t="s">
        <v>1724</v>
      </c>
      <c r="D393" s="184" t="s">
        <v>1703</v>
      </c>
      <c r="E393" s="184"/>
      <c r="F393" s="184" t="s">
        <v>2283</v>
      </c>
      <c r="G393" s="184" t="s">
        <v>1532</v>
      </c>
      <c r="H393" s="184" t="s">
        <v>2284</v>
      </c>
      <c r="I393" s="184" t="s">
        <v>701</v>
      </c>
    </row>
    <row r="394" spans="1:9">
      <c r="A394" s="184" t="s">
        <v>1527</v>
      </c>
      <c r="B394" s="184" t="s">
        <v>1701</v>
      </c>
      <c r="C394" s="184" t="s">
        <v>1928</v>
      </c>
      <c r="D394" s="184" t="s">
        <v>1703</v>
      </c>
      <c r="E394" s="184"/>
      <c r="F394" s="184" t="s">
        <v>2285</v>
      </c>
      <c r="G394" s="184" t="s">
        <v>1532</v>
      </c>
      <c r="H394" s="184" t="s">
        <v>2286</v>
      </c>
      <c r="I394" s="184" t="s">
        <v>715</v>
      </c>
    </row>
    <row r="395" spans="1:9">
      <c r="A395" s="184" t="s">
        <v>1527</v>
      </c>
      <c r="B395" s="184" t="s">
        <v>1701</v>
      </c>
      <c r="C395" s="184" t="s">
        <v>1928</v>
      </c>
      <c r="D395" s="184" t="s">
        <v>1703</v>
      </c>
      <c r="E395" s="184"/>
      <c r="F395" s="184" t="s">
        <v>2287</v>
      </c>
      <c r="G395" s="184" t="s">
        <v>1532</v>
      </c>
      <c r="H395" s="184" t="s">
        <v>2288</v>
      </c>
      <c r="I395" s="184" t="s">
        <v>788</v>
      </c>
    </row>
    <row r="396" spans="1:9">
      <c r="A396" s="184" t="s">
        <v>1527</v>
      </c>
      <c r="B396" s="184" t="s">
        <v>1701</v>
      </c>
      <c r="C396" s="184" t="s">
        <v>1928</v>
      </c>
      <c r="D396" s="184" t="s">
        <v>1703</v>
      </c>
      <c r="E396" s="184"/>
      <c r="F396" s="184" t="s">
        <v>2289</v>
      </c>
      <c r="G396" s="184" t="s">
        <v>1532</v>
      </c>
      <c r="H396" s="184" t="s">
        <v>2288</v>
      </c>
      <c r="I396" s="184" t="s">
        <v>809</v>
      </c>
    </row>
    <row r="397" spans="1:9">
      <c r="A397" s="184" t="s">
        <v>1527</v>
      </c>
      <c r="B397" s="184" t="s">
        <v>1701</v>
      </c>
      <c r="C397" s="184" t="s">
        <v>1928</v>
      </c>
      <c r="D397" s="184" t="s">
        <v>1703</v>
      </c>
      <c r="E397" s="184"/>
      <c r="F397" s="184" t="s">
        <v>2290</v>
      </c>
      <c r="G397" s="184" t="s">
        <v>1532</v>
      </c>
      <c r="H397" s="184" t="s">
        <v>2291</v>
      </c>
      <c r="I397" s="184" t="s">
        <v>811</v>
      </c>
    </row>
    <row r="398" spans="1:9">
      <c r="A398" s="184" t="s">
        <v>1527</v>
      </c>
      <c r="B398" s="184" t="s">
        <v>1701</v>
      </c>
      <c r="C398" s="184" t="s">
        <v>1928</v>
      </c>
      <c r="D398" s="184" t="s">
        <v>1703</v>
      </c>
      <c r="E398" s="184"/>
      <c r="F398" s="184" t="s">
        <v>2292</v>
      </c>
      <c r="G398" s="184" t="s">
        <v>1532</v>
      </c>
      <c r="H398" s="184" t="s">
        <v>2293</v>
      </c>
      <c r="I398" s="184" t="s">
        <v>844</v>
      </c>
    </row>
    <row r="399" spans="1:9">
      <c r="A399" s="184" t="s">
        <v>1527</v>
      </c>
      <c r="B399" s="184" t="s">
        <v>1701</v>
      </c>
      <c r="C399" s="184" t="s">
        <v>1928</v>
      </c>
      <c r="D399" s="184" t="s">
        <v>1703</v>
      </c>
      <c r="E399" s="184"/>
      <c r="F399" s="184" t="s">
        <v>2294</v>
      </c>
      <c r="G399" s="184" t="s">
        <v>1532</v>
      </c>
      <c r="H399" s="184" t="s">
        <v>2295</v>
      </c>
      <c r="I399" s="184" t="s">
        <v>846</v>
      </c>
    </row>
    <row r="400" spans="1:9">
      <c r="A400" s="184" t="s">
        <v>1527</v>
      </c>
      <c r="B400" s="184" t="s">
        <v>1701</v>
      </c>
      <c r="C400" s="184" t="s">
        <v>1928</v>
      </c>
      <c r="D400" s="184" t="s">
        <v>1703</v>
      </c>
      <c r="E400" s="184"/>
      <c r="F400" s="184" t="s">
        <v>2296</v>
      </c>
      <c r="G400" s="184" t="s">
        <v>1532</v>
      </c>
      <c r="H400" s="184" t="s">
        <v>2297</v>
      </c>
      <c r="I400" s="184" t="s">
        <v>848</v>
      </c>
    </row>
    <row r="401" spans="1:9">
      <c r="A401" s="184" t="s">
        <v>1527</v>
      </c>
      <c r="B401" s="184" t="s">
        <v>1701</v>
      </c>
      <c r="C401" s="184" t="s">
        <v>1754</v>
      </c>
      <c r="D401" s="184" t="s">
        <v>1703</v>
      </c>
      <c r="E401" s="184"/>
      <c r="F401" s="184" t="s">
        <v>2298</v>
      </c>
      <c r="G401" s="184" t="s">
        <v>1532</v>
      </c>
      <c r="H401" s="184" t="s">
        <v>2299</v>
      </c>
      <c r="I401" s="184" t="s">
        <v>850</v>
      </c>
    </row>
    <row r="402" spans="1:9">
      <c r="A402" s="184" t="s">
        <v>1527</v>
      </c>
      <c r="B402" s="184" t="s">
        <v>1701</v>
      </c>
      <c r="C402" s="184" t="s">
        <v>1784</v>
      </c>
      <c r="D402" s="184" t="s">
        <v>1703</v>
      </c>
      <c r="E402" s="184"/>
      <c r="F402" s="184" t="s">
        <v>2300</v>
      </c>
      <c r="G402" s="184" t="s">
        <v>1532</v>
      </c>
      <c r="H402" s="184" t="s">
        <v>2301</v>
      </c>
      <c r="I402" s="184" t="s">
        <v>703</v>
      </c>
    </row>
    <row r="403" spans="1:9">
      <c r="A403" s="184" t="s">
        <v>1527</v>
      </c>
      <c r="B403" s="184" t="s">
        <v>1701</v>
      </c>
      <c r="C403" s="184" t="s">
        <v>1784</v>
      </c>
      <c r="D403" s="184" t="s">
        <v>1703</v>
      </c>
      <c r="E403" s="184"/>
      <c r="F403" s="184" t="s">
        <v>2302</v>
      </c>
      <c r="G403" s="184" t="s">
        <v>1532</v>
      </c>
      <c r="H403" s="184" t="s">
        <v>2303</v>
      </c>
      <c r="I403" s="184" t="s">
        <v>794</v>
      </c>
    </row>
    <row r="404" spans="1:9">
      <c r="A404" s="184" t="s">
        <v>1527</v>
      </c>
      <c r="B404" s="184" t="s">
        <v>1701</v>
      </c>
      <c r="C404" s="184" t="s">
        <v>1754</v>
      </c>
      <c r="D404" s="184" t="s">
        <v>1703</v>
      </c>
      <c r="E404" s="184"/>
      <c r="F404" s="184" t="s">
        <v>2304</v>
      </c>
      <c r="G404" s="184" t="s">
        <v>1532</v>
      </c>
      <c r="H404" s="184" t="s">
        <v>2305</v>
      </c>
      <c r="I404" s="184"/>
    </row>
    <row r="405" spans="1:9">
      <c r="A405" s="184"/>
      <c r="B405" s="184" t="s">
        <v>797</v>
      </c>
      <c r="C405" s="184" t="s">
        <v>2306</v>
      </c>
      <c r="D405" s="184"/>
      <c r="E405" s="184"/>
      <c r="F405" s="184"/>
      <c r="G405" s="184"/>
      <c r="H405" s="184"/>
      <c r="I405" s="184"/>
    </row>
    <row r="406" spans="1:9">
      <c r="A406" s="184" t="s">
        <v>1527</v>
      </c>
      <c r="B406" s="184" t="s">
        <v>1528</v>
      </c>
      <c r="C406" s="184" t="s">
        <v>1547</v>
      </c>
      <c r="D406" s="184" t="s">
        <v>1530</v>
      </c>
      <c r="E406" s="184"/>
      <c r="F406" s="184" t="s">
        <v>2307</v>
      </c>
      <c r="G406" s="184" t="s">
        <v>1532</v>
      </c>
      <c r="H406" s="184" t="s">
        <v>2308</v>
      </c>
      <c r="I406" s="184" t="s">
        <v>703</v>
      </c>
    </row>
    <row r="407" spans="1:9">
      <c r="A407" s="184" t="s">
        <v>1527</v>
      </c>
      <c r="B407" s="184" t="s">
        <v>1528</v>
      </c>
      <c r="C407" s="184" t="s">
        <v>1547</v>
      </c>
      <c r="D407" s="184" t="s">
        <v>1530</v>
      </c>
      <c r="E407" s="184"/>
      <c r="F407" s="184" t="s">
        <v>2309</v>
      </c>
      <c r="G407" s="184" t="s">
        <v>1532</v>
      </c>
      <c r="H407" s="184" t="s">
        <v>2303</v>
      </c>
      <c r="I407" s="184" t="s">
        <v>794</v>
      </c>
    </row>
    <row r="408" spans="1:9">
      <c r="A408" s="184" t="s">
        <v>1527</v>
      </c>
      <c r="B408" s="184" t="s">
        <v>1528</v>
      </c>
      <c r="C408" s="184" t="s">
        <v>1547</v>
      </c>
      <c r="D408" s="184" t="s">
        <v>1530</v>
      </c>
      <c r="E408" s="184"/>
      <c r="F408" s="184" t="s">
        <v>2310</v>
      </c>
      <c r="G408" s="184" t="s">
        <v>1532</v>
      </c>
      <c r="H408" s="184" t="s">
        <v>2305</v>
      </c>
      <c r="I408" s="184" t="s">
        <v>797</v>
      </c>
    </row>
    <row r="409" spans="1:9">
      <c r="A409" s="184" t="s">
        <v>1527</v>
      </c>
      <c r="B409" s="184" t="s">
        <v>1556</v>
      </c>
      <c r="C409" s="184" t="s">
        <v>2200</v>
      </c>
      <c r="D409" s="184" t="s">
        <v>1558</v>
      </c>
      <c r="E409" s="184"/>
      <c r="F409" s="184" t="s">
        <v>2311</v>
      </c>
      <c r="G409" s="184" t="s">
        <v>1532</v>
      </c>
      <c r="H409" s="184" t="s">
        <v>2312</v>
      </c>
      <c r="I409" s="184" t="s">
        <v>686</v>
      </c>
    </row>
    <row r="410" spans="1:9">
      <c r="A410" s="184" t="s">
        <v>1527</v>
      </c>
      <c r="B410" s="184" t="s">
        <v>1556</v>
      </c>
      <c r="C410" s="184" t="s">
        <v>2200</v>
      </c>
      <c r="D410" s="184" t="s">
        <v>1558</v>
      </c>
      <c r="E410" s="184"/>
      <c r="F410" s="184" t="s">
        <v>2313</v>
      </c>
      <c r="G410" s="184" t="s">
        <v>1532</v>
      </c>
      <c r="H410" s="184" t="s">
        <v>2314</v>
      </c>
      <c r="I410" s="184" t="s">
        <v>695</v>
      </c>
    </row>
    <row r="411" spans="1:9">
      <c r="A411" s="184" t="s">
        <v>1527</v>
      </c>
      <c r="B411" s="184" t="s">
        <v>1556</v>
      </c>
      <c r="C411" s="184" t="s">
        <v>2200</v>
      </c>
      <c r="D411" s="184" t="s">
        <v>1558</v>
      </c>
      <c r="E411" s="184"/>
      <c r="F411" s="184" t="s">
        <v>2315</v>
      </c>
      <c r="G411" s="184" t="s">
        <v>1532</v>
      </c>
      <c r="H411" s="184" t="s">
        <v>2316</v>
      </c>
      <c r="I411" s="184" t="s">
        <v>697</v>
      </c>
    </row>
    <row r="412" spans="1:9">
      <c r="A412" s="184" t="s">
        <v>1527</v>
      </c>
      <c r="B412" s="184" t="s">
        <v>1556</v>
      </c>
      <c r="C412" s="184" t="s">
        <v>2200</v>
      </c>
      <c r="D412" s="184" t="s">
        <v>1558</v>
      </c>
      <c r="E412" s="184"/>
      <c r="F412" s="184" t="s">
        <v>2317</v>
      </c>
      <c r="G412" s="184" t="s">
        <v>1532</v>
      </c>
      <c r="H412" s="184" t="s">
        <v>2318</v>
      </c>
      <c r="I412" s="184" t="s">
        <v>2319</v>
      </c>
    </row>
    <row r="413" spans="1:9">
      <c r="A413" s="184" t="s">
        <v>1527</v>
      </c>
      <c r="B413" s="184" t="s">
        <v>1556</v>
      </c>
      <c r="C413" s="184" t="s">
        <v>1681</v>
      </c>
      <c r="D413" s="184" t="s">
        <v>1558</v>
      </c>
      <c r="E413" s="184"/>
      <c r="F413" s="184" t="s">
        <v>2320</v>
      </c>
      <c r="G413" s="184" t="s">
        <v>1532</v>
      </c>
      <c r="H413" s="184" t="s">
        <v>2321</v>
      </c>
      <c r="I413" s="184" t="s">
        <v>792</v>
      </c>
    </row>
    <row r="414" spans="1:9">
      <c r="A414" s="184" t="s">
        <v>1527</v>
      </c>
      <c r="B414" s="184" t="s">
        <v>1556</v>
      </c>
      <c r="C414" s="184" t="s">
        <v>1681</v>
      </c>
      <c r="D414" s="184" t="s">
        <v>1558</v>
      </c>
      <c r="E414" s="184"/>
      <c r="F414" s="184" t="s">
        <v>2322</v>
      </c>
      <c r="G414" s="184" t="s">
        <v>1532</v>
      </c>
      <c r="H414" s="184" t="s">
        <v>2323</v>
      </c>
      <c r="I414" s="184" t="s">
        <v>795</v>
      </c>
    </row>
    <row r="415" spans="1:9">
      <c r="A415" s="184" t="s">
        <v>1527</v>
      </c>
      <c r="B415" s="184" t="s">
        <v>1556</v>
      </c>
      <c r="C415" s="184" t="s">
        <v>2200</v>
      </c>
      <c r="D415" s="184" t="s">
        <v>1558</v>
      </c>
      <c r="E415" s="184"/>
      <c r="F415" s="184" t="s">
        <v>2324</v>
      </c>
      <c r="G415" s="184" t="s">
        <v>1532</v>
      </c>
      <c r="H415" s="184" t="s">
        <v>2325</v>
      </c>
      <c r="I415" s="184" t="s">
        <v>799</v>
      </c>
    </row>
    <row r="416" spans="1:9">
      <c r="A416" s="184" t="s">
        <v>1527</v>
      </c>
      <c r="B416" s="184" t="s">
        <v>1556</v>
      </c>
      <c r="C416" s="184" t="s">
        <v>2200</v>
      </c>
      <c r="D416" s="184" t="s">
        <v>1558</v>
      </c>
      <c r="E416" s="184"/>
      <c r="F416" s="184" t="s">
        <v>2326</v>
      </c>
      <c r="G416" s="184" t="s">
        <v>1532</v>
      </c>
      <c r="H416" s="184" t="s">
        <v>2327</v>
      </c>
      <c r="I416" s="184" t="s">
        <v>801</v>
      </c>
    </row>
    <row r="417" spans="1:10">
      <c r="A417" s="184" t="s">
        <v>1527</v>
      </c>
      <c r="B417" s="184" t="s">
        <v>1556</v>
      </c>
      <c r="C417" s="184" t="s">
        <v>2200</v>
      </c>
      <c r="D417" s="184" t="s">
        <v>1558</v>
      </c>
      <c r="E417" s="184"/>
      <c r="F417" s="184" t="s">
        <v>2328</v>
      </c>
      <c r="G417" s="184" t="s">
        <v>1532</v>
      </c>
      <c r="H417" s="184" t="s">
        <v>2329</v>
      </c>
      <c r="I417" s="184" t="s">
        <v>803</v>
      </c>
      <c r="J417" s="184"/>
    </row>
    <row r="418" spans="1:10">
      <c r="A418" s="184" t="s">
        <v>1527</v>
      </c>
      <c r="B418" s="184" t="s">
        <v>1556</v>
      </c>
      <c r="C418" s="184" t="s">
        <v>2200</v>
      </c>
      <c r="D418" s="184" t="s">
        <v>1558</v>
      </c>
      <c r="E418" s="184"/>
      <c r="F418" s="184" t="s">
        <v>2330</v>
      </c>
      <c r="G418" s="184" t="s">
        <v>1532</v>
      </c>
      <c r="H418" s="184" t="s">
        <v>2331</v>
      </c>
      <c r="I418" s="184" t="s">
        <v>805</v>
      </c>
      <c r="J418" s="184"/>
    </row>
    <row r="419" spans="1:10">
      <c r="A419" s="184" t="s">
        <v>1527</v>
      </c>
      <c r="B419" s="184" t="s">
        <v>1556</v>
      </c>
      <c r="C419" s="184" t="s">
        <v>2200</v>
      </c>
      <c r="D419" s="184" t="s">
        <v>1558</v>
      </c>
      <c r="E419" s="184"/>
      <c r="F419" s="184" t="s">
        <v>2332</v>
      </c>
      <c r="G419" s="184" t="s">
        <v>1532</v>
      </c>
      <c r="H419" s="184" t="s">
        <v>2333</v>
      </c>
      <c r="I419" s="184" t="s">
        <v>2334</v>
      </c>
      <c r="J419" s="184"/>
    </row>
    <row r="420" spans="1:10">
      <c r="A420" s="184" t="s">
        <v>1527</v>
      </c>
      <c r="B420" s="184" t="s">
        <v>1701</v>
      </c>
      <c r="C420" s="184" t="s">
        <v>2335</v>
      </c>
      <c r="D420" s="184" t="s">
        <v>2041</v>
      </c>
      <c r="E420" s="184"/>
      <c r="F420" s="184" t="s">
        <v>2336</v>
      </c>
      <c r="G420" s="184" t="s">
        <v>1532</v>
      </c>
      <c r="H420" s="184" t="s">
        <v>2337</v>
      </c>
      <c r="I420" s="184" t="s">
        <v>828</v>
      </c>
      <c r="J420" s="184"/>
    </row>
    <row r="421" spans="1:10">
      <c r="A421" s="184" t="s">
        <v>1527</v>
      </c>
      <c r="B421" s="184" t="s">
        <v>1701</v>
      </c>
      <c r="C421" s="184" t="s">
        <v>2335</v>
      </c>
      <c r="D421" s="184" t="s">
        <v>2041</v>
      </c>
      <c r="E421" s="184"/>
      <c r="F421" s="184" t="s">
        <v>2338</v>
      </c>
      <c r="G421" s="184" t="s">
        <v>1532</v>
      </c>
      <c r="H421" s="184" t="s">
        <v>2339</v>
      </c>
      <c r="I421" s="184" t="s">
        <v>830</v>
      </c>
      <c r="J421" s="184"/>
    </row>
    <row r="422" spans="1:10">
      <c r="A422" s="184" t="s">
        <v>1527</v>
      </c>
      <c r="B422" s="184" t="s">
        <v>1701</v>
      </c>
      <c r="C422" s="184" t="s">
        <v>2335</v>
      </c>
      <c r="D422" s="184" t="s">
        <v>2041</v>
      </c>
      <c r="E422" s="184"/>
      <c r="F422" s="184" t="s">
        <v>2340</v>
      </c>
      <c r="G422" s="184" t="s">
        <v>1532</v>
      </c>
      <c r="H422" s="184" t="s">
        <v>2341</v>
      </c>
      <c r="I422" s="184" t="s">
        <v>832</v>
      </c>
      <c r="J422" s="184"/>
    </row>
    <row r="423" spans="1:10">
      <c r="A423" s="184" t="s">
        <v>1527</v>
      </c>
      <c r="B423" s="184" t="s">
        <v>1701</v>
      </c>
      <c r="C423" s="184" t="s">
        <v>2335</v>
      </c>
      <c r="D423" s="184" t="s">
        <v>2041</v>
      </c>
      <c r="E423" s="184"/>
      <c r="F423" s="184" t="s">
        <v>2342</v>
      </c>
      <c r="G423" s="184" t="s">
        <v>1532</v>
      </c>
      <c r="H423" s="184" t="s">
        <v>2343</v>
      </c>
      <c r="I423" s="184" t="s">
        <v>834</v>
      </c>
      <c r="J423" s="184"/>
    </row>
    <row r="424" spans="1:10">
      <c r="A424" s="184" t="s">
        <v>1527</v>
      </c>
      <c r="B424" s="184" t="s">
        <v>1701</v>
      </c>
      <c r="C424" s="184" t="s">
        <v>2335</v>
      </c>
      <c r="D424" s="184" t="s">
        <v>2041</v>
      </c>
      <c r="E424" s="184"/>
      <c r="F424" s="184" t="s">
        <v>2344</v>
      </c>
      <c r="G424" s="184" t="s">
        <v>1532</v>
      </c>
      <c r="H424" s="184" t="s">
        <v>2345</v>
      </c>
      <c r="I424" s="184" t="s">
        <v>836</v>
      </c>
      <c r="J424" s="184"/>
    </row>
    <row r="425" spans="1:10">
      <c r="A425" s="184" t="s">
        <v>1527</v>
      </c>
      <c r="B425" s="184" t="s">
        <v>1701</v>
      </c>
      <c r="C425" s="184" t="s">
        <v>2335</v>
      </c>
      <c r="D425" s="184" t="s">
        <v>2041</v>
      </c>
      <c r="E425" s="184"/>
      <c r="F425" s="184" t="s">
        <v>2346</v>
      </c>
      <c r="G425" s="184" t="s">
        <v>1532</v>
      </c>
      <c r="H425" s="184" t="s">
        <v>2341</v>
      </c>
      <c r="I425" s="184" t="s">
        <v>838</v>
      </c>
      <c r="J425" s="184"/>
    </row>
    <row r="426" spans="1:10">
      <c r="A426" s="184" t="s">
        <v>1527</v>
      </c>
      <c r="B426" s="184" t="s">
        <v>1701</v>
      </c>
      <c r="C426" s="184" t="s">
        <v>2040</v>
      </c>
      <c r="D426" s="184" t="s">
        <v>2041</v>
      </c>
      <c r="E426" s="184"/>
      <c r="F426" s="184" t="s">
        <v>2347</v>
      </c>
      <c r="G426" s="184" t="s">
        <v>1532</v>
      </c>
      <c r="H426" s="184" t="s">
        <v>2348</v>
      </c>
      <c r="I426" s="184" t="s">
        <v>840</v>
      </c>
      <c r="J426" s="184"/>
    </row>
    <row r="427" spans="1:10">
      <c r="A427" s="184" t="s">
        <v>1527</v>
      </c>
      <c r="B427" s="184" t="s">
        <v>1701</v>
      </c>
      <c r="C427" s="184" t="s">
        <v>2055</v>
      </c>
      <c r="D427" s="184" t="s">
        <v>2041</v>
      </c>
      <c r="E427" s="184"/>
      <c r="F427" s="184" t="s">
        <v>2349</v>
      </c>
      <c r="G427" s="184" t="s">
        <v>1532</v>
      </c>
      <c r="H427" s="184" t="s">
        <v>2350</v>
      </c>
      <c r="I427" s="184" t="s">
        <v>842</v>
      </c>
      <c r="J427" s="184" t="s">
        <v>842</v>
      </c>
    </row>
    <row r="428" spans="1:10">
      <c r="A428" s="184" t="s">
        <v>1527</v>
      </c>
      <c r="B428" s="184" t="s">
        <v>1693</v>
      </c>
      <c r="C428" s="184" t="s">
        <v>2351</v>
      </c>
      <c r="D428" s="184" t="s">
        <v>1730</v>
      </c>
      <c r="E428" s="184"/>
      <c r="F428" s="184" t="s">
        <v>2352</v>
      </c>
      <c r="G428" s="184" t="s">
        <v>1532</v>
      </c>
      <c r="H428" s="184" t="s">
        <v>2353</v>
      </c>
      <c r="I428" s="184" t="s">
        <v>717</v>
      </c>
      <c r="J428" s="184"/>
    </row>
    <row r="429" spans="1:10">
      <c r="A429" s="184" t="s">
        <v>1527</v>
      </c>
      <c r="B429" s="184" t="s">
        <v>1693</v>
      </c>
      <c r="C429" s="184" t="s">
        <v>2351</v>
      </c>
      <c r="D429" s="184" t="s">
        <v>1730</v>
      </c>
      <c r="E429" s="184"/>
      <c r="F429" s="184" t="s">
        <v>2354</v>
      </c>
      <c r="G429" s="184" t="s">
        <v>1532</v>
      </c>
      <c r="H429" s="184" t="s">
        <v>2355</v>
      </c>
      <c r="I429" s="184" t="s">
        <v>717</v>
      </c>
      <c r="J429" s="184"/>
    </row>
    <row r="430" spans="1:10">
      <c r="A430" s="184" t="s">
        <v>1527</v>
      </c>
      <c r="B430" s="184" t="s">
        <v>1693</v>
      </c>
      <c r="C430" s="184" t="s">
        <v>2351</v>
      </c>
      <c r="D430" s="184" t="s">
        <v>1730</v>
      </c>
      <c r="E430" s="184"/>
      <c r="F430" s="184" t="s">
        <v>2356</v>
      </c>
      <c r="G430" s="184" t="s">
        <v>1532</v>
      </c>
      <c r="H430" s="184" t="s">
        <v>2357</v>
      </c>
      <c r="I430" s="184" t="s">
        <v>720</v>
      </c>
      <c r="J430" s="184"/>
    </row>
    <row r="431" spans="1:10">
      <c r="A431" s="184" t="s">
        <v>1527</v>
      </c>
      <c r="B431" s="184" t="s">
        <v>1693</v>
      </c>
      <c r="C431" s="184" t="s">
        <v>2351</v>
      </c>
      <c r="D431" s="184" t="s">
        <v>1730</v>
      </c>
      <c r="E431" s="184"/>
      <c r="F431" s="184" t="s">
        <v>2358</v>
      </c>
      <c r="G431" s="184" t="s">
        <v>1532</v>
      </c>
      <c r="H431" s="184" t="s">
        <v>2359</v>
      </c>
      <c r="I431" s="184" t="s">
        <v>720</v>
      </c>
      <c r="J431" s="184"/>
    </row>
    <row r="432" spans="1:10">
      <c r="A432" s="184" t="s">
        <v>1527</v>
      </c>
      <c r="B432" s="184" t="s">
        <v>1693</v>
      </c>
      <c r="C432" s="184" t="s">
        <v>2351</v>
      </c>
      <c r="D432" s="184" t="s">
        <v>1730</v>
      </c>
      <c r="E432" s="184"/>
      <c r="F432" s="184" t="s">
        <v>2360</v>
      </c>
      <c r="G432" s="184" t="s">
        <v>1532</v>
      </c>
      <c r="H432" s="184" t="s">
        <v>2361</v>
      </c>
      <c r="I432" s="184" t="s">
        <v>723</v>
      </c>
      <c r="J432" s="184"/>
    </row>
    <row r="433" spans="1:9">
      <c r="A433" s="184" t="s">
        <v>1527</v>
      </c>
      <c r="B433" s="184" t="s">
        <v>1693</v>
      </c>
      <c r="C433" s="184" t="s">
        <v>2351</v>
      </c>
      <c r="D433" s="184" t="s">
        <v>1730</v>
      </c>
      <c r="E433" s="184"/>
      <c r="F433" s="184" t="s">
        <v>2362</v>
      </c>
      <c r="G433" s="184" t="s">
        <v>1532</v>
      </c>
      <c r="H433" s="184" t="s">
        <v>2363</v>
      </c>
      <c r="I433" s="184" t="s">
        <v>723</v>
      </c>
    </row>
    <row r="434" spans="1:9">
      <c r="A434" s="184" t="s">
        <v>1527</v>
      </c>
      <c r="B434" s="184" t="s">
        <v>1693</v>
      </c>
      <c r="C434" s="184" t="s">
        <v>2351</v>
      </c>
      <c r="D434" s="184" t="s">
        <v>1730</v>
      </c>
      <c r="E434" s="184"/>
      <c r="F434" s="184" t="s">
        <v>2364</v>
      </c>
      <c r="G434" s="184" t="s">
        <v>1532</v>
      </c>
      <c r="H434" s="184" t="s">
        <v>2365</v>
      </c>
      <c r="I434" s="184" t="s">
        <v>2366</v>
      </c>
    </row>
    <row r="435" spans="1:9">
      <c r="A435" s="184" t="s">
        <v>1527</v>
      </c>
      <c r="B435" s="184" t="s">
        <v>1693</v>
      </c>
      <c r="C435" s="184" t="s">
        <v>2351</v>
      </c>
      <c r="D435" s="184" t="s">
        <v>1730</v>
      </c>
      <c r="E435" s="184"/>
      <c r="F435" s="184" t="s">
        <v>2367</v>
      </c>
      <c r="G435" s="184" t="s">
        <v>1532</v>
      </c>
      <c r="H435" s="184" t="s">
        <v>2368</v>
      </c>
      <c r="I435" s="184" t="s">
        <v>2366</v>
      </c>
    </row>
    <row r="436" spans="1:9">
      <c r="A436" s="184" t="s">
        <v>1527</v>
      </c>
      <c r="B436" s="184" t="s">
        <v>1693</v>
      </c>
      <c r="C436" s="184" t="s">
        <v>1916</v>
      </c>
      <c r="D436" s="184" t="s">
        <v>1730</v>
      </c>
      <c r="E436" s="184"/>
      <c r="F436" s="184" t="s">
        <v>2369</v>
      </c>
      <c r="G436" s="184" t="s">
        <v>1532</v>
      </c>
      <c r="H436" s="184" t="s">
        <v>2370</v>
      </c>
      <c r="I436" s="184" t="s">
        <v>729</v>
      </c>
    </row>
    <row r="437" spans="1:9">
      <c r="A437" s="184" t="s">
        <v>1527</v>
      </c>
      <c r="B437" s="184" t="s">
        <v>1693</v>
      </c>
      <c r="C437" s="184" t="s">
        <v>1916</v>
      </c>
      <c r="D437" s="184" t="s">
        <v>1730</v>
      </c>
      <c r="E437" s="184"/>
      <c r="F437" s="184" t="s">
        <v>2371</v>
      </c>
      <c r="G437" s="184" t="s">
        <v>1532</v>
      </c>
      <c r="H437" s="184" t="s">
        <v>2372</v>
      </c>
      <c r="I437" s="184" t="s">
        <v>729</v>
      </c>
    </row>
    <row r="438" spans="1:9">
      <c r="A438" s="184" t="s">
        <v>1527</v>
      </c>
      <c r="B438" s="184" t="s">
        <v>1693</v>
      </c>
      <c r="C438" s="184" t="s">
        <v>1895</v>
      </c>
      <c r="D438" s="184" t="s">
        <v>1730</v>
      </c>
      <c r="E438" s="184"/>
      <c r="F438" s="184" t="s">
        <v>989</v>
      </c>
      <c r="G438" s="184" t="s">
        <v>1532</v>
      </c>
      <c r="H438" s="184" t="s">
        <v>2373</v>
      </c>
      <c r="I438" s="184" t="s">
        <v>2374</v>
      </c>
    </row>
    <row r="439" spans="1:9">
      <c r="A439" s="184" t="s">
        <v>1527</v>
      </c>
      <c r="B439" s="184" t="s">
        <v>1693</v>
      </c>
      <c r="C439" s="184" t="s">
        <v>1895</v>
      </c>
      <c r="D439" s="184" t="s">
        <v>1730</v>
      </c>
      <c r="E439" s="184"/>
      <c r="F439" s="184" t="s">
        <v>997</v>
      </c>
      <c r="G439" s="184" t="s">
        <v>1532</v>
      </c>
      <c r="H439" s="184" t="s">
        <v>2373</v>
      </c>
      <c r="I439" s="184" t="s">
        <v>2375</v>
      </c>
    </row>
    <row r="440" spans="1:9">
      <c r="A440" s="184" t="s">
        <v>1527</v>
      </c>
      <c r="B440" s="184" t="s">
        <v>1693</v>
      </c>
      <c r="C440" s="184" t="s">
        <v>2351</v>
      </c>
      <c r="D440" s="184" t="s">
        <v>1730</v>
      </c>
      <c r="E440" s="184"/>
      <c r="F440" s="184" t="s">
        <v>2376</v>
      </c>
      <c r="G440" s="184" t="s">
        <v>1532</v>
      </c>
      <c r="H440" s="184" t="s">
        <v>2377</v>
      </c>
      <c r="I440" s="184" t="s">
        <v>735</v>
      </c>
    </row>
    <row r="441" spans="1:9">
      <c r="A441" s="184" t="s">
        <v>1527</v>
      </c>
      <c r="B441" s="184" t="s">
        <v>1693</v>
      </c>
      <c r="C441" s="184" t="s">
        <v>2351</v>
      </c>
      <c r="D441" s="184" t="s">
        <v>1730</v>
      </c>
      <c r="E441" s="184"/>
      <c r="F441" s="184" t="s">
        <v>2378</v>
      </c>
      <c r="G441" s="184" t="s">
        <v>1532</v>
      </c>
      <c r="H441" s="184" t="s">
        <v>2379</v>
      </c>
      <c r="I441" s="184" t="s">
        <v>735</v>
      </c>
    </row>
    <row r="442" spans="1:9">
      <c r="A442" s="184" t="s">
        <v>1527</v>
      </c>
      <c r="B442" s="184" t="s">
        <v>1693</v>
      </c>
      <c r="C442" s="184" t="s">
        <v>2351</v>
      </c>
      <c r="D442" s="184" t="s">
        <v>1730</v>
      </c>
      <c r="E442" s="184"/>
      <c r="F442" s="184" t="s">
        <v>2380</v>
      </c>
      <c r="G442" s="184" t="s">
        <v>1532</v>
      </c>
      <c r="H442" s="184" t="s">
        <v>2381</v>
      </c>
      <c r="I442" s="184" t="s">
        <v>738</v>
      </c>
    </row>
    <row r="443" spans="1:9">
      <c r="A443" s="184" t="s">
        <v>1527</v>
      </c>
      <c r="B443" s="184" t="s">
        <v>1693</v>
      </c>
      <c r="C443" s="184" t="s">
        <v>2351</v>
      </c>
      <c r="D443" s="184" t="s">
        <v>1730</v>
      </c>
      <c r="E443" s="184"/>
      <c r="F443" s="184" t="s">
        <v>2382</v>
      </c>
      <c r="G443" s="184" t="s">
        <v>1532</v>
      </c>
      <c r="H443" s="184" t="s">
        <v>2383</v>
      </c>
      <c r="I443" s="184" t="s">
        <v>738</v>
      </c>
    </row>
    <row r="444" spans="1:9">
      <c r="A444" s="184" t="s">
        <v>1527</v>
      </c>
      <c r="B444" s="184" t="s">
        <v>1693</v>
      </c>
      <c r="C444" s="184" t="s">
        <v>2351</v>
      </c>
      <c r="D444" s="184" t="s">
        <v>1730</v>
      </c>
      <c r="E444" s="184"/>
      <c r="F444" s="184" t="s">
        <v>2384</v>
      </c>
      <c r="G444" s="184" t="s">
        <v>1532</v>
      </c>
      <c r="H444" s="184" t="s">
        <v>2385</v>
      </c>
      <c r="I444" s="184" t="s">
        <v>741</v>
      </c>
    </row>
    <row r="445" spans="1:9">
      <c r="A445" s="184" t="s">
        <v>1527</v>
      </c>
      <c r="B445" s="184" t="s">
        <v>1693</v>
      </c>
      <c r="C445" s="184" t="s">
        <v>2351</v>
      </c>
      <c r="D445" s="184" t="s">
        <v>1730</v>
      </c>
      <c r="E445" s="184"/>
      <c r="F445" s="184" t="s">
        <v>2386</v>
      </c>
      <c r="G445" s="184" t="s">
        <v>1532</v>
      </c>
      <c r="H445" s="184" t="s">
        <v>2387</v>
      </c>
      <c r="I445" s="184" t="s">
        <v>741</v>
      </c>
    </row>
    <row r="446" spans="1:9">
      <c r="A446" s="184" t="s">
        <v>1527</v>
      </c>
      <c r="B446" s="184" t="s">
        <v>1693</v>
      </c>
      <c r="C446" s="184" t="s">
        <v>2351</v>
      </c>
      <c r="D446" s="184" t="s">
        <v>1730</v>
      </c>
      <c r="E446" s="184"/>
      <c r="F446" s="184" t="s">
        <v>2388</v>
      </c>
      <c r="G446" s="184" t="s">
        <v>1532</v>
      </c>
      <c r="H446" s="184" t="s">
        <v>2389</v>
      </c>
      <c r="I446" s="184" t="s">
        <v>813</v>
      </c>
    </row>
    <row r="447" spans="1:9">
      <c r="A447" s="184" t="s">
        <v>1527</v>
      </c>
      <c r="B447" s="184" t="s">
        <v>1693</v>
      </c>
      <c r="C447" s="184" t="s">
        <v>2351</v>
      </c>
      <c r="D447" s="184" t="s">
        <v>1730</v>
      </c>
      <c r="E447" s="184"/>
      <c r="F447" s="184" t="s">
        <v>2390</v>
      </c>
      <c r="G447" s="184" t="s">
        <v>1532</v>
      </c>
      <c r="H447" s="184" t="s">
        <v>2391</v>
      </c>
      <c r="I447" s="184" t="s">
        <v>813</v>
      </c>
    </row>
    <row r="448" spans="1:9">
      <c r="A448" s="184" t="s">
        <v>1527</v>
      </c>
      <c r="B448" s="184" t="s">
        <v>1693</v>
      </c>
      <c r="C448" s="184" t="s">
        <v>2351</v>
      </c>
      <c r="D448" s="184" t="s">
        <v>1730</v>
      </c>
      <c r="E448" s="184"/>
      <c r="F448" s="184" t="s">
        <v>2392</v>
      </c>
      <c r="G448" s="184" t="s">
        <v>1532</v>
      </c>
      <c r="H448" s="184" t="s">
        <v>2393</v>
      </c>
      <c r="I448" s="184" t="s">
        <v>816</v>
      </c>
    </row>
    <row r="449" spans="1:9">
      <c r="A449" s="184" t="s">
        <v>1527</v>
      </c>
      <c r="B449" s="184" t="s">
        <v>1693</v>
      </c>
      <c r="C449" s="184" t="s">
        <v>2351</v>
      </c>
      <c r="D449" s="184" t="s">
        <v>1730</v>
      </c>
      <c r="E449" s="184"/>
      <c r="F449" s="184" t="s">
        <v>2394</v>
      </c>
      <c r="G449" s="184" t="s">
        <v>1532</v>
      </c>
      <c r="H449" s="184" t="s">
        <v>2395</v>
      </c>
      <c r="I449" s="184" t="s">
        <v>816</v>
      </c>
    </row>
    <row r="450" spans="1:9">
      <c r="A450" s="184" t="s">
        <v>1527</v>
      </c>
      <c r="B450" s="184" t="s">
        <v>1556</v>
      </c>
      <c r="C450" s="184" t="s">
        <v>1651</v>
      </c>
      <c r="D450" s="184" t="s">
        <v>1558</v>
      </c>
      <c r="E450" s="184"/>
      <c r="F450" s="184" t="s">
        <v>983</v>
      </c>
      <c r="G450" s="184" t="s">
        <v>1532</v>
      </c>
      <c r="H450" s="184" t="s">
        <v>2396</v>
      </c>
      <c r="I450" s="184" t="s">
        <v>2374</v>
      </c>
    </row>
    <row r="451" spans="1:9">
      <c r="A451" s="184" t="s">
        <v>1527</v>
      </c>
      <c r="B451" s="184" t="s">
        <v>1556</v>
      </c>
      <c r="C451" s="184" t="s">
        <v>1651</v>
      </c>
      <c r="D451" s="184" t="s">
        <v>1558</v>
      </c>
      <c r="E451" s="184"/>
      <c r="F451" s="184" t="s">
        <v>985</v>
      </c>
      <c r="G451" s="184" t="s">
        <v>1532</v>
      </c>
      <c r="H451" s="184" t="s">
        <v>2397</v>
      </c>
      <c r="I451" s="184" t="s">
        <v>2374</v>
      </c>
    </row>
    <row r="452" spans="1:9">
      <c r="A452" s="184" t="s">
        <v>1527</v>
      </c>
      <c r="B452" s="184" t="s">
        <v>1556</v>
      </c>
      <c r="C452" s="184" t="s">
        <v>1651</v>
      </c>
      <c r="D452" s="184" t="s">
        <v>1558</v>
      </c>
      <c r="E452" s="184"/>
      <c r="F452" s="184" t="s">
        <v>994</v>
      </c>
      <c r="G452" s="184" t="s">
        <v>1532</v>
      </c>
      <c r="H452" s="184" t="s">
        <v>2396</v>
      </c>
      <c r="I452" s="184" t="s">
        <v>2375</v>
      </c>
    </row>
    <row r="453" spans="1:9">
      <c r="A453" s="184" t="s">
        <v>1527</v>
      </c>
      <c r="B453" s="184" t="s">
        <v>1556</v>
      </c>
      <c r="C453" s="184" t="s">
        <v>1651</v>
      </c>
      <c r="D453" s="184" t="s">
        <v>1558</v>
      </c>
      <c r="E453" s="184"/>
      <c r="F453" s="184" t="s">
        <v>995</v>
      </c>
      <c r="G453" s="184" t="s">
        <v>1532</v>
      </c>
      <c r="H453" s="184" t="s">
        <v>2397</v>
      </c>
      <c r="I453" s="184" t="s">
        <v>2375</v>
      </c>
    </row>
    <row r="454" spans="1:9">
      <c r="A454" s="184" t="s">
        <v>1527</v>
      </c>
      <c r="B454" s="184" t="s">
        <v>1556</v>
      </c>
      <c r="C454" s="184" t="s">
        <v>1651</v>
      </c>
      <c r="D454" s="184" t="s">
        <v>1558</v>
      </c>
      <c r="E454" s="184"/>
      <c r="F454" s="184" t="s">
        <v>1002</v>
      </c>
      <c r="G454" s="184" t="s">
        <v>1532</v>
      </c>
      <c r="H454" s="184" t="s">
        <v>2396</v>
      </c>
      <c r="I454" s="184" t="s">
        <v>2398</v>
      </c>
    </row>
    <row r="455" spans="1:9">
      <c r="A455" s="184" t="s">
        <v>1527</v>
      </c>
      <c r="B455" s="184" t="s">
        <v>1556</v>
      </c>
      <c r="C455" s="184" t="s">
        <v>1651</v>
      </c>
      <c r="D455" s="184" t="s">
        <v>1558</v>
      </c>
      <c r="E455" s="184"/>
      <c r="F455" s="184" t="s">
        <v>1003</v>
      </c>
      <c r="G455" s="184" t="s">
        <v>1532</v>
      </c>
      <c r="H455" s="184" t="s">
        <v>2397</v>
      </c>
      <c r="I455" s="184" t="s">
        <v>2398</v>
      </c>
    </row>
    <row r="456" spans="1:9">
      <c r="A456" s="184" t="s">
        <v>1527</v>
      </c>
      <c r="B456" s="184" t="s">
        <v>1556</v>
      </c>
      <c r="C456" s="184" t="s">
        <v>1651</v>
      </c>
      <c r="D456" s="184" t="s">
        <v>1558</v>
      </c>
      <c r="E456" s="184"/>
      <c r="F456" s="184" t="s">
        <v>1010</v>
      </c>
      <c r="G456" s="184" t="s">
        <v>1532</v>
      </c>
      <c r="H456" s="184" t="s">
        <v>2396</v>
      </c>
      <c r="I456" s="184" t="s">
        <v>2399</v>
      </c>
    </row>
    <row r="457" spans="1:9">
      <c r="A457" s="184" t="s">
        <v>1527</v>
      </c>
      <c r="B457" s="184" t="s">
        <v>1556</v>
      </c>
      <c r="C457" s="184" t="s">
        <v>1651</v>
      </c>
      <c r="D457" s="184" t="s">
        <v>1558</v>
      </c>
      <c r="E457" s="184"/>
      <c r="F457" s="184" t="s">
        <v>1011</v>
      </c>
      <c r="G457" s="184" t="s">
        <v>1532</v>
      </c>
      <c r="H457" s="184" t="s">
        <v>2397</v>
      </c>
      <c r="I457" s="184" t="s">
        <v>2399</v>
      </c>
    </row>
    <row r="458" spans="1:9">
      <c r="A458" s="184" t="s">
        <v>1527</v>
      </c>
      <c r="B458" s="184" t="s">
        <v>1556</v>
      </c>
      <c r="C458" s="184" t="s">
        <v>1651</v>
      </c>
      <c r="D458" s="184" t="s">
        <v>1558</v>
      </c>
      <c r="E458" s="184"/>
      <c r="F458" s="184" t="s">
        <v>974</v>
      </c>
      <c r="G458" s="184" t="s">
        <v>1532</v>
      </c>
      <c r="H458" s="184" t="s">
        <v>973</v>
      </c>
      <c r="I458" s="184" t="s">
        <v>2374</v>
      </c>
    </row>
    <row r="459" spans="1:9">
      <c r="A459" s="184" t="s">
        <v>1527</v>
      </c>
      <c r="B459" s="184" t="s">
        <v>1556</v>
      </c>
      <c r="C459" s="184" t="s">
        <v>1651</v>
      </c>
      <c r="D459" s="184" t="s">
        <v>1558</v>
      </c>
      <c r="E459" s="184"/>
      <c r="F459" s="184" t="s">
        <v>977</v>
      </c>
      <c r="G459" s="184" t="s">
        <v>1532</v>
      </c>
      <c r="H459" s="184" t="s">
        <v>976</v>
      </c>
      <c r="I459" s="184" t="s">
        <v>2374</v>
      </c>
    </row>
    <row r="460" spans="1:9">
      <c r="A460" s="184" t="s">
        <v>1527</v>
      </c>
      <c r="B460" s="184" t="s">
        <v>1556</v>
      </c>
      <c r="C460" s="184" t="s">
        <v>1651</v>
      </c>
      <c r="D460" s="184" t="s">
        <v>1558</v>
      </c>
      <c r="E460" s="184"/>
      <c r="F460" s="184" t="s">
        <v>991</v>
      </c>
      <c r="G460" s="184" t="s">
        <v>1532</v>
      </c>
      <c r="H460" s="184" t="s">
        <v>2400</v>
      </c>
      <c r="I460" s="184" t="s">
        <v>2375</v>
      </c>
    </row>
    <row r="461" spans="1:9">
      <c r="A461" s="184" t="s">
        <v>1527</v>
      </c>
      <c r="B461" s="184" t="s">
        <v>1556</v>
      </c>
      <c r="C461" s="184" t="s">
        <v>1651</v>
      </c>
      <c r="D461" s="184" t="s">
        <v>1558</v>
      </c>
      <c r="E461" s="184"/>
      <c r="F461" s="184" t="s">
        <v>999</v>
      </c>
      <c r="G461" s="184" t="s">
        <v>1532</v>
      </c>
      <c r="H461" s="184" t="s">
        <v>998</v>
      </c>
      <c r="I461" s="184" t="s">
        <v>2398</v>
      </c>
    </row>
    <row r="462" spans="1:9">
      <c r="A462" s="184" t="s">
        <v>1527</v>
      </c>
      <c r="B462" s="184" t="s">
        <v>1693</v>
      </c>
      <c r="C462" s="184" t="s">
        <v>1694</v>
      </c>
      <c r="D462" s="184" t="s">
        <v>1695</v>
      </c>
      <c r="E462" s="184"/>
      <c r="F462" s="184" t="s">
        <v>2401</v>
      </c>
      <c r="G462" s="184" t="s">
        <v>1532</v>
      </c>
      <c r="H462" s="184" t="s">
        <v>2402</v>
      </c>
      <c r="I462" s="184" t="s">
        <v>732</v>
      </c>
    </row>
    <row r="463" spans="1:9">
      <c r="A463" s="184" t="s">
        <v>1527</v>
      </c>
      <c r="B463" s="184" t="s">
        <v>1693</v>
      </c>
      <c r="C463" s="184" t="s">
        <v>1694</v>
      </c>
      <c r="D463" s="184" t="s">
        <v>1695</v>
      </c>
      <c r="E463" s="184"/>
      <c r="F463" s="184" t="s">
        <v>2403</v>
      </c>
      <c r="G463" s="184" t="s">
        <v>1532</v>
      </c>
      <c r="H463" s="184" t="s">
        <v>2404</v>
      </c>
      <c r="I463" s="184" t="s">
        <v>732</v>
      </c>
    </row>
    <row r="464" spans="1:9">
      <c r="A464" s="184" t="s">
        <v>1527</v>
      </c>
      <c r="B464" s="184" t="s">
        <v>1693</v>
      </c>
      <c r="C464" s="184" t="s">
        <v>1895</v>
      </c>
      <c r="D464" s="184" t="s">
        <v>1730</v>
      </c>
      <c r="E464" s="184"/>
      <c r="F464" s="184" t="s">
        <v>1005</v>
      </c>
      <c r="G464" s="184" t="s">
        <v>1532</v>
      </c>
      <c r="H464" s="184" t="s">
        <v>2373</v>
      </c>
      <c r="I464" s="184" t="s">
        <v>2398</v>
      </c>
    </row>
    <row r="465" spans="1:9">
      <c r="A465" s="184" t="s">
        <v>1527</v>
      </c>
      <c r="B465" s="184" t="s">
        <v>1693</v>
      </c>
      <c r="C465" s="184" t="s">
        <v>1895</v>
      </c>
      <c r="D465" s="184" t="s">
        <v>1730</v>
      </c>
      <c r="E465" s="184"/>
      <c r="F465" s="184" t="s">
        <v>1015</v>
      </c>
      <c r="G465" s="184" t="s">
        <v>1532</v>
      </c>
      <c r="H465" s="184" t="s">
        <v>2373</v>
      </c>
      <c r="I465" s="184" t="s">
        <v>2399</v>
      </c>
    </row>
    <row r="466" spans="1:9">
      <c r="A466" s="184" t="s">
        <v>1527</v>
      </c>
      <c r="B466" s="184" t="s">
        <v>1701</v>
      </c>
      <c r="C466" s="184" t="s">
        <v>1724</v>
      </c>
      <c r="D466" s="184" t="s">
        <v>1703</v>
      </c>
      <c r="E466" s="184"/>
      <c r="F466" s="184" t="s">
        <v>2405</v>
      </c>
      <c r="G466" s="184" t="s">
        <v>1532</v>
      </c>
      <c r="H466" s="184" t="s">
        <v>2406</v>
      </c>
      <c r="I466" s="184" t="s">
        <v>966</v>
      </c>
    </row>
    <row r="467" spans="1:9">
      <c r="A467" s="184" t="s">
        <v>1527</v>
      </c>
      <c r="B467" s="184" t="s">
        <v>1701</v>
      </c>
      <c r="C467" s="184" t="s">
        <v>1724</v>
      </c>
      <c r="D467" s="184" t="s">
        <v>1703</v>
      </c>
      <c r="E467" s="184"/>
      <c r="F467" s="184" t="s">
        <v>2407</v>
      </c>
      <c r="G467" s="184" t="s">
        <v>1532</v>
      </c>
      <c r="H467" s="184" t="s">
        <v>2408</v>
      </c>
      <c r="I467" s="184" t="s">
        <v>968</v>
      </c>
    </row>
    <row r="468" spans="1:9">
      <c r="A468" s="184" t="s">
        <v>1527</v>
      </c>
      <c r="B468" s="184" t="s">
        <v>1701</v>
      </c>
      <c r="C468" s="184" t="s">
        <v>1724</v>
      </c>
      <c r="D468" s="184" t="s">
        <v>1703</v>
      </c>
      <c r="E468" s="184"/>
      <c r="F468" s="184" t="s">
        <v>2409</v>
      </c>
      <c r="G468" s="184" t="s">
        <v>1532</v>
      </c>
      <c r="H468" s="184" t="s">
        <v>2410</v>
      </c>
      <c r="I468" s="184" t="s">
        <v>970</v>
      </c>
    </row>
    <row r="469" spans="1:9">
      <c r="A469" s="184" t="s">
        <v>1527</v>
      </c>
      <c r="B469" s="184" t="s">
        <v>1701</v>
      </c>
      <c r="C469" s="184" t="s">
        <v>1724</v>
      </c>
      <c r="D469" s="184" t="s">
        <v>1703</v>
      </c>
      <c r="E469" s="184"/>
      <c r="F469" s="184" t="s">
        <v>2411</v>
      </c>
      <c r="G469" s="184" t="s">
        <v>1532</v>
      </c>
      <c r="H469" s="184" t="s">
        <v>2412</v>
      </c>
      <c r="I469" s="184" t="s">
        <v>972</v>
      </c>
    </row>
    <row r="470" spans="1:9">
      <c r="A470" s="184" t="s">
        <v>1527</v>
      </c>
      <c r="B470" s="184" t="s">
        <v>1701</v>
      </c>
      <c r="C470" s="184" t="s">
        <v>2413</v>
      </c>
      <c r="D470" s="184" t="s">
        <v>1703</v>
      </c>
      <c r="E470" s="184"/>
      <c r="F470" s="184" t="s">
        <v>987</v>
      </c>
      <c r="G470" s="184" t="s">
        <v>1532</v>
      </c>
      <c r="H470" s="184" t="s">
        <v>2414</v>
      </c>
      <c r="I470" s="184" t="s">
        <v>2415</v>
      </c>
    </row>
    <row r="471" spans="1:9">
      <c r="A471" s="184" t="s">
        <v>1527</v>
      </c>
      <c r="B471" s="184" t="s">
        <v>1701</v>
      </c>
      <c r="C471" s="184" t="s">
        <v>2413</v>
      </c>
      <c r="D471" s="184" t="s">
        <v>1703</v>
      </c>
      <c r="E471" s="184"/>
      <c r="F471" s="184" t="s">
        <v>996</v>
      </c>
      <c r="G471" s="184" t="s">
        <v>1532</v>
      </c>
      <c r="H471" s="184" t="s">
        <v>2414</v>
      </c>
      <c r="I471" s="184" t="s">
        <v>2375</v>
      </c>
    </row>
    <row r="472" spans="1:9">
      <c r="A472" s="184" t="s">
        <v>1527</v>
      </c>
      <c r="B472" s="184" t="s">
        <v>1701</v>
      </c>
      <c r="C472" s="184" t="s">
        <v>2413</v>
      </c>
      <c r="D472" s="184" t="s">
        <v>1703</v>
      </c>
      <c r="E472" s="184"/>
      <c r="F472" s="184" t="s">
        <v>1004</v>
      </c>
      <c r="G472" s="184" t="s">
        <v>1532</v>
      </c>
      <c r="H472" s="184" t="s">
        <v>2414</v>
      </c>
      <c r="I472" s="184" t="s">
        <v>2398</v>
      </c>
    </row>
    <row r="473" spans="1:9">
      <c r="A473" s="184" t="s">
        <v>1527</v>
      </c>
      <c r="B473" s="184" t="s">
        <v>1701</v>
      </c>
      <c r="C473" s="184" t="s">
        <v>2413</v>
      </c>
      <c r="D473" s="184" t="s">
        <v>1703</v>
      </c>
      <c r="E473" s="184"/>
      <c r="F473" s="184" t="s">
        <v>1013</v>
      </c>
      <c r="G473" s="184" t="s">
        <v>1532</v>
      </c>
      <c r="H473" s="184" t="s">
        <v>2414</v>
      </c>
      <c r="I473" s="184" t="s">
        <v>2399</v>
      </c>
    </row>
    <row r="474" spans="1:9">
      <c r="A474" s="184" t="s">
        <v>1527</v>
      </c>
      <c r="B474" s="184" t="s">
        <v>1528</v>
      </c>
      <c r="C474" s="184" t="s">
        <v>2265</v>
      </c>
      <c r="D474" s="184" t="s">
        <v>1530</v>
      </c>
      <c r="E474" s="184"/>
      <c r="F474" s="184" t="s">
        <v>2416</v>
      </c>
      <c r="G474" s="184" t="s">
        <v>1532</v>
      </c>
      <c r="H474" s="184" t="s">
        <v>2417</v>
      </c>
      <c r="I474" s="184" t="s">
        <v>748</v>
      </c>
    </row>
    <row r="475" spans="1:9">
      <c r="A475" s="184" t="s">
        <v>1527</v>
      </c>
      <c r="B475" s="184" t="s">
        <v>1528</v>
      </c>
      <c r="C475" s="184" t="s">
        <v>2265</v>
      </c>
      <c r="D475" s="184" t="s">
        <v>1530</v>
      </c>
      <c r="E475" s="184"/>
      <c r="F475" s="184" t="s">
        <v>2418</v>
      </c>
      <c r="G475" s="184" t="s">
        <v>1532</v>
      </c>
      <c r="H475" s="184" t="s">
        <v>2419</v>
      </c>
      <c r="I475" s="184" t="s">
        <v>756</v>
      </c>
    </row>
    <row r="476" spans="1:9">
      <c r="A476" s="184" t="s">
        <v>1527</v>
      </c>
      <c r="B476" s="184" t="s">
        <v>1701</v>
      </c>
      <c r="C476" s="184" t="s">
        <v>1928</v>
      </c>
      <c r="D476" s="184" t="s">
        <v>1703</v>
      </c>
      <c r="E476" s="184"/>
      <c r="F476" s="184" t="s">
        <v>2420</v>
      </c>
      <c r="G476" s="184" t="s">
        <v>1532</v>
      </c>
      <c r="H476" s="184" t="s">
        <v>2417</v>
      </c>
      <c r="I476" s="184" t="s">
        <v>748</v>
      </c>
    </row>
    <row r="477" spans="1:9">
      <c r="A477" s="184" t="s">
        <v>1527</v>
      </c>
      <c r="B477" s="184" t="s">
        <v>1701</v>
      </c>
      <c r="C477" s="184" t="s">
        <v>1928</v>
      </c>
      <c r="D477" s="184" t="s">
        <v>1703</v>
      </c>
      <c r="E477" s="184"/>
      <c r="F477" s="184" t="s">
        <v>2421</v>
      </c>
      <c r="G477" s="184" t="s">
        <v>1532</v>
      </c>
      <c r="H477" s="184" t="s">
        <v>2419</v>
      </c>
      <c r="I477" s="184" t="s">
        <v>756</v>
      </c>
    </row>
    <row r="478" spans="1:9">
      <c r="A478" s="184" t="s">
        <v>1527</v>
      </c>
      <c r="B478" s="184" t="s">
        <v>1528</v>
      </c>
      <c r="C478" s="184" t="s">
        <v>1890</v>
      </c>
      <c r="D478" s="184" t="s">
        <v>1530</v>
      </c>
      <c r="E478" s="184"/>
      <c r="F478" s="184" t="s">
        <v>979</v>
      </c>
      <c r="G478" s="184" t="s">
        <v>1532</v>
      </c>
      <c r="H478" s="184" t="s">
        <v>2422</v>
      </c>
      <c r="I478" s="184" t="s">
        <v>2374</v>
      </c>
    </row>
    <row r="479" spans="1:9">
      <c r="A479" s="184" t="s">
        <v>1527</v>
      </c>
      <c r="B479" s="184" t="s">
        <v>1528</v>
      </c>
      <c r="C479" s="184" t="s">
        <v>1890</v>
      </c>
      <c r="D479" s="184" t="s">
        <v>1530</v>
      </c>
      <c r="E479" s="184"/>
      <c r="F479" s="184" t="s">
        <v>992</v>
      </c>
      <c r="G479" s="184" t="s">
        <v>1532</v>
      </c>
      <c r="H479" s="184" t="s">
        <v>2422</v>
      </c>
      <c r="I479" s="184" t="s">
        <v>2375</v>
      </c>
    </row>
    <row r="480" spans="1:9">
      <c r="A480" s="184" t="s">
        <v>1527</v>
      </c>
      <c r="B480" s="184" t="s">
        <v>1528</v>
      </c>
      <c r="C480" s="184" t="s">
        <v>1890</v>
      </c>
      <c r="D480" s="184" t="s">
        <v>1530</v>
      </c>
      <c r="E480" s="184"/>
      <c r="F480" s="184" t="s">
        <v>1000</v>
      </c>
      <c r="G480" s="184" t="s">
        <v>1532</v>
      </c>
      <c r="H480" s="184" t="s">
        <v>2422</v>
      </c>
      <c r="I480" s="184" t="s">
        <v>2398</v>
      </c>
    </row>
    <row r="481" spans="1:10">
      <c r="A481" s="184" t="s">
        <v>1527</v>
      </c>
      <c r="B481" s="184" t="s">
        <v>1528</v>
      </c>
      <c r="C481" s="184" t="s">
        <v>1890</v>
      </c>
      <c r="D481" s="184" t="s">
        <v>1530</v>
      </c>
      <c r="E481" s="184"/>
      <c r="F481" s="184" t="s">
        <v>1008</v>
      </c>
      <c r="G481" s="184" t="s">
        <v>1532</v>
      </c>
      <c r="H481" s="184" t="s">
        <v>2422</v>
      </c>
      <c r="I481" s="184" t="s">
        <v>2399</v>
      </c>
      <c r="J481" s="184"/>
    </row>
    <row r="482" spans="1:10">
      <c r="A482" s="184" t="s">
        <v>1527</v>
      </c>
      <c r="B482" s="184" t="s">
        <v>1701</v>
      </c>
      <c r="C482" s="184" t="s">
        <v>2423</v>
      </c>
      <c r="D482" s="184" t="s">
        <v>1703</v>
      </c>
      <c r="E482" s="184"/>
      <c r="F482" s="184" t="s">
        <v>2424</v>
      </c>
      <c r="G482" s="184" t="s">
        <v>1532</v>
      </c>
      <c r="H482" s="184" t="s">
        <v>2425</v>
      </c>
      <c r="I482" s="184" t="s">
        <v>946</v>
      </c>
      <c r="J482" s="184"/>
    </row>
    <row r="483" spans="1:10">
      <c r="A483" s="184" t="s">
        <v>1527</v>
      </c>
      <c r="B483" s="184" t="s">
        <v>1701</v>
      </c>
      <c r="C483" s="184" t="s">
        <v>2423</v>
      </c>
      <c r="D483" s="184" t="s">
        <v>1703</v>
      </c>
      <c r="E483" s="184"/>
      <c r="F483" s="184" t="s">
        <v>2426</v>
      </c>
      <c r="G483" s="184" t="s">
        <v>1532</v>
      </c>
      <c r="H483" s="184" t="s">
        <v>2427</v>
      </c>
      <c r="I483" s="184" t="s">
        <v>948</v>
      </c>
      <c r="J483" s="184"/>
    </row>
    <row r="484" spans="1:10">
      <c r="A484" s="184" t="s">
        <v>1527</v>
      </c>
      <c r="B484" s="184" t="s">
        <v>1701</v>
      </c>
      <c r="C484" s="184" t="s">
        <v>2423</v>
      </c>
      <c r="D484" s="184" t="s">
        <v>1703</v>
      </c>
      <c r="E484" s="184"/>
      <c r="F484" s="184" t="s">
        <v>2428</v>
      </c>
      <c r="G484" s="184" t="s">
        <v>1532</v>
      </c>
      <c r="H484" s="184" t="s">
        <v>2429</v>
      </c>
      <c r="I484" s="184" t="s">
        <v>950</v>
      </c>
      <c r="J484" s="184"/>
    </row>
    <row r="485" spans="1:10">
      <c r="A485" s="184" t="s">
        <v>1527</v>
      </c>
      <c r="B485" s="184" t="s">
        <v>1701</v>
      </c>
      <c r="C485" s="184" t="s">
        <v>2423</v>
      </c>
      <c r="D485" s="184" t="s">
        <v>1703</v>
      </c>
      <c r="E485" s="184"/>
      <c r="F485" s="184" t="s">
        <v>2430</v>
      </c>
      <c r="G485" s="184" t="s">
        <v>1532</v>
      </c>
      <c r="H485" s="184" t="s">
        <v>2431</v>
      </c>
      <c r="I485" s="184" t="s">
        <v>952</v>
      </c>
      <c r="J485" s="184"/>
    </row>
    <row r="486" spans="1:10">
      <c r="A486" s="184" t="s">
        <v>1527</v>
      </c>
      <c r="B486" s="184" t="s">
        <v>1701</v>
      </c>
      <c r="C486" s="184" t="s">
        <v>2335</v>
      </c>
      <c r="D486" s="184" t="s">
        <v>2041</v>
      </c>
      <c r="E486" s="184"/>
      <c r="F486" s="184" t="s">
        <v>2432</v>
      </c>
      <c r="G486" s="184" t="s">
        <v>1532</v>
      </c>
      <c r="H486" s="184" t="s">
        <v>2433</v>
      </c>
      <c r="I486" s="184" t="s">
        <v>954</v>
      </c>
      <c r="J486" s="184" t="s">
        <v>2434</v>
      </c>
    </row>
    <row r="487" spans="1:10">
      <c r="A487" s="184" t="s">
        <v>1527</v>
      </c>
      <c r="B487" s="184" t="s">
        <v>1701</v>
      </c>
      <c r="C487" s="184" t="s">
        <v>2335</v>
      </c>
      <c r="D487" s="184" t="s">
        <v>2041</v>
      </c>
      <c r="E487" s="184"/>
      <c r="F487" s="184" t="s">
        <v>2435</v>
      </c>
      <c r="G487" s="184" t="s">
        <v>1532</v>
      </c>
      <c r="H487" s="184" t="s">
        <v>2436</v>
      </c>
      <c r="I487" s="184" t="s">
        <v>956</v>
      </c>
      <c r="J487" s="184" t="s">
        <v>2437</v>
      </c>
    </row>
    <row r="488" spans="1:10">
      <c r="A488" s="184" t="s">
        <v>1527</v>
      </c>
      <c r="B488" s="184" t="s">
        <v>1701</v>
      </c>
      <c r="C488" s="184" t="s">
        <v>2423</v>
      </c>
      <c r="D488" s="184" t="s">
        <v>1703</v>
      </c>
      <c r="E488" s="184"/>
      <c r="F488" s="184" t="s">
        <v>2438</v>
      </c>
      <c r="G488" s="184" t="s">
        <v>1532</v>
      </c>
      <c r="H488" s="184" t="s">
        <v>2439</v>
      </c>
      <c r="I488" s="184" t="s">
        <v>959</v>
      </c>
      <c r="J488" s="184"/>
    </row>
    <row r="489" spans="1:10">
      <c r="A489" s="184" t="s">
        <v>1527</v>
      </c>
      <c r="B489" s="184" t="s">
        <v>1701</v>
      </c>
      <c r="C489" s="184" t="s">
        <v>2040</v>
      </c>
      <c r="D489" s="184" t="s">
        <v>2041</v>
      </c>
      <c r="E489" s="184"/>
      <c r="F489" s="184" t="s">
        <v>2440</v>
      </c>
      <c r="G489" s="184" t="s">
        <v>1532</v>
      </c>
      <c r="H489" s="184" t="s">
        <v>2441</v>
      </c>
      <c r="I489" s="184" t="s">
        <v>962</v>
      </c>
      <c r="J489" s="184" t="s">
        <v>2442</v>
      </c>
    </row>
    <row r="490" spans="1:10">
      <c r="A490" s="184" t="s">
        <v>1527</v>
      </c>
      <c r="B490" s="184" t="s">
        <v>1701</v>
      </c>
      <c r="C490" s="184" t="s">
        <v>2055</v>
      </c>
      <c r="D490" s="184" t="s">
        <v>2041</v>
      </c>
      <c r="E490" s="184"/>
      <c r="F490" s="184" t="s">
        <v>2443</v>
      </c>
      <c r="G490" s="184" t="s">
        <v>1532</v>
      </c>
      <c r="H490" s="184" t="s">
        <v>2444</v>
      </c>
      <c r="I490" s="184" t="s">
        <v>964</v>
      </c>
      <c r="J490" s="184" t="s">
        <v>2445</v>
      </c>
    </row>
    <row r="491" spans="1:10">
      <c r="A491" s="184" t="s">
        <v>1527</v>
      </c>
      <c r="B491" s="184" t="s">
        <v>1701</v>
      </c>
      <c r="C491" s="184" t="s">
        <v>2446</v>
      </c>
      <c r="D491" s="184" t="s">
        <v>1703</v>
      </c>
      <c r="E491" s="184"/>
      <c r="F491" s="184" t="s">
        <v>2447</v>
      </c>
      <c r="G491" s="184" t="s">
        <v>1532</v>
      </c>
      <c r="H491" s="184" t="s">
        <v>2448</v>
      </c>
      <c r="I491" s="184" t="s">
        <v>1017</v>
      </c>
      <c r="J491" s="184"/>
    </row>
    <row r="492" spans="1:10">
      <c r="A492" s="184" t="s">
        <v>1527</v>
      </c>
      <c r="B492" s="184" t="s">
        <v>1701</v>
      </c>
      <c r="C492" s="184" t="s">
        <v>2446</v>
      </c>
      <c r="D492" s="184" t="s">
        <v>1703</v>
      </c>
      <c r="E492" s="184"/>
      <c r="F492" s="184" t="s">
        <v>2449</v>
      </c>
      <c r="G492" s="184" t="s">
        <v>1532</v>
      </c>
      <c r="H492" s="184" t="s">
        <v>2450</v>
      </c>
      <c r="I492" s="184" t="s">
        <v>1019</v>
      </c>
      <c r="J492" s="184"/>
    </row>
    <row r="493" spans="1:10">
      <c r="A493" s="184" t="s">
        <v>1527</v>
      </c>
      <c r="B493" s="184" t="s">
        <v>1701</v>
      </c>
      <c r="C493" s="184" t="s">
        <v>2451</v>
      </c>
      <c r="D493" s="184" t="s">
        <v>1703</v>
      </c>
      <c r="E493" s="184"/>
      <c r="F493" s="184" t="s">
        <v>2452</v>
      </c>
      <c r="G493" s="184" t="s">
        <v>1532</v>
      </c>
      <c r="H493" s="184" t="s">
        <v>1434</v>
      </c>
      <c r="I493" s="184" t="s">
        <v>1435</v>
      </c>
      <c r="J493" s="184"/>
    </row>
    <row r="494" spans="1:10">
      <c r="A494" s="184" t="s">
        <v>1527</v>
      </c>
      <c r="B494" s="184" t="s">
        <v>1701</v>
      </c>
      <c r="C494" s="184" t="s">
        <v>2453</v>
      </c>
      <c r="D494" s="184" t="s">
        <v>1703</v>
      </c>
      <c r="E494" s="184"/>
      <c r="F494" s="184" t="s">
        <v>1700</v>
      </c>
      <c r="G494" s="184" t="s">
        <v>1532</v>
      </c>
      <c r="H494" s="184"/>
      <c r="I494" s="184"/>
      <c r="J494" s="184"/>
    </row>
    <row r="495" spans="1:10">
      <c r="A495" s="184" t="s">
        <v>1527</v>
      </c>
      <c r="B495" s="184" t="s">
        <v>1701</v>
      </c>
      <c r="C495" s="184" t="s">
        <v>1754</v>
      </c>
      <c r="D495" s="184" t="s">
        <v>1703</v>
      </c>
      <c r="E495" s="184"/>
      <c r="F495" s="184" t="s">
        <v>2454</v>
      </c>
      <c r="G495" s="184" t="s">
        <v>1532</v>
      </c>
      <c r="H495" s="184" t="s">
        <v>2455</v>
      </c>
      <c r="I495" s="184" t="s">
        <v>871</v>
      </c>
      <c r="J495" s="184"/>
    </row>
    <row r="496" spans="1:10">
      <c r="A496" s="184" t="s">
        <v>1527</v>
      </c>
      <c r="B496" s="184" t="s">
        <v>1701</v>
      </c>
      <c r="C496" s="184" t="s">
        <v>1833</v>
      </c>
      <c r="D496" s="184" t="s">
        <v>1703</v>
      </c>
      <c r="E496" s="184"/>
      <c r="F496" s="184" t="s">
        <v>2456</v>
      </c>
      <c r="G496" s="184" t="s">
        <v>1532</v>
      </c>
      <c r="H496" s="184" t="s">
        <v>2457</v>
      </c>
      <c r="I496" s="184" t="s">
        <v>873</v>
      </c>
      <c r="J496" s="184"/>
    </row>
    <row r="497" spans="1:10">
      <c r="A497" s="184" t="s">
        <v>1527</v>
      </c>
      <c r="B497" s="184" t="s">
        <v>1701</v>
      </c>
      <c r="C497" s="184" t="s">
        <v>2451</v>
      </c>
      <c r="D497" s="184" t="s">
        <v>1703</v>
      </c>
      <c r="E497" s="184"/>
      <c r="F497" s="184" t="s">
        <v>2458</v>
      </c>
      <c r="G497" s="184" t="s">
        <v>1532</v>
      </c>
      <c r="H497" s="184" t="s">
        <v>2459</v>
      </c>
      <c r="I497" s="184" t="s">
        <v>875</v>
      </c>
      <c r="J497" s="184"/>
    </row>
    <row r="498" spans="1:10">
      <c r="A498" s="184" t="s">
        <v>1527</v>
      </c>
      <c r="B498" s="184" t="s">
        <v>1693</v>
      </c>
      <c r="C498" s="184" t="s">
        <v>1895</v>
      </c>
      <c r="D498" s="184" t="s">
        <v>1730</v>
      </c>
      <c r="E498" s="184"/>
      <c r="F498" s="184" t="s">
        <v>1700</v>
      </c>
      <c r="G498" s="184" t="s">
        <v>1532</v>
      </c>
      <c r="H498" s="184"/>
      <c r="I498" s="184"/>
      <c r="J498" s="184"/>
    </row>
    <row r="499" spans="1:10">
      <c r="A499" s="184" t="s">
        <v>1527</v>
      </c>
      <c r="B499" s="184" t="s">
        <v>1701</v>
      </c>
      <c r="C499" s="184" t="s">
        <v>2137</v>
      </c>
      <c r="D499" s="184" t="s">
        <v>1703</v>
      </c>
      <c r="E499" s="184"/>
      <c r="F499" s="184" t="s">
        <v>2460</v>
      </c>
      <c r="G499" s="184" t="s">
        <v>1532</v>
      </c>
      <c r="H499" s="184" t="s">
        <v>2461</v>
      </c>
      <c r="I499" s="184" t="s">
        <v>879</v>
      </c>
      <c r="J499" s="184" t="s">
        <v>2462</v>
      </c>
    </row>
    <row r="500" spans="1:10">
      <c r="A500" s="184" t="s">
        <v>1527</v>
      </c>
      <c r="B500" s="184" t="s">
        <v>1701</v>
      </c>
      <c r="C500" s="184" t="s">
        <v>1928</v>
      </c>
      <c r="D500" s="184" t="s">
        <v>1703</v>
      </c>
      <c r="E500" s="184"/>
      <c r="F500" s="184" t="s">
        <v>2463</v>
      </c>
      <c r="G500" s="184" t="s">
        <v>1532</v>
      </c>
      <c r="H500" s="184" t="s">
        <v>2464</v>
      </c>
      <c r="I500" s="184" t="s">
        <v>881</v>
      </c>
      <c r="J500" s="184" t="s">
        <v>2465</v>
      </c>
    </row>
    <row r="501" spans="1:10">
      <c r="A501" s="184" t="s">
        <v>1527</v>
      </c>
      <c r="B501" s="184" t="s">
        <v>1701</v>
      </c>
      <c r="C501" s="184" t="s">
        <v>1702</v>
      </c>
      <c r="D501" s="184" t="s">
        <v>1703</v>
      </c>
      <c r="E501" s="184"/>
      <c r="F501" s="184" t="s">
        <v>2466</v>
      </c>
      <c r="G501" s="184" t="s">
        <v>1532</v>
      </c>
      <c r="H501" s="184" t="s">
        <v>2467</v>
      </c>
      <c r="I501" s="184" t="s">
        <v>883</v>
      </c>
      <c r="J501" s="184" t="s">
        <v>2468</v>
      </c>
    </row>
    <row r="502" spans="1:10">
      <c r="A502" s="184" t="s">
        <v>1527</v>
      </c>
      <c r="B502" s="184" t="s">
        <v>1701</v>
      </c>
      <c r="C502" s="184" t="s">
        <v>1754</v>
      </c>
      <c r="D502" s="184" t="s">
        <v>1703</v>
      </c>
      <c r="E502" s="184"/>
      <c r="F502" s="184" t="s">
        <v>2469</v>
      </c>
      <c r="G502" s="184" t="s">
        <v>1532</v>
      </c>
      <c r="H502" s="184" t="s">
        <v>2470</v>
      </c>
      <c r="I502" s="184" t="s">
        <v>885</v>
      </c>
      <c r="J502" s="184"/>
    </row>
    <row r="503" spans="1:10">
      <c r="A503" s="184" t="s">
        <v>1527</v>
      </c>
      <c r="B503" s="184" t="s">
        <v>1701</v>
      </c>
      <c r="C503" s="184" t="s">
        <v>1833</v>
      </c>
      <c r="D503" s="184" t="s">
        <v>1703</v>
      </c>
      <c r="E503" s="184"/>
      <c r="F503" s="184" t="s">
        <v>2471</v>
      </c>
      <c r="G503" s="184" t="s">
        <v>1532</v>
      </c>
      <c r="H503" s="184" t="s">
        <v>2472</v>
      </c>
      <c r="I503" s="184" t="s">
        <v>887</v>
      </c>
      <c r="J503" s="184" t="s">
        <v>2473</v>
      </c>
    </row>
    <row r="504" spans="1:10">
      <c r="A504" s="184" t="s">
        <v>1527</v>
      </c>
      <c r="B504" s="184" t="s">
        <v>1701</v>
      </c>
      <c r="C504" s="184" t="s">
        <v>2451</v>
      </c>
      <c r="D504" s="184" t="s">
        <v>1703</v>
      </c>
      <c r="E504" s="184"/>
      <c r="F504" s="184" t="s">
        <v>2474</v>
      </c>
      <c r="G504" s="184" t="s">
        <v>1532</v>
      </c>
      <c r="H504" s="184" t="s">
        <v>2475</v>
      </c>
      <c r="I504" s="184" t="s">
        <v>891</v>
      </c>
      <c r="J504" s="184" t="s">
        <v>2476</v>
      </c>
    </row>
    <row r="505" spans="1:10">
      <c r="A505" s="184" t="s">
        <v>1527</v>
      </c>
      <c r="B505" s="184" t="s">
        <v>1701</v>
      </c>
      <c r="C505" s="184" t="s">
        <v>2451</v>
      </c>
      <c r="D505" s="184" t="s">
        <v>1703</v>
      </c>
      <c r="E505" s="184"/>
      <c r="F505" s="184" t="s">
        <v>2477</v>
      </c>
      <c r="G505" s="184" t="s">
        <v>1532</v>
      </c>
      <c r="H505" s="184" t="s">
        <v>2478</v>
      </c>
      <c r="I505" s="184" t="s">
        <v>893</v>
      </c>
      <c r="J505" s="184" t="s">
        <v>2479</v>
      </c>
    </row>
    <row r="506" spans="1:10">
      <c r="A506" s="184" t="s">
        <v>1527</v>
      </c>
      <c r="B506" s="184" t="s">
        <v>1693</v>
      </c>
      <c r="C506" s="184" t="s">
        <v>1895</v>
      </c>
      <c r="D506" s="184" t="s">
        <v>1730</v>
      </c>
      <c r="E506" s="184"/>
      <c r="F506" s="184" t="s">
        <v>2480</v>
      </c>
      <c r="G506" s="184" t="s">
        <v>1532</v>
      </c>
      <c r="H506" s="184" t="s">
        <v>2481</v>
      </c>
      <c r="I506" s="184" t="s">
        <v>439</v>
      </c>
      <c r="J506" s="184"/>
    </row>
    <row r="507" spans="1:10">
      <c r="A507" s="184" t="s">
        <v>1527</v>
      </c>
      <c r="B507" s="184" t="s">
        <v>1693</v>
      </c>
      <c r="C507" s="184" t="s">
        <v>1895</v>
      </c>
      <c r="D507" s="184" t="s">
        <v>1730</v>
      </c>
      <c r="E507" s="184"/>
      <c r="F507" s="184" t="s">
        <v>2482</v>
      </c>
      <c r="G507" s="184" t="s">
        <v>1532</v>
      </c>
      <c r="H507" s="184" t="s">
        <v>1021</v>
      </c>
      <c r="I507" s="184" t="s">
        <v>442</v>
      </c>
      <c r="J507" s="184"/>
    </row>
    <row r="508" spans="1:10">
      <c r="A508" s="184" t="s">
        <v>1527</v>
      </c>
      <c r="B508" s="184" t="s">
        <v>1693</v>
      </c>
      <c r="C508" s="184" t="s">
        <v>1895</v>
      </c>
      <c r="D508" s="184" t="s">
        <v>1730</v>
      </c>
      <c r="E508" s="184"/>
      <c r="F508" s="184" t="s">
        <v>2483</v>
      </c>
      <c r="G508" s="184" t="s">
        <v>1532</v>
      </c>
      <c r="H508" s="184" t="s">
        <v>1022</v>
      </c>
      <c r="I508" s="184" t="s">
        <v>549</v>
      </c>
      <c r="J508" s="184"/>
    </row>
    <row r="509" spans="1:10">
      <c r="A509" s="184" t="s">
        <v>1527</v>
      </c>
      <c r="B509" s="184" t="s">
        <v>1556</v>
      </c>
      <c r="C509" s="184" t="s">
        <v>1651</v>
      </c>
      <c r="D509" s="184" t="s">
        <v>1558</v>
      </c>
      <c r="E509" s="184"/>
      <c r="F509" s="184" t="s">
        <v>2484</v>
      </c>
      <c r="G509" s="184" t="s">
        <v>1532</v>
      </c>
      <c r="H509" s="184" t="s">
        <v>1023</v>
      </c>
      <c r="I509" s="184" t="s">
        <v>317</v>
      </c>
      <c r="J509" s="184"/>
    </row>
    <row r="510" spans="1:10">
      <c r="A510" s="184" t="s">
        <v>1527</v>
      </c>
      <c r="B510" s="184" t="s">
        <v>1556</v>
      </c>
      <c r="C510" s="184" t="s">
        <v>1651</v>
      </c>
      <c r="D510" s="184" t="s">
        <v>1558</v>
      </c>
      <c r="E510" s="184"/>
      <c r="F510" s="184" t="s">
        <v>2485</v>
      </c>
      <c r="G510" s="184" t="s">
        <v>1532</v>
      </c>
      <c r="H510" s="184" t="s">
        <v>1025</v>
      </c>
      <c r="I510" s="184" t="s">
        <v>322</v>
      </c>
      <c r="J510" s="184"/>
    </row>
    <row r="511" spans="1:10">
      <c r="A511" s="184" t="s">
        <v>1527</v>
      </c>
      <c r="B511" s="184" t="s">
        <v>1701</v>
      </c>
      <c r="C511" s="184" t="s">
        <v>2446</v>
      </c>
      <c r="D511" s="184" t="s">
        <v>1703</v>
      </c>
      <c r="E511" s="184"/>
      <c r="F511" s="184" t="s">
        <v>2486</v>
      </c>
      <c r="G511" s="184" t="s">
        <v>1532</v>
      </c>
      <c r="H511" s="184" t="s">
        <v>2487</v>
      </c>
      <c r="I511" s="184" t="s">
        <v>1027</v>
      </c>
      <c r="J511" s="184"/>
    </row>
    <row r="512" spans="1:10">
      <c r="A512" s="184" t="s">
        <v>1527</v>
      </c>
      <c r="B512" s="184" t="s">
        <v>1701</v>
      </c>
      <c r="C512" s="184" t="s">
        <v>2446</v>
      </c>
      <c r="D512" s="184" t="s">
        <v>1703</v>
      </c>
      <c r="E512" s="184"/>
      <c r="F512" s="184" t="s">
        <v>2488</v>
      </c>
      <c r="G512" s="184" t="s">
        <v>1532</v>
      </c>
      <c r="H512" s="184" t="s">
        <v>2489</v>
      </c>
      <c r="I512" s="184" t="s">
        <v>1030</v>
      </c>
      <c r="J512" s="184"/>
    </row>
    <row r="513" spans="1:9">
      <c r="A513" s="184" t="s">
        <v>1527</v>
      </c>
      <c r="B513" s="184" t="s">
        <v>1701</v>
      </c>
      <c r="C513" s="184" t="s">
        <v>2446</v>
      </c>
      <c r="D513" s="184" t="s">
        <v>1703</v>
      </c>
      <c r="E513" s="184"/>
      <c r="F513" s="184" t="s">
        <v>2490</v>
      </c>
      <c r="G513" s="184" t="s">
        <v>1532</v>
      </c>
      <c r="H513" s="184" t="s">
        <v>2491</v>
      </c>
      <c r="I513" s="184" t="s">
        <v>1032</v>
      </c>
    </row>
    <row r="514" spans="1:9">
      <c r="A514" s="184" t="s">
        <v>1527</v>
      </c>
      <c r="B514" s="184" t="s">
        <v>1701</v>
      </c>
      <c r="C514" s="184" t="s">
        <v>2492</v>
      </c>
      <c r="D514" s="184" t="s">
        <v>1703</v>
      </c>
      <c r="E514" s="184"/>
      <c r="F514" s="184" t="s">
        <v>2493</v>
      </c>
      <c r="G514" s="184" t="s">
        <v>1532</v>
      </c>
      <c r="H514" s="184" t="s">
        <v>1033</v>
      </c>
      <c r="I514" s="184" t="s">
        <v>1034</v>
      </c>
    </row>
    <row r="515" spans="1:9">
      <c r="A515" s="184" t="s">
        <v>1527</v>
      </c>
      <c r="B515" s="184" t="s">
        <v>1701</v>
      </c>
      <c r="C515" s="184" t="s">
        <v>1754</v>
      </c>
      <c r="D515" s="184" t="s">
        <v>1703</v>
      </c>
      <c r="E515" s="184"/>
      <c r="F515" s="184" t="s">
        <v>2494</v>
      </c>
      <c r="G515" s="184" t="s">
        <v>1532</v>
      </c>
      <c r="H515" s="184" t="s">
        <v>1035</v>
      </c>
      <c r="I515" s="184" t="s">
        <v>1036</v>
      </c>
    </row>
    <row r="516" spans="1:9">
      <c r="A516" s="184" t="s">
        <v>1527</v>
      </c>
      <c r="B516" s="184" t="s">
        <v>1701</v>
      </c>
      <c r="C516" s="184" t="s">
        <v>1754</v>
      </c>
      <c r="D516" s="184" t="s">
        <v>1703</v>
      </c>
      <c r="E516" s="184"/>
      <c r="F516" s="184" t="s">
        <v>2495</v>
      </c>
      <c r="G516" s="184" t="s">
        <v>1532</v>
      </c>
      <c r="H516" s="184" t="s">
        <v>1037</v>
      </c>
      <c r="I516" s="184" t="s">
        <v>1038</v>
      </c>
    </row>
    <row r="517" spans="1:9">
      <c r="A517" s="184" t="s">
        <v>1527</v>
      </c>
      <c r="B517" s="184" t="s">
        <v>1556</v>
      </c>
      <c r="C517" s="184" t="s">
        <v>1681</v>
      </c>
      <c r="D517" s="184" t="s">
        <v>1558</v>
      </c>
      <c r="E517" s="184"/>
      <c r="F517" s="184" t="s">
        <v>2496</v>
      </c>
      <c r="G517" s="184" t="s">
        <v>1532</v>
      </c>
      <c r="H517" s="184" t="s">
        <v>2497</v>
      </c>
      <c r="I517" s="184" t="s">
        <v>170</v>
      </c>
    </row>
    <row r="518" spans="1:9">
      <c r="A518" s="184" t="s">
        <v>1527</v>
      </c>
      <c r="B518" s="184" t="s">
        <v>1693</v>
      </c>
      <c r="C518" s="184" t="s">
        <v>2498</v>
      </c>
      <c r="D518" s="184" t="s">
        <v>1730</v>
      </c>
      <c r="E518" s="184"/>
      <c r="F518" s="184" t="s">
        <v>2499</v>
      </c>
      <c r="G518" s="184" t="s">
        <v>1532</v>
      </c>
      <c r="H518" s="184" t="s">
        <v>2500</v>
      </c>
      <c r="I518" s="184" t="s">
        <v>1040</v>
      </c>
    </row>
    <row r="519" spans="1:9">
      <c r="A519" s="184" t="s">
        <v>1527</v>
      </c>
      <c r="B519" s="184" t="s">
        <v>1693</v>
      </c>
      <c r="C519" s="184" t="s">
        <v>2498</v>
      </c>
      <c r="D519" s="184" t="s">
        <v>1730</v>
      </c>
      <c r="E519" s="184"/>
      <c r="F519" s="184" t="s">
        <v>2501</v>
      </c>
      <c r="G519" s="184" t="s">
        <v>1532</v>
      </c>
      <c r="H519" s="184" t="s">
        <v>2502</v>
      </c>
      <c r="I519" s="184" t="s">
        <v>1040</v>
      </c>
    </row>
    <row r="520" spans="1:9">
      <c r="A520" s="184" t="s">
        <v>1527</v>
      </c>
      <c r="B520" s="184" t="s">
        <v>1693</v>
      </c>
      <c r="C520" s="184" t="s">
        <v>1808</v>
      </c>
      <c r="D520" s="184" t="s">
        <v>1730</v>
      </c>
      <c r="E520" s="184"/>
      <c r="F520" s="184" t="s">
        <v>2503</v>
      </c>
      <c r="G520" s="184" t="s">
        <v>1532</v>
      </c>
      <c r="H520" s="184" t="s">
        <v>2504</v>
      </c>
      <c r="I520" s="184" t="s">
        <v>64</v>
      </c>
    </row>
    <row r="521" spans="1:9">
      <c r="A521" s="184" t="s">
        <v>1527</v>
      </c>
      <c r="B521" s="184" t="s">
        <v>1693</v>
      </c>
      <c r="C521" s="184" t="s">
        <v>1808</v>
      </c>
      <c r="D521" s="184" t="s">
        <v>1730</v>
      </c>
      <c r="E521" s="184"/>
      <c r="F521" s="184" t="s">
        <v>2505</v>
      </c>
      <c r="G521" s="184" t="s">
        <v>1532</v>
      </c>
      <c r="H521" s="184" t="s">
        <v>2506</v>
      </c>
      <c r="I521" s="184" t="s">
        <v>64</v>
      </c>
    </row>
    <row r="522" spans="1:9">
      <c r="A522" s="184" t="s">
        <v>1527</v>
      </c>
      <c r="B522" s="184" t="s">
        <v>1693</v>
      </c>
      <c r="C522" s="184" t="s">
        <v>1808</v>
      </c>
      <c r="D522" s="184" t="s">
        <v>1730</v>
      </c>
      <c r="E522" s="184"/>
      <c r="F522" s="184" t="s">
        <v>2507</v>
      </c>
      <c r="G522" s="184" t="s">
        <v>1532</v>
      </c>
      <c r="H522" s="184" t="s">
        <v>2508</v>
      </c>
      <c r="I522" s="184" t="s">
        <v>44</v>
      </c>
    </row>
    <row r="523" spans="1:9">
      <c r="A523" s="184" t="s">
        <v>1527</v>
      </c>
      <c r="B523" s="184" t="s">
        <v>1693</v>
      </c>
      <c r="C523" s="184" t="s">
        <v>1808</v>
      </c>
      <c r="D523" s="184" t="s">
        <v>1730</v>
      </c>
      <c r="E523" s="184"/>
      <c r="F523" s="184" t="s">
        <v>2509</v>
      </c>
      <c r="G523" s="184" t="s">
        <v>1532</v>
      </c>
      <c r="H523" s="184" t="s">
        <v>2510</v>
      </c>
      <c r="I523" s="184" t="s">
        <v>44</v>
      </c>
    </row>
    <row r="524" spans="1:9">
      <c r="A524" s="184" t="s">
        <v>1527</v>
      </c>
      <c r="B524" s="184" t="s">
        <v>1701</v>
      </c>
      <c r="C524" s="184" t="s">
        <v>2446</v>
      </c>
      <c r="D524" s="184" t="s">
        <v>1703</v>
      </c>
      <c r="E524" s="184"/>
      <c r="F524" s="184" t="s">
        <v>2511</v>
      </c>
      <c r="G524" s="184" t="s">
        <v>1532</v>
      </c>
      <c r="H524" s="184" t="s">
        <v>2512</v>
      </c>
      <c r="I524" s="184" t="s">
        <v>1049</v>
      </c>
    </row>
    <row r="525" spans="1:9">
      <c r="A525" s="184" t="s">
        <v>1527</v>
      </c>
      <c r="B525" s="184" t="s">
        <v>1701</v>
      </c>
      <c r="C525" s="184" t="s">
        <v>2446</v>
      </c>
      <c r="D525" s="184" t="s">
        <v>1703</v>
      </c>
      <c r="E525" s="184"/>
      <c r="F525" s="184" t="s">
        <v>2513</v>
      </c>
      <c r="G525" s="184" t="s">
        <v>1532</v>
      </c>
      <c r="H525" s="184" t="s">
        <v>2514</v>
      </c>
      <c r="I525" s="184" t="s">
        <v>1055</v>
      </c>
    </row>
    <row r="526" spans="1:9">
      <c r="A526" s="184" t="s">
        <v>1527</v>
      </c>
      <c r="B526" s="184" t="s">
        <v>1556</v>
      </c>
      <c r="C526" s="184" t="s">
        <v>1681</v>
      </c>
      <c r="D526" s="184" t="s">
        <v>1558</v>
      </c>
      <c r="E526" s="184"/>
      <c r="F526" s="184" t="s">
        <v>2515</v>
      </c>
      <c r="G526" s="184" t="s">
        <v>1532</v>
      </c>
      <c r="H526" s="184" t="s">
        <v>2516</v>
      </c>
      <c r="I526" s="184" t="s">
        <v>1051</v>
      </c>
    </row>
    <row r="527" spans="1:9">
      <c r="A527" s="184" t="s">
        <v>1527</v>
      </c>
      <c r="B527" s="184" t="s">
        <v>1701</v>
      </c>
      <c r="C527" s="184" t="s">
        <v>1724</v>
      </c>
      <c r="D527" s="184" t="s">
        <v>1703</v>
      </c>
      <c r="E527" s="184"/>
      <c r="F527" s="184" t="s">
        <v>2517</v>
      </c>
      <c r="G527" s="184" t="s">
        <v>1532</v>
      </c>
      <c r="H527" s="184" t="s">
        <v>1052</v>
      </c>
      <c r="I527" s="184" t="s">
        <v>1053</v>
      </c>
    </row>
    <row r="528" spans="1:9">
      <c r="A528" s="184" t="s">
        <v>1527</v>
      </c>
      <c r="B528" s="184" t="s">
        <v>1693</v>
      </c>
      <c r="C528" s="184" t="s">
        <v>2147</v>
      </c>
      <c r="D528" s="184" t="s">
        <v>1730</v>
      </c>
      <c r="E528" s="184"/>
      <c r="F528" s="184" t="s">
        <v>2518</v>
      </c>
      <c r="G528" s="184" t="s">
        <v>1532</v>
      </c>
      <c r="H528" s="184" t="s">
        <v>2519</v>
      </c>
      <c r="I528" s="184" t="s">
        <v>629</v>
      </c>
    </row>
    <row r="529" spans="1:9">
      <c r="A529" s="184" t="s">
        <v>1527</v>
      </c>
      <c r="B529" s="184" t="s">
        <v>1693</v>
      </c>
      <c r="C529" s="184" t="s">
        <v>2147</v>
      </c>
      <c r="D529" s="184" t="s">
        <v>1730</v>
      </c>
      <c r="E529" s="184"/>
      <c r="F529" s="184" t="s">
        <v>2520</v>
      </c>
      <c r="G529" s="184" t="s">
        <v>1532</v>
      </c>
      <c r="H529" s="184" t="s">
        <v>2521</v>
      </c>
      <c r="I529" s="184" t="s">
        <v>629</v>
      </c>
    </row>
    <row r="530" spans="1:9">
      <c r="A530" s="184" t="s">
        <v>1527</v>
      </c>
      <c r="B530" s="184" t="s">
        <v>1701</v>
      </c>
      <c r="C530" s="184" t="s">
        <v>2137</v>
      </c>
      <c r="D530" s="184" t="s">
        <v>1703</v>
      </c>
      <c r="E530" s="184"/>
      <c r="F530" s="184" t="s">
        <v>2522</v>
      </c>
      <c r="G530" s="184" t="s">
        <v>1532</v>
      </c>
      <c r="H530" s="184" t="s">
        <v>2523</v>
      </c>
      <c r="I530" s="184" t="s">
        <v>1060</v>
      </c>
    </row>
    <row r="531" spans="1:9">
      <c r="A531" s="184" t="s">
        <v>1527</v>
      </c>
      <c r="B531" s="184" t="s">
        <v>1693</v>
      </c>
      <c r="C531" s="184" t="s">
        <v>2147</v>
      </c>
      <c r="D531" s="184" t="s">
        <v>1730</v>
      </c>
      <c r="E531" s="184"/>
      <c r="F531" s="184" t="s">
        <v>2524</v>
      </c>
      <c r="G531" s="184" t="s">
        <v>1532</v>
      </c>
      <c r="H531" s="184" t="s">
        <v>2525</v>
      </c>
      <c r="I531" s="184" t="s">
        <v>1060</v>
      </c>
    </row>
    <row r="532" spans="1:9">
      <c r="A532" s="184" t="s">
        <v>1527</v>
      </c>
      <c r="B532" s="184" t="s">
        <v>1693</v>
      </c>
      <c r="C532" s="184" t="s">
        <v>2526</v>
      </c>
      <c r="D532" s="184" t="s">
        <v>1730</v>
      </c>
      <c r="E532" s="184"/>
      <c r="F532" s="184" t="s">
        <v>2527</v>
      </c>
      <c r="G532" s="184" t="s">
        <v>1532</v>
      </c>
      <c r="H532" s="184" t="s">
        <v>1068</v>
      </c>
      <c r="I532" s="184" t="s">
        <v>1063</v>
      </c>
    </row>
    <row r="533" spans="1:9">
      <c r="A533" s="184" t="s">
        <v>1527</v>
      </c>
      <c r="B533" s="184" t="s">
        <v>1693</v>
      </c>
      <c r="C533" s="184" t="s">
        <v>2526</v>
      </c>
      <c r="D533" s="184" t="s">
        <v>1730</v>
      </c>
      <c r="E533" s="184"/>
      <c r="F533" s="184" t="s">
        <v>2528</v>
      </c>
      <c r="G533" s="184" t="s">
        <v>1532</v>
      </c>
      <c r="H533" s="184" t="s">
        <v>1070</v>
      </c>
      <c r="I533" s="184" t="s">
        <v>1063</v>
      </c>
    </row>
    <row r="534" spans="1:9">
      <c r="A534" s="184" t="s">
        <v>1527</v>
      </c>
      <c r="B534" s="184" t="s">
        <v>1693</v>
      </c>
      <c r="C534" s="184" t="s">
        <v>2526</v>
      </c>
      <c r="D534" s="184" t="s">
        <v>1730</v>
      </c>
      <c r="E534" s="184"/>
      <c r="F534" s="184" t="s">
        <v>2529</v>
      </c>
      <c r="G534" s="184" t="s">
        <v>1532</v>
      </c>
      <c r="H534" s="184" t="s">
        <v>1065</v>
      </c>
      <c r="I534" s="184" t="s">
        <v>1066</v>
      </c>
    </row>
    <row r="535" spans="1:9">
      <c r="A535" s="184" t="s">
        <v>1527</v>
      </c>
      <c r="B535" s="184" t="s">
        <v>1693</v>
      </c>
      <c r="C535" s="184" t="s">
        <v>2526</v>
      </c>
      <c r="D535" s="184" t="s">
        <v>1730</v>
      </c>
      <c r="E535" s="184"/>
      <c r="F535" s="184" t="s">
        <v>2530</v>
      </c>
      <c r="G535" s="184" t="s">
        <v>1532</v>
      </c>
      <c r="H535" s="184" t="s">
        <v>1067</v>
      </c>
      <c r="I535" s="184" t="s">
        <v>1066</v>
      </c>
    </row>
    <row r="536" spans="1:9">
      <c r="A536" s="184" t="s">
        <v>1527</v>
      </c>
      <c r="B536" s="184" t="s">
        <v>1693</v>
      </c>
      <c r="C536" s="184" t="s">
        <v>1850</v>
      </c>
      <c r="D536" s="184" t="s">
        <v>1730</v>
      </c>
      <c r="E536" s="184"/>
      <c r="F536" s="184" t="s">
        <v>2531</v>
      </c>
      <c r="G536" s="184" t="s">
        <v>1532</v>
      </c>
      <c r="H536" s="184" t="s">
        <v>1062</v>
      </c>
      <c r="I536" s="184" t="s">
        <v>1069</v>
      </c>
    </row>
    <row r="537" spans="1:9">
      <c r="A537" s="184" t="s">
        <v>1527</v>
      </c>
      <c r="B537" s="184" t="s">
        <v>1693</v>
      </c>
      <c r="C537" s="184" t="s">
        <v>1850</v>
      </c>
      <c r="D537" s="184" t="s">
        <v>1730</v>
      </c>
      <c r="E537" s="184"/>
      <c r="F537" s="184" t="s">
        <v>2532</v>
      </c>
      <c r="G537" s="184" t="s">
        <v>1532</v>
      </c>
      <c r="H537" s="184" t="s">
        <v>1064</v>
      </c>
      <c r="I537" s="184" t="s">
        <v>1069</v>
      </c>
    </row>
    <row r="538" spans="1:9">
      <c r="A538" s="184" t="s">
        <v>1527</v>
      </c>
      <c r="B538" s="184" t="s">
        <v>1693</v>
      </c>
      <c r="C538" s="184" t="s">
        <v>1808</v>
      </c>
      <c r="D538" s="184" t="s">
        <v>1730</v>
      </c>
      <c r="E538" s="184"/>
      <c r="F538" s="184" t="s">
        <v>2533</v>
      </c>
      <c r="G538" s="184" t="s">
        <v>1532</v>
      </c>
      <c r="H538" s="184" t="s">
        <v>2534</v>
      </c>
      <c r="I538" s="184" t="s">
        <v>1072</v>
      </c>
    </row>
    <row r="539" spans="1:9">
      <c r="A539" s="184" t="s">
        <v>1527</v>
      </c>
      <c r="B539" s="184" t="s">
        <v>1693</v>
      </c>
      <c r="C539" s="184" t="s">
        <v>1808</v>
      </c>
      <c r="D539" s="184" t="s">
        <v>1730</v>
      </c>
      <c r="E539" s="184"/>
      <c r="F539" s="184" t="s">
        <v>2535</v>
      </c>
      <c r="G539" s="184" t="s">
        <v>1532</v>
      </c>
      <c r="H539" s="184" t="s">
        <v>2536</v>
      </c>
      <c r="I539" s="184" t="s">
        <v>1072</v>
      </c>
    </row>
    <row r="540" spans="1:9">
      <c r="A540" s="184" t="s">
        <v>1527</v>
      </c>
      <c r="B540" s="184" t="s">
        <v>1693</v>
      </c>
      <c r="C540" s="184" t="s">
        <v>1808</v>
      </c>
      <c r="D540" s="184" t="s">
        <v>1730</v>
      </c>
      <c r="E540" s="184"/>
      <c r="F540" s="184" t="s">
        <v>2537</v>
      </c>
      <c r="G540" s="184" t="s">
        <v>1532</v>
      </c>
      <c r="H540" s="184" t="s">
        <v>2538</v>
      </c>
      <c r="I540" s="184" t="s">
        <v>1075</v>
      </c>
    </row>
    <row r="541" spans="1:9">
      <c r="A541" s="184" t="s">
        <v>1527</v>
      </c>
      <c r="B541" s="184" t="s">
        <v>1693</v>
      </c>
      <c r="C541" s="184" t="s">
        <v>1808</v>
      </c>
      <c r="D541" s="184" t="s">
        <v>1730</v>
      </c>
      <c r="E541" s="184"/>
      <c r="F541" s="184" t="s">
        <v>2539</v>
      </c>
      <c r="G541" s="184" t="s">
        <v>1532</v>
      </c>
      <c r="H541" s="184" t="s">
        <v>2540</v>
      </c>
      <c r="I541" s="184" t="s">
        <v>1075</v>
      </c>
    </row>
    <row r="542" spans="1:9">
      <c r="A542" s="184" t="s">
        <v>1527</v>
      </c>
      <c r="B542" s="184" t="s">
        <v>1556</v>
      </c>
      <c r="C542" s="184" t="s">
        <v>2200</v>
      </c>
      <c r="D542" s="184" t="s">
        <v>1558</v>
      </c>
      <c r="E542" s="184"/>
      <c r="F542" s="184" t="s">
        <v>2541</v>
      </c>
      <c r="G542" s="184" t="s">
        <v>1532</v>
      </c>
      <c r="H542" s="184" t="s">
        <v>2542</v>
      </c>
      <c r="I542" s="184" t="s">
        <v>1078</v>
      </c>
    </row>
    <row r="543" spans="1:9">
      <c r="A543" s="184" t="s">
        <v>1527</v>
      </c>
      <c r="B543" s="184" t="s">
        <v>1556</v>
      </c>
      <c r="C543" s="184" t="s">
        <v>2200</v>
      </c>
      <c r="D543" s="184" t="s">
        <v>1558</v>
      </c>
      <c r="E543" s="184"/>
      <c r="F543" s="184" t="s">
        <v>2543</v>
      </c>
      <c r="G543" s="184" t="s">
        <v>1532</v>
      </c>
      <c r="H543" s="184" t="s">
        <v>2544</v>
      </c>
      <c r="I543" s="184" t="s">
        <v>1080</v>
      </c>
    </row>
    <row r="544" spans="1:9">
      <c r="A544" s="184" t="s">
        <v>1527</v>
      </c>
      <c r="B544" s="184" t="s">
        <v>1556</v>
      </c>
      <c r="C544" s="184" t="s">
        <v>2200</v>
      </c>
      <c r="D544" s="184" t="s">
        <v>1558</v>
      </c>
      <c r="E544" s="184"/>
      <c r="F544" s="184" t="s">
        <v>2545</v>
      </c>
      <c r="G544" s="184" t="s">
        <v>1532</v>
      </c>
      <c r="H544" s="184" t="s">
        <v>2546</v>
      </c>
      <c r="I544" s="184" t="s">
        <v>1082</v>
      </c>
    </row>
    <row r="545" spans="1:9">
      <c r="A545" s="184" t="s">
        <v>1527</v>
      </c>
      <c r="B545" s="184" t="s">
        <v>1556</v>
      </c>
      <c r="C545" s="184" t="s">
        <v>2200</v>
      </c>
      <c r="D545" s="184" t="s">
        <v>1558</v>
      </c>
      <c r="E545" s="184"/>
      <c r="F545" s="184" t="s">
        <v>2547</v>
      </c>
      <c r="G545" s="184" t="s">
        <v>1532</v>
      </c>
      <c r="H545" s="184" t="s">
        <v>2548</v>
      </c>
      <c r="I545" s="184" t="s">
        <v>1084</v>
      </c>
    </row>
    <row r="546" spans="1:9">
      <c r="A546" s="184" t="s">
        <v>1527</v>
      </c>
      <c r="B546" s="184" t="s">
        <v>1701</v>
      </c>
      <c r="C546" s="184" t="s">
        <v>2549</v>
      </c>
      <c r="D546" s="184" t="s">
        <v>2041</v>
      </c>
      <c r="E546" s="184"/>
      <c r="F546" s="184" t="s">
        <v>1086</v>
      </c>
      <c r="G546" s="184" t="s">
        <v>1532</v>
      </c>
      <c r="H546" s="184" t="s">
        <v>2550</v>
      </c>
      <c r="I546" s="184" t="s">
        <v>2551</v>
      </c>
    </row>
    <row r="547" spans="1:9">
      <c r="A547" s="184" t="s">
        <v>1527</v>
      </c>
      <c r="B547" s="184" t="s">
        <v>1701</v>
      </c>
      <c r="C547" s="184" t="s">
        <v>2549</v>
      </c>
      <c r="D547" s="184" t="s">
        <v>2041</v>
      </c>
      <c r="E547" s="184"/>
      <c r="F547" s="184" t="s">
        <v>1088</v>
      </c>
      <c r="G547" s="184" t="s">
        <v>1532</v>
      </c>
      <c r="H547" s="184" t="s">
        <v>2552</v>
      </c>
      <c r="I547" s="184" t="s">
        <v>2553</v>
      </c>
    </row>
    <row r="548" spans="1:9">
      <c r="A548" s="184" t="s">
        <v>1527</v>
      </c>
      <c r="B548" s="184" t="s">
        <v>1701</v>
      </c>
      <c r="C548" s="184" t="s">
        <v>2040</v>
      </c>
      <c r="D548" s="184" t="s">
        <v>2041</v>
      </c>
      <c r="E548" s="184"/>
      <c r="F548" s="184" t="s">
        <v>1090</v>
      </c>
      <c r="G548" s="184" t="s">
        <v>1532</v>
      </c>
      <c r="H548" s="184" t="s">
        <v>2554</v>
      </c>
      <c r="I548" s="184" t="s">
        <v>2555</v>
      </c>
    </row>
    <row r="549" spans="1:9">
      <c r="A549" s="184" t="s">
        <v>1527</v>
      </c>
      <c r="B549" s="184" t="s">
        <v>1701</v>
      </c>
      <c r="C549" s="184" t="s">
        <v>2040</v>
      </c>
      <c r="D549" s="184" t="s">
        <v>2041</v>
      </c>
      <c r="E549" s="184"/>
      <c r="F549" s="184" t="s">
        <v>1092</v>
      </c>
      <c r="G549" s="184" t="s">
        <v>1532</v>
      </c>
      <c r="H549" s="184" t="s">
        <v>2556</v>
      </c>
      <c r="I549" s="184" t="s">
        <v>2557</v>
      </c>
    </row>
    <row r="550" spans="1:9">
      <c r="A550" s="184" t="s">
        <v>1527</v>
      </c>
      <c r="B550" s="184" t="s">
        <v>1693</v>
      </c>
      <c r="C550" s="184" t="s">
        <v>1808</v>
      </c>
      <c r="D550" s="184" t="s">
        <v>1730</v>
      </c>
      <c r="E550" s="184"/>
      <c r="F550" s="184" t="s">
        <v>2558</v>
      </c>
      <c r="G550" s="184" t="s">
        <v>1532</v>
      </c>
      <c r="H550" s="184" t="s">
        <v>2559</v>
      </c>
      <c r="I550" s="184" t="s">
        <v>1098</v>
      </c>
    </row>
    <row r="551" spans="1:9">
      <c r="A551" s="184" t="s">
        <v>1527</v>
      </c>
      <c r="B551" s="184" t="s">
        <v>1693</v>
      </c>
      <c r="C551" s="184" t="s">
        <v>1850</v>
      </c>
      <c r="D551" s="184" t="s">
        <v>1730</v>
      </c>
      <c r="E551" s="184"/>
      <c r="F551" s="184" t="s">
        <v>2560</v>
      </c>
      <c r="G551" s="184" t="s">
        <v>1532</v>
      </c>
      <c r="H551" s="184" t="s">
        <v>2561</v>
      </c>
      <c r="I551" s="184" t="s">
        <v>1102</v>
      </c>
    </row>
    <row r="552" spans="1:9">
      <c r="A552" s="184" t="s">
        <v>1527</v>
      </c>
      <c r="B552" s="184" t="s">
        <v>1693</v>
      </c>
      <c r="C552" s="184" t="s">
        <v>1850</v>
      </c>
      <c r="D552" s="184" t="s">
        <v>1730</v>
      </c>
      <c r="E552" s="184"/>
      <c r="F552" s="184" t="s">
        <v>2562</v>
      </c>
      <c r="G552" s="184" t="s">
        <v>1532</v>
      </c>
      <c r="H552" s="184" t="s">
        <v>2563</v>
      </c>
      <c r="I552" s="184" t="s">
        <v>1094</v>
      </c>
    </row>
    <row r="553" spans="1:9">
      <c r="A553" s="184" t="s">
        <v>1527</v>
      </c>
      <c r="B553" s="184" t="s">
        <v>1693</v>
      </c>
      <c r="C553" s="184" t="s">
        <v>1850</v>
      </c>
      <c r="D553" s="184" t="s">
        <v>1730</v>
      </c>
      <c r="E553" s="184"/>
      <c r="F553" s="184" t="s">
        <v>2564</v>
      </c>
      <c r="G553" s="184" t="s">
        <v>1532</v>
      </c>
      <c r="H553" s="184" t="s">
        <v>2563</v>
      </c>
      <c r="I553" s="184" t="s">
        <v>1096</v>
      </c>
    </row>
    <row r="554" spans="1:9">
      <c r="A554" s="184" t="s">
        <v>1527</v>
      </c>
      <c r="B554" s="184" t="s">
        <v>1701</v>
      </c>
      <c r="C554" s="184" t="s">
        <v>1784</v>
      </c>
      <c r="D554" s="184" t="s">
        <v>1703</v>
      </c>
      <c r="E554" s="184"/>
      <c r="F554" s="184" t="s">
        <v>2565</v>
      </c>
      <c r="G554" s="184" t="s">
        <v>1532</v>
      </c>
      <c r="H554" s="184" t="s">
        <v>2566</v>
      </c>
      <c r="I554" s="184" t="s">
        <v>310</v>
      </c>
    </row>
    <row r="555" spans="1:9">
      <c r="A555" s="184" t="s">
        <v>1527</v>
      </c>
      <c r="B555" s="184" t="s">
        <v>1701</v>
      </c>
      <c r="C555" s="184" t="s">
        <v>1784</v>
      </c>
      <c r="D555" s="184" t="s">
        <v>1703</v>
      </c>
      <c r="E555" s="184"/>
      <c r="F555" s="184" t="s">
        <v>2567</v>
      </c>
      <c r="G555" s="184" t="s">
        <v>1532</v>
      </c>
      <c r="H555" s="184" t="s">
        <v>2568</v>
      </c>
      <c r="I555" s="184" t="s">
        <v>308</v>
      </c>
    </row>
    <row r="556" spans="1:9">
      <c r="A556" s="184" t="s">
        <v>1527</v>
      </c>
      <c r="B556" s="184" t="s">
        <v>1701</v>
      </c>
      <c r="C556" s="184" t="s">
        <v>1784</v>
      </c>
      <c r="D556" s="184" t="s">
        <v>1703</v>
      </c>
      <c r="E556" s="184"/>
      <c r="F556" s="184" t="s">
        <v>2569</v>
      </c>
      <c r="G556" s="184" t="s">
        <v>1532</v>
      </c>
      <c r="H556" s="184" t="s">
        <v>2570</v>
      </c>
      <c r="I556" s="184" t="s">
        <v>312</v>
      </c>
    </row>
    <row r="557" spans="1:9">
      <c r="A557" s="184" t="s">
        <v>1527</v>
      </c>
      <c r="B557" s="184" t="s">
        <v>1701</v>
      </c>
      <c r="C557" s="184" t="s">
        <v>1754</v>
      </c>
      <c r="D557" s="184" t="s">
        <v>1703</v>
      </c>
      <c r="E557" s="184"/>
      <c r="F557" s="184" t="s">
        <v>2571</v>
      </c>
      <c r="G557" s="184" t="s">
        <v>1532</v>
      </c>
      <c r="H557" s="184" t="s">
        <v>2572</v>
      </c>
      <c r="I557" s="184" t="s">
        <v>306</v>
      </c>
    </row>
    <row r="558" spans="1:9">
      <c r="A558" s="184" t="s">
        <v>1527</v>
      </c>
      <c r="B558" s="184" t="s">
        <v>1693</v>
      </c>
      <c r="C558" s="184" t="s">
        <v>1808</v>
      </c>
      <c r="D558" s="184" t="s">
        <v>1730</v>
      </c>
      <c r="E558" s="184"/>
      <c r="F558" s="184" t="s">
        <v>2573</v>
      </c>
      <c r="G558" s="184" t="s">
        <v>1532</v>
      </c>
      <c r="H558" s="184" t="s">
        <v>2574</v>
      </c>
      <c r="I558" s="184" t="s">
        <v>1100</v>
      </c>
    </row>
    <row r="559" spans="1:9">
      <c r="A559" s="184" t="s">
        <v>1527</v>
      </c>
      <c r="B559" s="184" t="s">
        <v>1693</v>
      </c>
      <c r="C559" s="184" t="s">
        <v>1808</v>
      </c>
      <c r="D559" s="184" t="s">
        <v>1730</v>
      </c>
      <c r="E559" s="184"/>
      <c r="F559" s="184" t="s">
        <v>2575</v>
      </c>
      <c r="G559" s="184" t="s">
        <v>1532</v>
      </c>
      <c r="H559" s="184" t="s">
        <v>2576</v>
      </c>
      <c r="I559" s="184" t="s">
        <v>1106</v>
      </c>
    </row>
    <row r="560" spans="1:9">
      <c r="A560" s="184" t="s">
        <v>1527</v>
      </c>
      <c r="B560" s="184" t="s">
        <v>1693</v>
      </c>
      <c r="C560" s="184" t="s">
        <v>1808</v>
      </c>
      <c r="D560" s="184" t="s">
        <v>1730</v>
      </c>
      <c r="E560" s="184"/>
      <c r="F560" s="184" t="s">
        <v>2577</v>
      </c>
      <c r="G560" s="184" t="s">
        <v>1532</v>
      </c>
      <c r="H560" s="184" t="s">
        <v>2578</v>
      </c>
      <c r="I560" s="184" t="s">
        <v>1106</v>
      </c>
    </row>
    <row r="561" spans="1:9">
      <c r="A561" s="184" t="s">
        <v>1527</v>
      </c>
      <c r="B561" s="184" t="s">
        <v>1556</v>
      </c>
      <c r="C561" s="184" t="s">
        <v>1681</v>
      </c>
      <c r="D561" s="184" t="s">
        <v>1558</v>
      </c>
      <c r="E561" s="184"/>
      <c r="F561" s="184" t="s">
        <v>2579</v>
      </c>
      <c r="G561" s="184" t="s">
        <v>1532</v>
      </c>
      <c r="H561" s="184" t="s">
        <v>2580</v>
      </c>
      <c r="I561" s="184" t="s">
        <v>1110</v>
      </c>
    </row>
    <row r="562" spans="1:9">
      <c r="A562" s="184" t="s">
        <v>1527</v>
      </c>
      <c r="B562" s="184" t="s">
        <v>1701</v>
      </c>
      <c r="C562" s="184" t="s">
        <v>2047</v>
      </c>
      <c r="D562" s="184" t="s">
        <v>2041</v>
      </c>
      <c r="E562" s="184"/>
      <c r="F562" s="184" t="s">
        <v>2581</v>
      </c>
      <c r="G562" s="184" t="s">
        <v>1532</v>
      </c>
      <c r="H562" s="184" t="s">
        <v>2582</v>
      </c>
      <c r="I562" s="184" t="s">
        <v>1112</v>
      </c>
    </row>
    <row r="563" spans="1:9">
      <c r="A563" s="184" t="s">
        <v>1527</v>
      </c>
      <c r="B563" s="184" t="s">
        <v>1701</v>
      </c>
      <c r="C563" s="184" t="s">
        <v>2047</v>
      </c>
      <c r="D563" s="184" t="s">
        <v>2041</v>
      </c>
      <c r="E563" s="184"/>
      <c r="F563" s="184" t="s">
        <v>2583</v>
      </c>
      <c r="G563" s="184" t="s">
        <v>1532</v>
      </c>
      <c r="H563" s="184" t="s">
        <v>2584</v>
      </c>
      <c r="I563" s="184" t="s">
        <v>1115</v>
      </c>
    </row>
    <row r="564" spans="1:9">
      <c r="A564" s="184" t="s">
        <v>1527</v>
      </c>
      <c r="B564" s="184" t="s">
        <v>1701</v>
      </c>
      <c r="C564" s="184" t="s">
        <v>2047</v>
      </c>
      <c r="D564" s="184" t="s">
        <v>2041</v>
      </c>
      <c r="E564" s="184"/>
      <c r="F564" s="184" t="s">
        <v>2585</v>
      </c>
      <c r="G564" s="184" t="s">
        <v>1532</v>
      </c>
      <c r="H564" s="184" t="s">
        <v>2586</v>
      </c>
      <c r="I564" s="184" t="s">
        <v>1121</v>
      </c>
    </row>
    <row r="565" spans="1:9">
      <c r="A565" s="184" t="s">
        <v>1527</v>
      </c>
      <c r="B565" s="184" t="s">
        <v>1701</v>
      </c>
      <c r="C565" s="184" t="s">
        <v>2047</v>
      </c>
      <c r="D565" s="184" t="s">
        <v>2041</v>
      </c>
      <c r="E565" s="184"/>
      <c r="F565" s="184" t="s">
        <v>2587</v>
      </c>
      <c r="G565" s="184" t="s">
        <v>1532</v>
      </c>
      <c r="H565" s="184" t="s">
        <v>2588</v>
      </c>
      <c r="I565" s="184" t="s">
        <v>1118</v>
      </c>
    </row>
    <row r="566" spans="1:9">
      <c r="A566" s="184" t="s">
        <v>1527</v>
      </c>
      <c r="B566" s="184" t="s">
        <v>1701</v>
      </c>
      <c r="C566" s="184" t="s">
        <v>2040</v>
      </c>
      <c r="D566" s="184" t="s">
        <v>2041</v>
      </c>
      <c r="E566" s="184"/>
      <c r="F566" s="184" t="s">
        <v>1700</v>
      </c>
      <c r="G566" s="184" t="s">
        <v>1532</v>
      </c>
      <c r="H566" s="184"/>
      <c r="I566" s="184"/>
    </row>
    <row r="567" spans="1:9">
      <c r="A567" s="184" t="s">
        <v>1527</v>
      </c>
      <c r="B567" s="184" t="s">
        <v>1556</v>
      </c>
      <c r="C567" s="184" t="s">
        <v>1681</v>
      </c>
      <c r="D567" s="184" t="s">
        <v>1558</v>
      </c>
      <c r="E567" s="184"/>
      <c r="F567" s="184" t="s">
        <v>2589</v>
      </c>
      <c r="G567" s="184" t="s">
        <v>1532</v>
      </c>
      <c r="H567" s="184" t="s">
        <v>2590</v>
      </c>
      <c r="I567" s="184" t="s">
        <v>1123</v>
      </c>
    </row>
    <row r="568" spans="1:9">
      <c r="A568" s="184" t="s">
        <v>1527</v>
      </c>
      <c r="B568" s="184" t="s">
        <v>1693</v>
      </c>
      <c r="C568" s="184" t="s">
        <v>2498</v>
      </c>
      <c r="D568" s="184" t="s">
        <v>1730</v>
      </c>
      <c r="E568" s="184"/>
      <c r="F568" s="184" t="s">
        <v>2591</v>
      </c>
      <c r="G568" s="184" t="s">
        <v>1532</v>
      </c>
      <c r="H568" s="184" t="s">
        <v>1124</v>
      </c>
      <c r="I568" s="184" t="s">
        <v>1123</v>
      </c>
    </row>
    <row r="569" spans="1:9">
      <c r="A569" s="184" t="s">
        <v>1527</v>
      </c>
      <c r="B569" s="184" t="s">
        <v>1693</v>
      </c>
      <c r="C569" s="184" t="s">
        <v>2498</v>
      </c>
      <c r="D569" s="184" t="s">
        <v>1730</v>
      </c>
      <c r="E569" s="184"/>
      <c r="F569" s="184" t="s">
        <v>2592</v>
      </c>
      <c r="G569" s="184" t="s">
        <v>1532</v>
      </c>
      <c r="H569" s="184" t="s">
        <v>1126</v>
      </c>
      <c r="I569" s="184" t="s">
        <v>1123</v>
      </c>
    </row>
    <row r="570" spans="1:9">
      <c r="A570" s="184" t="s">
        <v>1527</v>
      </c>
      <c r="B570" s="184" t="s">
        <v>1701</v>
      </c>
      <c r="C570" s="184" t="s">
        <v>1724</v>
      </c>
      <c r="D570" s="184" t="s">
        <v>1703</v>
      </c>
      <c r="E570" s="184"/>
      <c r="F570" s="184" t="s">
        <v>2593</v>
      </c>
      <c r="G570" s="184" t="s">
        <v>1532</v>
      </c>
      <c r="H570" s="184" t="s">
        <v>2594</v>
      </c>
      <c r="I570" s="184" t="s">
        <v>1128</v>
      </c>
    </row>
    <row r="571" spans="1:9">
      <c r="A571" s="184" t="s">
        <v>1527</v>
      </c>
      <c r="B571" s="184" t="s">
        <v>1556</v>
      </c>
      <c r="C571" s="184" t="s">
        <v>1681</v>
      </c>
      <c r="D571" s="184" t="s">
        <v>1558</v>
      </c>
      <c r="E571" s="184"/>
      <c r="F571" s="184" t="s">
        <v>2595</v>
      </c>
      <c r="G571" s="184" t="s">
        <v>1532</v>
      </c>
      <c r="H571" s="184" t="s">
        <v>2596</v>
      </c>
      <c r="I571" s="184" t="s">
        <v>1130</v>
      </c>
    </row>
    <row r="572" spans="1:9">
      <c r="A572" s="184" t="s">
        <v>1527</v>
      </c>
      <c r="B572" s="184" t="s">
        <v>1693</v>
      </c>
      <c r="C572" s="184" t="s">
        <v>2526</v>
      </c>
      <c r="D572" s="184" t="s">
        <v>1730</v>
      </c>
      <c r="E572" s="184"/>
      <c r="F572" s="184" t="s">
        <v>2597</v>
      </c>
      <c r="G572" s="184" t="s">
        <v>1532</v>
      </c>
      <c r="H572" s="184" t="s">
        <v>2598</v>
      </c>
      <c r="I572" s="184" t="s">
        <v>1130</v>
      </c>
    </row>
    <row r="573" spans="1:9">
      <c r="A573" s="184" t="s">
        <v>1527</v>
      </c>
      <c r="B573" s="184" t="s">
        <v>1693</v>
      </c>
      <c r="C573" s="184" t="s">
        <v>2526</v>
      </c>
      <c r="D573" s="184" t="s">
        <v>1730</v>
      </c>
      <c r="E573" s="184"/>
      <c r="F573" s="184" t="s">
        <v>2599</v>
      </c>
      <c r="G573" s="184" t="s">
        <v>1532</v>
      </c>
      <c r="H573" s="184" t="s">
        <v>2600</v>
      </c>
      <c r="I573" s="184" t="s">
        <v>1130</v>
      </c>
    </row>
    <row r="574" spans="1:9">
      <c r="A574" s="184" t="s">
        <v>1527</v>
      </c>
      <c r="B574" s="184" t="s">
        <v>1693</v>
      </c>
      <c r="C574" s="184" t="s">
        <v>1916</v>
      </c>
      <c r="D574" s="184" t="s">
        <v>1730</v>
      </c>
      <c r="E574" s="184"/>
      <c r="F574" s="184" t="s">
        <v>2601</v>
      </c>
      <c r="G574" s="184" t="s">
        <v>1532</v>
      </c>
      <c r="H574" s="184" t="s">
        <v>2602</v>
      </c>
      <c r="I574" s="184" t="s">
        <v>1140</v>
      </c>
    </row>
    <row r="575" spans="1:9">
      <c r="A575" s="184" t="s">
        <v>1527</v>
      </c>
      <c r="B575" s="184" t="s">
        <v>1693</v>
      </c>
      <c r="C575" s="184" t="s">
        <v>1916</v>
      </c>
      <c r="D575" s="184" t="s">
        <v>1730</v>
      </c>
      <c r="E575" s="184"/>
      <c r="F575" s="184" t="s">
        <v>2603</v>
      </c>
      <c r="G575" s="184" t="s">
        <v>1532</v>
      </c>
      <c r="H575" s="184" t="s">
        <v>2604</v>
      </c>
      <c r="I575" s="184" t="s">
        <v>1140</v>
      </c>
    </row>
    <row r="576" spans="1:9">
      <c r="A576" s="184" t="s">
        <v>1527</v>
      </c>
      <c r="B576" s="184" t="s">
        <v>1556</v>
      </c>
      <c r="C576" s="184" t="s">
        <v>1681</v>
      </c>
      <c r="D576" s="184" t="s">
        <v>1558</v>
      </c>
      <c r="E576" s="184"/>
      <c r="F576" s="184" t="s">
        <v>2605</v>
      </c>
      <c r="G576" s="184" t="s">
        <v>1532</v>
      </c>
      <c r="H576" s="184" t="s">
        <v>2606</v>
      </c>
      <c r="I576" s="184" t="s">
        <v>1140</v>
      </c>
    </row>
    <row r="577" spans="1:10">
      <c r="A577" s="184" t="s">
        <v>1527</v>
      </c>
      <c r="B577" s="184" t="s">
        <v>1556</v>
      </c>
      <c r="C577" s="184" t="s">
        <v>1557</v>
      </c>
      <c r="D577" s="184" t="s">
        <v>1558</v>
      </c>
      <c r="E577" s="184"/>
      <c r="F577" s="184" t="s">
        <v>1700</v>
      </c>
      <c r="G577" s="184" t="s">
        <v>1532</v>
      </c>
      <c r="H577" s="184"/>
      <c r="I577" s="184"/>
      <c r="J577" s="184"/>
    </row>
    <row r="578" spans="1:10">
      <c r="A578" s="184" t="s">
        <v>1527</v>
      </c>
      <c r="B578" s="184" t="s">
        <v>1701</v>
      </c>
      <c r="C578" s="184" t="s">
        <v>1769</v>
      </c>
      <c r="D578" s="184" t="s">
        <v>1703</v>
      </c>
      <c r="E578" s="184"/>
      <c r="F578" s="184" t="s">
        <v>1145</v>
      </c>
      <c r="G578" s="184" t="s">
        <v>1532</v>
      </c>
      <c r="H578" s="184" t="s">
        <v>2607</v>
      </c>
      <c r="I578" s="184" t="s">
        <v>1145</v>
      </c>
      <c r="J578" s="184"/>
    </row>
    <row r="579" spans="1:10">
      <c r="A579" s="184" t="s">
        <v>1527</v>
      </c>
      <c r="B579" s="184" t="s">
        <v>1693</v>
      </c>
      <c r="C579" s="184" t="s">
        <v>2526</v>
      </c>
      <c r="D579" s="184" t="s">
        <v>1730</v>
      </c>
      <c r="E579" s="184"/>
      <c r="F579" s="184" t="s">
        <v>2608</v>
      </c>
      <c r="G579" s="184" t="s">
        <v>1532</v>
      </c>
      <c r="H579" s="184" t="s">
        <v>2609</v>
      </c>
      <c r="I579" s="184" t="s">
        <v>1147</v>
      </c>
      <c r="J579" s="184"/>
    </row>
    <row r="580" spans="1:10">
      <c r="A580" s="184" t="s">
        <v>1527</v>
      </c>
      <c r="B580" s="184" t="s">
        <v>1556</v>
      </c>
      <c r="C580" s="184" t="s">
        <v>1694</v>
      </c>
      <c r="D580" s="184" t="s">
        <v>1695</v>
      </c>
      <c r="E580" s="184"/>
      <c r="F580" s="184" t="s">
        <v>2610</v>
      </c>
      <c r="G580" s="184" t="s">
        <v>1532</v>
      </c>
      <c r="H580" s="184" t="s">
        <v>2611</v>
      </c>
      <c r="I580" s="184" t="s">
        <v>1150</v>
      </c>
      <c r="J580" s="184"/>
    </row>
    <row r="581" spans="1:10">
      <c r="A581" s="184" t="s">
        <v>1527</v>
      </c>
      <c r="B581" s="184" t="s">
        <v>1556</v>
      </c>
      <c r="C581" s="184" t="s">
        <v>1694</v>
      </c>
      <c r="D581" s="184" t="s">
        <v>1695</v>
      </c>
      <c r="E581" s="184"/>
      <c r="F581" s="184" t="s">
        <v>2612</v>
      </c>
      <c r="G581" s="184" t="s">
        <v>1532</v>
      </c>
      <c r="H581" s="184" t="s">
        <v>2611</v>
      </c>
      <c r="I581" s="184" t="s">
        <v>1153</v>
      </c>
      <c r="J581" s="184"/>
    </row>
    <row r="582" spans="1:10">
      <c r="A582" s="184" t="s">
        <v>1527</v>
      </c>
      <c r="B582" s="184" t="s">
        <v>1556</v>
      </c>
      <c r="C582" s="184" t="s">
        <v>1694</v>
      </c>
      <c r="D582" s="184" t="s">
        <v>1695</v>
      </c>
      <c r="E582" s="184"/>
      <c r="F582" s="184" t="s">
        <v>2613</v>
      </c>
      <c r="G582" s="184" t="s">
        <v>1532</v>
      </c>
      <c r="H582" s="184" t="s">
        <v>2611</v>
      </c>
      <c r="I582" s="184" t="s">
        <v>1155</v>
      </c>
      <c r="J582" s="184"/>
    </row>
    <row r="583" spans="1:10">
      <c r="A583" s="184" t="s">
        <v>1527</v>
      </c>
      <c r="B583" s="184" t="s">
        <v>1556</v>
      </c>
      <c r="C583" s="184" t="s">
        <v>1694</v>
      </c>
      <c r="D583" s="184" t="s">
        <v>1695</v>
      </c>
      <c r="E583" s="184"/>
      <c r="F583" s="184" t="s">
        <v>2614</v>
      </c>
      <c r="G583" s="184" t="s">
        <v>1532</v>
      </c>
      <c r="H583" s="184" t="s">
        <v>2611</v>
      </c>
      <c r="I583" s="184" t="s">
        <v>1156</v>
      </c>
      <c r="J583" s="184"/>
    </row>
    <row r="584" spans="1:10">
      <c r="A584" s="184" t="s">
        <v>1527</v>
      </c>
      <c r="B584" s="184" t="s">
        <v>1556</v>
      </c>
      <c r="C584" s="184" t="s">
        <v>1694</v>
      </c>
      <c r="D584" s="184" t="s">
        <v>1695</v>
      </c>
      <c r="E584" s="184"/>
      <c r="F584" s="184" t="s">
        <v>2615</v>
      </c>
      <c r="G584" s="184" t="s">
        <v>1532</v>
      </c>
      <c r="H584" s="184" t="s">
        <v>2611</v>
      </c>
      <c r="I584" s="184" t="s">
        <v>1158</v>
      </c>
      <c r="J584" s="184"/>
    </row>
    <row r="585" spans="1:10">
      <c r="A585" s="184" t="s">
        <v>1527</v>
      </c>
      <c r="B585" s="184" t="s">
        <v>1556</v>
      </c>
      <c r="C585" s="184" t="s">
        <v>1694</v>
      </c>
      <c r="D585" s="184" t="s">
        <v>1695</v>
      </c>
      <c r="E585" s="184"/>
      <c r="F585" s="184" t="s">
        <v>2616</v>
      </c>
      <c r="G585" s="184" t="s">
        <v>1532</v>
      </c>
      <c r="H585" s="184" t="s">
        <v>2611</v>
      </c>
      <c r="I585" s="184" t="s">
        <v>1160</v>
      </c>
      <c r="J585" s="184"/>
    </row>
    <row r="586" spans="1:10">
      <c r="A586" s="184" t="s">
        <v>1527</v>
      </c>
      <c r="B586" s="184" t="s">
        <v>1556</v>
      </c>
      <c r="C586" s="184" t="s">
        <v>1694</v>
      </c>
      <c r="D586" s="184" t="s">
        <v>1695</v>
      </c>
      <c r="E586" s="184"/>
      <c r="F586" s="184" t="s">
        <v>2617</v>
      </c>
      <c r="G586" s="184" t="s">
        <v>1532</v>
      </c>
      <c r="H586" s="184" t="s">
        <v>2611</v>
      </c>
      <c r="I586" s="184" t="s">
        <v>1161</v>
      </c>
      <c r="J586" s="184"/>
    </row>
    <row r="587" spans="1:10">
      <c r="A587" s="184" t="s">
        <v>1527</v>
      </c>
      <c r="B587" s="184" t="s">
        <v>1556</v>
      </c>
      <c r="C587" s="184" t="s">
        <v>1694</v>
      </c>
      <c r="D587" s="184" t="s">
        <v>1695</v>
      </c>
      <c r="E587" s="184"/>
      <c r="F587" s="184" t="s">
        <v>2618</v>
      </c>
      <c r="G587" s="184" t="s">
        <v>1532</v>
      </c>
      <c r="H587" s="184" t="s">
        <v>2611</v>
      </c>
      <c r="I587" s="184" t="s">
        <v>1162</v>
      </c>
      <c r="J587" s="184"/>
    </row>
    <row r="588" spans="1:10">
      <c r="A588" s="184" t="s">
        <v>1527</v>
      </c>
      <c r="B588" s="184" t="s">
        <v>1701</v>
      </c>
      <c r="C588" s="184" t="s">
        <v>1754</v>
      </c>
      <c r="D588" s="184" t="s">
        <v>1703</v>
      </c>
      <c r="E588" s="184"/>
      <c r="F588" s="184" t="s">
        <v>2619</v>
      </c>
      <c r="G588" s="184" t="s">
        <v>1532</v>
      </c>
      <c r="H588" s="184" t="s">
        <v>2620</v>
      </c>
      <c r="I588" s="184" t="s">
        <v>1213</v>
      </c>
      <c r="J588" s="184"/>
    </row>
    <row r="589" spans="1:10">
      <c r="A589" s="184" t="s">
        <v>1527</v>
      </c>
      <c r="B589" s="184" t="s">
        <v>1556</v>
      </c>
      <c r="C589" s="184" t="s">
        <v>1694</v>
      </c>
      <c r="D589" s="184" t="s">
        <v>1695</v>
      </c>
      <c r="E589" s="184"/>
      <c r="F589" s="184" t="s">
        <v>2621</v>
      </c>
      <c r="G589" s="184" t="s">
        <v>1532</v>
      </c>
      <c r="H589" s="184" t="s">
        <v>2622</v>
      </c>
      <c r="I589" s="184" t="s">
        <v>1180</v>
      </c>
      <c r="J589" s="184"/>
    </row>
    <row r="590" spans="1:10">
      <c r="A590" s="184" t="s">
        <v>1527</v>
      </c>
      <c r="B590" s="184" t="s">
        <v>1556</v>
      </c>
      <c r="C590" s="184" t="s">
        <v>1694</v>
      </c>
      <c r="D590" s="184" t="s">
        <v>1695</v>
      </c>
      <c r="E590" s="184"/>
      <c r="F590" s="184" t="s">
        <v>2623</v>
      </c>
      <c r="G590" s="184" t="s">
        <v>1532</v>
      </c>
      <c r="H590" s="184" t="s">
        <v>2624</v>
      </c>
      <c r="I590" s="184" t="s">
        <v>1183</v>
      </c>
      <c r="J590" s="184" t="s">
        <v>2625</v>
      </c>
    </row>
    <row r="591" spans="1:10">
      <c r="A591" s="184" t="s">
        <v>1527</v>
      </c>
      <c r="B591" s="184" t="s">
        <v>1556</v>
      </c>
      <c r="C591" s="184" t="s">
        <v>1694</v>
      </c>
      <c r="D591" s="184" t="s">
        <v>1695</v>
      </c>
      <c r="E591" s="184"/>
      <c r="F591" s="184" t="s">
        <v>2626</v>
      </c>
      <c r="G591" s="184" t="s">
        <v>1532</v>
      </c>
      <c r="H591" s="184" t="s">
        <v>2627</v>
      </c>
      <c r="I591" s="184" t="s">
        <v>1186</v>
      </c>
      <c r="J591" s="184" t="s">
        <v>2628</v>
      </c>
    </row>
    <row r="592" spans="1:10">
      <c r="A592" s="184" t="s">
        <v>1527</v>
      </c>
      <c r="B592" s="184" t="s">
        <v>1556</v>
      </c>
      <c r="C592" s="184" t="s">
        <v>1694</v>
      </c>
      <c r="D592" s="184" t="s">
        <v>1695</v>
      </c>
      <c r="E592" s="184"/>
      <c r="F592" s="184" t="s">
        <v>2629</v>
      </c>
      <c r="G592" s="184" t="s">
        <v>1532</v>
      </c>
      <c r="H592" s="184" t="s">
        <v>2630</v>
      </c>
      <c r="I592" s="184" t="s">
        <v>2631</v>
      </c>
      <c r="J592" s="184"/>
    </row>
    <row r="593" spans="1:10">
      <c r="A593" s="184" t="s">
        <v>1527</v>
      </c>
      <c r="B593" s="184" t="s">
        <v>1528</v>
      </c>
      <c r="C593" s="184" t="s">
        <v>1547</v>
      </c>
      <c r="D593" s="184" t="s">
        <v>1530</v>
      </c>
      <c r="E593" s="184"/>
      <c r="F593" s="184" t="s">
        <v>2632</v>
      </c>
      <c r="G593" s="184" t="s">
        <v>1532</v>
      </c>
      <c r="H593" s="184" t="s">
        <v>1195</v>
      </c>
      <c r="I593" s="184" t="s">
        <v>1196</v>
      </c>
      <c r="J593" s="184"/>
    </row>
    <row r="594" spans="1:10">
      <c r="A594" s="184" t="s">
        <v>1527</v>
      </c>
      <c r="B594" s="184" t="s">
        <v>1556</v>
      </c>
      <c r="C594" s="184" t="s">
        <v>1694</v>
      </c>
      <c r="D594" s="184" t="s">
        <v>1695</v>
      </c>
      <c r="E594" s="184"/>
      <c r="F594" s="184" t="s">
        <v>2633</v>
      </c>
      <c r="G594" s="184" t="s">
        <v>1532</v>
      </c>
      <c r="H594" s="184" t="s">
        <v>2634</v>
      </c>
      <c r="I594" s="184" t="s">
        <v>1191</v>
      </c>
      <c r="J594" s="184" t="s">
        <v>2635</v>
      </c>
    </row>
    <row r="595" spans="1:10">
      <c r="A595" s="184" t="s">
        <v>1527</v>
      </c>
      <c r="B595" s="184" t="s">
        <v>1693</v>
      </c>
      <c r="C595" s="184" t="s">
        <v>1916</v>
      </c>
      <c r="D595" s="184" t="s">
        <v>1730</v>
      </c>
      <c r="E595" s="184"/>
      <c r="F595" s="184" t="s">
        <v>2636</v>
      </c>
      <c r="G595" s="184" t="s">
        <v>1532</v>
      </c>
      <c r="H595" s="184" t="s">
        <v>2637</v>
      </c>
      <c r="I595" s="184" t="s">
        <v>1193</v>
      </c>
      <c r="J595" s="184"/>
    </row>
    <row r="596" spans="1:10">
      <c r="A596" s="184" t="s">
        <v>1527</v>
      </c>
      <c r="B596" s="184" t="s">
        <v>1693</v>
      </c>
      <c r="C596" s="184" t="s">
        <v>1916</v>
      </c>
      <c r="D596" s="184" t="s">
        <v>1730</v>
      </c>
      <c r="E596" s="184"/>
      <c r="F596" s="184" t="s">
        <v>2638</v>
      </c>
      <c r="G596" s="184" t="s">
        <v>1532</v>
      </c>
      <c r="H596" s="184" t="s">
        <v>2637</v>
      </c>
      <c r="I596" s="184" t="s">
        <v>1193</v>
      </c>
      <c r="J596" s="184"/>
    </row>
    <row r="597" spans="1:10">
      <c r="A597" s="184" t="s">
        <v>1527</v>
      </c>
      <c r="B597" s="184" t="s">
        <v>1556</v>
      </c>
      <c r="C597" s="184" t="s">
        <v>1557</v>
      </c>
      <c r="D597" s="184" t="s">
        <v>1558</v>
      </c>
      <c r="E597" s="184"/>
      <c r="F597" s="184" t="s">
        <v>2639</v>
      </c>
      <c r="G597" s="184" t="s">
        <v>1532</v>
      </c>
      <c r="H597" s="184" t="s">
        <v>2640</v>
      </c>
      <c r="I597" s="184" t="s">
        <v>1206</v>
      </c>
      <c r="J597" s="184"/>
    </row>
    <row r="598" spans="1:10">
      <c r="A598" s="184" t="s">
        <v>1527</v>
      </c>
      <c r="B598" s="184" t="s">
        <v>1693</v>
      </c>
      <c r="C598" s="184" t="s">
        <v>1808</v>
      </c>
      <c r="D598" s="184" t="s">
        <v>1730</v>
      </c>
      <c r="E598" s="184"/>
      <c r="F598" s="184" t="s">
        <v>2641</v>
      </c>
      <c r="G598" s="184" t="s">
        <v>1532</v>
      </c>
      <c r="H598" s="184" t="s">
        <v>2642</v>
      </c>
      <c r="I598" s="184" t="s">
        <v>1208</v>
      </c>
      <c r="J598" s="184"/>
    </row>
    <row r="599" spans="1:10">
      <c r="A599" s="184" t="s">
        <v>1527</v>
      </c>
      <c r="B599" s="184" t="s">
        <v>1693</v>
      </c>
      <c r="C599" s="184" t="s">
        <v>1808</v>
      </c>
      <c r="D599" s="184" t="s">
        <v>1730</v>
      </c>
      <c r="E599" s="184"/>
      <c r="F599" s="184" t="s">
        <v>2643</v>
      </c>
      <c r="G599" s="184" t="s">
        <v>1532</v>
      </c>
      <c r="H599" s="184" t="s">
        <v>2642</v>
      </c>
      <c r="I599" s="184" t="s">
        <v>1208</v>
      </c>
      <c r="J599" s="184"/>
    </row>
    <row r="600" spans="1:10">
      <c r="A600" s="184" t="s">
        <v>1527</v>
      </c>
      <c r="B600" s="184" t="s">
        <v>1701</v>
      </c>
      <c r="C600" s="184" t="s">
        <v>1784</v>
      </c>
      <c r="D600" s="184" t="s">
        <v>1703</v>
      </c>
      <c r="E600" s="184"/>
      <c r="F600" s="184" t="s">
        <v>2644</v>
      </c>
      <c r="G600" s="184" t="s">
        <v>1532</v>
      </c>
      <c r="H600" s="184" t="s">
        <v>2645</v>
      </c>
      <c r="I600" s="184" t="s">
        <v>1204</v>
      </c>
      <c r="J600" s="184"/>
    </row>
    <row r="601" spans="1:10">
      <c r="A601" s="184" t="s">
        <v>1527</v>
      </c>
      <c r="B601" s="184" t="s">
        <v>1528</v>
      </c>
      <c r="C601" s="184" t="s">
        <v>2646</v>
      </c>
      <c r="D601" s="184" t="s">
        <v>1530</v>
      </c>
      <c r="E601" s="184"/>
      <c r="F601" s="184" t="s">
        <v>2647</v>
      </c>
      <c r="G601" s="184" t="s">
        <v>1532</v>
      </c>
      <c r="H601" s="184" t="s">
        <v>2648</v>
      </c>
      <c r="I601" s="184" t="s">
        <v>1211</v>
      </c>
      <c r="J601" s="184"/>
    </row>
    <row r="602" spans="1:10">
      <c r="A602" s="184" t="s">
        <v>1527</v>
      </c>
      <c r="B602" s="184" t="s">
        <v>1556</v>
      </c>
      <c r="C602" s="184" t="s">
        <v>1681</v>
      </c>
      <c r="D602" s="184" t="s">
        <v>1558</v>
      </c>
      <c r="E602" s="184"/>
      <c r="F602" s="184" t="s">
        <v>2649</v>
      </c>
      <c r="G602" s="184" t="s">
        <v>1532</v>
      </c>
      <c r="H602" s="184" t="s">
        <v>2650</v>
      </c>
      <c r="I602" s="184" t="s">
        <v>1199</v>
      </c>
      <c r="J602" s="184"/>
    </row>
    <row r="603" spans="1:10">
      <c r="A603" s="184" t="s">
        <v>1527</v>
      </c>
      <c r="B603" s="184" t="s">
        <v>1701</v>
      </c>
      <c r="C603" s="184" t="s">
        <v>1784</v>
      </c>
      <c r="D603" s="184" t="s">
        <v>1703</v>
      </c>
      <c r="E603" s="184"/>
      <c r="F603" s="184" t="s">
        <v>2651</v>
      </c>
      <c r="G603" s="184" t="s">
        <v>1532</v>
      </c>
      <c r="H603" s="184" t="s">
        <v>2652</v>
      </c>
      <c r="I603" s="184" t="s">
        <v>1201</v>
      </c>
      <c r="J603" s="184"/>
    </row>
    <row r="604" spans="1:10">
      <c r="A604" s="184" t="s">
        <v>1527</v>
      </c>
      <c r="B604" s="184" t="s">
        <v>1701</v>
      </c>
      <c r="C604" s="184" t="s">
        <v>1784</v>
      </c>
      <c r="D604" s="184" t="s">
        <v>1703</v>
      </c>
      <c r="E604" s="184"/>
      <c r="F604" s="184" t="s">
        <v>2653</v>
      </c>
      <c r="G604" s="184" t="s">
        <v>1532</v>
      </c>
      <c r="H604" s="184" t="s">
        <v>2654</v>
      </c>
      <c r="I604" s="184" t="s">
        <v>1218</v>
      </c>
      <c r="J604" s="184"/>
    </row>
    <row r="605" spans="1:10">
      <c r="A605" s="184" t="s">
        <v>1527</v>
      </c>
      <c r="B605" s="184" t="s">
        <v>1701</v>
      </c>
      <c r="C605" s="184" t="s">
        <v>1784</v>
      </c>
      <c r="D605" s="184" t="s">
        <v>1703</v>
      </c>
      <c r="E605" s="184"/>
      <c r="F605" s="184" t="s">
        <v>1152</v>
      </c>
      <c r="G605" s="184" t="s">
        <v>1532</v>
      </c>
      <c r="H605" s="184" t="s">
        <v>1152</v>
      </c>
      <c r="I605" s="184" t="s">
        <v>1152</v>
      </c>
      <c r="J605" s="184"/>
    </row>
    <row r="606" spans="1:10">
      <c r="A606" s="184" t="s">
        <v>1527</v>
      </c>
      <c r="B606" s="184" t="s">
        <v>1556</v>
      </c>
      <c r="C606" s="184" t="s">
        <v>2655</v>
      </c>
      <c r="D606" s="184" t="s">
        <v>1558</v>
      </c>
      <c r="E606" s="184"/>
      <c r="F606" s="184" t="s">
        <v>2656</v>
      </c>
      <c r="G606" s="184" t="s">
        <v>1532</v>
      </c>
      <c r="H606" s="184" t="s">
        <v>2657</v>
      </c>
      <c r="I606" s="184" t="s">
        <v>1165</v>
      </c>
      <c r="J606" s="184"/>
    </row>
    <row r="607" spans="1:10">
      <c r="A607" s="184" t="s">
        <v>1527</v>
      </c>
      <c r="B607" s="184" t="s">
        <v>1556</v>
      </c>
      <c r="C607" s="184" t="s">
        <v>2655</v>
      </c>
      <c r="D607" s="184" t="s">
        <v>1558</v>
      </c>
      <c r="E607" s="184"/>
      <c r="F607" s="184" t="s">
        <v>2658</v>
      </c>
      <c r="G607" s="184" t="s">
        <v>1532</v>
      </c>
      <c r="H607" s="184" t="s">
        <v>2659</v>
      </c>
      <c r="I607" s="184" t="s">
        <v>1169</v>
      </c>
      <c r="J607" s="184"/>
    </row>
    <row r="608" spans="1:10">
      <c r="A608" s="184" t="s">
        <v>1527</v>
      </c>
      <c r="B608" s="184" t="s">
        <v>1556</v>
      </c>
      <c r="C608" s="184" t="s">
        <v>2655</v>
      </c>
      <c r="D608" s="184" t="s">
        <v>1558</v>
      </c>
      <c r="E608" s="184"/>
      <c r="F608" s="184" t="s">
        <v>2660</v>
      </c>
      <c r="G608" s="184" t="s">
        <v>1532</v>
      </c>
      <c r="H608" s="184" t="s">
        <v>2661</v>
      </c>
      <c r="I608" s="184" t="s">
        <v>2662</v>
      </c>
      <c r="J608" s="184"/>
    </row>
    <row r="609" spans="1:9">
      <c r="A609" s="184" t="s">
        <v>1527</v>
      </c>
      <c r="B609" s="184" t="s">
        <v>1556</v>
      </c>
      <c r="C609" s="184" t="s">
        <v>2655</v>
      </c>
      <c r="D609" s="184" t="s">
        <v>1558</v>
      </c>
      <c r="E609" s="184"/>
      <c r="F609" s="184" t="s">
        <v>1227</v>
      </c>
      <c r="G609" s="184" t="s">
        <v>1532</v>
      </c>
      <c r="H609" s="184" t="s">
        <v>2663</v>
      </c>
      <c r="I609" s="184" t="s">
        <v>1227</v>
      </c>
    </row>
    <row r="610" spans="1:9">
      <c r="A610" s="184" t="s">
        <v>1527</v>
      </c>
      <c r="B610" s="184" t="s">
        <v>1556</v>
      </c>
      <c r="C610" s="184" t="s">
        <v>2655</v>
      </c>
      <c r="D610" s="184" t="s">
        <v>1558</v>
      </c>
      <c r="E610" s="184"/>
      <c r="F610" s="184" t="s">
        <v>1230</v>
      </c>
      <c r="G610" s="184" t="s">
        <v>1532</v>
      </c>
      <c r="H610" s="184" t="s">
        <v>2664</v>
      </c>
      <c r="I610" s="184" t="s">
        <v>1230</v>
      </c>
    </row>
    <row r="611" spans="1:9">
      <c r="A611" s="184" t="s">
        <v>1527</v>
      </c>
      <c r="B611" s="184" t="s">
        <v>1693</v>
      </c>
      <c r="C611" s="184" t="s">
        <v>1916</v>
      </c>
      <c r="D611" s="184" t="s">
        <v>1730</v>
      </c>
      <c r="E611" s="184"/>
      <c r="F611" s="184" t="s">
        <v>1172</v>
      </c>
      <c r="G611" s="184" t="s">
        <v>1532</v>
      </c>
      <c r="H611" s="184" t="s">
        <v>2665</v>
      </c>
      <c r="I611" s="184" t="s">
        <v>1172</v>
      </c>
    </row>
    <row r="612" spans="1:9">
      <c r="A612" s="184" t="s">
        <v>1527</v>
      </c>
      <c r="B612" s="184" t="s">
        <v>1693</v>
      </c>
      <c r="C612" s="184" t="s">
        <v>1916</v>
      </c>
      <c r="D612" s="184" t="s">
        <v>1730</v>
      </c>
      <c r="E612" s="184"/>
      <c r="F612" s="184" t="s">
        <v>1174</v>
      </c>
      <c r="G612" s="184" t="s">
        <v>1532</v>
      </c>
      <c r="H612" s="184" t="s">
        <v>2665</v>
      </c>
      <c r="I612" s="184" t="s">
        <v>1174</v>
      </c>
    </row>
    <row r="613" spans="1:9">
      <c r="A613" s="184" t="s">
        <v>1527</v>
      </c>
      <c r="B613" s="184" t="s">
        <v>1693</v>
      </c>
      <c r="C613" s="184" t="s">
        <v>1916</v>
      </c>
      <c r="D613" s="184" t="s">
        <v>1730</v>
      </c>
      <c r="E613" s="184"/>
      <c r="F613" s="184" t="s">
        <v>1176</v>
      </c>
      <c r="G613" s="184" t="s">
        <v>1532</v>
      </c>
      <c r="H613" s="184" t="s">
        <v>2665</v>
      </c>
      <c r="I613" s="184" t="s">
        <v>1176</v>
      </c>
    </row>
    <row r="614" spans="1:9">
      <c r="A614" s="184" t="s">
        <v>1527</v>
      </c>
      <c r="B614" s="184" t="s">
        <v>1693</v>
      </c>
      <c r="C614" s="184" t="s">
        <v>1916</v>
      </c>
      <c r="D614" s="184" t="s">
        <v>1730</v>
      </c>
      <c r="E614" s="184"/>
      <c r="F614" s="184" t="s">
        <v>1178</v>
      </c>
      <c r="G614" s="184" t="s">
        <v>1532</v>
      </c>
      <c r="H614" s="184" t="s">
        <v>2665</v>
      </c>
      <c r="I614" s="184" t="s">
        <v>1178</v>
      </c>
    </row>
    <row r="615" spans="1:9">
      <c r="A615" s="184" t="s">
        <v>1527</v>
      </c>
      <c r="B615" s="184" t="s">
        <v>1701</v>
      </c>
      <c r="C615" s="184" t="s">
        <v>1784</v>
      </c>
      <c r="D615" s="184" t="s">
        <v>1703</v>
      </c>
      <c r="E615" s="184"/>
      <c r="F615" s="184" t="s">
        <v>1232</v>
      </c>
      <c r="G615" s="184" t="s">
        <v>1532</v>
      </c>
      <c r="H615" s="184" t="s">
        <v>1231</v>
      </c>
      <c r="I615" s="184" t="s">
        <v>1232</v>
      </c>
    </row>
    <row r="616" spans="1:9">
      <c r="A616" s="184" t="s">
        <v>1527</v>
      </c>
      <c r="B616" s="184" t="s">
        <v>1701</v>
      </c>
      <c r="C616" s="184" t="s">
        <v>2666</v>
      </c>
      <c r="D616" s="184" t="s">
        <v>2041</v>
      </c>
      <c r="E616" s="184"/>
      <c r="F616" s="184" t="s">
        <v>2667</v>
      </c>
      <c r="G616" s="184" t="s">
        <v>1532</v>
      </c>
      <c r="H616" s="184" t="s">
        <v>2668</v>
      </c>
      <c r="I616" s="184" t="s">
        <v>1222</v>
      </c>
    </row>
    <row r="617" spans="1:9">
      <c r="A617" s="184" t="s">
        <v>1527</v>
      </c>
      <c r="B617" s="184" t="s">
        <v>1701</v>
      </c>
      <c r="C617" s="184" t="s">
        <v>2666</v>
      </c>
      <c r="D617" s="184" t="s">
        <v>2041</v>
      </c>
      <c r="E617" s="184"/>
      <c r="F617" s="184" t="s">
        <v>2669</v>
      </c>
      <c r="G617" s="184" t="s">
        <v>1532</v>
      </c>
      <c r="H617" s="184" t="s">
        <v>2670</v>
      </c>
      <c r="I617" s="184" t="s">
        <v>1224</v>
      </c>
    </row>
    <row r="618" spans="1:9">
      <c r="A618" s="184" t="s">
        <v>1527</v>
      </c>
      <c r="B618" s="184" t="s">
        <v>1701</v>
      </c>
      <c r="C618" s="184" t="s">
        <v>1751</v>
      </c>
      <c r="D618" s="184" t="s">
        <v>1703</v>
      </c>
      <c r="E618" s="184"/>
      <c r="F618" s="184" t="s">
        <v>2671</v>
      </c>
      <c r="G618" s="184" t="s">
        <v>1532</v>
      </c>
      <c r="H618" s="184" t="s">
        <v>2672</v>
      </c>
      <c r="I618" s="184" t="s">
        <v>921</v>
      </c>
    </row>
    <row r="619" spans="1:9">
      <c r="A619" s="184" t="s">
        <v>1527</v>
      </c>
      <c r="B619" s="184" t="s">
        <v>1701</v>
      </c>
      <c r="C619" s="184" t="s">
        <v>1751</v>
      </c>
      <c r="D619" s="184" t="s">
        <v>1703</v>
      </c>
      <c r="E619" s="184"/>
      <c r="F619" s="184" t="s">
        <v>1700</v>
      </c>
      <c r="G619" s="184" t="s">
        <v>1532</v>
      </c>
      <c r="H619" s="184"/>
      <c r="I619" s="184"/>
    </row>
    <row r="620" spans="1:9">
      <c r="A620" s="184" t="s">
        <v>1527</v>
      </c>
      <c r="B620" s="184" t="s">
        <v>1528</v>
      </c>
      <c r="C620" s="184" t="s">
        <v>1890</v>
      </c>
      <c r="D620" s="184" t="s">
        <v>1530</v>
      </c>
      <c r="E620" s="184"/>
      <c r="F620" s="184" t="s">
        <v>2673</v>
      </c>
      <c r="G620" s="184" t="s">
        <v>1532</v>
      </c>
      <c r="H620" s="184" t="s">
        <v>2674</v>
      </c>
      <c r="I620" s="184" t="s">
        <v>921</v>
      </c>
    </row>
    <row r="621" spans="1:9">
      <c r="A621" s="184" t="s">
        <v>1527</v>
      </c>
      <c r="B621" s="184" t="s">
        <v>1701</v>
      </c>
      <c r="C621" s="184" t="s">
        <v>1769</v>
      </c>
      <c r="D621" s="184" t="s">
        <v>1703</v>
      </c>
      <c r="E621" s="184"/>
      <c r="F621" s="184" t="s">
        <v>2675</v>
      </c>
      <c r="G621" s="184" t="s">
        <v>1532</v>
      </c>
      <c r="H621" s="184" t="s">
        <v>2676</v>
      </c>
      <c r="I621" s="184" t="s">
        <v>889</v>
      </c>
    </row>
    <row r="622" spans="1:9">
      <c r="A622" s="184" t="s">
        <v>1527</v>
      </c>
      <c r="B622" s="184" t="s">
        <v>1701</v>
      </c>
      <c r="C622" s="184" t="s">
        <v>2492</v>
      </c>
      <c r="D622" s="184" t="s">
        <v>1703</v>
      </c>
      <c r="E622" s="184"/>
      <c r="F622" s="184" t="s">
        <v>2677</v>
      </c>
      <c r="G622" s="184" t="s">
        <v>1532</v>
      </c>
      <c r="H622" s="184" t="s">
        <v>2678</v>
      </c>
      <c r="I622" s="184" t="s">
        <v>877</v>
      </c>
    </row>
    <row r="623" spans="1:9">
      <c r="A623" s="184" t="s">
        <v>1527</v>
      </c>
      <c r="B623" s="184" t="s">
        <v>1693</v>
      </c>
      <c r="C623" s="184" t="s">
        <v>1850</v>
      </c>
      <c r="D623" s="184" t="s">
        <v>1730</v>
      </c>
      <c r="E623" s="184"/>
      <c r="F623" s="184" t="s">
        <v>2679</v>
      </c>
      <c r="G623" s="184" t="s">
        <v>1532</v>
      </c>
      <c r="H623" s="184" t="s">
        <v>2680</v>
      </c>
      <c r="I623" s="184" t="s">
        <v>1104</v>
      </c>
    </row>
    <row r="624" spans="1:9">
      <c r="A624" s="184" t="s">
        <v>1527</v>
      </c>
      <c r="B624" s="184" t="s">
        <v>1528</v>
      </c>
      <c r="C624" s="184" t="s">
        <v>2681</v>
      </c>
      <c r="D624" s="184" t="s">
        <v>1530</v>
      </c>
      <c r="E624" s="184"/>
      <c r="F624" s="184" t="s">
        <v>2682</v>
      </c>
      <c r="G624" s="184" t="s">
        <v>1532</v>
      </c>
      <c r="H624" s="184" t="s">
        <v>2683</v>
      </c>
      <c r="I624" s="184" t="s">
        <v>1235</v>
      </c>
    </row>
    <row r="625" spans="1:9">
      <c r="A625" s="184" t="s">
        <v>1527</v>
      </c>
      <c r="B625" s="184" t="s">
        <v>1528</v>
      </c>
      <c r="C625" s="184" t="s">
        <v>2681</v>
      </c>
      <c r="D625" s="184" t="s">
        <v>1530</v>
      </c>
      <c r="E625" s="184"/>
      <c r="F625" s="184" t="s">
        <v>2684</v>
      </c>
      <c r="G625" s="184" t="s">
        <v>1532</v>
      </c>
      <c r="H625" s="184" t="s">
        <v>2685</v>
      </c>
      <c r="I625" s="184" t="s">
        <v>1242</v>
      </c>
    </row>
    <row r="626" spans="1:9">
      <c r="A626" s="184" t="s">
        <v>1527</v>
      </c>
      <c r="B626" s="184" t="s">
        <v>1701</v>
      </c>
      <c r="C626" s="184" t="s">
        <v>2423</v>
      </c>
      <c r="D626" s="184" t="s">
        <v>1703</v>
      </c>
      <c r="E626" s="184"/>
      <c r="F626" s="184" t="s">
        <v>2686</v>
      </c>
      <c r="G626" s="184" t="s">
        <v>1532</v>
      </c>
      <c r="H626" s="184" t="s">
        <v>2687</v>
      </c>
      <c r="I626" s="184" t="s">
        <v>1235</v>
      </c>
    </row>
    <row r="627" spans="1:9">
      <c r="A627" s="184" t="s">
        <v>1527</v>
      </c>
      <c r="B627" s="184" t="s">
        <v>1701</v>
      </c>
      <c r="C627" s="184" t="s">
        <v>2423</v>
      </c>
      <c r="D627" s="184" t="s">
        <v>1703</v>
      </c>
      <c r="E627" s="184"/>
      <c r="F627" s="184" t="s">
        <v>2688</v>
      </c>
      <c r="G627" s="184" t="s">
        <v>1532</v>
      </c>
      <c r="H627" s="184" t="s">
        <v>2689</v>
      </c>
      <c r="I627" s="184" t="s">
        <v>1242</v>
      </c>
    </row>
    <row r="628" spans="1:9">
      <c r="A628" s="184" t="s">
        <v>1527</v>
      </c>
      <c r="B628" s="184" t="s">
        <v>1693</v>
      </c>
      <c r="C628" s="184" t="s">
        <v>2203</v>
      </c>
      <c r="D628" s="184" t="s">
        <v>1730</v>
      </c>
      <c r="E628" s="184"/>
      <c r="F628" s="184" t="s">
        <v>2690</v>
      </c>
      <c r="G628" s="184" t="s">
        <v>1532</v>
      </c>
      <c r="H628" s="184" t="s">
        <v>2691</v>
      </c>
      <c r="I628" s="184" t="s">
        <v>1235</v>
      </c>
    </row>
    <row r="629" spans="1:9">
      <c r="A629" s="184" t="s">
        <v>1527</v>
      </c>
      <c r="B629" s="184" t="s">
        <v>1693</v>
      </c>
      <c r="C629" s="184" t="s">
        <v>2203</v>
      </c>
      <c r="D629" s="184" t="s">
        <v>1730</v>
      </c>
      <c r="E629" s="184"/>
      <c r="F629" s="184" t="s">
        <v>2692</v>
      </c>
      <c r="G629" s="184" t="s">
        <v>1532</v>
      </c>
      <c r="H629" s="184" t="s">
        <v>2693</v>
      </c>
      <c r="I629" s="184" t="s">
        <v>1242</v>
      </c>
    </row>
    <row r="630" spans="1:9">
      <c r="A630" s="184" t="s">
        <v>1527</v>
      </c>
      <c r="B630" s="184" t="s">
        <v>1693</v>
      </c>
      <c r="C630" s="184" t="s">
        <v>2203</v>
      </c>
      <c r="D630" s="184" t="s">
        <v>1730</v>
      </c>
      <c r="E630" s="184"/>
      <c r="F630" s="184" t="s">
        <v>1700</v>
      </c>
      <c r="G630" s="184" t="s">
        <v>1532</v>
      </c>
      <c r="H630" s="184"/>
      <c r="I630" s="184"/>
    </row>
    <row r="631" spans="1:9">
      <c r="A631" s="184" t="s">
        <v>1527</v>
      </c>
      <c r="B631" s="184" t="s">
        <v>1693</v>
      </c>
      <c r="C631" s="184" t="s">
        <v>2203</v>
      </c>
      <c r="D631" s="184" t="s">
        <v>1730</v>
      </c>
      <c r="E631" s="184"/>
      <c r="F631" s="184" t="s">
        <v>1700</v>
      </c>
      <c r="G631" s="184" t="s">
        <v>1532</v>
      </c>
      <c r="H631" s="184"/>
      <c r="I631" s="184"/>
    </row>
    <row r="632" spans="1:9">
      <c r="A632" s="184" t="s">
        <v>1527</v>
      </c>
      <c r="B632" s="184" t="s">
        <v>1556</v>
      </c>
      <c r="C632" s="184" t="s">
        <v>2200</v>
      </c>
      <c r="D632" s="184" t="s">
        <v>1558</v>
      </c>
      <c r="E632" s="184"/>
      <c r="F632" s="184" t="s">
        <v>2694</v>
      </c>
      <c r="G632" s="184" t="s">
        <v>1532</v>
      </c>
      <c r="H632" s="184" t="s">
        <v>2695</v>
      </c>
      <c r="I632" s="184" t="s">
        <v>1235</v>
      </c>
    </row>
    <row r="633" spans="1:9">
      <c r="A633" s="184" t="s">
        <v>1527</v>
      </c>
      <c r="B633" s="184" t="s">
        <v>1556</v>
      </c>
      <c r="C633" s="184" t="s">
        <v>2200</v>
      </c>
      <c r="D633" s="184" t="s">
        <v>1558</v>
      </c>
      <c r="E633" s="184"/>
      <c r="F633" s="184" t="s">
        <v>2696</v>
      </c>
      <c r="G633" s="184" t="s">
        <v>1532</v>
      </c>
      <c r="H633" s="184" t="s">
        <v>2697</v>
      </c>
      <c r="I633" s="184" t="s">
        <v>1235</v>
      </c>
    </row>
    <row r="634" spans="1:9">
      <c r="A634" s="184" t="s">
        <v>1527</v>
      </c>
      <c r="B634" s="184" t="s">
        <v>1556</v>
      </c>
      <c r="C634" s="184" t="s">
        <v>2200</v>
      </c>
      <c r="D634" s="184" t="s">
        <v>1558</v>
      </c>
      <c r="E634" s="184"/>
      <c r="F634" s="184" t="s">
        <v>2698</v>
      </c>
      <c r="G634" s="184" t="s">
        <v>1532</v>
      </c>
      <c r="H634" s="184" t="s">
        <v>2699</v>
      </c>
      <c r="I634" s="184" t="s">
        <v>1242</v>
      </c>
    </row>
    <row r="635" spans="1:9">
      <c r="A635" s="184" t="s">
        <v>1527</v>
      </c>
      <c r="B635" s="184" t="s">
        <v>1556</v>
      </c>
      <c r="C635" s="184" t="s">
        <v>2200</v>
      </c>
      <c r="D635" s="184" t="s">
        <v>1558</v>
      </c>
      <c r="E635" s="184"/>
      <c r="F635" s="184" t="s">
        <v>2700</v>
      </c>
      <c r="G635" s="184" t="s">
        <v>1532</v>
      </c>
      <c r="H635" s="184" t="s">
        <v>2701</v>
      </c>
      <c r="I635" s="184" t="s">
        <v>1242</v>
      </c>
    </row>
    <row r="636" spans="1:9">
      <c r="A636" s="184" t="s">
        <v>1527</v>
      </c>
      <c r="B636" s="184" t="s">
        <v>1556</v>
      </c>
      <c r="C636" s="184" t="s">
        <v>1651</v>
      </c>
      <c r="D636" s="184" t="s">
        <v>1558</v>
      </c>
      <c r="E636" s="184"/>
      <c r="F636" s="184" t="s">
        <v>2702</v>
      </c>
      <c r="G636" s="184" t="s">
        <v>1532</v>
      </c>
      <c r="H636" s="184" t="s">
        <v>2703</v>
      </c>
      <c r="I636" s="184" t="s">
        <v>322</v>
      </c>
    </row>
    <row r="637" spans="1:9">
      <c r="A637" s="184" t="s">
        <v>1527</v>
      </c>
      <c r="B637" s="184" t="s">
        <v>1556</v>
      </c>
      <c r="C637" s="184" t="s">
        <v>1651</v>
      </c>
      <c r="D637" s="184" t="s">
        <v>1558</v>
      </c>
      <c r="E637" s="184"/>
      <c r="F637" s="184" t="s">
        <v>2704</v>
      </c>
      <c r="G637" s="184" t="s">
        <v>1532</v>
      </c>
      <c r="H637" s="184" t="s">
        <v>1248</v>
      </c>
      <c r="I637" s="184" t="s">
        <v>317</v>
      </c>
    </row>
    <row r="638" spans="1:9">
      <c r="A638" s="184" t="s">
        <v>1527</v>
      </c>
      <c r="B638" s="184" t="s">
        <v>1556</v>
      </c>
      <c r="C638" s="184" t="s">
        <v>1651</v>
      </c>
      <c r="D638" s="184" t="s">
        <v>1558</v>
      </c>
      <c r="E638" s="184"/>
      <c r="F638" s="184" t="s">
        <v>1007</v>
      </c>
      <c r="G638" s="184" t="s">
        <v>1532</v>
      </c>
      <c r="H638" s="184" t="s">
        <v>2705</v>
      </c>
      <c r="I638" s="184" t="s">
        <v>2399</v>
      </c>
    </row>
    <row r="639" spans="1:9">
      <c r="A639" s="184" t="s">
        <v>1527</v>
      </c>
      <c r="B639" s="184" t="s">
        <v>1556</v>
      </c>
      <c r="C639" s="184" t="s">
        <v>1651</v>
      </c>
      <c r="D639" s="184" t="s">
        <v>1558</v>
      </c>
      <c r="E639" s="184"/>
      <c r="F639" s="184" t="s">
        <v>2706</v>
      </c>
      <c r="G639" s="184" t="s">
        <v>1532</v>
      </c>
      <c r="H639" s="184" t="s">
        <v>2707</v>
      </c>
      <c r="I639" s="184" t="s">
        <v>1268</v>
      </c>
    </row>
    <row r="640" spans="1:9">
      <c r="A640" s="184" t="s">
        <v>1527</v>
      </c>
      <c r="B640" s="184" t="s">
        <v>1556</v>
      </c>
      <c r="C640" s="184" t="s">
        <v>1651</v>
      </c>
      <c r="D640" s="184" t="s">
        <v>1558</v>
      </c>
      <c r="E640" s="184"/>
      <c r="F640" s="184" t="s">
        <v>1700</v>
      </c>
      <c r="G640" s="184" t="s">
        <v>1532</v>
      </c>
      <c r="H640" s="184"/>
      <c r="I640" s="184"/>
    </row>
    <row r="641" spans="1:10">
      <c r="A641" s="184" t="s">
        <v>1527</v>
      </c>
      <c r="B641" s="184" t="s">
        <v>1556</v>
      </c>
      <c r="C641" s="184" t="s">
        <v>1651</v>
      </c>
      <c r="D641" s="184" t="s">
        <v>1558</v>
      </c>
      <c r="E641" s="184"/>
      <c r="F641" s="184" t="s">
        <v>1700</v>
      </c>
      <c r="G641" s="184" t="s">
        <v>1532</v>
      </c>
      <c r="H641" s="184"/>
      <c r="I641" s="184"/>
      <c r="J641" s="184"/>
    </row>
    <row r="642" spans="1:10">
      <c r="A642" s="184" t="s">
        <v>1527</v>
      </c>
      <c r="B642" s="184" t="s">
        <v>1556</v>
      </c>
      <c r="C642" s="184" t="s">
        <v>1651</v>
      </c>
      <c r="D642" s="184" t="s">
        <v>1558</v>
      </c>
      <c r="E642" s="184"/>
      <c r="F642" s="184" t="s">
        <v>1700</v>
      </c>
      <c r="G642" s="184" t="s">
        <v>1532</v>
      </c>
      <c r="H642" s="184"/>
      <c r="I642" s="184"/>
      <c r="J642" s="184"/>
    </row>
    <row r="643" spans="1:10">
      <c r="A643" s="184" t="s">
        <v>1527</v>
      </c>
      <c r="B643" s="184" t="s">
        <v>1556</v>
      </c>
      <c r="C643" s="184" t="s">
        <v>1651</v>
      </c>
      <c r="D643" s="184" t="s">
        <v>1558</v>
      </c>
      <c r="E643" s="184"/>
      <c r="F643" s="184" t="s">
        <v>1700</v>
      </c>
      <c r="G643" s="184" t="s">
        <v>1532</v>
      </c>
      <c r="H643" s="184"/>
      <c r="I643" s="184"/>
      <c r="J643" s="184"/>
    </row>
    <row r="644" spans="1:10">
      <c r="A644" s="184" t="s">
        <v>1527</v>
      </c>
      <c r="B644" s="184" t="s">
        <v>1556</v>
      </c>
      <c r="C644" s="184" t="s">
        <v>2655</v>
      </c>
      <c r="D644" s="184" t="s">
        <v>1558</v>
      </c>
      <c r="E644" s="184"/>
      <c r="F644" s="184" t="s">
        <v>2708</v>
      </c>
      <c r="G644" s="184" t="s">
        <v>1532</v>
      </c>
      <c r="H644" s="184" t="s">
        <v>2709</v>
      </c>
      <c r="I644" s="184" t="s">
        <v>1392</v>
      </c>
      <c r="J644" s="184" t="s">
        <v>2710</v>
      </c>
    </row>
    <row r="645" spans="1:10">
      <c r="A645" s="184" t="s">
        <v>1527</v>
      </c>
      <c r="B645" s="184" t="s">
        <v>1556</v>
      </c>
      <c r="C645" s="184" t="s">
        <v>2655</v>
      </c>
      <c r="D645" s="184" t="s">
        <v>1558</v>
      </c>
      <c r="E645" s="184"/>
      <c r="F645" s="184" t="s">
        <v>1152</v>
      </c>
      <c r="G645" s="184" t="s">
        <v>1532</v>
      </c>
      <c r="H645" s="184" t="s">
        <v>1152</v>
      </c>
      <c r="I645" s="184"/>
      <c r="J645" s="184" t="s">
        <v>2711</v>
      </c>
    </row>
    <row r="646" spans="1:10">
      <c r="A646" s="184" t="s">
        <v>1527</v>
      </c>
      <c r="B646" s="184" t="s">
        <v>1556</v>
      </c>
      <c r="C646" s="184" t="s">
        <v>2655</v>
      </c>
      <c r="D646" s="184" t="s">
        <v>1558</v>
      </c>
      <c r="E646" s="184"/>
      <c r="F646" s="184" t="s">
        <v>1152</v>
      </c>
      <c r="G646" s="184" t="s">
        <v>1532</v>
      </c>
      <c r="H646" s="184" t="s">
        <v>1152</v>
      </c>
      <c r="I646" s="184"/>
      <c r="J646" s="184" t="s">
        <v>2712</v>
      </c>
    </row>
    <row r="647" spans="1:10">
      <c r="A647" s="184" t="s">
        <v>1527</v>
      </c>
      <c r="B647" s="184" t="s">
        <v>1693</v>
      </c>
      <c r="C647" s="184" t="s">
        <v>1895</v>
      </c>
      <c r="D647" s="184" t="s">
        <v>1730</v>
      </c>
      <c r="E647" s="184"/>
      <c r="F647" s="184" t="s">
        <v>1700</v>
      </c>
      <c r="G647" s="184" t="s">
        <v>1532</v>
      </c>
      <c r="H647" s="184"/>
      <c r="I647" s="184"/>
      <c r="J647" s="184"/>
    </row>
    <row r="648" spans="1:10">
      <c r="A648" s="184" t="s">
        <v>1527</v>
      </c>
      <c r="B648" s="184" t="s">
        <v>1693</v>
      </c>
      <c r="C648" s="184" t="s">
        <v>1895</v>
      </c>
      <c r="D648" s="184" t="s">
        <v>1730</v>
      </c>
      <c r="E648" s="184"/>
      <c r="F648" s="184" t="s">
        <v>1700</v>
      </c>
      <c r="G648" s="184" t="s">
        <v>1532</v>
      </c>
      <c r="H648" s="184"/>
      <c r="I648" s="184"/>
      <c r="J648" s="184"/>
    </row>
    <row r="649" spans="1:10">
      <c r="A649" s="184" t="s">
        <v>1527</v>
      </c>
      <c r="B649" s="184" t="s">
        <v>1693</v>
      </c>
      <c r="C649" s="184" t="s">
        <v>1895</v>
      </c>
      <c r="D649" s="184" t="s">
        <v>1730</v>
      </c>
      <c r="E649" s="184"/>
      <c r="F649" s="184" t="s">
        <v>1700</v>
      </c>
      <c r="G649" s="184" t="s">
        <v>1532</v>
      </c>
      <c r="H649" s="184"/>
      <c r="I649" s="184"/>
      <c r="J649" s="184"/>
    </row>
    <row r="650" spans="1:10">
      <c r="A650" s="184" t="s">
        <v>1527</v>
      </c>
      <c r="B650" s="184" t="s">
        <v>1693</v>
      </c>
      <c r="C650" s="184" t="s">
        <v>1895</v>
      </c>
      <c r="D650" s="184" t="s">
        <v>1730</v>
      </c>
      <c r="E650" s="184"/>
      <c r="F650" s="184" t="s">
        <v>1700</v>
      </c>
      <c r="G650" s="184" t="s">
        <v>1532</v>
      </c>
      <c r="H650" s="184"/>
      <c r="I650" s="184"/>
      <c r="J650" s="184"/>
    </row>
    <row r="651" spans="1:10">
      <c r="A651" s="184" t="s">
        <v>1527</v>
      </c>
      <c r="B651" s="184" t="s">
        <v>1528</v>
      </c>
      <c r="C651" s="184" t="s">
        <v>2713</v>
      </c>
      <c r="D651" s="184" t="s">
        <v>1530</v>
      </c>
      <c r="E651" s="184"/>
      <c r="F651" s="184" t="s">
        <v>981</v>
      </c>
      <c r="G651" s="184" t="s">
        <v>1532</v>
      </c>
      <c r="H651" s="184" t="s">
        <v>2714</v>
      </c>
      <c r="I651" s="184" t="s">
        <v>336</v>
      </c>
      <c r="J651" s="184"/>
    </row>
    <row r="652" spans="1:10">
      <c r="A652" s="184" t="s">
        <v>1527</v>
      </c>
      <c r="B652" s="184" t="s">
        <v>1528</v>
      </c>
      <c r="C652" s="184" t="s">
        <v>2713</v>
      </c>
      <c r="D652" s="184" t="s">
        <v>1530</v>
      </c>
      <c r="E652" s="184"/>
      <c r="F652" s="184" t="s">
        <v>993</v>
      </c>
      <c r="G652" s="184" t="s">
        <v>1532</v>
      </c>
      <c r="H652" s="184" t="s">
        <v>2714</v>
      </c>
      <c r="I652" s="184" t="s">
        <v>2715</v>
      </c>
      <c r="J652" s="184"/>
    </row>
    <row r="653" spans="1:10">
      <c r="A653" s="184" t="s">
        <v>1527</v>
      </c>
      <c r="B653" s="184" t="s">
        <v>1528</v>
      </c>
      <c r="C653" s="184" t="s">
        <v>2713</v>
      </c>
      <c r="D653" s="184" t="s">
        <v>1530</v>
      </c>
      <c r="E653" s="184"/>
      <c r="F653" s="184" t="s">
        <v>1001</v>
      </c>
      <c r="G653" s="184" t="s">
        <v>1532</v>
      </c>
      <c r="H653" s="184" t="s">
        <v>2714</v>
      </c>
      <c r="I653" s="184" t="s">
        <v>2716</v>
      </c>
      <c r="J653" s="184"/>
    </row>
    <row r="654" spans="1:10">
      <c r="A654" s="184" t="s">
        <v>1527</v>
      </c>
      <c r="B654" s="184" t="s">
        <v>1528</v>
      </c>
      <c r="C654" s="184" t="s">
        <v>2713</v>
      </c>
      <c r="D654" s="184" t="s">
        <v>1530</v>
      </c>
      <c r="E654" s="184"/>
      <c r="F654" s="184" t="s">
        <v>1009</v>
      </c>
      <c r="G654" s="184" t="s">
        <v>1532</v>
      </c>
      <c r="H654" s="184" t="s">
        <v>2714</v>
      </c>
      <c r="I654" s="184" t="s">
        <v>2717</v>
      </c>
      <c r="J654" s="184"/>
    </row>
    <row r="655" spans="1:10">
      <c r="A655" s="184" t="s">
        <v>1527</v>
      </c>
      <c r="B655" s="184" t="s">
        <v>1556</v>
      </c>
      <c r="C655" s="184" t="s">
        <v>1557</v>
      </c>
      <c r="D655" s="184" t="s">
        <v>1558</v>
      </c>
      <c r="E655" s="184"/>
      <c r="F655" s="184" t="s">
        <v>2718</v>
      </c>
      <c r="G655" s="184" t="s">
        <v>1532</v>
      </c>
      <c r="H655" s="184" t="s">
        <v>2719</v>
      </c>
      <c r="I655" s="184" t="s">
        <v>1258</v>
      </c>
      <c r="J655" s="184"/>
    </row>
    <row r="656" spans="1:10">
      <c r="A656" s="184" t="s">
        <v>1527</v>
      </c>
      <c r="B656" s="184" t="s">
        <v>1556</v>
      </c>
      <c r="C656" s="184" t="s">
        <v>1557</v>
      </c>
      <c r="D656" s="184" t="s">
        <v>1558</v>
      </c>
      <c r="E656" s="184"/>
      <c r="F656" s="184" t="s">
        <v>1700</v>
      </c>
      <c r="G656" s="184" t="s">
        <v>1532</v>
      </c>
      <c r="H656" s="184"/>
      <c r="I656" s="184"/>
      <c r="J656" s="184"/>
    </row>
    <row r="657" spans="1:9">
      <c r="A657" s="184" t="s">
        <v>1527</v>
      </c>
      <c r="B657" s="184" t="s">
        <v>1556</v>
      </c>
      <c r="C657" s="184" t="s">
        <v>1557</v>
      </c>
      <c r="D657" s="184" t="s">
        <v>1558</v>
      </c>
      <c r="E657" s="184"/>
      <c r="F657" s="184" t="s">
        <v>2720</v>
      </c>
      <c r="G657" s="184" t="s">
        <v>1532</v>
      </c>
      <c r="H657" s="184" t="s">
        <v>2721</v>
      </c>
      <c r="I657" s="184" t="s">
        <v>2722</v>
      </c>
    </row>
    <row r="658" spans="1:9">
      <c r="A658" s="184" t="s">
        <v>1527</v>
      </c>
      <c r="B658" s="184" t="s">
        <v>1556</v>
      </c>
      <c r="C658" s="184" t="s">
        <v>1681</v>
      </c>
      <c r="D658" s="184" t="s">
        <v>1558</v>
      </c>
      <c r="E658" s="184"/>
      <c r="F658" s="184" t="s">
        <v>2723</v>
      </c>
      <c r="G658" s="184" t="s">
        <v>1532</v>
      </c>
      <c r="H658" s="184" t="s">
        <v>2724</v>
      </c>
      <c r="I658" s="184" t="s">
        <v>1260</v>
      </c>
    </row>
    <row r="659" spans="1:9">
      <c r="A659" s="184" t="s">
        <v>1527</v>
      </c>
      <c r="B659" s="184" t="s">
        <v>1556</v>
      </c>
      <c r="C659" s="184" t="s">
        <v>1681</v>
      </c>
      <c r="D659" s="184" t="s">
        <v>1558</v>
      </c>
      <c r="E659" s="184"/>
      <c r="F659" s="184" t="s">
        <v>2725</v>
      </c>
      <c r="G659" s="184" t="s">
        <v>1532</v>
      </c>
      <c r="H659" s="184" t="s">
        <v>2726</v>
      </c>
      <c r="I659" s="184" t="s">
        <v>1262</v>
      </c>
    </row>
    <row r="660" spans="1:9">
      <c r="A660" s="184" t="s">
        <v>1527</v>
      </c>
      <c r="B660" s="184" t="s">
        <v>1556</v>
      </c>
      <c r="C660" s="184" t="s">
        <v>1681</v>
      </c>
      <c r="D660" s="184" t="s">
        <v>1558</v>
      </c>
      <c r="E660" s="184"/>
      <c r="F660" s="184" t="s">
        <v>2727</v>
      </c>
      <c r="G660" s="184" t="s">
        <v>1532</v>
      </c>
      <c r="H660" s="184" t="s">
        <v>2728</v>
      </c>
      <c r="I660" s="184" t="s">
        <v>1264</v>
      </c>
    </row>
    <row r="661" spans="1:9">
      <c r="A661" s="184" t="s">
        <v>1527</v>
      </c>
      <c r="B661" s="184" t="s">
        <v>1556</v>
      </c>
      <c r="C661" s="184" t="s">
        <v>1681</v>
      </c>
      <c r="D661" s="184" t="s">
        <v>1558</v>
      </c>
      <c r="E661" s="184"/>
      <c r="F661" s="184" t="s">
        <v>2729</v>
      </c>
      <c r="G661" s="184" t="s">
        <v>1532</v>
      </c>
      <c r="H661" s="184" t="s">
        <v>2730</v>
      </c>
      <c r="I661" s="184" t="s">
        <v>1266</v>
      </c>
    </row>
    <row r="662" spans="1:9">
      <c r="A662" s="184" t="s">
        <v>1527</v>
      </c>
      <c r="B662" s="184" t="s">
        <v>1556</v>
      </c>
      <c r="C662" s="184" t="s">
        <v>1681</v>
      </c>
      <c r="D662" s="184" t="s">
        <v>1558</v>
      </c>
      <c r="E662" s="184"/>
      <c r="F662" s="184" t="s">
        <v>2731</v>
      </c>
      <c r="G662" s="184" t="s">
        <v>1532</v>
      </c>
      <c r="H662" s="184" t="s">
        <v>2732</v>
      </c>
      <c r="I662" s="184" t="s">
        <v>2046</v>
      </c>
    </row>
    <row r="663" spans="1:9">
      <c r="A663" s="184" t="s">
        <v>1527</v>
      </c>
      <c r="B663" s="184" t="s">
        <v>1556</v>
      </c>
      <c r="C663" s="184"/>
      <c r="D663" s="184"/>
      <c r="E663" s="184"/>
      <c r="F663" s="184" t="s">
        <v>1700</v>
      </c>
      <c r="G663" s="184" t="s">
        <v>1532</v>
      </c>
      <c r="H663" s="184"/>
      <c r="I663" s="184"/>
    </row>
    <row r="664" spans="1:9">
      <c r="A664" s="184" t="s">
        <v>1527</v>
      </c>
      <c r="B664" s="184" t="s">
        <v>1556</v>
      </c>
      <c r="C664" s="184"/>
      <c r="D664" s="184"/>
      <c r="E664" s="184"/>
      <c r="F664" s="184" t="s">
        <v>1700</v>
      </c>
      <c r="G664" s="184" t="s">
        <v>1532</v>
      </c>
      <c r="H664" s="184"/>
      <c r="I664" s="184"/>
    </row>
    <row r="665" spans="1:9">
      <c r="A665" s="184" t="s">
        <v>1527</v>
      </c>
      <c r="B665" s="184" t="s">
        <v>1556</v>
      </c>
      <c r="C665" s="184" t="s">
        <v>1681</v>
      </c>
      <c r="D665" s="184" t="s">
        <v>1558</v>
      </c>
      <c r="E665" s="184"/>
      <c r="F665" s="184" t="s">
        <v>2733</v>
      </c>
      <c r="G665" s="184" t="s">
        <v>1532</v>
      </c>
      <c r="H665" s="184" t="s">
        <v>1476</v>
      </c>
      <c r="I665" s="184" t="s">
        <v>570</v>
      </c>
    </row>
    <row r="666" spans="1:9">
      <c r="A666" s="184" t="s">
        <v>1527</v>
      </c>
      <c r="B666" s="184" t="s">
        <v>1556</v>
      </c>
      <c r="C666" s="184" t="s">
        <v>1681</v>
      </c>
      <c r="D666" s="184" t="s">
        <v>1558</v>
      </c>
      <c r="E666" s="184"/>
      <c r="F666" s="184" t="s">
        <v>2734</v>
      </c>
      <c r="G666" s="184" t="s">
        <v>1532</v>
      </c>
      <c r="H666" s="184" t="s">
        <v>1478</v>
      </c>
      <c r="I666" s="184" t="s">
        <v>572</v>
      </c>
    </row>
    <row r="667" spans="1:9">
      <c r="A667" s="184" t="s">
        <v>1527</v>
      </c>
      <c r="B667" s="184" t="s">
        <v>1556</v>
      </c>
      <c r="C667" s="184" t="s">
        <v>1681</v>
      </c>
      <c r="D667" s="184" t="s">
        <v>1558</v>
      </c>
      <c r="E667" s="184"/>
      <c r="F667" s="184" t="s">
        <v>1700</v>
      </c>
      <c r="G667" s="184" t="s">
        <v>1532</v>
      </c>
      <c r="H667" s="184"/>
      <c r="I667" s="184"/>
    </row>
    <row r="668" spans="1:9">
      <c r="A668" s="184" t="s">
        <v>1527</v>
      </c>
      <c r="B668" s="184" t="s">
        <v>1556</v>
      </c>
      <c r="C668" s="184" t="s">
        <v>1681</v>
      </c>
      <c r="D668" s="184" t="s">
        <v>1558</v>
      </c>
      <c r="E668" s="184"/>
      <c r="F668" s="184" t="s">
        <v>1700</v>
      </c>
      <c r="G668" s="184" t="s">
        <v>1532</v>
      </c>
      <c r="H668" s="184"/>
      <c r="I668" s="184"/>
    </row>
    <row r="669" spans="1:9">
      <c r="A669" s="184" t="s">
        <v>1527</v>
      </c>
      <c r="B669" s="184" t="s">
        <v>1556</v>
      </c>
      <c r="C669" s="184" t="s">
        <v>1681</v>
      </c>
      <c r="D669" s="184" t="s">
        <v>1558</v>
      </c>
      <c r="E669" s="184"/>
      <c r="F669" s="184" t="s">
        <v>1700</v>
      </c>
      <c r="G669" s="184" t="s">
        <v>1532</v>
      </c>
      <c r="H669" s="184"/>
      <c r="I669" s="184"/>
    </row>
    <row r="670" spans="1:9">
      <c r="A670" s="184" t="s">
        <v>1527</v>
      </c>
      <c r="B670" s="184" t="s">
        <v>1556</v>
      </c>
      <c r="C670" s="184" t="s">
        <v>1681</v>
      </c>
      <c r="D670" s="184" t="s">
        <v>1558</v>
      </c>
      <c r="E670" s="184"/>
      <c r="F670" s="184" t="s">
        <v>1700</v>
      </c>
      <c r="G670" s="184" t="s">
        <v>1532</v>
      </c>
      <c r="H670" s="184"/>
      <c r="I670" s="184"/>
    </row>
    <row r="671" spans="1:9">
      <c r="A671" s="184" t="s">
        <v>1527</v>
      </c>
      <c r="B671" s="184" t="s">
        <v>1528</v>
      </c>
      <c r="C671" s="184" t="s">
        <v>2646</v>
      </c>
      <c r="D671" s="184" t="s">
        <v>1530</v>
      </c>
      <c r="E671" s="184"/>
      <c r="F671" s="184" t="s">
        <v>1700</v>
      </c>
      <c r="G671" s="184" t="s">
        <v>1532</v>
      </c>
      <c r="H671" s="184"/>
      <c r="I671" s="184"/>
    </row>
    <row r="672" spans="1:9">
      <c r="A672" s="184" t="s">
        <v>1527</v>
      </c>
      <c r="B672" s="184" t="s">
        <v>1528</v>
      </c>
      <c r="C672" s="184" t="s">
        <v>2646</v>
      </c>
      <c r="D672" s="184" t="s">
        <v>1530</v>
      </c>
      <c r="E672" s="184"/>
      <c r="F672" s="184" t="s">
        <v>1700</v>
      </c>
      <c r="G672" s="184" t="s">
        <v>1532</v>
      </c>
      <c r="H672" s="184"/>
      <c r="I672" s="184"/>
    </row>
    <row r="673" spans="1:9">
      <c r="A673" s="184" t="s">
        <v>1527</v>
      </c>
      <c r="B673" s="184" t="s">
        <v>1528</v>
      </c>
      <c r="C673" s="184" t="s">
        <v>2646</v>
      </c>
      <c r="D673" s="184" t="s">
        <v>1530</v>
      </c>
      <c r="E673" s="184"/>
      <c r="F673" s="184" t="s">
        <v>1700</v>
      </c>
      <c r="G673" s="184" t="s">
        <v>1532</v>
      </c>
      <c r="H673" s="184"/>
      <c r="I673" s="184"/>
    </row>
    <row r="674" spans="1:9">
      <c r="A674" s="184" t="s">
        <v>1527</v>
      </c>
      <c r="B674" s="184" t="s">
        <v>1528</v>
      </c>
      <c r="C674" s="184" t="s">
        <v>2646</v>
      </c>
      <c r="D674" s="184" t="s">
        <v>1530</v>
      </c>
      <c r="E674" s="184"/>
      <c r="F674" s="184" t="s">
        <v>1700</v>
      </c>
      <c r="G674" s="184" t="s">
        <v>1532</v>
      </c>
      <c r="H674" s="184"/>
      <c r="I674" s="184"/>
    </row>
    <row r="675" spans="1:9">
      <c r="A675" s="184" t="s">
        <v>1527</v>
      </c>
      <c r="B675" s="184" t="s">
        <v>1528</v>
      </c>
      <c r="C675" s="184" t="s">
        <v>2646</v>
      </c>
      <c r="D675" s="184" t="s">
        <v>1530</v>
      </c>
      <c r="E675" s="184"/>
      <c r="F675" s="184" t="s">
        <v>1700</v>
      </c>
      <c r="G675" s="184" t="s">
        <v>1532</v>
      </c>
      <c r="H675" s="184"/>
      <c r="I675" s="184"/>
    </row>
    <row r="676" spans="1:9">
      <c r="A676" s="184" t="s">
        <v>1527</v>
      </c>
      <c r="B676" s="184" t="s">
        <v>1528</v>
      </c>
      <c r="C676" s="184" t="s">
        <v>2646</v>
      </c>
      <c r="D676" s="184" t="s">
        <v>1530</v>
      </c>
      <c r="E676" s="184"/>
      <c r="F676" s="184" t="s">
        <v>1700</v>
      </c>
      <c r="G676" s="184" t="s">
        <v>1532</v>
      </c>
      <c r="H676" s="184"/>
      <c r="I676" s="184"/>
    </row>
    <row r="677" spans="1:9">
      <c r="A677" s="184" t="s">
        <v>1527</v>
      </c>
      <c r="B677" s="184" t="s">
        <v>1528</v>
      </c>
      <c r="C677" s="184" t="s">
        <v>2646</v>
      </c>
      <c r="D677" s="184" t="s">
        <v>1530</v>
      </c>
      <c r="E677" s="184"/>
      <c r="F677" s="184" t="s">
        <v>1700</v>
      </c>
      <c r="G677" s="184" t="s">
        <v>1532</v>
      </c>
      <c r="H677" s="184"/>
      <c r="I677" s="184"/>
    </row>
    <row r="678" spans="1:9">
      <c r="A678" s="184" t="s">
        <v>1527</v>
      </c>
      <c r="B678" s="184" t="s">
        <v>1556</v>
      </c>
      <c r="C678" s="184" t="s">
        <v>1591</v>
      </c>
      <c r="D678" s="184" t="s">
        <v>1558</v>
      </c>
      <c r="E678" s="184"/>
      <c r="F678" s="184" t="s">
        <v>2735</v>
      </c>
      <c r="G678" s="184" t="s">
        <v>1532</v>
      </c>
      <c r="H678" s="184" t="s">
        <v>2719</v>
      </c>
      <c r="I678" s="184" t="s">
        <v>1270</v>
      </c>
    </row>
    <row r="679" spans="1:9">
      <c r="A679" s="184" t="s">
        <v>1527</v>
      </c>
      <c r="B679" s="184" t="s">
        <v>1556</v>
      </c>
      <c r="C679" s="184" t="s">
        <v>1591</v>
      </c>
      <c r="D679" s="184" t="s">
        <v>1558</v>
      </c>
      <c r="E679" s="184"/>
      <c r="F679" s="184" t="s">
        <v>2736</v>
      </c>
      <c r="G679" s="184" t="s">
        <v>1532</v>
      </c>
      <c r="H679" s="184" t="s">
        <v>134</v>
      </c>
      <c r="I679" s="184" t="s">
        <v>135</v>
      </c>
    </row>
    <row r="680" spans="1:9">
      <c r="A680" s="184" t="s">
        <v>1527</v>
      </c>
      <c r="B680" s="184" t="s">
        <v>1693</v>
      </c>
      <c r="C680" s="184" t="s">
        <v>1694</v>
      </c>
      <c r="D680" s="184" t="s">
        <v>1695</v>
      </c>
      <c r="E680" s="184"/>
      <c r="F680" s="184" t="s">
        <v>1700</v>
      </c>
      <c r="G680" s="184" t="s">
        <v>1532</v>
      </c>
      <c r="H680" s="184"/>
      <c r="I680" s="184"/>
    </row>
    <row r="681" spans="1:9">
      <c r="A681" s="184" t="s">
        <v>1527</v>
      </c>
      <c r="B681" s="184" t="s">
        <v>1556</v>
      </c>
      <c r="C681" s="184" t="s">
        <v>1694</v>
      </c>
      <c r="D681" s="184" t="s">
        <v>1695</v>
      </c>
      <c r="E681" s="184"/>
      <c r="F681" s="184" t="s">
        <v>2737</v>
      </c>
      <c r="G681" s="184" t="s">
        <v>1532</v>
      </c>
      <c r="H681" s="184" t="s">
        <v>2738</v>
      </c>
      <c r="I681" s="184" t="s">
        <v>1395</v>
      </c>
    </row>
    <row r="682" spans="1:9">
      <c r="A682" s="184" t="s">
        <v>1527</v>
      </c>
      <c r="B682" s="184" t="s">
        <v>1693</v>
      </c>
      <c r="C682" s="184" t="s">
        <v>1694</v>
      </c>
      <c r="D682" s="184" t="s">
        <v>1695</v>
      </c>
      <c r="E682" s="184"/>
      <c r="F682" s="184" t="s">
        <v>1700</v>
      </c>
      <c r="G682" s="184" t="s">
        <v>1532</v>
      </c>
      <c r="H682" s="184"/>
      <c r="I682" s="184"/>
    </row>
    <row r="683" spans="1:9">
      <c r="A683" s="184" t="s">
        <v>1527</v>
      </c>
      <c r="B683" s="184" t="s">
        <v>1693</v>
      </c>
      <c r="C683" s="184" t="s">
        <v>1694</v>
      </c>
      <c r="D683" s="184" t="s">
        <v>1695</v>
      </c>
      <c r="E683" s="184"/>
      <c r="F683" s="184" t="s">
        <v>1700</v>
      </c>
      <c r="G683" s="184" t="s">
        <v>1532</v>
      </c>
      <c r="H683" s="184"/>
      <c r="I683" s="184"/>
    </row>
    <row r="684" spans="1:9">
      <c r="A684" s="184" t="s">
        <v>1527</v>
      </c>
      <c r="B684" s="184" t="s">
        <v>1693</v>
      </c>
      <c r="C684" s="184" t="s">
        <v>1694</v>
      </c>
      <c r="D684" s="184" t="s">
        <v>1695</v>
      </c>
      <c r="E684" s="184"/>
      <c r="F684" s="184" t="s">
        <v>1700</v>
      </c>
      <c r="G684" s="184" t="s">
        <v>1532</v>
      </c>
      <c r="H684" s="184"/>
      <c r="I684" s="184"/>
    </row>
    <row r="685" spans="1:9">
      <c r="A685" s="184" t="s">
        <v>1527</v>
      </c>
      <c r="B685" s="184" t="s">
        <v>1693</v>
      </c>
      <c r="C685" s="184" t="s">
        <v>1694</v>
      </c>
      <c r="D685" s="184" t="s">
        <v>1695</v>
      </c>
      <c r="E685" s="184"/>
      <c r="F685" s="184" t="s">
        <v>1700</v>
      </c>
      <c r="G685" s="184" t="s">
        <v>1532</v>
      </c>
      <c r="H685" s="184"/>
      <c r="I685" s="184"/>
    </row>
    <row r="686" spans="1:9">
      <c r="A686" s="184" t="s">
        <v>1527</v>
      </c>
      <c r="B686" s="184" t="s">
        <v>1693</v>
      </c>
      <c r="C686" s="184" t="s">
        <v>1694</v>
      </c>
      <c r="D686" s="184" t="s">
        <v>1695</v>
      </c>
      <c r="E686" s="184"/>
      <c r="F686" s="184" t="s">
        <v>1700</v>
      </c>
      <c r="G686" s="184" t="s">
        <v>1532</v>
      </c>
      <c r="H686" s="184"/>
      <c r="I686" s="184"/>
    </row>
    <row r="687" spans="1:9">
      <c r="A687" s="184" t="s">
        <v>1527</v>
      </c>
      <c r="B687" s="184" t="s">
        <v>1693</v>
      </c>
      <c r="C687" s="184" t="s">
        <v>1694</v>
      </c>
      <c r="D687" s="184" t="s">
        <v>1695</v>
      </c>
      <c r="E687" s="184"/>
      <c r="F687" s="184" t="s">
        <v>1700</v>
      </c>
      <c r="G687" s="184" t="s">
        <v>1532</v>
      </c>
      <c r="H687" s="184"/>
      <c r="I687" s="184"/>
    </row>
    <row r="688" spans="1:9">
      <c r="A688" s="184" t="s">
        <v>1527</v>
      </c>
      <c r="B688" s="184" t="s">
        <v>1556</v>
      </c>
      <c r="C688" s="184" t="s">
        <v>2655</v>
      </c>
      <c r="D688" s="184" t="s">
        <v>1558</v>
      </c>
      <c r="E688" s="184"/>
      <c r="F688" s="184" t="s">
        <v>1700</v>
      </c>
      <c r="G688" s="184" t="s">
        <v>1532</v>
      </c>
      <c r="H688" s="184"/>
      <c r="I688" s="184"/>
    </row>
    <row r="689" spans="1:7">
      <c r="A689" s="184" t="s">
        <v>1527</v>
      </c>
      <c r="B689" s="184" t="s">
        <v>1556</v>
      </c>
      <c r="C689" s="184" t="s">
        <v>2655</v>
      </c>
      <c r="D689" s="184" t="s">
        <v>1558</v>
      </c>
      <c r="E689" s="184"/>
      <c r="F689" s="184" t="s">
        <v>1700</v>
      </c>
      <c r="G689" s="184" t="s">
        <v>1532</v>
      </c>
    </row>
    <row r="690" spans="1:7">
      <c r="A690" s="184" t="s">
        <v>1527</v>
      </c>
      <c r="B690" s="184" t="s">
        <v>1556</v>
      </c>
      <c r="C690" s="184" t="s">
        <v>2655</v>
      </c>
      <c r="D690" s="184" t="s">
        <v>1558</v>
      </c>
      <c r="E690" s="184"/>
      <c r="F690" s="184" t="s">
        <v>1700</v>
      </c>
      <c r="G690" s="184" t="s">
        <v>1532</v>
      </c>
    </row>
    <row r="691" spans="1:7">
      <c r="A691" s="184" t="s">
        <v>1527</v>
      </c>
      <c r="B691" s="184" t="s">
        <v>1556</v>
      </c>
      <c r="C691" s="184" t="s">
        <v>2655</v>
      </c>
      <c r="D691" s="184" t="s">
        <v>1558</v>
      </c>
      <c r="E691" s="184"/>
      <c r="F691" s="184" t="s">
        <v>1700</v>
      </c>
      <c r="G691" s="184" t="s">
        <v>1532</v>
      </c>
    </row>
    <row r="692" spans="1:7">
      <c r="A692" s="184" t="s">
        <v>1527</v>
      </c>
      <c r="B692" s="184" t="s">
        <v>1556</v>
      </c>
      <c r="C692" s="184" t="s">
        <v>2655</v>
      </c>
      <c r="D692" s="184" t="s">
        <v>1558</v>
      </c>
      <c r="E692" s="184"/>
      <c r="F692" s="184" t="s">
        <v>1700</v>
      </c>
      <c r="G692" s="184" t="s">
        <v>1532</v>
      </c>
    </row>
    <row r="693" spans="1:7">
      <c r="A693" s="184" t="s">
        <v>1527</v>
      </c>
      <c r="B693" s="184" t="s">
        <v>1556</v>
      </c>
      <c r="C693" s="184" t="s">
        <v>2655</v>
      </c>
      <c r="D693" s="184" t="s">
        <v>1558</v>
      </c>
      <c r="E693" s="184"/>
      <c r="F693" s="184" t="s">
        <v>1700</v>
      </c>
      <c r="G693" s="184" t="s">
        <v>1532</v>
      </c>
    </row>
    <row r="694" spans="1:7">
      <c r="A694" s="184" t="s">
        <v>1527</v>
      </c>
      <c r="B694" s="184" t="s">
        <v>1556</v>
      </c>
      <c r="C694" s="184" t="s">
        <v>2655</v>
      </c>
      <c r="D694" s="184" t="s">
        <v>1558</v>
      </c>
      <c r="E694" s="184"/>
      <c r="F694" s="184" t="s">
        <v>1700</v>
      </c>
      <c r="G694" s="184" t="s">
        <v>1532</v>
      </c>
    </row>
    <row r="695" spans="1:7">
      <c r="A695" s="184" t="s">
        <v>1527</v>
      </c>
      <c r="B695" s="184" t="s">
        <v>1556</v>
      </c>
      <c r="C695" s="184" t="s">
        <v>2655</v>
      </c>
      <c r="D695" s="184" t="s">
        <v>1558</v>
      </c>
      <c r="E695" s="184"/>
      <c r="F695" s="184" t="s">
        <v>1700</v>
      </c>
      <c r="G695" s="184" t="s">
        <v>1532</v>
      </c>
    </row>
    <row r="696" spans="1:7">
      <c r="A696" s="184" t="s">
        <v>1527</v>
      </c>
      <c r="B696" s="184" t="s">
        <v>1556</v>
      </c>
      <c r="C696" s="184" t="s">
        <v>2655</v>
      </c>
      <c r="D696" s="184" t="s">
        <v>1558</v>
      </c>
      <c r="E696" s="184"/>
      <c r="F696" s="184" t="s">
        <v>1700</v>
      </c>
      <c r="G696" s="184" t="s">
        <v>1532</v>
      </c>
    </row>
    <row r="697" spans="1:7">
      <c r="A697" s="184" t="s">
        <v>1527</v>
      </c>
      <c r="B697" s="184" t="s">
        <v>1556</v>
      </c>
      <c r="C697" s="184" t="s">
        <v>2655</v>
      </c>
      <c r="D697" s="184" t="s">
        <v>1558</v>
      </c>
      <c r="E697" s="184"/>
      <c r="F697" s="184" t="s">
        <v>1700</v>
      </c>
      <c r="G697" s="184" t="s">
        <v>1532</v>
      </c>
    </row>
    <row r="698" spans="1:7">
      <c r="A698" s="184" t="s">
        <v>1527</v>
      </c>
      <c r="B698" s="184" t="s">
        <v>1556</v>
      </c>
      <c r="C698" s="184" t="s">
        <v>2655</v>
      </c>
      <c r="D698" s="184" t="s">
        <v>1558</v>
      </c>
      <c r="E698" s="184"/>
      <c r="F698" s="184" t="s">
        <v>1700</v>
      </c>
      <c r="G698" s="184" t="s">
        <v>1532</v>
      </c>
    </row>
    <row r="699" spans="1:7">
      <c r="A699" s="184" t="s">
        <v>1527</v>
      </c>
      <c r="B699" s="184" t="s">
        <v>1556</v>
      </c>
      <c r="C699" s="184" t="s">
        <v>2655</v>
      </c>
      <c r="D699" s="184" t="s">
        <v>1558</v>
      </c>
      <c r="E699" s="184"/>
      <c r="F699" s="184" t="s">
        <v>1700</v>
      </c>
      <c r="G699" s="184" t="s">
        <v>1532</v>
      </c>
    </row>
    <row r="700" spans="1:7">
      <c r="A700" s="184" t="s">
        <v>1527</v>
      </c>
      <c r="B700" s="184" t="s">
        <v>1556</v>
      </c>
      <c r="C700" s="184" t="s">
        <v>2655</v>
      </c>
      <c r="D700" s="184" t="s">
        <v>1558</v>
      </c>
      <c r="E700" s="184"/>
      <c r="F700" s="184" t="s">
        <v>1700</v>
      </c>
      <c r="G700" s="184" t="s">
        <v>1532</v>
      </c>
    </row>
    <row r="701" spans="1:7">
      <c r="A701" s="184" t="s">
        <v>1527</v>
      </c>
      <c r="B701" s="184" t="s">
        <v>1556</v>
      </c>
      <c r="C701" s="184" t="s">
        <v>2655</v>
      </c>
      <c r="D701" s="184" t="s">
        <v>1558</v>
      </c>
      <c r="E701" s="184"/>
      <c r="F701" s="184" t="s">
        <v>1700</v>
      </c>
      <c r="G701" s="184" t="s">
        <v>1532</v>
      </c>
    </row>
    <row r="702" spans="1:7">
      <c r="A702" s="184" t="s">
        <v>1527</v>
      </c>
      <c r="B702" s="184" t="s">
        <v>1556</v>
      </c>
      <c r="C702" s="184" t="s">
        <v>2655</v>
      </c>
      <c r="D702" s="184" t="s">
        <v>1558</v>
      </c>
      <c r="E702" s="184"/>
      <c r="F702" s="184" t="s">
        <v>1700</v>
      </c>
      <c r="G702" s="184" t="s">
        <v>1532</v>
      </c>
    </row>
    <row r="703" spans="1:7">
      <c r="A703" s="184" t="s">
        <v>1527</v>
      </c>
      <c r="B703" s="184" t="s">
        <v>1556</v>
      </c>
      <c r="C703" s="184" t="s">
        <v>2655</v>
      </c>
      <c r="D703" s="184" t="s">
        <v>1558</v>
      </c>
      <c r="E703" s="184"/>
      <c r="F703" s="184" t="s">
        <v>1700</v>
      </c>
      <c r="G703" s="184" t="s">
        <v>1532</v>
      </c>
    </row>
    <row r="704" spans="1:7">
      <c r="A704" s="184" t="s">
        <v>1527</v>
      </c>
      <c r="B704" s="184" t="s">
        <v>1556</v>
      </c>
      <c r="C704" s="184" t="s">
        <v>2655</v>
      </c>
      <c r="D704" s="184" t="s">
        <v>1558</v>
      </c>
      <c r="E704" s="184"/>
      <c r="F704" s="184" t="s">
        <v>1700</v>
      </c>
      <c r="G704" s="184" t="s">
        <v>1532</v>
      </c>
    </row>
    <row r="705" spans="1:10">
      <c r="A705" s="184" t="s">
        <v>1527</v>
      </c>
      <c r="B705" s="184" t="s">
        <v>1556</v>
      </c>
      <c r="C705" s="184" t="s">
        <v>2655</v>
      </c>
      <c r="D705" s="184" t="s">
        <v>1558</v>
      </c>
      <c r="E705" s="184"/>
      <c r="F705" s="184" t="s">
        <v>1700</v>
      </c>
      <c r="G705" s="184" t="s">
        <v>1532</v>
      </c>
      <c r="H705" s="184"/>
      <c r="I705" s="184"/>
      <c r="J705" s="184"/>
    </row>
    <row r="706" spans="1:10">
      <c r="A706" s="184" t="s">
        <v>1527</v>
      </c>
      <c r="B706" s="184" t="s">
        <v>1556</v>
      </c>
      <c r="C706" s="184" t="s">
        <v>2655</v>
      </c>
      <c r="D706" s="184" t="s">
        <v>1558</v>
      </c>
      <c r="E706" s="184"/>
      <c r="F706" s="184" t="s">
        <v>1700</v>
      </c>
      <c r="G706" s="184" t="s">
        <v>1532</v>
      </c>
      <c r="H706" s="184"/>
      <c r="I706" s="184"/>
      <c r="J706" s="184"/>
    </row>
    <row r="707" spans="1:10">
      <c r="A707" s="184" t="s">
        <v>1527</v>
      </c>
      <c r="B707" s="184" t="s">
        <v>1556</v>
      </c>
      <c r="C707" s="184" t="s">
        <v>2655</v>
      </c>
      <c r="D707" s="184" t="s">
        <v>1558</v>
      </c>
      <c r="E707" s="184"/>
      <c r="F707" s="184" t="s">
        <v>1700</v>
      </c>
      <c r="G707" s="184" t="s">
        <v>1532</v>
      </c>
      <c r="H707" s="184"/>
      <c r="I707" s="184"/>
      <c r="J707" s="184"/>
    </row>
    <row r="708" spans="1:10">
      <c r="A708" s="184" t="s">
        <v>1527</v>
      </c>
      <c r="B708" s="184" t="s">
        <v>1556</v>
      </c>
      <c r="C708" s="184" t="s">
        <v>2655</v>
      </c>
      <c r="D708" s="184" t="s">
        <v>1558</v>
      </c>
      <c r="E708" s="184"/>
      <c r="F708" s="184" t="s">
        <v>1700</v>
      </c>
      <c r="G708" s="184" t="s">
        <v>1532</v>
      </c>
      <c r="H708" s="184"/>
      <c r="I708" s="184"/>
      <c r="J708" s="184"/>
    </row>
    <row r="709" spans="1:10">
      <c r="A709" s="184" t="s">
        <v>1527</v>
      </c>
      <c r="B709" s="184" t="s">
        <v>1556</v>
      </c>
      <c r="C709" s="184" t="s">
        <v>2655</v>
      </c>
      <c r="D709" s="184" t="s">
        <v>1558</v>
      </c>
      <c r="E709" s="184"/>
      <c r="F709" s="184" t="s">
        <v>1700</v>
      </c>
      <c r="G709" s="184" t="s">
        <v>1532</v>
      </c>
      <c r="H709" s="184"/>
      <c r="I709" s="184"/>
      <c r="J709" s="184"/>
    </row>
    <row r="710" spans="1:10">
      <c r="A710" s="184" t="s">
        <v>1527</v>
      </c>
      <c r="B710" s="184" t="s">
        <v>1556</v>
      </c>
      <c r="C710" s="184" t="s">
        <v>2655</v>
      </c>
      <c r="D710" s="184" t="s">
        <v>1558</v>
      </c>
      <c r="E710" s="184"/>
      <c r="F710" s="184" t="s">
        <v>1700</v>
      </c>
      <c r="G710" s="184" t="s">
        <v>1532</v>
      </c>
      <c r="H710" s="184"/>
      <c r="I710" s="184"/>
      <c r="J710" s="184"/>
    </row>
    <row r="711" spans="1:10">
      <c r="A711" s="184" t="s">
        <v>1527</v>
      </c>
      <c r="B711" s="184" t="s">
        <v>1556</v>
      </c>
      <c r="C711" s="184" t="s">
        <v>2655</v>
      </c>
      <c r="D711" s="184" t="s">
        <v>1558</v>
      </c>
      <c r="E711" s="184"/>
      <c r="F711" s="184" t="s">
        <v>1700</v>
      </c>
      <c r="G711" s="184" t="s">
        <v>1532</v>
      </c>
      <c r="H711" s="184"/>
      <c r="I711" s="184"/>
      <c r="J711" s="184"/>
    </row>
    <row r="712" spans="1:10">
      <c r="A712" s="184" t="s">
        <v>1527</v>
      </c>
      <c r="B712" s="184" t="s">
        <v>1701</v>
      </c>
      <c r="C712" s="184" t="s">
        <v>2423</v>
      </c>
      <c r="D712" s="184" t="s">
        <v>1703</v>
      </c>
      <c r="E712" s="184"/>
      <c r="F712" s="184" t="s">
        <v>1700</v>
      </c>
      <c r="G712" s="184" t="s">
        <v>1532</v>
      </c>
      <c r="H712" s="184"/>
      <c r="I712" s="184"/>
      <c r="J712" s="184" t="s">
        <v>2739</v>
      </c>
    </row>
    <row r="713" spans="1:10">
      <c r="A713" s="184" t="s">
        <v>1527</v>
      </c>
      <c r="B713" s="184" t="s">
        <v>1701</v>
      </c>
      <c r="C713" s="184" t="s">
        <v>2423</v>
      </c>
      <c r="D713" s="184" t="s">
        <v>1703</v>
      </c>
      <c r="E713" s="184"/>
      <c r="F713" s="184" t="s">
        <v>1700</v>
      </c>
      <c r="G713" s="184" t="s">
        <v>1532</v>
      </c>
      <c r="H713" s="184"/>
      <c r="I713" s="184"/>
      <c r="J713" s="184" t="s">
        <v>2740</v>
      </c>
    </row>
    <row r="714" spans="1:10">
      <c r="A714" s="184" t="s">
        <v>1527</v>
      </c>
      <c r="B714" s="184" t="s">
        <v>1701</v>
      </c>
      <c r="C714" s="184" t="s">
        <v>2423</v>
      </c>
      <c r="D714" s="184" t="s">
        <v>1703</v>
      </c>
      <c r="E714" s="184"/>
      <c r="F714" s="184" t="s">
        <v>1700</v>
      </c>
      <c r="G714" s="184" t="s">
        <v>1532</v>
      </c>
      <c r="H714" s="184"/>
      <c r="I714" s="184"/>
      <c r="J714" s="184"/>
    </row>
    <row r="715" spans="1:10">
      <c r="A715" s="184" t="s">
        <v>1527</v>
      </c>
      <c r="B715" s="184" t="s">
        <v>1701</v>
      </c>
      <c r="C715" s="184" t="s">
        <v>2423</v>
      </c>
      <c r="D715" s="184" t="s">
        <v>1703</v>
      </c>
      <c r="E715" s="184"/>
      <c r="F715" s="184" t="s">
        <v>1700</v>
      </c>
      <c r="G715" s="184" t="s">
        <v>1532</v>
      </c>
      <c r="H715" s="184"/>
      <c r="I715" s="184"/>
      <c r="J715" s="184"/>
    </row>
    <row r="716" spans="1:10">
      <c r="A716" s="184" t="s">
        <v>1527</v>
      </c>
      <c r="B716" s="184" t="s">
        <v>1701</v>
      </c>
      <c r="C716" s="184" t="s">
        <v>2423</v>
      </c>
      <c r="D716" s="184" t="s">
        <v>1703</v>
      </c>
      <c r="E716" s="184"/>
      <c r="F716" s="184" t="s">
        <v>1700</v>
      </c>
      <c r="G716" s="184" t="s">
        <v>1532</v>
      </c>
      <c r="H716" s="184"/>
      <c r="I716" s="184"/>
      <c r="J716" s="184"/>
    </row>
    <row r="717" spans="1:10">
      <c r="A717" s="184" t="s">
        <v>1527</v>
      </c>
      <c r="B717" s="184" t="s">
        <v>1701</v>
      </c>
      <c r="C717" s="184" t="s">
        <v>2423</v>
      </c>
      <c r="D717" s="184" t="s">
        <v>1703</v>
      </c>
      <c r="E717" s="184"/>
      <c r="F717" s="184" t="s">
        <v>1700</v>
      </c>
      <c r="G717" s="184" t="s">
        <v>1532</v>
      </c>
      <c r="H717" s="184"/>
      <c r="I717" s="184"/>
      <c r="J717" s="184"/>
    </row>
    <row r="718" spans="1:10">
      <c r="A718" s="184" t="s">
        <v>1527</v>
      </c>
      <c r="B718" s="184" t="s">
        <v>1701</v>
      </c>
      <c r="C718" s="184" t="s">
        <v>2423</v>
      </c>
      <c r="D718" s="184" t="s">
        <v>1703</v>
      </c>
      <c r="E718" s="184"/>
      <c r="F718" s="184" t="s">
        <v>1700</v>
      </c>
      <c r="G718" s="184" t="s">
        <v>1532</v>
      </c>
      <c r="H718" s="184"/>
      <c r="I718" s="184"/>
      <c r="J718" s="184"/>
    </row>
    <row r="719" spans="1:10">
      <c r="A719" s="184" t="s">
        <v>1527</v>
      </c>
      <c r="B719" s="184" t="s">
        <v>1701</v>
      </c>
      <c r="C719" s="184" t="s">
        <v>2423</v>
      </c>
      <c r="D719" s="184" t="s">
        <v>1703</v>
      </c>
      <c r="E719" s="184"/>
      <c r="F719" s="184" t="s">
        <v>1700</v>
      </c>
      <c r="G719" s="184" t="s">
        <v>1532</v>
      </c>
      <c r="H719" s="184"/>
      <c r="I719" s="184"/>
      <c r="J719" s="184"/>
    </row>
    <row r="720" spans="1:10">
      <c r="A720" s="184" t="s">
        <v>1527</v>
      </c>
      <c r="B720" s="184" t="s">
        <v>1701</v>
      </c>
      <c r="C720" s="184" t="s">
        <v>2423</v>
      </c>
      <c r="D720" s="184" t="s">
        <v>1703</v>
      </c>
      <c r="E720" s="184"/>
      <c r="F720" s="184" t="s">
        <v>1700</v>
      </c>
      <c r="G720" s="184" t="s">
        <v>1532</v>
      </c>
      <c r="H720" s="184"/>
      <c r="I720" s="184"/>
      <c r="J720" s="184"/>
    </row>
    <row r="721" spans="1:7">
      <c r="A721" s="184" t="s">
        <v>1527</v>
      </c>
      <c r="B721" s="184" t="s">
        <v>1693</v>
      </c>
      <c r="C721" s="184" t="s">
        <v>2351</v>
      </c>
      <c r="D721" s="184" t="s">
        <v>1730</v>
      </c>
      <c r="E721" s="184"/>
      <c r="F721" s="184" t="s">
        <v>1700</v>
      </c>
      <c r="G721" s="184" t="s">
        <v>1532</v>
      </c>
    </row>
    <row r="722" spans="1:7">
      <c r="A722" s="184" t="s">
        <v>1527</v>
      </c>
      <c r="B722" s="184" t="s">
        <v>1693</v>
      </c>
      <c r="C722" s="184" t="s">
        <v>2351</v>
      </c>
      <c r="D722" s="184" t="s">
        <v>1730</v>
      </c>
      <c r="E722" s="184"/>
      <c r="F722" s="184" t="s">
        <v>1700</v>
      </c>
      <c r="G722" s="184" t="s">
        <v>1532</v>
      </c>
    </row>
    <row r="723" spans="1:7">
      <c r="A723" s="184" t="s">
        <v>1527</v>
      </c>
      <c r="B723" s="184" t="s">
        <v>1693</v>
      </c>
      <c r="C723" s="184" t="s">
        <v>2351</v>
      </c>
      <c r="D723" s="184" t="s">
        <v>1730</v>
      </c>
      <c r="E723" s="184"/>
      <c r="F723" s="184" t="s">
        <v>1700</v>
      </c>
      <c r="G723" s="184" t="s">
        <v>1532</v>
      </c>
    </row>
    <row r="724" spans="1:7">
      <c r="A724" s="184" t="s">
        <v>1527</v>
      </c>
      <c r="B724" s="184" t="s">
        <v>1693</v>
      </c>
      <c r="C724" s="184" t="s">
        <v>2351</v>
      </c>
      <c r="D724" s="184" t="s">
        <v>1730</v>
      </c>
      <c r="E724" s="184"/>
      <c r="F724" s="184" t="s">
        <v>1700</v>
      </c>
      <c r="G724" s="184" t="s">
        <v>1532</v>
      </c>
    </row>
    <row r="725" spans="1:7">
      <c r="A725" s="184" t="s">
        <v>1527</v>
      </c>
      <c r="B725" s="184" t="s">
        <v>1693</v>
      </c>
      <c r="C725" s="184" t="s">
        <v>2351</v>
      </c>
      <c r="D725" s="184" t="s">
        <v>1730</v>
      </c>
      <c r="E725" s="184"/>
      <c r="F725" s="184" t="s">
        <v>1700</v>
      </c>
      <c r="G725" s="184" t="s">
        <v>1532</v>
      </c>
    </row>
    <row r="726" spans="1:7">
      <c r="A726" s="184" t="s">
        <v>1527</v>
      </c>
      <c r="B726" s="184" t="s">
        <v>1693</v>
      </c>
      <c r="C726" s="184" t="s">
        <v>2351</v>
      </c>
      <c r="D726" s="184" t="s">
        <v>1730</v>
      </c>
      <c r="E726" s="184"/>
      <c r="F726" s="184" t="s">
        <v>1700</v>
      </c>
      <c r="G726" s="184" t="s">
        <v>1532</v>
      </c>
    </row>
    <row r="727" spans="1:7">
      <c r="A727" s="184" t="s">
        <v>1527</v>
      </c>
      <c r="B727" s="184" t="s">
        <v>1693</v>
      </c>
      <c r="C727" s="184" t="s">
        <v>2351</v>
      </c>
      <c r="D727" s="184" t="s">
        <v>1730</v>
      </c>
      <c r="E727" s="184"/>
      <c r="F727" s="184" t="s">
        <v>1700</v>
      </c>
      <c r="G727" s="184" t="s">
        <v>1532</v>
      </c>
    </row>
    <row r="728" spans="1:7">
      <c r="A728" s="184" t="s">
        <v>1527</v>
      </c>
      <c r="B728" s="184" t="s">
        <v>1693</v>
      </c>
      <c r="C728" s="184" t="s">
        <v>2351</v>
      </c>
      <c r="D728" s="184" t="s">
        <v>1730</v>
      </c>
      <c r="E728" s="184"/>
      <c r="F728" s="184" t="s">
        <v>1700</v>
      </c>
      <c r="G728" s="184" t="s">
        <v>1532</v>
      </c>
    </row>
    <row r="729" spans="1:7">
      <c r="A729" s="184" t="s">
        <v>1527</v>
      </c>
      <c r="B729" s="184" t="s">
        <v>1693</v>
      </c>
      <c r="C729" s="184" t="s">
        <v>2351</v>
      </c>
      <c r="D729" s="184" t="s">
        <v>1730</v>
      </c>
      <c r="E729" s="184"/>
      <c r="F729" s="184" t="s">
        <v>1700</v>
      </c>
      <c r="G729" s="184" t="s">
        <v>1532</v>
      </c>
    </row>
    <row r="730" spans="1:7">
      <c r="A730" s="184" t="s">
        <v>1527</v>
      </c>
      <c r="B730" s="184" t="s">
        <v>1693</v>
      </c>
      <c r="C730" s="184" t="s">
        <v>2351</v>
      </c>
      <c r="D730" s="184" t="s">
        <v>1730</v>
      </c>
      <c r="E730" s="184"/>
      <c r="F730" s="184" t="s">
        <v>1700</v>
      </c>
      <c r="G730" s="184" t="s">
        <v>1532</v>
      </c>
    </row>
    <row r="731" spans="1:7">
      <c r="A731" s="184" t="s">
        <v>1527</v>
      </c>
      <c r="B731" s="184" t="s">
        <v>1693</v>
      </c>
      <c r="C731" s="184" t="s">
        <v>2351</v>
      </c>
      <c r="D731" s="184" t="s">
        <v>1730</v>
      </c>
      <c r="E731" s="184"/>
      <c r="F731" s="184" t="s">
        <v>1700</v>
      </c>
      <c r="G731" s="184" t="s">
        <v>1532</v>
      </c>
    </row>
    <row r="732" spans="1:7">
      <c r="A732" s="184" t="s">
        <v>1527</v>
      </c>
      <c r="B732" s="184" t="s">
        <v>1693</v>
      </c>
      <c r="C732" s="184" t="s">
        <v>2351</v>
      </c>
      <c r="D732" s="184" t="s">
        <v>1730</v>
      </c>
      <c r="E732" s="184"/>
      <c r="F732" s="184" t="s">
        <v>1700</v>
      </c>
      <c r="G732" s="184" t="s">
        <v>1532</v>
      </c>
    </row>
    <row r="733" spans="1:7">
      <c r="A733" s="184" t="s">
        <v>1527</v>
      </c>
      <c r="B733" s="184" t="s">
        <v>1693</v>
      </c>
      <c r="C733" s="184" t="s">
        <v>2351</v>
      </c>
      <c r="D733" s="184" t="s">
        <v>1730</v>
      </c>
      <c r="E733" s="184"/>
      <c r="F733" s="184" t="s">
        <v>1700</v>
      </c>
      <c r="G733" s="184" t="s">
        <v>1532</v>
      </c>
    </row>
    <row r="734" spans="1:7">
      <c r="A734" s="184" t="s">
        <v>1527</v>
      </c>
      <c r="B734" s="184" t="s">
        <v>1693</v>
      </c>
      <c r="C734" s="184" t="s">
        <v>2351</v>
      </c>
      <c r="D734" s="184" t="s">
        <v>1730</v>
      </c>
      <c r="E734" s="184"/>
      <c r="F734" s="184" t="s">
        <v>1700</v>
      </c>
      <c r="G734" s="184" t="s">
        <v>1532</v>
      </c>
    </row>
    <row r="735" spans="1:7">
      <c r="A735" s="184" t="s">
        <v>1527</v>
      </c>
      <c r="B735" s="184" t="s">
        <v>1556</v>
      </c>
      <c r="C735" s="184" t="s">
        <v>2200</v>
      </c>
      <c r="D735" s="184" t="s">
        <v>1558</v>
      </c>
      <c r="E735" s="184"/>
      <c r="F735" s="184" t="s">
        <v>1700</v>
      </c>
      <c r="G735" s="184" t="s">
        <v>1532</v>
      </c>
    </row>
    <row r="736" spans="1:7">
      <c r="A736" s="184" t="s">
        <v>1527</v>
      </c>
      <c r="B736" s="184" t="s">
        <v>1556</v>
      </c>
      <c r="C736" s="184" t="s">
        <v>2200</v>
      </c>
      <c r="D736" s="184" t="s">
        <v>1558</v>
      </c>
      <c r="E736" s="184"/>
      <c r="F736" s="184" t="s">
        <v>1700</v>
      </c>
      <c r="G736" s="184" t="s">
        <v>1532</v>
      </c>
    </row>
    <row r="737" spans="1:7">
      <c r="A737" s="184" t="s">
        <v>1527</v>
      </c>
      <c r="B737" s="184" t="s">
        <v>1556</v>
      </c>
      <c r="C737" s="184" t="s">
        <v>2200</v>
      </c>
      <c r="D737" s="184" t="s">
        <v>1558</v>
      </c>
      <c r="E737" s="184"/>
      <c r="F737" s="184" t="s">
        <v>1700</v>
      </c>
      <c r="G737" s="184" t="s">
        <v>1532</v>
      </c>
    </row>
    <row r="738" spans="1:7">
      <c r="A738" s="184" t="s">
        <v>1527</v>
      </c>
      <c r="B738" s="184" t="s">
        <v>1556</v>
      </c>
      <c r="C738" s="184" t="s">
        <v>2200</v>
      </c>
      <c r="D738" s="184" t="s">
        <v>1558</v>
      </c>
      <c r="E738" s="184"/>
      <c r="F738" s="184" t="s">
        <v>1700</v>
      </c>
      <c r="G738" s="184" t="s">
        <v>1532</v>
      </c>
    </row>
    <row r="739" spans="1:7">
      <c r="A739" s="184" t="s">
        <v>1527</v>
      </c>
      <c r="B739" s="184" t="s">
        <v>1693</v>
      </c>
      <c r="C739" s="184" t="s">
        <v>2203</v>
      </c>
      <c r="D739" s="184" t="s">
        <v>1730</v>
      </c>
      <c r="E739" s="184"/>
      <c r="F739" s="184" t="s">
        <v>1700</v>
      </c>
      <c r="G739" s="184" t="s">
        <v>1532</v>
      </c>
    </row>
    <row r="740" spans="1:7">
      <c r="A740" s="184" t="s">
        <v>1527</v>
      </c>
      <c r="B740" s="184" t="s">
        <v>1693</v>
      </c>
      <c r="C740" s="184" t="s">
        <v>2203</v>
      </c>
      <c r="D740" s="184" t="s">
        <v>1730</v>
      </c>
      <c r="E740" s="184"/>
      <c r="F740" s="184" t="s">
        <v>1700</v>
      </c>
      <c r="G740" s="184" t="s">
        <v>1532</v>
      </c>
    </row>
    <row r="741" spans="1:7">
      <c r="A741" s="184" t="s">
        <v>1527</v>
      </c>
      <c r="B741" s="184" t="s">
        <v>1693</v>
      </c>
      <c r="C741" s="184" t="s">
        <v>2203</v>
      </c>
      <c r="D741" s="184" t="s">
        <v>1730</v>
      </c>
      <c r="E741" s="184"/>
      <c r="F741" s="184" t="s">
        <v>1700</v>
      </c>
      <c r="G741" s="184" t="s">
        <v>1532</v>
      </c>
    </row>
    <row r="742" spans="1:7">
      <c r="A742" s="184" t="s">
        <v>1527</v>
      </c>
      <c r="B742" s="184" t="s">
        <v>1701</v>
      </c>
      <c r="C742" s="184" t="s">
        <v>1928</v>
      </c>
      <c r="D742" s="184" t="s">
        <v>1703</v>
      </c>
      <c r="E742" s="184"/>
      <c r="F742" s="184" t="s">
        <v>1700</v>
      </c>
      <c r="G742" s="184" t="s">
        <v>1532</v>
      </c>
    </row>
    <row r="743" spans="1:7">
      <c r="A743" s="184" t="s">
        <v>1527</v>
      </c>
      <c r="B743" s="184" t="s">
        <v>1528</v>
      </c>
      <c r="C743" s="184" t="s">
        <v>2681</v>
      </c>
      <c r="D743" s="184" t="s">
        <v>1530</v>
      </c>
      <c r="E743" s="184"/>
      <c r="F743" s="184" t="s">
        <v>1700</v>
      </c>
      <c r="G743" s="184" t="s">
        <v>1532</v>
      </c>
    </row>
    <row r="744" spans="1:7">
      <c r="A744" s="184" t="s">
        <v>1527</v>
      </c>
      <c r="B744" s="184" t="s">
        <v>1528</v>
      </c>
      <c r="C744" s="184" t="s">
        <v>2681</v>
      </c>
      <c r="D744" s="184" t="s">
        <v>1530</v>
      </c>
      <c r="E744" s="184"/>
      <c r="F744" s="184" t="s">
        <v>1700</v>
      </c>
      <c r="G744" s="184" t="s">
        <v>1532</v>
      </c>
    </row>
    <row r="745" spans="1:7">
      <c r="A745" s="184" t="s">
        <v>1527</v>
      </c>
      <c r="B745" s="184" t="s">
        <v>1528</v>
      </c>
      <c r="C745" s="184" t="s">
        <v>2681</v>
      </c>
      <c r="D745" s="184" t="s">
        <v>1530</v>
      </c>
      <c r="E745" s="184"/>
      <c r="F745" s="184" t="s">
        <v>1700</v>
      </c>
      <c r="G745" s="184" t="s">
        <v>1532</v>
      </c>
    </row>
    <row r="746" spans="1:7">
      <c r="A746" s="184" t="s">
        <v>1527</v>
      </c>
      <c r="B746" s="184" t="s">
        <v>1528</v>
      </c>
      <c r="C746" s="184" t="s">
        <v>2681</v>
      </c>
      <c r="D746" s="184" t="s">
        <v>1530</v>
      </c>
      <c r="E746" s="184"/>
      <c r="F746" s="184" t="s">
        <v>1700</v>
      </c>
      <c r="G746" s="184" t="s">
        <v>1532</v>
      </c>
    </row>
    <row r="747" spans="1:7">
      <c r="A747" s="184" t="s">
        <v>1527</v>
      </c>
      <c r="B747" s="184" t="s">
        <v>1528</v>
      </c>
      <c r="C747" s="184" t="s">
        <v>2681</v>
      </c>
      <c r="D747" s="184" t="s">
        <v>1530</v>
      </c>
      <c r="E747" s="184"/>
      <c r="F747" s="184" t="s">
        <v>1700</v>
      </c>
      <c r="G747" s="184" t="s">
        <v>1532</v>
      </c>
    </row>
    <row r="748" spans="1:7">
      <c r="A748" s="184" t="s">
        <v>1527</v>
      </c>
      <c r="B748" s="184" t="s">
        <v>1528</v>
      </c>
      <c r="C748" s="184" t="s">
        <v>2681</v>
      </c>
      <c r="D748" s="184" t="s">
        <v>1530</v>
      </c>
      <c r="E748" s="184"/>
      <c r="F748" s="184" t="s">
        <v>1700</v>
      </c>
      <c r="G748" s="184" t="s">
        <v>1532</v>
      </c>
    </row>
    <row r="749" spans="1:7">
      <c r="A749" s="184" t="s">
        <v>1527</v>
      </c>
      <c r="B749" s="184" t="s">
        <v>1701</v>
      </c>
      <c r="C749" s="184" t="s">
        <v>2137</v>
      </c>
      <c r="D749" s="184" t="s">
        <v>1703</v>
      </c>
      <c r="E749" s="184"/>
      <c r="F749" s="184" t="s">
        <v>1700</v>
      </c>
      <c r="G749" s="184" t="s">
        <v>1532</v>
      </c>
    </row>
    <row r="750" spans="1:7">
      <c r="A750" s="184" t="s">
        <v>1527</v>
      </c>
      <c r="B750" s="184" t="s">
        <v>1701</v>
      </c>
      <c r="C750" s="184" t="s">
        <v>2137</v>
      </c>
      <c r="D750" s="184" t="s">
        <v>1703</v>
      </c>
      <c r="E750" s="184"/>
      <c r="F750" s="184" t="s">
        <v>1700</v>
      </c>
      <c r="G750" s="184" t="s">
        <v>1532</v>
      </c>
    </row>
    <row r="751" spans="1:7">
      <c r="A751" s="184" t="s">
        <v>1527</v>
      </c>
      <c r="B751" s="184" t="s">
        <v>1701</v>
      </c>
      <c r="C751" s="184" t="s">
        <v>2137</v>
      </c>
      <c r="D751" s="184" t="s">
        <v>1703</v>
      </c>
      <c r="E751" s="184"/>
      <c r="F751" s="184" t="s">
        <v>1700</v>
      </c>
      <c r="G751" s="184" t="s">
        <v>1532</v>
      </c>
    </row>
    <row r="752" spans="1:7">
      <c r="A752" s="184" t="s">
        <v>1527</v>
      </c>
      <c r="B752" s="184" t="s">
        <v>1701</v>
      </c>
      <c r="C752" s="184" t="s">
        <v>2137</v>
      </c>
      <c r="D752" s="184" t="s">
        <v>1703</v>
      </c>
      <c r="E752" s="184"/>
      <c r="F752" s="184" t="s">
        <v>1700</v>
      </c>
      <c r="G752" s="184" t="s">
        <v>1532</v>
      </c>
    </row>
    <row r="753" spans="1:7">
      <c r="A753" s="184" t="s">
        <v>1527</v>
      </c>
      <c r="B753" s="184" t="s">
        <v>1701</v>
      </c>
      <c r="C753" s="184" t="s">
        <v>2137</v>
      </c>
      <c r="D753" s="184" t="s">
        <v>1703</v>
      </c>
      <c r="E753" s="184"/>
      <c r="F753" s="184" t="s">
        <v>1700</v>
      </c>
      <c r="G753" s="184" t="s">
        <v>1532</v>
      </c>
    </row>
    <row r="754" spans="1:7">
      <c r="A754" s="184" t="s">
        <v>1527</v>
      </c>
      <c r="B754" s="184" t="s">
        <v>1701</v>
      </c>
      <c r="C754" s="184" t="s">
        <v>2137</v>
      </c>
      <c r="D754" s="184" t="s">
        <v>1703</v>
      </c>
      <c r="E754" s="184"/>
      <c r="F754" s="184" t="s">
        <v>1700</v>
      </c>
      <c r="G754" s="184" t="s">
        <v>1532</v>
      </c>
    </row>
    <row r="755" spans="1:7">
      <c r="A755" s="184" t="s">
        <v>1527</v>
      </c>
      <c r="B755" s="184" t="s">
        <v>1701</v>
      </c>
      <c r="C755" s="184" t="s">
        <v>2137</v>
      </c>
      <c r="D755" s="184" t="s">
        <v>1703</v>
      </c>
      <c r="E755" s="184"/>
      <c r="F755" s="184" t="s">
        <v>1700</v>
      </c>
      <c r="G755" s="184" t="s">
        <v>1532</v>
      </c>
    </row>
    <row r="756" spans="1:7">
      <c r="A756" s="184" t="s">
        <v>1527</v>
      </c>
      <c r="B756" s="184" t="s">
        <v>1701</v>
      </c>
      <c r="C756" s="184" t="s">
        <v>2137</v>
      </c>
      <c r="D756" s="184" t="s">
        <v>1703</v>
      </c>
      <c r="E756" s="184"/>
      <c r="F756" s="184" t="s">
        <v>1700</v>
      </c>
      <c r="G756" s="184" t="s">
        <v>1532</v>
      </c>
    </row>
    <row r="757" spans="1:7">
      <c r="A757" s="184" t="s">
        <v>1527</v>
      </c>
      <c r="B757" s="184" t="s">
        <v>1701</v>
      </c>
      <c r="C757" s="184" t="s">
        <v>2137</v>
      </c>
      <c r="D757" s="184" t="s">
        <v>1703</v>
      </c>
      <c r="E757" s="184"/>
      <c r="F757" s="184" t="s">
        <v>1700</v>
      </c>
      <c r="G757" s="184" t="s">
        <v>1532</v>
      </c>
    </row>
    <row r="758" spans="1:7">
      <c r="A758" s="184" t="s">
        <v>1527</v>
      </c>
      <c r="B758" s="184" t="s">
        <v>1701</v>
      </c>
      <c r="C758" s="184" t="s">
        <v>2137</v>
      </c>
      <c r="D758" s="184" t="s">
        <v>1703</v>
      </c>
      <c r="E758" s="184"/>
      <c r="F758" s="184" t="s">
        <v>1700</v>
      </c>
      <c r="G758" s="184" t="s">
        <v>1532</v>
      </c>
    </row>
    <row r="759" spans="1:7">
      <c r="A759" s="184" t="s">
        <v>1527</v>
      </c>
      <c r="B759" s="184" t="s">
        <v>1693</v>
      </c>
      <c r="C759" s="184" t="s">
        <v>2147</v>
      </c>
      <c r="D759" s="184" t="s">
        <v>1730</v>
      </c>
      <c r="E759" s="184"/>
      <c r="F759" s="184" t="s">
        <v>1700</v>
      </c>
      <c r="G759" s="184" t="s">
        <v>1532</v>
      </c>
    </row>
    <row r="760" spans="1:7">
      <c r="A760" s="184" t="s">
        <v>1527</v>
      </c>
      <c r="B760" s="184" t="s">
        <v>1693</v>
      </c>
      <c r="C760" s="184" t="s">
        <v>2147</v>
      </c>
      <c r="D760" s="184" t="s">
        <v>1730</v>
      </c>
      <c r="E760" s="184"/>
      <c r="F760" s="184" t="s">
        <v>1700</v>
      </c>
      <c r="G760" s="184" t="s">
        <v>1532</v>
      </c>
    </row>
    <row r="761" spans="1:7">
      <c r="A761" s="184" t="s">
        <v>1527</v>
      </c>
      <c r="B761" s="184" t="s">
        <v>1693</v>
      </c>
      <c r="C761" s="184" t="s">
        <v>2147</v>
      </c>
      <c r="D761" s="184" t="s">
        <v>1730</v>
      </c>
      <c r="E761" s="184"/>
      <c r="F761" s="184" t="s">
        <v>1700</v>
      </c>
      <c r="G761" s="184" t="s">
        <v>1532</v>
      </c>
    </row>
    <row r="762" spans="1:7">
      <c r="A762" s="184" t="s">
        <v>1527</v>
      </c>
      <c r="B762" s="184" t="s">
        <v>1693</v>
      </c>
      <c r="C762" s="184" t="s">
        <v>2147</v>
      </c>
      <c r="D762" s="184" t="s">
        <v>1730</v>
      </c>
      <c r="E762" s="184"/>
      <c r="F762" s="184" t="s">
        <v>1700</v>
      </c>
      <c r="G762" s="184" t="s">
        <v>1532</v>
      </c>
    </row>
    <row r="763" spans="1:7">
      <c r="A763" s="184" t="s">
        <v>1527</v>
      </c>
      <c r="B763" s="184" t="s">
        <v>1693</v>
      </c>
      <c r="C763" s="184" t="s">
        <v>2147</v>
      </c>
      <c r="D763" s="184" t="s">
        <v>1730</v>
      </c>
      <c r="E763" s="184"/>
      <c r="F763" s="184" t="s">
        <v>1700</v>
      </c>
      <c r="G763" s="184" t="s">
        <v>1532</v>
      </c>
    </row>
    <row r="764" spans="1:7">
      <c r="A764" s="184" t="s">
        <v>1527</v>
      </c>
      <c r="B764" s="184" t="s">
        <v>1528</v>
      </c>
      <c r="C764" s="184" t="s">
        <v>2134</v>
      </c>
      <c r="D764" s="184" t="s">
        <v>1530</v>
      </c>
      <c r="E764" s="184"/>
      <c r="F764" s="184" t="s">
        <v>1700</v>
      </c>
      <c r="G764" s="184" t="s">
        <v>1532</v>
      </c>
    </row>
    <row r="765" spans="1:7">
      <c r="A765" s="184" t="s">
        <v>1527</v>
      </c>
      <c r="B765" s="184" t="s">
        <v>1528</v>
      </c>
      <c r="C765" s="184" t="s">
        <v>2134</v>
      </c>
      <c r="D765" s="184" t="s">
        <v>1530</v>
      </c>
      <c r="E765" s="184"/>
      <c r="F765" s="184" t="s">
        <v>1700</v>
      </c>
      <c r="G765" s="184" t="s">
        <v>1532</v>
      </c>
    </row>
    <row r="766" spans="1:7">
      <c r="A766" s="184" t="s">
        <v>1527</v>
      </c>
      <c r="B766" s="184" t="s">
        <v>1528</v>
      </c>
      <c r="C766" s="184" t="s">
        <v>2134</v>
      </c>
      <c r="D766" s="184" t="s">
        <v>1530</v>
      </c>
      <c r="E766" s="184"/>
      <c r="F766" s="184" t="s">
        <v>1700</v>
      </c>
      <c r="G766" s="184" t="s">
        <v>1532</v>
      </c>
    </row>
    <row r="767" spans="1:7">
      <c r="A767" s="184" t="s">
        <v>1527</v>
      </c>
      <c r="B767" s="184" t="s">
        <v>1528</v>
      </c>
      <c r="C767" s="184" t="s">
        <v>2134</v>
      </c>
      <c r="D767" s="184" t="s">
        <v>1530</v>
      </c>
      <c r="E767" s="184"/>
      <c r="F767" s="184" t="s">
        <v>1700</v>
      </c>
      <c r="G767" s="184" t="s">
        <v>1532</v>
      </c>
    </row>
    <row r="768" spans="1:7">
      <c r="A768" s="184" t="s">
        <v>1527</v>
      </c>
      <c r="B768" s="184" t="s">
        <v>1528</v>
      </c>
      <c r="C768" s="184" t="s">
        <v>2134</v>
      </c>
      <c r="D768" s="184" t="s">
        <v>1530</v>
      </c>
      <c r="E768" s="184"/>
      <c r="F768" s="184" t="s">
        <v>1700</v>
      </c>
      <c r="G768" s="184" t="s">
        <v>1532</v>
      </c>
    </row>
    <row r="769" spans="1:7">
      <c r="A769" s="184" t="s">
        <v>1527</v>
      </c>
      <c r="B769" s="184" t="s">
        <v>1528</v>
      </c>
      <c r="C769" s="184" t="s">
        <v>2134</v>
      </c>
      <c r="D769" s="184" t="s">
        <v>1530</v>
      </c>
      <c r="E769" s="184"/>
      <c r="F769" s="184" t="s">
        <v>1700</v>
      </c>
      <c r="G769" s="184" t="s">
        <v>1532</v>
      </c>
    </row>
    <row r="770" spans="1:7">
      <c r="A770" s="184" t="s">
        <v>1527</v>
      </c>
      <c r="B770" s="184" t="s">
        <v>1556</v>
      </c>
      <c r="C770" s="184" t="s">
        <v>2120</v>
      </c>
      <c r="D770" s="184" t="s">
        <v>1558</v>
      </c>
      <c r="E770" s="184"/>
      <c r="F770" s="184" t="s">
        <v>1700</v>
      </c>
      <c r="G770" s="184" t="s">
        <v>1532</v>
      </c>
    </row>
    <row r="771" spans="1:7">
      <c r="A771" s="184" t="s">
        <v>1527</v>
      </c>
      <c r="B771" s="184" t="s">
        <v>1556</v>
      </c>
      <c r="C771" s="184" t="s">
        <v>2120</v>
      </c>
      <c r="D771" s="184" t="s">
        <v>1558</v>
      </c>
      <c r="E771" s="184"/>
      <c r="F771" s="184" t="s">
        <v>1700</v>
      </c>
      <c r="G771" s="184" t="s">
        <v>1532</v>
      </c>
    </row>
    <row r="772" spans="1:7">
      <c r="A772" s="184" t="s">
        <v>1527</v>
      </c>
      <c r="B772" s="184" t="s">
        <v>1556</v>
      </c>
      <c r="C772" s="184" t="s">
        <v>2120</v>
      </c>
      <c r="D772" s="184" t="s">
        <v>1558</v>
      </c>
      <c r="E772" s="184"/>
      <c r="F772" s="184" t="s">
        <v>1700</v>
      </c>
      <c r="G772" s="184" t="s">
        <v>1532</v>
      </c>
    </row>
    <row r="773" spans="1:7">
      <c r="A773" s="184" t="s">
        <v>1527</v>
      </c>
      <c r="B773" s="184" t="s">
        <v>1556</v>
      </c>
      <c r="C773" s="184" t="s">
        <v>2120</v>
      </c>
      <c r="D773" s="184" t="s">
        <v>1558</v>
      </c>
      <c r="E773" s="184"/>
      <c r="F773" s="184" t="s">
        <v>1700</v>
      </c>
      <c r="G773" s="184" t="s">
        <v>1532</v>
      </c>
    </row>
    <row r="774" spans="1:7">
      <c r="A774" s="184" t="s">
        <v>1527</v>
      </c>
      <c r="B774" s="184" t="s">
        <v>1556</v>
      </c>
      <c r="C774" s="184" t="s">
        <v>2120</v>
      </c>
      <c r="D774" s="184" t="s">
        <v>1558</v>
      </c>
      <c r="E774" s="184"/>
      <c r="F774" s="184" t="s">
        <v>1700</v>
      </c>
      <c r="G774" s="184" t="s">
        <v>1532</v>
      </c>
    </row>
    <row r="775" spans="1:7">
      <c r="A775" s="184" t="s">
        <v>1527</v>
      </c>
      <c r="B775" s="184" t="s">
        <v>1556</v>
      </c>
      <c r="C775" s="184" t="s">
        <v>2120</v>
      </c>
      <c r="D775" s="184" t="s">
        <v>1558</v>
      </c>
      <c r="E775" s="184"/>
      <c r="F775" s="184" t="s">
        <v>1700</v>
      </c>
      <c r="G775" s="184" t="s">
        <v>1532</v>
      </c>
    </row>
    <row r="776" spans="1:7">
      <c r="A776" s="184" t="s">
        <v>1527</v>
      </c>
      <c r="B776" s="184" t="s">
        <v>1556</v>
      </c>
      <c r="C776" s="184" t="s">
        <v>2120</v>
      </c>
      <c r="D776" s="184" t="s">
        <v>1558</v>
      </c>
      <c r="E776" s="184"/>
      <c r="F776" s="184" t="s">
        <v>1700</v>
      </c>
      <c r="G776" s="184" t="s">
        <v>1532</v>
      </c>
    </row>
    <row r="777" spans="1:7">
      <c r="A777" s="184" t="s">
        <v>1527</v>
      </c>
      <c r="B777" s="184" t="s">
        <v>1556</v>
      </c>
      <c r="C777" s="184" t="s">
        <v>2120</v>
      </c>
      <c r="D777" s="184" t="s">
        <v>1558</v>
      </c>
      <c r="E777" s="184"/>
      <c r="F777" s="184" t="s">
        <v>1700</v>
      </c>
      <c r="G777" s="184" t="s">
        <v>1532</v>
      </c>
    </row>
    <row r="778" spans="1:7">
      <c r="A778" s="184" t="s">
        <v>1527</v>
      </c>
      <c r="B778" s="184" t="s">
        <v>1556</v>
      </c>
      <c r="C778" s="184" t="s">
        <v>2120</v>
      </c>
      <c r="D778" s="184" t="s">
        <v>1558</v>
      </c>
      <c r="E778" s="184"/>
      <c r="F778" s="184" t="s">
        <v>1700</v>
      </c>
      <c r="G778" s="184" t="s">
        <v>1532</v>
      </c>
    </row>
    <row r="779" spans="1:7">
      <c r="A779" s="184" t="s">
        <v>1527</v>
      </c>
      <c r="B779" s="184" t="s">
        <v>1556</v>
      </c>
      <c r="C779" s="184" t="s">
        <v>2120</v>
      </c>
      <c r="D779" s="184" t="s">
        <v>1558</v>
      </c>
      <c r="E779" s="184"/>
      <c r="F779" s="184" t="s">
        <v>1700</v>
      </c>
      <c r="G779" s="184" t="s">
        <v>1532</v>
      </c>
    </row>
    <row r="780" spans="1:7">
      <c r="A780" s="184" t="s">
        <v>1527</v>
      </c>
      <c r="B780" s="184" t="s">
        <v>1556</v>
      </c>
      <c r="C780" s="184" t="s">
        <v>2120</v>
      </c>
      <c r="D780" s="184" t="s">
        <v>1558</v>
      </c>
      <c r="E780" s="184"/>
      <c r="F780" s="184" t="s">
        <v>1700</v>
      </c>
      <c r="G780" s="184" t="s">
        <v>1532</v>
      </c>
    </row>
    <row r="781" spans="1:7">
      <c r="A781" s="184" t="s">
        <v>1527</v>
      </c>
      <c r="B781" s="184" t="s">
        <v>1556</v>
      </c>
      <c r="C781" s="184" t="s">
        <v>2120</v>
      </c>
      <c r="D781" s="184" t="s">
        <v>1558</v>
      </c>
      <c r="E781" s="184"/>
      <c r="F781" s="184" t="s">
        <v>1700</v>
      </c>
      <c r="G781" s="184" t="s">
        <v>1532</v>
      </c>
    </row>
    <row r="782" spans="1:7">
      <c r="A782" s="184" t="s">
        <v>1527</v>
      </c>
      <c r="B782" s="184" t="s">
        <v>1556</v>
      </c>
      <c r="C782" s="184" t="s">
        <v>2120</v>
      </c>
      <c r="D782" s="184" t="s">
        <v>1558</v>
      </c>
      <c r="E782" s="184"/>
      <c r="F782" s="184" t="s">
        <v>1700</v>
      </c>
      <c r="G782" s="184" t="s">
        <v>1532</v>
      </c>
    </row>
    <row r="783" spans="1:7">
      <c r="A783" s="184" t="s">
        <v>1527</v>
      </c>
      <c r="B783" s="184" t="s">
        <v>1556</v>
      </c>
      <c r="C783" s="184" t="s">
        <v>2120</v>
      </c>
      <c r="D783" s="184" t="s">
        <v>1558</v>
      </c>
      <c r="E783" s="184"/>
      <c r="F783" s="184" t="s">
        <v>1700</v>
      </c>
      <c r="G783" s="184" t="s">
        <v>1532</v>
      </c>
    </row>
    <row r="784" spans="1:7">
      <c r="A784" s="184" t="s">
        <v>1527</v>
      </c>
      <c r="B784" s="184" t="s">
        <v>1556</v>
      </c>
      <c r="C784" s="184" t="s">
        <v>2120</v>
      </c>
      <c r="D784" s="184" t="s">
        <v>1558</v>
      </c>
      <c r="E784" s="184"/>
      <c r="F784" s="184" t="s">
        <v>1700</v>
      </c>
      <c r="G784" s="184" t="s">
        <v>1532</v>
      </c>
    </row>
    <row r="785" spans="1:7">
      <c r="A785" s="184" t="s">
        <v>1527</v>
      </c>
      <c r="B785" s="184" t="s">
        <v>1556</v>
      </c>
      <c r="C785" s="184" t="s">
        <v>2120</v>
      </c>
      <c r="D785" s="184" t="s">
        <v>1558</v>
      </c>
      <c r="E785" s="184"/>
      <c r="F785" s="184" t="s">
        <v>1700</v>
      </c>
      <c r="G785" s="184" t="s">
        <v>1532</v>
      </c>
    </row>
    <row r="786" spans="1:7">
      <c r="A786" s="184" t="s">
        <v>1527</v>
      </c>
      <c r="B786" s="184" t="s">
        <v>1556</v>
      </c>
      <c r="C786" s="184" t="s">
        <v>2120</v>
      </c>
      <c r="D786" s="184" t="s">
        <v>1558</v>
      </c>
      <c r="E786" s="184"/>
      <c r="F786" s="184" t="s">
        <v>1700</v>
      </c>
      <c r="G786" s="184" t="s">
        <v>1532</v>
      </c>
    </row>
    <row r="787" spans="1:7">
      <c r="A787" s="184" t="s">
        <v>1527</v>
      </c>
      <c r="B787" s="184" t="s">
        <v>1556</v>
      </c>
      <c r="C787" s="184" t="s">
        <v>2120</v>
      </c>
      <c r="D787" s="184" t="s">
        <v>1558</v>
      </c>
      <c r="E787" s="184"/>
      <c r="F787" s="184" t="s">
        <v>1700</v>
      </c>
      <c r="G787" s="184" t="s">
        <v>1532</v>
      </c>
    </row>
    <row r="788" spans="1:7">
      <c r="A788" s="184" t="s">
        <v>1527</v>
      </c>
      <c r="B788" s="184" t="s">
        <v>1556</v>
      </c>
      <c r="C788" s="184" t="s">
        <v>2120</v>
      </c>
      <c r="D788" s="184" t="s">
        <v>1558</v>
      </c>
      <c r="E788" s="184"/>
      <c r="F788" s="184" t="s">
        <v>1700</v>
      </c>
      <c r="G788" s="184" t="s">
        <v>1532</v>
      </c>
    </row>
    <row r="789" spans="1:7">
      <c r="A789" s="184" t="s">
        <v>1527</v>
      </c>
      <c r="B789" s="184" t="s">
        <v>1556</v>
      </c>
      <c r="C789" s="184" t="s">
        <v>2120</v>
      </c>
      <c r="D789" s="184" t="s">
        <v>1558</v>
      </c>
      <c r="E789" s="184"/>
      <c r="F789" s="184" t="s">
        <v>1700</v>
      </c>
      <c r="G789" s="184" t="s">
        <v>1532</v>
      </c>
    </row>
    <row r="790" spans="1:7">
      <c r="A790" s="184" t="s">
        <v>1527</v>
      </c>
      <c r="B790" s="184" t="s">
        <v>1556</v>
      </c>
      <c r="C790" s="184" t="s">
        <v>2120</v>
      </c>
      <c r="D790" s="184" t="s">
        <v>1558</v>
      </c>
      <c r="E790" s="184"/>
      <c r="F790" s="184" t="s">
        <v>1700</v>
      </c>
      <c r="G790" s="184" t="s">
        <v>1532</v>
      </c>
    </row>
    <row r="791" spans="1:7">
      <c r="A791" s="184" t="s">
        <v>1527</v>
      </c>
      <c r="B791" s="184" t="s">
        <v>1556</v>
      </c>
      <c r="C791" s="184" t="s">
        <v>2120</v>
      </c>
      <c r="D791" s="184" t="s">
        <v>1558</v>
      </c>
      <c r="E791" s="184"/>
      <c r="F791" s="184" t="s">
        <v>1700</v>
      </c>
      <c r="G791" s="184" t="s">
        <v>1532</v>
      </c>
    </row>
    <row r="792" spans="1:7">
      <c r="A792" s="184" t="s">
        <v>1527</v>
      </c>
      <c r="B792" s="184" t="s">
        <v>1693</v>
      </c>
      <c r="C792" s="184" t="s">
        <v>2498</v>
      </c>
      <c r="D792" s="184" t="s">
        <v>1730</v>
      </c>
      <c r="E792" s="184"/>
      <c r="F792" s="184" t="s">
        <v>1700</v>
      </c>
      <c r="G792" s="184" t="s">
        <v>1532</v>
      </c>
    </row>
    <row r="793" spans="1:7">
      <c r="A793" s="184" t="s">
        <v>1527</v>
      </c>
      <c r="B793" s="184" t="s">
        <v>1693</v>
      </c>
      <c r="C793" s="184" t="s">
        <v>2498</v>
      </c>
      <c r="D793" s="184" t="s">
        <v>1730</v>
      </c>
      <c r="E793" s="184"/>
      <c r="F793" s="184" t="s">
        <v>1700</v>
      </c>
      <c r="G793" s="184" t="s">
        <v>1532</v>
      </c>
    </row>
    <row r="794" spans="1:7">
      <c r="A794" s="184" t="s">
        <v>1527</v>
      </c>
      <c r="B794" s="184" t="s">
        <v>1693</v>
      </c>
      <c r="C794" s="184" t="s">
        <v>2498</v>
      </c>
      <c r="D794" s="184" t="s">
        <v>1730</v>
      </c>
      <c r="E794" s="184"/>
      <c r="F794" s="184" t="s">
        <v>1700</v>
      </c>
      <c r="G794" s="184" t="s">
        <v>1532</v>
      </c>
    </row>
    <row r="795" spans="1:7">
      <c r="A795" s="184" t="s">
        <v>1527</v>
      </c>
      <c r="B795" s="184" t="s">
        <v>1693</v>
      </c>
      <c r="C795" s="184" t="s">
        <v>2498</v>
      </c>
      <c r="D795" s="184" t="s">
        <v>1730</v>
      </c>
      <c r="E795" s="184"/>
      <c r="F795" s="184" t="s">
        <v>1700</v>
      </c>
      <c r="G795" s="184" t="s">
        <v>1532</v>
      </c>
    </row>
    <row r="796" spans="1:7">
      <c r="A796" s="184" t="s">
        <v>1527</v>
      </c>
      <c r="B796" s="184" t="s">
        <v>1693</v>
      </c>
      <c r="C796" s="184" t="s">
        <v>2498</v>
      </c>
      <c r="D796" s="184" t="s">
        <v>1730</v>
      </c>
      <c r="E796" s="184"/>
      <c r="F796" s="184" t="s">
        <v>1700</v>
      </c>
      <c r="G796" s="184" t="s">
        <v>1532</v>
      </c>
    </row>
    <row r="797" spans="1:7">
      <c r="A797" s="184" t="s">
        <v>1527</v>
      </c>
      <c r="B797" s="184" t="s">
        <v>1693</v>
      </c>
      <c r="C797" s="184" t="s">
        <v>2498</v>
      </c>
      <c r="D797" s="184" t="s">
        <v>1730</v>
      </c>
      <c r="E797" s="184"/>
      <c r="F797" s="184" t="s">
        <v>1700</v>
      </c>
      <c r="G797" s="184" t="s">
        <v>1532</v>
      </c>
    </row>
    <row r="798" spans="1:7">
      <c r="A798" s="184" t="s">
        <v>1527</v>
      </c>
      <c r="B798" s="184" t="s">
        <v>1693</v>
      </c>
      <c r="C798" s="184" t="s">
        <v>2498</v>
      </c>
      <c r="D798" s="184" t="s">
        <v>1730</v>
      </c>
      <c r="E798" s="184"/>
      <c r="F798" s="184" t="s">
        <v>1700</v>
      </c>
      <c r="G798" s="184" t="s">
        <v>1532</v>
      </c>
    </row>
    <row r="799" spans="1:7">
      <c r="A799" s="184" t="s">
        <v>1527</v>
      </c>
      <c r="B799" s="184" t="s">
        <v>1693</v>
      </c>
      <c r="C799" s="184" t="s">
        <v>2498</v>
      </c>
      <c r="D799" s="184" t="s">
        <v>1730</v>
      </c>
      <c r="E799" s="184"/>
      <c r="F799" s="184" t="s">
        <v>1700</v>
      </c>
      <c r="G799" s="184" t="s">
        <v>1532</v>
      </c>
    </row>
    <row r="800" spans="1:7">
      <c r="A800" s="184" t="s">
        <v>1527</v>
      </c>
      <c r="B800" s="184" t="s">
        <v>1693</v>
      </c>
      <c r="C800" s="184" t="s">
        <v>2498</v>
      </c>
      <c r="D800" s="184" t="s">
        <v>1730</v>
      </c>
      <c r="E800" s="184"/>
      <c r="F800" s="184" t="s">
        <v>1700</v>
      </c>
      <c r="G800" s="184" t="s">
        <v>1532</v>
      </c>
    </row>
    <row r="801" spans="1:7">
      <c r="A801" s="184" t="s">
        <v>1527</v>
      </c>
      <c r="B801" s="184" t="s">
        <v>1693</v>
      </c>
      <c r="C801" s="184" t="s">
        <v>2498</v>
      </c>
      <c r="D801" s="184" t="s">
        <v>1730</v>
      </c>
      <c r="E801" s="184"/>
      <c r="F801" s="184" t="s">
        <v>1700</v>
      </c>
      <c r="G801" s="184" t="s">
        <v>1532</v>
      </c>
    </row>
    <row r="802" spans="1:7">
      <c r="A802" s="184" t="s">
        <v>1527</v>
      </c>
      <c r="B802" s="184" t="s">
        <v>1693</v>
      </c>
      <c r="C802" s="184" t="s">
        <v>2498</v>
      </c>
      <c r="D802" s="184" t="s">
        <v>1730</v>
      </c>
      <c r="E802" s="184"/>
      <c r="F802" s="184" t="s">
        <v>1700</v>
      </c>
      <c r="G802" s="184" t="s">
        <v>1532</v>
      </c>
    </row>
    <row r="803" spans="1:7">
      <c r="A803" s="184" t="s">
        <v>1527</v>
      </c>
      <c r="B803" s="184" t="s">
        <v>1693</v>
      </c>
      <c r="C803" s="184" t="s">
        <v>2498</v>
      </c>
      <c r="D803" s="184" t="s">
        <v>1730</v>
      </c>
      <c r="E803" s="184"/>
      <c r="F803" s="184" t="s">
        <v>1700</v>
      </c>
      <c r="G803" s="184" t="s">
        <v>1532</v>
      </c>
    </row>
    <row r="804" spans="1:7">
      <c r="A804" s="184" t="s">
        <v>1527</v>
      </c>
      <c r="B804" s="184" t="s">
        <v>1693</v>
      </c>
      <c r="C804" s="184" t="s">
        <v>2498</v>
      </c>
      <c r="D804" s="184" t="s">
        <v>1730</v>
      </c>
      <c r="E804" s="184"/>
      <c r="F804" s="184" t="s">
        <v>1700</v>
      </c>
      <c r="G804" s="184" t="s">
        <v>1532</v>
      </c>
    </row>
    <row r="805" spans="1:7">
      <c r="A805" s="184" t="s">
        <v>1527</v>
      </c>
      <c r="B805" s="184" t="s">
        <v>1693</v>
      </c>
      <c r="C805" s="184" t="s">
        <v>2498</v>
      </c>
      <c r="D805" s="184" t="s">
        <v>1730</v>
      </c>
      <c r="E805" s="184"/>
      <c r="F805" s="184" t="s">
        <v>1700</v>
      </c>
      <c r="G805" s="184" t="s">
        <v>1532</v>
      </c>
    </row>
    <row r="806" spans="1:7">
      <c r="A806" s="184" t="s">
        <v>1527</v>
      </c>
      <c r="B806" s="184" t="s">
        <v>1693</v>
      </c>
      <c r="C806" s="184" t="s">
        <v>2498</v>
      </c>
      <c r="D806" s="184" t="s">
        <v>1730</v>
      </c>
      <c r="E806" s="184"/>
      <c r="F806" s="184" t="s">
        <v>1700</v>
      </c>
      <c r="G806" s="184" t="s">
        <v>1532</v>
      </c>
    </row>
    <row r="807" spans="1:7">
      <c r="A807" s="184" t="s">
        <v>1527</v>
      </c>
      <c r="B807" s="184" t="s">
        <v>1693</v>
      </c>
      <c r="C807" s="184" t="s">
        <v>2498</v>
      </c>
      <c r="D807" s="184" t="s">
        <v>1730</v>
      </c>
      <c r="E807" s="184"/>
      <c r="F807" s="184" t="s">
        <v>1700</v>
      </c>
      <c r="G807" s="184" t="s">
        <v>1532</v>
      </c>
    </row>
    <row r="808" spans="1:7">
      <c r="A808" s="184" t="s">
        <v>1527</v>
      </c>
      <c r="B808" s="184" t="s">
        <v>1693</v>
      </c>
      <c r="C808" s="184" t="s">
        <v>2498</v>
      </c>
      <c r="D808" s="184" t="s">
        <v>1730</v>
      </c>
      <c r="E808" s="184"/>
      <c r="F808" s="184" t="s">
        <v>1700</v>
      </c>
      <c r="G808" s="184" t="s">
        <v>1532</v>
      </c>
    </row>
    <row r="809" spans="1:7">
      <c r="A809" s="184" t="s">
        <v>1527</v>
      </c>
      <c r="B809" s="184" t="s">
        <v>1693</v>
      </c>
      <c r="C809" s="184" t="s">
        <v>2498</v>
      </c>
      <c r="D809" s="184" t="s">
        <v>1730</v>
      </c>
      <c r="E809" s="184"/>
      <c r="F809" s="184" t="s">
        <v>1700</v>
      </c>
      <c r="G809" s="184" t="s">
        <v>1532</v>
      </c>
    </row>
    <row r="810" spans="1:7">
      <c r="A810" s="184" t="s">
        <v>1527</v>
      </c>
      <c r="B810" s="184" t="s">
        <v>1693</v>
      </c>
      <c r="C810" s="184" t="s">
        <v>2498</v>
      </c>
      <c r="D810" s="184" t="s">
        <v>1730</v>
      </c>
      <c r="E810" s="184"/>
      <c r="F810" s="184" t="s">
        <v>1700</v>
      </c>
      <c r="G810" s="184" t="s">
        <v>1532</v>
      </c>
    </row>
    <row r="811" spans="1:7">
      <c r="A811" s="184" t="s">
        <v>1527</v>
      </c>
      <c r="B811" s="184" t="s">
        <v>1693</v>
      </c>
      <c r="C811" s="184" t="s">
        <v>2498</v>
      </c>
      <c r="D811" s="184" t="s">
        <v>1730</v>
      </c>
      <c r="E811" s="184"/>
      <c r="F811" s="184" t="s">
        <v>1700</v>
      </c>
      <c r="G811" s="184" t="s">
        <v>1532</v>
      </c>
    </row>
    <row r="812" spans="1:7">
      <c r="A812" s="184" t="s">
        <v>1527</v>
      </c>
      <c r="B812" s="184" t="s">
        <v>1693</v>
      </c>
      <c r="C812" s="184" t="s">
        <v>2498</v>
      </c>
      <c r="D812" s="184" t="s">
        <v>1730</v>
      </c>
      <c r="E812" s="184"/>
      <c r="F812" s="184" t="s">
        <v>1700</v>
      </c>
      <c r="G812" s="184" t="s">
        <v>1532</v>
      </c>
    </row>
    <row r="813" spans="1:7">
      <c r="A813" s="184" t="s">
        <v>1527</v>
      </c>
      <c r="B813" s="184" t="s">
        <v>1693</v>
      </c>
      <c r="C813" s="184" t="s">
        <v>2498</v>
      </c>
      <c r="D813" s="184" t="s">
        <v>1730</v>
      </c>
      <c r="E813" s="184"/>
      <c r="F813" s="184" t="s">
        <v>1700</v>
      </c>
      <c r="G813" s="184" t="s">
        <v>1532</v>
      </c>
    </row>
    <row r="814" spans="1:7">
      <c r="A814" s="184" t="s">
        <v>1527</v>
      </c>
      <c r="B814" s="184" t="s">
        <v>1693</v>
      </c>
      <c r="C814" s="184" t="s">
        <v>2498</v>
      </c>
      <c r="D814" s="184" t="s">
        <v>1730</v>
      </c>
      <c r="E814" s="184"/>
      <c r="F814" s="184" t="s">
        <v>1700</v>
      </c>
      <c r="G814" s="184" t="s">
        <v>1532</v>
      </c>
    </row>
    <row r="815" spans="1:7">
      <c r="A815" s="184" t="s">
        <v>1527</v>
      </c>
      <c r="B815" s="184" t="s">
        <v>1693</v>
      </c>
      <c r="C815" s="184" t="s">
        <v>2498</v>
      </c>
      <c r="D815" s="184" t="s">
        <v>1730</v>
      </c>
      <c r="E815" s="184"/>
      <c r="F815" s="184" t="s">
        <v>1700</v>
      </c>
      <c r="G815" s="184" t="s">
        <v>1532</v>
      </c>
    </row>
    <row r="816" spans="1:7">
      <c r="A816" s="184" t="s">
        <v>1527</v>
      </c>
      <c r="B816" s="184" t="s">
        <v>1693</v>
      </c>
      <c r="C816" s="184" t="s">
        <v>2498</v>
      </c>
      <c r="D816" s="184" t="s">
        <v>1730</v>
      </c>
      <c r="E816" s="184"/>
      <c r="F816" s="184" t="s">
        <v>1700</v>
      </c>
      <c r="G816" s="184" t="s">
        <v>1532</v>
      </c>
    </row>
    <row r="817" spans="1:7">
      <c r="A817" s="184" t="s">
        <v>1527</v>
      </c>
      <c r="B817" s="184" t="s">
        <v>1693</v>
      </c>
      <c r="C817" s="184" t="s">
        <v>2498</v>
      </c>
      <c r="D817" s="184" t="s">
        <v>1730</v>
      </c>
      <c r="E817" s="184"/>
      <c r="F817" s="184" t="s">
        <v>1700</v>
      </c>
      <c r="G817" s="184" t="s">
        <v>1532</v>
      </c>
    </row>
    <row r="818" spans="1:7">
      <c r="A818" s="184" t="s">
        <v>1527</v>
      </c>
      <c r="B818" s="184" t="s">
        <v>1693</v>
      </c>
      <c r="C818" s="184" t="s">
        <v>2498</v>
      </c>
      <c r="D818" s="184" t="s">
        <v>1730</v>
      </c>
      <c r="E818" s="184"/>
      <c r="F818" s="184" t="s">
        <v>1700</v>
      </c>
      <c r="G818" s="184" t="s">
        <v>1532</v>
      </c>
    </row>
    <row r="819" spans="1:7">
      <c r="A819" s="184" t="s">
        <v>1527</v>
      </c>
      <c r="B819" s="184" t="s">
        <v>1693</v>
      </c>
      <c r="C819" s="184" t="s">
        <v>2498</v>
      </c>
      <c r="D819" s="184" t="s">
        <v>1730</v>
      </c>
      <c r="E819" s="184"/>
      <c r="F819" s="184" t="s">
        <v>1700</v>
      </c>
      <c r="G819" s="184" t="s">
        <v>1532</v>
      </c>
    </row>
    <row r="820" spans="1:7">
      <c r="A820" s="184" t="s">
        <v>1527</v>
      </c>
      <c r="B820" s="184" t="s">
        <v>1693</v>
      </c>
      <c r="C820" s="184" t="s">
        <v>1729</v>
      </c>
      <c r="D820" s="184" t="s">
        <v>1730</v>
      </c>
      <c r="E820" s="184"/>
      <c r="F820" s="184"/>
      <c r="G820" s="184" t="s">
        <v>1532</v>
      </c>
    </row>
    <row r="821" spans="1:7">
      <c r="A821" s="184" t="s">
        <v>1527</v>
      </c>
      <c r="B821" s="184" t="s">
        <v>1701</v>
      </c>
      <c r="C821" s="184" t="s">
        <v>1724</v>
      </c>
      <c r="D821" s="184" t="s">
        <v>1703</v>
      </c>
      <c r="E821" s="184"/>
      <c r="F821" s="184" t="s">
        <v>1700</v>
      </c>
      <c r="G821" s="184" t="s">
        <v>1532</v>
      </c>
    </row>
    <row r="822" spans="1:7">
      <c r="A822" s="184" t="s">
        <v>1527</v>
      </c>
      <c r="B822" s="184" t="s">
        <v>1701</v>
      </c>
      <c r="C822" s="184" t="s">
        <v>1724</v>
      </c>
      <c r="D822" s="184" t="s">
        <v>1703</v>
      </c>
      <c r="E822" s="184"/>
      <c r="F822" s="184" t="s">
        <v>1700</v>
      </c>
      <c r="G822" s="184" t="s">
        <v>1532</v>
      </c>
    </row>
    <row r="823" spans="1:7">
      <c r="A823" s="184" t="s">
        <v>1527</v>
      </c>
      <c r="B823" s="184" t="s">
        <v>1701</v>
      </c>
      <c r="C823" s="184" t="s">
        <v>1724</v>
      </c>
      <c r="D823" s="184" t="s">
        <v>1703</v>
      </c>
      <c r="E823" s="184"/>
      <c r="F823" s="184" t="s">
        <v>1700</v>
      </c>
      <c r="G823" s="184" t="s">
        <v>1532</v>
      </c>
    </row>
    <row r="824" spans="1:7">
      <c r="A824" s="184" t="s">
        <v>1527</v>
      </c>
      <c r="B824" s="184" t="s">
        <v>1701</v>
      </c>
      <c r="C824" s="184" t="s">
        <v>1724</v>
      </c>
      <c r="D824" s="184" t="s">
        <v>1703</v>
      </c>
      <c r="E824" s="184"/>
      <c r="F824" s="184" t="s">
        <v>1700</v>
      </c>
      <c r="G824" s="184" t="s">
        <v>1532</v>
      </c>
    </row>
    <row r="825" spans="1:7">
      <c r="A825" s="184" t="s">
        <v>1527</v>
      </c>
      <c r="B825" s="184" t="s">
        <v>1701</v>
      </c>
      <c r="C825" s="184" t="s">
        <v>1724</v>
      </c>
      <c r="D825" s="184" t="s">
        <v>1703</v>
      </c>
      <c r="E825" s="184"/>
      <c r="F825" s="184" t="s">
        <v>1700</v>
      </c>
      <c r="G825" s="184" t="s">
        <v>1532</v>
      </c>
    </row>
    <row r="826" spans="1:7">
      <c r="A826" s="184" t="s">
        <v>1527</v>
      </c>
      <c r="B826" s="184" t="s">
        <v>1701</v>
      </c>
      <c r="C826" s="184" t="s">
        <v>1724</v>
      </c>
      <c r="D826" s="184" t="s">
        <v>1703</v>
      </c>
      <c r="E826" s="184"/>
      <c r="F826" s="184" t="s">
        <v>1700</v>
      </c>
      <c r="G826" s="184" t="s">
        <v>1532</v>
      </c>
    </row>
    <row r="827" spans="1:7">
      <c r="A827" s="184" t="s">
        <v>1527</v>
      </c>
      <c r="B827" s="184" t="s">
        <v>1693</v>
      </c>
      <c r="C827" s="184" t="s">
        <v>2526</v>
      </c>
      <c r="D827" s="184" t="s">
        <v>1730</v>
      </c>
      <c r="E827" s="184"/>
      <c r="F827" s="184" t="s">
        <v>1700</v>
      </c>
      <c r="G827" s="184" t="s">
        <v>1532</v>
      </c>
    </row>
    <row r="828" spans="1:7">
      <c r="A828" s="184" t="s">
        <v>1527</v>
      </c>
      <c r="B828" s="184" t="s">
        <v>1693</v>
      </c>
      <c r="C828" s="184" t="s">
        <v>2526</v>
      </c>
      <c r="D828" s="184" t="s">
        <v>1730</v>
      </c>
      <c r="E828" s="184"/>
      <c r="F828" s="184" t="s">
        <v>1700</v>
      </c>
      <c r="G828" s="184" t="s">
        <v>1532</v>
      </c>
    </row>
    <row r="829" spans="1:7">
      <c r="A829" s="184" t="s">
        <v>1527</v>
      </c>
      <c r="B829" s="184" t="s">
        <v>1693</v>
      </c>
      <c r="C829" s="184" t="s">
        <v>2526</v>
      </c>
      <c r="D829" s="184" t="s">
        <v>1730</v>
      </c>
      <c r="E829" s="184"/>
      <c r="F829" s="184" t="s">
        <v>1700</v>
      </c>
      <c r="G829" s="184" t="s">
        <v>1532</v>
      </c>
    </row>
    <row r="830" spans="1:7">
      <c r="A830" s="184" t="s">
        <v>1527</v>
      </c>
      <c r="B830" s="184" t="s">
        <v>1693</v>
      </c>
      <c r="C830" s="184" t="s">
        <v>2526</v>
      </c>
      <c r="D830" s="184" t="s">
        <v>1730</v>
      </c>
      <c r="E830" s="184"/>
      <c r="F830" s="184" t="s">
        <v>1700</v>
      </c>
      <c r="G830" s="184" t="s">
        <v>1532</v>
      </c>
    </row>
    <row r="831" spans="1:7">
      <c r="A831" s="184" t="s">
        <v>1527</v>
      </c>
      <c r="B831" s="184" t="s">
        <v>1693</v>
      </c>
      <c r="C831" s="184" t="s">
        <v>2526</v>
      </c>
      <c r="D831" s="184" t="s">
        <v>1730</v>
      </c>
      <c r="E831" s="184"/>
      <c r="F831" s="184" t="s">
        <v>1700</v>
      </c>
      <c r="G831" s="184" t="s">
        <v>1532</v>
      </c>
    </row>
    <row r="832" spans="1:7">
      <c r="A832" s="184" t="s">
        <v>1527</v>
      </c>
      <c r="B832" s="184" t="s">
        <v>1693</v>
      </c>
      <c r="C832" s="184" t="s">
        <v>2526</v>
      </c>
      <c r="D832" s="184" t="s">
        <v>1730</v>
      </c>
      <c r="E832" s="184"/>
      <c r="F832" s="184" t="s">
        <v>1700</v>
      </c>
      <c r="G832" s="184" t="s">
        <v>1532</v>
      </c>
    </row>
    <row r="833" spans="1:7">
      <c r="A833" s="184" t="s">
        <v>1527</v>
      </c>
      <c r="B833" s="184" t="s">
        <v>1693</v>
      </c>
      <c r="C833" s="184" t="s">
        <v>2526</v>
      </c>
      <c r="D833" s="184" t="s">
        <v>1730</v>
      </c>
      <c r="E833" s="184"/>
      <c r="F833" s="184" t="s">
        <v>1700</v>
      </c>
      <c r="G833" s="184" t="s">
        <v>1532</v>
      </c>
    </row>
    <row r="834" spans="1:7">
      <c r="A834" s="184" t="s">
        <v>1527</v>
      </c>
      <c r="B834" s="184" t="s">
        <v>1693</v>
      </c>
      <c r="C834" s="184" t="s">
        <v>2526</v>
      </c>
      <c r="D834" s="184" t="s">
        <v>1730</v>
      </c>
      <c r="E834" s="184"/>
      <c r="F834" s="184" t="s">
        <v>1700</v>
      </c>
      <c r="G834" s="184" t="s">
        <v>1532</v>
      </c>
    </row>
    <row r="835" spans="1:7">
      <c r="A835" s="184" t="s">
        <v>1527</v>
      </c>
      <c r="B835" s="184" t="s">
        <v>1693</v>
      </c>
      <c r="C835" s="184" t="s">
        <v>2526</v>
      </c>
      <c r="D835" s="184" t="s">
        <v>1730</v>
      </c>
      <c r="E835" s="184"/>
      <c r="F835" s="184" t="s">
        <v>1700</v>
      </c>
      <c r="G835" s="184" t="s">
        <v>1532</v>
      </c>
    </row>
    <row r="836" spans="1:7">
      <c r="A836" s="184" t="s">
        <v>1527</v>
      </c>
      <c r="B836" s="184" t="s">
        <v>1693</v>
      </c>
      <c r="C836" s="184" t="s">
        <v>2526</v>
      </c>
      <c r="D836" s="184" t="s">
        <v>1730</v>
      </c>
      <c r="E836" s="184"/>
      <c r="F836" s="184" t="s">
        <v>1700</v>
      </c>
      <c r="G836" s="184" t="s">
        <v>1532</v>
      </c>
    </row>
    <row r="837" spans="1:7">
      <c r="A837" s="184" t="s">
        <v>1527</v>
      </c>
      <c r="B837" s="184" t="s">
        <v>1693</v>
      </c>
      <c r="C837" s="184" t="s">
        <v>2526</v>
      </c>
      <c r="D837" s="184" t="s">
        <v>1730</v>
      </c>
      <c r="E837" s="184"/>
      <c r="F837" s="184" t="s">
        <v>1700</v>
      </c>
      <c r="G837" s="184" t="s">
        <v>1532</v>
      </c>
    </row>
    <row r="838" spans="1:7">
      <c r="A838" s="184" t="s">
        <v>1527</v>
      </c>
      <c r="B838" s="184" t="s">
        <v>1693</v>
      </c>
      <c r="C838" s="184" t="s">
        <v>2526</v>
      </c>
      <c r="D838" s="184" t="s">
        <v>1730</v>
      </c>
      <c r="E838" s="184"/>
      <c r="F838" s="184" t="s">
        <v>1700</v>
      </c>
      <c r="G838" s="184" t="s">
        <v>1532</v>
      </c>
    </row>
    <row r="839" spans="1:7">
      <c r="A839" s="184" t="s">
        <v>1527</v>
      </c>
      <c r="B839" s="184" t="s">
        <v>1693</v>
      </c>
      <c r="C839" s="184" t="s">
        <v>2526</v>
      </c>
      <c r="D839" s="184" t="s">
        <v>1730</v>
      </c>
      <c r="E839" s="184"/>
      <c r="F839" s="184" t="s">
        <v>1700</v>
      </c>
      <c r="G839" s="184" t="s">
        <v>1532</v>
      </c>
    </row>
    <row r="840" spans="1:7">
      <c r="A840" s="184" t="s">
        <v>1527</v>
      </c>
      <c r="B840" s="184" t="s">
        <v>1693</v>
      </c>
      <c r="C840" s="184" t="s">
        <v>2526</v>
      </c>
      <c r="D840" s="184" t="s">
        <v>1730</v>
      </c>
      <c r="E840" s="184"/>
      <c r="F840" s="184" t="s">
        <v>1700</v>
      </c>
      <c r="G840" s="184" t="s">
        <v>1532</v>
      </c>
    </row>
    <row r="841" spans="1:7">
      <c r="A841" s="184" t="s">
        <v>1527</v>
      </c>
      <c r="B841" s="184" t="s">
        <v>1693</v>
      </c>
      <c r="C841" s="184" t="s">
        <v>2526</v>
      </c>
      <c r="D841" s="184" t="s">
        <v>1730</v>
      </c>
      <c r="E841" s="184"/>
      <c r="F841" s="184" t="s">
        <v>1700</v>
      </c>
      <c r="G841" s="184" t="s">
        <v>1532</v>
      </c>
    </row>
    <row r="842" spans="1:7">
      <c r="A842" s="184" t="s">
        <v>1527</v>
      </c>
      <c r="B842" s="184" t="s">
        <v>1693</v>
      </c>
      <c r="C842" s="184" t="s">
        <v>2526</v>
      </c>
      <c r="D842" s="184" t="s">
        <v>1730</v>
      </c>
      <c r="E842" s="184"/>
      <c r="F842" s="184" t="s">
        <v>1700</v>
      </c>
      <c r="G842" s="184" t="s">
        <v>1532</v>
      </c>
    </row>
    <row r="843" spans="1:7">
      <c r="A843" s="184" t="s">
        <v>1527</v>
      </c>
      <c r="B843" s="184" t="s">
        <v>1693</v>
      </c>
      <c r="C843" s="184" t="s">
        <v>2526</v>
      </c>
      <c r="D843" s="184" t="s">
        <v>1730</v>
      </c>
      <c r="E843" s="184"/>
      <c r="F843" s="184" t="s">
        <v>1700</v>
      </c>
      <c r="G843" s="184" t="s">
        <v>1532</v>
      </c>
    </row>
    <row r="844" spans="1:7">
      <c r="A844" s="184" t="s">
        <v>1527</v>
      </c>
      <c r="B844" s="184" t="s">
        <v>1693</v>
      </c>
      <c r="C844" s="184" t="s">
        <v>2526</v>
      </c>
      <c r="D844" s="184" t="s">
        <v>1730</v>
      </c>
      <c r="E844" s="184"/>
      <c r="F844" s="184" t="s">
        <v>1700</v>
      </c>
      <c r="G844" s="184" t="s">
        <v>1532</v>
      </c>
    </row>
    <row r="845" spans="1:7">
      <c r="A845" s="184" t="s">
        <v>1527</v>
      </c>
      <c r="B845" s="184" t="s">
        <v>1693</v>
      </c>
      <c r="C845" s="184" t="s">
        <v>2526</v>
      </c>
      <c r="D845" s="184" t="s">
        <v>1730</v>
      </c>
      <c r="E845" s="184"/>
      <c r="F845" s="184" t="s">
        <v>1700</v>
      </c>
      <c r="G845" s="184" t="s">
        <v>1532</v>
      </c>
    </row>
    <row r="846" spans="1:7">
      <c r="A846" s="184" t="s">
        <v>1527</v>
      </c>
      <c r="B846" s="184" t="s">
        <v>1693</v>
      </c>
      <c r="C846" s="184" t="s">
        <v>2526</v>
      </c>
      <c r="D846" s="184" t="s">
        <v>1730</v>
      </c>
      <c r="E846" s="184"/>
      <c r="F846" s="184" t="s">
        <v>1700</v>
      </c>
      <c r="G846" s="184" t="s">
        <v>1532</v>
      </c>
    </row>
    <row r="847" spans="1:7">
      <c r="A847" s="184" t="s">
        <v>1527</v>
      </c>
      <c r="B847" s="184" t="s">
        <v>1693</v>
      </c>
      <c r="C847" s="184" t="s">
        <v>2526</v>
      </c>
      <c r="D847" s="184" t="s">
        <v>1730</v>
      </c>
      <c r="E847" s="184"/>
      <c r="F847" s="184" t="s">
        <v>1700</v>
      </c>
      <c r="G847" s="184" t="s">
        <v>1532</v>
      </c>
    </row>
    <row r="848" spans="1:7">
      <c r="A848" s="184" t="s">
        <v>1527</v>
      </c>
      <c r="B848" s="184" t="s">
        <v>1693</v>
      </c>
      <c r="C848" s="184" t="s">
        <v>2526</v>
      </c>
      <c r="D848" s="184" t="s">
        <v>1730</v>
      </c>
      <c r="E848" s="184"/>
      <c r="F848" s="184" t="s">
        <v>1700</v>
      </c>
      <c r="G848" s="184" t="s">
        <v>1532</v>
      </c>
    </row>
    <row r="849" spans="1:9">
      <c r="A849" s="184" t="s">
        <v>1527</v>
      </c>
      <c r="B849" s="184" t="s">
        <v>1693</v>
      </c>
      <c r="C849" s="184" t="s">
        <v>2526</v>
      </c>
      <c r="D849" s="184" t="s">
        <v>1730</v>
      </c>
      <c r="E849" s="184"/>
      <c r="F849" s="184" t="s">
        <v>1700</v>
      </c>
      <c r="G849" s="184" t="s">
        <v>1532</v>
      </c>
      <c r="H849" s="184"/>
      <c r="I849" s="184"/>
    </row>
    <row r="850" spans="1:9">
      <c r="A850" s="184" t="s">
        <v>1527</v>
      </c>
      <c r="B850" s="184" t="s">
        <v>1693</v>
      </c>
      <c r="C850" s="184" t="s">
        <v>2526</v>
      </c>
      <c r="D850" s="184" t="s">
        <v>1730</v>
      </c>
      <c r="E850" s="184"/>
      <c r="F850" s="184" t="s">
        <v>1700</v>
      </c>
      <c r="G850" s="184" t="s">
        <v>1532</v>
      </c>
      <c r="H850" s="184"/>
      <c r="I850" s="184"/>
    </row>
    <row r="851" spans="1:9">
      <c r="A851" s="184" t="s">
        <v>1527</v>
      </c>
      <c r="B851" s="184" t="s">
        <v>1693</v>
      </c>
      <c r="C851" s="184" t="s">
        <v>2526</v>
      </c>
      <c r="D851" s="184" t="s">
        <v>1730</v>
      </c>
      <c r="E851" s="184"/>
      <c r="F851" s="184" t="s">
        <v>1700</v>
      </c>
      <c r="G851" s="184" t="s">
        <v>1532</v>
      </c>
      <c r="H851" s="184"/>
      <c r="I851" s="184"/>
    </row>
    <row r="852" spans="1:9">
      <c r="A852" s="184" t="s">
        <v>1527</v>
      </c>
      <c r="B852" s="184" t="s">
        <v>1701</v>
      </c>
      <c r="C852" s="184" t="s">
        <v>2446</v>
      </c>
      <c r="D852" s="184" t="s">
        <v>1703</v>
      </c>
      <c r="E852" s="184"/>
      <c r="F852" s="184" t="s">
        <v>2741</v>
      </c>
      <c r="G852" s="184" t="s">
        <v>1532</v>
      </c>
      <c r="H852" s="184" t="s">
        <v>2742</v>
      </c>
      <c r="I852" s="184" t="s">
        <v>1389</v>
      </c>
    </row>
    <row r="853" spans="1:9">
      <c r="A853" s="184" t="s">
        <v>1527</v>
      </c>
      <c r="B853" s="184" t="s">
        <v>1701</v>
      </c>
      <c r="C853" s="184" t="s">
        <v>2446</v>
      </c>
      <c r="D853" s="184" t="s">
        <v>1703</v>
      </c>
      <c r="E853" s="184"/>
      <c r="F853" s="184" t="s">
        <v>2743</v>
      </c>
      <c r="G853" s="184" t="s">
        <v>1532</v>
      </c>
      <c r="H853" s="184" t="s">
        <v>2744</v>
      </c>
      <c r="I853" s="184" t="s">
        <v>867</v>
      </c>
    </row>
    <row r="854" spans="1:9">
      <c r="A854" s="184" t="s">
        <v>1527</v>
      </c>
      <c r="B854" s="184" t="s">
        <v>1701</v>
      </c>
      <c r="C854" s="184" t="s">
        <v>2446</v>
      </c>
      <c r="D854" s="184" t="s">
        <v>1703</v>
      </c>
      <c r="E854" s="184"/>
      <c r="F854" s="184" t="s">
        <v>1252</v>
      </c>
      <c r="G854" s="184" t="s">
        <v>1532</v>
      </c>
      <c r="H854" s="184" t="s">
        <v>2745</v>
      </c>
      <c r="I854" s="184" t="s">
        <v>1252</v>
      </c>
    </row>
    <row r="855" spans="1:9">
      <c r="A855" s="184" t="s">
        <v>1527</v>
      </c>
      <c r="B855" s="184" t="s">
        <v>1701</v>
      </c>
      <c r="C855" s="184" t="s">
        <v>2446</v>
      </c>
      <c r="D855" s="184" t="s">
        <v>1703</v>
      </c>
      <c r="E855" s="184"/>
      <c r="F855" s="184" t="s">
        <v>1700</v>
      </c>
      <c r="G855" s="184" t="s">
        <v>1532</v>
      </c>
      <c r="H855" s="184"/>
      <c r="I855" s="184"/>
    </row>
    <row r="856" spans="1:9">
      <c r="A856" s="184" t="s">
        <v>1527</v>
      </c>
      <c r="B856" s="184" t="s">
        <v>1701</v>
      </c>
      <c r="C856" s="184" t="s">
        <v>2446</v>
      </c>
      <c r="D856" s="184" t="s">
        <v>1703</v>
      </c>
      <c r="E856" s="184"/>
      <c r="F856" s="184" t="s">
        <v>1700</v>
      </c>
      <c r="G856" s="184" t="s">
        <v>1532</v>
      </c>
      <c r="H856" s="184"/>
      <c r="I856" s="184"/>
    </row>
    <row r="857" spans="1:9">
      <c r="A857" s="184" t="s">
        <v>1527</v>
      </c>
      <c r="B857" s="184" t="s">
        <v>1701</v>
      </c>
      <c r="C857" s="184" t="s">
        <v>2446</v>
      </c>
      <c r="D857" s="184" t="s">
        <v>1703</v>
      </c>
      <c r="E857" s="184"/>
      <c r="F857" s="184" t="s">
        <v>1700</v>
      </c>
      <c r="G857" s="184" t="s">
        <v>1532</v>
      </c>
      <c r="H857" s="184"/>
      <c r="I857" s="184"/>
    </row>
    <row r="858" spans="1:9">
      <c r="A858" s="184" t="s">
        <v>1527</v>
      </c>
      <c r="B858" s="184" t="s">
        <v>1701</v>
      </c>
      <c r="C858" s="184" t="s">
        <v>2446</v>
      </c>
      <c r="D858" s="184" t="s">
        <v>1703</v>
      </c>
      <c r="E858" s="184"/>
      <c r="F858" s="184" t="s">
        <v>1700</v>
      </c>
      <c r="G858" s="184" t="s">
        <v>1532</v>
      </c>
      <c r="H858" s="184"/>
      <c r="I858" s="184"/>
    </row>
    <row r="859" spans="1:9">
      <c r="A859" s="184" t="s">
        <v>1527</v>
      </c>
      <c r="B859" s="184" t="s">
        <v>1701</v>
      </c>
      <c r="C859" s="184" t="s">
        <v>2446</v>
      </c>
      <c r="D859" s="184" t="s">
        <v>1703</v>
      </c>
      <c r="E859" s="184"/>
      <c r="F859" s="184" t="s">
        <v>1700</v>
      </c>
      <c r="G859" s="184" t="s">
        <v>1532</v>
      </c>
      <c r="H859" s="184"/>
      <c r="I859" s="184"/>
    </row>
    <row r="860" spans="1:9">
      <c r="A860" s="184" t="s">
        <v>1527</v>
      </c>
      <c r="B860" s="184" t="s">
        <v>1701</v>
      </c>
      <c r="C860" s="184" t="s">
        <v>2446</v>
      </c>
      <c r="D860" s="184" t="s">
        <v>1703</v>
      </c>
      <c r="E860" s="184"/>
      <c r="F860" s="184" t="s">
        <v>1700</v>
      </c>
      <c r="G860" s="184" t="s">
        <v>1532</v>
      </c>
      <c r="H860" s="184"/>
      <c r="I860" s="184"/>
    </row>
    <row r="861" spans="1:9">
      <c r="A861" s="184" t="s">
        <v>1527</v>
      </c>
      <c r="B861" s="184" t="s">
        <v>1701</v>
      </c>
      <c r="C861" s="184" t="s">
        <v>2040</v>
      </c>
      <c r="D861" s="184" t="s">
        <v>2041</v>
      </c>
      <c r="E861" s="184"/>
      <c r="F861" s="184" t="s">
        <v>2746</v>
      </c>
      <c r="G861" s="184" t="s">
        <v>1532</v>
      </c>
      <c r="H861" s="184" t="s">
        <v>2747</v>
      </c>
      <c r="I861" s="184" t="s">
        <v>1365</v>
      </c>
    </row>
    <row r="862" spans="1:9">
      <c r="A862" s="184" t="s">
        <v>1527</v>
      </c>
      <c r="B862" s="184" t="s">
        <v>1701</v>
      </c>
      <c r="C862" s="184" t="s">
        <v>2040</v>
      </c>
      <c r="D862" s="184" t="s">
        <v>2041</v>
      </c>
      <c r="E862" s="184"/>
      <c r="F862" s="184" t="s">
        <v>2748</v>
      </c>
      <c r="G862" s="184" t="s">
        <v>1532</v>
      </c>
      <c r="H862" s="184" t="s">
        <v>2749</v>
      </c>
      <c r="I862" s="184" t="s">
        <v>1369</v>
      </c>
    </row>
    <row r="863" spans="1:9">
      <c r="A863" s="184" t="s">
        <v>1527</v>
      </c>
      <c r="B863" s="184" t="s">
        <v>1693</v>
      </c>
      <c r="C863" s="184" t="s">
        <v>1808</v>
      </c>
      <c r="D863" s="184" t="s">
        <v>1730</v>
      </c>
      <c r="E863" s="184"/>
      <c r="F863" s="184" t="s">
        <v>2750</v>
      </c>
      <c r="G863" s="184" t="s">
        <v>1532</v>
      </c>
      <c r="H863" s="184" t="s">
        <v>2751</v>
      </c>
      <c r="I863" s="184" t="s">
        <v>1254</v>
      </c>
    </row>
    <row r="864" spans="1:9">
      <c r="A864" s="184" t="s">
        <v>1527</v>
      </c>
      <c r="B864" s="184" t="s">
        <v>1693</v>
      </c>
      <c r="C864" s="184" t="s">
        <v>1808</v>
      </c>
      <c r="D864" s="184" t="s">
        <v>1730</v>
      </c>
      <c r="E864" s="184"/>
      <c r="F864" s="184" t="s">
        <v>1700</v>
      </c>
      <c r="G864" s="184" t="s">
        <v>1532</v>
      </c>
      <c r="H864" s="184"/>
      <c r="I864" s="184"/>
    </row>
    <row r="865" spans="1:7">
      <c r="A865" s="184" t="s">
        <v>1527</v>
      </c>
      <c r="B865" s="184" t="s">
        <v>1693</v>
      </c>
      <c r="C865" s="184" t="s">
        <v>1808</v>
      </c>
      <c r="D865" s="184" t="s">
        <v>1730</v>
      </c>
      <c r="E865" s="184"/>
      <c r="F865" s="184" t="s">
        <v>1700</v>
      </c>
      <c r="G865" s="184" t="s">
        <v>1532</v>
      </c>
    </row>
    <row r="866" spans="1:7">
      <c r="A866" s="184" t="s">
        <v>1527</v>
      </c>
      <c r="B866" s="184" t="s">
        <v>1701</v>
      </c>
      <c r="C866" s="184" t="s">
        <v>1769</v>
      </c>
      <c r="D866" s="184" t="s">
        <v>1703</v>
      </c>
      <c r="E866" s="184"/>
      <c r="F866" s="184" t="s">
        <v>1700</v>
      </c>
      <c r="G866" s="184" t="s">
        <v>1532</v>
      </c>
    </row>
    <row r="867" spans="1:7">
      <c r="A867" s="184" t="s">
        <v>1527</v>
      </c>
      <c r="B867" s="184" t="s">
        <v>1701</v>
      </c>
      <c r="C867" s="184" t="s">
        <v>2453</v>
      </c>
      <c r="D867" s="184" t="s">
        <v>1703</v>
      </c>
      <c r="E867" s="184"/>
      <c r="F867" s="184" t="s">
        <v>1700</v>
      </c>
      <c r="G867" s="184" t="s">
        <v>1532</v>
      </c>
    </row>
    <row r="868" spans="1:7">
      <c r="A868" s="184" t="s">
        <v>1527</v>
      </c>
      <c r="B868" s="184" t="s">
        <v>1701</v>
      </c>
      <c r="C868" s="184" t="s">
        <v>2453</v>
      </c>
      <c r="D868" s="184" t="s">
        <v>1703</v>
      </c>
      <c r="E868" s="184"/>
      <c r="F868" s="184" t="s">
        <v>1700</v>
      </c>
      <c r="G868" s="184" t="s">
        <v>1532</v>
      </c>
    </row>
    <row r="869" spans="1:7">
      <c r="A869" s="184" t="s">
        <v>1527</v>
      </c>
      <c r="B869" s="184" t="s">
        <v>1701</v>
      </c>
      <c r="C869" s="184" t="s">
        <v>2453</v>
      </c>
      <c r="D869" s="184" t="s">
        <v>1703</v>
      </c>
      <c r="E869" s="184"/>
      <c r="F869" s="184" t="s">
        <v>1700</v>
      </c>
      <c r="G869" s="184" t="s">
        <v>1532</v>
      </c>
    </row>
    <row r="870" spans="1:7">
      <c r="A870" s="184" t="s">
        <v>1527</v>
      </c>
      <c r="B870" s="184" t="s">
        <v>1701</v>
      </c>
      <c r="C870" s="184" t="s">
        <v>2453</v>
      </c>
      <c r="D870" s="184" t="s">
        <v>1703</v>
      </c>
      <c r="E870" s="184"/>
      <c r="F870" s="184" t="s">
        <v>1700</v>
      </c>
      <c r="G870" s="184" t="s">
        <v>1532</v>
      </c>
    </row>
    <row r="871" spans="1:7">
      <c r="A871" s="184" t="s">
        <v>1527</v>
      </c>
      <c r="B871" s="184" t="s">
        <v>1701</v>
      </c>
      <c r="C871" s="184" t="s">
        <v>2453</v>
      </c>
      <c r="D871" s="184" t="s">
        <v>1703</v>
      </c>
      <c r="E871" s="184"/>
      <c r="F871" s="184" t="s">
        <v>1700</v>
      </c>
      <c r="G871" s="184" t="s">
        <v>1532</v>
      </c>
    </row>
    <row r="872" spans="1:7">
      <c r="A872" s="184" t="s">
        <v>1527</v>
      </c>
      <c r="B872" s="184" t="s">
        <v>1701</v>
      </c>
      <c r="C872" s="184" t="s">
        <v>2453</v>
      </c>
      <c r="D872" s="184" t="s">
        <v>1703</v>
      </c>
      <c r="E872" s="184"/>
      <c r="F872" s="184" t="s">
        <v>1700</v>
      </c>
      <c r="G872" s="184" t="s">
        <v>1532</v>
      </c>
    </row>
    <row r="873" spans="1:7">
      <c r="A873" s="184" t="s">
        <v>1527</v>
      </c>
      <c r="B873" s="184" t="s">
        <v>1701</v>
      </c>
      <c r="C873" s="184" t="s">
        <v>2453</v>
      </c>
      <c r="D873" s="184" t="s">
        <v>1703</v>
      </c>
      <c r="E873" s="184"/>
      <c r="F873" s="184" t="s">
        <v>1700</v>
      </c>
      <c r="G873" s="184" t="s">
        <v>1532</v>
      </c>
    </row>
    <row r="874" spans="1:7">
      <c r="A874" s="184" t="s">
        <v>1527</v>
      </c>
      <c r="B874" s="184" t="s">
        <v>1701</v>
      </c>
      <c r="C874" s="184" t="s">
        <v>2453</v>
      </c>
      <c r="D874" s="184" t="s">
        <v>1703</v>
      </c>
      <c r="E874" s="184"/>
      <c r="F874" s="184" t="s">
        <v>1700</v>
      </c>
      <c r="G874" s="184" t="s">
        <v>1532</v>
      </c>
    </row>
    <row r="875" spans="1:7">
      <c r="A875" s="184" t="s">
        <v>1527</v>
      </c>
      <c r="B875" s="184" t="s">
        <v>1701</v>
      </c>
      <c r="C875" s="184" t="s">
        <v>2453</v>
      </c>
      <c r="D875" s="184" t="s">
        <v>1703</v>
      </c>
      <c r="E875" s="184"/>
      <c r="F875" s="184" t="s">
        <v>1700</v>
      </c>
      <c r="G875" s="184" t="s">
        <v>1532</v>
      </c>
    </row>
    <row r="876" spans="1:7">
      <c r="A876" s="184" t="s">
        <v>1527</v>
      </c>
      <c r="B876" s="184" t="s">
        <v>1701</v>
      </c>
      <c r="C876" s="184" t="s">
        <v>2453</v>
      </c>
      <c r="D876" s="184" t="s">
        <v>1703</v>
      </c>
      <c r="E876" s="184"/>
      <c r="F876" s="184" t="s">
        <v>1700</v>
      </c>
      <c r="G876" s="184" t="s">
        <v>1532</v>
      </c>
    </row>
    <row r="877" spans="1:7">
      <c r="A877" s="184" t="s">
        <v>1527</v>
      </c>
      <c r="B877" s="184" t="s">
        <v>1701</v>
      </c>
      <c r="C877" s="184" t="s">
        <v>2453</v>
      </c>
      <c r="D877" s="184" t="s">
        <v>1703</v>
      </c>
      <c r="E877" s="184"/>
      <c r="F877" s="184" t="s">
        <v>1700</v>
      </c>
      <c r="G877" s="184" t="s">
        <v>1532</v>
      </c>
    </row>
    <row r="878" spans="1:7">
      <c r="A878" s="184" t="s">
        <v>1527</v>
      </c>
      <c r="B878" s="184" t="s">
        <v>1701</v>
      </c>
      <c r="C878" s="184" t="s">
        <v>2453</v>
      </c>
      <c r="D878" s="184" t="s">
        <v>1703</v>
      </c>
      <c r="E878" s="184"/>
      <c r="F878" s="184" t="s">
        <v>1700</v>
      </c>
      <c r="G878" s="184" t="s">
        <v>1532</v>
      </c>
    </row>
    <row r="879" spans="1:7">
      <c r="A879" s="184" t="s">
        <v>1527</v>
      </c>
      <c r="B879" s="184" t="s">
        <v>1701</v>
      </c>
      <c r="C879" s="184" t="s">
        <v>2453</v>
      </c>
      <c r="D879" s="184" t="s">
        <v>1703</v>
      </c>
      <c r="E879" s="184"/>
      <c r="F879" s="184" t="s">
        <v>1700</v>
      </c>
      <c r="G879" s="184" t="s">
        <v>1532</v>
      </c>
    </row>
    <row r="880" spans="1:7">
      <c r="A880" s="184" t="s">
        <v>1527</v>
      </c>
      <c r="B880" s="184" t="s">
        <v>1701</v>
      </c>
      <c r="C880" s="184" t="s">
        <v>2453</v>
      </c>
      <c r="D880" s="184" t="s">
        <v>1703</v>
      </c>
      <c r="E880" s="184"/>
      <c r="F880" s="184" t="s">
        <v>1700</v>
      </c>
      <c r="G880" s="184" t="s">
        <v>1532</v>
      </c>
    </row>
    <row r="881" spans="1:9">
      <c r="A881" s="184" t="s">
        <v>1527</v>
      </c>
      <c r="B881" s="184" t="s">
        <v>1701</v>
      </c>
      <c r="C881" s="184" t="s">
        <v>2453</v>
      </c>
      <c r="D881" s="184" t="s">
        <v>1703</v>
      </c>
      <c r="E881" s="184"/>
      <c r="F881" s="184" t="s">
        <v>1700</v>
      </c>
      <c r="G881" s="184" t="s">
        <v>1532</v>
      </c>
      <c r="H881" s="184"/>
      <c r="I881" s="184"/>
    </row>
    <row r="882" spans="1:9">
      <c r="A882" s="184" t="s">
        <v>1527</v>
      </c>
      <c r="B882" s="184" t="s">
        <v>1701</v>
      </c>
      <c r="C882" s="184" t="s">
        <v>2492</v>
      </c>
      <c r="D882" s="184" t="s">
        <v>1703</v>
      </c>
      <c r="E882" s="184"/>
      <c r="F882" s="184" t="s">
        <v>1700</v>
      </c>
      <c r="G882" s="184" t="s">
        <v>1532</v>
      </c>
      <c r="H882" s="184"/>
      <c r="I882" s="184"/>
    </row>
    <row r="883" spans="1:9">
      <c r="A883" s="184" t="s">
        <v>1527</v>
      </c>
      <c r="B883" s="184" t="s">
        <v>1701</v>
      </c>
      <c r="C883" s="184" t="s">
        <v>2492</v>
      </c>
      <c r="D883" s="184" t="s">
        <v>1703</v>
      </c>
      <c r="E883" s="184"/>
      <c r="F883" s="184" t="s">
        <v>1700</v>
      </c>
      <c r="G883" s="184" t="s">
        <v>1532</v>
      </c>
      <c r="H883" s="184"/>
      <c r="I883" s="184"/>
    </row>
    <row r="884" spans="1:9">
      <c r="A884" s="184" t="s">
        <v>1527</v>
      </c>
      <c r="B884" s="184" t="s">
        <v>1701</v>
      </c>
      <c r="C884" s="184" t="s">
        <v>2492</v>
      </c>
      <c r="D884" s="184" t="s">
        <v>1703</v>
      </c>
      <c r="E884" s="184"/>
      <c r="F884" s="184" t="s">
        <v>1700</v>
      </c>
      <c r="G884" s="184" t="s">
        <v>1532</v>
      </c>
      <c r="H884" s="184"/>
      <c r="I884" s="184"/>
    </row>
    <row r="885" spans="1:9">
      <c r="A885" s="184" t="s">
        <v>1527</v>
      </c>
      <c r="B885" s="184" t="s">
        <v>1701</v>
      </c>
      <c r="C885" s="184" t="s">
        <v>2492</v>
      </c>
      <c r="D885" s="184" t="s">
        <v>1703</v>
      </c>
      <c r="E885" s="184"/>
      <c r="F885" s="184" t="s">
        <v>1700</v>
      </c>
      <c r="G885" s="184" t="s">
        <v>1532</v>
      </c>
      <c r="H885" s="184"/>
      <c r="I885" s="184"/>
    </row>
    <row r="886" spans="1:9">
      <c r="A886" s="184" t="s">
        <v>1527</v>
      </c>
      <c r="B886" s="184" t="s">
        <v>1701</v>
      </c>
      <c r="C886" s="184" t="s">
        <v>2492</v>
      </c>
      <c r="D886" s="184" t="s">
        <v>1703</v>
      </c>
      <c r="E886" s="184"/>
      <c r="F886" s="184" t="s">
        <v>1700</v>
      </c>
      <c r="G886" s="184" t="s">
        <v>1532</v>
      </c>
      <c r="H886" s="184"/>
      <c r="I886" s="184"/>
    </row>
    <row r="887" spans="1:9">
      <c r="A887" s="184" t="s">
        <v>1527</v>
      </c>
      <c r="B887" s="184" t="s">
        <v>1701</v>
      </c>
      <c r="C887" s="184" t="s">
        <v>2492</v>
      </c>
      <c r="D887" s="184" t="s">
        <v>1703</v>
      </c>
      <c r="E887" s="184"/>
      <c r="F887" s="184" t="s">
        <v>1700</v>
      </c>
      <c r="G887" s="184" t="s">
        <v>1532</v>
      </c>
      <c r="H887" s="184"/>
      <c r="I887" s="184"/>
    </row>
    <row r="888" spans="1:9">
      <c r="A888" s="184" t="s">
        <v>1527</v>
      </c>
      <c r="B888" s="184" t="s">
        <v>1701</v>
      </c>
      <c r="C888" s="184" t="s">
        <v>2492</v>
      </c>
      <c r="D888" s="184" t="s">
        <v>1703</v>
      </c>
      <c r="E888" s="184"/>
      <c r="F888" s="184" t="s">
        <v>1700</v>
      </c>
      <c r="G888" s="184" t="s">
        <v>1532</v>
      </c>
      <c r="H888" s="184"/>
      <c r="I888" s="184"/>
    </row>
    <row r="889" spans="1:9">
      <c r="A889" s="184" t="s">
        <v>1527</v>
      </c>
      <c r="B889" s="184" t="s">
        <v>1701</v>
      </c>
      <c r="C889" s="184" t="s">
        <v>2492</v>
      </c>
      <c r="D889" s="184" t="s">
        <v>1703</v>
      </c>
      <c r="E889" s="184"/>
      <c r="F889" s="184" t="s">
        <v>1700</v>
      </c>
      <c r="G889" s="184" t="s">
        <v>1532</v>
      </c>
      <c r="H889" s="184"/>
      <c r="I889" s="184"/>
    </row>
    <row r="890" spans="1:9">
      <c r="A890" s="184" t="s">
        <v>1527</v>
      </c>
      <c r="B890" s="184" t="s">
        <v>1701</v>
      </c>
      <c r="C890" s="184" t="s">
        <v>2492</v>
      </c>
      <c r="D890" s="184" t="s">
        <v>1703</v>
      </c>
      <c r="E890" s="184"/>
      <c r="F890" s="184" t="s">
        <v>1700</v>
      </c>
      <c r="G890" s="184" t="s">
        <v>1532</v>
      </c>
      <c r="H890" s="184"/>
      <c r="I890" s="184"/>
    </row>
    <row r="891" spans="1:9">
      <c r="A891" s="184" t="s">
        <v>1527</v>
      </c>
      <c r="B891" s="184" t="s">
        <v>1701</v>
      </c>
      <c r="C891" s="184" t="s">
        <v>2492</v>
      </c>
      <c r="D891" s="184" t="s">
        <v>1703</v>
      </c>
      <c r="E891" s="184"/>
      <c r="F891" s="184" t="s">
        <v>1700</v>
      </c>
      <c r="G891" s="184" t="s">
        <v>1532</v>
      </c>
      <c r="H891" s="184"/>
      <c r="I891" s="184"/>
    </row>
    <row r="892" spans="1:9">
      <c r="A892" s="184" t="s">
        <v>1527</v>
      </c>
      <c r="B892" s="184" t="s">
        <v>1701</v>
      </c>
      <c r="C892" s="184" t="s">
        <v>2492</v>
      </c>
      <c r="D892" s="184" t="s">
        <v>1703</v>
      </c>
      <c r="E892" s="184"/>
      <c r="F892" s="184" t="s">
        <v>1700</v>
      </c>
      <c r="G892" s="184" t="s">
        <v>1532</v>
      </c>
      <c r="H892" s="184"/>
      <c r="I892" s="184"/>
    </row>
    <row r="893" spans="1:9">
      <c r="A893" s="184" t="s">
        <v>1527</v>
      </c>
      <c r="B893" s="184" t="s">
        <v>1701</v>
      </c>
      <c r="C893" s="184" t="s">
        <v>2492</v>
      </c>
      <c r="D893" s="184" t="s">
        <v>1703</v>
      </c>
      <c r="E893" s="184"/>
      <c r="F893" s="184" t="s">
        <v>1700</v>
      </c>
      <c r="G893" s="184" t="s">
        <v>1532</v>
      </c>
      <c r="H893" s="184"/>
      <c r="I893" s="184"/>
    </row>
    <row r="894" spans="1:9">
      <c r="A894" s="184" t="s">
        <v>1527</v>
      </c>
      <c r="B894" s="184" t="s">
        <v>1701</v>
      </c>
      <c r="C894" s="184" t="s">
        <v>2492</v>
      </c>
      <c r="D894" s="184" t="s">
        <v>1703</v>
      </c>
      <c r="E894" s="184"/>
      <c r="F894" s="184" t="s">
        <v>1700</v>
      </c>
      <c r="G894" s="184" t="s">
        <v>1532</v>
      </c>
      <c r="H894" s="184"/>
      <c r="I894" s="184"/>
    </row>
    <row r="895" spans="1:9">
      <c r="A895" s="184" t="s">
        <v>1527</v>
      </c>
      <c r="B895" s="184" t="s">
        <v>1701</v>
      </c>
      <c r="C895" s="184" t="s">
        <v>2492</v>
      </c>
      <c r="D895" s="184" t="s">
        <v>1703</v>
      </c>
      <c r="E895" s="184"/>
      <c r="F895" s="184" t="s">
        <v>1700</v>
      </c>
      <c r="G895" s="184" t="s">
        <v>1532</v>
      </c>
      <c r="H895" s="184"/>
      <c r="I895" s="184"/>
    </row>
    <row r="896" spans="1:9">
      <c r="A896" s="184" t="s">
        <v>1527</v>
      </c>
      <c r="B896" s="184" t="s">
        <v>1693</v>
      </c>
      <c r="C896" s="184" t="s">
        <v>1850</v>
      </c>
      <c r="D896" s="184" t="s">
        <v>1730</v>
      </c>
      <c r="E896" s="184"/>
      <c r="F896" s="184" t="s">
        <v>2752</v>
      </c>
      <c r="G896" s="184" t="s">
        <v>1532</v>
      </c>
      <c r="H896" s="184" t="s">
        <v>2753</v>
      </c>
      <c r="I896" s="184" t="s">
        <v>1256</v>
      </c>
    </row>
    <row r="897" spans="1:9">
      <c r="A897" s="184" t="s">
        <v>1527</v>
      </c>
      <c r="B897" s="184" t="s">
        <v>1693</v>
      </c>
      <c r="C897" s="184" t="s">
        <v>1850</v>
      </c>
      <c r="D897" s="184" t="s">
        <v>1730</v>
      </c>
      <c r="E897" s="184"/>
      <c r="F897" s="184" t="s">
        <v>1700</v>
      </c>
      <c r="G897" s="184" t="s">
        <v>1532</v>
      </c>
      <c r="H897" s="184"/>
      <c r="I897" s="184"/>
    </row>
    <row r="898" spans="1:9">
      <c r="A898" s="184" t="s">
        <v>1527</v>
      </c>
      <c r="B898" s="184" t="s">
        <v>1693</v>
      </c>
      <c r="C898" s="184" t="s">
        <v>1850</v>
      </c>
      <c r="D898" s="184" t="s">
        <v>1730</v>
      </c>
      <c r="E898" s="184"/>
      <c r="F898" s="184" t="s">
        <v>1700</v>
      </c>
      <c r="G898" s="184" t="s">
        <v>1532</v>
      </c>
      <c r="H898" s="184"/>
      <c r="I898" s="184"/>
    </row>
    <row r="899" spans="1:9">
      <c r="A899" s="184" t="s">
        <v>1527</v>
      </c>
      <c r="B899" s="184" t="s">
        <v>1693</v>
      </c>
      <c r="C899" s="184" t="s">
        <v>1850</v>
      </c>
      <c r="D899" s="184" t="s">
        <v>1730</v>
      </c>
      <c r="E899" s="184"/>
      <c r="F899" s="184" t="s">
        <v>1700</v>
      </c>
      <c r="G899" s="184" t="s">
        <v>1532</v>
      </c>
      <c r="H899" s="184"/>
      <c r="I899" s="184"/>
    </row>
    <row r="900" spans="1:9">
      <c r="A900" s="184" t="s">
        <v>1527</v>
      </c>
      <c r="B900" s="184" t="s">
        <v>1693</v>
      </c>
      <c r="C900" s="184" t="s">
        <v>1850</v>
      </c>
      <c r="D900" s="184" t="s">
        <v>1730</v>
      </c>
      <c r="E900" s="184"/>
      <c r="F900" s="184" t="s">
        <v>1700</v>
      </c>
      <c r="G900" s="184" t="s">
        <v>1532</v>
      </c>
      <c r="H900" s="184"/>
      <c r="I900" s="184"/>
    </row>
    <row r="901" spans="1:9">
      <c r="A901" s="184" t="s">
        <v>1527</v>
      </c>
      <c r="B901" s="184" t="s">
        <v>1693</v>
      </c>
      <c r="C901" s="184" t="s">
        <v>1850</v>
      </c>
      <c r="D901" s="184" t="s">
        <v>1730</v>
      </c>
      <c r="E901" s="184"/>
      <c r="F901" s="184" t="s">
        <v>1700</v>
      </c>
      <c r="G901" s="184" t="s">
        <v>1532</v>
      </c>
      <c r="H901" s="184"/>
      <c r="I901" s="184"/>
    </row>
    <row r="902" spans="1:9">
      <c r="A902" s="184" t="s">
        <v>1527</v>
      </c>
      <c r="B902" s="184" t="s">
        <v>1693</v>
      </c>
      <c r="C902" s="184" t="s">
        <v>1850</v>
      </c>
      <c r="D902" s="184" t="s">
        <v>1730</v>
      </c>
      <c r="E902" s="184"/>
      <c r="F902" s="184" t="s">
        <v>1700</v>
      </c>
      <c r="G902" s="184" t="s">
        <v>1532</v>
      </c>
      <c r="H902" s="184"/>
      <c r="I902" s="184"/>
    </row>
    <row r="903" spans="1:9">
      <c r="A903" s="184" t="s">
        <v>1527</v>
      </c>
      <c r="B903" s="184" t="s">
        <v>1693</v>
      </c>
      <c r="C903" s="184" t="s">
        <v>1850</v>
      </c>
      <c r="D903" s="184" t="s">
        <v>1730</v>
      </c>
      <c r="E903" s="184"/>
      <c r="F903" s="184" t="s">
        <v>1700</v>
      </c>
      <c r="G903" s="184" t="s">
        <v>1532</v>
      </c>
      <c r="H903" s="184"/>
      <c r="I903" s="184"/>
    </row>
    <row r="904" spans="1:9">
      <c r="A904" s="184" t="s">
        <v>1527</v>
      </c>
      <c r="B904" s="184" t="s">
        <v>1693</v>
      </c>
      <c r="C904" s="184" t="s">
        <v>1850</v>
      </c>
      <c r="D904" s="184" t="s">
        <v>1730</v>
      </c>
      <c r="E904" s="184"/>
      <c r="F904" s="184" t="s">
        <v>1700</v>
      </c>
      <c r="G904" s="184" t="s">
        <v>1532</v>
      </c>
      <c r="H904" s="184"/>
      <c r="I904" s="184"/>
    </row>
    <row r="905" spans="1:9">
      <c r="A905" s="184" t="s">
        <v>1527</v>
      </c>
      <c r="B905" s="184" t="s">
        <v>1693</v>
      </c>
      <c r="C905" s="184" t="s">
        <v>1850</v>
      </c>
      <c r="D905" s="184" t="s">
        <v>1730</v>
      </c>
      <c r="E905" s="184"/>
      <c r="F905" s="184" t="s">
        <v>1700</v>
      </c>
      <c r="G905" s="184" t="s">
        <v>1532</v>
      </c>
      <c r="H905" s="184"/>
      <c r="I905" s="184"/>
    </row>
    <row r="906" spans="1:9">
      <c r="A906" s="184" t="s">
        <v>1527</v>
      </c>
      <c r="B906" s="184" t="s">
        <v>1693</v>
      </c>
      <c r="C906" s="184" t="s">
        <v>1850</v>
      </c>
      <c r="D906" s="184" t="s">
        <v>1730</v>
      </c>
      <c r="E906" s="184"/>
      <c r="F906" s="184" t="s">
        <v>1700</v>
      </c>
      <c r="G906" s="184" t="s">
        <v>1532</v>
      </c>
      <c r="H906" s="184"/>
      <c r="I906" s="184"/>
    </row>
    <row r="907" spans="1:9">
      <c r="A907" s="184" t="s">
        <v>1527</v>
      </c>
      <c r="B907" s="184" t="s">
        <v>1693</v>
      </c>
      <c r="C907" s="184" t="s">
        <v>1850</v>
      </c>
      <c r="D907" s="184" t="s">
        <v>1730</v>
      </c>
      <c r="E907" s="184"/>
      <c r="F907" s="184" t="s">
        <v>1700</v>
      </c>
      <c r="G907" s="184" t="s">
        <v>1532</v>
      </c>
      <c r="H907" s="184"/>
      <c r="I907" s="184"/>
    </row>
    <row r="908" spans="1:9">
      <c r="A908" s="184" t="s">
        <v>1527</v>
      </c>
      <c r="B908" s="184" t="s">
        <v>1701</v>
      </c>
      <c r="C908" s="184" t="s">
        <v>2549</v>
      </c>
      <c r="D908" s="184" t="s">
        <v>2041</v>
      </c>
      <c r="E908" s="184"/>
      <c r="F908" s="184" t="s">
        <v>1383</v>
      </c>
      <c r="G908" s="184" t="s">
        <v>1532</v>
      </c>
      <c r="H908" s="184" t="s">
        <v>2754</v>
      </c>
      <c r="I908" s="184" t="s">
        <v>1383</v>
      </c>
    </row>
    <row r="909" spans="1:9">
      <c r="A909" s="184" t="s">
        <v>1527</v>
      </c>
      <c r="B909" s="184" t="s">
        <v>1701</v>
      </c>
      <c r="C909" s="184" t="s">
        <v>2549</v>
      </c>
      <c r="D909" s="184" t="s">
        <v>2041</v>
      </c>
      <c r="E909" s="184"/>
      <c r="F909" s="184" t="s">
        <v>1385</v>
      </c>
      <c r="G909" s="184" t="s">
        <v>1532</v>
      </c>
      <c r="H909" s="184" t="s">
        <v>2755</v>
      </c>
      <c r="I909" s="184" t="s">
        <v>1385</v>
      </c>
    </row>
    <row r="910" spans="1:9">
      <c r="A910" s="184" t="s">
        <v>1527</v>
      </c>
      <c r="B910" s="184" t="s">
        <v>1701</v>
      </c>
      <c r="C910" s="184" t="s">
        <v>2549</v>
      </c>
      <c r="D910" s="184" t="s">
        <v>2041</v>
      </c>
      <c r="E910" s="184"/>
      <c r="F910" s="184" t="s">
        <v>1387</v>
      </c>
      <c r="G910" s="184" t="s">
        <v>1532</v>
      </c>
      <c r="H910" s="184" t="s">
        <v>2756</v>
      </c>
      <c r="I910" s="184" t="s">
        <v>1387</v>
      </c>
    </row>
    <row r="911" spans="1:9">
      <c r="A911" s="184" t="s">
        <v>1527</v>
      </c>
      <c r="B911" s="184" t="s">
        <v>1701</v>
      </c>
      <c r="C911" s="184" t="s">
        <v>2549</v>
      </c>
      <c r="D911" s="184" t="s">
        <v>2041</v>
      </c>
      <c r="E911" s="184"/>
      <c r="F911" s="184" t="s">
        <v>1700</v>
      </c>
      <c r="G911" s="184" t="s">
        <v>1532</v>
      </c>
      <c r="H911" s="184"/>
      <c r="I911" s="184"/>
    </row>
    <row r="912" spans="1:9">
      <c r="A912" s="184" t="s">
        <v>1527</v>
      </c>
      <c r="B912" s="184" t="s">
        <v>1701</v>
      </c>
      <c r="C912" s="184" t="s">
        <v>2549</v>
      </c>
      <c r="D912" s="184" t="s">
        <v>2041</v>
      </c>
      <c r="E912" s="184"/>
      <c r="F912" s="184" t="s">
        <v>1700</v>
      </c>
      <c r="G912" s="184" t="s">
        <v>1532</v>
      </c>
      <c r="H912" s="184"/>
      <c r="I912" s="184"/>
    </row>
    <row r="913" spans="1:9">
      <c r="A913" s="184" t="s">
        <v>1527</v>
      </c>
      <c r="B913" s="184" t="s">
        <v>1701</v>
      </c>
      <c r="C913" s="184" t="s">
        <v>2549</v>
      </c>
      <c r="D913" s="184" t="s">
        <v>2041</v>
      </c>
      <c r="E913" s="184"/>
      <c r="F913" s="184" t="s">
        <v>1700</v>
      </c>
      <c r="G913" s="184" t="s">
        <v>1532</v>
      </c>
      <c r="H913" s="184"/>
      <c r="I913" s="184"/>
    </row>
    <row r="914" spans="1:9">
      <c r="A914" s="184" t="s">
        <v>1527</v>
      </c>
      <c r="B914" s="184" t="s">
        <v>1693</v>
      </c>
      <c r="C914" s="184"/>
      <c r="D914" s="184"/>
      <c r="E914" s="184"/>
      <c r="F914" s="184" t="s">
        <v>1700</v>
      </c>
      <c r="G914" s="184" t="s">
        <v>1532</v>
      </c>
      <c r="H914" s="184"/>
      <c r="I914" s="184"/>
    </row>
    <row r="915" spans="1:9">
      <c r="A915" s="184" t="s">
        <v>1527</v>
      </c>
      <c r="B915" s="184" t="s">
        <v>1693</v>
      </c>
      <c r="C915" s="184" t="s">
        <v>1916</v>
      </c>
      <c r="D915" s="184" t="s">
        <v>1730</v>
      </c>
      <c r="E915" s="184"/>
      <c r="F915" s="184" t="s">
        <v>1700</v>
      </c>
      <c r="G915" s="184" t="s">
        <v>1532</v>
      </c>
      <c r="H915" s="184"/>
      <c r="I915" s="184"/>
    </row>
    <row r="916" spans="1:9">
      <c r="A916" s="184" t="s">
        <v>1527</v>
      </c>
      <c r="B916" s="184" t="s">
        <v>1693</v>
      </c>
      <c r="C916" s="184" t="s">
        <v>1916</v>
      </c>
      <c r="D916" s="184" t="s">
        <v>1730</v>
      </c>
      <c r="E916" s="184"/>
      <c r="F916" s="184" t="s">
        <v>1274</v>
      </c>
      <c r="G916" s="184" t="s">
        <v>1532</v>
      </c>
      <c r="H916" s="184" t="s">
        <v>2757</v>
      </c>
      <c r="I916" s="184" t="s">
        <v>1274</v>
      </c>
    </row>
    <row r="917" spans="1:9">
      <c r="A917" s="184" t="s">
        <v>1527</v>
      </c>
      <c r="B917" s="184" t="s">
        <v>1693</v>
      </c>
      <c r="C917" s="184" t="s">
        <v>1916</v>
      </c>
      <c r="D917" s="184" t="s">
        <v>1730</v>
      </c>
      <c r="E917" s="184"/>
      <c r="F917" s="184" t="s">
        <v>1276</v>
      </c>
      <c r="G917" s="184" t="s">
        <v>1532</v>
      </c>
      <c r="H917" s="184" t="s">
        <v>2758</v>
      </c>
      <c r="I917" s="184" t="s">
        <v>1276</v>
      </c>
    </row>
    <row r="918" spans="1:9">
      <c r="A918" s="184" t="s">
        <v>1527</v>
      </c>
      <c r="B918" s="184" t="s">
        <v>1693</v>
      </c>
      <c r="C918" s="184" t="s">
        <v>1916</v>
      </c>
      <c r="D918" s="184" t="s">
        <v>1730</v>
      </c>
      <c r="E918" s="184"/>
      <c r="F918" s="184" t="s">
        <v>1277</v>
      </c>
      <c r="G918" s="184" t="s">
        <v>1532</v>
      </c>
      <c r="H918" s="184" t="s">
        <v>2757</v>
      </c>
      <c r="I918" s="184" t="s">
        <v>1277</v>
      </c>
    </row>
    <row r="919" spans="1:9">
      <c r="A919" s="184" t="s">
        <v>1527</v>
      </c>
      <c r="B919" s="184" t="s">
        <v>1693</v>
      </c>
      <c r="C919" s="184" t="s">
        <v>1916</v>
      </c>
      <c r="D919" s="184" t="s">
        <v>1730</v>
      </c>
      <c r="E919" s="184"/>
      <c r="F919" s="184" t="s">
        <v>1278</v>
      </c>
      <c r="G919" s="184" t="s">
        <v>1532</v>
      </c>
      <c r="H919" s="184" t="s">
        <v>2758</v>
      </c>
      <c r="I919" s="184" t="s">
        <v>1278</v>
      </c>
    </row>
    <row r="920" spans="1:9">
      <c r="A920" s="184" t="s">
        <v>1527</v>
      </c>
      <c r="B920" s="184" t="s">
        <v>1693</v>
      </c>
      <c r="C920" s="184" t="s">
        <v>1916</v>
      </c>
      <c r="D920" s="184" t="s">
        <v>1730</v>
      </c>
      <c r="E920" s="184"/>
      <c r="F920" s="184" t="s">
        <v>1700</v>
      </c>
      <c r="G920" s="184" t="s">
        <v>1532</v>
      </c>
      <c r="H920" s="184"/>
      <c r="I920" s="184"/>
    </row>
    <row r="921" spans="1:9">
      <c r="A921" s="184" t="s">
        <v>1527</v>
      </c>
      <c r="B921" s="184" t="s">
        <v>1693</v>
      </c>
      <c r="C921" s="184" t="s">
        <v>1916</v>
      </c>
      <c r="D921" s="184" t="s">
        <v>1730</v>
      </c>
      <c r="E921" s="184"/>
      <c r="F921" s="184" t="s">
        <v>1700</v>
      </c>
      <c r="G921" s="184" t="s">
        <v>1532</v>
      </c>
      <c r="H921" s="184"/>
      <c r="I921" s="184"/>
    </row>
    <row r="922" spans="1:9">
      <c r="A922" s="184" t="s">
        <v>1527</v>
      </c>
      <c r="B922" s="184" t="s">
        <v>1693</v>
      </c>
      <c r="C922" s="184" t="s">
        <v>1916</v>
      </c>
      <c r="D922" s="184" t="s">
        <v>1730</v>
      </c>
      <c r="E922" s="184"/>
      <c r="F922" s="184" t="s">
        <v>1700</v>
      </c>
      <c r="G922" s="184" t="s">
        <v>1532</v>
      </c>
      <c r="H922" s="184"/>
      <c r="I922" s="184"/>
    </row>
    <row r="923" spans="1:9">
      <c r="A923" s="184" t="s">
        <v>1527</v>
      </c>
      <c r="B923" s="184" t="s">
        <v>1693</v>
      </c>
      <c r="C923" s="184" t="s">
        <v>1916</v>
      </c>
      <c r="D923" s="184" t="s">
        <v>1730</v>
      </c>
      <c r="E923" s="184"/>
      <c r="F923" s="184" t="s">
        <v>1700</v>
      </c>
      <c r="G923" s="184" t="s">
        <v>1532</v>
      </c>
      <c r="H923" s="184"/>
      <c r="I923" s="184"/>
    </row>
    <row r="924" spans="1:9">
      <c r="A924" s="184" t="s">
        <v>1527</v>
      </c>
      <c r="B924" s="184" t="s">
        <v>1693</v>
      </c>
      <c r="C924" s="184" t="s">
        <v>1916</v>
      </c>
      <c r="D924" s="184" t="s">
        <v>1730</v>
      </c>
      <c r="E924" s="184"/>
      <c r="F924" s="184" t="s">
        <v>1700</v>
      </c>
      <c r="G924" s="184" t="s">
        <v>1532</v>
      </c>
      <c r="H924" s="184"/>
      <c r="I924" s="184"/>
    </row>
    <row r="925" spans="1:9">
      <c r="A925" s="184" t="s">
        <v>1527</v>
      </c>
      <c r="B925" s="184" t="s">
        <v>1693</v>
      </c>
      <c r="C925" s="184" t="s">
        <v>1916</v>
      </c>
      <c r="D925" s="184" t="s">
        <v>1730</v>
      </c>
      <c r="E925" s="184"/>
      <c r="F925" s="184" t="s">
        <v>1700</v>
      </c>
      <c r="G925" s="184" t="s">
        <v>1532</v>
      </c>
      <c r="H925" s="184"/>
      <c r="I925" s="184"/>
    </row>
    <row r="926" spans="1:9">
      <c r="A926" s="184" t="s">
        <v>1527</v>
      </c>
      <c r="B926" s="184" t="s">
        <v>1693</v>
      </c>
      <c r="C926" s="184" t="s">
        <v>1916</v>
      </c>
      <c r="D926" s="184" t="s">
        <v>1730</v>
      </c>
      <c r="E926" s="184"/>
      <c r="F926" s="184" t="s">
        <v>1700</v>
      </c>
      <c r="G926" s="184" t="s">
        <v>1532</v>
      </c>
      <c r="H926" s="184"/>
      <c r="I926" s="184"/>
    </row>
    <row r="927" spans="1:9">
      <c r="A927" s="184" t="s">
        <v>1527</v>
      </c>
      <c r="B927" s="184" t="s">
        <v>1693</v>
      </c>
      <c r="C927" s="184" t="s">
        <v>1916</v>
      </c>
      <c r="D927" s="184" t="s">
        <v>1730</v>
      </c>
      <c r="E927" s="184"/>
      <c r="F927" s="184" t="s">
        <v>1700</v>
      </c>
      <c r="G927" s="184" t="s">
        <v>1532</v>
      </c>
      <c r="H927" s="184"/>
      <c r="I927" s="184"/>
    </row>
    <row r="928" spans="1:9">
      <c r="A928" s="184" t="s">
        <v>1527</v>
      </c>
      <c r="B928" s="184" t="s">
        <v>1701</v>
      </c>
      <c r="C928" s="184" t="s">
        <v>2451</v>
      </c>
      <c r="D928" s="184" t="s">
        <v>1703</v>
      </c>
      <c r="E928" s="184"/>
      <c r="F928" s="184" t="s">
        <v>2759</v>
      </c>
      <c r="G928" s="184" t="s">
        <v>1532</v>
      </c>
      <c r="H928" s="184" t="s">
        <v>1437</v>
      </c>
      <c r="I928" s="184" t="s">
        <v>1438</v>
      </c>
    </row>
    <row r="929" spans="1:9">
      <c r="A929" s="184" t="s">
        <v>1527</v>
      </c>
      <c r="B929" s="184" t="s">
        <v>1701</v>
      </c>
      <c r="C929" s="184" t="s">
        <v>2451</v>
      </c>
      <c r="D929" s="184" t="s">
        <v>1703</v>
      </c>
      <c r="E929" s="184"/>
      <c r="F929" s="184" t="s">
        <v>2760</v>
      </c>
      <c r="G929" s="184" t="s">
        <v>1532</v>
      </c>
      <c r="H929" s="184" t="s">
        <v>2761</v>
      </c>
      <c r="I929" s="184" t="s">
        <v>1440</v>
      </c>
    </row>
    <row r="930" spans="1:9">
      <c r="A930" s="184" t="s">
        <v>1527</v>
      </c>
      <c r="B930" s="184" t="s">
        <v>1701</v>
      </c>
      <c r="C930" s="184" t="s">
        <v>2451</v>
      </c>
      <c r="D930" s="184" t="s">
        <v>1703</v>
      </c>
      <c r="E930" s="184"/>
      <c r="F930" s="184" t="s">
        <v>1700</v>
      </c>
      <c r="G930" s="184" t="s">
        <v>1532</v>
      </c>
      <c r="H930" s="184"/>
      <c r="I930" s="184"/>
    </row>
    <row r="931" spans="1:9">
      <c r="A931" s="184" t="s">
        <v>1527</v>
      </c>
      <c r="B931" s="184" t="s">
        <v>1701</v>
      </c>
      <c r="C931" s="184" t="s">
        <v>2451</v>
      </c>
      <c r="D931" s="184" t="s">
        <v>1703</v>
      </c>
      <c r="E931" s="184"/>
      <c r="F931" s="184" t="s">
        <v>1700</v>
      </c>
      <c r="G931" s="184" t="s">
        <v>1532</v>
      </c>
      <c r="H931" s="184"/>
      <c r="I931" s="184"/>
    </row>
    <row r="932" spans="1:9">
      <c r="A932" s="184" t="s">
        <v>1527</v>
      </c>
      <c r="B932" s="184" t="s">
        <v>1701</v>
      </c>
      <c r="C932" s="184" t="s">
        <v>2451</v>
      </c>
      <c r="D932" s="184" t="s">
        <v>1703</v>
      </c>
      <c r="E932" s="184"/>
      <c r="F932" s="184" t="s">
        <v>1700</v>
      </c>
      <c r="G932" s="184" t="s">
        <v>1532</v>
      </c>
      <c r="H932" s="184"/>
      <c r="I932" s="184"/>
    </row>
    <row r="933" spans="1:9">
      <c r="A933" s="184" t="s">
        <v>1527</v>
      </c>
      <c r="B933" s="184" t="s">
        <v>1701</v>
      </c>
      <c r="C933" s="184" t="s">
        <v>2451</v>
      </c>
      <c r="D933" s="184" t="s">
        <v>1703</v>
      </c>
      <c r="E933" s="184"/>
      <c r="F933" s="184" t="s">
        <v>1700</v>
      </c>
      <c r="G933" s="184" t="s">
        <v>1532</v>
      </c>
      <c r="H933" s="184"/>
      <c r="I933" s="184"/>
    </row>
    <row r="934" spans="1:9">
      <c r="A934" s="184" t="s">
        <v>1527</v>
      </c>
      <c r="B934" s="184" t="s">
        <v>1701</v>
      </c>
      <c r="C934" s="184" t="s">
        <v>2451</v>
      </c>
      <c r="D934" s="184" t="s">
        <v>1703</v>
      </c>
      <c r="E934" s="184"/>
      <c r="F934" s="184" t="s">
        <v>1700</v>
      </c>
      <c r="G934" s="184" t="s">
        <v>1532</v>
      </c>
      <c r="H934" s="184"/>
      <c r="I934" s="184"/>
    </row>
    <row r="935" spans="1:9">
      <c r="A935" s="184" t="s">
        <v>1527</v>
      </c>
      <c r="B935" s="184" t="s">
        <v>1701</v>
      </c>
      <c r="C935" s="184" t="s">
        <v>2451</v>
      </c>
      <c r="D935" s="184" t="s">
        <v>1703</v>
      </c>
      <c r="E935" s="184"/>
      <c r="F935" s="184" t="s">
        <v>1700</v>
      </c>
      <c r="G935" s="184" t="s">
        <v>1532</v>
      </c>
      <c r="H935" s="184"/>
      <c r="I935" s="184"/>
    </row>
    <row r="936" spans="1:9">
      <c r="A936" s="184" t="s">
        <v>1527</v>
      </c>
      <c r="B936" s="184" t="s">
        <v>1701</v>
      </c>
      <c r="C936" s="184" t="s">
        <v>2451</v>
      </c>
      <c r="D936" s="184" t="s">
        <v>1703</v>
      </c>
      <c r="E936" s="184"/>
      <c r="F936" s="184" t="s">
        <v>1700</v>
      </c>
      <c r="G936" s="184" t="s">
        <v>1532</v>
      </c>
      <c r="H936" s="184"/>
      <c r="I936" s="184"/>
    </row>
    <row r="937" spans="1:9">
      <c r="A937" s="184" t="s">
        <v>1527</v>
      </c>
      <c r="B937" s="184" t="s">
        <v>1701</v>
      </c>
      <c r="C937" s="184" t="s">
        <v>2451</v>
      </c>
      <c r="D937" s="184" t="s">
        <v>1703</v>
      </c>
      <c r="E937" s="184"/>
      <c r="F937" s="184" t="s">
        <v>1700</v>
      </c>
      <c r="G937" s="184" t="s">
        <v>1532</v>
      </c>
      <c r="H937" s="184"/>
      <c r="I937" s="184"/>
    </row>
    <row r="938" spans="1:9">
      <c r="A938" s="184" t="s">
        <v>1527</v>
      </c>
      <c r="B938" s="184" t="s">
        <v>1701</v>
      </c>
      <c r="C938" s="184" t="s">
        <v>2451</v>
      </c>
      <c r="D938" s="184" t="s">
        <v>1703</v>
      </c>
      <c r="E938" s="184"/>
      <c r="F938" s="184" t="s">
        <v>1700</v>
      </c>
      <c r="G938" s="184" t="s">
        <v>1532</v>
      </c>
      <c r="H938" s="184"/>
      <c r="I938" s="184"/>
    </row>
    <row r="939" spans="1:9">
      <c r="A939" s="184" t="s">
        <v>1527</v>
      </c>
      <c r="B939" s="184" t="s">
        <v>1701</v>
      </c>
      <c r="C939" s="184" t="s">
        <v>2451</v>
      </c>
      <c r="D939" s="184" t="s">
        <v>1703</v>
      </c>
      <c r="E939" s="184"/>
      <c r="F939" s="184" t="s">
        <v>1700</v>
      </c>
      <c r="G939" s="184" t="s">
        <v>1532</v>
      </c>
      <c r="H939" s="184"/>
      <c r="I939" s="184"/>
    </row>
    <row r="940" spans="1:9">
      <c r="A940" s="184" t="s">
        <v>1527</v>
      </c>
      <c r="B940" s="184" t="s">
        <v>1701</v>
      </c>
      <c r="C940" s="184" t="s">
        <v>2666</v>
      </c>
      <c r="D940" s="184" t="s">
        <v>2041</v>
      </c>
      <c r="E940" s="184"/>
      <c r="F940" s="184" t="s">
        <v>2762</v>
      </c>
      <c r="G940" s="184" t="s">
        <v>1532</v>
      </c>
      <c r="H940" s="184" t="s">
        <v>2763</v>
      </c>
      <c r="I940" s="184" t="s">
        <v>1375</v>
      </c>
    </row>
    <row r="941" spans="1:9">
      <c r="A941" s="184" t="s">
        <v>1527</v>
      </c>
      <c r="B941" s="184" t="s">
        <v>1701</v>
      </c>
      <c r="C941" s="184" t="s">
        <v>2666</v>
      </c>
      <c r="D941" s="184" t="s">
        <v>2041</v>
      </c>
      <c r="E941" s="184"/>
      <c r="F941" s="184" t="s">
        <v>2764</v>
      </c>
      <c r="G941" s="184" t="s">
        <v>1532</v>
      </c>
      <c r="H941" s="184" t="s">
        <v>2765</v>
      </c>
      <c r="I941" s="184" t="s">
        <v>1377</v>
      </c>
    </row>
    <row r="942" spans="1:9">
      <c r="A942" s="184" t="s">
        <v>1527</v>
      </c>
      <c r="B942" s="184" t="s">
        <v>1701</v>
      </c>
      <c r="C942" s="184" t="s">
        <v>2666</v>
      </c>
      <c r="D942" s="184" t="s">
        <v>2041</v>
      </c>
      <c r="E942" s="184"/>
      <c r="F942" s="184" t="s">
        <v>1700</v>
      </c>
      <c r="G942" s="184" t="s">
        <v>1532</v>
      </c>
      <c r="H942" s="184"/>
      <c r="I942" s="184"/>
    </row>
    <row r="943" spans="1:9">
      <c r="A943" s="184" t="s">
        <v>1527</v>
      </c>
      <c r="B943" s="184" t="s">
        <v>1701</v>
      </c>
      <c r="C943" s="184" t="s">
        <v>2666</v>
      </c>
      <c r="D943" s="184" t="s">
        <v>2041</v>
      </c>
      <c r="E943" s="184"/>
      <c r="F943" s="184" t="s">
        <v>1700</v>
      </c>
      <c r="G943" s="184" t="s">
        <v>1532</v>
      </c>
      <c r="H943" s="184"/>
      <c r="I943" s="184"/>
    </row>
    <row r="944" spans="1:9">
      <c r="A944" s="184" t="s">
        <v>1527</v>
      </c>
      <c r="B944" s="184" t="s">
        <v>1701</v>
      </c>
      <c r="C944" s="184" t="s">
        <v>2666</v>
      </c>
      <c r="D944" s="184" t="s">
        <v>2041</v>
      </c>
      <c r="E944" s="184"/>
      <c r="F944" s="184" t="s">
        <v>1700</v>
      </c>
      <c r="G944" s="184" t="s">
        <v>1532</v>
      </c>
      <c r="H944" s="184"/>
      <c r="I944" s="184"/>
    </row>
    <row r="945" spans="1:7">
      <c r="A945" s="184" t="s">
        <v>1527</v>
      </c>
      <c r="B945" s="184" t="s">
        <v>1701</v>
      </c>
      <c r="C945" s="184" t="s">
        <v>2666</v>
      </c>
      <c r="D945" s="184" t="s">
        <v>2041</v>
      </c>
      <c r="E945" s="184"/>
      <c r="F945" s="184" t="s">
        <v>1700</v>
      </c>
      <c r="G945" s="184" t="s">
        <v>1532</v>
      </c>
    </row>
    <row r="946" spans="1:7">
      <c r="A946" s="184" t="s">
        <v>1527</v>
      </c>
      <c r="B946" s="184" t="s">
        <v>1528</v>
      </c>
      <c r="C946" s="184" t="s">
        <v>1890</v>
      </c>
      <c r="D946" s="184" t="s">
        <v>1530</v>
      </c>
      <c r="E946" s="184"/>
      <c r="F946" s="184" t="s">
        <v>1700</v>
      </c>
      <c r="G946" s="184" t="s">
        <v>1532</v>
      </c>
    </row>
    <row r="947" spans="1:7">
      <c r="A947" s="184" t="s">
        <v>1527</v>
      </c>
      <c r="B947" s="184" t="s">
        <v>1701</v>
      </c>
      <c r="C947" s="184" t="s">
        <v>2413</v>
      </c>
      <c r="D947" s="184" t="s">
        <v>1703</v>
      </c>
      <c r="E947" s="184"/>
      <c r="F947" s="184" t="s">
        <v>1700</v>
      </c>
      <c r="G947" s="184" t="s">
        <v>1532</v>
      </c>
    </row>
    <row r="948" spans="1:7">
      <c r="A948" s="184" t="s">
        <v>1527</v>
      </c>
      <c r="B948" s="184" t="s">
        <v>1701</v>
      </c>
      <c r="C948" s="184" t="s">
        <v>2413</v>
      </c>
      <c r="D948" s="184" t="s">
        <v>1703</v>
      </c>
      <c r="E948" s="184"/>
      <c r="F948" s="184" t="s">
        <v>1700</v>
      </c>
      <c r="G948" s="184" t="s">
        <v>1532</v>
      </c>
    </row>
    <row r="949" spans="1:7">
      <c r="A949" s="184" t="s">
        <v>1527</v>
      </c>
      <c r="B949" s="184" t="s">
        <v>1701</v>
      </c>
      <c r="C949" s="184" t="s">
        <v>2413</v>
      </c>
      <c r="D949" s="184" t="s">
        <v>1703</v>
      </c>
      <c r="E949" s="184"/>
      <c r="F949" s="184" t="s">
        <v>1700</v>
      </c>
      <c r="G949" s="184" t="s">
        <v>1532</v>
      </c>
    </row>
    <row r="950" spans="1:7">
      <c r="A950" s="184" t="s">
        <v>1527</v>
      </c>
      <c r="B950" s="184" t="s">
        <v>1701</v>
      </c>
      <c r="C950" s="184" t="s">
        <v>2413</v>
      </c>
      <c r="D950" s="184" t="s">
        <v>1703</v>
      </c>
      <c r="E950" s="184"/>
      <c r="F950" s="184" t="s">
        <v>1700</v>
      </c>
      <c r="G950" s="184" t="s">
        <v>1532</v>
      </c>
    </row>
    <row r="951" spans="1:7">
      <c r="A951" s="184" t="s">
        <v>1527</v>
      </c>
      <c r="B951" s="184" t="s">
        <v>1701</v>
      </c>
      <c r="C951" s="184" t="s">
        <v>2413</v>
      </c>
      <c r="D951" s="184" t="s">
        <v>1703</v>
      </c>
      <c r="E951" s="184"/>
      <c r="F951" s="184" t="s">
        <v>1700</v>
      </c>
      <c r="G951" s="184" t="s">
        <v>1532</v>
      </c>
    </row>
    <row r="952" spans="1:7">
      <c r="A952" s="184" t="s">
        <v>1527</v>
      </c>
      <c r="B952" s="184" t="s">
        <v>1701</v>
      </c>
      <c r="C952" s="184" t="s">
        <v>2413</v>
      </c>
      <c r="D952" s="184" t="s">
        <v>1703</v>
      </c>
      <c r="E952" s="184"/>
      <c r="F952" s="184" t="s">
        <v>1700</v>
      </c>
      <c r="G952" s="184" t="s">
        <v>1532</v>
      </c>
    </row>
    <row r="953" spans="1:7">
      <c r="A953" s="184" t="s">
        <v>1527</v>
      </c>
      <c r="B953" s="184" t="s">
        <v>1701</v>
      </c>
      <c r="C953" s="184" t="s">
        <v>2413</v>
      </c>
      <c r="D953" s="184" t="s">
        <v>1703</v>
      </c>
      <c r="E953" s="184"/>
      <c r="F953" s="184" t="s">
        <v>1700</v>
      </c>
      <c r="G953" s="184" t="s">
        <v>1532</v>
      </c>
    </row>
    <row r="954" spans="1:7">
      <c r="A954" s="184" t="s">
        <v>1527</v>
      </c>
      <c r="B954" s="184" t="s">
        <v>1701</v>
      </c>
      <c r="C954" s="184" t="s">
        <v>2413</v>
      </c>
      <c r="D954" s="184" t="s">
        <v>1703</v>
      </c>
      <c r="E954" s="184"/>
      <c r="F954" s="184" t="s">
        <v>1700</v>
      </c>
      <c r="G954" s="184" t="s">
        <v>1532</v>
      </c>
    </row>
    <row r="955" spans="1:7">
      <c r="A955" s="184" t="s">
        <v>1527</v>
      </c>
      <c r="B955" s="184" t="s">
        <v>1701</v>
      </c>
      <c r="C955" s="184" t="s">
        <v>2413</v>
      </c>
      <c r="D955" s="184" t="s">
        <v>1703</v>
      </c>
      <c r="E955" s="184"/>
      <c r="F955" s="184" t="s">
        <v>1700</v>
      </c>
      <c r="G955" s="184" t="s">
        <v>1532</v>
      </c>
    </row>
    <row r="956" spans="1:7">
      <c r="A956" s="184" t="s">
        <v>1527</v>
      </c>
      <c r="B956" s="184" t="s">
        <v>1701</v>
      </c>
      <c r="C956" s="184" t="s">
        <v>2413</v>
      </c>
      <c r="D956" s="184" t="s">
        <v>1703</v>
      </c>
      <c r="E956" s="184"/>
      <c r="F956" s="184" t="s">
        <v>1700</v>
      </c>
      <c r="G956" s="184" t="s">
        <v>1532</v>
      </c>
    </row>
    <row r="957" spans="1:7">
      <c r="A957" s="184" t="s">
        <v>1527</v>
      </c>
      <c r="B957" s="184" t="s">
        <v>1701</v>
      </c>
      <c r="C957" s="184" t="s">
        <v>2413</v>
      </c>
      <c r="D957" s="184" t="s">
        <v>1703</v>
      </c>
      <c r="E957" s="184"/>
      <c r="F957" s="184" t="s">
        <v>1700</v>
      </c>
      <c r="G957" s="184" t="s">
        <v>1532</v>
      </c>
    </row>
    <row r="958" spans="1:7">
      <c r="A958" s="184" t="s">
        <v>1527</v>
      </c>
      <c r="B958" s="184" t="s">
        <v>1701</v>
      </c>
      <c r="C958" s="184" t="s">
        <v>2413</v>
      </c>
      <c r="D958" s="184" t="s">
        <v>1703</v>
      </c>
      <c r="E958" s="184"/>
      <c r="F958" s="184" t="s">
        <v>1700</v>
      </c>
      <c r="G958" s="184" t="s">
        <v>1532</v>
      </c>
    </row>
    <row r="959" spans="1:7">
      <c r="A959" s="184" t="s">
        <v>1527</v>
      </c>
      <c r="B959" s="184" t="s">
        <v>1701</v>
      </c>
      <c r="C959" s="184" t="s">
        <v>1751</v>
      </c>
      <c r="D959" s="184" t="s">
        <v>1703</v>
      </c>
      <c r="E959" s="184"/>
      <c r="F959" s="184" t="s">
        <v>1700</v>
      </c>
      <c r="G959" s="184" t="s">
        <v>1532</v>
      </c>
    </row>
    <row r="960" spans="1:7">
      <c r="A960" s="184" t="s">
        <v>1527</v>
      </c>
      <c r="B960" s="184" t="s">
        <v>1556</v>
      </c>
      <c r="C960" s="184" t="s">
        <v>1651</v>
      </c>
      <c r="D960" s="184" t="s">
        <v>1558</v>
      </c>
      <c r="E960" s="184"/>
      <c r="F960" s="184" t="s">
        <v>1700</v>
      </c>
      <c r="G960" s="184" t="s">
        <v>1532</v>
      </c>
    </row>
    <row r="961" spans="1:7">
      <c r="A961" s="184" t="s">
        <v>1527</v>
      </c>
      <c r="B961" s="184" t="s">
        <v>1693</v>
      </c>
      <c r="C961" s="184" t="s">
        <v>1895</v>
      </c>
      <c r="D961" s="184" t="s">
        <v>1730</v>
      </c>
      <c r="E961" s="184"/>
      <c r="F961" s="184" t="s">
        <v>1700</v>
      </c>
      <c r="G961" s="184" t="s">
        <v>1532</v>
      </c>
    </row>
    <row r="962" spans="1:7">
      <c r="A962" s="184" t="s">
        <v>1527</v>
      </c>
      <c r="B962" s="184" t="s">
        <v>1693</v>
      </c>
      <c r="C962" s="184" t="s">
        <v>1895</v>
      </c>
      <c r="D962" s="184" t="s">
        <v>1730</v>
      </c>
      <c r="E962" s="184"/>
      <c r="F962" s="184" t="s">
        <v>1700</v>
      </c>
      <c r="G962" s="184" t="s">
        <v>1532</v>
      </c>
    </row>
    <row r="963" spans="1:7">
      <c r="A963" s="184" t="s">
        <v>1527</v>
      </c>
      <c r="B963" s="184" t="s">
        <v>1693</v>
      </c>
      <c r="C963" s="184" t="s">
        <v>1895</v>
      </c>
      <c r="D963" s="184" t="s">
        <v>1730</v>
      </c>
      <c r="E963" s="184"/>
      <c r="F963" s="184" t="s">
        <v>1700</v>
      </c>
      <c r="G963" s="184" t="s">
        <v>1532</v>
      </c>
    </row>
    <row r="964" spans="1:7">
      <c r="A964" s="184" t="s">
        <v>1527</v>
      </c>
      <c r="B964" s="184" t="s">
        <v>1693</v>
      </c>
      <c r="C964" s="184" t="s">
        <v>1895</v>
      </c>
      <c r="D964" s="184" t="s">
        <v>1730</v>
      </c>
      <c r="E964" s="184"/>
      <c r="F964" s="184" t="s">
        <v>1700</v>
      </c>
      <c r="G964" s="184" t="s">
        <v>1532</v>
      </c>
    </row>
    <row r="965" spans="1:7">
      <c r="A965" s="184" t="s">
        <v>1527</v>
      </c>
      <c r="B965" s="184" t="s">
        <v>1693</v>
      </c>
      <c r="C965" s="184" t="s">
        <v>1895</v>
      </c>
      <c r="D965" s="184" t="s">
        <v>1730</v>
      </c>
      <c r="E965" s="184"/>
      <c r="F965" s="184" t="s">
        <v>1700</v>
      </c>
      <c r="G965" s="184" t="s">
        <v>1532</v>
      </c>
    </row>
    <row r="966" spans="1:7">
      <c r="A966" s="184" t="s">
        <v>1527</v>
      </c>
      <c r="B966" s="184" t="s">
        <v>1693</v>
      </c>
      <c r="C966" s="184" t="s">
        <v>1895</v>
      </c>
      <c r="D966" s="184" t="s">
        <v>1730</v>
      </c>
      <c r="E966" s="184"/>
      <c r="F966" s="184" t="s">
        <v>1700</v>
      </c>
      <c r="G966" s="184" t="s">
        <v>1532</v>
      </c>
    </row>
    <row r="967" spans="1:7">
      <c r="A967" s="184" t="s">
        <v>1527</v>
      </c>
      <c r="B967" s="184" t="s">
        <v>1693</v>
      </c>
      <c r="C967" s="184" t="s">
        <v>1895</v>
      </c>
      <c r="D967" s="184" t="s">
        <v>1730</v>
      </c>
      <c r="E967" s="184"/>
      <c r="F967" s="184" t="s">
        <v>1700</v>
      </c>
      <c r="G967" s="184" t="s">
        <v>1532</v>
      </c>
    </row>
    <row r="968" spans="1:7">
      <c r="A968" s="184" t="s">
        <v>1527</v>
      </c>
      <c r="B968" s="184" t="s">
        <v>1693</v>
      </c>
      <c r="C968" s="184" t="s">
        <v>1895</v>
      </c>
      <c r="D968" s="184" t="s">
        <v>1730</v>
      </c>
      <c r="E968" s="184"/>
      <c r="F968" s="184" t="s">
        <v>1700</v>
      </c>
      <c r="G968" s="184" t="s">
        <v>1532</v>
      </c>
    </row>
    <row r="969" spans="1:7">
      <c r="A969" s="184" t="s">
        <v>1527</v>
      </c>
      <c r="B969" s="184" t="s">
        <v>1693</v>
      </c>
      <c r="C969" s="184" t="s">
        <v>1895</v>
      </c>
      <c r="D969" s="184" t="s">
        <v>1730</v>
      </c>
      <c r="E969" s="184"/>
      <c r="F969" s="184" t="s">
        <v>1700</v>
      </c>
      <c r="G969" s="184" t="s">
        <v>1532</v>
      </c>
    </row>
    <row r="970" spans="1:7">
      <c r="A970" s="184" t="s">
        <v>1527</v>
      </c>
      <c r="B970" s="184" t="s">
        <v>1693</v>
      </c>
      <c r="C970" s="184" t="s">
        <v>1895</v>
      </c>
      <c r="D970" s="184" t="s">
        <v>1730</v>
      </c>
      <c r="E970" s="184"/>
      <c r="F970" s="184" t="s">
        <v>1700</v>
      </c>
      <c r="G970" s="184" t="s">
        <v>1532</v>
      </c>
    </row>
    <row r="971" spans="1:7">
      <c r="A971" s="184" t="s">
        <v>1527</v>
      </c>
      <c r="B971" s="184" t="s">
        <v>1693</v>
      </c>
      <c r="C971" s="184" t="s">
        <v>1895</v>
      </c>
      <c r="D971" s="184" t="s">
        <v>1730</v>
      </c>
      <c r="E971" s="184"/>
      <c r="F971" s="184" t="s">
        <v>1700</v>
      </c>
      <c r="G971" s="184" t="s">
        <v>1532</v>
      </c>
    </row>
    <row r="972" spans="1:7">
      <c r="A972" s="184" t="s">
        <v>1527</v>
      </c>
      <c r="B972" s="184" t="s">
        <v>1528</v>
      </c>
      <c r="C972" s="184" t="s">
        <v>2713</v>
      </c>
      <c r="D972" s="184" t="s">
        <v>1530</v>
      </c>
      <c r="E972" s="184"/>
      <c r="F972" s="184" t="s">
        <v>1700</v>
      </c>
      <c r="G972" s="184" t="s">
        <v>1532</v>
      </c>
    </row>
    <row r="973" spans="1:7">
      <c r="A973" s="184" t="s">
        <v>1527</v>
      </c>
      <c r="B973" s="184" t="s">
        <v>1528</v>
      </c>
      <c r="C973" s="184" t="s">
        <v>2713</v>
      </c>
      <c r="D973" s="184" t="s">
        <v>1530</v>
      </c>
      <c r="E973" s="184"/>
      <c r="F973" s="184" t="s">
        <v>1700</v>
      </c>
      <c r="G973" s="184" t="s">
        <v>1532</v>
      </c>
    </row>
    <row r="974" spans="1:7">
      <c r="A974" s="184" t="s">
        <v>1527</v>
      </c>
      <c r="B974" s="184" t="s">
        <v>1528</v>
      </c>
      <c r="C974" s="184" t="s">
        <v>2713</v>
      </c>
      <c r="D974" s="184" t="s">
        <v>1530</v>
      </c>
      <c r="E974" s="184"/>
      <c r="F974" s="184" t="s">
        <v>1700</v>
      </c>
      <c r="G974" s="184" t="s">
        <v>1532</v>
      </c>
    </row>
    <row r="975" spans="1:7">
      <c r="A975" s="184" t="s">
        <v>1527</v>
      </c>
      <c r="B975" s="184" t="s">
        <v>1528</v>
      </c>
      <c r="C975" s="184" t="s">
        <v>2713</v>
      </c>
      <c r="D975" s="184" t="s">
        <v>1530</v>
      </c>
      <c r="E975" s="184"/>
      <c r="F975" s="184" t="s">
        <v>1700</v>
      </c>
      <c r="G975" s="184" t="s">
        <v>1532</v>
      </c>
    </row>
    <row r="976" spans="1:7">
      <c r="A976" s="184" t="s">
        <v>1527</v>
      </c>
      <c r="B976" s="184" t="s">
        <v>1693</v>
      </c>
      <c r="C976" s="184"/>
      <c r="D976" s="184"/>
      <c r="E976" s="184"/>
      <c r="F976" s="184" t="s">
        <v>1700</v>
      </c>
      <c r="G976" s="184" t="s">
        <v>1532</v>
      </c>
    </row>
    <row r="977" spans="1:7">
      <c r="A977" s="184" t="s">
        <v>1527</v>
      </c>
      <c r="B977" s="184" t="s">
        <v>1693</v>
      </c>
      <c r="C977" s="184" t="s">
        <v>1961</v>
      </c>
      <c r="D977" s="184" t="s">
        <v>1695</v>
      </c>
      <c r="E977" s="184"/>
      <c r="F977" s="184" t="s">
        <v>1700</v>
      </c>
      <c r="G977" s="184" t="s">
        <v>1532</v>
      </c>
    </row>
    <row r="978" spans="1:7">
      <c r="A978" s="184" t="s">
        <v>1527</v>
      </c>
      <c r="B978" s="184" t="s">
        <v>1693</v>
      </c>
      <c r="C978" s="184" t="s">
        <v>1961</v>
      </c>
      <c r="D978" s="184" t="s">
        <v>1695</v>
      </c>
      <c r="E978" s="184"/>
      <c r="F978" s="184" t="s">
        <v>1700</v>
      </c>
      <c r="G978" s="184" t="s">
        <v>1532</v>
      </c>
    </row>
    <row r="979" spans="1:7">
      <c r="A979" s="184" t="s">
        <v>1527</v>
      </c>
      <c r="B979" s="184" t="s">
        <v>1693</v>
      </c>
      <c r="C979" s="184" t="s">
        <v>1961</v>
      </c>
      <c r="D979" s="184" t="s">
        <v>1695</v>
      </c>
      <c r="E979" s="184"/>
      <c r="F979" s="184" t="s">
        <v>1700</v>
      </c>
      <c r="G979" s="184" t="s">
        <v>1532</v>
      </c>
    </row>
    <row r="980" spans="1:7">
      <c r="A980" s="184" t="s">
        <v>1527</v>
      </c>
      <c r="B980" s="184" t="s">
        <v>1693</v>
      </c>
      <c r="C980" s="184" t="s">
        <v>1961</v>
      </c>
      <c r="D980" s="184" t="s">
        <v>1695</v>
      </c>
      <c r="E980" s="184"/>
      <c r="F980" s="184" t="s">
        <v>1700</v>
      </c>
      <c r="G980" s="184" t="s">
        <v>1532</v>
      </c>
    </row>
    <row r="981" spans="1:7">
      <c r="A981" s="184" t="s">
        <v>1527</v>
      </c>
      <c r="B981" s="184" t="s">
        <v>1693</v>
      </c>
      <c r="C981" s="184" t="s">
        <v>1961</v>
      </c>
      <c r="D981" s="184" t="s">
        <v>1695</v>
      </c>
      <c r="E981" s="184"/>
      <c r="F981" s="184" t="s">
        <v>1700</v>
      </c>
      <c r="G981" s="184" t="s">
        <v>1532</v>
      </c>
    </row>
    <row r="982" spans="1:7">
      <c r="A982" s="184" t="s">
        <v>1527</v>
      </c>
      <c r="B982" s="184" t="s">
        <v>1693</v>
      </c>
      <c r="C982" s="184" t="s">
        <v>1961</v>
      </c>
      <c r="D982" s="184" t="s">
        <v>1695</v>
      </c>
      <c r="E982" s="184"/>
      <c r="F982" s="184" t="s">
        <v>1700</v>
      </c>
      <c r="G982" s="184" t="s">
        <v>1532</v>
      </c>
    </row>
    <row r="983" spans="1:7">
      <c r="A983" s="184" t="s">
        <v>1527</v>
      </c>
      <c r="B983" s="184" t="s">
        <v>1693</v>
      </c>
      <c r="C983" s="184" t="s">
        <v>1961</v>
      </c>
      <c r="D983" s="184" t="s">
        <v>1695</v>
      </c>
      <c r="E983" s="184"/>
      <c r="F983" s="184" t="s">
        <v>1700</v>
      </c>
      <c r="G983" s="184" t="s">
        <v>1532</v>
      </c>
    </row>
    <row r="984" spans="1:7">
      <c r="A984" s="184" t="s">
        <v>1527</v>
      </c>
      <c r="B984" s="184" t="s">
        <v>1693</v>
      </c>
      <c r="C984" s="184" t="s">
        <v>1961</v>
      </c>
      <c r="D984" s="184" t="s">
        <v>1695</v>
      </c>
      <c r="E984" s="184"/>
      <c r="F984" s="184" t="s">
        <v>1700</v>
      </c>
      <c r="G984" s="184" t="s">
        <v>1532</v>
      </c>
    </row>
    <row r="985" spans="1:7">
      <c r="A985" s="184" t="s">
        <v>1527</v>
      </c>
      <c r="B985" s="184" t="s">
        <v>1693</v>
      </c>
      <c r="C985" s="184" t="s">
        <v>1961</v>
      </c>
      <c r="D985" s="184" t="s">
        <v>1695</v>
      </c>
      <c r="E985" s="184"/>
      <c r="F985" s="184" t="s">
        <v>1700</v>
      </c>
      <c r="G985" s="184" t="s">
        <v>1532</v>
      </c>
    </row>
    <row r="986" spans="1:7">
      <c r="A986" s="184" t="s">
        <v>1527</v>
      </c>
      <c r="B986" s="184" t="s">
        <v>1693</v>
      </c>
      <c r="C986" s="184" t="s">
        <v>1961</v>
      </c>
      <c r="D986" s="184" t="s">
        <v>1695</v>
      </c>
      <c r="E986" s="184"/>
      <c r="F986" s="184" t="s">
        <v>1700</v>
      </c>
      <c r="G986" s="184" t="s">
        <v>1532</v>
      </c>
    </row>
    <row r="987" spans="1:7">
      <c r="A987" s="184" t="s">
        <v>1527</v>
      </c>
      <c r="B987" s="184" t="s">
        <v>1693</v>
      </c>
      <c r="C987" s="184" t="s">
        <v>1961</v>
      </c>
      <c r="D987" s="184" t="s">
        <v>1695</v>
      </c>
      <c r="E987" s="184"/>
      <c r="F987" s="184" t="s">
        <v>1700</v>
      </c>
      <c r="G987" s="184" t="s">
        <v>1532</v>
      </c>
    </row>
    <row r="988" spans="1:7">
      <c r="A988" s="184" t="s">
        <v>1527</v>
      </c>
      <c r="B988" s="184" t="s">
        <v>1693</v>
      </c>
      <c r="C988" s="184" t="s">
        <v>1961</v>
      </c>
      <c r="D988" s="184" t="s">
        <v>1695</v>
      </c>
      <c r="E988" s="184"/>
      <c r="F988" s="184" t="s">
        <v>1700</v>
      </c>
      <c r="G988" s="184" t="s">
        <v>1532</v>
      </c>
    </row>
    <row r="989" spans="1:7">
      <c r="A989" s="184" t="s">
        <v>1527</v>
      </c>
      <c r="B989" s="184" t="s">
        <v>1693</v>
      </c>
      <c r="C989" s="184" t="s">
        <v>1961</v>
      </c>
      <c r="D989" s="184" t="s">
        <v>1695</v>
      </c>
      <c r="E989" s="184"/>
      <c r="F989" s="184" t="s">
        <v>1700</v>
      </c>
      <c r="G989" s="184" t="s">
        <v>1532</v>
      </c>
    </row>
    <row r="990" spans="1:7">
      <c r="A990" s="184" t="s">
        <v>1527</v>
      </c>
      <c r="B990" s="184" t="s">
        <v>1693</v>
      </c>
      <c r="C990" s="184" t="s">
        <v>1961</v>
      </c>
      <c r="D990" s="184" t="s">
        <v>1695</v>
      </c>
      <c r="E990" s="184"/>
      <c r="F990" s="184" t="s">
        <v>1700</v>
      </c>
      <c r="G990" s="184" t="s">
        <v>1532</v>
      </c>
    </row>
    <row r="991" spans="1:7">
      <c r="A991" s="184" t="s">
        <v>1527</v>
      </c>
      <c r="B991" s="184" t="s">
        <v>1693</v>
      </c>
      <c r="C991" s="184" t="s">
        <v>1961</v>
      </c>
      <c r="D991" s="184" t="s">
        <v>1695</v>
      </c>
      <c r="E991" s="184"/>
      <c r="F991" s="184" t="s">
        <v>1700</v>
      </c>
      <c r="G991" s="184" t="s">
        <v>1532</v>
      </c>
    </row>
    <row r="992" spans="1:7">
      <c r="A992" s="184" t="s">
        <v>1527</v>
      </c>
      <c r="B992" s="184" t="s">
        <v>1556</v>
      </c>
      <c r="C992" s="184" t="s">
        <v>1961</v>
      </c>
      <c r="D992" s="184"/>
      <c r="E992" s="184"/>
      <c r="F992" s="184" t="s">
        <v>1700</v>
      </c>
      <c r="G992" s="184" t="s">
        <v>1532</v>
      </c>
    </row>
    <row r="993" spans="1:9">
      <c r="A993" s="184" t="s">
        <v>1527</v>
      </c>
      <c r="B993" s="184" t="s">
        <v>1556</v>
      </c>
      <c r="C993" s="184" t="s">
        <v>1961</v>
      </c>
      <c r="D993" s="184"/>
      <c r="E993" s="184"/>
      <c r="F993" s="184" t="s">
        <v>1700</v>
      </c>
      <c r="G993" s="184" t="s">
        <v>1532</v>
      </c>
      <c r="H993" s="184"/>
      <c r="I993" s="184"/>
    </row>
    <row r="994" spans="1:9">
      <c r="A994" s="184" t="s">
        <v>1527</v>
      </c>
      <c r="B994" s="184" t="s">
        <v>1556</v>
      </c>
      <c r="C994" s="184" t="s">
        <v>1961</v>
      </c>
      <c r="D994" s="184"/>
      <c r="E994" s="184"/>
      <c r="F994" s="184" t="s">
        <v>1700</v>
      </c>
      <c r="G994" s="184" t="s">
        <v>1532</v>
      </c>
      <c r="H994" s="184"/>
      <c r="I994" s="184"/>
    </row>
    <row r="995" spans="1:9">
      <c r="A995" s="184" t="s">
        <v>1527</v>
      </c>
      <c r="B995" s="184" t="s">
        <v>1556</v>
      </c>
      <c r="C995" s="184" t="s">
        <v>1961</v>
      </c>
      <c r="D995" s="184"/>
      <c r="E995" s="184"/>
      <c r="F995" s="184" t="s">
        <v>1700</v>
      </c>
      <c r="G995" s="184" t="s">
        <v>1532</v>
      </c>
      <c r="H995" s="184"/>
      <c r="I995" s="184"/>
    </row>
    <row r="996" spans="1:9">
      <c r="A996" s="184" t="s">
        <v>1527</v>
      </c>
      <c r="B996" s="184" t="s">
        <v>1556</v>
      </c>
      <c r="C996" s="184" t="s">
        <v>1961</v>
      </c>
      <c r="D996" s="184"/>
      <c r="E996" s="184"/>
      <c r="F996" s="184" t="s">
        <v>1700</v>
      </c>
      <c r="G996" s="184" t="s">
        <v>1532</v>
      </c>
      <c r="H996" s="184"/>
      <c r="I996" s="184"/>
    </row>
    <row r="997" spans="1:9">
      <c r="A997" s="184" t="s">
        <v>1527</v>
      </c>
      <c r="B997" s="184" t="s">
        <v>1556</v>
      </c>
      <c r="C997" s="184" t="s">
        <v>1961</v>
      </c>
      <c r="D997" s="184"/>
      <c r="E997" s="184"/>
      <c r="F997" s="184" t="s">
        <v>1700</v>
      </c>
      <c r="G997" s="184" t="s">
        <v>1532</v>
      </c>
      <c r="H997" s="184"/>
      <c r="I997" s="184"/>
    </row>
    <row r="998" spans="1:9">
      <c r="A998" s="184" t="s">
        <v>1527</v>
      </c>
      <c r="B998" s="184" t="s">
        <v>1556</v>
      </c>
      <c r="C998" s="184" t="s">
        <v>1961</v>
      </c>
      <c r="D998" s="184"/>
      <c r="E998" s="184"/>
      <c r="F998" s="184" t="s">
        <v>1700</v>
      </c>
      <c r="G998" s="184" t="s">
        <v>1532</v>
      </c>
      <c r="H998" s="184"/>
      <c r="I998" s="184"/>
    </row>
    <row r="999" spans="1:9">
      <c r="A999" s="184" t="s">
        <v>1527</v>
      </c>
      <c r="B999" s="184" t="s">
        <v>1556</v>
      </c>
      <c r="C999" s="184" t="s">
        <v>1961</v>
      </c>
      <c r="D999" s="184"/>
      <c r="E999" s="184"/>
      <c r="F999" s="184" t="s">
        <v>1700</v>
      </c>
      <c r="G999" s="184" t="s">
        <v>1532</v>
      </c>
      <c r="H999" s="184"/>
      <c r="I999" s="184"/>
    </row>
    <row r="1000" spans="1:9">
      <c r="A1000" s="184" t="s">
        <v>1527</v>
      </c>
      <c r="B1000" s="184" t="s">
        <v>1556</v>
      </c>
      <c r="C1000" s="184" t="s">
        <v>1591</v>
      </c>
      <c r="D1000" s="184" t="s">
        <v>1558</v>
      </c>
      <c r="E1000" s="184"/>
      <c r="F1000" s="184" t="s">
        <v>378</v>
      </c>
      <c r="G1000" s="184" t="s">
        <v>1532</v>
      </c>
      <c r="H1000" s="184" t="s">
        <v>2766</v>
      </c>
      <c r="I1000" s="184" t="s">
        <v>2767</v>
      </c>
    </row>
    <row r="1001" spans="1:9">
      <c r="A1001" s="184" t="s">
        <v>1527</v>
      </c>
      <c r="B1001" s="184" t="s">
        <v>1693</v>
      </c>
      <c r="C1001" s="184" t="s">
        <v>2768</v>
      </c>
      <c r="D1001" s="184" t="s">
        <v>1695</v>
      </c>
      <c r="E1001" s="184"/>
      <c r="F1001" s="184" t="s">
        <v>2769</v>
      </c>
      <c r="G1001" s="184" t="s">
        <v>1532</v>
      </c>
      <c r="H1001" s="184" t="s">
        <v>2770</v>
      </c>
      <c r="I1001" s="184" t="s">
        <v>1274</v>
      </c>
    </row>
    <row r="1002" spans="1:9">
      <c r="A1002" s="184" t="s">
        <v>1527</v>
      </c>
      <c r="B1002" s="184" t="s">
        <v>1693</v>
      </c>
      <c r="C1002" s="184" t="s">
        <v>2768</v>
      </c>
      <c r="D1002" s="184" t="s">
        <v>1695</v>
      </c>
      <c r="E1002" s="184"/>
      <c r="F1002" s="184" t="s">
        <v>2771</v>
      </c>
      <c r="G1002" s="184" t="s">
        <v>1532</v>
      </c>
      <c r="H1002" s="184" t="s">
        <v>2772</v>
      </c>
      <c r="I1002" s="184" t="s">
        <v>1276</v>
      </c>
    </row>
    <row r="1003" spans="1:9">
      <c r="A1003" s="184" t="s">
        <v>1527</v>
      </c>
      <c r="B1003" s="184" t="s">
        <v>1693</v>
      </c>
      <c r="C1003" s="184" t="s">
        <v>2773</v>
      </c>
      <c r="D1003" s="184" t="s">
        <v>1695</v>
      </c>
      <c r="E1003" s="184"/>
      <c r="F1003" s="184" t="s">
        <v>2774</v>
      </c>
      <c r="G1003" s="184" t="s">
        <v>1532</v>
      </c>
      <c r="H1003" s="184" t="s">
        <v>2770</v>
      </c>
      <c r="I1003" s="184" t="s">
        <v>1277</v>
      </c>
    </row>
    <row r="1004" spans="1:9">
      <c r="A1004" s="184" t="s">
        <v>1527</v>
      </c>
      <c r="B1004" s="184" t="s">
        <v>1693</v>
      </c>
      <c r="C1004" s="184" t="s">
        <v>2773</v>
      </c>
      <c r="D1004" s="184" t="s">
        <v>1695</v>
      </c>
      <c r="E1004" s="184"/>
      <c r="F1004" s="184" t="s">
        <v>2775</v>
      </c>
      <c r="G1004" s="184" t="s">
        <v>1532</v>
      </c>
      <c r="H1004" s="184" t="s">
        <v>2772</v>
      </c>
      <c r="I1004" s="184" t="s">
        <v>1278</v>
      </c>
    </row>
    <row r="1005" spans="1:9">
      <c r="A1005" s="184" t="s">
        <v>1527</v>
      </c>
      <c r="B1005" s="184" t="s">
        <v>1693</v>
      </c>
      <c r="C1005" s="184" t="s">
        <v>2768</v>
      </c>
      <c r="D1005" s="184" t="s">
        <v>1695</v>
      </c>
      <c r="E1005" s="184"/>
      <c r="F1005" s="184" t="s">
        <v>2776</v>
      </c>
      <c r="G1005" s="184" t="s">
        <v>1532</v>
      </c>
      <c r="H1005" s="184" t="s">
        <v>2777</v>
      </c>
      <c r="I1005" s="184" t="s">
        <v>2778</v>
      </c>
    </row>
    <row r="1006" spans="1:9">
      <c r="A1006" s="184" t="s">
        <v>1527</v>
      </c>
      <c r="B1006" s="184" t="s">
        <v>1693</v>
      </c>
      <c r="C1006" s="184" t="s">
        <v>2768</v>
      </c>
      <c r="D1006" s="184" t="s">
        <v>1695</v>
      </c>
      <c r="E1006" s="184"/>
      <c r="F1006" s="184" t="s">
        <v>2779</v>
      </c>
      <c r="G1006" s="184" t="s">
        <v>1532</v>
      </c>
      <c r="H1006" s="184" t="s">
        <v>2780</v>
      </c>
      <c r="I1006" s="184" t="s">
        <v>2781</v>
      </c>
    </row>
    <row r="1007" spans="1:9">
      <c r="A1007" s="184" t="s">
        <v>1527</v>
      </c>
      <c r="B1007" s="184" t="s">
        <v>1693</v>
      </c>
      <c r="C1007" s="184" t="s">
        <v>2768</v>
      </c>
      <c r="D1007" s="184" t="s">
        <v>1695</v>
      </c>
      <c r="E1007" s="184"/>
      <c r="F1007" s="184" t="s">
        <v>2782</v>
      </c>
      <c r="G1007" s="184" t="s">
        <v>1532</v>
      </c>
      <c r="H1007" s="184" t="s">
        <v>2783</v>
      </c>
      <c r="I1007" s="184" t="s">
        <v>2784</v>
      </c>
    </row>
    <row r="1008" spans="1:9">
      <c r="A1008" s="184" t="s">
        <v>1527</v>
      </c>
      <c r="B1008" s="184" t="s">
        <v>1693</v>
      </c>
      <c r="C1008" s="184" t="s">
        <v>2768</v>
      </c>
      <c r="D1008" s="184" t="s">
        <v>1695</v>
      </c>
      <c r="E1008" s="184"/>
      <c r="F1008" s="184" t="s">
        <v>2785</v>
      </c>
      <c r="G1008" s="184" t="s">
        <v>1532</v>
      </c>
      <c r="H1008" s="184" t="s">
        <v>2786</v>
      </c>
      <c r="I1008" s="184" t="s">
        <v>2787</v>
      </c>
    </row>
    <row r="1009" spans="1:9">
      <c r="A1009" s="184" t="s">
        <v>1527</v>
      </c>
      <c r="B1009" s="184" t="s">
        <v>1693</v>
      </c>
      <c r="C1009" s="184" t="s">
        <v>2768</v>
      </c>
      <c r="D1009" s="184" t="s">
        <v>1695</v>
      </c>
      <c r="E1009" s="184"/>
      <c r="F1009" s="184" t="s">
        <v>2788</v>
      </c>
      <c r="G1009" s="184" t="s">
        <v>1532</v>
      </c>
      <c r="H1009" s="184" t="s">
        <v>2789</v>
      </c>
      <c r="I1009" s="184" t="s">
        <v>512</v>
      </c>
    </row>
    <row r="1010" spans="1:9">
      <c r="A1010" s="184" t="s">
        <v>1527</v>
      </c>
      <c r="B1010" s="184" t="s">
        <v>1693</v>
      </c>
      <c r="C1010" s="184" t="s">
        <v>2768</v>
      </c>
      <c r="D1010" s="184" t="s">
        <v>1695</v>
      </c>
      <c r="E1010" s="184"/>
      <c r="F1010" s="184" t="s">
        <v>2790</v>
      </c>
      <c r="G1010" s="184" t="s">
        <v>1532</v>
      </c>
      <c r="H1010" s="184" t="s">
        <v>2791</v>
      </c>
      <c r="I1010" s="184" t="s">
        <v>520</v>
      </c>
    </row>
    <row r="1011" spans="1:9">
      <c r="A1011" s="184" t="s">
        <v>1527</v>
      </c>
      <c r="B1011" s="184" t="s">
        <v>1693</v>
      </c>
      <c r="C1011" s="184" t="s">
        <v>2768</v>
      </c>
      <c r="D1011" s="184" t="s">
        <v>1695</v>
      </c>
      <c r="E1011" s="184"/>
      <c r="F1011" s="184" t="s">
        <v>2792</v>
      </c>
      <c r="G1011" s="184" t="s">
        <v>1532</v>
      </c>
      <c r="H1011" s="184" t="s">
        <v>2793</v>
      </c>
      <c r="I1011" s="184" t="s">
        <v>514</v>
      </c>
    </row>
    <row r="1012" spans="1:9">
      <c r="A1012" s="184" t="s">
        <v>1527</v>
      </c>
      <c r="B1012" s="184" t="s">
        <v>1693</v>
      </c>
      <c r="C1012" s="184" t="s">
        <v>2768</v>
      </c>
      <c r="D1012" s="184" t="s">
        <v>1695</v>
      </c>
      <c r="E1012" s="184"/>
      <c r="F1012" s="184" t="s">
        <v>2794</v>
      </c>
      <c r="G1012" s="184" t="s">
        <v>1532</v>
      </c>
      <c r="H1012" s="184" t="s">
        <v>2795</v>
      </c>
      <c r="I1012" s="184" t="s">
        <v>522</v>
      </c>
    </row>
    <row r="1013" spans="1:9">
      <c r="A1013" s="184" t="s">
        <v>1527</v>
      </c>
      <c r="B1013" s="184" t="s">
        <v>1693</v>
      </c>
      <c r="C1013" s="184" t="s">
        <v>2768</v>
      </c>
      <c r="D1013" s="184" t="s">
        <v>1695</v>
      </c>
      <c r="E1013" s="184"/>
      <c r="F1013" s="184" t="s">
        <v>2796</v>
      </c>
      <c r="G1013" s="184" t="s">
        <v>1532</v>
      </c>
      <c r="H1013" s="184" t="s">
        <v>2797</v>
      </c>
      <c r="I1013" s="184" t="s">
        <v>516</v>
      </c>
    </row>
    <row r="1014" spans="1:9">
      <c r="A1014" s="184" t="s">
        <v>1527</v>
      </c>
      <c r="B1014" s="184" t="s">
        <v>1693</v>
      </c>
      <c r="C1014" s="184" t="s">
        <v>2768</v>
      </c>
      <c r="D1014" s="184" t="s">
        <v>1695</v>
      </c>
      <c r="E1014" s="184"/>
      <c r="F1014" s="184" t="s">
        <v>2798</v>
      </c>
      <c r="G1014" s="184" t="s">
        <v>1532</v>
      </c>
      <c r="H1014" s="184" t="s">
        <v>2799</v>
      </c>
      <c r="I1014" s="184" t="s">
        <v>524</v>
      </c>
    </row>
    <row r="1015" spans="1:9">
      <c r="A1015" s="184" t="s">
        <v>1527</v>
      </c>
      <c r="B1015" s="184" t="s">
        <v>1693</v>
      </c>
      <c r="C1015" s="184" t="s">
        <v>2768</v>
      </c>
      <c r="D1015" s="184" t="s">
        <v>1695</v>
      </c>
      <c r="E1015" s="184"/>
      <c r="F1015" s="184" t="s">
        <v>2800</v>
      </c>
      <c r="G1015" s="184" t="s">
        <v>1532</v>
      </c>
      <c r="H1015" s="184" t="s">
        <v>2801</v>
      </c>
      <c r="I1015" s="184" t="s">
        <v>518</v>
      </c>
    </row>
    <row r="1016" spans="1:9">
      <c r="A1016" s="184" t="s">
        <v>1527</v>
      </c>
      <c r="B1016" s="184" t="s">
        <v>1693</v>
      </c>
      <c r="C1016" s="184" t="s">
        <v>2768</v>
      </c>
      <c r="D1016" s="184" t="s">
        <v>1695</v>
      </c>
      <c r="E1016" s="184"/>
      <c r="F1016" s="184" t="s">
        <v>2802</v>
      </c>
      <c r="G1016" s="184" t="s">
        <v>1532</v>
      </c>
      <c r="H1016" s="184" t="s">
        <v>2803</v>
      </c>
      <c r="I1016" s="184" t="s">
        <v>526</v>
      </c>
    </row>
    <row r="1017" spans="1:9">
      <c r="A1017" s="184" t="s">
        <v>1527</v>
      </c>
      <c r="B1017" s="184" t="s">
        <v>1556</v>
      </c>
      <c r="C1017" s="184"/>
      <c r="D1017" s="184"/>
      <c r="E1017" s="184"/>
      <c r="F1017" s="184" t="s">
        <v>2804</v>
      </c>
      <c r="G1017" s="184" t="s">
        <v>1532</v>
      </c>
      <c r="H1017" s="184" t="s">
        <v>2805</v>
      </c>
      <c r="I1017" s="184"/>
    </row>
    <row r="1018" spans="1:9">
      <c r="A1018" s="184" t="s">
        <v>1527</v>
      </c>
      <c r="B1018" s="184" t="s">
        <v>1556</v>
      </c>
      <c r="C1018" s="184"/>
      <c r="D1018" s="184"/>
      <c r="E1018" s="184"/>
      <c r="F1018" s="184" t="s">
        <v>1700</v>
      </c>
      <c r="G1018" s="184" t="s">
        <v>1532</v>
      </c>
      <c r="H1018" s="184"/>
      <c r="I1018" s="184"/>
    </row>
    <row r="1019" spans="1:9">
      <c r="A1019" s="184" t="s">
        <v>1527</v>
      </c>
      <c r="B1019" s="184" t="s">
        <v>1556</v>
      </c>
      <c r="C1019" s="184"/>
      <c r="D1019" s="184"/>
      <c r="E1019" s="184"/>
      <c r="F1019" s="184" t="s">
        <v>1700</v>
      </c>
      <c r="G1019" s="184" t="s">
        <v>1532</v>
      </c>
      <c r="H1019" s="184"/>
      <c r="I1019" s="184"/>
    </row>
    <row r="1020" spans="1:9">
      <c r="A1020" s="184" t="s">
        <v>1527</v>
      </c>
      <c r="B1020" s="184" t="s">
        <v>1556</v>
      </c>
      <c r="C1020" s="184"/>
      <c r="D1020" s="184"/>
      <c r="E1020" s="184"/>
      <c r="F1020" s="184" t="s">
        <v>1700</v>
      </c>
      <c r="G1020" s="184" t="s">
        <v>1532</v>
      </c>
      <c r="H1020" s="184"/>
      <c r="I1020" s="184"/>
    </row>
    <row r="1021" spans="1:9">
      <c r="A1021" s="184" t="s">
        <v>1527</v>
      </c>
      <c r="B1021" s="184" t="s">
        <v>1556</v>
      </c>
      <c r="C1021" s="184"/>
      <c r="D1021" s="184"/>
      <c r="E1021" s="184"/>
      <c r="F1021" s="184" t="s">
        <v>1700</v>
      </c>
      <c r="G1021" s="184" t="s">
        <v>1532</v>
      </c>
      <c r="H1021" s="184"/>
      <c r="I1021" s="184"/>
    </row>
    <row r="1022" spans="1:9">
      <c r="A1022" s="184" t="s">
        <v>1527</v>
      </c>
      <c r="B1022" s="184" t="s">
        <v>1556</v>
      </c>
      <c r="C1022" s="184"/>
      <c r="D1022" s="184"/>
      <c r="E1022" s="184"/>
      <c r="F1022" s="184" t="s">
        <v>1700</v>
      </c>
      <c r="G1022" s="184" t="s">
        <v>1532</v>
      </c>
      <c r="H1022" s="184"/>
      <c r="I1022" s="184"/>
    </row>
    <row r="1023" spans="1:9">
      <c r="A1023" s="184" t="s">
        <v>1527</v>
      </c>
      <c r="B1023" s="184" t="s">
        <v>1556</v>
      </c>
      <c r="C1023" s="184"/>
      <c r="D1023" s="184"/>
      <c r="E1023" s="184"/>
      <c r="F1023" s="184" t="s">
        <v>1700</v>
      </c>
      <c r="G1023" s="184" t="s">
        <v>1532</v>
      </c>
      <c r="H1023" s="184"/>
      <c r="I1023" s="184"/>
    </row>
    <row r="1024" spans="1:9">
      <c r="A1024" s="184" t="s">
        <v>1527</v>
      </c>
      <c r="B1024" s="184" t="s">
        <v>1556</v>
      </c>
      <c r="C1024" s="184" t="s">
        <v>2768</v>
      </c>
      <c r="D1024" s="184" t="s">
        <v>1695</v>
      </c>
      <c r="E1024" s="184"/>
      <c r="F1024" s="184" t="s">
        <v>2804</v>
      </c>
      <c r="G1024" s="184" t="s">
        <v>1532</v>
      </c>
      <c r="H1024" s="184" t="s">
        <v>1348</v>
      </c>
      <c r="I1024" s="184"/>
    </row>
    <row r="1025" spans="1:9">
      <c r="A1025" s="184" t="s">
        <v>1527</v>
      </c>
      <c r="B1025" s="184" t="s">
        <v>1556</v>
      </c>
      <c r="C1025" s="184" t="s">
        <v>2768</v>
      </c>
      <c r="D1025" s="184" t="s">
        <v>1695</v>
      </c>
      <c r="E1025" s="184"/>
      <c r="F1025" s="184" t="s">
        <v>2806</v>
      </c>
      <c r="G1025" s="184" t="s">
        <v>1532</v>
      </c>
      <c r="H1025" s="184" t="s">
        <v>2807</v>
      </c>
      <c r="I1025" s="184" t="s">
        <v>1357</v>
      </c>
    </row>
    <row r="1026" spans="1:9">
      <c r="A1026" s="184" t="s">
        <v>1527</v>
      </c>
      <c r="B1026" s="184" t="s">
        <v>1556</v>
      </c>
      <c r="C1026" s="184" t="s">
        <v>2768</v>
      </c>
      <c r="D1026" s="184" t="s">
        <v>1695</v>
      </c>
      <c r="E1026" s="184"/>
      <c r="F1026" s="184" t="s">
        <v>2808</v>
      </c>
      <c r="G1026" s="184" t="s">
        <v>1532</v>
      </c>
      <c r="H1026" s="184" t="s">
        <v>2809</v>
      </c>
      <c r="I1026" s="184" t="s">
        <v>580</v>
      </c>
    </row>
    <row r="1027" spans="1:9">
      <c r="A1027" s="184" t="s">
        <v>1527</v>
      </c>
      <c r="B1027" s="184" t="s">
        <v>1556</v>
      </c>
      <c r="C1027" s="184" t="s">
        <v>2768</v>
      </c>
      <c r="D1027" s="184" t="s">
        <v>1695</v>
      </c>
      <c r="E1027" s="184"/>
      <c r="F1027" s="184" t="s">
        <v>1700</v>
      </c>
      <c r="G1027" s="184" t="s">
        <v>1532</v>
      </c>
      <c r="H1027" s="184"/>
      <c r="I1027" s="184"/>
    </row>
    <row r="1028" spans="1:9">
      <c r="A1028" s="184" t="s">
        <v>1527</v>
      </c>
      <c r="B1028" s="184" t="s">
        <v>1701</v>
      </c>
      <c r="C1028" s="184" t="s">
        <v>2810</v>
      </c>
      <c r="D1028" s="184" t="s">
        <v>1703</v>
      </c>
      <c r="E1028" s="184"/>
      <c r="F1028" s="184" t="s">
        <v>2811</v>
      </c>
      <c r="G1028" s="184" t="s">
        <v>1532</v>
      </c>
      <c r="H1028" s="184" t="s">
        <v>2812</v>
      </c>
      <c r="I1028" s="184" t="s">
        <v>1318</v>
      </c>
    </row>
    <row r="1029" spans="1:9">
      <c r="A1029" s="184" t="s">
        <v>1527</v>
      </c>
      <c r="B1029" s="184" t="s">
        <v>1701</v>
      </c>
      <c r="C1029" s="184" t="s">
        <v>2810</v>
      </c>
      <c r="D1029" s="184" t="s">
        <v>1703</v>
      </c>
      <c r="E1029" s="184"/>
      <c r="F1029" s="184" t="s">
        <v>2813</v>
      </c>
      <c r="G1029" s="184" t="s">
        <v>1532</v>
      </c>
      <c r="H1029" s="184" t="s">
        <v>2814</v>
      </c>
      <c r="I1029" s="184" t="s">
        <v>1320</v>
      </c>
    </row>
    <row r="1030" spans="1:9">
      <c r="A1030" s="184" t="s">
        <v>1527</v>
      </c>
      <c r="B1030" s="184" t="s">
        <v>1701</v>
      </c>
      <c r="C1030" s="184" t="s">
        <v>2810</v>
      </c>
      <c r="D1030" s="184" t="s">
        <v>1703</v>
      </c>
      <c r="E1030" s="184"/>
      <c r="F1030" s="184" t="s">
        <v>2815</v>
      </c>
      <c r="G1030" s="184" t="s">
        <v>1532</v>
      </c>
      <c r="H1030" s="184" t="s">
        <v>2816</v>
      </c>
      <c r="I1030" s="184" t="s">
        <v>1322</v>
      </c>
    </row>
    <row r="1031" spans="1:9">
      <c r="A1031" s="184" t="s">
        <v>1527</v>
      </c>
      <c r="B1031" s="184" t="s">
        <v>1701</v>
      </c>
      <c r="C1031" s="184" t="s">
        <v>2810</v>
      </c>
      <c r="D1031" s="184" t="s">
        <v>1703</v>
      </c>
      <c r="E1031" s="184"/>
      <c r="F1031" s="184" t="s">
        <v>2817</v>
      </c>
      <c r="G1031" s="184" t="s">
        <v>1532</v>
      </c>
      <c r="H1031" s="184" t="s">
        <v>2818</v>
      </c>
      <c r="I1031" s="184" t="s">
        <v>349</v>
      </c>
    </row>
    <row r="1032" spans="1:9">
      <c r="A1032" s="184" t="s">
        <v>1527</v>
      </c>
      <c r="B1032" s="184" t="s">
        <v>1701</v>
      </c>
      <c r="C1032" s="184" t="s">
        <v>2810</v>
      </c>
      <c r="D1032" s="184" t="s">
        <v>1703</v>
      </c>
      <c r="E1032" s="184"/>
      <c r="F1032" s="184" t="s">
        <v>2819</v>
      </c>
      <c r="G1032" s="184" t="s">
        <v>1532</v>
      </c>
      <c r="H1032" s="184" t="s">
        <v>2820</v>
      </c>
      <c r="I1032" s="184" t="s">
        <v>352</v>
      </c>
    </row>
    <row r="1033" spans="1:9">
      <c r="A1033" s="184" t="s">
        <v>1527</v>
      </c>
      <c r="B1033" s="184" t="s">
        <v>1701</v>
      </c>
      <c r="C1033" s="184" t="s">
        <v>2810</v>
      </c>
      <c r="D1033" s="184" t="s">
        <v>1703</v>
      </c>
      <c r="E1033" s="184"/>
      <c r="F1033" s="184" t="s">
        <v>2821</v>
      </c>
      <c r="G1033" s="184" t="s">
        <v>1532</v>
      </c>
      <c r="H1033" s="184" t="s">
        <v>2822</v>
      </c>
      <c r="I1033" s="184" t="s">
        <v>354</v>
      </c>
    </row>
    <row r="1034" spans="1:9">
      <c r="A1034" s="184" t="s">
        <v>1527</v>
      </c>
      <c r="B1034" s="184" t="s">
        <v>1701</v>
      </c>
      <c r="C1034" s="184" t="s">
        <v>1833</v>
      </c>
      <c r="D1034" s="184" t="s">
        <v>1703</v>
      </c>
      <c r="E1034" s="184"/>
      <c r="F1034" s="184" t="s">
        <v>1700</v>
      </c>
      <c r="G1034" s="184" t="s">
        <v>1532</v>
      </c>
      <c r="H1034" s="184"/>
      <c r="I1034" s="184"/>
    </row>
    <row r="1035" spans="1:9">
      <c r="A1035" s="184" t="s">
        <v>1527</v>
      </c>
      <c r="B1035" s="184" t="s">
        <v>1701</v>
      </c>
      <c r="C1035" s="184" t="s">
        <v>2810</v>
      </c>
      <c r="D1035" s="184" t="s">
        <v>1703</v>
      </c>
      <c r="E1035" s="184"/>
      <c r="F1035" s="184" t="s">
        <v>1700</v>
      </c>
      <c r="G1035" s="184" t="s">
        <v>1532</v>
      </c>
      <c r="H1035" s="184"/>
      <c r="I1035" s="184"/>
    </row>
    <row r="1036" spans="1:9">
      <c r="A1036" s="184" t="s">
        <v>1527</v>
      </c>
      <c r="B1036" s="184" t="s">
        <v>1701</v>
      </c>
      <c r="C1036" s="184" t="s">
        <v>2810</v>
      </c>
      <c r="D1036" s="184" t="s">
        <v>1703</v>
      </c>
      <c r="E1036" s="184"/>
      <c r="F1036" s="184" t="s">
        <v>1700</v>
      </c>
      <c r="G1036" s="184" t="s">
        <v>1532</v>
      </c>
      <c r="H1036" s="184"/>
      <c r="I1036" s="184"/>
    </row>
    <row r="1037" spans="1:9">
      <c r="A1037" s="184" t="s">
        <v>1527</v>
      </c>
      <c r="B1037" s="184" t="s">
        <v>1701</v>
      </c>
      <c r="C1037" s="184" t="s">
        <v>2810</v>
      </c>
      <c r="D1037" s="184" t="s">
        <v>1703</v>
      </c>
      <c r="E1037" s="184"/>
      <c r="F1037" s="184" t="s">
        <v>1700</v>
      </c>
      <c r="G1037" s="184" t="s">
        <v>1532</v>
      </c>
      <c r="H1037" s="184"/>
      <c r="I1037" s="184"/>
    </row>
    <row r="1038" spans="1:9">
      <c r="A1038" s="184" t="s">
        <v>1527</v>
      </c>
      <c r="B1038" s="184" t="s">
        <v>1701</v>
      </c>
      <c r="C1038" s="184" t="s">
        <v>2810</v>
      </c>
      <c r="D1038" s="184" t="s">
        <v>1703</v>
      </c>
      <c r="E1038" s="184"/>
      <c r="F1038" s="184" t="s">
        <v>1700</v>
      </c>
      <c r="G1038" s="184" t="s">
        <v>1532</v>
      </c>
      <c r="H1038" s="184"/>
      <c r="I1038" s="184"/>
    </row>
    <row r="1039" spans="1:9">
      <c r="A1039" s="184" t="s">
        <v>1527</v>
      </c>
      <c r="B1039" s="184" t="s">
        <v>1701</v>
      </c>
      <c r="C1039" s="184" t="s">
        <v>2810</v>
      </c>
      <c r="D1039" s="184" t="s">
        <v>1703</v>
      </c>
      <c r="E1039" s="184"/>
      <c r="F1039" s="184" t="s">
        <v>1700</v>
      </c>
      <c r="G1039" s="184" t="s">
        <v>1532</v>
      </c>
      <c r="H1039" s="184"/>
      <c r="I1039" s="184"/>
    </row>
    <row r="1040" spans="1:9">
      <c r="A1040" s="184" t="s">
        <v>1527</v>
      </c>
      <c r="B1040" s="184" t="s">
        <v>1701</v>
      </c>
      <c r="C1040" s="184" t="s">
        <v>2810</v>
      </c>
      <c r="D1040" s="184" t="s">
        <v>1703</v>
      </c>
      <c r="E1040" s="184"/>
      <c r="F1040" s="184" t="s">
        <v>1700</v>
      </c>
      <c r="G1040" s="184" t="s">
        <v>1532</v>
      </c>
      <c r="H1040" s="184"/>
      <c r="I1040" s="184"/>
    </row>
    <row r="1041" spans="1:9">
      <c r="A1041" s="184" t="s">
        <v>1527</v>
      </c>
      <c r="B1041" s="184" t="s">
        <v>1701</v>
      </c>
      <c r="C1041" s="184" t="s">
        <v>2810</v>
      </c>
      <c r="D1041" s="184" t="s">
        <v>1703</v>
      </c>
      <c r="E1041" s="184"/>
      <c r="F1041" s="184" t="s">
        <v>1700</v>
      </c>
      <c r="G1041" s="184" t="s">
        <v>1532</v>
      </c>
      <c r="H1041" s="184"/>
      <c r="I1041" s="184"/>
    </row>
    <row r="1042" spans="1:9">
      <c r="A1042" s="184" t="s">
        <v>1527</v>
      </c>
      <c r="B1042" s="184" t="s">
        <v>1701</v>
      </c>
      <c r="C1042" s="184" t="s">
        <v>2810</v>
      </c>
      <c r="D1042" s="184" t="s">
        <v>1703</v>
      </c>
      <c r="E1042" s="184"/>
      <c r="F1042" s="184" t="s">
        <v>1700</v>
      </c>
      <c r="G1042" s="184" t="s">
        <v>1532</v>
      </c>
      <c r="H1042" s="184"/>
      <c r="I1042" s="184"/>
    </row>
    <row r="1043" spans="1:9">
      <c r="A1043" s="184" t="s">
        <v>1527</v>
      </c>
      <c r="B1043" s="184" t="s">
        <v>1701</v>
      </c>
      <c r="C1043" s="184" t="s">
        <v>2810</v>
      </c>
      <c r="D1043" s="184" t="s">
        <v>1703</v>
      </c>
      <c r="E1043" s="184"/>
      <c r="F1043" s="184" t="s">
        <v>1700</v>
      </c>
      <c r="G1043" s="184" t="s">
        <v>1532</v>
      </c>
      <c r="H1043" s="184"/>
      <c r="I1043" s="184"/>
    </row>
    <row r="1044" spans="1:9">
      <c r="A1044" s="184" t="s">
        <v>1527</v>
      </c>
      <c r="B1044" s="184" t="s">
        <v>1693</v>
      </c>
      <c r="C1044" s="184" t="s">
        <v>2773</v>
      </c>
      <c r="D1044" s="184" t="s">
        <v>1695</v>
      </c>
      <c r="E1044" s="184"/>
      <c r="F1044" s="184" t="s">
        <v>2823</v>
      </c>
      <c r="G1044" s="184" t="s">
        <v>1532</v>
      </c>
      <c r="H1044" s="184" t="s">
        <v>2824</v>
      </c>
      <c r="I1044" s="184" t="s">
        <v>1296</v>
      </c>
    </row>
    <row r="1045" spans="1:9">
      <c r="A1045" s="184" t="s">
        <v>1527</v>
      </c>
      <c r="B1045" s="184" t="s">
        <v>1693</v>
      </c>
      <c r="C1045" s="184" t="s">
        <v>2773</v>
      </c>
      <c r="D1045" s="184" t="s">
        <v>1695</v>
      </c>
      <c r="E1045" s="184"/>
      <c r="F1045" s="184" t="s">
        <v>2825</v>
      </c>
      <c r="G1045" s="184" t="s">
        <v>1532</v>
      </c>
      <c r="H1045" s="184" t="s">
        <v>2826</v>
      </c>
      <c r="I1045" s="184" t="s">
        <v>1298</v>
      </c>
    </row>
    <row r="1046" spans="1:9">
      <c r="A1046" s="184" t="s">
        <v>1527</v>
      </c>
      <c r="B1046" s="184" t="s">
        <v>1693</v>
      </c>
      <c r="C1046" s="184" t="s">
        <v>2773</v>
      </c>
      <c r="D1046" s="184" t="s">
        <v>1695</v>
      </c>
      <c r="E1046" s="184"/>
      <c r="F1046" s="184" t="s">
        <v>2827</v>
      </c>
      <c r="G1046" s="184" t="s">
        <v>1532</v>
      </c>
      <c r="H1046" s="184" t="s">
        <v>2828</v>
      </c>
      <c r="I1046" s="184" t="s">
        <v>1300</v>
      </c>
    </row>
    <row r="1047" spans="1:9">
      <c r="A1047" s="184" t="s">
        <v>1527</v>
      </c>
      <c r="B1047" s="184" t="s">
        <v>1693</v>
      </c>
      <c r="C1047" s="184" t="s">
        <v>2773</v>
      </c>
      <c r="D1047" s="184" t="s">
        <v>1695</v>
      </c>
      <c r="E1047" s="184"/>
      <c r="F1047" s="184" t="s">
        <v>2829</v>
      </c>
      <c r="G1047" s="184" t="s">
        <v>1532</v>
      </c>
      <c r="H1047" s="184" t="s">
        <v>2830</v>
      </c>
      <c r="I1047" s="184" t="s">
        <v>1302</v>
      </c>
    </row>
    <row r="1048" spans="1:9">
      <c r="A1048" s="184" t="s">
        <v>1527</v>
      </c>
      <c r="B1048" s="184" t="s">
        <v>1693</v>
      </c>
      <c r="C1048" s="184" t="s">
        <v>2773</v>
      </c>
      <c r="D1048" s="184" t="s">
        <v>1695</v>
      </c>
      <c r="E1048" s="184"/>
      <c r="F1048" s="184" t="s">
        <v>2831</v>
      </c>
      <c r="G1048" s="184" t="s">
        <v>1532</v>
      </c>
      <c r="H1048" s="184" t="s">
        <v>2832</v>
      </c>
      <c r="I1048" s="184" t="s">
        <v>1304</v>
      </c>
    </row>
    <row r="1049" spans="1:9">
      <c r="A1049" s="184" t="s">
        <v>1527</v>
      </c>
      <c r="B1049" s="184" t="s">
        <v>1693</v>
      </c>
      <c r="C1049" s="184" t="s">
        <v>2773</v>
      </c>
      <c r="D1049" s="184" t="s">
        <v>1695</v>
      </c>
      <c r="E1049" s="184"/>
      <c r="F1049" s="184" t="s">
        <v>2833</v>
      </c>
      <c r="G1049" s="184" t="s">
        <v>1532</v>
      </c>
      <c r="H1049" s="184" t="s">
        <v>2834</v>
      </c>
      <c r="I1049" s="184" t="s">
        <v>1306</v>
      </c>
    </row>
    <row r="1050" spans="1:9">
      <c r="A1050" s="184" t="s">
        <v>1527</v>
      </c>
      <c r="B1050" s="184" t="s">
        <v>1693</v>
      </c>
      <c r="C1050" s="184" t="s">
        <v>2773</v>
      </c>
      <c r="D1050" s="184" t="s">
        <v>1695</v>
      </c>
      <c r="E1050" s="184"/>
      <c r="F1050" s="184" t="s">
        <v>2835</v>
      </c>
      <c r="G1050" s="184" t="s">
        <v>1532</v>
      </c>
      <c r="H1050" s="184" t="s">
        <v>2836</v>
      </c>
      <c r="I1050" s="184" t="s">
        <v>1308</v>
      </c>
    </row>
    <row r="1051" spans="1:9">
      <c r="A1051" s="184" t="s">
        <v>1527</v>
      </c>
      <c r="B1051" s="184" t="s">
        <v>1693</v>
      </c>
      <c r="C1051" s="184" t="s">
        <v>2773</v>
      </c>
      <c r="D1051" s="184" t="s">
        <v>1695</v>
      </c>
      <c r="E1051" s="184"/>
      <c r="F1051" s="184" t="s">
        <v>2837</v>
      </c>
      <c r="G1051" s="184" t="s">
        <v>1532</v>
      </c>
      <c r="H1051" s="184" t="s">
        <v>2838</v>
      </c>
      <c r="I1051" s="184" t="s">
        <v>1310</v>
      </c>
    </row>
    <row r="1052" spans="1:9">
      <c r="A1052" s="184" t="s">
        <v>1527</v>
      </c>
      <c r="B1052" s="184" t="s">
        <v>1693</v>
      </c>
      <c r="C1052" s="184" t="s">
        <v>2773</v>
      </c>
      <c r="D1052" s="184" t="s">
        <v>1695</v>
      </c>
      <c r="E1052" s="184"/>
      <c r="F1052" s="184" t="s">
        <v>2839</v>
      </c>
      <c r="G1052" s="184" t="s">
        <v>1532</v>
      </c>
      <c r="H1052" s="184" t="s">
        <v>2840</v>
      </c>
      <c r="I1052" s="184" t="s">
        <v>1312</v>
      </c>
    </row>
    <row r="1053" spans="1:9">
      <c r="A1053" s="184" t="s">
        <v>1527</v>
      </c>
      <c r="B1053" s="184" t="s">
        <v>1693</v>
      </c>
      <c r="C1053" s="184" t="s">
        <v>2768</v>
      </c>
      <c r="D1053" s="184" t="s">
        <v>1695</v>
      </c>
      <c r="E1053" s="184"/>
      <c r="F1053" s="184" t="s">
        <v>2841</v>
      </c>
      <c r="G1053" s="184" t="s">
        <v>1532</v>
      </c>
      <c r="H1053" s="184" t="s">
        <v>2842</v>
      </c>
      <c r="I1053" s="184" t="s">
        <v>488</v>
      </c>
    </row>
    <row r="1054" spans="1:9">
      <c r="A1054" s="184" t="s">
        <v>1527</v>
      </c>
      <c r="B1054" s="184" t="s">
        <v>1693</v>
      </c>
      <c r="C1054" s="184" t="s">
        <v>2768</v>
      </c>
      <c r="D1054" s="184" t="s">
        <v>1695</v>
      </c>
      <c r="E1054" s="184"/>
      <c r="F1054" s="184" t="s">
        <v>2843</v>
      </c>
      <c r="G1054" s="184" t="s">
        <v>1532</v>
      </c>
      <c r="H1054" s="184" t="s">
        <v>2844</v>
      </c>
      <c r="I1054" s="184" t="s">
        <v>491</v>
      </c>
    </row>
    <row r="1055" spans="1:9">
      <c r="A1055" s="184" t="s">
        <v>1527</v>
      </c>
      <c r="B1055" s="184" t="s">
        <v>1693</v>
      </c>
      <c r="C1055" s="184" t="s">
        <v>2773</v>
      </c>
      <c r="D1055" s="184" t="s">
        <v>1695</v>
      </c>
      <c r="E1055" s="184"/>
      <c r="F1055" s="184" t="s">
        <v>2845</v>
      </c>
      <c r="G1055" s="184" t="s">
        <v>1532</v>
      </c>
      <c r="H1055" s="184" t="s">
        <v>2846</v>
      </c>
      <c r="I1055" s="184" t="s">
        <v>1316</v>
      </c>
    </row>
    <row r="1056" spans="1:9">
      <c r="A1056" s="184" t="s">
        <v>1527</v>
      </c>
      <c r="B1056" s="184" t="s">
        <v>1693</v>
      </c>
      <c r="C1056" s="184"/>
      <c r="D1056" s="184"/>
      <c r="E1056" s="184"/>
      <c r="F1056" s="184" t="s">
        <v>1700</v>
      </c>
      <c r="G1056" s="184" t="s">
        <v>1532</v>
      </c>
      <c r="H1056" s="184"/>
      <c r="I1056" s="184"/>
    </row>
    <row r="1057" spans="1:9">
      <c r="A1057" s="184" t="s">
        <v>1527</v>
      </c>
      <c r="B1057" s="184" t="s">
        <v>1693</v>
      </c>
      <c r="C1057" s="184"/>
      <c r="D1057" s="184"/>
      <c r="E1057" s="184"/>
      <c r="F1057" s="184" t="s">
        <v>1700</v>
      </c>
      <c r="G1057" s="184" t="s">
        <v>1532</v>
      </c>
      <c r="H1057" s="184"/>
      <c r="I1057" s="184"/>
    </row>
    <row r="1058" spans="1:9">
      <c r="A1058" s="184" t="s">
        <v>1527</v>
      </c>
      <c r="B1058" s="184" t="s">
        <v>1693</v>
      </c>
      <c r="C1058" s="184" t="s">
        <v>2773</v>
      </c>
      <c r="D1058" s="184" t="s">
        <v>1695</v>
      </c>
      <c r="E1058" s="184"/>
      <c r="F1058" s="184" t="s">
        <v>1700</v>
      </c>
      <c r="G1058" s="184" t="s">
        <v>1532</v>
      </c>
      <c r="H1058" s="184"/>
      <c r="I1058" s="184"/>
    </row>
    <row r="1059" spans="1:9">
      <c r="A1059" s="184" t="s">
        <v>1527</v>
      </c>
      <c r="B1059" s="184" t="s">
        <v>1693</v>
      </c>
      <c r="C1059" s="184" t="s">
        <v>2773</v>
      </c>
      <c r="D1059" s="184" t="s">
        <v>1695</v>
      </c>
      <c r="E1059" s="184"/>
      <c r="F1059" s="184" t="s">
        <v>1700</v>
      </c>
      <c r="G1059" s="184" t="s">
        <v>1532</v>
      </c>
      <c r="H1059" s="184"/>
      <c r="I1059" s="184"/>
    </row>
    <row r="1060" spans="1:9">
      <c r="A1060" s="184" t="s">
        <v>1527</v>
      </c>
      <c r="B1060" s="184" t="s">
        <v>1556</v>
      </c>
      <c r="C1060" s="184" t="s">
        <v>2768</v>
      </c>
      <c r="D1060" s="184" t="s">
        <v>1695</v>
      </c>
      <c r="E1060" s="184"/>
      <c r="F1060" s="184" t="s">
        <v>2847</v>
      </c>
      <c r="G1060" s="184" t="s">
        <v>1532</v>
      </c>
      <c r="H1060" s="184" t="s">
        <v>2848</v>
      </c>
      <c r="I1060" s="184" t="s">
        <v>2849</v>
      </c>
    </row>
    <row r="1061" spans="1:9">
      <c r="A1061" s="184" t="s">
        <v>1527</v>
      </c>
      <c r="B1061" s="184" t="s">
        <v>1556</v>
      </c>
      <c r="C1061" s="184" t="s">
        <v>2768</v>
      </c>
      <c r="D1061" s="184" t="s">
        <v>1695</v>
      </c>
      <c r="E1061" s="184"/>
      <c r="F1061" s="184" t="s">
        <v>2850</v>
      </c>
      <c r="G1061" s="184" t="s">
        <v>1532</v>
      </c>
      <c r="H1061" s="184" t="s">
        <v>2851</v>
      </c>
      <c r="I1061" s="184" t="s">
        <v>1329</v>
      </c>
    </row>
    <row r="1062" spans="1:9">
      <c r="A1062" s="184" t="s">
        <v>1527</v>
      </c>
      <c r="B1062" s="184" t="s">
        <v>1556</v>
      </c>
      <c r="C1062" s="184" t="s">
        <v>2768</v>
      </c>
      <c r="D1062" s="184" t="s">
        <v>1695</v>
      </c>
      <c r="E1062" s="184"/>
      <c r="F1062" s="184" t="s">
        <v>2852</v>
      </c>
      <c r="G1062" s="184" t="s">
        <v>1532</v>
      </c>
      <c r="H1062" s="184" t="s">
        <v>2853</v>
      </c>
      <c r="I1062" s="184" t="s">
        <v>1331</v>
      </c>
    </row>
    <row r="1063" spans="1:9">
      <c r="A1063" s="184" t="s">
        <v>1527</v>
      </c>
      <c r="B1063" s="184" t="s">
        <v>1556</v>
      </c>
      <c r="C1063" s="184" t="s">
        <v>2768</v>
      </c>
      <c r="D1063" s="184" t="s">
        <v>1695</v>
      </c>
      <c r="E1063" s="184"/>
      <c r="F1063" s="184" t="s">
        <v>2854</v>
      </c>
      <c r="G1063" s="184" t="s">
        <v>1532</v>
      </c>
      <c r="H1063" s="184" t="s">
        <v>2855</v>
      </c>
      <c r="I1063" s="184" t="s">
        <v>1333</v>
      </c>
    </row>
    <row r="1064" spans="1:9">
      <c r="A1064" s="184" t="s">
        <v>1527</v>
      </c>
      <c r="B1064" s="184" t="s">
        <v>1556</v>
      </c>
      <c r="C1064" s="184" t="s">
        <v>2768</v>
      </c>
      <c r="D1064" s="184" t="s">
        <v>1695</v>
      </c>
      <c r="E1064" s="184"/>
      <c r="F1064" s="184" t="s">
        <v>2856</v>
      </c>
      <c r="G1064" s="184" t="s">
        <v>1532</v>
      </c>
      <c r="H1064" s="184" t="s">
        <v>2857</v>
      </c>
      <c r="I1064" s="184" t="s">
        <v>2858</v>
      </c>
    </row>
    <row r="1065" spans="1:9">
      <c r="A1065" s="184" t="s">
        <v>1527</v>
      </c>
      <c r="B1065" s="184" t="s">
        <v>1556</v>
      </c>
      <c r="C1065" s="184" t="s">
        <v>2768</v>
      </c>
      <c r="D1065" s="184" t="s">
        <v>1695</v>
      </c>
      <c r="E1065" s="184"/>
      <c r="F1065" s="184" t="s">
        <v>2859</v>
      </c>
      <c r="G1065" s="184" t="s">
        <v>1532</v>
      </c>
      <c r="H1065" s="184" t="s">
        <v>2860</v>
      </c>
      <c r="I1065" s="184" t="s">
        <v>2861</v>
      </c>
    </row>
    <row r="1066" spans="1:9">
      <c r="A1066" s="184" t="s">
        <v>1527</v>
      </c>
      <c r="B1066" s="184" t="s">
        <v>1556</v>
      </c>
      <c r="C1066" s="184" t="s">
        <v>2768</v>
      </c>
      <c r="D1066" s="184" t="s">
        <v>1695</v>
      </c>
      <c r="E1066" s="184"/>
      <c r="F1066" s="184" t="s">
        <v>2862</v>
      </c>
      <c r="G1066" s="184" t="s">
        <v>1532</v>
      </c>
      <c r="H1066" s="184" t="s">
        <v>2863</v>
      </c>
      <c r="I1066" s="184" t="s">
        <v>2767</v>
      </c>
    </row>
    <row r="1067" spans="1:9">
      <c r="A1067" s="184" t="s">
        <v>1527</v>
      </c>
      <c r="B1067" s="184" t="s">
        <v>1556</v>
      </c>
      <c r="C1067" s="184" t="s">
        <v>2773</v>
      </c>
      <c r="D1067" s="184" t="s">
        <v>1695</v>
      </c>
      <c r="E1067" s="184"/>
      <c r="F1067" s="184" t="s">
        <v>2864</v>
      </c>
      <c r="G1067" s="184" t="s">
        <v>1532</v>
      </c>
      <c r="H1067" s="184" t="s">
        <v>2865</v>
      </c>
      <c r="I1067" s="184" t="s">
        <v>380</v>
      </c>
    </row>
    <row r="1068" spans="1:9">
      <c r="A1068" s="184" t="s">
        <v>1527</v>
      </c>
      <c r="B1068" s="184" t="s">
        <v>1556</v>
      </c>
      <c r="C1068" s="184" t="s">
        <v>2768</v>
      </c>
      <c r="D1068" s="184" t="s">
        <v>1695</v>
      </c>
      <c r="E1068" s="184"/>
      <c r="F1068" s="184" t="s">
        <v>2866</v>
      </c>
      <c r="G1068" s="184" t="s">
        <v>1532</v>
      </c>
      <c r="H1068" s="184" t="s">
        <v>2867</v>
      </c>
      <c r="I1068" s="184" t="s">
        <v>2868</v>
      </c>
    </row>
    <row r="1069" spans="1:9">
      <c r="A1069" s="184" t="s">
        <v>1527</v>
      </c>
      <c r="B1069" s="184" t="s">
        <v>1556</v>
      </c>
      <c r="C1069" s="184" t="s">
        <v>2768</v>
      </c>
      <c r="D1069" s="184" t="s">
        <v>1695</v>
      </c>
      <c r="E1069" s="184"/>
      <c r="F1069" s="184" t="s">
        <v>2869</v>
      </c>
      <c r="G1069" s="184" t="s">
        <v>1532</v>
      </c>
      <c r="H1069" s="184" t="s">
        <v>2870</v>
      </c>
      <c r="I1069" s="184" t="s">
        <v>2871</v>
      </c>
    </row>
    <row r="1070" spans="1:9">
      <c r="A1070" s="184" t="s">
        <v>1527</v>
      </c>
      <c r="B1070" s="184" t="s">
        <v>1556</v>
      </c>
      <c r="C1070" s="184" t="s">
        <v>2768</v>
      </c>
      <c r="D1070" s="184" t="s">
        <v>1695</v>
      </c>
      <c r="E1070" s="184"/>
      <c r="F1070" s="184" t="s">
        <v>2872</v>
      </c>
      <c r="G1070" s="184" t="s">
        <v>1532</v>
      </c>
      <c r="H1070" s="184" t="s">
        <v>2873</v>
      </c>
      <c r="I1070" s="184" t="s">
        <v>2874</v>
      </c>
    </row>
    <row r="1071" spans="1:9">
      <c r="A1071" s="184" t="s">
        <v>1527</v>
      </c>
      <c r="B1071" s="184" t="s">
        <v>1556</v>
      </c>
      <c r="C1071" s="184" t="s">
        <v>2773</v>
      </c>
      <c r="D1071" s="184" t="s">
        <v>1695</v>
      </c>
      <c r="E1071" s="184"/>
      <c r="F1071" s="184" t="s">
        <v>1700</v>
      </c>
      <c r="G1071" s="184" t="s">
        <v>1532</v>
      </c>
      <c r="H1071" s="184"/>
      <c r="I1071" s="184"/>
    </row>
    <row r="1072" spans="1:9">
      <c r="A1072" s="184" t="s">
        <v>1527</v>
      </c>
      <c r="B1072" s="184" t="s">
        <v>1556</v>
      </c>
      <c r="C1072" s="184" t="s">
        <v>2773</v>
      </c>
      <c r="D1072" s="184" t="s">
        <v>1695</v>
      </c>
      <c r="E1072" s="184"/>
      <c r="F1072" s="184" t="s">
        <v>1700</v>
      </c>
      <c r="G1072" s="184" t="s">
        <v>1532</v>
      </c>
      <c r="H1072" s="184"/>
      <c r="I1072" s="184"/>
    </row>
    <row r="1073" spans="1:9">
      <c r="A1073" s="184" t="s">
        <v>1527</v>
      </c>
      <c r="B1073" s="184" t="s">
        <v>1556</v>
      </c>
      <c r="C1073" s="184" t="s">
        <v>2773</v>
      </c>
      <c r="D1073" s="184" t="s">
        <v>1695</v>
      </c>
      <c r="E1073" s="184"/>
      <c r="F1073" s="184" t="s">
        <v>1700</v>
      </c>
      <c r="G1073" s="184" t="s">
        <v>1532</v>
      </c>
      <c r="H1073" s="184"/>
      <c r="I1073" s="184"/>
    </row>
    <row r="1074" spans="1:9">
      <c r="A1074" s="184" t="s">
        <v>1527</v>
      </c>
      <c r="B1074" s="184" t="s">
        <v>1556</v>
      </c>
      <c r="C1074" s="184" t="s">
        <v>2773</v>
      </c>
      <c r="D1074" s="184" t="s">
        <v>1695</v>
      </c>
      <c r="E1074" s="184"/>
      <c r="F1074" s="184" t="s">
        <v>1700</v>
      </c>
      <c r="G1074" s="184" t="s">
        <v>1532</v>
      </c>
      <c r="H1074" s="184"/>
      <c r="I1074" s="184"/>
    </row>
    <row r="1075" spans="1:9">
      <c r="A1075" s="184" t="s">
        <v>1527</v>
      </c>
      <c r="B1075" s="184" t="s">
        <v>1556</v>
      </c>
      <c r="C1075" s="184" t="s">
        <v>1591</v>
      </c>
      <c r="D1075" s="184" t="s">
        <v>1558</v>
      </c>
      <c r="E1075" s="184"/>
      <c r="F1075" s="184" t="s">
        <v>2875</v>
      </c>
      <c r="G1075" s="184" t="s">
        <v>1532</v>
      </c>
      <c r="H1075" s="184" t="s">
        <v>2876</v>
      </c>
      <c r="I1075" s="184"/>
    </row>
    <row r="1076" spans="1:9">
      <c r="A1076" s="184" t="s">
        <v>1527</v>
      </c>
      <c r="B1076" s="184" t="s">
        <v>1556</v>
      </c>
      <c r="C1076" s="184" t="s">
        <v>1591</v>
      </c>
      <c r="D1076" s="184" t="s">
        <v>1558</v>
      </c>
      <c r="E1076" s="184"/>
      <c r="F1076" s="184" t="s">
        <v>1700</v>
      </c>
      <c r="G1076" s="184" t="s">
        <v>1532</v>
      </c>
      <c r="H1076" s="184"/>
      <c r="I1076" s="184"/>
    </row>
    <row r="1077" spans="1:9">
      <c r="A1077" s="184" t="s">
        <v>1527</v>
      </c>
      <c r="B1077" s="184" t="s">
        <v>1556</v>
      </c>
      <c r="C1077" s="184"/>
      <c r="D1077" s="184"/>
      <c r="E1077" s="184"/>
      <c r="F1077" s="184" t="s">
        <v>1700</v>
      </c>
      <c r="G1077" s="184" t="s">
        <v>1532</v>
      </c>
      <c r="H1077" s="184"/>
      <c r="I1077" s="184"/>
    </row>
    <row r="1078" spans="1:9">
      <c r="A1078" s="184" t="s">
        <v>1527</v>
      </c>
      <c r="B1078" s="184" t="s">
        <v>1556</v>
      </c>
      <c r="C1078" s="184"/>
      <c r="D1078" s="184"/>
      <c r="E1078" s="184"/>
      <c r="F1078" s="184" t="s">
        <v>1700</v>
      </c>
      <c r="G1078" s="184" t="s">
        <v>1532</v>
      </c>
      <c r="H1078" s="184"/>
      <c r="I1078" s="184"/>
    </row>
    <row r="1079" spans="1:9">
      <c r="A1079" s="184" t="s">
        <v>1527</v>
      </c>
      <c r="B1079" s="184" t="s">
        <v>1556</v>
      </c>
      <c r="C1079" s="184"/>
      <c r="D1079" s="184"/>
      <c r="E1079" s="184"/>
      <c r="F1079" s="184" t="s">
        <v>1700</v>
      </c>
      <c r="G1079" s="184" t="s">
        <v>1532</v>
      </c>
      <c r="H1079" s="184"/>
      <c r="I1079" s="184"/>
    </row>
    <row r="1080" spans="1:9">
      <c r="A1080" s="184" t="s">
        <v>1527</v>
      </c>
      <c r="B1080" s="184" t="s">
        <v>1556</v>
      </c>
      <c r="C1080" s="184"/>
      <c r="D1080" s="184"/>
      <c r="E1080" s="184"/>
      <c r="F1080" s="184" t="s">
        <v>1700</v>
      </c>
      <c r="G1080" s="184" t="s">
        <v>1532</v>
      </c>
      <c r="H1080" s="184"/>
      <c r="I1080" s="184"/>
    </row>
    <row r="1081" spans="1:9">
      <c r="A1081" s="184" t="s">
        <v>1527</v>
      </c>
      <c r="B1081" s="184" t="s">
        <v>1556</v>
      </c>
      <c r="C1081" s="184" t="s">
        <v>2773</v>
      </c>
      <c r="D1081" s="184" t="s">
        <v>1695</v>
      </c>
      <c r="E1081" s="184"/>
      <c r="F1081" s="184" t="s">
        <v>2877</v>
      </c>
      <c r="G1081" s="184" t="s">
        <v>1532</v>
      </c>
      <c r="H1081" s="184" t="s">
        <v>2878</v>
      </c>
      <c r="I1081" s="184" t="s">
        <v>2722</v>
      </c>
    </row>
    <row r="1082" spans="1:9">
      <c r="A1082" s="184" t="s">
        <v>1527</v>
      </c>
      <c r="B1082" s="184" t="s">
        <v>1556</v>
      </c>
      <c r="C1082" s="184" t="s">
        <v>2773</v>
      </c>
      <c r="D1082" s="184" t="s">
        <v>1695</v>
      </c>
      <c r="E1082" s="184"/>
      <c r="F1082" s="184" t="s">
        <v>2879</v>
      </c>
      <c r="G1082" s="184" t="s">
        <v>1532</v>
      </c>
      <c r="H1082" s="184" t="s">
        <v>2880</v>
      </c>
      <c r="I1082" s="184" t="s">
        <v>576</v>
      </c>
    </row>
    <row r="1083" spans="1:9">
      <c r="A1083" s="184" t="s">
        <v>1527</v>
      </c>
      <c r="B1083" s="184" t="s">
        <v>1556</v>
      </c>
      <c r="C1083" s="184" t="s">
        <v>2773</v>
      </c>
      <c r="D1083" s="184" t="s">
        <v>1695</v>
      </c>
      <c r="E1083" s="184"/>
      <c r="F1083" s="184" t="s">
        <v>2881</v>
      </c>
      <c r="G1083" s="184" t="s">
        <v>1532</v>
      </c>
      <c r="H1083" s="184" t="s">
        <v>2882</v>
      </c>
      <c r="I1083" s="184" t="s">
        <v>574</v>
      </c>
    </row>
    <row r="1084" spans="1:9">
      <c r="A1084" s="184" t="s">
        <v>1527</v>
      </c>
      <c r="B1084" s="184" t="s">
        <v>1556</v>
      </c>
      <c r="C1084" s="184"/>
      <c r="D1084" s="184"/>
      <c r="E1084" s="184"/>
      <c r="F1084" s="184" t="s">
        <v>1700</v>
      </c>
      <c r="G1084" s="184" t="s">
        <v>1532</v>
      </c>
      <c r="H1084" s="184"/>
      <c r="I1084" s="184"/>
    </row>
    <row r="1085" spans="1:9">
      <c r="A1085" s="184" t="s">
        <v>1527</v>
      </c>
      <c r="B1085" s="184" t="s">
        <v>1556</v>
      </c>
      <c r="C1085" s="184" t="s">
        <v>2773</v>
      </c>
      <c r="D1085" s="184" t="s">
        <v>1695</v>
      </c>
      <c r="E1085" s="184"/>
      <c r="F1085" s="184" t="s">
        <v>1700</v>
      </c>
      <c r="G1085" s="184" t="s">
        <v>1532</v>
      </c>
      <c r="H1085" s="184"/>
      <c r="I1085" s="184"/>
    </row>
    <row r="1086" spans="1:9">
      <c r="A1086" s="184" t="s">
        <v>1527</v>
      </c>
      <c r="B1086" s="184" t="s">
        <v>1556</v>
      </c>
      <c r="C1086" s="184" t="s">
        <v>2773</v>
      </c>
      <c r="D1086" s="184" t="s">
        <v>1695</v>
      </c>
      <c r="E1086" s="184"/>
      <c r="F1086" s="184" t="s">
        <v>1700</v>
      </c>
      <c r="G1086" s="184" t="s">
        <v>1532</v>
      </c>
      <c r="H1086" s="184"/>
      <c r="I1086" s="184"/>
    </row>
    <row r="1087" spans="1:9">
      <c r="A1087" s="184" t="s">
        <v>1527</v>
      </c>
      <c r="B1087" s="184" t="s">
        <v>1556</v>
      </c>
      <c r="C1087" s="184" t="s">
        <v>2773</v>
      </c>
      <c r="D1087" s="184" t="s">
        <v>1695</v>
      </c>
      <c r="E1087" s="184"/>
      <c r="F1087" s="184" t="s">
        <v>1700</v>
      </c>
      <c r="G1087" s="184" t="s">
        <v>1532</v>
      </c>
      <c r="H1087" s="184"/>
      <c r="I1087" s="184"/>
    </row>
    <row r="1088" spans="1:9">
      <c r="A1088" s="184" t="s">
        <v>1527</v>
      </c>
      <c r="B1088" s="184" t="s">
        <v>1556</v>
      </c>
      <c r="C1088" s="184" t="s">
        <v>2773</v>
      </c>
      <c r="D1088" s="184" t="s">
        <v>1695</v>
      </c>
      <c r="E1088" s="184"/>
      <c r="F1088" s="184" t="s">
        <v>1700</v>
      </c>
      <c r="G1088" s="184" t="s">
        <v>1532</v>
      </c>
      <c r="H1088" s="184"/>
      <c r="I1088" s="184"/>
    </row>
    <row r="1089" spans="1:10">
      <c r="A1089" s="184" t="s">
        <v>1527</v>
      </c>
      <c r="B1089" s="184" t="s">
        <v>1556</v>
      </c>
      <c r="C1089" s="184" t="s">
        <v>2773</v>
      </c>
      <c r="D1089" s="184" t="s">
        <v>1695</v>
      </c>
      <c r="E1089" s="184"/>
      <c r="F1089" s="184" t="s">
        <v>2883</v>
      </c>
      <c r="G1089" s="184" t="s">
        <v>1532</v>
      </c>
      <c r="H1089" s="184" t="s">
        <v>2884</v>
      </c>
      <c r="I1089" s="184" t="s">
        <v>1351</v>
      </c>
      <c r="J1089" s="184"/>
    </row>
    <row r="1090" spans="1:10">
      <c r="A1090" s="184" t="s">
        <v>1527</v>
      </c>
      <c r="B1090" s="184" t="s">
        <v>1556</v>
      </c>
      <c r="C1090" s="184" t="s">
        <v>2773</v>
      </c>
      <c r="D1090" s="184" t="s">
        <v>1695</v>
      </c>
      <c r="E1090" s="184"/>
      <c r="F1090" s="184" t="s">
        <v>2885</v>
      </c>
      <c r="G1090" s="184" t="s">
        <v>1532</v>
      </c>
      <c r="H1090" s="184" t="s">
        <v>2886</v>
      </c>
      <c r="I1090" s="184" t="s">
        <v>450</v>
      </c>
      <c r="J1090" s="184"/>
    </row>
    <row r="1091" spans="1:10">
      <c r="A1091" s="184" t="s">
        <v>1527</v>
      </c>
      <c r="B1091" s="184" t="s">
        <v>1556</v>
      </c>
      <c r="C1091" s="184" t="s">
        <v>2773</v>
      </c>
      <c r="D1091" s="184" t="s">
        <v>1695</v>
      </c>
      <c r="E1091" s="184"/>
      <c r="F1091" s="184" t="s">
        <v>2887</v>
      </c>
      <c r="G1091" s="184" t="s">
        <v>1532</v>
      </c>
      <c r="H1091" s="184" t="s">
        <v>2888</v>
      </c>
      <c r="I1091" s="184" t="s">
        <v>452</v>
      </c>
      <c r="J1091" s="184"/>
    </row>
    <row r="1092" spans="1:10">
      <c r="A1092" s="184" t="s">
        <v>1527</v>
      </c>
      <c r="B1092" s="184" t="s">
        <v>1556</v>
      </c>
      <c r="C1092" s="184" t="s">
        <v>2773</v>
      </c>
      <c r="D1092" s="184" t="s">
        <v>1695</v>
      </c>
      <c r="E1092" s="184"/>
      <c r="F1092" s="184" t="s">
        <v>2889</v>
      </c>
      <c r="G1092" s="184" t="s">
        <v>1532</v>
      </c>
      <c r="H1092" s="184" t="s">
        <v>2890</v>
      </c>
      <c r="I1092" s="184" t="s">
        <v>463</v>
      </c>
      <c r="J1092" s="184" t="s">
        <v>465</v>
      </c>
    </row>
    <row r="1093" spans="1:10">
      <c r="A1093" s="184" t="s">
        <v>1527</v>
      </c>
      <c r="B1093" s="184" t="s">
        <v>1556</v>
      </c>
      <c r="C1093" s="184" t="s">
        <v>2768</v>
      </c>
      <c r="D1093" s="184" t="s">
        <v>1695</v>
      </c>
      <c r="E1093" s="184"/>
      <c r="F1093" s="184" t="s">
        <v>2891</v>
      </c>
      <c r="G1093" s="184" t="s">
        <v>1532</v>
      </c>
      <c r="H1093" s="184" t="s">
        <v>2892</v>
      </c>
      <c r="I1093" s="184" t="s">
        <v>578</v>
      </c>
      <c r="J1093" s="184"/>
    </row>
    <row r="1094" spans="1:10">
      <c r="A1094" s="184" t="s">
        <v>1527</v>
      </c>
      <c r="B1094" s="184" t="s">
        <v>1693</v>
      </c>
      <c r="C1094" s="184" t="s">
        <v>1895</v>
      </c>
      <c r="D1094" s="184" t="s">
        <v>1730</v>
      </c>
      <c r="E1094" s="184"/>
      <c r="F1094" s="184" t="s">
        <v>1700</v>
      </c>
      <c r="G1094" s="184" t="s">
        <v>1532</v>
      </c>
      <c r="H1094" s="184"/>
      <c r="I1094" s="184"/>
      <c r="J1094" s="184"/>
    </row>
    <row r="1095" spans="1:10">
      <c r="A1095" s="184" t="s">
        <v>1527</v>
      </c>
      <c r="B1095" s="184" t="s">
        <v>1693</v>
      </c>
      <c r="C1095" s="184" t="s">
        <v>1895</v>
      </c>
      <c r="D1095" s="184" t="s">
        <v>1730</v>
      </c>
      <c r="E1095" s="184"/>
      <c r="F1095" s="184" t="s">
        <v>1700</v>
      </c>
      <c r="G1095" s="184" t="s">
        <v>1532</v>
      </c>
      <c r="H1095" s="184"/>
      <c r="I1095" s="184"/>
      <c r="J1095" s="184"/>
    </row>
    <row r="1096" spans="1:10">
      <c r="A1096" s="184" t="s">
        <v>1527</v>
      </c>
      <c r="B1096" s="184" t="s">
        <v>1556</v>
      </c>
      <c r="C1096" s="184" t="s">
        <v>2768</v>
      </c>
      <c r="D1096" s="184" t="s">
        <v>1695</v>
      </c>
      <c r="E1096" s="184"/>
      <c r="F1096" s="184" t="s">
        <v>2893</v>
      </c>
      <c r="G1096" s="184" t="s">
        <v>1532</v>
      </c>
      <c r="H1096" s="184" t="s">
        <v>2894</v>
      </c>
      <c r="I1096" s="184" t="s">
        <v>2895</v>
      </c>
      <c r="J1096" s="184"/>
    </row>
    <row r="1097" spans="1:10">
      <c r="A1097" s="184" t="s">
        <v>1527</v>
      </c>
      <c r="B1097" s="184" t="s">
        <v>1701</v>
      </c>
      <c r="C1097" s="184" t="s">
        <v>2896</v>
      </c>
      <c r="D1097" s="184" t="s">
        <v>2041</v>
      </c>
      <c r="E1097" s="184"/>
      <c r="F1097" s="184" t="s">
        <v>2897</v>
      </c>
      <c r="G1097" s="184" t="s">
        <v>1532</v>
      </c>
      <c r="H1097" s="184" t="s">
        <v>2898</v>
      </c>
      <c r="I1097" s="184" t="s">
        <v>1371</v>
      </c>
      <c r="J1097" s="184"/>
    </row>
    <row r="1098" spans="1:10">
      <c r="A1098" s="184" t="s">
        <v>1527</v>
      </c>
      <c r="B1098" s="184" t="s">
        <v>1701</v>
      </c>
      <c r="C1098" s="184" t="s">
        <v>2896</v>
      </c>
      <c r="D1098" s="184" t="s">
        <v>2041</v>
      </c>
      <c r="E1098" s="184"/>
      <c r="F1098" s="184" t="s">
        <v>1373</v>
      </c>
      <c r="G1098" s="184" t="s">
        <v>1532</v>
      </c>
      <c r="H1098" s="184" t="s">
        <v>2899</v>
      </c>
      <c r="I1098" s="184" t="s">
        <v>1373</v>
      </c>
      <c r="J1098" s="184"/>
    </row>
    <row r="1099" spans="1:10">
      <c r="A1099" s="184" t="s">
        <v>1527</v>
      </c>
      <c r="B1099" s="184" t="s">
        <v>1701</v>
      </c>
      <c r="C1099" s="184" t="s">
        <v>2896</v>
      </c>
      <c r="D1099" s="184" t="s">
        <v>2041</v>
      </c>
      <c r="E1099" s="184"/>
      <c r="F1099" s="184" t="s">
        <v>1379</v>
      </c>
      <c r="G1099" s="184" t="s">
        <v>1532</v>
      </c>
      <c r="H1099" s="184" t="s">
        <v>2900</v>
      </c>
      <c r="I1099" s="184" t="s">
        <v>1379</v>
      </c>
      <c r="J1099" s="184"/>
    </row>
    <row r="1100" spans="1:10">
      <c r="A1100" s="184" t="s">
        <v>1527</v>
      </c>
      <c r="B1100" s="184" t="s">
        <v>1701</v>
      </c>
      <c r="C1100" s="184" t="s">
        <v>2896</v>
      </c>
      <c r="D1100" s="184" t="s">
        <v>2041</v>
      </c>
      <c r="E1100" s="184"/>
      <c r="F1100" s="184" t="s">
        <v>1381</v>
      </c>
      <c r="G1100" s="184" t="s">
        <v>1532</v>
      </c>
      <c r="H1100" s="184" t="s">
        <v>2901</v>
      </c>
      <c r="I1100" s="184" t="s">
        <v>1381</v>
      </c>
      <c r="J1100" s="184"/>
    </row>
    <row r="1101" spans="1:10">
      <c r="A1101" s="184" t="s">
        <v>1527</v>
      </c>
      <c r="B1101" s="184" t="s">
        <v>1701</v>
      </c>
      <c r="C1101" s="184" t="s">
        <v>2896</v>
      </c>
      <c r="D1101" s="184" t="s">
        <v>2041</v>
      </c>
      <c r="E1101" s="184"/>
      <c r="F1101" s="184" t="s">
        <v>2902</v>
      </c>
      <c r="G1101" s="184" t="s">
        <v>1532</v>
      </c>
      <c r="H1101" s="184" t="s">
        <v>2903</v>
      </c>
      <c r="I1101" s="184" t="s">
        <v>2902</v>
      </c>
      <c r="J1101" s="184"/>
    </row>
    <row r="1102" spans="1:10">
      <c r="A1102" s="184" t="s">
        <v>1527</v>
      </c>
      <c r="B1102" s="184" t="s">
        <v>1556</v>
      </c>
      <c r="C1102" s="184"/>
      <c r="D1102" s="184"/>
      <c r="E1102" s="184"/>
      <c r="F1102" s="184">
        <v>1</v>
      </c>
      <c r="G1102" s="184" t="s">
        <v>1532</v>
      </c>
      <c r="H1102" s="184"/>
      <c r="I1102" s="184"/>
      <c r="J1102" s="184"/>
    </row>
    <row r="1103" spans="1:10">
      <c r="A1103" s="184" t="s">
        <v>1527</v>
      </c>
      <c r="B1103" s="184" t="s">
        <v>1556</v>
      </c>
      <c r="C1103" s="184"/>
      <c r="D1103" s="184"/>
      <c r="E1103" s="184"/>
      <c r="F1103" s="184">
        <v>2</v>
      </c>
      <c r="G1103" s="184" t="s">
        <v>1532</v>
      </c>
      <c r="H1103" s="184"/>
      <c r="I1103" s="184"/>
      <c r="J1103" s="184"/>
    </row>
    <row r="1104" spans="1:10">
      <c r="A1104" s="184" t="s">
        <v>1527</v>
      </c>
      <c r="B1104" s="184" t="s">
        <v>1556</v>
      </c>
      <c r="C1104" s="184"/>
      <c r="D1104" s="184"/>
      <c r="E1104" s="184"/>
      <c r="F1104" s="184">
        <v>1</v>
      </c>
      <c r="G1104" s="184" t="s">
        <v>1532</v>
      </c>
      <c r="H1104" s="184"/>
      <c r="I1104" s="184"/>
      <c r="J1104" s="184"/>
    </row>
    <row r="1105" spans="1:7">
      <c r="A1105" s="184" t="s">
        <v>1527</v>
      </c>
      <c r="B1105" s="184" t="s">
        <v>1556</v>
      </c>
      <c r="C1105" s="184"/>
      <c r="D1105" s="184"/>
      <c r="E1105" s="184"/>
      <c r="F1105" s="184">
        <v>2</v>
      </c>
      <c r="G1105" s="184" t="s">
        <v>1532</v>
      </c>
    </row>
    <row r="1106" spans="1:7">
      <c r="A1106" s="184" t="s">
        <v>1527</v>
      </c>
      <c r="B1106" s="184" t="s">
        <v>1556</v>
      </c>
      <c r="C1106" s="184"/>
      <c r="D1106" s="184"/>
      <c r="E1106" s="184"/>
      <c r="F1106" s="184">
        <v>1</v>
      </c>
      <c r="G1106" s="184" t="s">
        <v>1532</v>
      </c>
    </row>
    <row r="1107" spans="1:7">
      <c r="A1107" s="184" t="s">
        <v>1527</v>
      </c>
      <c r="B1107" s="184" t="s">
        <v>1556</v>
      </c>
      <c r="C1107" s="184"/>
      <c r="D1107" s="184"/>
      <c r="E1107" s="184"/>
      <c r="F1107" s="184">
        <v>2</v>
      </c>
      <c r="G1107" s="184" t="s">
        <v>1532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sheetPr>
  <dimension ref="A1:AA1062"/>
  <sheetViews>
    <sheetView workbookViewId="0">
      <pane ySplit="6" topLeftCell="A7" activePane="bottomLeft" state="frozen"/>
      <selection pane="bottomLeft" activeCell="B8" sqref="B8"/>
    </sheetView>
  </sheetViews>
  <sheetFormatPr defaultColWidth="14.3984375" defaultRowHeight="15.75" customHeight="1"/>
  <cols>
    <col min="1" max="1" width="25.1328125" customWidth="1"/>
    <col min="2" max="2" width="30.3984375" customWidth="1"/>
    <col min="3" max="3" width="39.3984375" customWidth="1"/>
    <col min="4" max="4" width="21.59765625" customWidth="1"/>
    <col min="8" max="8" width="39" customWidth="1"/>
    <col min="9" max="9" width="21.1328125" customWidth="1"/>
    <col min="10" max="10" width="22.59765625" customWidth="1"/>
    <col min="11" max="11" width="65.59765625" customWidth="1"/>
  </cols>
  <sheetData>
    <row r="1" spans="1:27" ht="15.75" customHeight="1">
      <c r="A1" s="157" t="str">
        <f>HYPERLINK("https://drive.google.com/open?id=195ADsPF7e6qp-XCMHU02_gGfLOsAuj4y","Link to Drawing")</f>
        <v>Link to Drawing</v>
      </c>
      <c r="B1" s="142"/>
      <c r="C1" s="186"/>
      <c r="D1" s="186"/>
      <c r="E1" s="186"/>
      <c r="F1" s="186"/>
      <c r="G1" s="186"/>
      <c r="H1" s="186"/>
      <c r="I1" s="186"/>
      <c r="J1" s="186"/>
      <c r="K1" s="186"/>
      <c r="L1" s="186"/>
      <c r="M1" s="186"/>
      <c r="N1" s="186"/>
      <c r="O1" s="186"/>
      <c r="P1" s="186"/>
      <c r="Q1" s="186"/>
      <c r="R1" s="186"/>
      <c r="S1" s="186"/>
      <c r="T1" s="186"/>
      <c r="U1" s="186"/>
      <c r="V1" s="186"/>
      <c r="W1" s="186"/>
      <c r="X1" s="186"/>
      <c r="Y1" s="186"/>
      <c r="Z1" s="186"/>
      <c r="AA1" s="186"/>
    </row>
    <row r="2" spans="1:27" ht="14.25">
      <c r="A2" s="207" t="s">
        <v>2904</v>
      </c>
      <c r="B2" s="201"/>
      <c r="C2" s="201"/>
      <c r="D2" s="201"/>
      <c r="E2" s="201"/>
      <c r="F2" s="201"/>
      <c r="G2" s="201"/>
      <c r="H2" s="201"/>
      <c r="I2" s="201"/>
      <c r="J2" s="201"/>
      <c r="K2" s="75"/>
      <c r="L2" s="75"/>
      <c r="M2" s="75"/>
      <c r="N2" s="75"/>
      <c r="O2" s="75"/>
      <c r="P2" s="75"/>
      <c r="Q2" s="75"/>
      <c r="R2" s="75"/>
      <c r="S2" s="75"/>
      <c r="T2" s="75"/>
      <c r="U2" s="75"/>
      <c r="V2" s="75"/>
      <c r="W2" s="75"/>
      <c r="X2" s="75"/>
      <c r="Y2" s="75"/>
      <c r="Z2" s="75"/>
      <c r="AA2" s="75"/>
    </row>
    <row r="3" spans="1:27" ht="14.25">
      <c r="A3" s="10" t="s">
        <v>1518</v>
      </c>
      <c r="B3" s="11"/>
      <c r="C3" s="152"/>
      <c r="D3" s="201"/>
      <c r="E3" s="193"/>
      <c r="F3" s="158"/>
      <c r="G3" s="158"/>
      <c r="H3" s="158"/>
      <c r="I3" s="159"/>
      <c r="J3" s="159"/>
      <c r="K3" s="75"/>
      <c r="L3" s="75"/>
      <c r="M3" s="75"/>
      <c r="N3" s="75"/>
      <c r="O3" s="75"/>
      <c r="P3" s="75"/>
      <c r="Q3" s="75"/>
      <c r="R3" s="75"/>
      <c r="S3" s="75"/>
      <c r="T3" s="75"/>
      <c r="U3" s="75"/>
      <c r="V3" s="75"/>
      <c r="W3" s="75"/>
      <c r="X3" s="75"/>
      <c r="Y3" s="75"/>
      <c r="Z3" s="75"/>
      <c r="AA3" s="75"/>
    </row>
    <row r="4" spans="1:27" ht="14.25">
      <c r="A4" s="10" t="s">
        <v>2905</v>
      </c>
      <c r="B4" s="11" t="s">
        <v>2906</v>
      </c>
      <c r="C4" s="152"/>
      <c r="D4" s="201"/>
      <c r="E4" s="193"/>
      <c r="F4" s="11" t="s">
        <v>2907</v>
      </c>
      <c r="G4" s="208">
        <v>43551</v>
      </c>
      <c r="H4" s="193"/>
      <c r="I4" s="159"/>
      <c r="J4" s="159"/>
      <c r="K4" s="75"/>
      <c r="L4" s="75"/>
      <c r="M4" s="75"/>
      <c r="N4" s="75"/>
      <c r="O4" s="75"/>
      <c r="P4" s="75"/>
      <c r="Q4" s="75"/>
      <c r="R4" s="75"/>
      <c r="S4" s="75"/>
      <c r="T4" s="75"/>
      <c r="U4" s="75"/>
      <c r="V4" s="75"/>
      <c r="W4" s="75"/>
      <c r="X4" s="75"/>
      <c r="Y4" s="75"/>
      <c r="Z4" s="75"/>
      <c r="AA4" s="75"/>
    </row>
    <row r="5" spans="1:27" ht="14.25">
      <c r="A5" s="12"/>
      <c r="B5" s="158"/>
      <c r="C5" s="158"/>
      <c r="D5" s="158"/>
      <c r="E5" s="158"/>
      <c r="F5" s="158"/>
      <c r="G5" s="158"/>
      <c r="H5" s="158"/>
      <c r="I5" s="158"/>
      <c r="J5" s="158"/>
      <c r="K5" s="75"/>
      <c r="L5" s="75"/>
      <c r="M5" s="75"/>
      <c r="N5" s="75"/>
      <c r="O5" s="75"/>
      <c r="P5" s="75"/>
      <c r="Q5" s="75"/>
      <c r="R5" s="75"/>
      <c r="S5" s="75"/>
      <c r="T5" s="75"/>
      <c r="U5" s="75"/>
      <c r="V5" s="75"/>
      <c r="W5" s="75"/>
      <c r="X5" s="75"/>
      <c r="Y5" s="75"/>
      <c r="Z5" s="75"/>
      <c r="AA5" s="75"/>
    </row>
    <row r="6" spans="1:27" ht="14.25">
      <c r="A6" s="13" t="s">
        <v>2908</v>
      </c>
      <c r="B6" s="14" t="s">
        <v>2909</v>
      </c>
      <c r="C6" s="15" t="s">
        <v>2910</v>
      </c>
      <c r="D6" s="209" t="s">
        <v>2911</v>
      </c>
      <c r="E6" s="201"/>
      <c r="F6" s="201"/>
      <c r="G6" s="201"/>
      <c r="H6" s="193"/>
      <c r="I6" s="210" t="s">
        <v>2912</v>
      </c>
      <c r="J6" s="193"/>
      <c r="K6" s="75" t="s">
        <v>2913</v>
      </c>
      <c r="L6" s="75"/>
      <c r="M6" s="75"/>
      <c r="N6" s="75"/>
      <c r="O6" s="75"/>
      <c r="P6" s="75"/>
      <c r="Q6" s="75"/>
      <c r="R6" s="75"/>
      <c r="S6" s="75"/>
      <c r="T6" s="75"/>
      <c r="U6" s="75"/>
      <c r="V6" s="75"/>
      <c r="W6" s="75"/>
      <c r="X6" s="75"/>
      <c r="Y6" s="75"/>
      <c r="Z6" s="75"/>
      <c r="AA6" s="75"/>
    </row>
    <row r="7" spans="1:27" ht="14.25">
      <c r="A7" s="16" t="s">
        <v>2914</v>
      </c>
      <c r="B7" s="17"/>
      <c r="C7" s="180"/>
      <c r="D7" s="201" t="s">
        <v>2915</v>
      </c>
      <c r="E7" s="201"/>
      <c r="F7" s="201"/>
      <c r="G7" s="201"/>
      <c r="H7" s="193"/>
      <c r="I7" s="201" t="s">
        <v>2916</v>
      </c>
      <c r="J7" s="193"/>
      <c r="K7" s="75"/>
      <c r="L7" s="75"/>
      <c r="M7" s="75"/>
      <c r="N7" s="75"/>
      <c r="O7" s="75"/>
      <c r="P7" s="75"/>
      <c r="Q7" s="75"/>
      <c r="R7" s="75"/>
      <c r="S7" s="75"/>
      <c r="T7" s="75"/>
      <c r="U7" s="75"/>
      <c r="V7" s="75"/>
      <c r="W7" s="75"/>
      <c r="X7" s="75"/>
      <c r="Y7" s="75"/>
      <c r="Z7" s="75"/>
      <c r="AA7" s="75"/>
    </row>
    <row r="8" spans="1:27" ht="14.25">
      <c r="A8" s="16" t="s">
        <v>2914</v>
      </c>
      <c r="B8" s="17"/>
      <c r="C8" s="180"/>
      <c r="D8" s="201" t="s">
        <v>2917</v>
      </c>
      <c r="E8" s="201"/>
      <c r="F8" s="201"/>
      <c r="G8" s="201"/>
      <c r="H8" s="193"/>
      <c r="I8" s="201" t="s">
        <v>2916</v>
      </c>
      <c r="J8" s="193"/>
      <c r="K8" s="75"/>
      <c r="L8" s="75"/>
      <c r="M8" s="75"/>
      <c r="N8" s="75"/>
      <c r="O8" s="75"/>
      <c r="P8" s="75"/>
      <c r="Q8" s="75"/>
      <c r="R8" s="75"/>
      <c r="S8" s="75"/>
      <c r="T8" s="75"/>
      <c r="U8" s="75"/>
      <c r="V8" s="75"/>
      <c r="W8" s="75"/>
      <c r="X8" s="75"/>
      <c r="Y8" s="75"/>
      <c r="Z8" s="75"/>
      <c r="AA8" s="75"/>
    </row>
    <row r="9" spans="1:27" ht="14.25">
      <c r="A9" s="16" t="s">
        <v>2914</v>
      </c>
      <c r="B9" s="17"/>
      <c r="C9" s="180"/>
      <c r="D9" s="201" t="s">
        <v>2918</v>
      </c>
      <c r="E9" s="201"/>
      <c r="F9" s="201"/>
      <c r="G9" s="201"/>
      <c r="H9" s="193"/>
      <c r="I9" s="201" t="s">
        <v>2919</v>
      </c>
      <c r="J9" s="193"/>
      <c r="K9" s="75"/>
      <c r="L9" s="75"/>
      <c r="M9" s="75"/>
      <c r="N9" s="75"/>
      <c r="O9" s="75"/>
      <c r="P9" s="75"/>
      <c r="Q9" s="75"/>
      <c r="R9" s="75"/>
      <c r="S9" s="75"/>
      <c r="T9" s="75"/>
      <c r="U9" s="75"/>
      <c r="V9" s="75"/>
      <c r="W9" s="75"/>
      <c r="X9" s="75"/>
      <c r="Y9" s="75"/>
      <c r="Z9" s="75"/>
      <c r="AA9" s="75"/>
    </row>
    <row r="10" spans="1:27" ht="14.25">
      <c r="A10" s="16" t="s">
        <v>2914</v>
      </c>
      <c r="B10" s="17"/>
      <c r="C10" s="180"/>
      <c r="D10" s="201" t="s">
        <v>2920</v>
      </c>
      <c r="E10" s="201"/>
      <c r="F10" s="201"/>
      <c r="G10" s="201"/>
      <c r="H10" s="193"/>
      <c r="I10" s="201" t="s">
        <v>2919</v>
      </c>
      <c r="J10" s="193"/>
      <c r="K10" s="75"/>
      <c r="L10" s="75"/>
      <c r="M10" s="75"/>
      <c r="N10" s="75"/>
      <c r="O10" s="75"/>
      <c r="P10" s="75"/>
      <c r="Q10" s="75"/>
      <c r="R10" s="75"/>
      <c r="S10" s="75"/>
      <c r="T10" s="75"/>
      <c r="U10" s="75"/>
      <c r="V10" s="75"/>
      <c r="W10" s="75"/>
      <c r="X10" s="75"/>
      <c r="Y10" s="75"/>
      <c r="Z10" s="75"/>
      <c r="AA10" s="75"/>
    </row>
    <row r="11" spans="1:27" ht="14.25">
      <c r="A11" s="16" t="s">
        <v>2914</v>
      </c>
      <c r="B11" s="17"/>
      <c r="C11" s="81"/>
      <c r="D11" s="202" t="s">
        <v>2921</v>
      </c>
      <c r="E11" s="199"/>
      <c r="F11" s="199"/>
      <c r="G11" s="199"/>
      <c r="H11" s="200"/>
      <c r="I11" s="201" t="s">
        <v>2922</v>
      </c>
      <c r="J11" s="193"/>
      <c r="K11" s="75"/>
      <c r="L11" s="75"/>
      <c r="M11" s="75"/>
      <c r="N11" s="75"/>
      <c r="O11" s="75"/>
      <c r="P11" s="75"/>
      <c r="Q11" s="75"/>
      <c r="R11" s="75"/>
      <c r="S11" s="75"/>
      <c r="T11" s="75"/>
      <c r="U11" s="75"/>
      <c r="V11" s="75"/>
      <c r="W11" s="75"/>
      <c r="X11" s="75"/>
      <c r="Y11" s="75"/>
      <c r="Z11" s="75"/>
      <c r="AA11" s="75"/>
    </row>
    <row r="12" spans="1:27" ht="14.25">
      <c r="A12" s="16" t="s">
        <v>2914</v>
      </c>
      <c r="B12" s="17"/>
      <c r="C12" s="81"/>
      <c r="D12" s="202" t="s">
        <v>2921</v>
      </c>
      <c r="E12" s="199"/>
      <c r="F12" s="199"/>
      <c r="G12" s="199"/>
      <c r="H12" s="200"/>
      <c r="I12" s="201" t="s">
        <v>2922</v>
      </c>
      <c r="J12" s="193"/>
      <c r="K12" s="75"/>
      <c r="L12" s="75"/>
      <c r="M12" s="75"/>
      <c r="N12" s="75"/>
      <c r="O12" s="75"/>
      <c r="P12" s="75"/>
      <c r="Q12" s="75"/>
      <c r="R12" s="75"/>
      <c r="S12" s="75"/>
      <c r="T12" s="75"/>
      <c r="U12" s="75"/>
      <c r="V12" s="75"/>
      <c r="W12" s="75"/>
      <c r="X12" s="75"/>
      <c r="Y12" s="75"/>
      <c r="Z12" s="75"/>
      <c r="AA12" s="75"/>
    </row>
    <row r="13" spans="1:27" ht="14.25">
      <c r="A13" s="16" t="s">
        <v>2914</v>
      </c>
      <c r="B13" s="17"/>
      <c r="C13" s="180"/>
      <c r="D13" s="201" t="s">
        <v>2923</v>
      </c>
      <c r="E13" s="201"/>
      <c r="F13" s="201"/>
      <c r="G13" s="201"/>
      <c r="H13" s="193"/>
      <c r="I13" s="201" t="s">
        <v>2916</v>
      </c>
      <c r="J13" s="193"/>
      <c r="K13" s="75"/>
      <c r="L13" s="75"/>
      <c r="M13" s="75"/>
      <c r="N13" s="75"/>
      <c r="O13" s="75"/>
      <c r="P13" s="75"/>
      <c r="Q13" s="75"/>
      <c r="R13" s="75"/>
      <c r="S13" s="75"/>
      <c r="T13" s="75"/>
      <c r="U13" s="75"/>
      <c r="V13" s="75"/>
      <c r="W13" s="75"/>
      <c r="X13" s="75"/>
      <c r="Y13" s="75"/>
      <c r="Z13" s="75"/>
      <c r="AA13" s="75"/>
    </row>
    <row r="14" spans="1:27" ht="14.25">
      <c r="A14" s="16" t="s">
        <v>2914</v>
      </c>
      <c r="B14" s="17"/>
      <c r="C14" s="180"/>
      <c r="D14" s="201" t="s">
        <v>2924</v>
      </c>
      <c r="E14" s="201"/>
      <c r="F14" s="201"/>
      <c r="G14" s="201"/>
      <c r="H14" s="193"/>
      <c r="I14" s="201" t="s">
        <v>2925</v>
      </c>
      <c r="J14" s="193"/>
      <c r="K14" s="75"/>
      <c r="L14" s="75"/>
      <c r="M14" s="75"/>
      <c r="N14" s="75"/>
      <c r="O14" s="75"/>
      <c r="P14" s="75"/>
      <c r="Q14" s="75"/>
      <c r="R14" s="75"/>
      <c r="S14" s="75"/>
      <c r="T14" s="75"/>
      <c r="U14" s="75"/>
      <c r="V14" s="75"/>
      <c r="W14" s="75"/>
      <c r="X14" s="75"/>
      <c r="Y14" s="75"/>
      <c r="Z14" s="75"/>
      <c r="AA14" s="75"/>
    </row>
    <row r="15" spans="1:27" ht="14.25">
      <c r="A15" s="16" t="s">
        <v>2914</v>
      </c>
      <c r="B15" s="17"/>
      <c r="C15" s="180"/>
      <c r="D15" s="201" t="s">
        <v>2926</v>
      </c>
      <c r="E15" s="201"/>
      <c r="F15" s="201"/>
      <c r="G15" s="201"/>
      <c r="H15" s="193"/>
      <c r="I15" s="201" t="s">
        <v>2927</v>
      </c>
      <c r="J15" s="193"/>
      <c r="K15" s="75"/>
      <c r="L15" s="75"/>
      <c r="M15" s="75"/>
      <c r="N15" s="75"/>
      <c r="O15" s="75"/>
      <c r="P15" s="75"/>
      <c r="Q15" s="75"/>
      <c r="R15" s="75"/>
      <c r="S15" s="75"/>
      <c r="T15" s="75"/>
      <c r="U15" s="75"/>
      <c r="V15" s="75"/>
      <c r="W15" s="75"/>
      <c r="X15" s="75"/>
      <c r="Y15" s="75"/>
      <c r="Z15" s="75"/>
      <c r="AA15" s="75"/>
    </row>
    <row r="16" spans="1:27" ht="14.25">
      <c r="A16" s="16" t="s">
        <v>2914</v>
      </c>
      <c r="B16" s="17"/>
      <c r="C16" s="180"/>
      <c r="D16" s="201" t="s">
        <v>2928</v>
      </c>
      <c r="E16" s="201"/>
      <c r="F16" s="201"/>
      <c r="G16" s="201"/>
      <c r="H16" s="193"/>
      <c r="I16" s="201" t="s">
        <v>2929</v>
      </c>
      <c r="J16" s="193"/>
      <c r="K16" s="75"/>
      <c r="L16" s="75"/>
      <c r="M16" s="75"/>
      <c r="N16" s="75"/>
      <c r="O16" s="75"/>
      <c r="P16" s="75"/>
      <c r="Q16" s="75"/>
      <c r="R16" s="75"/>
      <c r="S16" s="75"/>
      <c r="T16" s="75"/>
      <c r="U16" s="75"/>
      <c r="V16" s="75"/>
      <c r="W16" s="75"/>
      <c r="X16" s="75"/>
      <c r="Y16" s="75"/>
      <c r="Z16" s="75"/>
      <c r="AA16" s="75"/>
    </row>
    <row r="17" spans="1:27" ht="14.25">
      <c r="A17" s="16" t="s">
        <v>2914</v>
      </c>
      <c r="B17" s="17"/>
      <c r="C17" s="180"/>
      <c r="D17" s="201" t="s">
        <v>2930</v>
      </c>
      <c r="E17" s="201"/>
      <c r="F17" s="201"/>
      <c r="G17" s="201"/>
      <c r="H17" s="193"/>
      <c r="I17" s="201" t="s">
        <v>2931</v>
      </c>
      <c r="J17" s="193"/>
      <c r="K17" s="75"/>
      <c r="L17" s="75"/>
      <c r="M17" s="75"/>
      <c r="N17" s="75"/>
      <c r="O17" s="75"/>
      <c r="P17" s="75"/>
      <c r="Q17" s="75"/>
      <c r="R17" s="75"/>
      <c r="S17" s="75"/>
      <c r="T17" s="75"/>
      <c r="U17" s="75"/>
      <c r="V17" s="75"/>
      <c r="W17" s="75"/>
      <c r="X17" s="75"/>
      <c r="Y17" s="75"/>
      <c r="Z17" s="75"/>
      <c r="AA17" s="75"/>
    </row>
    <row r="18" spans="1:27" ht="14.25">
      <c r="A18" s="16" t="s">
        <v>2914</v>
      </c>
      <c r="B18" s="17"/>
      <c r="C18" s="180"/>
      <c r="D18" s="201" t="s">
        <v>2932</v>
      </c>
      <c r="E18" s="201"/>
      <c r="F18" s="201"/>
      <c r="G18" s="201"/>
      <c r="H18" s="193"/>
      <c r="I18" s="201" t="s">
        <v>2933</v>
      </c>
      <c r="J18" s="193"/>
      <c r="K18" s="75"/>
      <c r="L18" s="75"/>
      <c r="M18" s="75"/>
      <c r="N18" s="75"/>
      <c r="O18" s="75"/>
      <c r="P18" s="75"/>
      <c r="Q18" s="75"/>
      <c r="R18" s="75"/>
      <c r="S18" s="75"/>
      <c r="T18" s="75"/>
      <c r="U18" s="75"/>
      <c r="V18" s="75"/>
      <c r="W18" s="75"/>
      <c r="X18" s="75"/>
      <c r="Y18" s="75"/>
      <c r="Z18" s="75"/>
      <c r="AA18" s="75"/>
    </row>
    <row r="19" spans="1:27" ht="14.25">
      <c r="A19" s="16" t="s">
        <v>2914</v>
      </c>
      <c r="B19" s="17"/>
      <c r="C19" s="180"/>
      <c r="D19" s="201" t="s">
        <v>2934</v>
      </c>
      <c r="E19" s="201"/>
      <c r="F19" s="201"/>
      <c r="G19" s="201"/>
      <c r="H19" s="193"/>
      <c r="I19" s="201" t="s">
        <v>2935</v>
      </c>
      <c r="J19" s="193"/>
      <c r="K19" s="75"/>
      <c r="L19" s="75"/>
      <c r="M19" s="75"/>
      <c r="N19" s="75"/>
      <c r="O19" s="75"/>
      <c r="P19" s="75"/>
      <c r="Q19" s="75"/>
      <c r="R19" s="75"/>
      <c r="S19" s="75"/>
      <c r="T19" s="75"/>
      <c r="U19" s="75"/>
      <c r="V19" s="75"/>
      <c r="W19" s="75"/>
      <c r="X19" s="75"/>
      <c r="Y19" s="75"/>
      <c r="Z19" s="75"/>
      <c r="AA19" s="75"/>
    </row>
    <row r="20" spans="1:27" ht="14.25">
      <c r="A20" s="16" t="s">
        <v>2914</v>
      </c>
      <c r="B20" s="17"/>
      <c r="C20" s="180"/>
      <c r="D20" s="201" t="s">
        <v>2936</v>
      </c>
      <c r="E20" s="201"/>
      <c r="F20" s="201"/>
      <c r="G20" s="201"/>
      <c r="H20" s="193"/>
      <c r="I20" s="201" t="s">
        <v>2937</v>
      </c>
      <c r="J20" s="193"/>
      <c r="K20" s="75"/>
      <c r="L20" s="75"/>
      <c r="M20" s="75"/>
      <c r="N20" s="75"/>
      <c r="O20" s="75"/>
      <c r="P20" s="75"/>
      <c r="Q20" s="75"/>
      <c r="R20" s="75"/>
      <c r="S20" s="75"/>
      <c r="T20" s="75"/>
      <c r="U20" s="75"/>
      <c r="V20" s="75"/>
      <c r="W20" s="75"/>
      <c r="X20" s="75"/>
      <c r="Y20" s="75"/>
      <c r="Z20" s="75"/>
      <c r="AA20" s="75"/>
    </row>
    <row r="21" spans="1:27" ht="14.25">
      <c r="A21" s="16" t="s">
        <v>2914</v>
      </c>
      <c r="B21" s="17"/>
      <c r="C21" s="180"/>
      <c r="D21" s="201" t="s">
        <v>2938</v>
      </c>
      <c r="E21" s="201"/>
      <c r="F21" s="201"/>
      <c r="G21" s="201"/>
      <c r="H21" s="193"/>
      <c r="I21" s="201" t="s">
        <v>2937</v>
      </c>
      <c r="J21" s="193"/>
      <c r="K21" s="75"/>
      <c r="L21" s="75"/>
      <c r="M21" s="75"/>
      <c r="N21" s="75"/>
      <c r="O21" s="75"/>
      <c r="P21" s="75"/>
      <c r="Q21" s="75"/>
      <c r="R21" s="75"/>
      <c r="S21" s="75"/>
      <c r="T21" s="75"/>
      <c r="U21" s="75"/>
      <c r="V21" s="75"/>
      <c r="W21" s="75"/>
      <c r="X21" s="75"/>
      <c r="Y21" s="75"/>
      <c r="Z21" s="75"/>
      <c r="AA21" s="75"/>
    </row>
    <row r="22" spans="1:27" ht="14.25">
      <c r="A22" s="16" t="s">
        <v>2914</v>
      </c>
      <c r="B22" s="17"/>
      <c r="C22" s="180"/>
      <c r="D22" s="201" t="s">
        <v>2939</v>
      </c>
      <c r="E22" s="201"/>
      <c r="F22" s="201"/>
      <c r="G22" s="201"/>
      <c r="H22" s="193"/>
      <c r="I22" s="201" t="s">
        <v>2937</v>
      </c>
      <c r="J22" s="193"/>
      <c r="K22" s="75"/>
      <c r="L22" s="75"/>
      <c r="M22" s="75"/>
      <c r="N22" s="75"/>
      <c r="O22" s="75"/>
      <c r="P22" s="75"/>
      <c r="Q22" s="75"/>
      <c r="R22" s="75"/>
      <c r="S22" s="75"/>
      <c r="T22" s="75"/>
      <c r="U22" s="75"/>
      <c r="V22" s="75"/>
      <c r="W22" s="75"/>
      <c r="X22" s="75"/>
      <c r="Y22" s="75"/>
      <c r="Z22" s="75"/>
      <c r="AA22" s="75"/>
    </row>
    <row r="23" spans="1:27" ht="14.25">
      <c r="A23" s="16" t="s">
        <v>2914</v>
      </c>
      <c r="B23" s="17"/>
      <c r="C23" s="180"/>
      <c r="D23" s="201" t="s">
        <v>2940</v>
      </c>
      <c r="E23" s="201"/>
      <c r="F23" s="201"/>
      <c r="G23" s="201"/>
      <c r="H23" s="193"/>
      <c r="I23" s="201" t="s">
        <v>2937</v>
      </c>
      <c r="J23" s="193"/>
      <c r="K23" s="75"/>
      <c r="L23" s="75"/>
      <c r="M23" s="75"/>
      <c r="N23" s="75"/>
      <c r="O23" s="75"/>
      <c r="P23" s="75"/>
      <c r="Q23" s="75"/>
      <c r="R23" s="75"/>
      <c r="S23" s="75"/>
      <c r="T23" s="75"/>
      <c r="U23" s="75"/>
      <c r="V23" s="75"/>
      <c r="W23" s="75"/>
      <c r="X23" s="75"/>
      <c r="Y23" s="75"/>
      <c r="Z23" s="75"/>
      <c r="AA23" s="75"/>
    </row>
    <row r="24" spans="1:27" ht="14.25">
      <c r="A24" s="16" t="s">
        <v>2914</v>
      </c>
      <c r="B24" s="17"/>
      <c r="C24" s="180"/>
      <c r="D24" s="201" t="s">
        <v>2941</v>
      </c>
      <c r="E24" s="201"/>
      <c r="F24" s="201"/>
      <c r="G24" s="201"/>
      <c r="H24" s="193"/>
      <c r="I24" s="201" t="s">
        <v>2942</v>
      </c>
      <c r="J24" s="193"/>
      <c r="K24" s="75"/>
      <c r="L24" s="75"/>
      <c r="M24" s="75"/>
      <c r="N24" s="75"/>
      <c r="O24" s="75"/>
      <c r="P24" s="75"/>
      <c r="Q24" s="75"/>
      <c r="R24" s="75"/>
      <c r="S24" s="75"/>
      <c r="T24" s="75"/>
      <c r="U24" s="75"/>
      <c r="V24" s="75"/>
      <c r="W24" s="75"/>
      <c r="X24" s="75"/>
      <c r="Y24" s="75"/>
      <c r="Z24" s="75"/>
      <c r="AA24" s="75"/>
    </row>
    <row r="25" spans="1:27" ht="14.25">
      <c r="A25" s="16" t="s">
        <v>2914</v>
      </c>
      <c r="B25" s="17"/>
      <c r="C25" s="180"/>
      <c r="D25" s="201" t="s">
        <v>2943</v>
      </c>
      <c r="E25" s="201"/>
      <c r="F25" s="201"/>
      <c r="G25" s="201"/>
      <c r="H25" s="193"/>
      <c r="I25" s="201" t="s">
        <v>2942</v>
      </c>
      <c r="J25" s="193"/>
      <c r="K25" s="75"/>
      <c r="L25" s="75"/>
      <c r="M25" s="75"/>
      <c r="N25" s="75"/>
      <c r="O25" s="75"/>
      <c r="P25" s="75"/>
      <c r="Q25" s="75"/>
      <c r="R25" s="75"/>
      <c r="S25" s="75"/>
      <c r="T25" s="75"/>
      <c r="U25" s="75"/>
      <c r="V25" s="75"/>
      <c r="W25" s="75"/>
      <c r="X25" s="75"/>
      <c r="Y25" s="75"/>
      <c r="Z25" s="75"/>
      <c r="AA25" s="75"/>
    </row>
    <row r="26" spans="1:27" ht="14.25">
      <c r="A26" s="16" t="s">
        <v>2914</v>
      </c>
      <c r="B26" s="17"/>
      <c r="C26" s="180"/>
      <c r="D26" s="201" t="s">
        <v>2944</v>
      </c>
      <c r="E26" s="201"/>
      <c r="F26" s="201"/>
      <c r="G26" s="201"/>
      <c r="H26" s="193"/>
      <c r="I26" s="201" t="s">
        <v>2942</v>
      </c>
      <c r="J26" s="193"/>
      <c r="K26" s="75"/>
      <c r="L26" s="75"/>
      <c r="M26" s="75"/>
      <c r="N26" s="75"/>
      <c r="O26" s="75"/>
      <c r="P26" s="75"/>
      <c r="Q26" s="75"/>
      <c r="R26" s="75"/>
      <c r="S26" s="75"/>
      <c r="T26" s="75"/>
      <c r="U26" s="75"/>
      <c r="V26" s="75"/>
      <c r="W26" s="75"/>
      <c r="X26" s="75"/>
      <c r="Y26" s="75"/>
      <c r="Z26" s="75"/>
      <c r="AA26" s="75"/>
    </row>
    <row r="27" spans="1:27" ht="14.25">
      <c r="A27" s="16" t="s">
        <v>2914</v>
      </c>
      <c r="B27" s="17"/>
      <c r="C27" s="180"/>
      <c r="D27" s="201" t="s">
        <v>2945</v>
      </c>
      <c r="E27" s="201"/>
      <c r="F27" s="201"/>
      <c r="G27" s="201"/>
      <c r="H27" s="193"/>
      <c r="I27" s="201" t="s">
        <v>2916</v>
      </c>
      <c r="J27" s="193"/>
      <c r="K27" s="75"/>
      <c r="L27" s="75"/>
      <c r="M27" s="75"/>
      <c r="N27" s="75"/>
      <c r="O27" s="75"/>
      <c r="P27" s="75"/>
      <c r="Q27" s="75"/>
      <c r="R27" s="75"/>
      <c r="S27" s="75"/>
      <c r="T27" s="75"/>
      <c r="U27" s="75"/>
      <c r="V27" s="75"/>
      <c r="W27" s="75"/>
      <c r="X27" s="75"/>
      <c r="Y27" s="75"/>
      <c r="Z27" s="75"/>
      <c r="AA27" s="75"/>
    </row>
    <row r="28" spans="1:27" ht="14.25">
      <c r="A28" s="16" t="s">
        <v>2914</v>
      </c>
      <c r="B28" s="17"/>
      <c r="C28" s="180"/>
      <c r="D28" s="201" t="s">
        <v>2946</v>
      </c>
      <c r="E28" s="201"/>
      <c r="F28" s="201"/>
      <c r="G28" s="201"/>
      <c r="H28" s="193"/>
      <c r="I28" s="201" t="s">
        <v>2947</v>
      </c>
      <c r="J28" s="193"/>
      <c r="K28" s="75"/>
      <c r="L28" s="75"/>
      <c r="M28" s="75"/>
      <c r="N28" s="75"/>
      <c r="O28" s="75"/>
      <c r="P28" s="75"/>
      <c r="Q28" s="75"/>
      <c r="R28" s="75"/>
      <c r="S28" s="75"/>
      <c r="T28" s="75"/>
      <c r="U28" s="75"/>
      <c r="V28" s="75"/>
      <c r="W28" s="75"/>
      <c r="X28" s="75"/>
      <c r="Y28" s="75"/>
      <c r="Z28" s="75"/>
      <c r="AA28" s="75"/>
    </row>
    <row r="29" spans="1:27" ht="14.25">
      <c r="A29" s="16" t="s">
        <v>2914</v>
      </c>
      <c r="B29" s="17"/>
      <c r="C29" s="180"/>
      <c r="D29" s="201" t="s">
        <v>2948</v>
      </c>
      <c r="E29" s="201"/>
      <c r="F29" s="201"/>
      <c r="G29" s="201"/>
      <c r="H29" s="193"/>
      <c r="I29" s="201" t="s">
        <v>2947</v>
      </c>
      <c r="J29" s="193"/>
      <c r="K29" s="75"/>
      <c r="L29" s="75"/>
      <c r="M29" s="75"/>
      <c r="N29" s="75"/>
      <c r="O29" s="75"/>
      <c r="P29" s="75"/>
      <c r="Q29" s="75"/>
      <c r="R29" s="75"/>
      <c r="S29" s="75"/>
      <c r="T29" s="75"/>
      <c r="U29" s="75"/>
      <c r="V29" s="75"/>
      <c r="W29" s="75"/>
      <c r="X29" s="75"/>
      <c r="Y29" s="75"/>
      <c r="Z29" s="75"/>
      <c r="AA29" s="75"/>
    </row>
    <row r="30" spans="1:27" ht="14.25">
      <c r="A30" s="16" t="s">
        <v>2914</v>
      </c>
      <c r="B30" s="17"/>
      <c r="C30" s="180"/>
      <c r="D30" s="201" t="s">
        <v>2949</v>
      </c>
      <c r="E30" s="201"/>
      <c r="F30" s="201"/>
      <c r="G30" s="201"/>
      <c r="H30" s="193"/>
      <c r="I30" s="201" t="s">
        <v>2947</v>
      </c>
      <c r="J30" s="193"/>
      <c r="K30" s="75"/>
      <c r="L30" s="75"/>
      <c r="M30" s="75"/>
      <c r="N30" s="75"/>
      <c r="O30" s="75"/>
      <c r="P30" s="75"/>
      <c r="Q30" s="75"/>
      <c r="R30" s="75"/>
      <c r="S30" s="75"/>
      <c r="T30" s="75"/>
      <c r="U30" s="75"/>
      <c r="V30" s="75"/>
      <c r="W30" s="75"/>
      <c r="X30" s="75"/>
      <c r="Y30" s="75"/>
      <c r="Z30" s="75"/>
      <c r="AA30" s="75"/>
    </row>
    <row r="31" spans="1:27" ht="14.25">
      <c r="A31" s="16" t="s">
        <v>2914</v>
      </c>
      <c r="B31" s="17"/>
      <c r="C31" s="180"/>
      <c r="D31" s="201" t="s">
        <v>2950</v>
      </c>
      <c r="E31" s="201"/>
      <c r="F31" s="201"/>
      <c r="G31" s="201"/>
      <c r="H31" s="193"/>
      <c r="I31" s="201" t="s">
        <v>2947</v>
      </c>
      <c r="J31" s="193"/>
      <c r="K31" s="75"/>
      <c r="L31" s="75"/>
      <c r="M31" s="75"/>
      <c r="N31" s="75"/>
      <c r="O31" s="75"/>
      <c r="P31" s="75"/>
      <c r="Q31" s="75"/>
      <c r="R31" s="75"/>
      <c r="S31" s="75"/>
      <c r="T31" s="75"/>
      <c r="U31" s="75"/>
      <c r="V31" s="75"/>
      <c r="W31" s="75"/>
      <c r="X31" s="75"/>
      <c r="Y31" s="75"/>
      <c r="Z31" s="75"/>
      <c r="AA31" s="75"/>
    </row>
    <row r="32" spans="1:27" ht="14.25">
      <c r="A32" s="16" t="s">
        <v>2914</v>
      </c>
      <c r="B32" s="18"/>
      <c r="C32" s="180"/>
      <c r="D32" s="201" t="s">
        <v>2951</v>
      </c>
      <c r="E32" s="201"/>
      <c r="F32" s="201"/>
      <c r="G32" s="201"/>
      <c r="H32" s="193"/>
      <c r="I32" s="201" t="s">
        <v>2952</v>
      </c>
      <c r="J32" s="193"/>
      <c r="K32" s="75"/>
      <c r="L32" s="75"/>
      <c r="M32" s="75"/>
      <c r="N32" s="75"/>
      <c r="O32" s="75"/>
      <c r="P32" s="75"/>
      <c r="Q32" s="75"/>
      <c r="R32" s="75"/>
      <c r="S32" s="75"/>
      <c r="T32" s="75"/>
      <c r="U32" s="75"/>
      <c r="V32" s="75"/>
      <c r="W32" s="75"/>
      <c r="X32" s="75"/>
      <c r="Y32" s="75"/>
      <c r="Z32" s="75"/>
      <c r="AA32" s="75"/>
    </row>
    <row r="33" spans="1:27" ht="14.25">
      <c r="A33" s="16" t="s">
        <v>2914</v>
      </c>
      <c r="B33" s="19"/>
      <c r="C33" s="180"/>
      <c r="D33" s="201" t="s">
        <v>2953</v>
      </c>
      <c r="E33" s="201"/>
      <c r="F33" s="201"/>
      <c r="G33" s="201"/>
      <c r="H33" s="193"/>
      <c r="I33" s="201" t="s">
        <v>2952</v>
      </c>
      <c r="J33" s="193"/>
      <c r="K33" s="75"/>
      <c r="L33" s="75"/>
      <c r="M33" s="75"/>
      <c r="N33" s="75"/>
      <c r="O33" s="75"/>
      <c r="P33" s="75"/>
      <c r="Q33" s="75"/>
      <c r="R33" s="75"/>
      <c r="S33" s="75"/>
      <c r="T33" s="75"/>
      <c r="U33" s="75"/>
      <c r="V33" s="75"/>
      <c r="W33" s="75"/>
      <c r="X33" s="75"/>
      <c r="Y33" s="75"/>
      <c r="Z33" s="75"/>
      <c r="AA33" s="75"/>
    </row>
    <row r="34" spans="1:27" ht="14.25">
      <c r="A34" s="16" t="s">
        <v>2914</v>
      </c>
      <c r="B34" s="19"/>
      <c r="C34" s="180"/>
      <c r="D34" s="201" t="s">
        <v>2954</v>
      </c>
      <c r="E34" s="201"/>
      <c r="F34" s="201"/>
      <c r="G34" s="201"/>
      <c r="H34" s="193"/>
      <c r="I34" s="201" t="s">
        <v>2952</v>
      </c>
      <c r="J34" s="193"/>
      <c r="K34" s="75"/>
      <c r="L34" s="75"/>
      <c r="M34" s="75"/>
      <c r="N34" s="75"/>
      <c r="O34" s="75"/>
      <c r="P34" s="75"/>
      <c r="Q34" s="75"/>
      <c r="R34" s="75"/>
      <c r="S34" s="75"/>
      <c r="T34" s="75"/>
      <c r="U34" s="75"/>
      <c r="V34" s="75"/>
      <c r="W34" s="75"/>
      <c r="X34" s="75"/>
      <c r="Y34" s="75"/>
      <c r="Z34" s="75"/>
      <c r="AA34" s="75"/>
    </row>
    <row r="35" spans="1:27" ht="14.25">
      <c r="A35" s="16" t="s">
        <v>2914</v>
      </c>
      <c r="B35" s="19"/>
      <c r="C35" s="180"/>
      <c r="D35" s="201" t="s">
        <v>2955</v>
      </c>
      <c r="E35" s="201"/>
      <c r="F35" s="201"/>
      <c r="G35" s="201"/>
      <c r="H35" s="193"/>
      <c r="I35" s="201" t="s">
        <v>2952</v>
      </c>
      <c r="J35" s="193"/>
      <c r="K35" s="75"/>
      <c r="L35" s="75"/>
      <c r="M35" s="75"/>
      <c r="N35" s="75"/>
      <c r="O35" s="75"/>
      <c r="P35" s="75"/>
      <c r="Q35" s="75"/>
      <c r="R35" s="75"/>
      <c r="S35" s="75"/>
      <c r="T35" s="75"/>
      <c r="U35" s="75"/>
      <c r="V35" s="75"/>
      <c r="W35" s="75"/>
      <c r="X35" s="75"/>
      <c r="Y35" s="75"/>
      <c r="Z35" s="75"/>
      <c r="AA35" s="75"/>
    </row>
    <row r="36" spans="1:27" ht="14.25">
      <c r="A36" s="20" t="s">
        <v>2914</v>
      </c>
      <c r="B36" s="18"/>
      <c r="C36" s="81"/>
      <c r="D36" s="202" t="s">
        <v>2956</v>
      </c>
      <c r="E36" s="199"/>
      <c r="F36" s="199"/>
      <c r="G36" s="199"/>
      <c r="H36" s="200"/>
      <c r="I36" s="201" t="s">
        <v>2952</v>
      </c>
      <c r="J36" s="193"/>
      <c r="K36" s="75"/>
      <c r="L36" s="75"/>
      <c r="M36" s="75"/>
      <c r="N36" s="75"/>
      <c r="O36" s="75"/>
      <c r="P36" s="75"/>
      <c r="Q36" s="75"/>
      <c r="R36" s="75"/>
      <c r="S36" s="75"/>
      <c r="T36" s="75"/>
      <c r="U36" s="75"/>
      <c r="V36" s="75"/>
      <c r="W36" s="75"/>
      <c r="X36" s="75"/>
      <c r="Y36" s="75"/>
      <c r="Z36" s="75"/>
      <c r="AA36" s="75"/>
    </row>
    <row r="37" spans="1:27" ht="14.25">
      <c r="A37" s="36" t="s">
        <v>2957</v>
      </c>
      <c r="B37" s="31"/>
      <c r="C37" s="31" t="s">
        <v>2958</v>
      </c>
      <c r="D37" s="203" t="str">
        <f>HYPERLINK("https://www.dakotainstruments.com/media/docs/Dakota_6AGM_Mass_Flow_Meter_Manual.pdf","04C706 Missing. 4-20mA")</f>
        <v>04C706 Missing. 4-20mA</v>
      </c>
      <c r="E37" s="199"/>
      <c r="F37" s="199"/>
      <c r="G37" s="199"/>
      <c r="H37" s="200"/>
      <c r="I37" s="201" t="s">
        <v>2959</v>
      </c>
      <c r="J37" s="193"/>
      <c r="K37" s="75"/>
      <c r="L37" s="75"/>
      <c r="M37" s="75"/>
      <c r="N37" s="75"/>
      <c r="O37" s="75"/>
      <c r="P37" s="75"/>
      <c r="Q37" s="75"/>
      <c r="R37" s="75"/>
      <c r="S37" s="75"/>
      <c r="T37" s="75"/>
      <c r="U37" s="75"/>
      <c r="V37" s="75"/>
      <c r="W37" s="75"/>
      <c r="X37" s="75"/>
      <c r="Y37" s="75"/>
      <c r="Z37" s="75"/>
      <c r="AA37" s="75"/>
    </row>
    <row r="38" spans="1:27" ht="14.25">
      <c r="A38" s="36" t="s">
        <v>2957</v>
      </c>
      <c r="B38" s="31"/>
      <c r="C38" s="31" t="s">
        <v>2960</v>
      </c>
      <c r="D38" s="203" t="str">
        <f>HYPERLINK("https://www.dakotainstruments.com/media/docs/Dakota_6AGM_Mass_Flow_Meter_Manual.pdf","04C707 Missing. 4-20mA")</f>
        <v>04C707 Missing. 4-20mA</v>
      </c>
      <c r="E38" s="199"/>
      <c r="F38" s="199"/>
      <c r="G38" s="199"/>
      <c r="H38" s="200"/>
      <c r="I38" s="201" t="s">
        <v>2959</v>
      </c>
      <c r="J38" s="193"/>
      <c r="K38" s="75"/>
      <c r="L38" s="75"/>
      <c r="M38" s="75"/>
      <c r="N38" s="75"/>
      <c r="O38" s="75"/>
      <c r="P38" s="75"/>
      <c r="Q38" s="75"/>
      <c r="R38" s="75"/>
      <c r="S38" s="75"/>
      <c r="T38" s="75"/>
      <c r="U38" s="75"/>
      <c r="V38" s="75"/>
      <c r="W38" s="75"/>
      <c r="X38" s="75"/>
      <c r="Y38" s="75"/>
      <c r="Z38" s="75"/>
      <c r="AA38" s="75"/>
    </row>
    <row r="39" spans="1:27" ht="14.25">
      <c r="A39" s="36" t="s">
        <v>2961</v>
      </c>
      <c r="B39" s="31"/>
      <c r="C39" s="31" t="s">
        <v>2962</v>
      </c>
      <c r="D39" s="203" t="str">
        <f>HYPERLINK("https://www.ifm.com/us/en/product/IG6083","Inductive Proximity Sensor not in the S1 head- analog input CB3. Use the attached link for the prox")</f>
        <v>Inductive Proximity Sensor not in the S1 head- analog input CB3. Use the attached link for the prox</v>
      </c>
      <c r="E39" s="199"/>
      <c r="F39" s="199"/>
      <c r="G39" s="199"/>
      <c r="H39" s="200"/>
      <c r="I39" s="204" t="s">
        <v>2963</v>
      </c>
      <c r="J39" s="200"/>
      <c r="K39" s="75"/>
      <c r="L39" s="75"/>
      <c r="M39" s="75"/>
      <c r="N39" s="75"/>
      <c r="O39" s="75"/>
      <c r="P39" s="75"/>
      <c r="Q39" s="75"/>
      <c r="R39" s="75"/>
      <c r="S39" s="75"/>
      <c r="T39" s="75"/>
      <c r="U39" s="75"/>
      <c r="V39" s="75"/>
      <c r="W39" s="75"/>
      <c r="X39" s="75"/>
      <c r="Y39" s="75"/>
      <c r="Z39" s="75"/>
      <c r="AA39" s="75"/>
    </row>
    <row r="40" spans="1:27" ht="14.25">
      <c r="A40" s="36" t="s">
        <v>2964</v>
      </c>
      <c r="B40" s="31"/>
      <c r="C40" s="31"/>
      <c r="D40" s="205" t="s">
        <v>2965</v>
      </c>
      <c r="E40" s="199"/>
      <c r="F40" s="199"/>
      <c r="G40" s="199"/>
      <c r="H40" s="200"/>
      <c r="I40" s="204"/>
      <c r="J40" s="200"/>
      <c r="K40" s="75"/>
      <c r="L40" s="75"/>
      <c r="M40" s="75"/>
      <c r="N40" s="75"/>
      <c r="O40" s="75"/>
      <c r="P40" s="75"/>
      <c r="Q40" s="75"/>
      <c r="R40" s="75"/>
      <c r="S40" s="75"/>
      <c r="T40" s="75"/>
      <c r="U40" s="75"/>
      <c r="V40" s="75"/>
      <c r="W40" s="75"/>
      <c r="X40" s="75"/>
      <c r="Y40" s="75"/>
      <c r="Z40" s="75"/>
      <c r="AA40" s="75"/>
    </row>
    <row r="41" spans="1:27" ht="14.25">
      <c r="A41" s="36" t="s">
        <v>2914</v>
      </c>
      <c r="B41" s="31"/>
      <c r="C41" s="31" t="s">
        <v>673</v>
      </c>
      <c r="D41" s="204" t="s">
        <v>2966</v>
      </c>
      <c r="E41" s="199"/>
      <c r="F41" s="199"/>
      <c r="G41" s="199"/>
      <c r="H41" s="200"/>
      <c r="I41" s="201" t="s">
        <v>2937</v>
      </c>
      <c r="J41" s="193"/>
      <c r="K41" s="75"/>
      <c r="L41" s="75"/>
      <c r="M41" s="75"/>
      <c r="N41" s="75"/>
      <c r="O41" s="75"/>
      <c r="P41" s="75"/>
      <c r="Q41" s="75"/>
      <c r="R41" s="75"/>
      <c r="S41" s="75"/>
      <c r="T41" s="75"/>
      <c r="U41" s="75"/>
      <c r="V41" s="75"/>
      <c r="W41" s="75"/>
      <c r="X41" s="75"/>
      <c r="Y41" s="75"/>
      <c r="Z41" s="75"/>
      <c r="AA41" s="75"/>
    </row>
    <row r="42" spans="1:27" ht="14.25">
      <c r="A42" s="36" t="s">
        <v>2914</v>
      </c>
      <c r="B42" s="31"/>
      <c r="C42" s="31" t="s">
        <v>681</v>
      </c>
      <c r="D42" s="204" t="s">
        <v>2967</v>
      </c>
      <c r="E42" s="199"/>
      <c r="F42" s="199"/>
      <c r="G42" s="199"/>
      <c r="H42" s="200"/>
      <c r="I42" s="201" t="s">
        <v>2937</v>
      </c>
      <c r="J42" s="193"/>
      <c r="K42" s="75"/>
      <c r="L42" s="75"/>
      <c r="M42" s="75"/>
      <c r="N42" s="75"/>
      <c r="O42" s="75"/>
      <c r="P42" s="75"/>
      <c r="Q42" s="75"/>
      <c r="R42" s="75"/>
      <c r="S42" s="75"/>
      <c r="T42" s="75"/>
      <c r="U42" s="75"/>
      <c r="V42" s="75"/>
      <c r="W42" s="75"/>
      <c r="X42" s="75"/>
      <c r="Y42" s="75"/>
      <c r="Z42" s="75"/>
      <c r="AA42" s="75"/>
    </row>
    <row r="43" spans="1:27" ht="14.25">
      <c r="A43" s="36" t="s">
        <v>2968</v>
      </c>
      <c r="B43" s="31"/>
      <c r="C43" s="31" t="s">
        <v>1397</v>
      </c>
      <c r="D43" s="204" t="s">
        <v>2969</v>
      </c>
      <c r="E43" s="199"/>
      <c r="F43" s="199"/>
      <c r="G43" s="199"/>
      <c r="H43" s="200"/>
      <c r="I43" s="204" t="s">
        <v>2970</v>
      </c>
      <c r="J43" s="200"/>
      <c r="K43" s="75"/>
      <c r="L43" s="75"/>
      <c r="M43" s="75"/>
      <c r="N43" s="75"/>
      <c r="O43" s="75"/>
      <c r="P43" s="75"/>
      <c r="Q43" s="75"/>
      <c r="R43" s="75"/>
      <c r="S43" s="75"/>
      <c r="T43" s="75"/>
      <c r="U43" s="75"/>
      <c r="V43" s="75"/>
      <c r="W43" s="75"/>
      <c r="X43" s="75"/>
      <c r="Y43" s="75"/>
      <c r="Z43" s="75"/>
      <c r="AA43" s="75"/>
    </row>
    <row r="44" spans="1:27" ht="14.25">
      <c r="A44" s="36" t="s">
        <v>2971</v>
      </c>
      <c r="B44" s="31"/>
      <c r="C44" s="31" t="s">
        <v>966</v>
      </c>
      <c r="D44" s="204" t="s">
        <v>2972</v>
      </c>
      <c r="E44" s="199"/>
      <c r="F44" s="199"/>
      <c r="G44" s="199"/>
      <c r="H44" s="200"/>
      <c r="I44" s="204" t="s">
        <v>2973</v>
      </c>
      <c r="J44" s="200"/>
      <c r="K44" s="75"/>
      <c r="L44" s="75"/>
      <c r="M44" s="75"/>
      <c r="N44" s="75"/>
      <c r="O44" s="75"/>
      <c r="P44" s="75"/>
      <c r="Q44" s="75"/>
      <c r="R44" s="75"/>
      <c r="S44" s="75"/>
      <c r="T44" s="75"/>
      <c r="U44" s="75"/>
      <c r="V44" s="75"/>
      <c r="W44" s="75"/>
      <c r="X44" s="75"/>
      <c r="Y44" s="75"/>
      <c r="Z44" s="75"/>
      <c r="AA44" s="75"/>
    </row>
    <row r="45" spans="1:27" ht="14.25">
      <c r="A45" s="36" t="s">
        <v>2971</v>
      </c>
      <c r="B45" s="31"/>
      <c r="C45" s="31" t="s">
        <v>968</v>
      </c>
      <c r="D45" s="204" t="s">
        <v>2974</v>
      </c>
      <c r="E45" s="199"/>
      <c r="F45" s="199"/>
      <c r="G45" s="199"/>
      <c r="H45" s="200"/>
      <c r="I45" s="204" t="s">
        <v>2973</v>
      </c>
      <c r="J45" s="200"/>
      <c r="K45" s="75"/>
      <c r="L45" s="75"/>
      <c r="M45" s="75"/>
      <c r="N45" s="75"/>
      <c r="O45" s="75"/>
      <c r="P45" s="75"/>
      <c r="Q45" s="75"/>
      <c r="R45" s="75"/>
      <c r="S45" s="75"/>
      <c r="T45" s="75"/>
      <c r="U45" s="75"/>
      <c r="V45" s="75"/>
      <c r="W45" s="75"/>
      <c r="X45" s="75"/>
      <c r="Y45" s="75"/>
      <c r="Z45" s="75"/>
      <c r="AA45" s="75"/>
    </row>
    <row r="46" spans="1:27" ht="14.25">
      <c r="A46" s="36" t="s">
        <v>2971</v>
      </c>
      <c r="B46" s="31"/>
      <c r="C46" s="31" t="s">
        <v>970</v>
      </c>
      <c r="D46" s="204" t="s">
        <v>2975</v>
      </c>
      <c r="E46" s="199"/>
      <c r="F46" s="199"/>
      <c r="G46" s="199"/>
      <c r="H46" s="200"/>
      <c r="I46" s="204" t="s">
        <v>2973</v>
      </c>
      <c r="J46" s="200"/>
      <c r="K46" s="75"/>
      <c r="L46" s="75"/>
      <c r="M46" s="75"/>
      <c r="N46" s="75"/>
      <c r="O46" s="75"/>
      <c r="P46" s="75"/>
      <c r="Q46" s="75"/>
      <c r="R46" s="75"/>
      <c r="S46" s="75"/>
      <c r="T46" s="75"/>
      <c r="U46" s="75"/>
      <c r="V46" s="75"/>
      <c r="W46" s="75"/>
      <c r="X46" s="75"/>
      <c r="Y46" s="75"/>
      <c r="Z46" s="75"/>
      <c r="AA46" s="75"/>
    </row>
    <row r="47" spans="1:27" ht="14.25">
      <c r="A47" s="36" t="s">
        <v>2971</v>
      </c>
      <c r="B47" s="31"/>
      <c r="C47" s="31" t="s">
        <v>972</v>
      </c>
      <c r="D47" s="204" t="s">
        <v>2976</v>
      </c>
      <c r="E47" s="199"/>
      <c r="F47" s="199"/>
      <c r="G47" s="199"/>
      <c r="H47" s="200"/>
      <c r="I47" s="204" t="s">
        <v>2973</v>
      </c>
      <c r="J47" s="200"/>
      <c r="K47" s="75"/>
      <c r="L47" s="75"/>
      <c r="M47" s="75"/>
      <c r="N47" s="75"/>
      <c r="O47" s="75"/>
      <c r="P47" s="75"/>
      <c r="Q47" s="75"/>
      <c r="R47" s="75"/>
      <c r="S47" s="75"/>
      <c r="T47" s="75"/>
      <c r="U47" s="75"/>
      <c r="V47" s="75"/>
      <c r="W47" s="75"/>
      <c r="X47" s="75"/>
      <c r="Y47" s="75"/>
      <c r="Z47" s="75"/>
      <c r="AA47" s="75"/>
    </row>
    <row r="48" spans="1:27" ht="14.25">
      <c r="A48" s="36" t="s">
        <v>2971</v>
      </c>
      <c r="B48" s="31"/>
      <c r="C48" s="31" t="s">
        <v>2374</v>
      </c>
      <c r="D48" s="204" t="s">
        <v>2977</v>
      </c>
      <c r="E48" s="199"/>
      <c r="F48" s="199"/>
      <c r="G48" s="199"/>
      <c r="H48" s="200"/>
      <c r="I48" s="204" t="s">
        <v>2978</v>
      </c>
      <c r="J48" s="200"/>
      <c r="K48" s="75"/>
      <c r="L48" s="75"/>
      <c r="M48" s="75"/>
      <c r="N48" s="75"/>
      <c r="O48" s="75"/>
      <c r="P48" s="75"/>
      <c r="Q48" s="75"/>
      <c r="R48" s="75"/>
      <c r="S48" s="75"/>
      <c r="T48" s="75"/>
      <c r="U48" s="75"/>
      <c r="V48" s="75"/>
      <c r="W48" s="75"/>
      <c r="X48" s="75"/>
      <c r="Y48" s="75"/>
      <c r="Z48" s="75"/>
      <c r="AA48" s="75"/>
    </row>
    <row r="49" spans="1:27" ht="14.25">
      <c r="A49" s="36" t="s">
        <v>2971</v>
      </c>
      <c r="B49" s="31"/>
      <c r="C49" s="31" t="s">
        <v>2375</v>
      </c>
      <c r="D49" s="204" t="s">
        <v>2979</v>
      </c>
      <c r="E49" s="199"/>
      <c r="F49" s="199"/>
      <c r="G49" s="199"/>
      <c r="H49" s="200"/>
      <c r="I49" s="204" t="s">
        <v>2978</v>
      </c>
      <c r="J49" s="200"/>
      <c r="K49" s="75"/>
      <c r="L49" s="75"/>
      <c r="M49" s="75"/>
      <c r="N49" s="75"/>
      <c r="O49" s="75"/>
      <c r="P49" s="75"/>
      <c r="Q49" s="75"/>
      <c r="R49" s="75"/>
      <c r="S49" s="75"/>
      <c r="T49" s="75"/>
      <c r="U49" s="75"/>
      <c r="V49" s="75"/>
      <c r="W49" s="75"/>
      <c r="X49" s="75"/>
      <c r="Y49" s="75"/>
      <c r="Z49" s="75"/>
      <c r="AA49" s="75"/>
    </row>
    <row r="50" spans="1:27" ht="14.25">
      <c r="A50" s="36" t="s">
        <v>2971</v>
      </c>
      <c r="B50" s="31"/>
      <c r="C50" s="31" t="s">
        <v>2398</v>
      </c>
      <c r="D50" s="204" t="s">
        <v>2980</v>
      </c>
      <c r="E50" s="199"/>
      <c r="F50" s="199"/>
      <c r="G50" s="199"/>
      <c r="H50" s="200"/>
      <c r="I50" s="204" t="s">
        <v>2978</v>
      </c>
      <c r="J50" s="200"/>
      <c r="K50" s="75"/>
      <c r="L50" s="75"/>
      <c r="M50" s="75"/>
      <c r="N50" s="75"/>
      <c r="O50" s="75"/>
      <c r="P50" s="75"/>
      <c r="Q50" s="75"/>
      <c r="R50" s="75"/>
      <c r="S50" s="75"/>
      <c r="T50" s="75"/>
      <c r="U50" s="75"/>
      <c r="V50" s="75"/>
      <c r="W50" s="75"/>
      <c r="X50" s="75"/>
      <c r="Y50" s="75"/>
      <c r="Z50" s="75"/>
      <c r="AA50" s="75"/>
    </row>
    <row r="51" spans="1:27" ht="14.25">
      <c r="A51" s="36" t="s">
        <v>2971</v>
      </c>
      <c r="B51" s="31"/>
      <c r="C51" s="31" t="s">
        <v>2399</v>
      </c>
      <c r="D51" s="204" t="s">
        <v>2981</v>
      </c>
      <c r="E51" s="199"/>
      <c r="F51" s="199"/>
      <c r="G51" s="199"/>
      <c r="H51" s="200"/>
      <c r="I51" s="204" t="s">
        <v>2978</v>
      </c>
      <c r="J51" s="200"/>
      <c r="K51" s="75"/>
      <c r="L51" s="75"/>
      <c r="M51" s="75"/>
      <c r="N51" s="75"/>
      <c r="O51" s="75"/>
      <c r="P51" s="75"/>
      <c r="Q51" s="75"/>
      <c r="R51" s="75"/>
      <c r="S51" s="75"/>
      <c r="T51" s="75"/>
      <c r="U51" s="75"/>
      <c r="V51" s="75"/>
      <c r="W51" s="75"/>
      <c r="X51" s="75"/>
      <c r="Y51" s="75"/>
      <c r="Z51" s="75"/>
      <c r="AA51" s="75"/>
    </row>
    <row r="52" spans="1:27" ht="14.25">
      <c r="A52" s="36" t="s">
        <v>2982</v>
      </c>
      <c r="B52" s="31"/>
      <c r="C52" s="31" t="s">
        <v>2983</v>
      </c>
      <c r="D52" s="204" t="s">
        <v>2984</v>
      </c>
      <c r="E52" s="199"/>
      <c r="F52" s="199"/>
      <c r="G52" s="199"/>
      <c r="H52" s="200"/>
      <c r="I52" s="204" t="s">
        <v>2970</v>
      </c>
      <c r="J52" s="200"/>
      <c r="K52" s="75"/>
      <c r="L52" s="75"/>
      <c r="M52" s="75"/>
      <c r="N52" s="75"/>
      <c r="O52" s="75"/>
      <c r="P52" s="75"/>
      <c r="Q52" s="75"/>
      <c r="R52" s="75"/>
      <c r="S52" s="75"/>
      <c r="T52" s="75"/>
      <c r="U52" s="75"/>
      <c r="V52" s="75"/>
      <c r="W52" s="75"/>
      <c r="X52" s="75"/>
      <c r="Y52" s="75"/>
      <c r="Z52" s="75"/>
      <c r="AA52" s="75"/>
    </row>
    <row r="53" spans="1:27" ht="14.25">
      <c r="A53" s="36" t="s">
        <v>2982</v>
      </c>
      <c r="B53" s="31"/>
      <c r="C53" s="31" t="s">
        <v>2985</v>
      </c>
      <c r="D53" s="204" t="s">
        <v>2986</v>
      </c>
      <c r="E53" s="199"/>
      <c r="F53" s="199"/>
      <c r="G53" s="199"/>
      <c r="H53" s="200"/>
      <c r="I53" s="204" t="s">
        <v>2970</v>
      </c>
      <c r="J53" s="200"/>
      <c r="K53" s="75"/>
      <c r="L53" s="75"/>
      <c r="M53" s="75"/>
      <c r="N53" s="75"/>
      <c r="O53" s="75"/>
      <c r="P53" s="75"/>
      <c r="Q53" s="75"/>
      <c r="R53" s="75"/>
      <c r="S53" s="75"/>
      <c r="T53" s="75"/>
      <c r="U53" s="75"/>
      <c r="V53" s="75"/>
      <c r="W53" s="75"/>
      <c r="X53" s="75"/>
      <c r="Y53" s="75"/>
      <c r="Z53" s="75"/>
      <c r="AA53" s="75"/>
    </row>
    <row r="54" spans="1:27" ht="14.25">
      <c r="A54" s="36" t="s">
        <v>2982</v>
      </c>
      <c r="B54" s="31"/>
      <c r="C54" s="31" t="s">
        <v>915</v>
      </c>
      <c r="D54" s="204" t="s">
        <v>2987</v>
      </c>
      <c r="E54" s="199"/>
      <c r="F54" s="199"/>
      <c r="G54" s="199"/>
      <c r="H54" s="200"/>
      <c r="I54" s="204" t="s">
        <v>2988</v>
      </c>
      <c r="J54" s="200"/>
      <c r="K54" s="75"/>
      <c r="L54" s="75"/>
      <c r="M54" s="75"/>
      <c r="N54" s="75"/>
      <c r="O54" s="75"/>
      <c r="P54" s="75"/>
      <c r="Q54" s="75"/>
      <c r="R54" s="75"/>
      <c r="S54" s="75"/>
      <c r="T54" s="75"/>
      <c r="U54" s="75"/>
      <c r="V54" s="75"/>
      <c r="W54" s="75"/>
      <c r="X54" s="75"/>
      <c r="Y54" s="75"/>
      <c r="Z54" s="75"/>
      <c r="AA54" s="75"/>
    </row>
    <row r="55" spans="1:27" ht="14.25">
      <c r="A55" s="36" t="s">
        <v>2982</v>
      </c>
      <c r="B55" s="31"/>
      <c r="C55" s="31" t="s">
        <v>918</v>
      </c>
      <c r="D55" s="204" t="s">
        <v>2989</v>
      </c>
      <c r="E55" s="199"/>
      <c r="F55" s="199"/>
      <c r="G55" s="199"/>
      <c r="H55" s="200"/>
      <c r="I55" s="204" t="s">
        <v>2988</v>
      </c>
      <c r="J55" s="200"/>
      <c r="K55" s="75"/>
      <c r="L55" s="75"/>
      <c r="M55" s="75"/>
      <c r="N55" s="75"/>
      <c r="O55" s="75"/>
      <c r="P55" s="75"/>
      <c r="Q55" s="75"/>
      <c r="R55" s="75"/>
      <c r="S55" s="75"/>
      <c r="T55" s="75"/>
      <c r="U55" s="75"/>
      <c r="V55" s="75"/>
      <c r="W55" s="75"/>
      <c r="X55" s="75"/>
      <c r="Y55" s="75"/>
      <c r="Z55" s="75"/>
      <c r="AA55" s="75"/>
    </row>
    <row r="56" spans="1:27" ht="14.25">
      <c r="A56" s="36" t="s">
        <v>2982</v>
      </c>
      <c r="B56" s="31"/>
      <c r="C56" s="31" t="s">
        <v>923</v>
      </c>
      <c r="D56" s="204" t="s">
        <v>2990</v>
      </c>
      <c r="E56" s="199"/>
      <c r="F56" s="199"/>
      <c r="G56" s="199"/>
      <c r="H56" s="200"/>
      <c r="I56" s="204" t="s">
        <v>2988</v>
      </c>
      <c r="J56" s="200"/>
      <c r="K56" s="75"/>
      <c r="L56" s="75"/>
      <c r="M56" s="75"/>
      <c r="N56" s="75"/>
      <c r="O56" s="75"/>
      <c r="P56" s="75"/>
      <c r="Q56" s="75"/>
      <c r="R56" s="75"/>
      <c r="S56" s="75"/>
      <c r="T56" s="75"/>
      <c r="U56" s="75"/>
      <c r="V56" s="75"/>
      <c r="W56" s="75"/>
      <c r="X56" s="75"/>
      <c r="Y56" s="75"/>
      <c r="Z56" s="75"/>
      <c r="AA56" s="75"/>
    </row>
    <row r="57" spans="1:27" ht="14.25">
      <c r="A57" s="36" t="s">
        <v>2982</v>
      </c>
      <c r="B57" s="31"/>
      <c r="C57" s="31" t="s">
        <v>928</v>
      </c>
      <c r="D57" s="204" t="s">
        <v>2991</v>
      </c>
      <c r="E57" s="199"/>
      <c r="F57" s="199"/>
      <c r="G57" s="199"/>
      <c r="H57" s="200"/>
      <c r="I57" s="204" t="s">
        <v>2988</v>
      </c>
      <c r="J57" s="200"/>
      <c r="K57" s="75"/>
      <c r="L57" s="75"/>
      <c r="M57" s="75"/>
      <c r="N57" s="75"/>
      <c r="O57" s="75"/>
      <c r="P57" s="75"/>
      <c r="Q57" s="75"/>
      <c r="R57" s="75"/>
      <c r="S57" s="75"/>
      <c r="T57" s="75"/>
      <c r="U57" s="75"/>
      <c r="V57" s="75"/>
      <c r="W57" s="75"/>
      <c r="X57" s="75"/>
      <c r="Y57" s="75"/>
      <c r="Z57" s="75"/>
      <c r="AA57" s="75"/>
    </row>
    <row r="58" spans="1:27" ht="14.25">
      <c r="A58" s="36" t="s">
        <v>2982</v>
      </c>
      <c r="B58" s="31"/>
      <c r="C58" s="31" t="s">
        <v>1034</v>
      </c>
      <c r="D58" s="204" t="s">
        <v>2992</v>
      </c>
      <c r="E58" s="199"/>
      <c r="F58" s="199"/>
      <c r="G58" s="199"/>
      <c r="H58" s="200"/>
      <c r="I58" s="204" t="s">
        <v>2970</v>
      </c>
      <c r="J58" s="200"/>
      <c r="K58" s="75"/>
      <c r="L58" s="75"/>
      <c r="M58" s="75"/>
      <c r="N58" s="75"/>
      <c r="O58" s="75"/>
      <c r="P58" s="75"/>
      <c r="Q58" s="75"/>
      <c r="R58" s="75"/>
      <c r="S58" s="75"/>
      <c r="T58" s="75"/>
      <c r="U58" s="75"/>
      <c r="V58" s="75"/>
      <c r="W58" s="75"/>
      <c r="X58" s="75"/>
      <c r="Y58" s="75"/>
      <c r="Z58" s="75"/>
      <c r="AA58" s="75"/>
    </row>
    <row r="59" spans="1:27" ht="14.25">
      <c r="A59" s="36" t="s">
        <v>2982</v>
      </c>
      <c r="B59" s="31"/>
      <c r="C59" s="31" t="s">
        <v>1036</v>
      </c>
      <c r="D59" s="204" t="s">
        <v>2993</v>
      </c>
      <c r="E59" s="199"/>
      <c r="F59" s="199"/>
      <c r="G59" s="199"/>
      <c r="H59" s="200"/>
      <c r="I59" s="204" t="s">
        <v>2988</v>
      </c>
      <c r="J59" s="200"/>
      <c r="K59" s="75"/>
      <c r="L59" s="75"/>
      <c r="M59" s="75"/>
      <c r="N59" s="75"/>
      <c r="O59" s="75"/>
      <c r="P59" s="75"/>
      <c r="Q59" s="75"/>
      <c r="R59" s="75"/>
      <c r="S59" s="75"/>
      <c r="T59" s="75"/>
      <c r="U59" s="75"/>
      <c r="V59" s="75"/>
      <c r="W59" s="75"/>
      <c r="X59" s="75"/>
      <c r="Y59" s="75"/>
      <c r="Z59" s="75"/>
      <c r="AA59" s="75"/>
    </row>
    <row r="60" spans="1:27" ht="14.25">
      <c r="A60" s="36" t="s">
        <v>2982</v>
      </c>
      <c r="B60" s="31"/>
      <c r="C60" s="31" t="s">
        <v>1038</v>
      </c>
      <c r="D60" s="204" t="s">
        <v>2994</v>
      </c>
      <c r="E60" s="199"/>
      <c r="F60" s="199"/>
      <c r="G60" s="199"/>
      <c r="H60" s="200"/>
      <c r="I60" s="204" t="s">
        <v>2988</v>
      </c>
      <c r="J60" s="200"/>
      <c r="K60" s="75"/>
      <c r="L60" s="75"/>
      <c r="M60" s="75"/>
      <c r="N60" s="75"/>
      <c r="O60" s="75"/>
      <c r="P60" s="75"/>
      <c r="Q60" s="75"/>
      <c r="R60" s="75"/>
      <c r="S60" s="75"/>
      <c r="T60" s="75"/>
      <c r="U60" s="75"/>
      <c r="V60" s="75"/>
      <c r="W60" s="75"/>
      <c r="X60" s="75"/>
      <c r="Y60" s="75"/>
      <c r="Z60" s="75"/>
      <c r="AA60" s="75"/>
    </row>
    <row r="61" spans="1:27" ht="14.25">
      <c r="A61" s="36" t="s">
        <v>2995</v>
      </c>
      <c r="B61" s="31"/>
      <c r="C61" s="31" t="s">
        <v>170</v>
      </c>
      <c r="D61" s="204" t="s">
        <v>2996</v>
      </c>
      <c r="E61" s="199"/>
      <c r="F61" s="199"/>
      <c r="G61" s="199"/>
      <c r="H61" s="200"/>
      <c r="I61" s="204" t="s">
        <v>2970</v>
      </c>
      <c r="J61" s="200"/>
      <c r="K61" s="75"/>
      <c r="L61" s="75"/>
      <c r="M61" s="75"/>
      <c r="N61" s="75"/>
      <c r="O61" s="75"/>
      <c r="P61" s="75"/>
      <c r="Q61" s="75"/>
      <c r="R61" s="75"/>
      <c r="S61" s="75"/>
      <c r="T61" s="75"/>
      <c r="U61" s="75"/>
      <c r="V61" s="75"/>
      <c r="W61" s="75"/>
      <c r="X61" s="75"/>
      <c r="Y61" s="75"/>
      <c r="Z61" s="75"/>
      <c r="AA61" s="75"/>
    </row>
    <row r="62" spans="1:27" ht="14.25">
      <c r="A62" s="36" t="s">
        <v>2995</v>
      </c>
      <c r="B62" s="31"/>
      <c r="C62" s="31" t="s">
        <v>67</v>
      </c>
      <c r="D62" s="204" t="s">
        <v>2997</v>
      </c>
      <c r="E62" s="199"/>
      <c r="F62" s="199"/>
      <c r="G62" s="199"/>
      <c r="H62" s="200"/>
      <c r="I62" s="204" t="s">
        <v>2998</v>
      </c>
      <c r="J62" s="200"/>
      <c r="K62" s="75"/>
      <c r="L62" s="75"/>
      <c r="M62" s="75"/>
      <c r="N62" s="75"/>
      <c r="O62" s="75"/>
      <c r="P62" s="75"/>
      <c r="Q62" s="75"/>
      <c r="R62" s="75"/>
      <c r="S62" s="75"/>
      <c r="T62" s="75"/>
      <c r="U62" s="75"/>
      <c r="V62" s="75"/>
      <c r="W62" s="75"/>
      <c r="X62" s="75"/>
      <c r="Y62" s="75"/>
      <c r="Z62" s="75"/>
      <c r="AA62" s="75"/>
    </row>
    <row r="63" spans="1:27" ht="14.25">
      <c r="A63" s="36" t="s">
        <v>2995</v>
      </c>
      <c r="B63" s="31"/>
      <c r="C63" s="31" t="s">
        <v>62</v>
      </c>
      <c r="D63" s="204" t="s">
        <v>2999</v>
      </c>
      <c r="E63" s="199"/>
      <c r="F63" s="199"/>
      <c r="G63" s="199"/>
      <c r="H63" s="200"/>
      <c r="I63" s="204" t="s">
        <v>2998</v>
      </c>
      <c r="J63" s="200"/>
      <c r="K63" s="75"/>
      <c r="L63" s="75"/>
      <c r="M63" s="75"/>
      <c r="N63" s="75"/>
      <c r="O63" s="75"/>
      <c r="P63" s="75"/>
      <c r="Q63" s="75"/>
      <c r="R63" s="75"/>
      <c r="S63" s="75"/>
      <c r="T63" s="75"/>
      <c r="U63" s="75"/>
      <c r="V63" s="75"/>
      <c r="W63" s="75"/>
      <c r="X63" s="75"/>
      <c r="Y63" s="75"/>
      <c r="Z63" s="75"/>
      <c r="AA63" s="75"/>
    </row>
    <row r="64" spans="1:27" ht="14.25">
      <c r="A64" s="36" t="s">
        <v>2995</v>
      </c>
      <c r="B64" s="31"/>
      <c r="C64" s="31" t="s">
        <v>177</v>
      </c>
      <c r="D64" s="204" t="s">
        <v>3000</v>
      </c>
      <c r="E64" s="199"/>
      <c r="F64" s="199"/>
      <c r="G64" s="199"/>
      <c r="H64" s="200"/>
      <c r="I64" s="204" t="s">
        <v>2970</v>
      </c>
      <c r="J64" s="200"/>
      <c r="K64" s="75"/>
      <c r="L64" s="75"/>
      <c r="M64" s="75"/>
      <c r="N64" s="75"/>
      <c r="O64" s="75"/>
      <c r="P64" s="75"/>
      <c r="Q64" s="75"/>
      <c r="R64" s="75"/>
      <c r="S64" s="75"/>
      <c r="T64" s="75"/>
      <c r="U64" s="75"/>
      <c r="V64" s="75"/>
      <c r="W64" s="75"/>
      <c r="X64" s="75"/>
      <c r="Y64" s="75"/>
      <c r="Z64" s="75"/>
      <c r="AA64" s="75"/>
    </row>
    <row r="65" spans="1:27" ht="14.25">
      <c r="A65" s="36" t="s">
        <v>2995</v>
      </c>
      <c r="B65" s="31"/>
      <c r="C65" s="31" t="s">
        <v>3001</v>
      </c>
      <c r="D65" s="204" t="s">
        <v>3002</v>
      </c>
      <c r="E65" s="199"/>
      <c r="F65" s="199"/>
      <c r="G65" s="199"/>
      <c r="H65" s="200"/>
      <c r="I65" s="204" t="s">
        <v>2970</v>
      </c>
      <c r="J65" s="200"/>
      <c r="K65" s="75"/>
      <c r="L65" s="75"/>
      <c r="M65" s="75"/>
      <c r="N65" s="75"/>
      <c r="O65" s="75"/>
      <c r="P65" s="75"/>
      <c r="Q65" s="75"/>
      <c r="R65" s="75"/>
      <c r="S65" s="75"/>
      <c r="T65" s="75"/>
      <c r="U65" s="75"/>
      <c r="V65" s="75"/>
      <c r="W65" s="75"/>
      <c r="X65" s="75"/>
      <c r="Y65" s="75"/>
      <c r="Z65" s="75"/>
      <c r="AA65" s="75"/>
    </row>
    <row r="66" spans="1:27" ht="14.25">
      <c r="A66" s="36" t="s">
        <v>2995</v>
      </c>
      <c r="B66" s="31"/>
      <c r="C66" s="31" t="s">
        <v>1027</v>
      </c>
      <c r="D66" s="204" t="s">
        <v>3003</v>
      </c>
      <c r="E66" s="199"/>
      <c r="F66" s="199"/>
      <c r="G66" s="199"/>
      <c r="H66" s="200"/>
      <c r="I66" s="204" t="s">
        <v>2988</v>
      </c>
      <c r="J66" s="200"/>
      <c r="K66" s="75"/>
      <c r="L66" s="75"/>
      <c r="M66" s="75"/>
      <c r="N66" s="75"/>
      <c r="O66" s="75"/>
      <c r="P66" s="75"/>
      <c r="Q66" s="75"/>
      <c r="R66" s="75"/>
      <c r="S66" s="75"/>
      <c r="T66" s="75"/>
      <c r="U66" s="75"/>
      <c r="V66" s="75"/>
      <c r="W66" s="75"/>
      <c r="X66" s="75"/>
      <c r="Y66" s="75"/>
      <c r="Z66" s="75"/>
      <c r="AA66" s="75"/>
    </row>
    <row r="67" spans="1:27" ht="14.25">
      <c r="A67" s="36" t="s">
        <v>2995</v>
      </c>
      <c r="B67" s="31"/>
      <c r="C67" s="31" t="s">
        <v>1030</v>
      </c>
      <c r="D67" s="204" t="s">
        <v>3003</v>
      </c>
      <c r="E67" s="199"/>
      <c r="F67" s="199"/>
      <c r="G67" s="199"/>
      <c r="H67" s="200"/>
      <c r="I67" s="204" t="s">
        <v>2988</v>
      </c>
      <c r="J67" s="200"/>
      <c r="K67" s="75"/>
      <c r="L67" s="75"/>
      <c r="M67" s="75"/>
      <c r="N67" s="75"/>
      <c r="O67" s="75"/>
      <c r="P67" s="75"/>
      <c r="Q67" s="75"/>
      <c r="R67" s="75"/>
      <c r="S67" s="75"/>
      <c r="T67" s="75"/>
      <c r="U67" s="75"/>
      <c r="V67" s="75"/>
      <c r="W67" s="75"/>
      <c r="X67" s="75"/>
      <c r="Y67" s="75"/>
      <c r="Z67" s="75"/>
      <c r="AA67" s="75"/>
    </row>
    <row r="68" spans="1:27" ht="14.25">
      <c r="A68" s="36" t="s">
        <v>2995</v>
      </c>
      <c r="B68" s="31"/>
      <c r="C68" s="31" t="s">
        <v>1032</v>
      </c>
      <c r="D68" s="204" t="s">
        <v>3003</v>
      </c>
      <c r="E68" s="199"/>
      <c r="F68" s="199"/>
      <c r="G68" s="199"/>
      <c r="H68" s="200"/>
      <c r="I68" s="204" t="s">
        <v>2988</v>
      </c>
      <c r="J68" s="200"/>
      <c r="K68" s="75"/>
      <c r="L68" s="75"/>
      <c r="M68" s="75"/>
      <c r="N68" s="75"/>
      <c r="O68" s="75"/>
      <c r="P68" s="75"/>
      <c r="Q68" s="75"/>
      <c r="R68" s="75"/>
      <c r="S68" s="75"/>
      <c r="T68" s="75"/>
      <c r="U68" s="75"/>
      <c r="V68" s="75"/>
      <c r="W68" s="75"/>
      <c r="X68" s="75"/>
      <c r="Y68" s="75"/>
      <c r="Z68" s="75"/>
      <c r="AA68" s="75"/>
    </row>
    <row r="69" spans="1:27" ht="14.25">
      <c r="A69" s="36" t="s">
        <v>3004</v>
      </c>
      <c r="B69" s="31"/>
      <c r="C69" s="31" t="s">
        <v>312</v>
      </c>
      <c r="D69" s="204" t="s">
        <v>3005</v>
      </c>
      <c r="E69" s="199"/>
      <c r="F69" s="199"/>
      <c r="G69" s="199"/>
      <c r="H69" s="200"/>
      <c r="I69" s="204" t="s">
        <v>3006</v>
      </c>
      <c r="J69" s="200"/>
      <c r="K69" s="75"/>
      <c r="L69" s="75"/>
      <c r="M69" s="75"/>
      <c r="N69" s="75"/>
      <c r="O69" s="75"/>
      <c r="P69" s="75"/>
      <c r="Q69" s="75"/>
      <c r="R69" s="75"/>
      <c r="S69" s="75"/>
      <c r="T69" s="75"/>
      <c r="U69" s="75"/>
      <c r="V69" s="75"/>
      <c r="W69" s="75"/>
      <c r="X69" s="75"/>
      <c r="Y69" s="75"/>
      <c r="Z69" s="75"/>
      <c r="AA69" s="75"/>
    </row>
    <row r="70" spans="1:27" ht="14.25">
      <c r="A70" s="36" t="s">
        <v>2995</v>
      </c>
      <c r="B70" s="31"/>
      <c r="C70" s="31" t="s">
        <v>3007</v>
      </c>
      <c r="D70" s="204" t="s">
        <v>3008</v>
      </c>
      <c r="E70" s="199"/>
      <c r="F70" s="199"/>
      <c r="G70" s="199"/>
      <c r="H70" s="200"/>
      <c r="I70" s="204" t="s">
        <v>2970</v>
      </c>
      <c r="J70" s="200"/>
      <c r="K70" s="75"/>
      <c r="L70" s="75"/>
      <c r="M70" s="75"/>
      <c r="N70" s="75"/>
      <c r="O70" s="75"/>
      <c r="P70" s="75"/>
      <c r="Q70" s="75"/>
      <c r="R70" s="75"/>
      <c r="S70" s="75"/>
      <c r="T70" s="75"/>
      <c r="U70" s="75"/>
      <c r="V70" s="75"/>
      <c r="W70" s="75"/>
      <c r="X70" s="75"/>
      <c r="Y70" s="75"/>
      <c r="Z70" s="75"/>
      <c r="AA70" s="75"/>
    </row>
    <row r="71" spans="1:27" ht="14.25">
      <c r="A71" s="36" t="s">
        <v>2995</v>
      </c>
      <c r="B71" s="31"/>
      <c r="C71" s="31" t="s">
        <v>1692</v>
      </c>
      <c r="D71" s="204" t="s">
        <v>3009</v>
      </c>
      <c r="E71" s="199"/>
      <c r="F71" s="199"/>
      <c r="G71" s="199"/>
      <c r="H71" s="200"/>
      <c r="I71" s="204" t="s">
        <v>2970</v>
      </c>
      <c r="J71" s="200"/>
      <c r="K71" s="75"/>
      <c r="L71" s="75"/>
      <c r="M71" s="75"/>
      <c r="N71" s="75"/>
      <c r="O71" s="75"/>
      <c r="P71" s="75"/>
      <c r="Q71" s="75"/>
      <c r="R71" s="75"/>
      <c r="S71" s="75"/>
      <c r="T71" s="75"/>
      <c r="U71" s="75"/>
      <c r="V71" s="75"/>
      <c r="W71" s="75"/>
      <c r="X71" s="75"/>
      <c r="Y71" s="75"/>
      <c r="Z71" s="75"/>
      <c r="AA71" s="75"/>
    </row>
    <row r="72" spans="1:27" ht="14.25">
      <c r="A72" s="36" t="s">
        <v>2995</v>
      </c>
      <c r="B72" s="31"/>
      <c r="C72" s="31" t="s">
        <v>3010</v>
      </c>
      <c r="D72" s="204" t="s">
        <v>3011</v>
      </c>
      <c r="E72" s="199"/>
      <c r="F72" s="199"/>
      <c r="G72" s="199"/>
      <c r="H72" s="200"/>
      <c r="I72" s="204" t="s">
        <v>2970</v>
      </c>
      <c r="J72" s="200"/>
      <c r="K72" s="75"/>
      <c r="L72" s="75"/>
      <c r="M72" s="75"/>
      <c r="N72" s="75"/>
      <c r="O72" s="75"/>
      <c r="P72" s="75"/>
      <c r="Q72" s="75"/>
      <c r="R72" s="75"/>
      <c r="S72" s="75"/>
      <c r="T72" s="75"/>
      <c r="U72" s="75"/>
      <c r="V72" s="75"/>
      <c r="W72" s="75"/>
      <c r="X72" s="75"/>
      <c r="Y72" s="75"/>
      <c r="Z72" s="75"/>
      <c r="AA72" s="75"/>
    </row>
    <row r="73" spans="1:27" ht="14.25">
      <c r="A73" s="36" t="s">
        <v>2995</v>
      </c>
      <c r="B73" s="31"/>
      <c r="C73" s="31" t="s">
        <v>3012</v>
      </c>
      <c r="D73" s="204" t="s">
        <v>3011</v>
      </c>
      <c r="E73" s="199"/>
      <c r="F73" s="199"/>
      <c r="G73" s="199"/>
      <c r="H73" s="200"/>
      <c r="I73" s="204" t="s">
        <v>2970</v>
      </c>
      <c r="J73" s="200"/>
      <c r="K73" s="75"/>
      <c r="L73" s="75"/>
      <c r="M73" s="75"/>
      <c r="N73" s="75"/>
      <c r="O73" s="75"/>
      <c r="P73" s="75"/>
      <c r="Q73" s="75"/>
      <c r="R73" s="75"/>
      <c r="S73" s="75"/>
      <c r="T73" s="75"/>
      <c r="U73" s="75"/>
      <c r="V73" s="75"/>
      <c r="W73" s="75"/>
      <c r="X73" s="75"/>
      <c r="Y73" s="75"/>
      <c r="Z73" s="75"/>
      <c r="AA73" s="75"/>
    </row>
    <row r="74" spans="1:27" ht="14.25">
      <c r="A74" s="36" t="s">
        <v>3013</v>
      </c>
      <c r="B74" s="31" t="s">
        <v>3014</v>
      </c>
      <c r="C74" s="31" t="s">
        <v>3015</v>
      </c>
      <c r="D74" s="204" t="s">
        <v>3016</v>
      </c>
      <c r="E74" s="199"/>
      <c r="F74" s="199"/>
      <c r="G74" s="199"/>
      <c r="H74" s="200"/>
      <c r="I74" s="204" t="s">
        <v>3017</v>
      </c>
      <c r="J74" s="200"/>
      <c r="K74" s="75"/>
      <c r="L74" s="75"/>
      <c r="M74" s="75"/>
      <c r="N74" s="75"/>
      <c r="O74" s="75"/>
      <c r="P74" s="75"/>
      <c r="Q74" s="75"/>
      <c r="R74" s="75"/>
      <c r="S74" s="75"/>
      <c r="T74" s="75"/>
      <c r="U74" s="75"/>
      <c r="V74" s="75"/>
      <c r="W74" s="75"/>
      <c r="X74" s="75"/>
      <c r="Y74" s="75"/>
      <c r="Z74" s="75"/>
      <c r="AA74" s="75"/>
    </row>
    <row r="75" spans="1:27" ht="14.25">
      <c r="A75" s="36" t="s">
        <v>3018</v>
      </c>
      <c r="B75" s="21" t="s">
        <v>3019</v>
      </c>
      <c r="C75" s="31" t="s">
        <v>615</v>
      </c>
      <c r="D75" s="204" t="s">
        <v>3020</v>
      </c>
      <c r="E75" s="199"/>
      <c r="F75" s="199"/>
      <c r="G75" s="199"/>
      <c r="H75" s="200"/>
      <c r="I75" s="204" t="s">
        <v>3006</v>
      </c>
      <c r="J75" s="200"/>
      <c r="K75" s="75"/>
      <c r="L75" s="75"/>
      <c r="M75" s="75"/>
      <c r="N75" s="75"/>
      <c r="O75" s="75"/>
      <c r="P75" s="75"/>
      <c r="Q75" s="75"/>
      <c r="R75" s="75"/>
      <c r="S75" s="75"/>
      <c r="T75" s="75"/>
      <c r="U75" s="75"/>
      <c r="V75" s="75"/>
      <c r="W75" s="75"/>
      <c r="X75" s="75"/>
      <c r="Y75" s="75"/>
      <c r="Z75" s="75"/>
      <c r="AA75" s="75"/>
    </row>
    <row r="76" spans="1:27" ht="14.25">
      <c r="A76" s="36" t="s">
        <v>3021</v>
      </c>
      <c r="B76" s="21" t="s">
        <v>3019</v>
      </c>
      <c r="C76" s="31" t="s">
        <v>592</v>
      </c>
      <c r="D76" s="204" t="s">
        <v>3020</v>
      </c>
      <c r="E76" s="199"/>
      <c r="F76" s="199"/>
      <c r="G76" s="199"/>
      <c r="H76" s="200"/>
      <c r="I76" s="204" t="s">
        <v>3006</v>
      </c>
      <c r="J76" s="200"/>
      <c r="K76" s="75"/>
      <c r="L76" s="75"/>
      <c r="M76" s="75"/>
      <c r="N76" s="75"/>
      <c r="O76" s="75"/>
      <c r="P76" s="75"/>
      <c r="Q76" s="75"/>
      <c r="R76" s="75"/>
      <c r="S76" s="75"/>
      <c r="T76" s="75"/>
      <c r="U76" s="75"/>
      <c r="V76" s="75"/>
      <c r="W76" s="75"/>
      <c r="X76" s="75"/>
      <c r="Y76" s="75"/>
      <c r="Z76" s="75"/>
      <c r="AA76" s="75"/>
    </row>
    <row r="77" spans="1:27" ht="14.25">
      <c r="A77" s="36" t="s">
        <v>3018</v>
      </c>
      <c r="B77" s="21" t="s">
        <v>3019</v>
      </c>
      <c r="C77" s="31" t="s">
        <v>3022</v>
      </c>
      <c r="D77" s="204" t="s">
        <v>3023</v>
      </c>
      <c r="E77" s="199"/>
      <c r="F77" s="199"/>
      <c r="G77" s="199"/>
      <c r="H77" s="200"/>
      <c r="I77" s="206" t="s">
        <v>3024</v>
      </c>
      <c r="J77" s="193"/>
      <c r="K77" s="75"/>
      <c r="L77" s="75"/>
      <c r="M77" s="75"/>
      <c r="N77" s="75"/>
      <c r="O77" s="75"/>
      <c r="P77" s="75"/>
      <c r="Q77" s="75"/>
      <c r="R77" s="75"/>
      <c r="S77" s="75"/>
      <c r="T77" s="75"/>
      <c r="U77" s="75"/>
      <c r="V77" s="75"/>
      <c r="W77" s="75"/>
      <c r="X77" s="75"/>
      <c r="Y77" s="75"/>
      <c r="Z77" s="75"/>
      <c r="AA77" s="75"/>
    </row>
    <row r="78" spans="1:27" ht="14.25">
      <c r="A78" s="36" t="s">
        <v>3018</v>
      </c>
      <c r="B78" s="21" t="s">
        <v>3019</v>
      </c>
      <c r="C78" s="31" t="s">
        <v>607</v>
      </c>
      <c r="D78" s="204" t="s">
        <v>3025</v>
      </c>
      <c r="E78" s="199"/>
      <c r="F78" s="199"/>
      <c r="G78" s="199"/>
      <c r="H78" s="200"/>
      <c r="I78" s="206" t="s">
        <v>3024</v>
      </c>
      <c r="J78" s="193"/>
      <c r="K78" s="75"/>
      <c r="L78" s="75"/>
      <c r="M78" s="75"/>
      <c r="N78" s="75"/>
      <c r="O78" s="75"/>
      <c r="P78" s="75"/>
      <c r="Q78" s="75"/>
      <c r="R78" s="75"/>
      <c r="S78" s="75"/>
      <c r="T78" s="75"/>
      <c r="U78" s="75"/>
      <c r="V78" s="75"/>
      <c r="W78" s="75"/>
      <c r="X78" s="75"/>
      <c r="Y78" s="75"/>
      <c r="Z78" s="75"/>
      <c r="AA78" s="75"/>
    </row>
    <row r="79" spans="1:27" ht="14.25">
      <c r="A79" s="36" t="s">
        <v>3018</v>
      </c>
      <c r="B79" s="21" t="s">
        <v>3019</v>
      </c>
      <c r="C79" s="31" t="s">
        <v>1049</v>
      </c>
      <c r="D79" s="204" t="s">
        <v>3026</v>
      </c>
      <c r="E79" s="199"/>
      <c r="F79" s="199"/>
      <c r="G79" s="199"/>
      <c r="H79" s="200"/>
      <c r="I79" s="201" t="s">
        <v>3027</v>
      </c>
      <c r="J79" s="193"/>
      <c r="K79" s="75"/>
      <c r="L79" s="75"/>
      <c r="M79" s="75"/>
      <c r="N79" s="75"/>
      <c r="O79" s="75"/>
      <c r="P79" s="75"/>
      <c r="Q79" s="75"/>
      <c r="R79" s="75"/>
      <c r="S79" s="75"/>
      <c r="T79" s="75"/>
      <c r="U79" s="75"/>
      <c r="V79" s="75"/>
      <c r="W79" s="75"/>
      <c r="X79" s="75"/>
      <c r="Y79" s="75"/>
      <c r="Z79" s="75"/>
      <c r="AA79" s="75"/>
    </row>
    <row r="80" spans="1:27" ht="14.25">
      <c r="A80" s="36" t="s">
        <v>3021</v>
      </c>
      <c r="B80" s="21" t="s">
        <v>3019</v>
      </c>
      <c r="C80" s="31" t="s">
        <v>619</v>
      </c>
      <c r="D80" s="206" t="s">
        <v>3025</v>
      </c>
      <c r="E80" s="201"/>
      <c r="F80" s="201"/>
      <c r="G80" s="201"/>
      <c r="H80" s="193"/>
      <c r="I80" s="204" t="s">
        <v>3028</v>
      </c>
      <c r="J80" s="200"/>
      <c r="K80" s="75"/>
      <c r="L80" s="75"/>
      <c r="M80" s="75"/>
      <c r="N80" s="75"/>
      <c r="O80" s="75"/>
      <c r="P80" s="75"/>
      <c r="Q80" s="75"/>
      <c r="R80" s="75"/>
      <c r="S80" s="75"/>
      <c r="T80" s="75"/>
      <c r="U80" s="75"/>
      <c r="V80" s="75"/>
      <c r="W80" s="75"/>
      <c r="X80" s="75"/>
      <c r="Y80" s="75"/>
      <c r="Z80" s="75"/>
      <c r="AA80" s="75"/>
    </row>
    <row r="81" spans="1:27" ht="14.25">
      <c r="A81" s="36" t="s">
        <v>3021</v>
      </c>
      <c r="B81" s="21" t="s">
        <v>3019</v>
      </c>
      <c r="C81" s="31" t="s">
        <v>1055</v>
      </c>
      <c r="D81" s="204" t="s">
        <v>3026</v>
      </c>
      <c r="E81" s="199"/>
      <c r="F81" s="199"/>
      <c r="G81" s="199"/>
      <c r="H81" s="200"/>
      <c r="I81" s="201" t="s">
        <v>3027</v>
      </c>
      <c r="J81" s="193"/>
      <c r="K81" s="75"/>
      <c r="L81" s="75"/>
      <c r="M81" s="75"/>
      <c r="N81" s="75"/>
      <c r="O81" s="75"/>
      <c r="P81" s="75"/>
      <c r="Q81" s="75"/>
      <c r="R81" s="75"/>
      <c r="S81" s="75"/>
      <c r="T81" s="75"/>
      <c r="U81" s="75"/>
      <c r="V81" s="75"/>
      <c r="W81" s="75"/>
      <c r="X81" s="75"/>
      <c r="Y81" s="75"/>
      <c r="Z81" s="75"/>
      <c r="AA81" s="75"/>
    </row>
    <row r="82" spans="1:27" ht="14.25">
      <c r="A82" s="36" t="s">
        <v>3021</v>
      </c>
      <c r="B82" s="21" t="s">
        <v>3019</v>
      </c>
      <c r="C82" s="31" t="s">
        <v>621</v>
      </c>
      <c r="D82" s="211" t="s">
        <v>3029</v>
      </c>
      <c r="E82" s="201"/>
      <c r="F82" s="201"/>
      <c r="G82" s="201"/>
      <c r="H82" s="193"/>
      <c r="I82" s="22" t="s">
        <v>3028</v>
      </c>
      <c r="J82" s="28"/>
      <c r="K82" s="75"/>
      <c r="L82" s="75"/>
      <c r="M82" s="75"/>
      <c r="N82" s="75"/>
      <c r="O82" s="75"/>
      <c r="P82" s="75"/>
      <c r="Q82" s="75"/>
      <c r="R82" s="75"/>
      <c r="S82" s="75"/>
      <c r="T82" s="75"/>
      <c r="U82" s="75"/>
      <c r="V82" s="75"/>
      <c r="W82" s="75"/>
      <c r="X82" s="75"/>
      <c r="Y82" s="75"/>
      <c r="Z82" s="75"/>
      <c r="AA82" s="75"/>
    </row>
    <row r="83" spans="1:27" ht="14.25">
      <c r="A83" s="36" t="s">
        <v>3018</v>
      </c>
      <c r="B83" s="21" t="s">
        <v>3019</v>
      </c>
      <c r="C83" s="31" t="s">
        <v>613</v>
      </c>
      <c r="D83" s="212" t="s">
        <v>3030</v>
      </c>
      <c r="E83" s="201"/>
      <c r="F83" s="201"/>
      <c r="G83" s="201"/>
      <c r="H83" s="193"/>
      <c r="I83" s="201" t="s">
        <v>3031</v>
      </c>
      <c r="J83" s="193"/>
      <c r="K83" s="75"/>
      <c r="L83" s="75"/>
      <c r="M83" s="75"/>
      <c r="N83" s="75"/>
      <c r="O83" s="75"/>
      <c r="P83" s="75"/>
      <c r="Q83" s="75"/>
      <c r="R83" s="75"/>
      <c r="S83" s="75"/>
      <c r="T83" s="75"/>
      <c r="U83" s="75"/>
      <c r="V83" s="75"/>
      <c r="W83" s="75"/>
      <c r="X83" s="75"/>
      <c r="Y83" s="75"/>
      <c r="Z83" s="75"/>
      <c r="AA83" s="75"/>
    </row>
    <row r="84" spans="1:27" ht="14.25">
      <c r="A84" s="36" t="s">
        <v>3021</v>
      </c>
      <c r="B84" s="21" t="s">
        <v>3019</v>
      </c>
      <c r="C84" s="31" t="s">
        <v>623</v>
      </c>
      <c r="D84" s="212" t="s">
        <v>3032</v>
      </c>
      <c r="E84" s="201"/>
      <c r="F84" s="201"/>
      <c r="G84" s="201"/>
      <c r="H84" s="193"/>
      <c r="I84" s="201" t="s">
        <v>3031</v>
      </c>
      <c r="J84" s="193"/>
      <c r="K84" s="75"/>
      <c r="L84" s="75"/>
      <c r="M84" s="75"/>
      <c r="N84" s="75"/>
      <c r="O84" s="75"/>
      <c r="P84" s="75"/>
      <c r="Q84" s="75"/>
      <c r="R84" s="75"/>
      <c r="S84" s="75"/>
      <c r="T84" s="75"/>
      <c r="U84" s="75"/>
      <c r="V84" s="75"/>
      <c r="W84" s="75"/>
      <c r="X84" s="75"/>
      <c r="Y84" s="75"/>
      <c r="Z84" s="75"/>
      <c r="AA84" s="75"/>
    </row>
    <row r="85" spans="1:27" ht="14.25">
      <c r="A85" s="36" t="s">
        <v>3021</v>
      </c>
      <c r="B85" s="21" t="s">
        <v>3019</v>
      </c>
      <c r="C85" s="31" t="s">
        <v>1051</v>
      </c>
      <c r="D85" s="204" t="s">
        <v>3033</v>
      </c>
      <c r="E85" s="199"/>
      <c r="F85" s="199"/>
      <c r="G85" s="199"/>
      <c r="H85" s="200"/>
      <c r="I85" s="201" t="s">
        <v>3027</v>
      </c>
      <c r="J85" s="193"/>
      <c r="K85" s="75"/>
      <c r="L85" s="75"/>
      <c r="M85" s="75"/>
      <c r="N85" s="75"/>
      <c r="O85" s="75"/>
      <c r="P85" s="75"/>
      <c r="Q85" s="75"/>
      <c r="R85" s="75"/>
      <c r="S85" s="75"/>
      <c r="T85" s="75"/>
      <c r="U85" s="75"/>
      <c r="V85" s="75"/>
      <c r="W85" s="75"/>
      <c r="X85" s="75"/>
      <c r="Y85" s="75"/>
      <c r="Z85" s="75"/>
      <c r="AA85" s="75"/>
    </row>
    <row r="86" spans="1:27" ht="14.25">
      <c r="A86" s="36" t="s">
        <v>3034</v>
      </c>
      <c r="B86" s="31"/>
      <c r="C86" s="31" t="s">
        <v>1053</v>
      </c>
      <c r="D86" s="204" t="s">
        <v>3035</v>
      </c>
      <c r="E86" s="199"/>
      <c r="F86" s="199"/>
      <c r="G86" s="199"/>
      <c r="H86" s="200"/>
      <c r="I86" s="201" t="s">
        <v>3027</v>
      </c>
      <c r="J86" s="193"/>
      <c r="K86" s="75"/>
      <c r="L86" s="75"/>
      <c r="M86" s="75"/>
      <c r="N86" s="75"/>
      <c r="O86" s="75"/>
      <c r="P86" s="75"/>
      <c r="Q86" s="75"/>
      <c r="R86" s="75"/>
      <c r="S86" s="75"/>
      <c r="T86" s="75"/>
      <c r="U86" s="75"/>
      <c r="V86" s="75"/>
      <c r="W86" s="75"/>
      <c r="X86" s="75"/>
      <c r="Y86" s="75"/>
      <c r="Z86" s="75"/>
      <c r="AA86" s="75"/>
    </row>
    <row r="87" spans="1:27" ht="14.25">
      <c r="A87" s="36" t="s">
        <v>2968</v>
      </c>
      <c r="B87" s="31"/>
      <c r="C87" s="31" t="s">
        <v>1475</v>
      </c>
      <c r="D87" s="204" t="s">
        <v>3036</v>
      </c>
      <c r="E87" s="199"/>
      <c r="F87" s="199"/>
      <c r="G87" s="199"/>
      <c r="H87" s="200"/>
      <c r="I87" s="201" t="s">
        <v>3037</v>
      </c>
      <c r="J87" s="193"/>
      <c r="K87" s="75"/>
      <c r="L87" s="75"/>
      <c r="M87" s="75"/>
      <c r="N87" s="75"/>
      <c r="O87" s="75"/>
      <c r="P87" s="75"/>
      <c r="Q87" s="75"/>
      <c r="R87" s="75"/>
      <c r="S87" s="75"/>
      <c r="T87" s="75"/>
      <c r="U87" s="75"/>
      <c r="V87" s="75"/>
      <c r="W87" s="75"/>
      <c r="X87" s="75"/>
      <c r="Y87" s="75"/>
      <c r="Z87" s="75"/>
      <c r="AA87" s="75"/>
    </row>
    <row r="88" spans="1:27" ht="14.25">
      <c r="A88" s="36" t="s">
        <v>2968</v>
      </c>
      <c r="B88" s="31"/>
      <c r="C88" s="31" t="s">
        <v>629</v>
      </c>
      <c r="D88" s="204" t="s">
        <v>3038</v>
      </c>
      <c r="E88" s="199"/>
      <c r="F88" s="199"/>
      <c r="G88" s="199"/>
      <c r="H88" s="200"/>
      <c r="I88" s="201" t="s">
        <v>3037</v>
      </c>
      <c r="J88" s="193"/>
      <c r="K88" s="75"/>
      <c r="L88" s="75"/>
      <c r="M88" s="75"/>
      <c r="N88" s="75"/>
      <c r="O88" s="75"/>
      <c r="P88" s="75"/>
      <c r="Q88" s="75"/>
      <c r="R88" s="75"/>
      <c r="S88" s="75"/>
      <c r="T88" s="75"/>
      <c r="U88" s="75"/>
      <c r="V88" s="75"/>
      <c r="W88" s="75"/>
      <c r="X88" s="75"/>
      <c r="Y88" s="75"/>
      <c r="Z88" s="75"/>
      <c r="AA88" s="75"/>
    </row>
    <row r="89" spans="1:27" ht="14.25">
      <c r="A89" s="36" t="s">
        <v>2968</v>
      </c>
      <c r="B89" s="23" t="s">
        <v>3039</v>
      </c>
      <c r="C89" s="31" t="s">
        <v>1060</v>
      </c>
      <c r="D89" s="204" t="s">
        <v>3040</v>
      </c>
      <c r="E89" s="199"/>
      <c r="F89" s="199"/>
      <c r="G89" s="199"/>
      <c r="H89" s="200"/>
      <c r="I89" s="201" t="s">
        <v>3037</v>
      </c>
      <c r="J89" s="193"/>
      <c r="K89" s="75"/>
      <c r="L89" s="75"/>
      <c r="M89" s="75"/>
      <c r="N89" s="75"/>
      <c r="O89" s="75"/>
      <c r="P89" s="75"/>
      <c r="Q89" s="75"/>
      <c r="R89" s="75"/>
      <c r="S89" s="75"/>
      <c r="T89" s="75"/>
      <c r="U89" s="75"/>
      <c r="V89" s="75"/>
      <c r="W89" s="75"/>
      <c r="X89" s="75"/>
      <c r="Y89" s="75"/>
      <c r="Z89" s="75"/>
      <c r="AA89" s="75"/>
    </row>
    <row r="90" spans="1:27" ht="14.25">
      <c r="A90" s="36" t="s">
        <v>2968</v>
      </c>
      <c r="B90" s="23" t="s">
        <v>3039</v>
      </c>
      <c r="C90" s="31" t="s">
        <v>1060</v>
      </c>
      <c r="D90" s="204" t="s">
        <v>3041</v>
      </c>
      <c r="E90" s="199"/>
      <c r="F90" s="199"/>
      <c r="G90" s="199"/>
      <c r="H90" s="200"/>
      <c r="I90" s="201" t="s">
        <v>3037</v>
      </c>
      <c r="J90" s="193"/>
      <c r="K90" s="75"/>
      <c r="L90" s="75"/>
      <c r="M90" s="75"/>
      <c r="N90" s="75"/>
      <c r="O90" s="75"/>
      <c r="P90" s="75"/>
      <c r="Q90" s="75"/>
      <c r="R90" s="75"/>
      <c r="S90" s="75"/>
      <c r="T90" s="75"/>
      <c r="U90" s="75"/>
      <c r="V90" s="75"/>
      <c r="W90" s="75"/>
      <c r="X90" s="75"/>
      <c r="Y90" s="75"/>
      <c r="Z90" s="75"/>
      <c r="AA90" s="75"/>
    </row>
    <row r="91" spans="1:27" ht="14.25">
      <c r="A91" s="36" t="s">
        <v>2968</v>
      </c>
      <c r="B91" s="23" t="s">
        <v>3039</v>
      </c>
      <c r="C91" s="31" t="s">
        <v>1060</v>
      </c>
      <c r="D91" s="204" t="s">
        <v>3042</v>
      </c>
      <c r="E91" s="199"/>
      <c r="F91" s="199"/>
      <c r="G91" s="199"/>
      <c r="H91" s="200"/>
      <c r="I91" s="201" t="s">
        <v>3037</v>
      </c>
      <c r="J91" s="193"/>
      <c r="K91" s="75"/>
      <c r="L91" s="75"/>
      <c r="M91" s="75"/>
      <c r="N91" s="75"/>
      <c r="O91" s="75"/>
      <c r="P91" s="75"/>
      <c r="Q91" s="75"/>
      <c r="R91" s="75"/>
      <c r="S91" s="75"/>
      <c r="T91" s="75"/>
      <c r="U91" s="75"/>
      <c r="V91" s="75"/>
      <c r="W91" s="75"/>
      <c r="X91" s="75"/>
      <c r="Y91" s="75"/>
      <c r="Z91" s="75"/>
      <c r="AA91" s="75"/>
    </row>
    <row r="92" spans="1:27" ht="14.25">
      <c r="A92" s="36" t="s">
        <v>2968</v>
      </c>
      <c r="B92" s="23" t="s">
        <v>3039</v>
      </c>
      <c r="C92" s="31" t="s">
        <v>1060</v>
      </c>
      <c r="D92" s="204" t="s">
        <v>3043</v>
      </c>
      <c r="E92" s="199"/>
      <c r="F92" s="199"/>
      <c r="G92" s="199"/>
      <c r="H92" s="200"/>
      <c r="I92" s="201" t="s">
        <v>3037</v>
      </c>
      <c r="J92" s="193"/>
      <c r="K92" s="75"/>
      <c r="L92" s="75"/>
      <c r="M92" s="75"/>
      <c r="N92" s="75"/>
      <c r="O92" s="75"/>
      <c r="P92" s="75"/>
      <c r="Q92" s="75"/>
      <c r="R92" s="75"/>
      <c r="S92" s="75"/>
      <c r="T92" s="75"/>
      <c r="U92" s="75"/>
      <c r="V92" s="75"/>
      <c r="W92" s="75"/>
      <c r="X92" s="75"/>
      <c r="Y92" s="75"/>
      <c r="Z92" s="75"/>
      <c r="AA92" s="75"/>
    </row>
    <row r="93" spans="1:27" ht="14.25">
      <c r="A93" s="36" t="s">
        <v>3044</v>
      </c>
      <c r="B93" s="31"/>
      <c r="C93" s="31" t="s">
        <v>189</v>
      </c>
      <c r="D93" s="204" t="s">
        <v>3045</v>
      </c>
      <c r="E93" s="199"/>
      <c r="F93" s="199"/>
      <c r="G93" s="199"/>
      <c r="H93" s="200"/>
      <c r="I93" s="201" t="s">
        <v>3031</v>
      </c>
      <c r="J93" s="193"/>
      <c r="K93" s="75"/>
      <c r="L93" s="75"/>
      <c r="M93" s="75"/>
      <c r="N93" s="75"/>
      <c r="O93" s="75"/>
      <c r="P93" s="75"/>
      <c r="Q93" s="75"/>
      <c r="R93" s="75"/>
      <c r="S93" s="75"/>
      <c r="T93" s="75"/>
      <c r="U93" s="75"/>
      <c r="V93" s="75"/>
      <c r="W93" s="75"/>
      <c r="X93" s="75"/>
      <c r="Y93" s="75"/>
      <c r="Z93" s="75"/>
      <c r="AA93" s="75"/>
    </row>
    <row r="94" spans="1:27" ht="14.25">
      <c r="A94" s="36" t="s">
        <v>2982</v>
      </c>
      <c r="B94" s="184"/>
      <c r="C94" s="31" t="s">
        <v>930</v>
      </c>
      <c r="D94" s="204" t="s">
        <v>3038</v>
      </c>
      <c r="E94" s="199"/>
      <c r="F94" s="199"/>
      <c r="G94" s="199"/>
      <c r="H94" s="200"/>
      <c r="I94" s="201" t="s">
        <v>3031</v>
      </c>
      <c r="J94" s="193"/>
      <c r="K94" s="75"/>
      <c r="L94" s="75"/>
      <c r="M94" s="75"/>
      <c r="N94" s="75"/>
      <c r="O94" s="75"/>
      <c r="P94" s="75"/>
      <c r="Q94" s="75"/>
      <c r="R94" s="75"/>
      <c r="S94" s="75"/>
      <c r="T94" s="75"/>
      <c r="U94" s="75"/>
      <c r="V94" s="75"/>
      <c r="W94" s="75"/>
      <c r="X94" s="75"/>
      <c r="Y94" s="75"/>
      <c r="Z94" s="75"/>
      <c r="AA94" s="75"/>
    </row>
    <row r="95" spans="1:27" ht="14.25">
      <c r="A95" s="36" t="s">
        <v>2982</v>
      </c>
      <c r="B95" s="184"/>
      <c r="C95" s="31" t="s">
        <v>936</v>
      </c>
      <c r="D95" s="204" t="s">
        <v>3038</v>
      </c>
      <c r="E95" s="199"/>
      <c r="F95" s="199"/>
      <c r="G95" s="199"/>
      <c r="H95" s="200"/>
      <c r="I95" s="201" t="s">
        <v>3031</v>
      </c>
      <c r="J95" s="193"/>
      <c r="K95" s="75"/>
      <c r="L95" s="75"/>
      <c r="M95" s="75"/>
      <c r="N95" s="75"/>
      <c r="O95" s="75"/>
      <c r="P95" s="75"/>
      <c r="Q95" s="75"/>
      <c r="R95" s="75"/>
      <c r="S95" s="75"/>
      <c r="T95" s="75"/>
      <c r="U95" s="75"/>
      <c r="V95" s="75"/>
      <c r="W95" s="75"/>
      <c r="X95" s="75"/>
      <c r="Y95" s="75"/>
      <c r="Z95" s="75"/>
      <c r="AA95" s="75"/>
    </row>
    <row r="96" spans="1:27" ht="14.25">
      <c r="A96" s="36" t="s">
        <v>2982</v>
      </c>
      <c r="B96" s="184"/>
      <c r="C96" s="31" t="s">
        <v>938</v>
      </c>
      <c r="D96" s="204" t="s">
        <v>3038</v>
      </c>
      <c r="E96" s="199"/>
      <c r="F96" s="199"/>
      <c r="G96" s="199"/>
      <c r="H96" s="200"/>
      <c r="I96" s="201" t="s">
        <v>3031</v>
      </c>
      <c r="J96" s="193"/>
      <c r="K96" s="75"/>
      <c r="L96" s="75"/>
      <c r="M96" s="75"/>
      <c r="N96" s="75"/>
      <c r="O96" s="75"/>
      <c r="P96" s="75"/>
      <c r="Q96" s="75"/>
      <c r="R96" s="75"/>
      <c r="S96" s="75"/>
      <c r="T96" s="75"/>
      <c r="U96" s="75"/>
      <c r="V96" s="75"/>
      <c r="W96" s="75"/>
      <c r="X96" s="75"/>
      <c r="Y96" s="75"/>
      <c r="Z96" s="75"/>
      <c r="AA96" s="75"/>
    </row>
    <row r="97" spans="1:27" ht="14.25">
      <c r="A97" s="24" t="s">
        <v>3046</v>
      </c>
      <c r="B97" s="25"/>
      <c r="C97" s="25"/>
      <c r="D97" s="213" t="s">
        <v>3047</v>
      </c>
      <c r="E97" s="199"/>
      <c r="F97" s="199"/>
      <c r="G97" s="199"/>
      <c r="H97" s="200"/>
      <c r="I97" s="214"/>
      <c r="J97" s="193"/>
      <c r="K97" s="26"/>
      <c r="L97" s="26"/>
      <c r="M97" s="26"/>
      <c r="N97" s="26"/>
      <c r="O97" s="26"/>
      <c r="P97" s="26"/>
      <c r="Q97" s="26"/>
      <c r="R97" s="26"/>
      <c r="S97" s="26"/>
      <c r="T97" s="26"/>
      <c r="U97" s="26"/>
      <c r="V97" s="26"/>
      <c r="W97" s="26"/>
      <c r="X97" s="26"/>
      <c r="Y97" s="26"/>
      <c r="Z97" s="26"/>
      <c r="AA97" s="26"/>
    </row>
    <row r="98" spans="1:27" ht="14.25">
      <c r="A98" s="36" t="s">
        <v>3046</v>
      </c>
      <c r="B98" s="31"/>
      <c r="C98" s="31" t="s">
        <v>556</v>
      </c>
      <c r="D98" s="204" t="s">
        <v>3048</v>
      </c>
      <c r="E98" s="199"/>
      <c r="F98" s="199"/>
      <c r="G98" s="199"/>
      <c r="H98" s="200"/>
      <c r="I98" s="201" t="s">
        <v>3049</v>
      </c>
      <c r="J98" s="193"/>
      <c r="K98" s="75"/>
      <c r="L98" s="75"/>
      <c r="M98" s="75"/>
      <c r="N98" s="75"/>
      <c r="O98" s="75"/>
      <c r="P98" s="75"/>
      <c r="Q98" s="75"/>
      <c r="R98" s="75"/>
      <c r="S98" s="75"/>
      <c r="T98" s="75"/>
      <c r="U98" s="75"/>
      <c r="V98" s="75"/>
      <c r="W98" s="75"/>
      <c r="X98" s="75"/>
      <c r="Y98" s="75"/>
      <c r="Z98" s="75"/>
      <c r="AA98" s="75"/>
    </row>
    <row r="99" spans="1:27" ht="14.25">
      <c r="A99" s="24" t="s">
        <v>3046</v>
      </c>
      <c r="B99" s="25"/>
      <c r="C99" s="25"/>
      <c r="D99" s="213" t="s">
        <v>3050</v>
      </c>
      <c r="E99" s="199"/>
      <c r="F99" s="199"/>
      <c r="G99" s="199"/>
      <c r="H99" s="200"/>
      <c r="I99" s="214"/>
      <c r="J99" s="193"/>
      <c r="K99" s="26"/>
      <c r="L99" s="26"/>
      <c r="M99" s="26"/>
      <c r="N99" s="26"/>
      <c r="O99" s="26"/>
      <c r="P99" s="26"/>
      <c r="Q99" s="26"/>
      <c r="R99" s="26"/>
      <c r="S99" s="26"/>
      <c r="T99" s="26"/>
      <c r="U99" s="26"/>
      <c r="V99" s="26"/>
      <c r="W99" s="26"/>
      <c r="X99" s="26"/>
      <c r="Y99" s="26"/>
      <c r="Z99" s="26"/>
      <c r="AA99" s="26"/>
    </row>
    <row r="100" spans="1:27" ht="14.25">
      <c r="A100" s="36" t="s">
        <v>3046</v>
      </c>
      <c r="B100" s="31"/>
      <c r="C100" s="31" t="s">
        <v>1104</v>
      </c>
      <c r="D100" s="204" t="s">
        <v>3051</v>
      </c>
      <c r="E100" s="199"/>
      <c r="F100" s="199"/>
      <c r="G100" s="199"/>
      <c r="H100" s="200"/>
      <c r="I100" s="201" t="s">
        <v>3052</v>
      </c>
      <c r="J100" s="193"/>
      <c r="K100" s="75"/>
      <c r="L100" s="75"/>
      <c r="M100" s="75"/>
      <c r="N100" s="75"/>
      <c r="O100" s="75"/>
      <c r="P100" s="75"/>
      <c r="Q100" s="75"/>
      <c r="R100" s="75"/>
      <c r="S100" s="75"/>
      <c r="T100" s="75"/>
      <c r="U100" s="75"/>
      <c r="V100" s="75"/>
      <c r="W100" s="75"/>
      <c r="X100" s="75"/>
      <c r="Y100" s="75"/>
      <c r="Z100" s="75"/>
      <c r="AA100" s="75"/>
    </row>
    <row r="101" spans="1:27" ht="14.25">
      <c r="A101" s="36" t="s">
        <v>3046</v>
      </c>
      <c r="B101" s="31"/>
      <c r="C101" s="31" t="s">
        <v>426</v>
      </c>
      <c r="D101" s="204" t="s">
        <v>3053</v>
      </c>
      <c r="E101" s="199"/>
      <c r="F101" s="199"/>
      <c r="G101" s="199"/>
      <c r="H101" s="200"/>
      <c r="I101" s="201" t="s">
        <v>3052</v>
      </c>
      <c r="J101" s="193"/>
      <c r="K101" s="75"/>
      <c r="L101" s="75"/>
      <c r="M101" s="75"/>
      <c r="N101" s="75"/>
      <c r="O101" s="75"/>
      <c r="P101" s="75"/>
      <c r="Q101" s="75"/>
      <c r="R101" s="75"/>
      <c r="S101" s="75"/>
      <c r="T101" s="75"/>
      <c r="U101" s="75"/>
      <c r="V101" s="75"/>
      <c r="W101" s="75"/>
      <c r="X101" s="75"/>
      <c r="Y101" s="75"/>
      <c r="Z101" s="75"/>
      <c r="AA101" s="75"/>
    </row>
    <row r="102" spans="1:27" ht="14.25">
      <c r="A102" s="36" t="s">
        <v>3046</v>
      </c>
      <c r="B102" s="31"/>
      <c r="C102" s="31" t="s">
        <v>1098</v>
      </c>
      <c r="D102" s="27" t="s">
        <v>3054</v>
      </c>
      <c r="E102" s="185"/>
      <c r="F102" s="185"/>
      <c r="G102" s="185"/>
      <c r="H102" s="28"/>
      <c r="I102" s="201" t="s">
        <v>3052</v>
      </c>
      <c r="J102" s="193"/>
      <c r="K102" s="75"/>
      <c r="L102" s="75"/>
      <c r="M102" s="75"/>
      <c r="N102" s="75"/>
      <c r="O102" s="75"/>
      <c r="P102" s="75"/>
      <c r="Q102" s="75"/>
      <c r="R102" s="75"/>
      <c r="S102" s="75"/>
      <c r="T102" s="75"/>
      <c r="U102" s="75"/>
      <c r="V102" s="75"/>
      <c r="W102" s="75"/>
      <c r="X102" s="75"/>
      <c r="Y102" s="75"/>
      <c r="Z102" s="75"/>
      <c r="AA102" s="75"/>
    </row>
    <row r="103" spans="1:27" ht="14.25">
      <c r="A103" s="36" t="s">
        <v>3046</v>
      </c>
      <c r="B103" s="31"/>
      <c r="C103" s="31" t="s">
        <v>428</v>
      </c>
      <c r="D103" s="204" t="s">
        <v>3053</v>
      </c>
      <c r="E103" s="199"/>
      <c r="F103" s="199"/>
      <c r="G103" s="199"/>
      <c r="H103" s="200"/>
      <c r="I103" s="201" t="s">
        <v>3052</v>
      </c>
      <c r="J103" s="193"/>
      <c r="K103" s="75"/>
      <c r="L103" s="75"/>
      <c r="M103" s="75"/>
      <c r="N103" s="75"/>
      <c r="O103" s="75"/>
      <c r="P103" s="75"/>
      <c r="Q103" s="75"/>
      <c r="R103" s="75"/>
      <c r="S103" s="75"/>
      <c r="T103" s="75"/>
      <c r="U103" s="75"/>
      <c r="V103" s="75"/>
      <c r="W103" s="75"/>
      <c r="X103" s="75"/>
      <c r="Y103" s="75"/>
      <c r="Z103" s="75"/>
      <c r="AA103" s="75"/>
    </row>
    <row r="104" spans="1:27" ht="14.25">
      <c r="A104" s="36" t="s">
        <v>3046</v>
      </c>
      <c r="B104" s="31"/>
      <c r="C104" s="31" t="s">
        <v>1100</v>
      </c>
      <c r="D104" s="27" t="s">
        <v>3055</v>
      </c>
      <c r="E104" s="185"/>
      <c r="F104" s="185"/>
      <c r="G104" s="185"/>
      <c r="H104" s="28"/>
      <c r="I104" s="201" t="s">
        <v>3052</v>
      </c>
      <c r="J104" s="193"/>
      <c r="K104" s="75"/>
      <c r="L104" s="75"/>
      <c r="M104" s="75"/>
      <c r="N104" s="75"/>
      <c r="O104" s="75"/>
      <c r="P104" s="75"/>
      <c r="Q104" s="75"/>
      <c r="R104" s="75"/>
      <c r="S104" s="75"/>
      <c r="T104" s="75"/>
      <c r="U104" s="75"/>
      <c r="V104" s="75"/>
      <c r="W104" s="75"/>
      <c r="X104" s="75"/>
      <c r="Y104" s="75"/>
      <c r="Z104" s="75"/>
      <c r="AA104" s="75"/>
    </row>
    <row r="105" spans="1:27" ht="14.25">
      <c r="A105" s="36" t="s">
        <v>3046</v>
      </c>
      <c r="B105" s="31"/>
      <c r="C105" s="31" t="s">
        <v>430</v>
      </c>
      <c r="D105" s="204" t="s">
        <v>3053</v>
      </c>
      <c r="E105" s="199"/>
      <c r="F105" s="199"/>
      <c r="G105" s="199"/>
      <c r="H105" s="200"/>
      <c r="I105" s="201" t="s">
        <v>3052</v>
      </c>
      <c r="J105" s="193"/>
      <c r="K105" s="75"/>
      <c r="L105" s="75"/>
      <c r="M105" s="75"/>
      <c r="N105" s="75"/>
      <c r="O105" s="75"/>
      <c r="P105" s="75"/>
      <c r="Q105" s="75"/>
      <c r="R105" s="75"/>
      <c r="S105" s="75"/>
      <c r="T105" s="75"/>
      <c r="U105" s="75"/>
      <c r="V105" s="75"/>
      <c r="W105" s="75"/>
      <c r="X105" s="75"/>
      <c r="Y105" s="75"/>
      <c r="Z105" s="75"/>
      <c r="AA105" s="75"/>
    </row>
    <row r="106" spans="1:27" ht="14.25">
      <c r="A106" s="36" t="s">
        <v>3046</v>
      </c>
      <c r="B106" s="31"/>
      <c r="C106" s="31" t="s">
        <v>1102</v>
      </c>
      <c r="D106" s="27" t="s">
        <v>3056</v>
      </c>
      <c r="E106" s="185"/>
      <c r="F106" s="185"/>
      <c r="G106" s="185"/>
      <c r="H106" s="28"/>
      <c r="I106" s="201" t="s">
        <v>3052</v>
      </c>
      <c r="J106" s="193"/>
      <c r="K106" s="75"/>
      <c r="L106" s="75"/>
      <c r="M106" s="75"/>
      <c r="N106" s="75"/>
      <c r="O106" s="75"/>
      <c r="P106" s="75"/>
      <c r="Q106" s="75"/>
      <c r="R106" s="75"/>
      <c r="S106" s="75"/>
      <c r="T106" s="75"/>
      <c r="U106" s="75"/>
      <c r="V106" s="75"/>
      <c r="W106" s="75"/>
      <c r="X106" s="75"/>
      <c r="Y106" s="75"/>
      <c r="Z106" s="75"/>
      <c r="AA106" s="75"/>
    </row>
    <row r="107" spans="1:27" ht="14.25">
      <c r="A107" s="36" t="s">
        <v>3046</v>
      </c>
      <c r="B107" s="31"/>
      <c r="C107" s="31" t="s">
        <v>432</v>
      </c>
      <c r="D107" s="204" t="s">
        <v>3053</v>
      </c>
      <c r="E107" s="199"/>
      <c r="F107" s="199"/>
      <c r="G107" s="199"/>
      <c r="H107" s="200"/>
      <c r="I107" s="201" t="s">
        <v>3052</v>
      </c>
      <c r="J107" s="193"/>
      <c r="K107" s="75"/>
      <c r="L107" s="75"/>
      <c r="M107" s="75"/>
      <c r="N107" s="75"/>
      <c r="O107" s="75"/>
      <c r="P107" s="75"/>
      <c r="Q107" s="75"/>
      <c r="R107" s="75"/>
      <c r="S107" s="75"/>
      <c r="T107" s="75"/>
      <c r="U107" s="75"/>
      <c r="V107" s="75"/>
      <c r="W107" s="75"/>
      <c r="X107" s="75"/>
      <c r="Y107" s="75"/>
      <c r="Z107" s="75"/>
      <c r="AA107" s="75"/>
    </row>
    <row r="108" spans="1:27" ht="14.25">
      <c r="A108" s="36" t="s">
        <v>3046</v>
      </c>
      <c r="B108" s="31"/>
      <c r="C108" s="31" t="s">
        <v>480</v>
      </c>
      <c r="D108" s="204" t="s">
        <v>3057</v>
      </c>
      <c r="E108" s="199"/>
      <c r="F108" s="199"/>
      <c r="G108" s="199"/>
      <c r="H108" s="200"/>
      <c r="I108" s="201" t="s">
        <v>3052</v>
      </c>
      <c r="J108" s="193"/>
      <c r="K108" s="75"/>
      <c r="L108" s="75"/>
      <c r="M108" s="75"/>
      <c r="N108" s="75"/>
      <c r="O108" s="75"/>
      <c r="P108" s="75"/>
      <c r="Q108" s="75"/>
      <c r="R108" s="75"/>
      <c r="S108" s="75"/>
      <c r="T108" s="75"/>
      <c r="U108" s="75"/>
      <c r="V108" s="75"/>
      <c r="W108" s="75"/>
      <c r="X108" s="75"/>
      <c r="Y108" s="75"/>
      <c r="Z108" s="75"/>
      <c r="AA108" s="75"/>
    </row>
    <row r="109" spans="1:27" ht="14.25">
      <c r="A109" s="36" t="s">
        <v>3046</v>
      </c>
      <c r="B109" s="31"/>
      <c r="C109" s="31" t="s">
        <v>563</v>
      </c>
      <c r="D109" s="204" t="s">
        <v>3058</v>
      </c>
      <c r="E109" s="199"/>
      <c r="F109" s="199"/>
      <c r="G109" s="199"/>
      <c r="H109" s="200"/>
      <c r="I109" s="201" t="s">
        <v>3052</v>
      </c>
      <c r="J109" s="193"/>
      <c r="K109" s="75"/>
      <c r="L109" s="75"/>
      <c r="M109" s="75"/>
      <c r="N109" s="75"/>
      <c r="O109" s="75"/>
      <c r="P109" s="75"/>
      <c r="Q109" s="75"/>
      <c r="R109" s="75"/>
      <c r="S109" s="75"/>
      <c r="T109" s="75"/>
      <c r="U109" s="75"/>
      <c r="V109" s="75"/>
      <c r="W109" s="75"/>
      <c r="X109" s="75"/>
      <c r="Y109" s="75"/>
      <c r="Z109" s="75"/>
      <c r="AA109" s="75"/>
    </row>
    <row r="110" spans="1:27" ht="14.25">
      <c r="A110" s="36" t="s">
        <v>3046</v>
      </c>
      <c r="B110" s="31"/>
      <c r="C110" s="31" t="s">
        <v>482</v>
      </c>
      <c r="D110" s="204" t="s">
        <v>3057</v>
      </c>
      <c r="E110" s="199"/>
      <c r="F110" s="199"/>
      <c r="G110" s="199"/>
      <c r="H110" s="200"/>
      <c r="I110" s="201" t="s">
        <v>3052</v>
      </c>
      <c r="J110" s="193"/>
      <c r="K110" s="75"/>
      <c r="L110" s="75"/>
      <c r="M110" s="75"/>
      <c r="N110" s="75"/>
      <c r="O110" s="75"/>
      <c r="P110" s="75"/>
      <c r="Q110" s="75"/>
      <c r="R110" s="75"/>
      <c r="S110" s="75"/>
      <c r="T110" s="75"/>
      <c r="U110" s="75"/>
      <c r="V110" s="75"/>
      <c r="W110" s="75"/>
      <c r="X110" s="75"/>
      <c r="Y110" s="75"/>
      <c r="Z110" s="75"/>
      <c r="AA110" s="75"/>
    </row>
    <row r="111" spans="1:27" ht="14.25">
      <c r="A111" s="36" t="s">
        <v>3046</v>
      </c>
      <c r="B111" s="31"/>
      <c r="C111" s="31" t="s">
        <v>565</v>
      </c>
      <c r="D111" s="215"/>
      <c r="E111" s="215"/>
      <c r="F111" s="215"/>
      <c r="G111" s="215"/>
      <c r="H111" s="215"/>
      <c r="I111" s="201" t="s">
        <v>3052</v>
      </c>
      <c r="J111" s="193"/>
      <c r="K111" s="75"/>
      <c r="L111" s="75"/>
      <c r="M111" s="75"/>
      <c r="N111" s="75"/>
      <c r="O111" s="75"/>
      <c r="P111" s="75"/>
      <c r="Q111" s="75"/>
      <c r="R111" s="75"/>
      <c r="S111" s="75"/>
      <c r="T111" s="75"/>
      <c r="U111" s="75"/>
      <c r="V111" s="75"/>
      <c r="W111" s="75"/>
      <c r="X111" s="75"/>
      <c r="Y111" s="75"/>
      <c r="Z111" s="75"/>
      <c r="AA111" s="75"/>
    </row>
    <row r="112" spans="1:27" ht="14.25">
      <c r="A112" s="36" t="s">
        <v>3046</v>
      </c>
      <c r="B112" s="31"/>
      <c r="C112" s="31" t="s">
        <v>1096</v>
      </c>
      <c r="D112" s="204"/>
      <c r="E112" s="199"/>
      <c r="F112" s="199"/>
      <c r="G112" s="199"/>
      <c r="H112" s="200"/>
      <c r="I112" s="201" t="s">
        <v>3052</v>
      </c>
      <c r="J112" s="193"/>
      <c r="K112" s="75"/>
      <c r="L112" s="75"/>
      <c r="M112" s="75"/>
      <c r="N112" s="75"/>
      <c r="O112" s="75"/>
      <c r="P112" s="75"/>
      <c r="Q112" s="75"/>
      <c r="R112" s="75"/>
      <c r="S112" s="75"/>
      <c r="T112" s="75"/>
      <c r="U112" s="75"/>
      <c r="V112" s="75"/>
      <c r="W112" s="75"/>
      <c r="X112" s="75"/>
      <c r="Y112" s="75"/>
      <c r="Z112" s="75"/>
      <c r="AA112" s="75"/>
    </row>
    <row r="113" spans="1:27" ht="14.25">
      <c r="A113" s="36" t="s">
        <v>3046</v>
      </c>
      <c r="B113" s="31"/>
      <c r="C113" s="31" t="s">
        <v>1094</v>
      </c>
      <c r="D113" s="204"/>
      <c r="E113" s="199"/>
      <c r="F113" s="199"/>
      <c r="G113" s="199"/>
      <c r="H113" s="200"/>
      <c r="I113" s="201" t="s">
        <v>3052</v>
      </c>
      <c r="J113" s="193"/>
      <c r="K113" s="75"/>
      <c r="L113" s="75"/>
      <c r="M113" s="75"/>
      <c r="N113" s="75"/>
      <c r="O113" s="75"/>
      <c r="P113" s="75"/>
      <c r="Q113" s="75"/>
      <c r="R113" s="75"/>
      <c r="S113" s="75"/>
      <c r="T113" s="75"/>
      <c r="U113" s="75"/>
      <c r="V113" s="75"/>
      <c r="W113" s="75"/>
      <c r="X113" s="75"/>
      <c r="Y113" s="75"/>
      <c r="Z113" s="75"/>
      <c r="AA113" s="75"/>
    </row>
    <row r="114" spans="1:27" ht="14.25">
      <c r="A114" s="36" t="s">
        <v>3046</v>
      </c>
      <c r="B114" s="31"/>
      <c r="C114" s="31" t="s">
        <v>3059</v>
      </c>
      <c r="D114" s="204" t="s">
        <v>3060</v>
      </c>
      <c r="E114" s="199"/>
      <c r="F114" s="199"/>
      <c r="G114" s="199"/>
      <c r="H114" s="200"/>
      <c r="I114" s="201" t="s">
        <v>3052</v>
      </c>
      <c r="J114" s="193"/>
      <c r="K114" s="75"/>
      <c r="L114" s="75"/>
      <c r="M114" s="75"/>
      <c r="N114" s="75"/>
      <c r="O114" s="75"/>
      <c r="P114" s="75"/>
      <c r="Q114" s="75"/>
      <c r="R114" s="75"/>
      <c r="S114" s="75"/>
      <c r="T114" s="75"/>
      <c r="U114" s="75"/>
      <c r="V114" s="75"/>
      <c r="W114" s="75"/>
      <c r="X114" s="75"/>
      <c r="Y114" s="75"/>
      <c r="Z114" s="75"/>
      <c r="AA114" s="75"/>
    </row>
    <row r="115" spans="1:27" ht="14.25">
      <c r="A115" s="36" t="s">
        <v>3046</v>
      </c>
      <c r="B115" s="31"/>
      <c r="C115" s="31" t="s">
        <v>1138</v>
      </c>
      <c r="D115" s="216" t="s">
        <v>3061</v>
      </c>
      <c r="E115" s="199"/>
      <c r="F115" s="199"/>
      <c r="G115" s="199"/>
      <c r="H115" s="200"/>
      <c r="I115" s="201" t="s">
        <v>3062</v>
      </c>
      <c r="J115" s="193"/>
      <c r="K115" s="75"/>
      <c r="L115" s="75"/>
      <c r="M115" s="75"/>
      <c r="N115" s="75"/>
      <c r="O115" s="75"/>
      <c r="P115" s="75"/>
      <c r="Q115" s="75"/>
      <c r="R115" s="75"/>
      <c r="S115" s="75"/>
      <c r="T115" s="75"/>
      <c r="U115" s="75"/>
      <c r="V115" s="75"/>
      <c r="W115" s="75"/>
      <c r="X115" s="75"/>
      <c r="Y115" s="75"/>
      <c r="Z115" s="75"/>
      <c r="AA115" s="75"/>
    </row>
    <row r="116" spans="1:27" ht="14.25">
      <c r="A116" s="29" t="s">
        <v>2982</v>
      </c>
      <c r="B116" s="30"/>
      <c r="C116" s="30" t="s">
        <v>3063</v>
      </c>
      <c r="D116" s="217" t="s">
        <v>3064</v>
      </c>
      <c r="E116" s="199"/>
      <c r="F116" s="199"/>
      <c r="G116" s="199"/>
      <c r="H116" s="200"/>
      <c r="I116" s="218" t="s">
        <v>3065</v>
      </c>
      <c r="J116" s="193"/>
      <c r="K116" s="75"/>
      <c r="L116" s="75"/>
      <c r="M116" s="75"/>
      <c r="N116" s="75"/>
      <c r="O116" s="75"/>
      <c r="P116" s="75"/>
      <c r="Q116" s="75"/>
      <c r="R116" s="75"/>
      <c r="S116" s="75"/>
      <c r="T116" s="75"/>
      <c r="U116" s="75"/>
      <c r="V116" s="75"/>
      <c r="W116" s="75"/>
      <c r="X116" s="75"/>
      <c r="Y116" s="75"/>
      <c r="Z116" s="75"/>
      <c r="AA116" s="75"/>
    </row>
    <row r="117" spans="1:27" ht="14.25">
      <c r="A117" s="36" t="s">
        <v>3066</v>
      </c>
      <c r="B117" s="31"/>
      <c r="C117" s="31" t="s">
        <v>1110</v>
      </c>
      <c r="D117" s="204" t="s">
        <v>3067</v>
      </c>
      <c r="E117" s="199"/>
      <c r="F117" s="199"/>
      <c r="G117" s="199"/>
      <c r="H117" s="200"/>
      <c r="I117" s="201" t="s">
        <v>3068</v>
      </c>
      <c r="J117" s="193"/>
      <c r="K117" s="75"/>
      <c r="L117" s="75"/>
      <c r="M117" s="75"/>
      <c r="N117" s="75"/>
      <c r="O117" s="75"/>
      <c r="P117" s="75"/>
      <c r="Q117" s="75"/>
      <c r="R117" s="75"/>
      <c r="S117" s="75"/>
      <c r="T117" s="75"/>
      <c r="U117" s="75"/>
      <c r="V117" s="75"/>
      <c r="W117" s="75"/>
      <c r="X117" s="75"/>
      <c r="Y117" s="75"/>
      <c r="Z117" s="75"/>
      <c r="AA117" s="75"/>
    </row>
    <row r="118" spans="1:27" ht="14.25">
      <c r="A118" s="36" t="s">
        <v>244</v>
      </c>
      <c r="B118" s="31"/>
      <c r="C118" s="31" t="s">
        <v>312</v>
      </c>
      <c r="D118" s="204" t="s">
        <v>3069</v>
      </c>
      <c r="E118" s="199"/>
      <c r="F118" s="199"/>
      <c r="G118" s="199"/>
      <c r="H118" s="200"/>
      <c r="I118" s="201" t="s">
        <v>3070</v>
      </c>
      <c r="J118" s="193"/>
      <c r="K118" s="75"/>
      <c r="L118" s="75"/>
      <c r="M118" s="75"/>
      <c r="N118" s="75"/>
      <c r="O118" s="75"/>
      <c r="P118" s="75"/>
      <c r="Q118" s="75"/>
      <c r="R118" s="75"/>
      <c r="S118" s="75"/>
      <c r="T118" s="75"/>
      <c r="U118" s="75"/>
      <c r="V118" s="75"/>
      <c r="W118" s="75"/>
      <c r="X118" s="75"/>
      <c r="Y118" s="75"/>
      <c r="Z118" s="75"/>
      <c r="AA118" s="75"/>
    </row>
    <row r="119" spans="1:27" ht="14.25">
      <c r="A119" s="36" t="s">
        <v>244</v>
      </c>
      <c r="B119" s="31"/>
      <c r="C119" s="31" t="s">
        <v>308</v>
      </c>
      <c r="D119" s="204" t="s">
        <v>3069</v>
      </c>
      <c r="E119" s="199"/>
      <c r="F119" s="199"/>
      <c r="G119" s="199"/>
      <c r="H119" s="200"/>
      <c r="I119" s="201" t="s">
        <v>3070</v>
      </c>
      <c r="J119" s="193"/>
      <c r="K119" s="75"/>
      <c r="L119" s="75"/>
      <c r="M119" s="75"/>
      <c r="N119" s="75"/>
      <c r="O119" s="75"/>
      <c r="P119" s="75"/>
      <c r="Q119" s="75"/>
      <c r="R119" s="75"/>
      <c r="S119" s="75"/>
      <c r="T119" s="75"/>
      <c r="U119" s="75"/>
      <c r="V119" s="75"/>
      <c r="W119" s="75"/>
      <c r="X119" s="75"/>
      <c r="Y119" s="75"/>
      <c r="Z119" s="75"/>
      <c r="AA119" s="75"/>
    </row>
    <row r="120" spans="1:27" ht="14.25">
      <c r="A120" s="36" t="s">
        <v>244</v>
      </c>
      <c r="B120" s="31"/>
      <c r="C120" s="31" t="s">
        <v>310</v>
      </c>
      <c r="D120" s="204" t="s">
        <v>3069</v>
      </c>
      <c r="E120" s="199"/>
      <c r="F120" s="199"/>
      <c r="G120" s="199"/>
      <c r="H120" s="200"/>
      <c r="I120" s="201" t="s">
        <v>3071</v>
      </c>
      <c r="J120" s="193"/>
      <c r="K120" s="75"/>
      <c r="L120" s="75"/>
      <c r="M120" s="75"/>
      <c r="N120" s="75"/>
      <c r="O120" s="75"/>
      <c r="P120" s="75"/>
      <c r="Q120" s="75"/>
      <c r="R120" s="75"/>
      <c r="S120" s="75"/>
      <c r="T120" s="75"/>
      <c r="U120" s="75"/>
      <c r="V120" s="75"/>
      <c r="W120" s="75"/>
      <c r="X120" s="75"/>
      <c r="Y120" s="75"/>
      <c r="Z120" s="75"/>
      <c r="AA120" s="75"/>
    </row>
    <row r="121" spans="1:27" ht="14.25">
      <c r="A121" s="36" t="s">
        <v>244</v>
      </c>
      <c r="B121" s="31"/>
      <c r="C121" s="31" t="s">
        <v>306</v>
      </c>
      <c r="D121" s="204" t="s">
        <v>3072</v>
      </c>
      <c r="E121" s="199"/>
      <c r="F121" s="199"/>
      <c r="G121" s="199"/>
      <c r="H121" s="200"/>
      <c r="I121" s="201" t="s">
        <v>3071</v>
      </c>
      <c r="J121" s="193"/>
      <c r="K121" s="75"/>
      <c r="L121" s="75"/>
      <c r="M121" s="75"/>
      <c r="N121" s="75"/>
      <c r="O121" s="75"/>
      <c r="P121" s="75"/>
      <c r="Q121" s="75"/>
      <c r="R121" s="75"/>
      <c r="S121" s="75"/>
      <c r="T121" s="75"/>
      <c r="U121" s="75"/>
      <c r="V121" s="75"/>
      <c r="W121" s="75"/>
      <c r="X121" s="75"/>
      <c r="Y121" s="75"/>
      <c r="Z121" s="75"/>
      <c r="AA121" s="75"/>
    </row>
    <row r="122" spans="1:27" ht="14.25">
      <c r="A122" s="36" t="s">
        <v>3073</v>
      </c>
      <c r="B122" s="31"/>
      <c r="C122" s="31" t="s">
        <v>3074</v>
      </c>
      <c r="D122" s="204" t="s">
        <v>3075</v>
      </c>
      <c r="E122" s="199"/>
      <c r="F122" s="199"/>
      <c r="G122" s="199"/>
      <c r="H122" s="200"/>
      <c r="I122" s="201" t="s">
        <v>3068</v>
      </c>
      <c r="J122" s="193"/>
      <c r="K122" s="75"/>
      <c r="L122" s="75"/>
      <c r="M122" s="75"/>
      <c r="N122" s="75"/>
      <c r="O122" s="75"/>
      <c r="P122" s="75"/>
      <c r="Q122" s="75"/>
      <c r="R122" s="75"/>
      <c r="S122" s="75"/>
      <c r="T122" s="75"/>
      <c r="U122" s="75"/>
      <c r="V122" s="75"/>
      <c r="W122" s="75"/>
      <c r="X122" s="75"/>
      <c r="Y122" s="75"/>
      <c r="Z122" s="75"/>
      <c r="AA122" s="75"/>
    </row>
    <row r="123" spans="1:27" ht="14.25">
      <c r="A123" s="36" t="s">
        <v>244</v>
      </c>
      <c r="B123" s="31"/>
      <c r="C123" s="31" t="s">
        <v>289</v>
      </c>
      <c r="D123" s="204" t="s">
        <v>3076</v>
      </c>
      <c r="E123" s="199"/>
      <c r="F123" s="199"/>
      <c r="G123" s="199"/>
      <c r="H123" s="200"/>
      <c r="I123" s="201" t="s">
        <v>3070</v>
      </c>
      <c r="J123" s="193"/>
      <c r="K123" s="75"/>
      <c r="L123" s="75"/>
      <c r="M123" s="75"/>
      <c r="N123" s="75"/>
      <c r="O123" s="75"/>
      <c r="P123" s="75"/>
      <c r="Q123" s="75"/>
      <c r="R123" s="75"/>
      <c r="S123" s="75"/>
      <c r="T123" s="75"/>
      <c r="U123" s="75"/>
      <c r="V123" s="75"/>
      <c r="W123" s="75"/>
      <c r="X123" s="75"/>
      <c r="Y123" s="75"/>
      <c r="Z123" s="75"/>
      <c r="AA123" s="75"/>
    </row>
    <row r="124" spans="1:27" ht="14.25">
      <c r="A124" s="36" t="s">
        <v>244</v>
      </c>
      <c r="B124" s="31"/>
      <c r="C124" s="31" t="s">
        <v>291</v>
      </c>
      <c r="D124" s="204" t="s">
        <v>3076</v>
      </c>
      <c r="E124" s="199"/>
      <c r="F124" s="199"/>
      <c r="G124" s="199"/>
      <c r="H124" s="200"/>
      <c r="I124" s="201" t="s">
        <v>3071</v>
      </c>
      <c r="J124" s="193"/>
      <c r="K124" s="75"/>
      <c r="L124" s="75"/>
      <c r="M124" s="75"/>
      <c r="N124" s="75"/>
      <c r="O124" s="75"/>
      <c r="P124" s="75"/>
      <c r="Q124" s="75"/>
      <c r="R124" s="75"/>
      <c r="S124" s="75"/>
      <c r="T124" s="75"/>
      <c r="U124" s="75"/>
      <c r="V124" s="75"/>
      <c r="W124" s="75"/>
      <c r="X124" s="75"/>
      <c r="Y124" s="75"/>
      <c r="Z124" s="75"/>
      <c r="AA124" s="75"/>
    </row>
    <row r="125" spans="1:27" ht="14.25">
      <c r="A125" s="36" t="s">
        <v>244</v>
      </c>
      <c r="B125" s="31"/>
      <c r="C125" s="31" t="s">
        <v>293</v>
      </c>
      <c r="D125" s="204" t="s">
        <v>3076</v>
      </c>
      <c r="E125" s="199"/>
      <c r="F125" s="199"/>
      <c r="G125" s="199"/>
      <c r="H125" s="200"/>
      <c r="I125" s="201" t="s">
        <v>3071</v>
      </c>
      <c r="J125" s="193"/>
      <c r="K125" s="75"/>
      <c r="L125" s="75"/>
      <c r="M125" s="75"/>
      <c r="N125" s="75"/>
      <c r="O125" s="75"/>
      <c r="P125" s="75"/>
      <c r="Q125" s="75"/>
      <c r="R125" s="75"/>
      <c r="S125" s="75"/>
      <c r="T125" s="75"/>
      <c r="U125" s="75"/>
      <c r="V125" s="75"/>
      <c r="W125" s="75"/>
      <c r="X125" s="75"/>
      <c r="Y125" s="75"/>
      <c r="Z125" s="75"/>
      <c r="AA125" s="75"/>
    </row>
    <row r="126" spans="1:27" ht="14.25">
      <c r="A126" s="36" t="s">
        <v>244</v>
      </c>
      <c r="B126" s="31"/>
      <c r="C126" s="31" t="s">
        <v>295</v>
      </c>
      <c r="D126" s="204" t="s">
        <v>3076</v>
      </c>
      <c r="E126" s="199"/>
      <c r="F126" s="199"/>
      <c r="G126" s="199"/>
      <c r="H126" s="200"/>
      <c r="I126" s="201" t="s">
        <v>3071</v>
      </c>
      <c r="J126" s="193"/>
      <c r="K126" s="75"/>
      <c r="L126" s="75"/>
      <c r="M126" s="75"/>
      <c r="N126" s="75"/>
      <c r="O126" s="75"/>
      <c r="P126" s="75"/>
      <c r="Q126" s="75"/>
      <c r="R126" s="75"/>
      <c r="S126" s="75"/>
      <c r="T126" s="75"/>
      <c r="U126" s="75"/>
      <c r="V126" s="75"/>
      <c r="W126" s="75"/>
      <c r="X126" s="75"/>
      <c r="Y126" s="75"/>
      <c r="Z126" s="75"/>
      <c r="AA126" s="75"/>
    </row>
    <row r="127" spans="1:27" ht="14.25">
      <c r="A127" s="36" t="s">
        <v>244</v>
      </c>
      <c r="B127" s="31"/>
      <c r="C127" s="31" t="s">
        <v>1123</v>
      </c>
      <c r="D127" s="204" t="s">
        <v>3077</v>
      </c>
      <c r="E127" s="199"/>
      <c r="F127" s="199"/>
      <c r="G127" s="199"/>
      <c r="H127" s="200"/>
      <c r="I127" s="201" t="s">
        <v>3078</v>
      </c>
      <c r="J127" s="193"/>
      <c r="K127" s="75"/>
      <c r="L127" s="75"/>
      <c r="M127" s="75"/>
      <c r="N127" s="75"/>
      <c r="O127" s="75"/>
      <c r="P127" s="75"/>
      <c r="Q127" s="75"/>
      <c r="R127" s="75"/>
      <c r="S127" s="75"/>
      <c r="T127" s="75"/>
      <c r="U127" s="75"/>
      <c r="V127" s="75"/>
      <c r="W127" s="75"/>
      <c r="X127" s="75"/>
      <c r="Y127" s="75"/>
      <c r="Z127" s="75"/>
      <c r="AA127" s="75"/>
    </row>
    <row r="128" spans="1:27" ht="14.25">
      <c r="A128" s="36" t="s">
        <v>244</v>
      </c>
      <c r="B128" s="31"/>
      <c r="C128" s="31" t="s">
        <v>286</v>
      </c>
      <c r="D128" s="204" t="s">
        <v>3079</v>
      </c>
      <c r="E128" s="199"/>
      <c r="F128" s="199"/>
      <c r="G128" s="199"/>
      <c r="H128" s="200"/>
      <c r="I128" s="204" t="s">
        <v>3080</v>
      </c>
      <c r="J128" s="200"/>
      <c r="K128" s="75"/>
      <c r="L128" s="75"/>
      <c r="M128" s="75"/>
      <c r="N128" s="75"/>
      <c r="O128" s="75"/>
      <c r="P128" s="75"/>
      <c r="Q128" s="75"/>
      <c r="R128" s="75"/>
      <c r="S128" s="75"/>
      <c r="T128" s="75"/>
      <c r="U128" s="75"/>
      <c r="V128" s="75"/>
      <c r="W128" s="75"/>
      <c r="X128" s="75"/>
      <c r="Y128" s="75"/>
      <c r="Z128" s="75"/>
      <c r="AA128" s="75"/>
    </row>
    <row r="129" spans="1:27" ht="14.25">
      <c r="A129" s="36" t="s">
        <v>244</v>
      </c>
      <c r="B129" s="31"/>
      <c r="C129" s="31" t="s">
        <v>1112</v>
      </c>
      <c r="D129" s="204" t="s">
        <v>3081</v>
      </c>
      <c r="E129" s="199"/>
      <c r="F129" s="199"/>
      <c r="G129" s="199"/>
      <c r="H129" s="200"/>
      <c r="I129" s="204" t="s">
        <v>3080</v>
      </c>
      <c r="J129" s="200"/>
      <c r="K129" s="75"/>
      <c r="L129" s="75"/>
      <c r="M129" s="75"/>
      <c r="N129" s="75"/>
      <c r="O129" s="75"/>
      <c r="P129" s="75"/>
      <c r="Q129" s="75"/>
      <c r="R129" s="75"/>
      <c r="S129" s="75"/>
      <c r="T129" s="75"/>
      <c r="U129" s="75"/>
      <c r="V129" s="75"/>
      <c r="W129" s="75"/>
      <c r="X129" s="75"/>
      <c r="Y129" s="75"/>
      <c r="Z129" s="75"/>
      <c r="AA129" s="75"/>
    </row>
    <row r="130" spans="1:27" ht="14.25">
      <c r="A130" s="36" t="s">
        <v>244</v>
      </c>
      <c r="B130" s="31"/>
      <c r="C130" s="31" t="s">
        <v>3082</v>
      </c>
      <c r="D130" s="204" t="s">
        <v>3083</v>
      </c>
      <c r="E130" s="199"/>
      <c r="F130" s="199"/>
      <c r="G130" s="199"/>
      <c r="H130" s="200"/>
      <c r="I130" s="204" t="s">
        <v>3080</v>
      </c>
      <c r="J130" s="200"/>
      <c r="K130" s="75"/>
      <c r="L130" s="75"/>
      <c r="M130" s="75"/>
      <c r="N130" s="75"/>
      <c r="O130" s="75"/>
      <c r="P130" s="75"/>
      <c r="Q130" s="75"/>
      <c r="R130" s="75"/>
      <c r="S130" s="75"/>
      <c r="T130" s="75"/>
      <c r="U130" s="75"/>
      <c r="V130" s="75"/>
      <c r="W130" s="75"/>
      <c r="X130" s="75"/>
      <c r="Y130" s="75"/>
      <c r="Z130" s="75"/>
      <c r="AA130" s="75"/>
    </row>
    <row r="131" spans="1:27" ht="14.25">
      <c r="A131" s="36" t="s">
        <v>244</v>
      </c>
      <c r="B131" s="31"/>
      <c r="C131" s="31" t="s">
        <v>1118</v>
      </c>
      <c r="D131" s="204" t="s">
        <v>3084</v>
      </c>
      <c r="E131" s="199"/>
      <c r="F131" s="199"/>
      <c r="G131" s="199"/>
      <c r="H131" s="200"/>
      <c r="I131" s="204" t="s">
        <v>3080</v>
      </c>
      <c r="J131" s="200"/>
      <c r="K131" s="75"/>
      <c r="L131" s="75"/>
      <c r="M131" s="75"/>
      <c r="N131" s="75"/>
      <c r="O131" s="75"/>
      <c r="P131" s="75"/>
      <c r="Q131" s="75"/>
      <c r="R131" s="75"/>
      <c r="S131" s="75"/>
      <c r="T131" s="75"/>
      <c r="U131" s="75"/>
      <c r="V131" s="75"/>
      <c r="W131" s="75"/>
      <c r="X131" s="75"/>
      <c r="Y131" s="75"/>
      <c r="Z131" s="75"/>
      <c r="AA131" s="75"/>
    </row>
    <row r="132" spans="1:27" ht="14.25">
      <c r="A132" s="36" t="s">
        <v>244</v>
      </c>
      <c r="B132" s="31"/>
      <c r="C132" s="31" t="s">
        <v>1121</v>
      </c>
      <c r="D132" s="204" t="s">
        <v>3085</v>
      </c>
      <c r="E132" s="199"/>
      <c r="F132" s="199"/>
      <c r="G132" s="199"/>
      <c r="H132" s="200"/>
      <c r="I132" s="204" t="s">
        <v>3080</v>
      </c>
      <c r="J132" s="200"/>
      <c r="K132" s="75"/>
      <c r="L132" s="75"/>
      <c r="M132" s="75"/>
      <c r="N132" s="75"/>
      <c r="O132" s="75"/>
      <c r="P132" s="75"/>
      <c r="Q132" s="75"/>
      <c r="R132" s="75"/>
      <c r="S132" s="75"/>
      <c r="T132" s="75"/>
      <c r="U132" s="75"/>
      <c r="V132" s="75"/>
      <c r="W132" s="75"/>
      <c r="X132" s="75"/>
      <c r="Y132" s="75"/>
      <c r="Z132" s="75"/>
      <c r="AA132" s="75"/>
    </row>
    <row r="133" spans="1:27" ht="14.25">
      <c r="A133" s="36" t="s">
        <v>244</v>
      </c>
      <c r="B133" s="31"/>
      <c r="C133" s="31" t="s">
        <v>1128</v>
      </c>
      <c r="D133" s="204" t="s">
        <v>3086</v>
      </c>
      <c r="E133" s="199"/>
      <c r="F133" s="199"/>
      <c r="G133" s="199"/>
      <c r="H133" s="200"/>
      <c r="I133" s="201" t="s">
        <v>3078</v>
      </c>
      <c r="J133" s="193"/>
      <c r="K133" s="75"/>
      <c r="L133" s="75"/>
      <c r="M133" s="75"/>
      <c r="N133" s="75"/>
      <c r="O133" s="75"/>
      <c r="P133" s="75"/>
      <c r="Q133" s="75"/>
      <c r="R133" s="75"/>
      <c r="S133" s="75"/>
      <c r="T133" s="75"/>
      <c r="U133" s="75"/>
      <c r="V133" s="75"/>
      <c r="W133" s="75"/>
      <c r="X133" s="75"/>
      <c r="Y133" s="75"/>
      <c r="Z133" s="75"/>
      <c r="AA133" s="75"/>
    </row>
    <row r="134" spans="1:27" ht="14.25">
      <c r="A134" s="36" t="s">
        <v>3087</v>
      </c>
      <c r="B134" s="31"/>
      <c r="C134" s="31" t="s">
        <v>930</v>
      </c>
      <c r="D134" s="204" t="s">
        <v>3088</v>
      </c>
      <c r="E134" s="199"/>
      <c r="F134" s="199"/>
      <c r="G134" s="199"/>
      <c r="H134" s="200"/>
      <c r="I134" s="201" t="s">
        <v>3068</v>
      </c>
      <c r="J134" s="193"/>
      <c r="K134" s="75"/>
      <c r="L134" s="75"/>
      <c r="M134" s="75"/>
      <c r="N134" s="75"/>
      <c r="O134" s="75"/>
      <c r="P134" s="75"/>
      <c r="Q134" s="75"/>
      <c r="R134" s="75"/>
      <c r="S134" s="75"/>
      <c r="T134" s="75"/>
      <c r="U134" s="75"/>
      <c r="V134" s="75"/>
      <c r="W134" s="75"/>
      <c r="X134" s="75"/>
      <c r="Y134" s="75"/>
      <c r="Z134" s="75"/>
      <c r="AA134" s="75"/>
    </row>
    <row r="135" spans="1:27" ht="14.25">
      <c r="A135" s="36" t="s">
        <v>3087</v>
      </c>
      <c r="B135" s="31"/>
      <c r="C135" s="31" t="s">
        <v>936</v>
      </c>
      <c r="D135" s="204" t="s">
        <v>3089</v>
      </c>
      <c r="E135" s="199"/>
      <c r="F135" s="199"/>
      <c r="G135" s="199"/>
      <c r="H135" s="200"/>
      <c r="I135" s="201" t="s">
        <v>3068</v>
      </c>
      <c r="J135" s="193"/>
      <c r="K135" s="75"/>
      <c r="L135" s="75"/>
      <c r="M135" s="75"/>
      <c r="N135" s="75"/>
      <c r="O135" s="75"/>
      <c r="P135" s="75"/>
      <c r="Q135" s="75"/>
      <c r="R135" s="75"/>
      <c r="S135" s="75"/>
      <c r="T135" s="75"/>
      <c r="U135" s="75"/>
      <c r="V135" s="75"/>
      <c r="W135" s="75"/>
      <c r="X135" s="75"/>
      <c r="Y135" s="75"/>
      <c r="Z135" s="75"/>
      <c r="AA135" s="75"/>
    </row>
    <row r="136" spans="1:27" ht="14.25">
      <c r="A136" s="36" t="s">
        <v>3087</v>
      </c>
      <c r="B136" s="31"/>
      <c r="C136" s="31" t="s">
        <v>938</v>
      </c>
      <c r="D136" s="204" t="s">
        <v>3090</v>
      </c>
      <c r="E136" s="199"/>
      <c r="F136" s="199"/>
      <c r="G136" s="199"/>
      <c r="H136" s="200"/>
      <c r="I136" s="201" t="s">
        <v>3062</v>
      </c>
      <c r="J136" s="193"/>
      <c r="K136" s="75"/>
      <c r="L136" s="75"/>
      <c r="M136" s="75"/>
      <c r="N136" s="75"/>
      <c r="O136" s="75"/>
      <c r="P136" s="75"/>
      <c r="Q136" s="75"/>
      <c r="R136" s="75"/>
      <c r="S136" s="75"/>
      <c r="T136" s="75"/>
      <c r="U136" s="75"/>
      <c r="V136" s="75"/>
      <c r="W136" s="75"/>
      <c r="X136" s="75"/>
      <c r="Y136" s="75"/>
      <c r="Z136" s="75"/>
      <c r="AA136" s="75"/>
    </row>
    <row r="137" spans="1:27" ht="14.25">
      <c r="A137" s="36" t="s">
        <v>3091</v>
      </c>
      <c r="B137" s="31"/>
      <c r="C137" s="31" t="s">
        <v>1140</v>
      </c>
      <c r="D137" s="204" t="s">
        <v>3092</v>
      </c>
      <c r="E137" s="199"/>
      <c r="F137" s="199"/>
      <c r="G137" s="199"/>
      <c r="H137" s="200"/>
      <c r="I137" s="201" t="s">
        <v>3093</v>
      </c>
      <c r="J137" s="193"/>
      <c r="K137" s="75"/>
      <c r="L137" s="75"/>
      <c r="M137" s="75"/>
      <c r="N137" s="75"/>
      <c r="O137" s="75"/>
      <c r="P137" s="75"/>
      <c r="Q137" s="75"/>
      <c r="R137" s="75"/>
      <c r="S137" s="75"/>
      <c r="T137" s="75"/>
      <c r="U137" s="75"/>
      <c r="V137" s="75"/>
      <c r="W137" s="75"/>
      <c r="X137" s="75"/>
      <c r="Y137" s="75"/>
      <c r="Z137" s="75"/>
      <c r="AA137" s="75"/>
    </row>
    <row r="138" spans="1:27" ht="14.25">
      <c r="A138" s="36" t="s">
        <v>3094</v>
      </c>
      <c r="B138" s="31"/>
      <c r="C138" s="31" t="s">
        <v>1130</v>
      </c>
      <c r="D138" s="204" t="s">
        <v>3095</v>
      </c>
      <c r="E138" s="199"/>
      <c r="F138" s="199"/>
      <c r="G138" s="199"/>
      <c r="H138" s="200"/>
      <c r="I138" s="201" t="s">
        <v>3093</v>
      </c>
      <c r="J138" s="193"/>
      <c r="K138" s="75"/>
      <c r="L138" s="75"/>
      <c r="M138" s="75"/>
      <c r="N138" s="75"/>
      <c r="O138" s="75"/>
      <c r="P138" s="75"/>
      <c r="Q138" s="75"/>
      <c r="R138" s="75"/>
      <c r="S138" s="75"/>
      <c r="T138" s="75"/>
      <c r="U138" s="75"/>
      <c r="V138" s="75"/>
      <c r="W138" s="75"/>
      <c r="X138" s="75"/>
      <c r="Y138" s="75"/>
      <c r="Z138" s="75"/>
      <c r="AA138" s="75"/>
    </row>
    <row r="139" spans="1:27" ht="14.25">
      <c r="A139" s="36" t="s">
        <v>3094</v>
      </c>
      <c r="B139" s="31"/>
      <c r="C139" s="31" t="s">
        <v>3096</v>
      </c>
      <c r="D139" s="204" t="s">
        <v>3097</v>
      </c>
      <c r="E139" s="199"/>
      <c r="F139" s="199"/>
      <c r="G139" s="199"/>
      <c r="H139" s="200"/>
      <c r="I139" s="201" t="s">
        <v>3093</v>
      </c>
      <c r="J139" s="193"/>
      <c r="K139" s="75"/>
      <c r="L139" s="75"/>
      <c r="M139" s="75"/>
      <c r="N139" s="75"/>
      <c r="O139" s="75"/>
      <c r="P139" s="75"/>
      <c r="Q139" s="75"/>
      <c r="R139" s="75"/>
      <c r="S139" s="75"/>
      <c r="T139" s="75"/>
      <c r="U139" s="75"/>
      <c r="V139" s="75"/>
      <c r="W139" s="75"/>
      <c r="X139" s="75"/>
      <c r="Y139" s="75"/>
      <c r="Z139" s="75"/>
      <c r="AA139" s="75"/>
    </row>
    <row r="140" spans="1:27" ht="14.25">
      <c r="A140" s="36" t="s">
        <v>3094</v>
      </c>
      <c r="B140" s="31"/>
      <c r="C140" s="31" t="s">
        <v>3098</v>
      </c>
      <c r="D140" s="204" t="s">
        <v>3099</v>
      </c>
      <c r="E140" s="199"/>
      <c r="F140" s="199"/>
      <c r="G140" s="199"/>
      <c r="H140" s="200"/>
      <c r="I140" s="204"/>
      <c r="J140" s="200"/>
      <c r="K140" s="75"/>
      <c r="L140" s="75"/>
      <c r="M140" s="75"/>
      <c r="N140" s="75"/>
      <c r="O140" s="75"/>
      <c r="P140" s="75"/>
      <c r="Q140" s="75"/>
      <c r="R140" s="75"/>
      <c r="S140" s="75"/>
      <c r="T140" s="75"/>
      <c r="U140" s="75"/>
      <c r="V140" s="75"/>
      <c r="W140" s="75"/>
      <c r="X140" s="75"/>
      <c r="Y140" s="75"/>
      <c r="Z140" s="75"/>
      <c r="AA140" s="75"/>
    </row>
    <row r="141" spans="1:27" ht="14.25">
      <c r="A141" s="36" t="s">
        <v>244</v>
      </c>
      <c r="B141" s="31"/>
      <c r="C141" s="31" t="s">
        <v>3100</v>
      </c>
      <c r="D141" s="204" t="s">
        <v>3101</v>
      </c>
      <c r="E141" s="199"/>
      <c r="F141" s="199"/>
      <c r="G141" s="199"/>
      <c r="H141" s="200"/>
      <c r="I141" s="201" t="s">
        <v>3102</v>
      </c>
      <c r="J141" s="193"/>
      <c r="K141" s="75"/>
      <c r="L141" s="75"/>
      <c r="M141" s="75"/>
      <c r="N141" s="75"/>
      <c r="O141" s="75"/>
      <c r="P141" s="75"/>
      <c r="Q141" s="75"/>
      <c r="R141" s="75"/>
      <c r="S141" s="75"/>
      <c r="T141" s="75"/>
      <c r="U141" s="75"/>
      <c r="V141" s="75"/>
      <c r="W141" s="75"/>
      <c r="X141" s="75"/>
      <c r="Y141" s="75"/>
      <c r="Z141" s="75"/>
      <c r="AA141" s="75"/>
    </row>
    <row r="142" spans="1:27" ht="14.25">
      <c r="A142" s="36" t="s">
        <v>244</v>
      </c>
      <c r="B142" s="31"/>
      <c r="C142" s="31" t="s">
        <v>3103</v>
      </c>
      <c r="D142" s="204" t="s">
        <v>3101</v>
      </c>
      <c r="E142" s="199"/>
      <c r="F142" s="199"/>
      <c r="G142" s="199"/>
      <c r="H142" s="200"/>
      <c r="I142" s="204" t="s">
        <v>3102</v>
      </c>
      <c r="J142" s="200"/>
      <c r="K142" s="75"/>
      <c r="L142" s="75"/>
      <c r="M142" s="75"/>
      <c r="N142" s="75"/>
      <c r="O142" s="75"/>
      <c r="P142" s="75"/>
      <c r="Q142" s="75"/>
      <c r="R142" s="75"/>
      <c r="S142" s="75"/>
      <c r="T142" s="75"/>
      <c r="U142" s="75"/>
      <c r="V142" s="75"/>
      <c r="W142" s="75"/>
      <c r="X142" s="75"/>
      <c r="Y142" s="75"/>
      <c r="Z142" s="75"/>
      <c r="AA142" s="75"/>
    </row>
    <row r="143" spans="1:27" ht="14.25">
      <c r="A143" s="36" t="s">
        <v>2968</v>
      </c>
      <c r="B143" s="31"/>
      <c r="C143" s="31"/>
      <c r="D143" s="204" t="s">
        <v>3104</v>
      </c>
      <c r="E143" s="199"/>
      <c r="F143" s="199"/>
      <c r="G143" s="199"/>
      <c r="H143" s="200"/>
      <c r="I143" s="204" t="s">
        <v>3105</v>
      </c>
      <c r="J143" s="200"/>
      <c r="K143" s="75"/>
      <c r="L143" s="75"/>
      <c r="M143" s="75"/>
      <c r="N143" s="75"/>
      <c r="O143" s="75"/>
      <c r="P143" s="75"/>
      <c r="Q143" s="75"/>
      <c r="R143" s="75"/>
      <c r="S143" s="75"/>
      <c r="T143" s="75"/>
      <c r="U143" s="75"/>
      <c r="V143" s="75"/>
      <c r="W143" s="75"/>
      <c r="X143" s="75"/>
      <c r="Y143" s="75"/>
      <c r="Z143" s="75"/>
      <c r="AA143" s="75"/>
    </row>
    <row r="144" spans="1:27" ht="14.25">
      <c r="A144" s="36" t="s">
        <v>2968</v>
      </c>
      <c r="B144" s="31"/>
      <c r="C144" s="31"/>
      <c r="D144" s="219" t="s">
        <v>3106</v>
      </c>
      <c r="E144" s="199"/>
      <c r="F144" s="199"/>
      <c r="G144" s="199"/>
      <c r="H144" s="200"/>
      <c r="I144" s="204" t="s">
        <v>3107</v>
      </c>
      <c r="J144" s="200"/>
      <c r="K144" s="75"/>
      <c r="L144" s="75"/>
      <c r="M144" s="75"/>
      <c r="N144" s="75"/>
      <c r="O144" s="75"/>
      <c r="P144" s="75"/>
      <c r="Q144" s="75"/>
      <c r="R144" s="75"/>
      <c r="S144" s="75"/>
      <c r="T144" s="75"/>
      <c r="U144" s="75"/>
      <c r="V144" s="75"/>
      <c r="W144" s="75"/>
      <c r="X144" s="75"/>
      <c r="Y144" s="75"/>
      <c r="Z144" s="75"/>
      <c r="AA144" s="75"/>
    </row>
    <row r="145" spans="1:27" ht="14.25">
      <c r="A145" s="36" t="s">
        <v>2968</v>
      </c>
      <c r="B145" s="31"/>
      <c r="C145" s="31"/>
      <c r="D145" s="219" t="s">
        <v>3108</v>
      </c>
      <c r="E145" s="199"/>
      <c r="F145" s="199"/>
      <c r="G145" s="199"/>
      <c r="H145" s="200"/>
      <c r="I145" s="204" t="s">
        <v>3107</v>
      </c>
      <c r="J145" s="200"/>
      <c r="K145" s="75"/>
      <c r="L145" s="75"/>
      <c r="M145" s="75"/>
      <c r="N145" s="75"/>
      <c r="O145" s="75"/>
      <c r="P145" s="75"/>
      <c r="Q145" s="75"/>
      <c r="R145" s="75"/>
      <c r="S145" s="75"/>
      <c r="T145" s="75"/>
      <c r="U145" s="75"/>
      <c r="V145" s="75"/>
      <c r="W145" s="75"/>
      <c r="X145" s="75"/>
      <c r="Y145" s="75"/>
      <c r="Z145" s="75"/>
      <c r="AA145" s="75"/>
    </row>
    <row r="146" spans="1:27" ht="14.25">
      <c r="A146" s="36" t="s">
        <v>2968</v>
      </c>
      <c r="B146" s="31"/>
      <c r="C146" s="31"/>
      <c r="D146" s="204" t="s">
        <v>3109</v>
      </c>
      <c r="E146" s="199"/>
      <c r="F146" s="199"/>
      <c r="G146" s="199"/>
      <c r="H146" s="200"/>
      <c r="I146" s="201" t="s">
        <v>3062</v>
      </c>
      <c r="J146" s="193"/>
      <c r="K146" s="75"/>
      <c r="L146" s="75"/>
      <c r="M146" s="75"/>
      <c r="N146" s="75"/>
      <c r="O146" s="75"/>
      <c r="P146" s="75"/>
      <c r="Q146" s="75"/>
      <c r="R146" s="75"/>
      <c r="S146" s="75"/>
      <c r="T146" s="75"/>
      <c r="U146" s="75"/>
      <c r="V146" s="75"/>
      <c r="W146" s="75"/>
      <c r="X146" s="75"/>
      <c r="Y146" s="75"/>
      <c r="Z146" s="75"/>
      <c r="AA146" s="75"/>
    </row>
    <row r="147" spans="1:27" ht="14.25">
      <c r="A147" s="36" t="s">
        <v>2968</v>
      </c>
      <c r="B147" s="31"/>
      <c r="C147" s="31" t="s">
        <v>2138</v>
      </c>
      <c r="D147" s="204" t="s">
        <v>3110</v>
      </c>
      <c r="E147" s="199"/>
      <c r="F147" s="199"/>
      <c r="G147" s="199"/>
      <c r="H147" s="200"/>
      <c r="I147" s="204" t="s">
        <v>3111</v>
      </c>
      <c r="J147" s="200"/>
      <c r="K147" s="75"/>
      <c r="L147" s="75"/>
      <c r="M147" s="75"/>
      <c r="N147" s="75"/>
      <c r="O147" s="75"/>
      <c r="P147" s="75"/>
      <c r="Q147" s="75"/>
      <c r="R147" s="75"/>
      <c r="S147" s="75"/>
      <c r="T147" s="75"/>
      <c r="U147" s="75"/>
      <c r="V147" s="75"/>
      <c r="W147" s="75"/>
      <c r="X147" s="75"/>
      <c r="Y147" s="75"/>
      <c r="Z147" s="75"/>
      <c r="AA147" s="75"/>
    </row>
    <row r="148" spans="1:27" ht="14.25">
      <c r="A148" s="36" t="s">
        <v>3112</v>
      </c>
      <c r="B148" s="31"/>
      <c r="C148" s="31"/>
      <c r="D148" s="204" t="s">
        <v>3113</v>
      </c>
      <c r="E148" s="199"/>
      <c r="F148" s="199"/>
      <c r="G148" s="199"/>
      <c r="H148" s="200"/>
      <c r="I148" s="201" t="s">
        <v>3114</v>
      </c>
      <c r="J148" s="193"/>
      <c r="K148" s="75"/>
      <c r="L148" s="75"/>
      <c r="M148" s="75"/>
      <c r="N148" s="75"/>
      <c r="O148" s="75"/>
      <c r="P148" s="75"/>
      <c r="Q148" s="75"/>
      <c r="R148" s="75"/>
      <c r="S148" s="75"/>
      <c r="T148" s="75"/>
      <c r="U148" s="75"/>
      <c r="V148" s="75"/>
      <c r="W148" s="75"/>
      <c r="X148" s="75"/>
      <c r="Y148" s="75"/>
      <c r="Z148" s="75"/>
      <c r="AA148" s="75"/>
    </row>
    <row r="149" spans="1:27" ht="14.25">
      <c r="A149" s="36" t="s">
        <v>318</v>
      </c>
      <c r="B149" s="31"/>
      <c r="C149" s="31"/>
      <c r="D149" s="204" t="s">
        <v>3115</v>
      </c>
      <c r="E149" s="199"/>
      <c r="F149" s="199"/>
      <c r="G149" s="199"/>
      <c r="H149" s="200"/>
      <c r="I149" s="201" t="s">
        <v>3114</v>
      </c>
      <c r="J149" s="193"/>
      <c r="K149" s="75"/>
      <c r="L149" s="75"/>
      <c r="M149" s="75"/>
      <c r="N149" s="75"/>
      <c r="O149" s="75"/>
      <c r="P149" s="75"/>
      <c r="Q149" s="75"/>
      <c r="R149" s="75"/>
      <c r="S149" s="75"/>
      <c r="T149" s="75"/>
      <c r="U149" s="75"/>
      <c r="V149" s="75"/>
      <c r="W149" s="75"/>
      <c r="X149" s="75"/>
      <c r="Y149" s="75"/>
      <c r="Z149" s="75"/>
      <c r="AA149" s="75"/>
    </row>
    <row r="150" spans="1:27" ht="14.25">
      <c r="A150" s="36" t="s">
        <v>3116</v>
      </c>
      <c r="B150" s="31"/>
      <c r="C150" s="31" t="s">
        <v>1150</v>
      </c>
      <c r="D150" s="204" t="s">
        <v>3117</v>
      </c>
      <c r="E150" s="199"/>
      <c r="F150" s="199"/>
      <c r="G150" s="199"/>
      <c r="H150" s="200"/>
      <c r="I150" s="201" t="s">
        <v>3118</v>
      </c>
      <c r="J150" s="193"/>
      <c r="K150" s="75"/>
      <c r="L150" s="75"/>
      <c r="M150" s="75"/>
      <c r="N150" s="75"/>
      <c r="O150" s="75"/>
      <c r="P150" s="75"/>
      <c r="Q150" s="75"/>
      <c r="R150" s="75"/>
      <c r="S150" s="75"/>
      <c r="T150" s="75"/>
      <c r="U150" s="75"/>
      <c r="V150" s="75"/>
      <c r="W150" s="75"/>
      <c r="X150" s="75"/>
      <c r="Y150" s="75"/>
      <c r="Z150" s="75"/>
      <c r="AA150" s="75"/>
    </row>
    <row r="151" spans="1:27" ht="14.25">
      <c r="A151" s="36" t="s">
        <v>3116</v>
      </c>
      <c r="B151" s="31"/>
      <c r="C151" s="31" t="s">
        <v>1153</v>
      </c>
      <c r="D151" s="204" t="s">
        <v>3117</v>
      </c>
      <c r="E151" s="199"/>
      <c r="F151" s="199"/>
      <c r="G151" s="199"/>
      <c r="H151" s="200"/>
      <c r="I151" s="201" t="s">
        <v>3118</v>
      </c>
      <c r="J151" s="193"/>
      <c r="K151" s="75"/>
      <c r="L151" s="75"/>
      <c r="M151" s="75"/>
      <c r="N151" s="75"/>
      <c r="O151" s="75"/>
      <c r="P151" s="75"/>
      <c r="Q151" s="75"/>
      <c r="R151" s="75"/>
      <c r="S151" s="75"/>
      <c r="T151" s="75"/>
      <c r="U151" s="75"/>
      <c r="V151" s="75"/>
      <c r="W151" s="75"/>
      <c r="X151" s="75"/>
      <c r="Y151" s="75"/>
      <c r="Z151" s="75"/>
      <c r="AA151" s="75"/>
    </row>
    <row r="152" spans="1:27" ht="14.25">
      <c r="A152" s="36" t="s">
        <v>3116</v>
      </c>
      <c r="B152" s="31"/>
      <c r="C152" s="31" t="s">
        <v>1155</v>
      </c>
      <c r="D152" s="204" t="s">
        <v>3117</v>
      </c>
      <c r="E152" s="199"/>
      <c r="F152" s="199"/>
      <c r="G152" s="199"/>
      <c r="H152" s="200"/>
      <c r="I152" s="201" t="s">
        <v>3118</v>
      </c>
      <c r="J152" s="193"/>
      <c r="K152" s="75"/>
      <c r="L152" s="75"/>
      <c r="M152" s="75"/>
      <c r="N152" s="75"/>
      <c r="O152" s="75"/>
      <c r="P152" s="75"/>
      <c r="Q152" s="75"/>
      <c r="R152" s="75"/>
      <c r="S152" s="75"/>
      <c r="T152" s="75"/>
      <c r="U152" s="75"/>
      <c r="V152" s="75"/>
      <c r="W152" s="75"/>
      <c r="X152" s="75"/>
      <c r="Y152" s="75"/>
      <c r="Z152" s="75"/>
      <c r="AA152" s="75"/>
    </row>
    <row r="153" spans="1:27" ht="14.25">
      <c r="A153" s="36" t="s">
        <v>3116</v>
      </c>
      <c r="B153" s="31"/>
      <c r="C153" s="31" t="s">
        <v>1156</v>
      </c>
      <c r="D153" s="204" t="s">
        <v>3117</v>
      </c>
      <c r="E153" s="199"/>
      <c r="F153" s="199"/>
      <c r="G153" s="199"/>
      <c r="H153" s="200"/>
      <c r="I153" s="201" t="s">
        <v>3118</v>
      </c>
      <c r="J153" s="193"/>
      <c r="K153" s="75"/>
      <c r="L153" s="75"/>
      <c r="M153" s="75"/>
      <c r="N153" s="75"/>
      <c r="O153" s="75"/>
      <c r="P153" s="75"/>
      <c r="Q153" s="75"/>
      <c r="R153" s="75"/>
      <c r="S153" s="75"/>
      <c r="T153" s="75"/>
      <c r="U153" s="75"/>
      <c r="V153" s="75"/>
      <c r="W153" s="75"/>
      <c r="X153" s="75"/>
      <c r="Y153" s="75"/>
      <c r="Z153" s="75"/>
      <c r="AA153" s="75"/>
    </row>
    <row r="154" spans="1:27" ht="14.25">
      <c r="A154" s="36" t="s">
        <v>3116</v>
      </c>
      <c r="B154" s="31"/>
      <c r="C154" s="31" t="s">
        <v>1158</v>
      </c>
      <c r="D154" s="204" t="s">
        <v>3117</v>
      </c>
      <c r="E154" s="199"/>
      <c r="F154" s="199"/>
      <c r="G154" s="199"/>
      <c r="H154" s="200"/>
      <c r="I154" s="201" t="s">
        <v>3118</v>
      </c>
      <c r="J154" s="193"/>
      <c r="K154" s="75"/>
      <c r="L154" s="75"/>
      <c r="M154" s="75"/>
      <c r="N154" s="75"/>
      <c r="O154" s="75"/>
      <c r="P154" s="75"/>
      <c r="Q154" s="75"/>
      <c r="R154" s="75"/>
      <c r="S154" s="75"/>
      <c r="T154" s="75"/>
      <c r="U154" s="75"/>
      <c r="V154" s="75"/>
      <c r="W154" s="75"/>
      <c r="X154" s="75"/>
      <c r="Y154" s="75"/>
      <c r="Z154" s="75"/>
      <c r="AA154" s="75"/>
    </row>
    <row r="155" spans="1:27" ht="14.25">
      <c r="A155" s="36" t="s">
        <v>3116</v>
      </c>
      <c r="B155" s="31"/>
      <c r="C155" s="31" t="s">
        <v>1160</v>
      </c>
      <c r="D155" s="204" t="s">
        <v>3117</v>
      </c>
      <c r="E155" s="199"/>
      <c r="F155" s="199"/>
      <c r="G155" s="199"/>
      <c r="H155" s="200"/>
      <c r="I155" s="201" t="s">
        <v>3118</v>
      </c>
      <c r="J155" s="193"/>
      <c r="K155" s="75"/>
      <c r="L155" s="75"/>
      <c r="M155" s="75"/>
      <c r="N155" s="75"/>
      <c r="O155" s="75"/>
      <c r="P155" s="75"/>
      <c r="Q155" s="75"/>
      <c r="R155" s="75"/>
      <c r="S155" s="75"/>
      <c r="T155" s="75"/>
      <c r="U155" s="75"/>
      <c r="V155" s="75"/>
      <c r="W155" s="75"/>
      <c r="X155" s="75"/>
      <c r="Y155" s="75"/>
      <c r="Z155" s="75"/>
      <c r="AA155" s="75"/>
    </row>
    <row r="156" spans="1:27" ht="14.25">
      <c r="A156" s="36" t="s">
        <v>3116</v>
      </c>
      <c r="B156" s="31"/>
      <c r="C156" s="31" t="s">
        <v>1161</v>
      </c>
      <c r="D156" s="204" t="s">
        <v>3117</v>
      </c>
      <c r="E156" s="199"/>
      <c r="F156" s="199"/>
      <c r="G156" s="199"/>
      <c r="H156" s="200"/>
      <c r="I156" s="201" t="s">
        <v>3118</v>
      </c>
      <c r="J156" s="193"/>
      <c r="K156" s="75"/>
      <c r="L156" s="75"/>
      <c r="M156" s="75"/>
      <c r="N156" s="75"/>
      <c r="O156" s="75"/>
      <c r="P156" s="75"/>
      <c r="Q156" s="75"/>
      <c r="R156" s="75"/>
      <c r="S156" s="75"/>
      <c r="T156" s="75"/>
      <c r="U156" s="75"/>
      <c r="V156" s="75"/>
      <c r="W156" s="75"/>
      <c r="X156" s="75"/>
      <c r="Y156" s="75"/>
      <c r="Z156" s="75"/>
      <c r="AA156" s="75"/>
    </row>
    <row r="157" spans="1:27" ht="14.25">
      <c r="A157" s="36" t="s">
        <v>3116</v>
      </c>
      <c r="B157" s="31"/>
      <c r="C157" s="31" t="s">
        <v>1162</v>
      </c>
      <c r="D157" s="204" t="s">
        <v>3117</v>
      </c>
      <c r="E157" s="199"/>
      <c r="F157" s="199"/>
      <c r="G157" s="199"/>
      <c r="H157" s="200"/>
      <c r="I157" s="201" t="s">
        <v>3118</v>
      </c>
      <c r="J157" s="193"/>
      <c r="K157" s="75"/>
      <c r="L157" s="75"/>
      <c r="M157" s="75"/>
      <c r="N157" s="75"/>
      <c r="O157" s="75"/>
      <c r="P157" s="75"/>
      <c r="Q157" s="75"/>
      <c r="R157" s="75"/>
      <c r="S157" s="75"/>
      <c r="T157" s="75"/>
      <c r="U157" s="75"/>
      <c r="V157" s="75"/>
      <c r="W157" s="75"/>
      <c r="X157" s="75"/>
      <c r="Y157" s="75"/>
      <c r="Z157" s="75"/>
      <c r="AA157" s="75"/>
    </row>
    <row r="158" spans="1:27" ht="14.25">
      <c r="A158" s="36" t="s">
        <v>3116</v>
      </c>
      <c r="B158" s="31"/>
      <c r="C158" s="31" t="s">
        <v>293</v>
      </c>
      <c r="D158" s="204" t="s">
        <v>3119</v>
      </c>
      <c r="E158" s="199"/>
      <c r="F158" s="199"/>
      <c r="G158" s="199"/>
      <c r="H158" s="200"/>
      <c r="I158" s="204"/>
      <c r="J158" s="200"/>
      <c r="K158" s="75"/>
      <c r="L158" s="75"/>
      <c r="M158" s="75"/>
      <c r="N158" s="75"/>
      <c r="O158" s="75"/>
      <c r="P158" s="75"/>
      <c r="Q158" s="75"/>
      <c r="R158" s="75"/>
      <c r="S158" s="75"/>
      <c r="T158" s="75"/>
      <c r="U158" s="75"/>
      <c r="V158" s="75"/>
      <c r="W158" s="75"/>
      <c r="X158" s="75"/>
      <c r="Y158" s="75"/>
      <c r="Z158" s="75"/>
      <c r="AA158" s="75"/>
    </row>
    <row r="159" spans="1:27" ht="14.25">
      <c r="A159" s="36" t="s">
        <v>3116</v>
      </c>
      <c r="B159" s="31"/>
      <c r="C159" s="31" t="s">
        <v>1204</v>
      </c>
      <c r="D159" s="204" t="s">
        <v>3120</v>
      </c>
      <c r="E159" s="199"/>
      <c r="F159" s="199"/>
      <c r="G159" s="199"/>
      <c r="H159" s="200"/>
      <c r="I159" s="201" t="s">
        <v>3118</v>
      </c>
      <c r="J159" s="193"/>
      <c r="K159" s="75"/>
      <c r="L159" s="75"/>
      <c r="M159" s="75"/>
      <c r="N159" s="75"/>
      <c r="O159" s="75"/>
      <c r="P159" s="75"/>
      <c r="Q159" s="75"/>
      <c r="R159" s="75"/>
      <c r="S159" s="75"/>
      <c r="T159" s="75"/>
      <c r="U159" s="75"/>
      <c r="V159" s="75"/>
      <c r="W159" s="75"/>
      <c r="X159" s="75"/>
      <c r="Y159" s="75"/>
      <c r="Z159" s="75"/>
      <c r="AA159" s="75"/>
    </row>
    <row r="160" spans="1:27" ht="14.25">
      <c r="A160" s="36" t="s">
        <v>3121</v>
      </c>
      <c r="B160" s="31"/>
      <c r="C160" s="31" t="s">
        <v>1199</v>
      </c>
      <c r="D160" s="204" t="s">
        <v>3122</v>
      </c>
      <c r="E160" s="199"/>
      <c r="F160" s="199"/>
      <c r="G160" s="199"/>
      <c r="H160" s="200"/>
      <c r="I160" s="201" t="s">
        <v>3123</v>
      </c>
      <c r="J160" s="193"/>
      <c r="K160" s="75"/>
      <c r="L160" s="75"/>
      <c r="M160" s="75"/>
      <c r="N160" s="75"/>
      <c r="O160" s="75"/>
      <c r="P160" s="75"/>
      <c r="Q160" s="75"/>
      <c r="R160" s="75"/>
      <c r="S160" s="75"/>
      <c r="T160" s="75"/>
      <c r="U160" s="75"/>
      <c r="V160" s="75"/>
      <c r="W160" s="75"/>
      <c r="X160" s="75"/>
      <c r="Y160" s="75"/>
      <c r="Z160" s="75"/>
      <c r="AA160" s="75"/>
    </row>
    <row r="161" spans="1:27" ht="14.25">
      <c r="A161" s="36" t="s">
        <v>3121</v>
      </c>
      <c r="B161" s="31"/>
      <c r="C161" s="31" t="s">
        <v>3124</v>
      </c>
      <c r="D161" s="204" t="s">
        <v>3125</v>
      </c>
      <c r="E161" s="199"/>
      <c r="F161" s="199"/>
      <c r="G161" s="199"/>
      <c r="H161" s="200"/>
      <c r="I161" s="201" t="s">
        <v>3123</v>
      </c>
      <c r="J161" s="193"/>
      <c r="K161" s="75"/>
      <c r="L161" s="75"/>
      <c r="M161" s="75"/>
      <c r="N161" s="75"/>
      <c r="O161" s="75"/>
      <c r="P161" s="75"/>
      <c r="Q161" s="75"/>
      <c r="R161" s="75"/>
      <c r="S161" s="75"/>
      <c r="T161" s="75"/>
      <c r="U161" s="75"/>
      <c r="V161" s="75"/>
      <c r="W161" s="75"/>
      <c r="X161" s="75"/>
      <c r="Y161" s="75"/>
      <c r="Z161" s="75"/>
      <c r="AA161" s="75"/>
    </row>
    <row r="162" spans="1:27" ht="14.25">
      <c r="A162" s="36" t="s">
        <v>3116</v>
      </c>
      <c r="B162" s="31"/>
      <c r="C162" s="31" t="s">
        <v>3126</v>
      </c>
      <c r="D162" s="220" t="s">
        <v>3127</v>
      </c>
      <c r="E162" s="215"/>
      <c r="F162" s="215"/>
      <c r="G162" s="215"/>
      <c r="H162" s="215"/>
      <c r="I162" s="201" t="s">
        <v>3118</v>
      </c>
      <c r="J162" s="193"/>
      <c r="K162" s="75"/>
      <c r="L162" s="75"/>
      <c r="M162" s="75"/>
      <c r="N162" s="75"/>
      <c r="O162" s="75"/>
      <c r="P162" s="75"/>
      <c r="Q162" s="75"/>
      <c r="R162" s="75"/>
      <c r="S162" s="75"/>
      <c r="T162" s="75"/>
      <c r="U162" s="75"/>
      <c r="V162" s="75"/>
      <c r="W162" s="75"/>
      <c r="X162" s="75"/>
      <c r="Y162" s="75"/>
      <c r="Z162" s="75"/>
      <c r="AA162" s="75"/>
    </row>
    <row r="163" spans="1:27" ht="14.25">
      <c r="A163" s="36" t="s">
        <v>3116</v>
      </c>
      <c r="B163" s="31"/>
      <c r="C163" s="31" t="s">
        <v>1218</v>
      </c>
      <c r="D163" s="204" t="s">
        <v>3128</v>
      </c>
      <c r="E163" s="199"/>
      <c r="F163" s="199"/>
      <c r="G163" s="199"/>
      <c r="H163" s="200"/>
      <c r="I163" s="201" t="s">
        <v>3129</v>
      </c>
      <c r="J163" s="193"/>
      <c r="K163" s="75"/>
      <c r="L163" s="75"/>
      <c r="M163" s="75"/>
      <c r="N163" s="75"/>
      <c r="O163" s="75"/>
      <c r="P163" s="75"/>
      <c r="Q163" s="75"/>
      <c r="R163" s="75"/>
      <c r="S163" s="75"/>
      <c r="T163" s="75"/>
      <c r="U163" s="75"/>
      <c r="V163" s="75"/>
      <c r="W163" s="75"/>
      <c r="X163" s="75"/>
      <c r="Y163" s="75"/>
      <c r="Z163" s="75"/>
      <c r="AA163" s="75"/>
    </row>
    <row r="164" spans="1:27" ht="14.25">
      <c r="A164" s="36" t="s">
        <v>3116</v>
      </c>
      <c r="B164" s="31"/>
      <c r="C164" s="31" t="s">
        <v>3130</v>
      </c>
      <c r="D164" s="204" t="s">
        <v>3128</v>
      </c>
      <c r="E164" s="199"/>
      <c r="F164" s="199"/>
      <c r="G164" s="199"/>
      <c r="H164" s="200"/>
      <c r="I164" s="201" t="s">
        <v>3131</v>
      </c>
      <c r="J164" s="193"/>
      <c r="K164" s="75"/>
      <c r="L164" s="75"/>
      <c r="M164" s="75"/>
      <c r="N164" s="75"/>
      <c r="O164" s="75"/>
      <c r="P164" s="75"/>
      <c r="Q164" s="75"/>
      <c r="R164" s="75"/>
      <c r="S164" s="75"/>
      <c r="T164" s="75"/>
      <c r="U164" s="75"/>
      <c r="V164" s="75"/>
      <c r="W164" s="75"/>
      <c r="X164" s="75"/>
      <c r="Y164" s="75"/>
      <c r="Z164" s="75"/>
      <c r="AA164" s="75"/>
    </row>
    <row r="165" spans="1:27" ht="14.25">
      <c r="A165" s="36" t="s">
        <v>1166</v>
      </c>
      <c r="B165" s="31"/>
      <c r="C165" s="31" t="s">
        <v>2656</v>
      </c>
      <c r="D165" s="204" t="s">
        <v>3132</v>
      </c>
      <c r="E165" s="199"/>
      <c r="F165" s="199"/>
      <c r="G165" s="199"/>
      <c r="H165" s="200"/>
      <c r="I165" s="187" t="s">
        <v>3133</v>
      </c>
      <c r="J165" s="28"/>
      <c r="K165" s="75"/>
      <c r="L165" s="75"/>
      <c r="M165" s="75"/>
      <c r="N165" s="75"/>
      <c r="O165" s="75"/>
      <c r="P165" s="75"/>
      <c r="Q165" s="75"/>
      <c r="R165" s="75"/>
      <c r="S165" s="75"/>
      <c r="T165" s="75"/>
      <c r="U165" s="75"/>
      <c r="V165" s="75"/>
      <c r="W165" s="75"/>
      <c r="X165" s="75"/>
      <c r="Y165" s="75"/>
      <c r="Z165" s="75"/>
      <c r="AA165" s="75"/>
    </row>
    <row r="166" spans="1:27" ht="14.25">
      <c r="A166" s="36" t="s">
        <v>1166</v>
      </c>
      <c r="B166" s="31"/>
      <c r="C166" s="31" t="s">
        <v>2658</v>
      </c>
      <c r="D166" s="204" t="s">
        <v>3132</v>
      </c>
      <c r="E166" s="199"/>
      <c r="F166" s="199"/>
      <c r="G166" s="199"/>
      <c r="H166" s="200"/>
      <c r="I166" s="187" t="s">
        <v>3133</v>
      </c>
      <c r="J166" s="28"/>
      <c r="K166" s="75"/>
      <c r="L166" s="75"/>
      <c r="M166" s="75"/>
      <c r="N166" s="75"/>
      <c r="O166" s="75"/>
      <c r="P166" s="75"/>
      <c r="Q166" s="75"/>
      <c r="R166" s="75"/>
      <c r="S166" s="75"/>
      <c r="T166" s="75"/>
      <c r="U166" s="75"/>
      <c r="V166" s="75"/>
      <c r="W166" s="75"/>
      <c r="X166" s="75"/>
      <c r="Y166" s="75"/>
      <c r="Z166" s="75"/>
      <c r="AA166" s="75"/>
    </row>
    <row r="167" spans="1:27" ht="14.25">
      <c r="A167" s="36" t="s">
        <v>1166</v>
      </c>
      <c r="B167" s="31"/>
      <c r="C167" s="31" t="s">
        <v>3134</v>
      </c>
      <c r="D167" s="204" t="s">
        <v>3132</v>
      </c>
      <c r="E167" s="199"/>
      <c r="F167" s="199"/>
      <c r="G167" s="199"/>
      <c r="H167" s="200"/>
      <c r="I167" s="187" t="s">
        <v>3133</v>
      </c>
      <c r="J167" s="28"/>
      <c r="K167" s="75"/>
      <c r="L167" s="75"/>
      <c r="M167" s="75"/>
      <c r="N167" s="75"/>
      <c r="O167" s="75"/>
      <c r="P167" s="75"/>
      <c r="Q167" s="75"/>
      <c r="R167" s="75"/>
      <c r="S167" s="75"/>
      <c r="T167" s="75"/>
      <c r="U167" s="75"/>
      <c r="V167" s="75"/>
      <c r="W167" s="75"/>
      <c r="X167" s="75"/>
      <c r="Y167" s="75"/>
      <c r="Z167" s="75"/>
      <c r="AA167" s="75"/>
    </row>
    <row r="168" spans="1:27" ht="14.25">
      <c r="A168" s="36" t="s">
        <v>1166</v>
      </c>
      <c r="B168" s="31"/>
      <c r="C168" s="31" t="s">
        <v>1172</v>
      </c>
      <c r="D168" s="204" t="s">
        <v>3132</v>
      </c>
      <c r="E168" s="199"/>
      <c r="F168" s="199"/>
      <c r="G168" s="199"/>
      <c r="H168" s="200"/>
      <c r="I168" s="187" t="s">
        <v>3133</v>
      </c>
      <c r="J168" s="28"/>
      <c r="K168" s="75"/>
      <c r="L168" s="75"/>
      <c r="M168" s="75"/>
      <c r="N168" s="75"/>
      <c r="O168" s="75"/>
      <c r="P168" s="75"/>
      <c r="Q168" s="75"/>
      <c r="R168" s="75"/>
      <c r="S168" s="75"/>
      <c r="T168" s="75"/>
      <c r="U168" s="75"/>
      <c r="V168" s="75"/>
      <c r="W168" s="75"/>
      <c r="X168" s="75"/>
      <c r="Y168" s="75"/>
      <c r="Z168" s="75"/>
      <c r="AA168" s="75"/>
    </row>
    <row r="169" spans="1:27" ht="14.25">
      <c r="A169" s="36" t="s">
        <v>1166</v>
      </c>
      <c r="B169" s="31"/>
      <c r="C169" s="31" t="s">
        <v>1174</v>
      </c>
      <c r="D169" s="204" t="s">
        <v>3132</v>
      </c>
      <c r="E169" s="199"/>
      <c r="F169" s="199"/>
      <c r="G169" s="199"/>
      <c r="H169" s="200"/>
      <c r="I169" s="187" t="s">
        <v>3133</v>
      </c>
      <c r="J169" s="28"/>
      <c r="K169" s="75"/>
      <c r="L169" s="75"/>
      <c r="M169" s="75"/>
      <c r="N169" s="75"/>
      <c r="O169" s="75"/>
      <c r="P169" s="75"/>
      <c r="Q169" s="75"/>
      <c r="R169" s="75"/>
      <c r="S169" s="75"/>
      <c r="T169" s="75"/>
      <c r="U169" s="75"/>
      <c r="V169" s="75"/>
      <c r="W169" s="75"/>
      <c r="X169" s="75"/>
      <c r="Y169" s="75"/>
      <c r="Z169" s="75"/>
      <c r="AA169" s="75"/>
    </row>
    <row r="170" spans="1:27" ht="14.25">
      <c r="A170" s="36" t="s">
        <v>1166</v>
      </c>
      <c r="B170" s="31"/>
      <c r="C170" s="31" t="s">
        <v>1176</v>
      </c>
      <c r="D170" s="204" t="s">
        <v>3132</v>
      </c>
      <c r="E170" s="199"/>
      <c r="F170" s="199"/>
      <c r="G170" s="199"/>
      <c r="H170" s="200"/>
      <c r="I170" s="187" t="s">
        <v>3133</v>
      </c>
      <c r="J170" s="28"/>
      <c r="K170" s="75"/>
      <c r="L170" s="75"/>
      <c r="M170" s="75"/>
      <c r="N170" s="75"/>
      <c r="O170" s="75"/>
      <c r="P170" s="75"/>
      <c r="Q170" s="75"/>
      <c r="R170" s="75"/>
      <c r="S170" s="75"/>
      <c r="T170" s="75"/>
      <c r="U170" s="75"/>
      <c r="V170" s="75"/>
      <c r="W170" s="75"/>
      <c r="X170" s="75"/>
      <c r="Y170" s="75"/>
      <c r="Z170" s="75"/>
      <c r="AA170" s="75"/>
    </row>
    <row r="171" spans="1:27" ht="14.25">
      <c r="A171" s="36" t="s">
        <v>1166</v>
      </c>
      <c r="B171" s="31"/>
      <c r="C171" s="31" t="s">
        <v>1178</v>
      </c>
      <c r="D171" s="204" t="s">
        <v>3132</v>
      </c>
      <c r="E171" s="199"/>
      <c r="F171" s="199"/>
      <c r="G171" s="199"/>
      <c r="H171" s="200"/>
      <c r="I171" s="187" t="s">
        <v>3133</v>
      </c>
      <c r="J171" s="28"/>
      <c r="K171" s="75"/>
      <c r="L171" s="75"/>
      <c r="M171" s="75"/>
      <c r="N171" s="75"/>
      <c r="O171" s="75"/>
      <c r="P171" s="75"/>
      <c r="Q171" s="75"/>
      <c r="R171" s="75"/>
      <c r="S171" s="75"/>
      <c r="T171" s="75"/>
      <c r="U171" s="75"/>
      <c r="V171" s="75"/>
      <c r="W171" s="75"/>
      <c r="X171" s="75"/>
      <c r="Y171" s="75"/>
      <c r="Z171" s="75"/>
      <c r="AA171" s="75"/>
    </row>
    <row r="172" spans="1:27" ht="14.25">
      <c r="A172" s="36" t="s">
        <v>1166</v>
      </c>
      <c r="B172" s="31"/>
      <c r="C172" s="32" t="s">
        <v>1227</v>
      </c>
      <c r="D172" s="204" t="s">
        <v>3132</v>
      </c>
      <c r="E172" s="199"/>
      <c r="F172" s="199"/>
      <c r="G172" s="199"/>
      <c r="H172" s="200"/>
      <c r="I172" s="187" t="s">
        <v>3133</v>
      </c>
      <c r="J172" s="28" t="s">
        <v>3135</v>
      </c>
      <c r="K172" s="75"/>
      <c r="L172" s="75"/>
      <c r="M172" s="75"/>
      <c r="N172" s="75"/>
      <c r="O172" s="75"/>
      <c r="P172" s="75"/>
      <c r="Q172" s="75"/>
      <c r="R172" s="75"/>
      <c r="S172" s="75"/>
      <c r="T172" s="75"/>
      <c r="U172" s="75"/>
      <c r="V172" s="75"/>
      <c r="W172" s="75"/>
      <c r="X172" s="75"/>
      <c r="Y172" s="75"/>
      <c r="Z172" s="75"/>
      <c r="AA172" s="75"/>
    </row>
    <row r="173" spans="1:27" ht="14.25">
      <c r="A173" s="36" t="s">
        <v>1166</v>
      </c>
      <c r="B173" s="31"/>
      <c r="C173" s="32" t="s">
        <v>1230</v>
      </c>
      <c r="D173" s="204" t="s">
        <v>3132</v>
      </c>
      <c r="E173" s="199"/>
      <c r="F173" s="199"/>
      <c r="G173" s="199"/>
      <c r="H173" s="200"/>
      <c r="I173" s="187" t="s">
        <v>3133</v>
      </c>
      <c r="J173" s="28" t="s">
        <v>3135</v>
      </c>
      <c r="K173" s="75"/>
      <c r="L173" s="75"/>
      <c r="M173" s="75"/>
      <c r="N173" s="75"/>
      <c r="O173" s="75"/>
      <c r="P173" s="75"/>
      <c r="Q173" s="75"/>
      <c r="R173" s="75"/>
      <c r="S173" s="75"/>
      <c r="T173" s="75"/>
      <c r="U173" s="75"/>
      <c r="V173" s="75"/>
      <c r="W173" s="75"/>
      <c r="X173" s="75"/>
      <c r="Y173" s="75"/>
      <c r="Z173" s="75"/>
      <c r="AA173" s="75"/>
    </row>
    <row r="174" spans="1:27" ht="14.25">
      <c r="A174" s="36" t="s">
        <v>1166</v>
      </c>
      <c r="B174" s="31"/>
      <c r="C174" s="32" t="s">
        <v>1232</v>
      </c>
      <c r="D174" s="204" t="s">
        <v>3132</v>
      </c>
      <c r="E174" s="199"/>
      <c r="F174" s="199"/>
      <c r="G174" s="199"/>
      <c r="H174" s="200"/>
      <c r="I174" s="187" t="s">
        <v>3133</v>
      </c>
      <c r="J174" s="28" t="s">
        <v>3135</v>
      </c>
      <c r="K174" s="75"/>
      <c r="L174" s="75"/>
      <c r="M174" s="75"/>
      <c r="N174" s="75"/>
      <c r="O174" s="75"/>
      <c r="P174" s="75"/>
      <c r="Q174" s="75"/>
      <c r="R174" s="75"/>
      <c r="S174" s="75"/>
      <c r="T174" s="75"/>
      <c r="U174" s="75"/>
      <c r="V174" s="75"/>
      <c r="W174" s="75"/>
      <c r="X174" s="75"/>
      <c r="Y174" s="75"/>
      <c r="Z174" s="75"/>
      <c r="AA174" s="75"/>
    </row>
    <row r="175" spans="1:27" ht="14.25">
      <c r="A175" s="36" t="s">
        <v>1166</v>
      </c>
      <c r="B175" s="31"/>
      <c r="C175" s="31" t="s">
        <v>3136</v>
      </c>
      <c r="D175" s="204" t="s">
        <v>3137</v>
      </c>
      <c r="E175" s="199"/>
      <c r="F175" s="199"/>
      <c r="G175" s="199"/>
      <c r="H175" s="200"/>
      <c r="I175" s="221" t="s">
        <v>3133</v>
      </c>
      <c r="J175" s="215"/>
      <c r="K175" s="75"/>
      <c r="L175" s="75"/>
      <c r="M175" s="75"/>
      <c r="N175" s="75"/>
      <c r="O175" s="75"/>
      <c r="P175" s="75"/>
      <c r="Q175" s="75"/>
      <c r="R175" s="75"/>
      <c r="S175" s="75"/>
      <c r="T175" s="75"/>
      <c r="U175" s="75"/>
      <c r="V175" s="75"/>
      <c r="W175" s="75"/>
      <c r="X175" s="75"/>
      <c r="Y175" s="75"/>
      <c r="Z175" s="75"/>
      <c r="AA175" s="75"/>
    </row>
    <row r="176" spans="1:27" ht="14.25">
      <c r="A176" s="36" t="s">
        <v>1166</v>
      </c>
      <c r="B176" s="31"/>
      <c r="C176" s="31" t="s">
        <v>3138</v>
      </c>
      <c r="D176" s="204" t="s">
        <v>3139</v>
      </c>
      <c r="E176" s="199"/>
      <c r="F176" s="199"/>
      <c r="G176" s="199"/>
      <c r="H176" s="200"/>
      <c r="I176" s="221" t="s">
        <v>3133</v>
      </c>
      <c r="J176" s="215"/>
      <c r="K176" s="75"/>
      <c r="L176" s="75"/>
      <c r="M176" s="75"/>
      <c r="N176" s="75"/>
      <c r="O176" s="75"/>
      <c r="P176" s="75"/>
      <c r="Q176" s="75"/>
      <c r="R176" s="75"/>
      <c r="S176" s="75"/>
      <c r="T176" s="75"/>
      <c r="U176" s="75"/>
      <c r="V176" s="75"/>
      <c r="W176" s="75"/>
      <c r="X176" s="75"/>
      <c r="Y176" s="75"/>
      <c r="Z176" s="75"/>
      <c r="AA176" s="75"/>
    </row>
    <row r="177" spans="1:27" ht="14.25">
      <c r="A177" s="36"/>
      <c r="B177" s="31"/>
      <c r="C177" s="31"/>
      <c r="D177" s="204" t="s">
        <v>3140</v>
      </c>
      <c r="E177" s="199"/>
      <c r="F177" s="199"/>
      <c r="G177" s="199"/>
      <c r="H177" s="200"/>
      <c r="I177" s="204" t="s">
        <v>3141</v>
      </c>
      <c r="J177" s="200"/>
      <c r="K177" s="75"/>
      <c r="L177" s="75"/>
      <c r="M177" s="75"/>
      <c r="N177" s="75"/>
      <c r="O177" s="75"/>
      <c r="P177" s="75"/>
      <c r="Q177" s="75"/>
      <c r="R177" s="75"/>
      <c r="S177" s="75"/>
      <c r="T177" s="75"/>
      <c r="U177" s="75"/>
      <c r="V177" s="75"/>
      <c r="W177" s="75"/>
      <c r="X177" s="75"/>
      <c r="Y177" s="75"/>
      <c r="Z177" s="75"/>
      <c r="AA177" s="75"/>
    </row>
    <row r="178" spans="1:27" ht="14.25">
      <c r="A178" s="36"/>
      <c r="B178" s="31"/>
      <c r="C178" s="31" t="s">
        <v>3142</v>
      </c>
      <c r="D178" s="204" t="s">
        <v>3143</v>
      </c>
      <c r="E178" s="199"/>
      <c r="F178" s="199"/>
      <c r="G178" s="199"/>
      <c r="H178" s="200"/>
      <c r="I178" s="204" t="s">
        <v>3141</v>
      </c>
      <c r="J178" s="200"/>
      <c r="K178" s="75"/>
      <c r="L178" s="75"/>
      <c r="M178" s="75"/>
      <c r="N178" s="75"/>
      <c r="O178" s="75"/>
      <c r="P178" s="75"/>
      <c r="Q178" s="75"/>
      <c r="R178" s="75"/>
      <c r="S178" s="75"/>
      <c r="T178" s="75"/>
      <c r="U178" s="75"/>
      <c r="V178" s="75"/>
      <c r="W178" s="75"/>
      <c r="X178" s="75"/>
      <c r="Y178" s="75"/>
      <c r="Z178" s="75"/>
      <c r="AA178" s="75"/>
    </row>
    <row r="179" spans="1:27" ht="14.25">
      <c r="A179" s="36"/>
      <c r="B179" s="31"/>
      <c r="C179" s="31" t="s">
        <v>2056</v>
      </c>
      <c r="D179" s="204" t="s">
        <v>3144</v>
      </c>
      <c r="E179" s="199"/>
      <c r="F179" s="199"/>
      <c r="G179" s="199"/>
      <c r="H179" s="200"/>
      <c r="I179" s="204" t="s">
        <v>3141</v>
      </c>
      <c r="J179" s="200"/>
      <c r="K179" s="75"/>
      <c r="L179" s="75"/>
      <c r="M179" s="75"/>
      <c r="N179" s="75"/>
      <c r="O179" s="75"/>
      <c r="P179" s="75"/>
      <c r="Q179" s="75"/>
      <c r="R179" s="75"/>
      <c r="S179" s="75"/>
      <c r="T179" s="75"/>
      <c r="U179" s="75"/>
      <c r="V179" s="75"/>
      <c r="W179" s="75"/>
      <c r="X179" s="75"/>
      <c r="Y179" s="75"/>
      <c r="Z179" s="75"/>
      <c r="AA179" s="75"/>
    </row>
    <row r="180" spans="1:27" ht="14.25">
      <c r="A180" s="36"/>
      <c r="B180" s="31"/>
      <c r="C180" s="31" t="s">
        <v>2059</v>
      </c>
      <c r="D180" s="204" t="s">
        <v>3144</v>
      </c>
      <c r="E180" s="199"/>
      <c r="F180" s="199"/>
      <c r="G180" s="199"/>
      <c r="H180" s="200"/>
      <c r="I180" s="204" t="s">
        <v>3141</v>
      </c>
      <c r="J180" s="200"/>
      <c r="K180" s="75"/>
      <c r="L180" s="75"/>
      <c r="M180" s="75"/>
      <c r="N180" s="75"/>
      <c r="O180" s="75"/>
      <c r="P180" s="75"/>
      <c r="Q180" s="75"/>
      <c r="R180" s="75"/>
      <c r="S180" s="75"/>
      <c r="T180" s="75"/>
      <c r="U180" s="75"/>
      <c r="V180" s="75"/>
      <c r="W180" s="75"/>
      <c r="X180" s="75"/>
      <c r="Y180" s="75"/>
      <c r="Z180" s="75"/>
      <c r="AA180" s="75"/>
    </row>
    <row r="181" spans="1:27" ht="14.25">
      <c r="A181" s="36"/>
      <c r="B181" s="31"/>
      <c r="C181" s="189" t="s">
        <v>1211</v>
      </c>
      <c r="D181" s="204" t="s">
        <v>3145</v>
      </c>
      <c r="E181" s="199"/>
      <c r="F181" s="199"/>
      <c r="G181" s="199"/>
      <c r="H181" s="200"/>
      <c r="I181" s="204" t="s">
        <v>3146</v>
      </c>
      <c r="J181" s="200"/>
      <c r="K181" s="75"/>
      <c r="L181" s="75"/>
      <c r="M181" s="75"/>
      <c r="N181" s="75"/>
      <c r="O181" s="75"/>
      <c r="P181" s="75"/>
      <c r="Q181" s="75"/>
      <c r="R181" s="75"/>
      <c r="S181" s="75"/>
      <c r="T181" s="75"/>
      <c r="U181" s="75"/>
      <c r="V181" s="75"/>
      <c r="W181" s="75"/>
      <c r="X181" s="75"/>
      <c r="Y181" s="75"/>
      <c r="Z181" s="75"/>
      <c r="AA181" s="75"/>
    </row>
    <row r="182" spans="1:27" ht="14.25">
      <c r="A182" s="36"/>
      <c r="B182" s="31"/>
      <c r="C182" s="189" t="s">
        <v>1213</v>
      </c>
      <c r="D182" s="204" t="s">
        <v>3145</v>
      </c>
      <c r="E182" s="199"/>
      <c r="F182" s="199"/>
      <c r="G182" s="199"/>
      <c r="H182" s="200"/>
      <c r="I182" s="204" t="s">
        <v>3147</v>
      </c>
      <c r="J182" s="200"/>
      <c r="K182" s="75"/>
      <c r="L182" s="75"/>
      <c r="M182" s="75"/>
      <c r="N182" s="75"/>
      <c r="O182" s="75"/>
      <c r="P182" s="75"/>
      <c r="Q182" s="75"/>
      <c r="R182" s="75"/>
      <c r="S182" s="75"/>
      <c r="T182" s="75"/>
      <c r="U182" s="75"/>
      <c r="V182" s="75"/>
      <c r="W182" s="75"/>
      <c r="X182" s="75"/>
      <c r="Y182" s="75"/>
      <c r="Z182" s="75"/>
      <c r="AA182" s="75"/>
    </row>
    <row r="183" spans="1:27" ht="14.25">
      <c r="A183" s="33" t="s">
        <v>3148</v>
      </c>
      <c r="B183" s="34"/>
      <c r="C183" s="34"/>
      <c r="D183" s="222"/>
      <c r="E183" s="199"/>
      <c r="F183" s="199"/>
      <c r="G183" s="199"/>
      <c r="H183" s="200"/>
      <c r="I183" s="222"/>
      <c r="J183" s="200"/>
      <c r="K183" s="75"/>
      <c r="L183" s="75"/>
      <c r="M183" s="75"/>
      <c r="N183" s="75"/>
      <c r="O183" s="75"/>
      <c r="P183" s="75"/>
      <c r="Q183" s="75"/>
      <c r="R183" s="75"/>
      <c r="S183" s="75"/>
      <c r="T183" s="75"/>
      <c r="U183" s="75"/>
      <c r="V183" s="75"/>
      <c r="W183" s="75"/>
      <c r="X183" s="75"/>
      <c r="Y183" s="75"/>
      <c r="Z183" s="75"/>
      <c r="AA183" s="75"/>
    </row>
    <row r="184" spans="1:27" ht="14.25">
      <c r="A184" s="35" t="s">
        <v>3149</v>
      </c>
      <c r="B184" s="38" t="s">
        <v>3150</v>
      </c>
      <c r="C184" s="38" t="s">
        <v>3151</v>
      </c>
      <c r="D184" s="223" t="s">
        <v>3152</v>
      </c>
      <c r="E184" s="199"/>
      <c r="F184" s="199"/>
      <c r="G184" s="199"/>
      <c r="H184" s="200"/>
      <c r="I184" s="223" t="s">
        <v>3153</v>
      </c>
      <c r="J184" s="200"/>
      <c r="K184" s="75"/>
      <c r="L184" s="75"/>
      <c r="M184" s="75"/>
      <c r="N184" s="75"/>
      <c r="O184" s="75"/>
      <c r="P184" s="75"/>
      <c r="Q184" s="75"/>
      <c r="R184" s="75"/>
      <c r="S184" s="75"/>
      <c r="T184" s="75"/>
      <c r="U184" s="75"/>
      <c r="V184" s="75"/>
      <c r="W184" s="75"/>
      <c r="X184" s="75"/>
      <c r="Y184" s="75"/>
      <c r="Z184" s="75"/>
      <c r="AA184" s="75"/>
    </row>
    <row r="185" spans="1:27" ht="14.25">
      <c r="A185" s="35"/>
      <c r="B185" s="38" t="s">
        <v>3154</v>
      </c>
      <c r="C185" s="38" t="s">
        <v>3151</v>
      </c>
      <c r="D185" s="223" t="s">
        <v>3152</v>
      </c>
      <c r="E185" s="199"/>
      <c r="F185" s="199"/>
      <c r="G185" s="199"/>
      <c r="H185" s="200"/>
      <c r="I185" s="223" t="s">
        <v>3153</v>
      </c>
      <c r="J185" s="200"/>
      <c r="K185" s="75"/>
      <c r="L185" s="75"/>
      <c r="M185" s="75"/>
      <c r="N185" s="75"/>
      <c r="O185" s="75"/>
      <c r="P185" s="75"/>
      <c r="Q185" s="75"/>
      <c r="R185" s="75"/>
      <c r="S185" s="75"/>
      <c r="T185" s="75"/>
      <c r="U185" s="75"/>
      <c r="V185" s="75"/>
      <c r="W185" s="75"/>
      <c r="X185" s="75"/>
      <c r="Y185" s="75"/>
      <c r="Z185" s="75"/>
      <c r="AA185" s="75"/>
    </row>
    <row r="186" spans="1:27" ht="14.25">
      <c r="A186" s="36"/>
      <c r="B186" s="31" t="s">
        <v>3155</v>
      </c>
      <c r="C186" s="38" t="s">
        <v>3151</v>
      </c>
      <c r="D186" s="223" t="s">
        <v>3152</v>
      </c>
      <c r="E186" s="199"/>
      <c r="F186" s="199"/>
      <c r="G186" s="199"/>
      <c r="H186" s="200"/>
      <c r="I186" s="223" t="s">
        <v>3153</v>
      </c>
      <c r="J186" s="200"/>
      <c r="K186" s="75"/>
      <c r="L186" s="75"/>
      <c r="M186" s="75"/>
      <c r="N186" s="75"/>
      <c r="O186" s="75"/>
      <c r="P186" s="75"/>
      <c r="Q186" s="75"/>
      <c r="R186" s="75"/>
      <c r="S186" s="75"/>
      <c r="T186" s="75"/>
      <c r="U186" s="75"/>
      <c r="V186" s="75"/>
      <c r="W186" s="75"/>
      <c r="X186" s="75"/>
      <c r="Y186" s="75"/>
      <c r="Z186" s="75"/>
      <c r="AA186" s="75"/>
    </row>
    <row r="187" spans="1:27" ht="14.25">
      <c r="A187" s="36"/>
      <c r="B187" s="31" t="s">
        <v>3156</v>
      </c>
      <c r="C187" s="38" t="s">
        <v>3151</v>
      </c>
      <c r="D187" s="223" t="s">
        <v>3152</v>
      </c>
      <c r="E187" s="199"/>
      <c r="F187" s="199"/>
      <c r="G187" s="199"/>
      <c r="H187" s="200"/>
      <c r="I187" s="223" t="s">
        <v>3153</v>
      </c>
      <c r="J187" s="200"/>
      <c r="K187" s="75"/>
      <c r="L187" s="75"/>
      <c r="M187" s="75"/>
      <c r="N187" s="75"/>
      <c r="O187" s="75"/>
      <c r="P187" s="75"/>
      <c r="Q187" s="75"/>
      <c r="R187" s="75"/>
      <c r="S187" s="75"/>
      <c r="T187" s="75"/>
      <c r="U187" s="75"/>
      <c r="V187" s="75"/>
      <c r="W187" s="75"/>
      <c r="X187" s="75"/>
      <c r="Y187" s="75"/>
      <c r="Z187" s="75"/>
      <c r="AA187" s="75"/>
    </row>
    <row r="188" spans="1:27" ht="14.25">
      <c r="A188" s="36" t="s">
        <v>3157</v>
      </c>
      <c r="B188" s="31" t="s">
        <v>3158</v>
      </c>
      <c r="C188" s="31" t="s">
        <v>3159</v>
      </c>
      <c r="D188" s="204" t="s">
        <v>3160</v>
      </c>
      <c r="E188" s="199"/>
      <c r="F188" s="199"/>
      <c r="G188" s="199"/>
      <c r="H188" s="200"/>
      <c r="I188" s="223" t="s">
        <v>3153</v>
      </c>
      <c r="J188" s="200"/>
      <c r="K188" s="75"/>
      <c r="L188" s="75"/>
      <c r="M188" s="75"/>
      <c r="N188" s="75"/>
      <c r="O188" s="75"/>
      <c r="P188" s="75"/>
      <c r="Q188" s="75"/>
      <c r="R188" s="75"/>
      <c r="S188" s="75"/>
      <c r="T188" s="75"/>
      <c r="U188" s="75"/>
      <c r="V188" s="75"/>
      <c r="W188" s="75"/>
      <c r="X188" s="75"/>
      <c r="Y188" s="75"/>
      <c r="Z188" s="75"/>
      <c r="AA188" s="75"/>
    </row>
    <row r="189" spans="1:27" ht="14.25">
      <c r="A189" s="36" t="s">
        <v>3161</v>
      </c>
      <c r="B189" s="31"/>
      <c r="C189" s="31" t="s">
        <v>3162</v>
      </c>
      <c r="D189" s="204" t="s">
        <v>3163</v>
      </c>
      <c r="E189" s="199"/>
      <c r="F189" s="199"/>
      <c r="G189" s="199"/>
      <c r="H189" s="200"/>
      <c r="I189" s="223" t="s">
        <v>3164</v>
      </c>
      <c r="J189" s="200"/>
      <c r="K189" s="75"/>
      <c r="L189" s="75"/>
      <c r="M189" s="75"/>
      <c r="N189" s="75"/>
      <c r="O189" s="75"/>
      <c r="P189" s="75"/>
      <c r="Q189" s="75"/>
      <c r="R189" s="75"/>
      <c r="S189" s="75"/>
      <c r="T189" s="75"/>
      <c r="U189" s="75"/>
      <c r="V189" s="75"/>
      <c r="W189" s="75"/>
      <c r="X189" s="75"/>
      <c r="Y189" s="75"/>
      <c r="Z189" s="75"/>
      <c r="AA189" s="75"/>
    </row>
    <row r="190" spans="1:27" ht="14.25">
      <c r="A190" s="36"/>
      <c r="B190" s="31"/>
      <c r="C190" s="31"/>
      <c r="D190" s="204" t="s">
        <v>3165</v>
      </c>
      <c r="E190" s="199"/>
      <c r="F190" s="199"/>
      <c r="G190" s="199"/>
      <c r="H190" s="200"/>
      <c r="I190" s="204" t="s">
        <v>3166</v>
      </c>
      <c r="J190" s="200"/>
      <c r="K190" s="75"/>
      <c r="L190" s="75"/>
      <c r="M190" s="75"/>
      <c r="N190" s="75"/>
      <c r="O190" s="75"/>
      <c r="P190" s="75"/>
      <c r="Q190" s="75"/>
      <c r="R190" s="75"/>
      <c r="S190" s="75"/>
      <c r="T190" s="75"/>
      <c r="U190" s="75"/>
      <c r="V190" s="75"/>
      <c r="W190" s="75"/>
      <c r="X190" s="75"/>
      <c r="Y190" s="75"/>
      <c r="Z190" s="75"/>
      <c r="AA190" s="75"/>
    </row>
    <row r="191" spans="1:27" ht="14.25">
      <c r="A191" s="36"/>
      <c r="B191" s="31" t="s">
        <v>3167</v>
      </c>
      <c r="C191" s="31"/>
      <c r="D191" s="204" t="s">
        <v>3168</v>
      </c>
      <c r="E191" s="199"/>
      <c r="F191" s="199"/>
      <c r="G191" s="199"/>
      <c r="H191" s="200"/>
      <c r="I191" s="223" t="s">
        <v>3169</v>
      </c>
      <c r="J191" s="200"/>
      <c r="K191" s="75"/>
      <c r="L191" s="75"/>
      <c r="M191" s="75"/>
      <c r="N191" s="75"/>
      <c r="O191" s="75"/>
      <c r="P191" s="75"/>
      <c r="Q191" s="75"/>
      <c r="R191" s="75"/>
      <c r="S191" s="75"/>
      <c r="T191" s="75"/>
      <c r="U191" s="75"/>
      <c r="V191" s="75"/>
      <c r="W191" s="75"/>
      <c r="X191" s="75"/>
      <c r="Y191" s="75"/>
      <c r="Z191" s="75"/>
      <c r="AA191" s="75"/>
    </row>
    <row r="192" spans="1:27" ht="14.25">
      <c r="A192" s="36" t="s">
        <v>3170</v>
      </c>
      <c r="B192" s="31" t="s">
        <v>3171</v>
      </c>
      <c r="C192" s="31"/>
      <c r="D192" s="204" t="s">
        <v>3172</v>
      </c>
      <c r="E192" s="199"/>
      <c r="F192" s="199"/>
      <c r="G192" s="199"/>
      <c r="H192" s="200"/>
      <c r="I192" s="223" t="s">
        <v>3173</v>
      </c>
      <c r="J192" s="200"/>
      <c r="K192" s="75"/>
      <c r="L192" s="75"/>
      <c r="M192" s="75"/>
      <c r="N192" s="75"/>
      <c r="O192" s="75"/>
      <c r="P192" s="75"/>
      <c r="Q192" s="75"/>
      <c r="R192" s="75"/>
      <c r="S192" s="75"/>
      <c r="T192" s="75"/>
      <c r="U192" s="75"/>
      <c r="V192" s="75"/>
      <c r="W192" s="75"/>
      <c r="X192" s="75"/>
      <c r="Y192" s="75"/>
      <c r="Z192" s="75"/>
      <c r="AA192" s="75"/>
    </row>
    <row r="193" spans="1:27" ht="14.25">
      <c r="A193" s="36"/>
      <c r="B193" s="31"/>
      <c r="C193" s="31"/>
      <c r="D193" s="204" t="s">
        <v>3174</v>
      </c>
      <c r="E193" s="199"/>
      <c r="F193" s="199"/>
      <c r="G193" s="199"/>
      <c r="H193" s="200"/>
      <c r="I193" s="223" t="s">
        <v>3175</v>
      </c>
      <c r="J193" s="200"/>
      <c r="K193" s="75"/>
      <c r="L193" s="75"/>
      <c r="M193" s="75"/>
      <c r="N193" s="75"/>
      <c r="O193" s="75"/>
      <c r="P193" s="75"/>
      <c r="Q193" s="75"/>
      <c r="R193" s="75"/>
      <c r="S193" s="75"/>
      <c r="T193" s="75"/>
      <c r="U193" s="75"/>
      <c r="V193" s="75"/>
      <c r="W193" s="75"/>
      <c r="X193" s="75"/>
      <c r="Y193" s="75"/>
      <c r="Z193" s="75"/>
      <c r="AA193" s="75"/>
    </row>
    <row r="194" spans="1:27" ht="14.25">
      <c r="A194" s="36"/>
      <c r="B194" s="31"/>
      <c r="C194" s="31"/>
      <c r="D194" s="204" t="s">
        <v>3176</v>
      </c>
      <c r="E194" s="199"/>
      <c r="F194" s="199"/>
      <c r="G194" s="199"/>
      <c r="H194" s="200"/>
      <c r="I194" s="204"/>
      <c r="J194" s="200"/>
      <c r="K194" s="75"/>
      <c r="L194" s="75"/>
      <c r="M194" s="75"/>
      <c r="N194" s="75"/>
      <c r="O194" s="75"/>
      <c r="P194" s="75"/>
      <c r="Q194" s="75"/>
      <c r="R194" s="75"/>
      <c r="S194" s="75"/>
      <c r="T194" s="75"/>
      <c r="U194" s="75"/>
      <c r="V194" s="75"/>
      <c r="W194" s="75"/>
      <c r="X194" s="75"/>
      <c r="Y194" s="75"/>
      <c r="Z194" s="75"/>
      <c r="AA194" s="75"/>
    </row>
    <row r="195" spans="1:27" ht="14.25">
      <c r="A195" s="36"/>
      <c r="B195" s="31" t="s">
        <v>3167</v>
      </c>
      <c r="C195" s="31"/>
      <c r="D195" s="224" t="s">
        <v>3168</v>
      </c>
      <c r="E195" s="199"/>
      <c r="F195" s="199"/>
      <c r="G195" s="199"/>
      <c r="H195" s="200"/>
      <c r="I195" s="223" t="s">
        <v>3173</v>
      </c>
      <c r="J195" s="200"/>
      <c r="K195" s="75"/>
      <c r="L195" s="75"/>
      <c r="M195" s="75"/>
      <c r="N195" s="75"/>
      <c r="O195" s="75"/>
      <c r="P195" s="75"/>
      <c r="Q195" s="75"/>
      <c r="R195" s="75"/>
      <c r="S195" s="75"/>
      <c r="T195" s="75"/>
      <c r="U195" s="75"/>
      <c r="V195" s="75"/>
      <c r="W195" s="75"/>
      <c r="X195" s="75"/>
      <c r="Y195" s="75"/>
      <c r="Z195" s="75"/>
      <c r="AA195" s="75"/>
    </row>
    <row r="196" spans="1:27" ht="14.25">
      <c r="A196" s="36"/>
      <c r="B196" s="31"/>
      <c r="C196" s="31" t="s">
        <v>3177</v>
      </c>
      <c r="D196" s="224" t="s">
        <v>3178</v>
      </c>
      <c r="E196" s="199"/>
      <c r="F196" s="199"/>
      <c r="G196" s="199"/>
      <c r="H196" s="200"/>
      <c r="I196" s="223" t="s">
        <v>3173</v>
      </c>
      <c r="J196" s="200"/>
      <c r="K196" s="75"/>
      <c r="L196" s="75"/>
      <c r="M196" s="75"/>
      <c r="N196" s="75"/>
      <c r="O196" s="75"/>
      <c r="P196" s="75"/>
      <c r="Q196" s="75"/>
      <c r="R196" s="75"/>
      <c r="S196" s="75"/>
      <c r="T196" s="75"/>
      <c r="U196" s="75"/>
      <c r="V196" s="75"/>
      <c r="W196" s="75"/>
      <c r="X196" s="75"/>
      <c r="Y196" s="75"/>
      <c r="Z196" s="75"/>
      <c r="AA196" s="75"/>
    </row>
    <row r="197" spans="1:27" ht="14.25">
      <c r="A197" s="36"/>
      <c r="B197" s="31"/>
      <c r="C197" s="31" t="s">
        <v>3179</v>
      </c>
      <c r="D197" s="224" t="s">
        <v>3180</v>
      </c>
      <c r="E197" s="199"/>
      <c r="F197" s="199"/>
      <c r="G197" s="199"/>
      <c r="H197" s="200"/>
      <c r="I197" s="223" t="s">
        <v>3173</v>
      </c>
      <c r="J197" s="200"/>
      <c r="K197" s="75"/>
      <c r="L197" s="75"/>
      <c r="M197" s="75"/>
      <c r="N197" s="75"/>
      <c r="O197" s="75"/>
      <c r="P197" s="75"/>
      <c r="Q197" s="75"/>
      <c r="R197" s="75"/>
      <c r="S197" s="75"/>
      <c r="T197" s="75"/>
      <c r="U197" s="75"/>
      <c r="V197" s="75"/>
      <c r="W197" s="75"/>
      <c r="X197" s="75"/>
      <c r="Y197" s="75"/>
      <c r="Z197" s="75"/>
      <c r="AA197" s="75"/>
    </row>
    <row r="198" spans="1:27" ht="14.25">
      <c r="A198" s="36"/>
      <c r="B198" s="31"/>
      <c r="C198" s="31" t="s">
        <v>3181</v>
      </c>
      <c r="D198" s="224" t="s">
        <v>3182</v>
      </c>
      <c r="E198" s="199"/>
      <c r="F198" s="199"/>
      <c r="G198" s="199"/>
      <c r="H198" s="200"/>
      <c r="I198" s="223" t="s">
        <v>3173</v>
      </c>
      <c r="J198" s="200"/>
      <c r="K198" s="75"/>
      <c r="L198" s="75"/>
      <c r="M198" s="75"/>
      <c r="N198" s="75"/>
      <c r="O198" s="75"/>
      <c r="P198" s="75"/>
      <c r="Q198" s="75"/>
      <c r="R198" s="75"/>
      <c r="S198" s="75"/>
      <c r="T198" s="75"/>
      <c r="U198" s="75"/>
      <c r="V198" s="75"/>
      <c r="W198" s="75"/>
      <c r="X198" s="75"/>
      <c r="Y198" s="75"/>
      <c r="Z198" s="75"/>
      <c r="AA198" s="75"/>
    </row>
    <row r="199" spans="1:27" ht="14.25">
      <c r="A199" s="36"/>
      <c r="B199" s="31"/>
      <c r="C199" s="31" t="s">
        <v>3183</v>
      </c>
      <c r="D199" s="224" t="s">
        <v>3184</v>
      </c>
      <c r="E199" s="199"/>
      <c r="F199" s="199"/>
      <c r="G199" s="199"/>
      <c r="H199" s="200"/>
      <c r="I199" s="223" t="s">
        <v>3173</v>
      </c>
      <c r="J199" s="200"/>
      <c r="K199" s="75"/>
      <c r="L199" s="75"/>
      <c r="M199" s="75"/>
      <c r="N199" s="75"/>
      <c r="O199" s="75"/>
      <c r="P199" s="75"/>
      <c r="Q199" s="75"/>
      <c r="R199" s="75"/>
      <c r="S199" s="75"/>
      <c r="T199" s="75"/>
      <c r="U199" s="75"/>
      <c r="V199" s="75"/>
      <c r="W199" s="75"/>
      <c r="X199" s="75"/>
      <c r="Y199" s="75"/>
      <c r="Z199" s="75"/>
      <c r="AA199" s="75"/>
    </row>
    <row r="200" spans="1:27" ht="14.25">
      <c r="A200" s="36"/>
      <c r="B200" s="31"/>
      <c r="C200" s="31" t="s">
        <v>3185</v>
      </c>
      <c r="D200" s="224" t="s">
        <v>3186</v>
      </c>
      <c r="E200" s="199"/>
      <c r="F200" s="199"/>
      <c r="G200" s="199"/>
      <c r="H200" s="200"/>
      <c r="I200" s="223" t="s">
        <v>3187</v>
      </c>
      <c r="J200" s="200"/>
      <c r="K200" s="75"/>
      <c r="L200" s="75"/>
      <c r="M200" s="75"/>
      <c r="N200" s="75"/>
      <c r="O200" s="75"/>
      <c r="P200" s="75"/>
      <c r="Q200" s="75"/>
      <c r="R200" s="75"/>
      <c r="S200" s="75"/>
      <c r="T200" s="75"/>
      <c r="U200" s="75"/>
      <c r="V200" s="75"/>
      <c r="W200" s="75"/>
      <c r="X200" s="75"/>
      <c r="Y200" s="75"/>
      <c r="Z200" s="75"/>
      <c r="AA200" s="75"/>
    </row>
    <row r="201" spans="1:27" ht="14.25">
      <c r="A201" s="36"/>
      <c r="B201" s="31"/>
      <c r="C201" s="31" t="s">
        <v>3188</v>
      </c>
      <c r="D201" s="224" t="s">
        <v>3189</v>
      </c>
      <c r="E201" s="199"/>
      <c r="F201" s="199"/>
      <c r="G201" s="199"/>
      <c r="H201" s="200"/>
      <c r="I201" s="223" t="s">
        <v>3187</v>
      </c>
      <c r="J201" s="200"/>
      <c r="K201" s="75"/>
      <c r="L201" s="75"/>
      <c r="M201" s="75"/>
      <c r="N201" s="75"/>
      <c r="O201" s="75"/>
      <c r="P201" s="75"/>
      <c r="Q201" s="75"/>
      <c r="R201" s="75"/>
      <c r="S201" s="75"/>
      <c r="T201" s="75"/>
      <c r="U201" s="75"/>
      <c r="V201" s="75"/>
      <c r="W201" s="75"/>
      <c r="X201" s="75"/>
      <c r="Y201" s="75"/>
      <c r="Z201" s="75"/>
      <c r="AA201" s="75"/>
    </row>
    <row r="202" spans="1:27" ht="14.25">
      <c r="A202" s="36"/>
      <c r="B202" s="31"/>
      <c r="C202" s="31" t="s">
        <v>3190</v>
      </c>
      <c r="D202" s="224" t="s">
        <v>3191</v>
      </c>
      <c r="E202" s="199"/>
      <c r="F202" s="199"/>
      <c r="G202" s="199"/>
      <c r="H202" s="200"/>
      <c r="I202" s="223" t="s">
        <v>3187</v>
      </c>
      <c r="J202" s="200"/>
      <c r="K202" s="75"/>
      <c r="L202" s="75"/>
      <c r="M202" s="75"/>
      <c r="N202" s="75"/>
      <c r="O202" s="75"/>
      <c r="P202" s="75"/>
      <c r="Q202" s="75"/>
      <c r="R202" s="75"/>
      <c r="S202" s="75"/>
      <c r="T202" s="75"/>
      <c r="U202" s="75"/>
      <c r="V202" s="75"/>
      <c r="W202" s="75"/>
      <c r="X202" s="75"/>
      <c r="Y202" s="75"/>
      <c r="Z202" s="75"/>
      <c r="AA202" s="75"/>
    </row>
    <row r="203" spans="1:27" ht="14.25">
      <c r="A203" s="36"/>
      <c r="B203" s="31"/>
      <c r="C203" s="31" t="s">
        <v>3192</v>
      </c>
      <c r="D203" s="224" t="s">
        <v>3193</v>
      </c>
      <c r="E203" s="199"/>
      <c r="F203" s="199"/>
      <c r="G203" s="199"/>
      <c r="H203" s="200"/>
      <c r="I203" s="223" t="s">
        <v>3187</v>
      </c>
      <c r="J203" s="200"/>
      <c r="K203" s="75"/>
      <c r="L203" s="75"/>
      <c r="M203" s="75"/>
      <c r="N203" s="75"/>
      <c r="O203" s="75"/>
      <c r="P203" s="75"/>
      <c r="Q203" s="75"/>
      <c r="R203" s="75"/>
      <c r="S203" s="75"/>
      <c r="T203" s="75"/>
      <c r="U203" s="75"/>
      <c r="V203" s="75"/>
      <c r="W203" s="75"/>
      <c r="X203" s="75"/>
      <c r="Y203" s="75"/>
      <c r="Z203" s="75"/>
      <c r="AA203" s="75"/>
    </row>
    <row r="204" spans="1:27" ht="14.25">
      <c r="A204" s="36"/>
      <c r="B204" s="31"/>
      <c r="C204" s="31" t="s">
        <v>3194</v>
      </c>
      <c r="D204" s="224" t="s">
        <v>3195</v>
      </c>
      <c r="E204" s="199"/>
      <c r="F204" s="199"/>
      <c r="G204" s="199"/>
      <c r="H204" s="200"/>
      <c r="I204" s="223" t="s">
        <v>3187</v>
      </c>
      <c r="J204" s="200"/>
      <c r="K204" s="75"/>
      <c r="L204" s="75"/>
      <c r="M204" s="75"/>
      <c r="N204" s="75"/>
      <c r="O204" s="75"/>
      <c r="P204" s="75"/>
      <c r="Q204" s="75"/>
      <c r="R204" s="75"/>
      <c r="S204" s="75"/>
      <c r="T204" s="75"/>
      <c r="U204" s="75"/>
      <c r="V204" s="75"/>
      <c r="W204" s="75"/>
      <c r="X204" s="75"/>
      <c r="Y204" s="75"/>
      <c r="Z204" s="75"/>
      <c r="AA204" s="75"/>
    </row>
    <row r="205" spans="1:27" ht="14.25">
      <c r="A205" s="36"/>
      <c r="B205" s="31"/>
      <c r="C205" s="31" t="s">
        <v>3196</v>
      </c>
      <c r="D205" s="224" t="s">
        <v>3197</v>
      </c>
      <c r="E205" s="199"/>
      <c r="F205" s="199"/>
      <c r="G205" s="199"/>
      <c r="H205" s="200"/>
      <c r="I205" s="223" t="s">
        <v>3187</v>
      </c>
      <c r="J205" s="200"/>
      <c r="K205" s="75"/>
      <c r="L205" s="75"/>
      <c r="M205" s="75"/>
      <c r="N205" s="75"/>
      <c r="O205" s="75"/>
      <c r="P205" s="75"/>
      <c r="Q205" s="75"/>
      <c r="R205" s="75"/>
      <c r="S205" s="75"/>
      <c r="T205" s="75"/>
      <c r="U205" s="75"/>
      <c r="V205" s="75"/>
      <c r="W205" s="75"/>
      <c r="X205" s="75"/>
      <c r="Y205" s="75"/>
      <c r="Z205" s="75"/>
      <c r="AA205" s="75"/>
    </row>
    <row r="206" spans="1:27" ht="14.25">
      <c r="A206" s="36"/>
      <c r="B206" s="31"/>
      <c r="C206" s="31" t="s">
        <v>3198</v>
      </c>
      <c r="D206" s="224" t="s">
        <v>3199</v>
      </c>
      <c r="E206" s="199"/>
      <c r="F206" s="199"/>
      <c r="G206" s="199"/>
      <c r="H206" s="200"/>
      <c r="I206" s="223" t="s">
        <v>3187</v>
      </c>
      <c r="J206" s="200"/>
      <c r="K206" s="75"/>
      <c r="L206" s="75"/>
      <c r="M206" s="75"/>
      <c r="N206" s="75"/>
      <c r="O206" s="75"/>
      <c r="P206" s="75"/>
      <c r="Q206" s="75"/>
      <c r="R206" s="75"/>
      <c r="S206" s="75"/>
      <c r="T206" s="75"/>
      <c r="U206" s="75"/>
      <c r="V206" s="75"/>
      <c r="W206" s="75"/>
      <c r="X206" s="75"/>
      <c r="Y206" s="75"/>
      <c r="Z206" s="75"/>
      <c r="AA206" s="75"/>
    </row>
    <row r="207" spans="1:27" ht="14.25">
      <c r="A207" s="36"/>
      <c r="B207" s="31"/>
      <c r="C207" s="31" t="s">
        <v>3200</v>
      </c>
      <c r="D207" s="224" t="s">
        <v>3201</v>
      </c>
      <c r="E207" s="199"/>
      <c r="F207" s="199"/>
      <c r="G207" s="199"/>
      <c r="H207" s="200"/>
      <c r="I207" s="223" t="s">
        <v>3187</v>
      </c>
      <c r="J207" s="200"/>
      <c r="K207" s="75"/>
      <c r="L207" s="75"/>
      <c r="M207" s="75"/>
      <c r="N207" s="75"/>
      <c r="O207" s="75"/>
      <c r="P207" s="75"/>
      <c r="Q207" s="75"/>
      <c r="R207" s="75"/>
      <c r="S207" s="75"/>
      <c r="T207" s="75"/>
      <c r="U207" s="75"/>
      <c r="V207" s="75"/>
      <c r="W207" s="75"/>
      <c r="X207" s="75"/>
      <c r="Y207" s="75"/>
      <c r="Z207" s="75"/>
      <c r="AA207" s="75"/>
    </row>
    <row r="208" spans="1:27" ht="14.25">
      <c r="A208" s="36"/>
      <c r="B208" s="31"/>
      <c r="C208" s="31" t="s">
        <v>3202</v>
      </c>
      <c r="D208" s="224" t="s">
        <v>3203</v>
      </c>
      <c r="E208" s="199"/>
      <c r="F208" s="199"/>
      <c r="G208" s="199"/>
      <c r="H208" s="200"/>
      <c r="I208" s="223" t="s">
        <v>3187</v>
      </c>
      <c r="J208" s="200"/>
      <c r="K208" s="75"/>
      <c r="L208" s="75"/>
      <c r="M208" s="75"/>
      <c r="N208" s="75"/>
      <c r="O208" s="75"/>
      <c r="P208" s="75"/>
      <c r="Q208" s="75"/>
      <c r="R208" s="75"/>
      <c r="S208" s="75"/>
      <c r="T208" s="75"/>
      <c r="U208" s="75"/>
      <c r="V208" s="75"/>
      <c r="W208" s="75"/>
      <c r="X208" s="75"/>
      <c r="Y208" s="75"/>
      <c r="Z208" s="75"/>
      <c r="AA208" s="75"/>
    </row>
    <row r="209" spans="1:27" ht="14.25">
      <c r="A209" s="36" t="s">
        <v>3204</v>
      </c>
      <c r="B209" s="31" t="s">
        <v>3205</v>
      </c>
      <c r="C209" s="31" t="s">
        <v>3206</v>
      </c>
      <c r="D209" s="204" t="s">
        <v>3207</v>
      </c>
      <c r="E209" s="199"/>
      <c r="F209" s="199"/>
      <c r="G209" s="199"/>
      <c r="H209" s="200"/>
      <c r="I209" s="204" t="s">
        <v>3208</v>
      </c>
      <c r="J209" s="200"/>
      <c r="K209" s="75"/>
      <c r="L209" s="75"/>
      <c r="M209" s="75"/>
      <c r="N209" s="75"/>
      <c r="O209" s="75"/>
      <c r="P209" s="75"/>
      <c r="Q209" s="75"/>
      <c r="R209" s="75"/>
      <c r="S209" s="75"/>
      <c r="T209" s="75"/>
      <c r="U209" s="75"/>
      <c r="V209" s="75"/>
      <c r="W209" s="75"/>
      <c r="X209" s="75"/>
      <c r="Y209" s="75"/>
      <c r="Z209" s="75"/>
      <c r="AA209" s="75"/>
    </row>
    <row r="210" spans="1:27" ht="14.25">
      <c r="A210" s="36" t="s">
        <v>3209</v>
      </c>
      <c r="B210" s="31" t="s">
        <v>3210</v>
      </c>
      <c r="C210" s="31"/>
      <c r="D210" s="204" t="s">
        <v>3211</v>
      </c>
      <c r="E210" s="199"/>
      <c r="F210" s="199"/>
      <c r="G210" s="199"/>
      <c r="H210" s="200"/>
      <c r="I210" s="223" t="s">
        <v>3187</v>
      </c>
      <c r="J210" s="200"/>
      <c r="K210" s="75"/>
      <c r="L210" s="75"/>
      <c r="M210" s="75"/>
      <c r="N210" s="75"/>
      <c r="O210" s="75"/>
      <c r="P210" s="75"/>
      <c r="Q210" s="75"/>
      <c r="R210" s="75"/>
      <c r="S210" s="75"/>
      <c r="T210" s="75"/>
      <c r="U210" s="75"/>
      <c r="V210" s="75"/>
      <c r="W210" s="75"/>
      <c r="X210" s="75"/>
      <c r="Y210" s="75"/>
      <c r="Z210" s="75"/>
      <c r="AA210" s="75"/>
    </row>
    <row r="211" spans="1:27" ht="14.25">
      <c r="A211" s="36"/>
      <c r="B211" s="31"/>
      <c r="C211" s="31"/>
      <c r="D211" s="204" t="s">
        <v>3212</v>
      </c>
      <c r="E211" s="199"/>
      <c r="F211" s="199"/>
      <c r="G211" s="199"/>
      <c r="H211" s="200"/>
      <c r="I211" s="223" t="s">
        <v>3187</v>
      </c>
      <c r="J211" s="200"/>
      <c r="K211" s="75"/>
      <c r="L211" s="75"/>
      <c r="M211" s="75"/>
      <c r="N211" s="75"/>
      <c r="O211" s="75"/>
      <c r="P211" s="75"/>
      <c r="Q211" s="75"/>
      <c r="R211" s="75"/>
      <c r="S211" s="75"/>
      <c r="T211" s="75"/>
      <c r="U211" s="75"/>
      <c r="V211" s="75"/>
      <c r="W211" s="75"/>
      <c r="X211" s="75"/>
      <c r="Y211" s="75"/>
      <c r="Z211" s="75"/>
      <c r="AA211" s="75"/>
    </row>
    <row r="212" spans="1:27" ht="14.25">
      <c r="A212" s="36" t="s">
        <v>3213</v>
      </c>
      <c r="B212" s="31" t="s">
        <v>3214</v>
      </c>
      <c r="C212" s="31"/>
      <c r="D212" s="204" t="s">
        <v>3215</v>
      </c>
      <c r="E212" s="199"/>
      <c r="F212" s="199"/>
      <c r="G212" s="199"/>
      <c r="H212" s="200"/>
      <c r="I212" s="204" t="s">
        <v>3208</v>
      </c>
      <c r="J212" s="200"/>
      <c r="K212" s="75"/>
      <c r="L212" s="75"/>
      <c r="M212" s="75"/>
      <c r="N212" s="75"/>
      <c r="O212" s="75"/>
      <c r="P212" s="75"/>
      <c r="Q212" s="75"/>
      <c r="R212" s="75"/>
      <c r="S212" s="75"/>
      <c r="T212" s="75"/>
      <c r="U212" s="75"/>
      <c r="V212" s="75"/>
      <c r="W212" s="75"/>
      <c r="X212" s="75"/>
      <c r="Y212" s="75"/>
      <c r="Z212" s="75"/>
      <c r="AA212" s="75"/>
    </row>
    <row r="213" spans="1:27" ht="14.25">
      <c r="A213" s="36" t="s">
        <v>3216</v>
      </c>
      <c r="B213" s="31" t="s">
        <v>3217</v>
      </c>
      <c r="C213" s="31"/>
      <c r="D213" s="204" t="s">
        <v>3215</v>
      </c>
      <c r="E213" s="199"/>
      <c r="F213" s="199"/>
      <c r="G213" s="199"/>
      <c r="H213" s="200"/>
      <c r="I213" s="204" t="s">
        <v>3208</v>
      </c>
      <c r="J213" s="200"/>
      <c r="K213" s="75"/>
      <c r="L213" s="75"/>
      <c r="M213" s="75"/>
      <c r="N213" s="75"/>
      <c r="O213" s="75"/>
      <c r="P213" s="75"/>
      <c r="Q213" s="75"/>
      <c r="R213" s="75"/>
      <c r="S213" s="75"/>
      <c r="T213" s="75"/>
      <c r="U213" s="75"/>
      <c r="V213" s="75"/>
      <c r="W213" s="75"/>
      <c r="X213" s="75"/>
      <c r="Y213" s="75"/>
      <c r="Z213" s="75"/>
      <c r="AA213" s="75"/>
    </row>
    <row r="214" spans="1:27" ht="14.25">
      <c r="A214" s="36" t="s">
        <v>528</v>
      </c>
      <c r="B214" s="31" t="s">
        <v>1918</v>
      </c>
      <c r="C214" s="36" t="s">
        <v>528</v>
      </c>
      <c r="D214" s="204" t="s">
        <v>3218</v>
      </c>
      <c r="E214" s="199"/>
      <c r="F214" s="199"/>
      <c r="G214" s="199"/>
      <c r="H214" s="200"/>
      <c r="I214" s="223" t="s">
        <v>3219</v>
      </c>
      <c r="J214" s="200"/>
      <c r="K214" s="75"/>
      <c r="L214" s="75"/>
      <c r="M214" s="75"/>
      <c r="N214" s="75"/>
      <c r="O214" s="75"/>
      <c r="P214" s="75"/>
      <c r="Q214" s="75"/>
      <c r="R214" s="75"/>
      <c r="S214" s="75"/>
      <c r="T214" s="75"/>
      <c r="U214" s="75"/>
      <c r="V214" s="75"/>
      <c r="W214" s="75"/>
      <c r="X214" s="75"/>
      <c r="Y214" s="75"/>
      <c r="Z214" s="75"/>
      <c r="AA214" s="75"/>
    </row>
    <row r="215" spans="1:27" ht="14.25">
      <c r="A215" s="36" t="s">
        <v>531</v>
      </c>
      <c r="B215" s="31" t="s">
        <v>1920</v>
      </c>
      <c r="C215" s="36" t="s">
        <v>531</v>
      </c>
      <c r="D215" s="204" t="s">
        <v>3218</v>
      </c>
      <c r="E215" s="199"/>
      <c r="F215" s="199"/>
      <c r="G215" s="199"/>
      <c r="H215" s="200"/>
      <c r="I215" s="223" t="s">
        <v>3219</v>
      </c>
      <c r="J215" s="200"/>
      <c r="K215" s="75"/>
      <c r="L215" s="75"/>
      <c r="M215" s="75"/>
      <c r="N215" s="75"/>
      <c r="O215" s="75"/>
      <c r="P215" s="75"/>
      <c r="Q215" s="75"/>
      <c r="R215" s="75"/>
      <c r="S215" s="75"/>
      <c r="T215" s="75"/>
      <c r="U215" s="75"/>
      <c r="V215" s="75"/>
      <c r="W215" s="75"/>
      <c r="X215" s="75"/>
      <c r="Y215" s="75"/>
      <c r="Z215" s="75"/>
      <c r="AA215" s="75"/>
    </row>
    <row r="216" spans="1:27" ht="14.25">
      <c r="A216" s="36" t="s">
        <v>533</v>
      </c>
      <c r="B216" s="31" t="s">
        <v>1923</v>
      </c>
      <c r="C216" s="36" t="s">
        <v>533</v>
      </c>
      <c r="D216" s="204" t="s">
        <v>3218</v>
      </c>
      <c r="E216" s="199"/>
      <c r="F216" s="199"/>
      <c r="G216" s="199"/>
      <c r="H216" s="200"/>
      <c r="I216" s="223" t="s">
        <v>3219</v>
      </c>
      <c r="J216" s="200"/>
      <c r="K216" s="75"/>
      <c r="L216" s="75"/>
      <c r="M216" s="75"/>
      <c r="N216" s="75"/>
      <c r="O216" s="75"/>
      <c r="P216" s="75"/>
      <c r="Q216" s="75"/>
      <c r="R216" s="75"/>
      <c r="S216" s="75"/>
      <c r="T216" s="75"/>
      <c r="U216" s="75"/>
      <c r="V216" s="75"/>
      <c r="W216" s="75"/>
      <c r="X216" s="75"/>
      <c r="Y216" s="75"/>
      <c r="Z216" s="75"/>
      <c r="AA216" s="75"/>
    </row>
    <row r="217" spans="1:27" ht="14.25">
      <c r="A217" s="36" t="s">
        <v>535</v>
      </c>
      <c r="B217" s="31" t="s">
        <v>1926</v>
      </c>
      <c r="C217" s="36" t="s">
        <v>535</v>
      </c>
      <c r="D217" s="204" t="s">
        <v>3218</v>
      </c>
      <c r="E217" s="199"/>
      <c r="F217" s="199"/>
      <c r="G217" s="199"/>
      <c r="H217" s="200"/>
      <c r="I217" s="223" t="s">
        <v>3219</v>
      </c>
      <c r="J217" s="200"/>
      <c r="K217" s="75"/>
      <c r="L217" s="75"/>
      <c r="M217" s="75"/>
      <c r="N217" s="75"/>
      <c r="O217" s="75"/>
      <c r="P217" s="75"/>
      <c r="Q217" s="75"/>
      <c r="R217" s="75"/>
      <c r="S217" s="75"/>
      <c r="T217" s="75"/>
      <c r="U217" s="75"/>
      <c r="V217" s="75"/>
      <c r="W217" s="75"/>
      <c r="X217" s="75"/>
      <c r="Y217" s="75"/>
      <c r="Z217" s="75"/>
      <c r="AA217" s="75"/>
    </row>
    <row r="218" spans="1:27" ht="14.25">
      <c r="A218" s="36">
        <v>80</v>
      </c>
      <c r="B218" s="31"/>
      <c r="C218" s="31"/>
      <c r="D218" s="204" t="s">
        <v>3220</v>
      </c>
      <c r="E218" s="199"/>
      <c r="F218" s="199"/>
      <c r="G218" s="199"/>
      <c r="H218" s="200"/>
      <c r="I218" s="204" t="s">
        <v>3221</v>
      </c>
      <c r="J218" s="200"/>
      <c r="K218" s="75"/>
      <c r="L218" s="75"/>
      <c r="M218" s="75"/>
      <c r="N218" s="75"/>
      <c r="O218" s="75"/>
      <c r="P218" s="75"/>
      <c r="Q218" s="75"/>
      <c r="R218" s="75"/>
      <c r="S218" s="75"/>
      <c r="T218" s="75"/>
      <c r="U218" s="75"/>
      <c r="V218" s="75"/>
      <c r="W218" s="75"/>
      <c r="X218" s="75"/>
      <c r="Y218" s="75"/>
      <c r="Z218" s="75"/>
      <c r="AA218" s="75"/>
    </row>
    <row r="219" spans="1:27" ht="14.25">
      <c r="A219" s="36">
        <v>227</v>
      </c>
      <c r="B219" s="31"/>
      <c r="C219" s="31"/>
      <c r="D219" s="204" t="s">
        <v>3220</v>
      </c>
      <c r="E219" s="199"/>
      <c r="F219" s="199"/>
      <c r="G219" s="199"/>
      <c r="H219" s="200"/>
      <c r="I219" s="204" t="s">
        <v>3222</v>
      </c>
      <c r="J219" s="200"/>
      <c r="K219" s="75"/>
      <c r="L219" s="75"/>
      <c r="M219" s="75"/>
      <c r="N219" s="75"/>
      <c r="O219" s="75"/>
      <c r="P219" s="75"/>
      <c r="Q219" s="75"/>
      <c r="R219" s="75"/>
      <c r="S219" s="75"/>
      <c r="T219" s="75"/>
      <c r="U219" s="75"/>
      <c r="V219" s="75"/>
      <c r="W219" s="75"/>
      <c r="X219" s="75"/>
      <c r="Y219" s="75"/>
      <c r="Z219" s="75"/>
      <c r="AA219" s="75"/>
    </row>
    <row r="220" spans="1:27" ht="14.25">
      <c r="A220" s="36"/>
      <c r="B220" s="31" t="s">
        <v>3223</v>
      </c>
      <c r="C220" s="31"/>
      <c r="D220" s="204" t="s">
        <v>3224</v>
      </c>
      <c r="E220" s="199"/>
      <c r="F220" s="199"/>
      <c r="G220" s="199"/>
      <c r="H220" s="200"/>
      <c r="I220" s="223" t="s">
        <v>3225</v>
      </c>
      <c r="J220" s="200"/>
      <c r="K220" s="75"/>
      <c r="L220" s="75"/>
      <c r="M220" s="75"/>
      <c r="N220" s="75"/>
      <c r="O220" s="75"/>
      <c r="P220" s="75"/>
      <c r="Q220" s="75"/>
      <c r="R220" s="75"/>
      <c r="S220" s="75"/>
      <c r="T220" s="75"/>
      <c r="U220" s="75"/>
      <c r="V220" s="75"/>
      <c r="W220" s="75"/>
      <c r="X220" s="75"/>
      <c r="Y220" s="75"/>
      <c r="Z220" s="75"/>
      <c r="AA220" s="75"/>
    </row>
    <row r="221" spans="1:27" ht="14.25">
      <c r="A221" s="36"/>
      <c r="B221" s="31"/>
      <c r="C221" s="31"/>
      <c r="D221" s="204" t="s">
        <v>3226</v>
      </c>
      <c r="E221" s="199"/>
      <c r="F221" s="199"/>
      <c r="G221" s="199"/>
      <c r="H221" s="200"/>
      <c r="I221" s="223" t="s">
        <v>3225</v>
      </c>
      <c r="J221" s="200"/>
      <c r="K221" s="75"/>
      <c r="L221" s="75"/>
      <c r="M221" s="75"/>
      <c r="N221" s="75"/>
      <c r="O221" s="75"/>
      <c r="P221" s="75"/>
      <c r="Q221" s="75"/>
      <c r="R221" s="75"/>
      <c r="S221" s="75"/>
      <c r="T221" s="75"/>
      <c r="U221" s="75"/>
      <c r="V221" s="75"/>
      <c r="W221" s="75"/>
      <c r="X221" s="75"/>
      <c r="Y221" s="75"/>
      <c r="Z221" s="75"/>
      <c r="AA221" s="75"/>
    </row>
    <row r="222" spans="1:27" ht="14.25">
      <c r="A222" s="36"/>
      <c r="B222" s="31"/>
      <c r="C222" s="31"/>
      <c r="D222" s="204" t="s">
        <v>3227</v>
      </c>
      <c r="E222" s="199"/>
      <c r="F222" s="199"/>
      <c r="G222" s="199"/>
      <c r="H222" s="200"/>
      <c r="I222" s="204"/>
      <c r="J222" s="200"/>
      <c r="K222" s="75"/>
      <c r="L222" s="75"/>
      <c r="M222" s="75"/>
      <c r="N222" s="75"/>
      <c r="O222" s="75"/>
      <c r="P222" s="75"/>
      <c r="Q222" s="75"/>
      <c r="R222" s="75"/>
      <c r="S222" s="75"/>
      <c r="T222" s="75"/>
      <c r="U222" s="75"/>
      <c r="V222" s="75"/>
      <c r="W222" s="75"/>
      <c r="X222" s="75"/>
      <c r="Y222" s="75"/>
      <c r="Z222" s="75"/>
      <c r="AA222" s="75"/>
    </row>
    <row r="223" spans="1:27" ht="14.25">
      <c r="A223" s="36"/>
      <c r="B223" s="31" t="s">
        <v>3228</v>
      </c>
      <c r="C223" s="31"/>
      <c r="D223" s="204" t="s">
        <v>3229</v>
      </c>
      <c r="E223" s="199"/>
      <c r="F223" s="199"/>
      <c r="G223" s="199"/>
      <c r="H223" s="200"/>
      <c r="I223" s="223" t="s">
        <v>3175</v>
      </c>
      <c r="J223" s="200"/>
      <c r="K223" s="75"/>
      <c r="L223" s="75"/>
      <c r="M223" s="75"/>
      <c r="N223" s="75"/>
      <c r="O223" s="75"/>
      <c r="P223" s="75"/>
      <c r="Q223" s="75"/>
      <c r="R223" s="75"/>
      <c r="S223" s="75"/>
      <c r="T223" s="75"/>
      <c r="U223" s="75"/>
      <c r="V223" s="75"/>
      <c r="W223" s="75"/>
      <c r="X223" s="75"/>
      <c r="Y223" s="75"/>
      <c r="Z223" s="75"/>
      <c r="AA223" s="75"/>
    </row>
    <row r="224" spans="1:27" ht="14.25">
      <c r="A224" s="36"/>
      <c r="B224" s="31"/>
      <c r="C224" s="31" t="s">
        <v>3230</v>
      </c>
      <c r="D224" s="204" t="s">
        <v>3231</v>
      </c>
      <c r="E224" s="199"/>
      <c r="F224" s="199"/>
      <c r="G224" s="199"/>
      <c r="H224" s="200"/>
      <c r="I224" s="223" t="s">
        <v>3175</v>
      </c>
      <c r="J224" s="200"/>
      <c r="K224" s="75"/>
      <c r="L224" s="75"/>
      <c r="M224" s="75"/>
      <c r="N224" s="75"/>
      <c r="O224" s="75"/>
      <c r="P224" s="75"/>
      <c r="Q224" s="75"/>
      <c r="R224" s="75"/>
      <c r="S224" s="75"/>
      <c r="T224" s="75"/>
      <c r="U224" s="75"/>
      <c r="V224" s="75"/>
      <c r="W224" s="75"/>
      <c r="X224" s="75"/>
      <c r="Y224" s="75"/>
      <c r="Z224" s="75"/>
      <c r="AA224" s="75"/>
    </row>
    <row r="225" spans="1:27" ht="14.25">
      <c r="A225" s="36"/>
      <c r="B225" s="36"/>
      <c r="C225" s="31" t="s">
        <v>3232</v>
      </c>
      <c r="D225" s="204" t="s">
        <v>3233</v>
      </c>
      <c r="E225" s="199"/>
      <c r="F225" s="199"/>
      <c r="G225" s="199"/>
      <c r="H225" s="200"/>
      <c r="I225" s="223" t="s">
        <v>3175</v>
      </c>
      <c r="J225" s="200"/>
      <c r="K225" s="75"/>
      <c r="L225" s="75"/>
      <c r="M225" s="75"/>
      <c r="N225" s="75"/>
      <c r="O225" s="75"/>
      <c r="P225" s="75"/>
      <c r="Q225" s="75"/>
      <c r="R225" s="75"/>
      <c r="S225" s="75"/>
      <c r="T225" s="75"/>
      <c r="U225" s="75"/>
      <c r="V225" s="75"/>
      <c r="W225" s="75"/>
      <c r="X225" s="75"/>
      <c r="Y225" s="75"/>
      <c r="Z225" s="75"/>
      <c r="AA225" s="75"/>
    </row>
    <row r="226" spans="1:27" ht="14.25">
      <c r="A226" s="36"/>
      <c r="B226" s="36"/>
      <c r="C226" s="31" t="s">
        <v>3234</v>
      </c>
      <c r="D226" s="204" t="s">
        <v>3235</v>
      </c>
      <c r="E226" s="199"/>
      <c r="F226" s="199"/>
      <c r="G226" s="199"/>
      <c r="H226" s="200"/>
      <c r="I226" s="223" t="s">
        <v>3175</v>
      </c>
      <c r="J226" s="200"/>
      <c r="K226" s="75"/>
      <c r="L226" s="75"/>
      <c r="M226" s="75"/>
      <c r="N226" s="75"/>
      <c r="O226" s="75"/>
      <c r="P226" s="75"/>
      <c r="Q226" s="75"/>
      <c r="R226" s="75"/>
      <c r="S226" s="75"/>
      <c r="T226" s="75"/>
      <c r="U226" s="75"/>
      <c r="V226" s="75"/>
      <c r="W226" s="75"/>
      <c r="X226" s="75"/>
      <c r="Y226" s="75"/>
      <c r="Z226" s="75"/>
      <c r="AA226" s="75"/>
    </row>
    <row r="227" spans="1:27" ht="14.25">
      <c r="A227" s="36"/>
      <c r="B227" s="36"/>
      <c r="C227" s="31" t="s">
        <v>3236</v>
      </c>
      <c r="D227" s="204" t="s">
        <v>3237</v>
      </c>
      <c r="E227" s="199"/>
      <c r="F227" s="199"/>
      <c r="G227" s="199"/>
      <c r="H227" s="200"/>
      <c r="I227" s="223" t="s">
        <v>3175</v>
      </c>
      <c r="J227" s="200"/>
      <c r="K227" s="75"/>
      <c r="L227" s="75"/>
      <c r="M227" s="75"/>
      <c r="N227" s="75"/>
      <c r="O227" s="75"/>
      <c r="P227" s="75"/>
      <c r="Q227" s="75"/>
      <c r="R227" s="75"/>
      <c r="S227" s="75"/>
      <c r="T227" s="75"/>
      <c r="U227" s="75"/>
      <c r="V227" s="75"/>
      <c r="W227" s="75"/>
      <c r="X227" s="75"/>
      <c r="Y227" s="75"/>
      <c r="Z227" s="75"/>
      <c r="AA227" s="75"/>
    </row>
    <row r="228" spans="1:27" ht="14.25">
      <c r="A228" s="36"/>
      <c r="B228" s="36"/>
      <c r="C228" s="31" t="s">
        <v>3238</v>
      </c>
      <c r="D228" s="204" t="s">
        <v>3239</v>
      </c>
      <c r="E228" s="199"/>
      <c r="F228" s="199"/>
      <c r="G228" s="199"/>
      <c r="H228" s="200"/>
      <c r="I228" s="223" t="s">
        <v>3175</v>
      </c>
      <c r="J228" s="200"/>
      <c r="K228" s="75"/>
      <c r="L228" s="75"/>
      <c r="M228" s="75"/>
      <c r="N228" s="75"/>
      <c r="O228" s="75"/>
      <c r="P228" s="75"/>
      <c r="Q228" s="75"/>
      <c r="R228" s="75"/>
      <c r="S228" s="75"/>
      <c r="T228" s="75"/>
      <c r="U228" s="75"/>
      <c r="V228" s="75"/>
      <c r="W228" s="75"/>
      <c r="X228" s="75"/>
      <c r="Y228" s="75"/>
      <c r="Z228" s="75"/>
      <c r="AA228" s="75"/>
    </row>
    <row r="229" spans="1:27" ht="14.25">
      <c r="A229" s="36"/>
      <c r="B229" s="36"/>
      <c r="C229" s="31" t="s">
        <v>3240</v>
      </c>
      <c r="D229" s="204" t="s">
        <v>3241</v>
      </c>
      <c r="E229" s="199"/>
      <c r="F229" s="199"/>
      <c r="G229" s="199"/>
      <c r="H229" s="200"/>
      <c r="I229" s="223" t="s">
        <v>3175</v>
      </c>
      <c r="J229" s="200"/>
      <c r="K229" s="75"/>
      <c r="L229" s="75"/>
      <c r="M229" s="75"/>
      <c r="N229" s="75"/>
      <c r="O229" s="75"/>
      <c r="P229" s="75"/>
      <c r="Q229" s="75"/>
      <c r="R229" s="75"/>
      <c r="S229" s="75"/>
      <c r="T229" s="75"/>
      <c r="U229" s="75"/>
      <c r="V229" s="75"/>
      <c r="W229" s="75"/>
      <c r="X229" s="75"/>
      <c r="Y229" s="75"/>
      <c r="Z229" s="75"/>
      <c r="AA229" s="75"/>
    </row>
    <row r="230" spans="1:27" ht="14.25">
      <c r="A230" s="36"/>
      <c r="B230" s="36"/>
      <c r="C230" s="31" t="s">
        <v>3242</v>
      </c>
      <c r="D230" s="204" t="s">
        <v>3243</v>
      </c>
      <c r="E230" s="199"/>
      <c r="F230" s="199"/>
      <c r="G230" s="199"/>
      <c r="H230" s="200"/>
      <c r="I230" s="223" t="s">
        <v>3175</v>
      </c>
      <c r="J230" s="200"/>
      <c r="K230" s="75"/>
      <c r="L230" s="75"/>
      <c r="M230" s="75"/>
      <c r="N230" s="75"/>
      <c r="O230" s="75"/>
      <c r="P230" s="75"/>
      <c r="Q230" s="75"/>
      <c r="R230" s="75"/>
      <c r="S230" s="75"/>
      <c r="T230" s="75"/>
      <c r="U230" s="75"/>
      <c r="V230" s="75"/>
      <c r="W230" s="75"/>
      <c r="X230" s="75"/>
      <c r="Y230" s="75"/>
      <c r="Z230" s="75"/>
      <c r="AA230" s="75"/>
    </row>
    <row r="231" spans="1:27" ht="14.25">
      <c r="A231" s="36"/>
      <c r="B231" s="36"/>
      <c r="C231" s="31" t="s">
        <v>3244</v>
      </c>
      <c r="D231" s="204" t="s">
        <v>3245</v>
      </c>
      <c r="E231" s="199"/>
      <c r="F231" s="199"/>
      <c r="G231" s="199"/>
      <c r="H231" s="200"/>
      <c r="I231" s="223" t="s">
        <v>3175</v>
      </c>
      <c r="J231" s="200"/>
      <c r="K231" s="75"/>
      <c r="L231" s="75"/>
      <c r="M231" s="75"/>
      <c r="N231" s="75"/>
      <c r="O231" s="75"/>
      <c r="P231" s="75"/>
      <c r="Q231" s="75"/>
      <c r="R231" s="75"/>
      <c r="S231" s="75"/>
      <c r="T231" s="75"/>
      <c r="U231" s="75"/>
      <c r="V231" s="75"/>
      <c r="W231" s="75"/>
      <c r="X231" s="75"/>
      <c r="Y231" s="75"/>
      <c r="Z231" s="75"/>
      <c r="AA231" s="75"/>
    </row>
    <row r="232" spans="1:27" ht="14.25">
      <c r="A232" s="36"/>
      <c r="B232" s="36"/>
      <c r="C232" s="31" t="s">
        <v>3246</v>
      </c>
      <c r="D232" s="204" t="s">
        <v>3247</v>
      </c>
      <c r="E232" s="199"/>
      <c r="F232" s="199"/>
      <c r="G232" s="199"/>
      <c r="H232" s="200"/>
      <c r="I232" s="223" t="s">
        <v>3175</v>
      </c>
      <c r="J232" s="200"/>
      <c r="K232" s="75"/>
      <c r="L232" s="75"/>
      <c r="M232" s="75"/>
      <c r="N232" s="75"/>
      <c r="O232" s="75"/>
      <c r="P232" s="75"/>
      <c r="Q232" s="75"/>
      <c r="R232" s="75"/>
      <c r="S232" s="75"/>
      <c r="T232" s="75"/>
      <c r="U232" s="75"/>
      <c r="V232" s="75"/>
      <c r="W232" s="75"/>
      <c r="X232" s="75"/>
      <c r="Y232" s="75"/>
      <c r="Z232" s="75"/>
      <c r="AA232" s="75"/>
    </row>
    <row r="233" spans="1:27" ht="14.25">
      <c r="A233" s="36"/>
      <c r="B233" s="36"/>
      <c r="C233" s="31" t="s">
        <v>3248</v>
      </c>
      <c r="D233" s="204" t="s">
        <v>3249</v>
      </c>
      <c r="E233" s="199"/>
      <c r="F233" s="199"/>
      <c r="G233" s="199"/>
      <c r="H233" s="200"/>
      <c r="I233" s="223" t="s">
        <v>3175</v>
      </c>
      <c r="J233" s="200"/>
      <c r="K233" s="75"/>
      <c r="L233" s="75"/>
      <c r="M233" s="75"/>
      <c r="N233" s="75"/>
      <c r="O233" s="75"/>
      <c r="P233" s="75"/>
      <c r="Q233" s="75"/>
      <c r="R233" s="75"/>
      <c r="S233" s="75"/>
      <c r="T233" s="75"/>
      <c r="U233" s="75"/>
      <c r="V233" s="75"/>
      <c r="W233" s="75"/>
      <c r="X233" s="75"/>
      <c r="Y233" s="75"/>
      <c r="Z233" s="75"/>
      <c r="AA233" s="75"/>
    </row>
    <row r="234" spans="1:27" ht="14.25">
      <c r="A234" s="36"/>
      <c r="B234" s="36"/>
      <c r="C234" s="31" t="s">
        <v>2704</v>
      </c>
      <c r="D234" s="204" t="s">
        <v>3250</v>
      </c>
      <c r="E234" s="199"/>
      <c r="F234" s="199"/>
      <c r="G234" s="199"/>
      <c r="H234" s="200"/>
      <c r="I234" s="223" t="s">
        <v>3164</v>
      </c>
      <c r="J234" s="200"/>
      <c r="K234" s="75"/>
      <c r="L234" s="75"/>
      <c r="M234" s="75"/>
      <c r="N234" s="75"/>
      <c r="O234" s="75"/>
      <c r="P234" s="75"/>
      <c r="Q234" s="75"/>
      <c r="R234" s="75"/>
      <c r="S234" s="75"/>
      <c r="T234" s="75"/>
      <c r="U234" s="75"/>
      <c r="V234" s="75"/>
      <c r="W234" s="75"/>
      <c r="X234" s="75"/>
      <c r="Y234" s="75"/>
      <c r="Z234" s="75"/>
      <c r="AA234" s="75"/>
    </row>
    <row r="235" spans="1:27" ht="14.25">
      <c r="A235" s="36"/>
      <c r="B235" s="36"/>
      <c r="C235" s="31" t="s">
        <v>2702</v>
      </c>
      <c r="D235" s="204" t="s">
        <v>3251</v>
      </c>
      <c r="E235" s="199"/>
      <c r="F235" s="199"/>
      <c r="G235" s="199"/>
      <c r="H235" s="200"/>
      <c r="I235" s="223" t="s">
        <v>3164</v>
      </c>
      <c r="J235" s="200"/>
      <c r="K235" s="75"/>
      <c r="L235" s="75"/>
      <c r="M235" s="75"/>
      <c r="N235" s="75"/>
      <c r="O235" s="75"/>
      <c r="P235" s="75"/>
      <c r="Q235" s="75"/>
      <c r="R235" s="75"/>
      <c r="S235" s="75"/>
      <c r="T235" s="75"/>
      <c r="U235" s="75"/>
      <c r="V235" s="75"/>
      <c r="W235" s="75"/>
      <c r="X235" s="75"/>
      <c r="Y235" s="75"/>
      <c r="Z235" s="75"/>
      <c r="AA235" s="75"/>
    </row>
    <row r="236" spans="1:27" ht="14.25">
      <c r="A236" s="36"/>
      <c r="B236" s="36"/>
      <c r="C236" s="31" t="s">
        <v>1652</v>
      </c>
      <c r="D236" s="204" t="s">
        <v>3252</v>
      </c>
      <c r="E236" s="199"/>
      <c r="F236" s="199"/>
      <c r="G236" s="199"/>
      <c r="H236" s="200"/>
      <c r="I236" s="223" t="s">
        <v>3164</v>
      </c>
      <c r="J236" s="200"/>
      <c r="K236" s="75"/>
      <c r="L236" s="75"/>
      <c r="M236" s="75"/>
      <c r="N236" s="75"/>
      <c r="O236" s="75"/>
      <c r="P236" s="75"/>
      <c r="Q236" s="75"/>
      <c r="R236" s="75"/>
      <c r="S236" s="75"/>
      <c r="T236" s="75"/>
      <c r="U236" s="75"/>
      <c r="V236" s="75"/>
      <c r="W236" s="75"/>
      <c r="X236" s="75"/>
      <c r="Y236" s="75"/>
      <c r="Z236" s="75"/>
      <c r="AA236" s="75"/>
    </row>
    <row r="237" spans="1:27" ht="14.25">
      <c r="A237" s="36"/>
      <c r="B237" s="36"/>
      <c r="C237" s="31" t="s">
        <v>1654</v>
      </c>
      <c r="D237" s="204" t="s">
        <v>3253</v>
      </c>
      <c r="E237" s="199"/>
      <c r="F237" s="199"/>
      <c r="G237" s="199"/>
      <c r="H237" s="200"/>
      <c r="I237" s="223" t="s">
        <v>3164</v>
      </c>
      <c r="J237" s="200"/>
      <c r="K237" s="75"/>
      <c r="L237" s="75"/>
      <c r="M237" s="75"/>
      <c r="N237" s="75"/>
      <c r="O237" s="75"/>
      <c r="P237" s="75"/>
      <c r="Q237" s="75"/>
      <c r="R237" s="75"/>
      <c r="S237" s="75"/>
      <c r="T237" s="75"/>
      <c r="U237" s="75"/>
      <c r="V237" s="75"/>
      <c r="W237" s="75"/>
      <c r="X237" s="75"/>
      <c r="Y237" s="75"/>
      <c r="Z237" s="75"/>
      <c r="AA237" s="75"/>
    </row>
    <row r="238" spans="1:27" ht="14.25">
      <c r="A238" s="36"/>
      <c r="B238" s="36"/>
      <c r="C238" s="31" t="s">
        <v>2480</v>
      </c>
      <c r="D238" s="204" t="s">
        <v>3254</v>
      </c>
      <c r="E238" s="199"/>
      <c r="F238" s="199"/>
      <c r="G238" s="199"/>
      <c r="H238" s="200"/>
      <c r="I238" s="223" t="s">
        <v>3164</v>
      </c>
      <c r="J238" s="200"/>
      <c r="K238" s="75"/>
      <c r="L238" s="75"/>
      <c r="M238" s="75"/>
      <c r="N238" s="75"/>
      <c r="O238" s="75"/>
      <c r="P238" s="75"/>
      <c r="Q238" s="75"/>
      <c r="R238" s="75"/>
      <c r="S238" s="75"/>
      <c r="T238" s="75"/>
      <c r="U238" s="75"/>
      <c r="V238" s="75"/>
      <c r="W238" s="75"/>
      <c r="X238" s="75"/>
      <c r="Y238" s="75"/>
      <c r="Z238" s="75"/>
      <c r="AA238" s="75"/>
    </row>
    <row r="239" spans="1:27" ht="14.25">
      <c r="A239" s="36"/>
      <c r="B239" s="36"/>
      <c r="C239" s="31" t="s">
        <v>2482</v>
      </c>
      <c r="D239" s="204" t="s">
        <v>3255</v>
      </c>
      <c r="E239" s="199"/>
      <c r="F239" s="199"/>
      <c r="G239" s="199"/>
      <c r="H239" s="200"/>
      <c r="I239" s="223" t="s">
        <v>3164</v>
      </c>
      <c r="J239" s="200"/>
      <c r="K239" s="75"/>
      <c r="L239" s="75"/>
      <c r="M239" s="75"/>
      <c r="N239" s="75"/>
      <c r="O239" s="75"/>
      <c r="P239" s="75"/>
      <c r="Q239" s="75"/>
      <c r="R239" s="75"/>
      <c r="S239" s="75"/>
      <c r="T239" s="75"/>
      <c r="U239" s="75"/>
      <c r="V239" s="75"/>
      <c r="W239" s="75"/>
      <c r="X239" s="75"/>
      <c r="Y239" s="75"/>
      <c r="Z239" s="75"/>
      <c r="AA239" s="75"/>
    </row>
    <row r="240" spans="1:27" ht="14.25">
      <c r="A240" s="36">
        <v>231</v>
      </c>
      <c r="B240" s="36" t="s">
        <v>3256</v>
      </c>
      <c r="C240" s="31"/>
      <c r="D240" s="203" t="str">
        <f>HYPERLINK("https://www.netonix.com/wisp-switch/ws-12-250-dc.html","There is a switch now in the CB6 control skid for networking. WS-12-250-DC. This need to be inserted into the panel layout")</f>
        <v>There is a switch now in the CB6 control skid for networking. WS-12-250-DC. This need to be inserted into the panel layout</v>
      </c>
      <c r="E240" s="199"/>
      <c r="F240" s="199"/>
      <c r="G240" s="199"/>
      <c r="H240" s="200"/>
      <c r="I240" s="223"/>
      <c r="J240" s="200"/>
      <c r="K240" s="75"/>
      <c r="L240" s="75"/>
      <c r="M240" s="75"/>
      <c r="N240" s="75"/>
      <c r="O240" s="75"/>
      <c r="P240" s="75"/>
      <c r="Q240" s="75"/>
      <c r="R240" s="75"/>
      <c r="S240" s="75"/>
      <c r="T240" s="75"/>
      <c r="U240" s="75"/>
      <c r="V240" s="75"/>
      <c r="W240" s="75"/>
      <c r="X240" s="75"/>
      <c r="Y240" s="75"/>
      <c r="Z240" s="75"/>
      <c r="AA240" s="75"/>
    </row>
    <row r="241" spans="1:27" ht="14.25">
      <c r="A241" s="36"/>
      <c r="B241" s="36"/>
      <c r="C241" s="31"/>
      <c r="D241" s="204" t="s">
        <v>3257</v>
      </c>
      <c r="E241" s="199"/>
      <c r="F241" s="199"/>
      <c r="G241" s="199"/>
      <c r="H241" s="200"/>
      <c r="I241" s="223" t="s">
        <v>11</v>
      </c>
      <c r="J241" s="200"/>
      <c r="K241" s="75"/>
      <c r="L241" s="75"/>
      <c r="M241" s="75"/>
      <c r="N241" s="75"/>
      <c r="O241" s="75"/>
      <c r="P241" s="75"/>
      <c r="Q241" s="75"/>
      <c r="R241" s="75"/>
      <c r="S241" s="75"/>
      <c r="T241" s="75"/>
      <c r="U241" s="75"/>
      <c r="V241" s="75"/>
      <c r="W241" s="75"/>
      <c r="X241" s="75"/>
      <c r="Y241" s="75"/>
      <c r="Z241" s="75"/>
      <c r="AA241" s="75"/>
    </row>
    <row r="242" spans="1:27" ht="14.25">
      <c r="A242" s="189" t="s">
        <v>2651</v>
      </c>
      <c r="B242" s="36"/>
      <c r="C242" s="31" t="s">
        <v>3258</v>
      </c>
      <c r="D242" s="204" t="s">
        <v>3259</v>
      </c>
      <c r="E242" s="199"/>
      <c r="F242" s="199"/>
      <c r="G242" s="199"/>
      <c r="H242" s="200"/>
      <c r="I242" s="223" t="s">
        <v>3164</v>
      </c>
      <c r="J242" s="200"/>
      <c r="K242" s="75"/>
      <c r="L242" s="75"/>
      <c r="M242" s="75"/>
      <c r="N242" s="75"/>
      <c r="O242" s="75"/>
      <c r="P242" s="75"/>
      <c r="Q242" s="75"/>
      <c r="R242" s="75"/>
      <c r="S242" s="75"/>
      <c r="T242" s="75"/>
      <c r="U242" s="75"/>
      <c r="V242" s="75"/>
      <c r="W242" s="75"/>
      <c r="X242" s="75"/>
      <c r="Y242" s="75"/>
      <c r="Z242" s="75"/>
      <c r="AA242" s="75"/>
    </row>
    <row r="243" spans="1:27" ht="14.25">
      <c r="A243" s="36" t="s">
        <v>3260</v>
      </c>
      <c r="B243" s="36"/>
      <c r="C243" s="31" t="s">
        <v>3096</v>
      </c>
      <c r="D243" s="204" t="s">
        <v>3261</v>
      </c>
      <c r="E243" s="199"/>
      <c r="F243" s="199"/>
      <c r="G243" s="199"/>
      <c r="H243" s="200"/>
      <c r="I243" s="223" t="s">
        <v>3164</v>
      </c>
      <c r="J243" s="200"/>
      <c r="K243" s="75"/>
      <c r="L243" s="75"/>
      <c r="M243" s="75"/>
      <c r="N243" s="75"/>
      <c r="O243" s="75"/>
      <c r="P243" s="75"/>
      <c r="Q243" s="75"/>
      <c r="R243" s="75"/>
      <c r="S243" s="75"/>
      <c r="T243" s="75"/>
      <c r="U243" s="75"/>
      <c r="V243" s="75"/>
      <c r="W243" s="75"/>
      <c r="X243" s="75"/>
      <c r="Y243" s="75"/>
      <c r="Z243" s="75"/>
      <c r="AA243" s="75"/>
    </row>
    <row r="244" spans="1:27" ht="14.25">
      <c r="A244" s="36" t="s">
        <v>2667</v>
      </c>
      <c r="B244" s="36"/>
      <c r="C244" s="189" t="s">
        <v>3262</v>
      </c>
      <c r="D244" s="204" t="s">
        <v>3263</v>
      </c>
      <c r="E244" s="199"/>
      <c r="F244" s="199"/>
      <c r="G244" s="199"/>
      <c r="H244" s="200"/>
      <c r="I244" s="223" t="s">
        <v>3164</v>
      </c>
      <c r="J244" s="200"/>
      <c r="K244" s="75"/>
      <c r="L244" s="75"/>
      <c r="M244" s="75"/>
      <c r="N244" s="75"/>
      <c r="O244" s="75"/>
      <c r="P244" s="75"/>
      <c r="Q244" s="75"/>
      <c r="R244" s="75"/>
      <c r="S244" s="75"/>
      <c r="T244" s="75"/>
      <c r="U244" s="75"/>
      <c r="V244" s="75"/>
      <c r="W244" s="75"/>
      <c r="X244" s="75"/>
      <c r="Y244" s="75"/>
      <c r="Z244" s="75"/>
      <c r="AA244" s="75"/>
    </row>
    <row r="245" spans="1:27" ht="14.25">
      <c r="A245" s="36" t="s">
        <v>2669</v>
      </c>
      <c r="B245" s="36"/>
      <c r="C245" s="189" t="s">
        <v>3264</v>
      </c>
      <c r="D245" s="204" t="s">
        <v>3263</v>
      </c>
      <c r="E245" s="199"/>
      <c r="F245" s="199"/>
      <c r="G245" s="199"/>
      <c r="H245" s="200"/>
      <c r="I245" s="223" t="s">
        <v>3164</v>
      </c>
      <c r="J245" s="200"/>
      <c r="K245" s="75"/>
      <c r="L245" s="75"/>
      <c r="M245" s="75"/>
      <c r="N245" s="75"/>
      <c r="O245" s="75"/>
      <c r="P245" s="75"/>
      <c r="Q245" s="75"/>
      <c r="R245" s="75"/>
      <c r="S245" s="75"/>
      <c r="T245" s="75"/>
      <c r="U245" s="75"/>
      <c r="V245" s="75"/>
      <c r="W245" s="75"/>
      <c r="X245" s="75"/>
      <c r="Y245" s="75"/>
      <c r="Z245" s="75"/>
      <c r="AA245" s="75"/>
    </row>
    <row r="246" spans="1:27" ht="14.25">
      <c r="A246" s="36" t="s">
        <v>1531</v>
      </c>
      <c r="B246" s="35"/>
      <c r="C246" s="38" t="s">
        <v>352</v>
      </c>
      <c r="D246" s="223" t="s">
        <v>3265</v>
      </c>
      <c r="E246" s="199"/>
      <c r="F246" s="199"/>
      <c r="G246" s="199"/>
      <c r="H246" s="200"/>
      <c r="I246" s="223" t="s">
        <v>3266</v>
      </c>
      <c r="J246" s="200"/>
      <c r="K246" s="37"/>
      <c r="L246" s="37"/>
      <c r="M246" s="37"/>
      <c r="N246" s="37"/>
      <c r="O246" s="37"/>
      <c r="P246" s="37"/>
      <c r="Q246" s="37"/>
      <c r="R246" s="37"/>
      <c r="S246" s="37"/>
      <c r="T246" s="37"/>
      <c r="U246" s="37"/>
      <c r="V246" s="37"/>
      <c r="W246" s="37"/>
      <c r="X246" s="37"/>
      <c r="Y246" s="37"/>
      <c r="Z246" s="37"/>
      <c r="AA246" s="37"/>
    </row>
    <row r="247" spans="1:27" ht="14.25">
      <c r="A247" s="36"/>
      <c r="B247" s="35"/>
      <c r="C247" s="38" t="s">
        <v>352</v>
      </c>
      <c r="D247" s="223" t="s">
        <v>3267</v>
      </c>
      <c r="E247" s="199"/>
      <c r="F247" s="199"/>
      <c r="G247" s="199"/>
      <c r="H247" s="200"/>
      <c r="I247" s="223" t="s">
        <v>3268</v>
      </c>
      <c r="J247" s="200"/>
      <c r="K247" s="37"/>
      <c r="L247" s="37"/>
      <c r="M247" s="37"/>
      <c r="N247" s="37"/>
      <c r="O247" s="37"/>
      <c r="P247" s="37"/>
      <c r="Q247" s="37"/>
      <c r="R247" s="37"/>
      <c r="S247" s="37"/>
      <c r="T247" s="37"/>
      <c r="U247" s="37"/>
      <c r="V247" s="37"/>
      <c r="W247" s="37"/>
      <c r="X247" s="37"/>
      <c r="Y247" s="37"/>
      <c r="Z247" s="37"/>
      <c r="AA247" s="37"/>
    </row>
    <row r="248" spans="1:27" ht="14.25">
      <c r="A248" s="186" t="s">
        <v>3269</v>
      </c>
      <c r="B248" s="35"/>
      <c r="C248" s="38" t="s">
        <v>352</v>
      </c>
      <c r="D248" s="223" t="s">
        <v>3270</v>
      </c>
      <c r="E248" s="199"/>
      <c r="F248" s="199"/>
      <c r="G248" s="199"/>
      <c r="H248" s="200"/>
      <c r="I248" s="223" t="s">
        <v>3268</v>
      </c>
      <c r="J248" s="200"/>
      <c r="K248" s="37"/>
      <c r="L248" s="37"/>
      <c r="M248" s="37"/>
      <c r="N248" s="37"/>
      <c r="O248" s="37"/>
      <c r="P248" s="37"/>
      <c r="Q248" s="37"/>
      <c r="R248" s="37"/>
      <c r="S248" s="37"/>
      <c r="T248" s="37"/>
      <c r="U248" s="37"/>
      <c r="V248" s="37"/>
      <c r="W248" s="37"/>
      <c r="X248" s="37"/>
      <c r="Y248" s="37"/>
      <c r="Z248" s="37"/>
      <c r="AA248" s="37"/>
    </row>
    <row r="249" spans="1:27" ht="14.25">
      <c r="A249" s="36" t="s">
        <v>1553</v>
      </c>
      <c r="B249" s="35"/>
      <c r="C249" s="38" t="s">
        <v>349</v>
      </c>
      <c r="D249" s="223" t="s">
        <v>3271</v>
      </c>
      <c r="E249" s="199"/>
      <c r="F249" s="199"/>
      <c r="G249" s="199"/>
      <c r="H249" s="200"/>
      <c r="I249" s="223" t="s">
        <v>3268</v>
      </c>
      <c r="J249" s="200"/>
      <c r="K249" s="37"/>
      <c r="L249" s="37"/>
      <c r="M249" s="37"/>
      <c r="N249" s="37"/>
      <c r="O249" s="37"/>
      <c r="P249" s="37"/>
      <c r="Q249" s="37"/>
      <c r="R249" s="37"/>
      <c r="S249" s="37"/>
      <c r="T249" s="37"/>
      <c r="U249" s="37"/>
      <c r="V249" s="37"/>
      <c r="W249" s="37"/>
      <c r="X249" s="37"/>
      <c r="Y249" s="37"/>
      <c r="Z249" s="37"/>
      <c r="AA249" s="37"/>
    </row>
    <row r="250" spans="1:27" ht="14.25">
      <c r="A250" s="36"/>
      <c r="B250" s="35"/>
      <c r="C250" s="38" t="s">
        <v>349</v>
      </c>
      <c r="D250" s="223" t="s">
        <v>3267</v>
      </c>
      <c r="E250" s="199"/>
      <c r="F250" s="199"/>
      <c r="G250" s="199"/>
      <c r="H250" s="200"/>
      <c r="I250" s="223" t="s">
        <v>3268</v>
      </c>
      <c r="J250" s="200"/>
      <c r="K250" s="37"/>
      <c r="L250" s="37"/>
      <c r="M250" s="37"/>
      <c r="N250" s="37"/>
      <c r="O250" s="37"/>
      <c r="P250" s="37"/>
      <c r="Q250" s="37"/>
      <c r="R250" s="37"/>
      <c r="S250" s="37"/>
      <c r="T250" s="37"/>
      <c r="U250" s="37"/>
      <c r="V250" s="37"/>
      <c r="W250" s="37"/>
      <c r="X250" s="37"/>
      <c r="Y250" s="37"/>
      <c r="Z250" s="37"/>
      <c r="AA250" s="37"/>
    </row>
    <row r="251" spans="1:27" ht="14.25">
      <c r="A251" s="186" t="s">
        <v>3272</v>
      </c>
      <c r="B251" s="35"/>
      <c r="C251" s="38" t="s">
        <v>349</v>
      </c>
      <c r="D251" s="223" t="s">
        <v>3270</v>
      </c>
      <c r="E251" s="199"/>
      <c r="F251" s="199"/>
      <c r="G251" s="199"/>
      <c r="H251" s="200"/>
      <c r="I251" s="223" t="s">
        <v>3268</v>
      </c>
      <c r="J251" s="200"/>
      <c r="K251" s="37"/>
      <c r="L251" s="37"/>
      <c r="M251" s="37"/>
      <c r="N251" s="37"/>
      <c r="O251" s="37"/>
      <c r="P251" s="37"/>
      <c r="Q251" s="37"/>
      <c r="R251" s="37"/>
      <c r="S251" s="37"/>
      <c r="T251" s="37"/>
      <c r="U251" s="37"/>
      <c r="V251" s="37"/>
      <c r="W251" s="37"/>
      <c r="X251" s="37"/>
      <c r="Y251" s="37"/>
      <c r="Z251" s="37"/>
      <c r="AA251" s="37"/>
    </row>
    <row r="252" spans="1:27" ht="14.25">
      <c r="A252" s="36" t="s">
        <v>1534</v>
      </c>
      <c r="B252" s="35"/>
      <c r="C252" s="38" t="s">
        <v>354</v>
      </c>
      <c r="D252" s="223" t="s">
        <v>3273</v>
      </c>
      <c r="E252" s="199"/>
      <c r="F252" s="199"/>
      <c r="G252" s="199"/>
      <c r="H252" s="200"/>
      <c r="I252" s="223" t="s">
        <v>3268</v>
      </c>
      <c r="J252" s="200"/>
      <c r="K252" s="37"/>
      <c r="L252" s="37"/>
      <c r="M252" s="37"/>
      <c r="N252" s="37"/>
      <c r="O252" s="37"/>
      <c r="P252" s="37"/>
      <c r="Q252" s="37"/>
      <c r="R252" s="37"/>
      <c r="S252" s="37"/>
      <c r="T252" s="37"/>
      <c r="U252" s="37"/>
      <c r="V252" s="37"/>
      <c r="W252" s="37"/>
      <c r="X252" s="37"/>
      <c r="Y252" s="37"/>
      <c r="Z252" s="37"/>
      <c r="AA252" s="37"/>
    </row>
    <row r="253" spans="1:27" ht="14.25">
      <c r="A253" s="36"/>
      <c r="B253" s="35"/>
      <c r="C253" s="38" t="s">
        <v>354</v>
      </c>
      <c r="D253" s="223" t="s">
        <v>3267</v>
      </c>
      <c r="E253" s="199"/>
      <c r="F253" s="199"/>
      <c r="G253" s="199"/>
      <c r="H253" s="200"/>
      <c r="I253" s="223" t="s">
        <v>3268</v>
      </c>
      <c r="J253" s="200"/>
      <c r="K253" s="37"/>
      <c r="L253" s="37"/>
      <c r="M253" s="37"/>
      <c r="N253" s="37"/>
      <c r="O253" s="37"/>
      <c r="P253" s="37"/>
      <c r="Q253" s="37"/>
      <c r="R253" s="37"/>
      <c r="S253" s="37"/>
      <c r="T253" s="37"/>
      <c r="U253" s="37"/>
      <c r="V253" s="37"/>
      <c r="W253" s="37"/>
      <c r="X253" s="37"/>
      <c r="Y253" s="37"/>
      <c r="Z253" s="37"/>
      <c r="AA253" s="37"/>
    </row>
    <row r="254" spans="1:27" ht="14.25">
      <c r="A254" s="186" t="s">
        <v>3274</v>
      </c>
      <c r="B254" s="35"/>
      <c r="C254" s="38" t="s">
        <v>354</v>
      </c>
      <c r="D254" s="223" t="s">
        <v>3270</v>
      </c>
      <c r="E254" s="199"/>
      <c r="F254" s="199"/>
      <c r="G254" s="199"/>
      <c r="H254" s="200"/>
      <c r="I254" s="223" t="s">
        <v>3268</v>
      </c>
      <c r="J254" s="200"/>
      <c r="K254" s="37"/>
      <c r="L254" s="37"/>
      <c r="M254" s="37"/>
      <c r="N254" s="37"/>
      <c r="O254" s="37"/>
      <c r="P254" s="37"/>
      <c r="Q254" s="37"/>
      <c r="R254" s="37"/>
      <c r="S254" s="37"/>
      <c r="T254" s="37"/>
      <c r="U254" s="37"/>
      <c r="V254" s="37"/>
      <c r="W254" s="37"/>
      <c r="X254" s="37"/>
      <c r="Y254" s="37"/>
      <c r="Z254" s="37"/>
      <c r="AA254" s="37"/>
    </row>
    <row r="255" spans="1:27" ht="14.25">
      <c r="A255" s="35"/>
      <c r="B255" s="35"/>
      <c r="C255" s="38" t="s">
        <v>3275</v>
      </c>
      <c r="D255" s="223" t="s">
        <v>3276</v>
      </c>
      <c r="E255" s="199"/>
      <c r="F255" s="199"/>
      <c r="G255" s="199"/>
      <c r="H255" s="200"/>
      <c r="I255" s="223" t="s">
        <v>3277</v>
      </c>
      <c r="J255" s="200"/>
      <c r="K255" s="37"/>
      <c r="L255" s="37"/>
      <c r="M255" s="37"/>
      <c r="N255" s="37"/>
      <c r="O255" s="37"/>
      <c r="P255" s="37"/>
      <c r="Q255" s="37"/>
      <c r="R255" s="37"/>
      <c r="S255" s="37"/>
      <c r="T255" s="37"/>
      <c r="U255" s="37"/>
      <c r="V255" s="37"/>
      <c r="W255" s="37"/>
      <c r="X255" s="37"/>
      <c r="Y255" s="37"/>
      <c r="Z255" s="37"/>
      <c r="AA255" s="37"/>
    </row>
    <row r="256" spans="1:27" ht="14.25">
      <c r="A256" s="35"/>
      <c r="B256" s="35"/>
      <c r="C256" s="38"/>
      <c r="D256" s="223" t="s">
        <v>3278</v>
      </c>
      <c r="E256" s="199"/>
      <c r="F256" s="199"/>
      <c r="G256" s="199"/>
      <c r="H256" s="200"/>
      <c r="I256" s="223"/>
      <c r="J256" s="200"/>
      <c r="K256" s="37"/>
      <c r="L256" s="37"/>
      <c r="M256" s="37"/>
      <c r="N256" s="37"/>
      <c r="O256" s="37"/>
      <c r="P256" s="37"/>
      <c r="Q256" s="37"/>
      <c r="R256" s="37"/>
      <c r="S256" s="37"/>
      <c r="T256" s="37"/>
      <c r="U256" s="37"/>
      <c r="V256" s="37"/>
      <c r="W256" s="37"/>
      <c r="X256" s="37"/>
      <c r="Y256" s="37"/>
      <c r="Z256" s="37"/>
      <c r="AA256" s="37"/>
    </row>
    <row r="257" spans="1:27" ht="14.25">
      <c r="A257" s="35"/>
      <c r="B257" s="35"/>
      <c r="C257" s="38"/>
      <c r="D257" s="223" t="s">
        <v>3279</v>
      </c>
      <c r="E257" s="199"/>
      <c r="F257" s="199"/>
      <c r="G257" s="199"/>
      <c r="H257" s="200"/>
      <c r="I257" s="223"/>
      <c r="J257" s="200"/>
      <c r="K257" s="37"/>
      <c r="L257" s="37"/>
      <c r="M257" s="37"/>
      <c r="N257" s="37"/>
      <c r="O257" s="37"/>
      <c r="P257" s="37"/>
      <c r="Q257" s="37"/>
      <c r="R257" s="37"/>
      <c r="S257" s="37"/>
      <c r="T257" s="37"/>
      <c r="U257" s="37"/>
      <c r="V257" s="37"/>
      <c r="W257" s="37"/>
      <c r="X257" s="37"/>
      <c r="Y257" s="37"/>
      <c r="Z257" s="37"/>
      <c r="AA257" s="37"/>
    </row>
    <row r="258" spans="1:27">
      <c r="A258" s="35"/>
      <c r="B258" s="35"/>
      <c r="C258" s="45"/>
      <c r="D258" s="223" t="s">
        <v>3280</v>
      </c>
      <c r="E258" s="199"/>
      <c r="F258" s="199"/>
      <c r="G258" s="199"/>
      <c r="H258" s="200"/>
      <c r="I258" s="223"/>
      <c r="J258" s="200"/>
      <c r="K258" s="37"/>
      <c r="L258" s="37"/>
      <c r="M258" s="37"/>
      <c r="N258" s="37"/>
      <c r="O258" s="37"/>
      <c r="P258" s="37"/>
      <c r="Q258" s="37"/>
      <c r="R258" s="37"/>
      <c r="S258" s="37"/>
      <c r="T258" s="37"/>
      <c r="U258" s="37"/>
      <c r="V258" s="37"/>
      <c r="W258" s="37"/>
      <c r="X258" s="37"/>
      <c r="Y258" s="37"/>
      <c r="Z258" s="37"/>
      <c r="AA258" s="37"/>
    </row>
    <row r="259" spans="1:27">
      <c r="A259" s="35"/>
      <c r="B259" s="35"/>
      <c r="C259" s="39" t="s">
        <v>182</v>
      </c>
      <c r="D259" s="224" t="s">
        <v>3281</v>
      </c>
      <c r="E259" s="199"/>
      <c r="F259" s="199"/>
      <c r="G259" s="199"/>
      <c r="H259" s="200"/>
      <c r="I259" s="223"/>
      <c r="J259" s="200"/>
      <c r="K259" s="37"/>
      <c r="L259" s="37"/>
      <c r="M259" s="37"/>
      <c r="N259" s="37"/>
      <c r="O259" s="37"/>
      <c r="P259" s="37"/>
      <c r="Q259" s="37"/>
      <c r="R259" s="37"/>
      <c r="S259" s="37"/>
      <c r="T259" s="37"/>
      <c r="U259" s="37"/>
      <c r="V259" s="37"/>
      <c r="W259" s="37"/>
      <c r="X259" s="37"/>
      <c r="Y259" s="37"/>
      <c r="Z259" s="37"/>
      <c r="AA259" s="37"/>
    </row>
    <row r="260" spans="1:27">
      <c r="A260" s="35"/>
      <c r="B260" s="35"/>
      <c r="C260" s="40" t="s">
        <v>3282</v>
      </c>
      <c r="D260" s="223" t="s">
        <v>3283</v>
      </c>
      <c r="E260" s="199"/>
      <c r="F260" s="199"/>
      <c r="G260" s="199"/>
      <c r="H260" s="200"/>
      <c r="I260" s="223" t="s">
        <v>3284</v>
      </c>
      <c r="J260" s="200"/>
      <c r="K260" s="37"/>
      <c r="L260" s="37"/>
      <c r="M260" s="37"/>
      <c r="N260" s="37"/>
      <c r="O260" s="37"/>
      <c r="P260" s="37"/>
      <c r="Q260" s="37"/>
      <c r="R260" s="37"/>
      <c r="S260" s="37"/>
      <c r="T260" s="37"/>
      <c r="U260" s="37"/>
      <c r="V260" s="37"/>
      <c r="W260" s="37"/>
      <c r="X260" s="37"/>
      <c r="Y260" s="37"/>
      <c r="Z260" s="37"/>
      <c r="AA260" s="37"/>
    </row>
    <row r="261" spans="1:27">
      <c r="A261" s="35"/>
      <c r="B261" s="35"/>
      <c r="C261" s="40" t="s">
        <v>981</v>
      </c>
      <c r="D261" s="223" t="s">
        <v>3285</v>
      </c>
      <c r="E261" s="199"/>
      <c r="F261" s="199"/>
      <c r="G261" s="199"/>
      <c r="H261" s="200"/>
      <c r="I261" s="223" t="s">
        <v>3284</v>
      </c>
      <c r="J261" s="200"/>
      <c r="K261" s="37"/>
      <c r="L261" s="37"/>
      <c r="M261" s="37"/>
      <c r="N261" s="37"/>
      <c r="O261" s="37"/>
      <c r="P261" s="37"/>
      <c r="Q261" s="37"/>
      <c r="R261" s="37"/>
      <c r="S261" s="37"/>
      <c r="T261" s="37"/>
      <c r="U261" s="37"/>
      <c r="V261" s="37"/>
      <c r="W261" s="37"/>
      <c r="X261" s="37"/>
      <c r="Y261" s="37"/>
      <c r="Z261" s="37"/>
      <c r="AA261" s="37"/>
    </row>
    <row r="262" spans="1:27">
      <c r="A262" s="35"/>
      <c r="B262" s="35"/>
      <c r="C262" s="40" t="s">
        <v>993</v>
      </c>
      <c r="D262" s="223" t="s">
        <v>3285</v>
      </c>
      <c r="E262" s="199"/>
      <c r="F262" s="199"/>
      <c r="G262" s="199"/>
      <c r="H262" s="200"/>
      <c r="I262" s="223" t="s">
        <v>3284</v>
      </c>
      <c r="J262" s="200"/>
      <c r="K262" s="37"/>
      <c r="L262" s="37"/>
      <c r="M262" s="37"/>
      <c r="N262" s="37"/>
      <c r="O262" s="37"/>
      <c r="P262" s="37"/>
      <c r="Q262" s="37"/>
      <c r="R262" s="37"/>
      <c r="S262" s="37"/>
      <c r="T262" s="37"/>
      <c r="U262" s="37"/>
      <c r="V262" s="37"/>
      <c r="W262" s="37"/>
      <c r="X262" s="37"/>
      <c r="Y262" s="37"/>
      <c r="Z262" s="37"/>
      <c r="AA262" s="37"/>
    </row>
    <row r="263" spans="1:27">
      <c r="A263" s="35"/>
      <c r="B263" s="35"/>
      <c r="C263" s="40" t="s">
        <v>1001</v>
      </c>
      <c r="D263" s="223" t="s">
        <v>3285</v>
      </c>
      <c r="E263" s="199"/>
      <c r="F263" s="199"/>
      <c r="G263" s="199"/>
      <c r="H263" s="200"/>
      <c r="I263" s="223" t="s">
        <v>3284</v>
      </c>
      <c r="J263" s="200"/>
      <c r="K263" s="37"/>
      <c r="L263" s="37"/>
      <c r="M263" s="37"/>
      <c r="N263" s="37"/>
      <c r="O263" s="37"/>
      <c r="P263" s="37"/>
      <c r="Q263" s="37"/>
      <c r="R263" s="37"/>
      <c r="S263" s="37"/>
      <c r="T263" s="37"/>
      <c r="U263" s="37"/>
      <c r="V263" s="37"/>
      <c r="W263" s="37"/>
      <c r="X263" s="37"/>
      <c r="Y263" s="37"/>
      <c r="Z263" s="37"/>
      <c r="AA263" s="37"/>
    </row>
    <row r="264" spans="1:27">
      <c r="A264" s="35"/>
      <c r="B264" s="35"/>
      <c r="C264" s="40" t="s">
        <v>1009</v>
      </c>
      <c r="D264" s="223" t="s">
        <v>3285</v>
      </c>
      <c r="E264" s="199"/>
      <c r="F264" s="199"/>
      <c r="G264" s="199"/>
      <c r="H264" s="200"/>
      <c r="I264" s="223" t="s">
        <v>3284</v>
      </c>
      <c r="J264" s="200"/>
      <c r="K264" s="37"/>
      <c r="L264" s="37"/>
      <c r="M264" s="37"/>
      <c r="N264" s="37"/>
      <c r="O264" s="37"/>
      <c r="P264" s="37"/>
      <c r="Q264" s="37"/>
      <c r="R264" s="37"/>
      <c r="S264" s="37"/>
      <c r="T264" s="37"/>
      <c r="U264" s="37"/>
      <c r="V264" s="37"/>
      <c r="W264" s="37"/>
      <c r="X264" s="37"/>
      <c r="Y264" s="37"/>
      <c r="Z264" s="37"/>
      <c r="AA264" s="37"/>
    </row>
    <row r="265" spans="1:27">
      <c r="A265" s="35"/>
      <c r="B265" s="35"/>
      <c r="C265" s="45"/>
      <c r="D265" s="223" t="s">
        <v>3286</v>
      </c>
      <c r="E265" s="199"/>
      <c r="F265" s="199"/>
      <c r="G265" s="199"/>
      <c r="H265" s="200"/>
      <c r="I265" s="223"/>
      <c r="J265" s="200"/>
      <c r="K265" s="37"/>
      <c r="L265" s="37"/>
      <c r="M265" s="37"/>
      <c r="N265" s="37"/>
      <c r="O265" s="37"/>
      <c r="P265" s="37"/>
      <c r="Q265" s="37"/>
      <c r="R265" s="37"/>
      <c r="S265" s="37"/>
      <c r="T265" s="37"/>
      <c r="U265" s="37"/>
      <c r="V265" s="37"/>
      <c r="W265" s="37"/>
      <c r="X265" s="37"/>
      <c r="Y265" s="37"/>
      <c r="Z265" s="37"/>
      <c r="AA265" s="37"/>
    </row>
    <row r="266" spans="1:27">
      <c r="A266" s="35"/>
      <c r="B266" s="189" t="s">
        <v>3287</v>
      </c>
      <c r="C266" s="45">
        <v>120</v>
      </c>
      <c r="D266" s="223" t="s">
        <v>3288</v>
      </c>
      <c r="E266" s="199"/>
      <c r="F266" s="199"/>
      <c r="G266" s="199"/>
      <c r="H266" s="200"/>
      <c r="I266" s="223"/>
      <c r="J266" s="200"/>
      <c r="K266" s="37"/>
      <c r="L266" s="37"/>
      <c r="M266" s="37"/>
      <c r="N266" s="37"/>
      <c r="O266" s="37"/>
      <c r="P266" s="37"/>
      <c r="Q266" s="37"/>
      <c r="R266" s="37"/>
      <c r="S266" s="37"/>
      <c r="T266" s="37"/>
      <c r="U266" s="37"/>
      <c r="V266" s="37"/>
      <c r="W266" s="37"/>
      <c r="X266" s="37"/>
      <c r="Y266" s="37"/>
      <c r="Z266" s="37"/>
      <c r="AA266" s="37"/>
    </row>
    <row r="267" spans="1:27">
      <c r="A267" s="35"/>
      <c r="B267" s="189" t="s">
        <v>3289</v>
      </c>
      <c r="C267" s="45">
        <v>121</v>
      </c>
      <c r="D267" s="223" t="s">
        <v>3290</v>
      </c>
      <c r="E267" s="199"/>
      <c r="F267" s="199"/>
      <c r="G267" s="199"/>
      <c r="H267" s="200"/>
      <c r="I267" s="223"/>
      <c r="J267" s="200"/>
      <c r="K267" s="37"/>
      <c r="L267" s="37"/>
      <c r="M267" s="37"/>
      <c r="N267" s="37"/>
      <c r="O267" s="37"/>
      <c r="P267" s="37"/>
      <c r="Q267" s="37"/>
      <c r="R267" s="37"/>
      <c r="S267" s="37"/>
      <c r="T267" s="37"/>
      <c r="U267" s="37"/>
      <c r="V267" s="37"/>
      <c r="W267" s="37"/>
      <c r="X267" s="37"/>
      <c r="Y267" s="37"/>
      <c r="Z267" s="37"/>
      <c r="AA267" s="37"/>
    </row>
    <row r="268" spans="1:27">
      <c r="A268" s="35"/>
      <c r="B268" s="35"/>
      <c r="C268" s="45"/>
      <c r="D268" s="183" t="s">
        <v>3291</v>
      </c>
      <c r="E268" s="41">
        <v>639</v>
      </c>
      <c r="F268" s="41" t="s">
        <v>1271</v>
      </c>
      <c r="G268" s="41"/>
      <c r="H268" s="42"/>
      <c r="I268" s="223"/>
      <c r="J268" s="200"/>
      <c r="K268" s="37"/>
      <c r="L268" s="37"/>
      <c r="M268" s="37"/>
      <c r="N268" s="37"/>
      <c r="O268" s="37"/>
      <c r="P268" s="37"/>
      <c r="Q268" s="37"/>
      <c r="R268" s="37"/>
      <c r="S268" s="37"/>
      <c r="T268" s="37"/>
      <c r="U268" s="37"/>
      <c r="V268" s="37"/>
      <c r="W268" s="37"/>
      <c r="X268" s="37"/>
      <c r="Y268" s="37"/>
      <c r="Z268" s="37"/>
      <c r="AA268" s="37"/>
    </row>
    <row r="269" spans="1:27">
      <c r="A269" s="35"/>
      <c r="B269" s="35"/>
      <c r="C269" s="45"/>
      <c r="D269" s="223" t="s">
        <v>3292</v>
      </c>
      <c r="E269" s="199"/>
      <c r="F269" s="199"/>
      <c r="G269" s="199"/>
      <c r="H269" s="200"/>
      <c r="I269" s="223" t="s">
        <v>3293</v>
      </c>
      <c r="J269" s="200"/>
      <c r="K269" s="37"/>
      <c r="L269" s="37"/>
      <c r="M269" s="37"/>
      <c r="N269" s="37"/>
      <c r="O269" s="37"/>
      <c r="P269" s="37"/>
      <c r="Q269" s="37"/>
      <c r="R269" s="37"/>
      <c r="S269" s="37"/>
      <c r="T269" s="37"/>
      <c r="U269" s="37"/>
      <c r="V269" s="37"/>
      <c r="W269" s="37"/>
      <c r="X269" s="37"/>
      <c r="Y269" s="37"/>
      <c r="Z269" s="37"/>
      <c r="AA269" s="37"/>
    </row>
    <row r="270" spans="1:27">
      <c r="A270" s="35"/>
      <c r="B270" s="35"/>
      <c r="C270" s="45"/>
      <c r="D270" s="223" t="s">
        <v>3294</v>
      </c>
      <c r="E270" s="199"/>
      <c r="F270" s="199"/>
      <c r="G270" s="199"/>
      <c r="H270" s="200"/>
      <c r="I270" s="223" t="s">
        <v>3295</v>
      </c>
      <c r="J270" s="200"/>
      <c r="K270" s="37"/>
      <c r="L270" s="37"/>
      <c r="M270" s="37"/>
      <c r="N270" s="37"/>
      <c r="O270" s="37"/>
      <c r="P270" s="37"/>
      <c r="Q270" s="37"/>
      <c r="R270" s="37"/>
      <c r="S270" s="37"/>
      <c r="T270" s="37"/>
      <c r="U270" s="37"/>
      <c r="V270" s="37"/>
      <c r="W270" s="37"/>
      <c r="X270" s="37"/>
      <c r="Y270" s="37"/>
      <c r="Z270" s="37"/>
      <c r="AA270" s="37"/>
    </row>
    <row r="271" spans="1:27">
      <c r="A271" s="35"/>
      <c r="B271" s="35"/>
      <c r="C271" s="44"/>
      <c r="D271" s="223" t="s">
        <v>3296</v>
      </c>
      <c r="E271" s="199"/>
      <c r="F271" s="199"/>
      <c r="G271" s="199"/>
      <c r="H271" s="200"/>
      <c r="I271" s="223" t="s">
        <v>3297</v>
      </c>
      <c r="J271" s="200"/>
      <c r="K271" s="37"/>
      <c r="L271" s="37"/>
      <c r="M271" s="37"/>
      <c r="N271" s="37"/>
      <c r="O271" s="37"/>
      <c r="P271" s="37"/>
      <c r="Q271" s="37"/>
      <c r="R271" s="37"/>
      <c r="S271" s="37"/>
      <c r="T271" s="37"/>
      <c r="U271" s="37"/>
      <c r="V271" s="37"/>
      <c r="W271" s="37"/>
      <c r="X271" s="37"/>
      <c r="Y271" s="37"/>
      <c r="Z271" s="37"/>
      <c r="AA271" s="37"/>
    </row>
    <row r="272" spans="1:27">
      <c r="A272" s="35"/>
      <c r="B272" s="35"/>
      <c r="C272" s="44"/>
      <c r="D272" s="223" t="s">
        <v>3298</v>
      </c>
      <c r="E272" s="199"/>
      <c r="F272" s="199"/>
      <c r="G272" s="199"/>
      <c r="H272" s="200"/>
      <c r="I272" s="223" t="s">
        <v>3297</v>
      </c>
      <c r="J272" s="200"/>
      <c r="K272" s="37"/>
      <c r="L272" s="37"/>
      <c r="M272" s="37"/>
      <c r="N272" s="37"/>
      <c r="O272" s="37"/>
      <c r="P272" s="37"/>
      <c r="Q272" s="37"/>
      <c r="R272" s="37"/>
      <c r="S272" s="37"/>
      <c r="T272" s="37"/>
      <c r="U272" s="37"/>
      <c r="V272" s="37"/>
      <c r="W272" s="37"/>
      <c r="X272" s="37"/>
      <c r="Y272" s="37"/>
      <c r="Z272" s="37"/>
      <c r="AA272" s="37"/>
    </row>
    <row r="273" spans="1:27">
      <c r="A273" s="35"/>
      <c r="B273" s="35"/>
      <c r="C273" s="44"/>
      <c r="D273" s="223" t="s">
        <v>3299</v>
      </c>
      <c r="E273" s="199"/>
      <c r="F273" s="199"/>
      <c r="G273" s="199"/>
      <c r="H273" s="200"/>
      <c r="I273" s="223" t="s">
        <v>3300</v>
      </c>
      <c r="J273" s="200"/>
      <c r="K273" s="37"/>
      <c r="L273" s="37"/>
      <c r="M273" s="37"/>
      <c r="N273" s="37"/>
      <c r="O273" s="37"/>
      <c r="P273" s="37"/>
      <c r="Q273" s="37"/>
      <c r="R273" s="37"/>
      <c r="S273" s="37"/>
      <c r="T273" s="37"/>
      <c r="U273" s="37"/>
      <c r="V273" s="37"/>
      <c r="W273" s="37"/>
      <c r="X273" s="37"/>
      <c r="Y273" s="37"/>
      <c r="Z273" s="37"/>
      <c r="AA273" s="37"/>
    </row>
    <row r="274" spans="1:27">
      <c r="A274" s="35"/>
      <c r="B274" s="35"/>
      <c r="C274" s="44"/>
      <c r="D274" s="223" t="s">
        <v>3301</v>
      </c>
      <c r="E274" s="199"/>
      <c r="F274" s="199"/>
      <c r="G274" s="199"/>
      <c r="H274" s="200"/>
      <c r="I274" s="223" t="s">
        <v>3300</v>
      </c>
      <c r="J274" s="200"/>
      <c r="K274" s="37"/>
      <c r="L274" s="37"/>
      <c r="M274" s="37"/>
      <c r="N274" s="37"/>
      <c r="O274" s="37"/>
      <c r="P274" s="37"/>
      <c r="Q274" s="37"/>
      <c r="R274" s="37"/>
      <c r="S274" s="37"/>
      <c r="T274" s="37"/>
      <c r="U274" s="37"/>
      <c r="V274" s="37"/>
      <c r="W274" s="37"/>
      <c r="X274" s="37"/>
      <c r="Y274" s="37"/>
      <c r="Z274" s="37"/>
      <c r="AA274" s="37"/>
    </row>
    <row r="275" spans="1:27">
      <c r="A275" s="35"/>
      <c r="B275" s="35"/>
      <c r="C275" s="44"/>
      <c r="D275" s="223" t="s">
        <v>3302</v>
      </c>
      <c r="E275" s="199"/>
      <c r="F275" s="199"/>
      <c r="G275" s="199"/>
      <c r="H275" s="200"/>
      <c r="I275" s="223" t="s">
        <v>3300</v>
      </c>
      <c r="J275" s="200"/>
      <c r="K275" s="37"/>
      <c r="L275" s="37"/>
      <c r="M275" s="37"/>
      <c r="N275" s="37"/>
      <c r="O275" s="37"/>
      <c r="P275" s="37"/>
      <c r="Q275" s="37"/>
      <c r="R275" s="37"/>
      <c r="S275" s="37"/>
      <c r="T275" s="37"/>
      <c r="U275" s="37"/>
      <c r="V275" s="37"/>
      <c r="W275" s="37"/>
      <c r="X275" s="37"/>
      <c r="Y275" s="37"/>
      <c r="Z275" s="37"/>
      <c r="AA275" s="37"/>
    </row>
    <row r="276" spans="1:27">
      <c r="A276" s="35"/>
      <c r="B276" s="35"/>
      <c r="C276" s="44" t="s">
        <v>3303</v>
      </c>
      <c r="D276" s="223" t="s">
        <v>3304</v>
      </c>
      <c r="E276" s="199"/>
      <c r="F276" s="199"/>
      <c r="G276" s="199"/>
      <c r="H276" s="200"/>
      <c r="I276" s="223" t="s">
        <v>3300</v>
      </c>
      <c r="J276" s="200"/>
      <c r="K276" s="37"/>
      <c r="L276" s="37"/>
      <c r="M276" s="37"/>
      <c r="N276" s="37"/>
      <c r="O276" s="37"/>
      <c r="P276" s="37"/>
      <c r="Q276" s="37"/>
      <c r="R276" s="37"/>
      <c r="S276" s="37"/>
      <c r="T276" s="37"/>
      <c r="U276" s="37"/>
      <c r="V276" s="37"/>
      <c r="W276" s="37"/>
      <c r="X276" s="37"/>
      <c r="Y276" s="37"/>
      <c r="Z276" s="37"/>
      <c r="AA276" s="37"/>
    </row>
    <row r="277" spans="1:27">
      <c r="A277" s="35"/>
      <c r="B277" s="35"/>
      <c r="C277" s="44" t="s">
        <v>3303</v>
      </c>
      <c r="D277" s="223" t="s">
        <v>3305</v>
      </c>
      <c r="E277" s="199"/>
      <c r="F277" s="199"/>
      <c r="G277" s="199"/>
      <c r="H277" s="200"/>
      <c r="I277" s="223" t="s">
        <v>3300</v>
      </c>
      <c r="J277" s="200"/>
      <c r="K277" s="37"/>
      <c r="L277" s="37"/>
      <c r="M277" s="37"/>
      <c r="N277" s="37"/>
      <c r="O277" s="37"/>
      <c r="P277" s="37"/>
      <c r="Q277" s="37"/>
      <c r="R277" s="37"/>
      <c r="S277" s="37"/>
      <c r="T277" s="37"/>
      <c r="U277" s="37"/>
      <c r="V277" s="37"/>
      <c r="W277" s="37"/>
      <c r="X277" s="37"/>
      <c r="Y277" s="37"/>
      <c r="Z277" s="37"/>
      <c r="AA277" s="37"/>
    </row>
    <row r="278" spans="1:27">
      <c r="A278" s="35"/>
      <c r="B278" s="35"/>
      <c r="C278" s="44" t="s">
        <v>3303</v>
      </c>
      <c r="D278" s="223" t="s">
        <v>3306</v>
      </c>
      <c r="E278" s="199"/>
      <c r="F278" s="199"/>
      <c r="G278" s="199"/>
      <c r="H278" s="200"/>
      <c r="I278" s="223" t="s">
        <v>3300</v>
      </c>
      <c r="J278" s="200"/>
      <c r="K278" s="37"/>
      <c r="L278" s="37"/>
      <c r="M278" s="37"/>
      <c r="N278" s="37"/>
      <c r="O278" s="37"/>
      <c r="P278" s="37"/>
      <c r="Q278" s="37"/>
      <c r="R278" s="37"/>
      <c r="S278" s="37"/>
      <c r="T278" s="37"/>
      <c r="U278" s="37"/>
      <c r="V278" s="37"/>
      <c r="W278" s="37"/>
      <c r="X278" s="37"/>
      <c r="Y278" s="37"/>
      <c r="Z278" s="37"/>
      <c r="AA278" s="37"/>
    </row>
    <row r="279" spans="1:27">
      <c r="A279" s="35"/>
      <c r="B279" s="35"/>
      <c r="C279" s="44"/>
      <c r="D279" s="188" t="s">
        <v>496</v>
      </c>
      <c r="E279" s="41" t="s">
        <v>3307</v>
      </c>
      <c r="F279" s="41"/>
      <c r="G279" s="41"/>
      <c r="H279" s="42"/>
      <c r="I279" s="223" t="s">
        <v>3297</v>
      </c>
      <c r="J279" s="200"/>
      <c r="K279" s="37"/>
      <c r="L279" s="37"/>
      <c r="M279" s="37"/>
      <c r="N279" s="37"/>
      <c r="O279" s="37"/>
      <c r="P279" s="37"/>
      <c r="Q279" s="37"/>
      <c r="R279" s="37"/>
      <c r="S279" s="37"/>
      <c r="T279" s="37"/>
      <c r="U279" s="37"/>
      <c r="V279" s="37"/>
      <c r="W279" s="37"/>
      <c r="X279" s="37"/>
      <c r="Y279" s="37"/>
      <c r="Z279" s="37"/>
      <c r="AA279" s="37"/>
    </row>
    <row r="280" spans="1:27">
      <c r="A280" s="35"/>
      <c r="B280" s="35"/>
      <c r="C280" s="44"/>
      <c r="D280" s="188" t="s">
        <v>498</v>
      </c>
      <c r="E280" s="41" t="s">
        <v>3307</v>
      </c>
      <c r="F280" s="41"/>
      <c r="G280" s="41"/>
      <c r="H280" s="42"/>
      <c r="I280" s="223" t="s">
        <v>3297</v>
      </c>
      <c r="J280" s="200"/>
      <c r="K280" s="37"/>
      <c r="L280" s="37"/>
      <c r="M280" s="37"/>
      <c r="N280" s="37"/>
      <c r="O280" s="37"/>
      <c r="P280" s="37"/>
      <c r="Q280" s="37"/>
      <c r="R280" s="37"/>
      <c r="S280" s="37"/>
      <c r="T280" s="37"/>
      <c r="U280" s="37"/>
      <c r="V280" s="37"/>
      <c r="W280" s="37"/>
      <c r="X280" s="37"/>
      <c r="Y280" s="37"/>
      <c r="Z280" s="37"/>
      <c r="AA280" s="37"/>
    </row>
    <row r="281" spans="1:27">
      <c r="A281" s="35"/>
      <c r="B281" s="35"/>
      <c r="C281" s="44"/>
      <c r="D281" s="188" t="s">
        <v>500</v>
      </c>
      <c r="E281" s="41" t="s">
        <v>3307</v>
      </c>
      <c r="F281" s="41"/>
      <c r="G281" s="41"/>
      <c r="H281" s="42"/>
      <c r="I281" s="223" t="s">
        <v>3297</v>
      </c>
      <c r="J281" s="200"/>
      <c r="K281" s="37"/>
      <c r="L281" s="37"/>
      <c r="M281" s="37"/>
      <c r="N281" s="37"/>
      <c r="O281" s="37"/>
      <c r="P281" s="37"/>
      <c r="Q281" s="37"/>
      <c r="R281" s="37"/>
      <c r="S281" s="37"/>
      <c r="T281" s="37"/>
      <c r="U281" s="37"/>
      <c r="V281" s="37"/>
      <c r="W281" s="37"/>
      <c r="X281" s="37"/>
      <c r="Y281" s="37"/>
      <c r="Z281" s="37"/>
      <c r="AA281" s="37"/>
    </row>
    <row r="282" spans="1:27">
      <c r="A282" s="35"/>
      <c r="B282" s="35"/>
      <c r="C282" s="44"/>
      <c r="D282" s="188" t="s">
        <v>502</v>
      </c>
      <c r="E282" s="41" t="s">
        <v>3307</v>
      </c>
      <c r="F282" s="41"/>
      <c r="G282" s="41"/>
      <c r="H282" s="42"/>
      <c r="I282" s="223" t="s">
        <v>3297</v>
      </c>
      <c r="J282" s="200"/>
      <c r="K282" s="37"/>
      <c r="L282" s="37"/>
      <c r="M282" s="37"/>
      <c r="N282" s="37"/>
      <c r="O282" s="37"/>
      <c r="P282" s="37"/>
      <c r="Q282" s="37"/>
      <c r="R282" s="37"/>
      <c r="S282" s="37"/>
      <c r="T282" s="37"/>
      <c r="U282" s="37"/>
      <c r="V282" s="37"/>
      <c r="W282" s="37"/>
      <c r="X282" s="37"/>
      <c r="Y282" s="37"/>
      <c r="Z282" s="37"/>
      <c r="AA282" s="37"/>
    </row>
    <row r="283" spans="1:27">
      <c r="A283" s="35"/>
      <c r="B283" s="35"/>
      <c r="C283" s="44"/>
      <c r="D283" s="188" t="s">
        <v>504</v>
      </c>
      <c r="E283" s="41" t="s">
        <v>3307</v>
      </c>
      <c r="F283" s="41"/>
      <c r="G283" s="41"/>
      <c r="H283" s="42"/>
      <c r="I283" s="223" t="s">
        <v>3297</v>
      </c>
      <c r="J283" s="200"/>
      <c r="K283" s="37"/>
      <c r="L283" s="37"/>
      <c r="M283" s="37"/>
      <c r="N283" s="37"/>
      <c r="O283" s="37"/>
      <c r="P283" s="37"/>
      <c r="Q283" s="37"/>
      <c r="R283" s="37"/>
      <c r="S283" s="37"/>
      <c r="T283" s="37"/>
      <c r="U283" s="37"/>
      <c r="V283" s="37"/>
      <c r="W283" s="37"/>
      <c r="X283" s="37"/>
      <c r="Y283" s="37"/>
      <c r="Z283" s="37"/>
      <c r="AA283" s="37"/>
    </row>
    <row r="284" spans="1:27">
      <c r="A284" s="35"/>
      <c r="B284" s="35"/>
      <c r="C284" s="44"/>
      <c r="D284" s="188" t="s">
        <v>506</v>
      </c>
      <c r="E284" s="41" t="s">
        <v>3307</v>
      </c>
      <c r="F284" s="41"/>
      <c r="G284" s="41"/>
      <c r="H284" s="42"/>
      <c r="I284" s="223" t="s">
        <v>3297</v>
      </c>
      <c r="J284" s="200"/>
      <c r="K284" s="37"/>
      <c r="L284" s="37"/>
      <c r="M284" s="37"/>
      <c r="N284" s="37"/>
      <c r="O284" s="37"/>
      <c r="P284" s="37"/>
      <c r="Q284" s="37"/>
      <c r="R284" s="37"/>
      <c r="S284" s="37"/>
      <c r="T284" s="37"/>
      <c r="U284" s="37"/>
      <c r="V284" s="37"/>
      <c r="W284" s="37"/>
      <c r="X284" s="37"/>
      <c r="Y284" s="37"/>
      <c r="Z284" s="37"/>
      <c r="AA284" s="37"/>
    </row>
    <row r="285" spans="1:27">
      <c r="A285" s="35"/>
      <c r="B285" s="35"/>
      <c r="C285" s="44"/>
      <c r="D285" s="188" t="s">
        <v>508</v>
      </c>
      <c r="E285" s="41" t="s">
        <v>3307</v>
      </c>
      <c r="F285" s="41"/>
      <c r="G285" s="41"/>
      <c r="H285" s="42"/>
      <c r="I285" s="223" t="s">
        <v>3297</v>
      </c>
      <c r="J285" s="200"/>
      <c r="K285" s="37"/>
      <c r="L285" s="37"/>
      <c r="M285" s="37"/>
      <c r="N285" s="37"/>
      <c r="O285" s="37"/>
      <c r="P285" s="37"/>
      <c r="Q285" s="37"/>
      <c r="R285" s="37"/>
      <c r="S285" s="37"/>
      <c r="T285" s="37"/>
      <c r="U285" s="37"/>
      <c r="V285" s="37"/>
      <c r="W285" s="37"/>
      <c r="X285" s="37"/>
      <c r="Y285" s="37"/>
      <c r="Z285" s="37"/>
      <c r="AA285" s="37"/>
    </row>
    <row r="286" spans="1:27">
      <c r="A286" s="35"/>
      <c r="B286" s="35"/>
      <c r="C286" s="44"/>
      <c r="D286" s="188" t="s">
        <v>510</v>
      </c>
      <c r="E286" s="41" t="s">
        <v>3307</v>
      </c>
      <c r="F286" s="41"/>
      <c r="G286" s="41"/>
      <c r="H286" s="42"/>
      <c r="I286" s="223" t="s">
        <v>3297</v>
      </c>
      <c r="J286" s="200"/>
      <c r="K286" s="37"/>
      <c r="L286" s="37"/>
      <c r="M286" s="37"/>
      <c r="N286" s="37"/>
      <c r="O286" s="37"/>
      <c r="P286" s="37"/>
      <c r="Q286" s="37"/>
      <c r="R286" s="37"/>
      <c r="S286" s="37"/>
      <c r="T286" s="37"/>
      <c r="U286" s="37"/>
      <c r="V286" s="37"/>
      <c r="W286" s="37"/>
      <c r="X286" s="37"/>
      <c r="Y286" s="37"/>
      <c r="Z286" s="37"/>
      <c r="AA286" s="37"/>
    </row>
    <row r="287" spans="1:27">
      <c r="A287" s="35"/>
      <c r="B287" s="35"/>
      <c r="C287" s="44"/>
      <c r="D287" s="188" t="s">
        <v>1918</v>
      </c>
      <c r="E287" s="41" t="s">
        <v>3307</v>
      </c>
      <c r="F287" s="41"/>
      <c r="G287" s="41"/>
      <c r="H287" s="42"/>
      <c r="I287" s="223" t="s">
        <v>3297</v>
      </c>
      <c r="J287" s="200"/>
      <c r="K287" s="37"/>
      <c r="L287" s="37"/>
      <c r="M287" s="37"/>
      <c r="N287" s="37"/>
      <c r="O287" s="37"/>
      <c r="P287" s="37"/>
      <c r="Q287" s="37"/>
      <c r="R287" s="37"/>
      <c r="S287" s="37"/>
      <c r="T287" s="37"/>
      <c r="U287" s="37"/>
      <c r="V287" s="37"/>
      <c r="W287" s="37"/>
      <c r="X287" s="37"/>
      <c r="Y287" s="37"/>
      <c r="Z287" s="37"/>
      <c r="AA287" s="37"/>
    </row>
    <row r="288" spans="1:27">
      <c r="A288" s="35"/>
      <c r="B288" s="35"/>
      <c r="C288" s="44"/>
      <c r="D288" s="188" t="s">
        <v>1920</v>
      </c>
      <c r="E288" s="41" t="s">
        <v>3307</v>
      </c>
      <c r="F288" s="41"/>
      <c r="G288" s="41"/>
      <c r="H288" s="42"/>
      <c r="I288" s="223" t="s">
        <v>3297</v>
      </c>
      <c r="J288" s="200"/>
      <c r="K288" s="37"/>
      <c r="L288" s="37"/>
      <c r="M288" s="37"/>
      <c r="N288" s="37"/>
      <c r="O288" s="37"/>
      <c r="P288" s="37"/>
      <c r="Q288" s="37"/>
      <c r="R288" s="37"/>
      <c r="S288" s="37"/>
      <c r="T288" s="37"/>
      <c r="U288" s="37"/>
      <c r="V288" s="37"/>
      <c r="W288" s="37"/>
      <c r="X288" s="37"/>
      <c r="Y288" s="37"/>
      <c r="Z288" s="37"/>
      <c r="AA288" s="37"/>
    </row>
    <row r="289" spans="1:27">
      <c r="A289" s="35"/>
      <c r="B289" s="35"/>
      <c r="C289" s="44"/>
      <c r="D289" s="188" t="s">
        <v>1923</v>
      </c>
      <c r="E289" s="41" t="s">
        <v>3307</v>
      </c>
      <c r="F289" s="41"/>
      <c r="G289" s="41"/>
      <c r="H289" s="42"/>
      <c r="I289" s="223" t="s">
        <v>3297</v>
      </c>
      <c r="J289" s="200"/>
      <c r="K289" s="37"/>
      <c r="L289" s="37"/>
      <c r="M289" s="37"/>
      <c r="N289" s="37"/>
      <c r="O289" s="37"/>
      <c r="P289" s="37"/>
      <c r="Q289" s="37"/>
      <c r="R289" s="37"/>
      <c r="S289" s="37"/>
      <c r="T289" s="37"/>
      <c r="U289" s="37"/>
      <c r="V289" s="37"/>
      <c r="W289" s="37"/>
      <c r="X289" s="37"/>
      <c r="Y289" s="37"/>
      <c r="Z289" s="37"/>
      <c r="AA289" s="37"/>
    </row>
    <row r="290" spans="1:27" ht="14.25">
      <c r="A290" s="35"/>
      <c r="B290" s="35"/>
      <c r="C290" s="36"/>
      <c r="D290" s="36" t="s">
        <v>1926</v>
      </c>
      <c r="E290" s="36" t="s">
        <v>3307</v>
      </c>
      <c r="F290" s="31"/>
      <c r="G290" s="43"/>
      <c r="H290" s="184"/>
      <c r="I290" s="184" t="s">
        <v>3297</v>
      </c>
      <c r="J290" s="184"/>
      <c r="K290" s="184"/>
      <c r="L290" s="184"/>
      <c r="M290" s="184"/>
      <c r="N290" s="184"/>
      <c r="O290" s="184"/>
      <c r="P290" s="184"/>
      <c r="Q290" s="184"/>
      <c r="R290" s="184"/>
      <c r="S290" s="184"/>
      <c r="T290" s="184"/>
      <c r="U290" s="184"/>
      <c r="V290" s="184"/>
      <c r="W290" s="184"/>
      <c r="X290" s="37"/>
      <c r="Y290" s="37"/>
      <c r="Z290" s="37"/>
      <c r="AA290" s="37"/>
    </row>
    <row r="291" spans="1:27">
      <c r="A291" s="35"/>
      <c r="B291" s="35"/>
      <c r="C291" s="44"/>
      <c r="D291" s="223" t="s">
        <v>3308</v>
      </c>
      <c r="E291" s="199"/>
      <c r="F291" s="199"/>
      <c r="G291" s="199"/>
      <c r="H291" s="200"/>
      <c r="I291" s="223" t="s">
        <v>3293</v>
      </c>
      <c r="J291" s="200"/>
      <c r="K291" s="37"/>
      <c r="L291" s="37"/>
      <c r="M291" s="37"/>
      <c r="N291" s="37"/>
      <c r="O291" s="37"/>
      <c r="P291" s="37"/>
      <c r="Q291" s="37"/>
      <c r="R291" s="37"/>
      <c r="S291" s="37"/>
      <c r="T291" s="37"/>
      <c r="U291" s="37"/>
      <c r="V291" s="37"/>
      <c r="W291" s="37"/>
      <c r="X291" s="37"/>
      <c r="Y291" s="37"/>
      <c r="Z291" s="37"/>
      <c r="AA291" s="37"/>
    </row>
    <row r="292" spans="1:27">
      <c r="A292" s="35"/>
      <c r="B292" s="35"/>
      <c r="C292" s="44" t="s">
        <v>1260</v>
      </c>
      <c r="D292" s="223" t="s">
        <v>3309</v>
      </c>
      <c r="E292" s="199"/>
      <c r="F292" s="199"/>
      <c r="G292" s="199"/>
      <c r="H292" s="200"/>
      <c r="I292" s="223" t="s">
        <v>3300</v>
      </c>
      <c r="J292" s="200"/>
      <c r="K292" s="37"/>
      <c r="L292" s="37"/>
      <c r="M292" s="37"/>
      <c r="N292" s="37"/>
      <c r="O292" s="37"/>
      <c r="P292" s="37"/>
      <c r="Q292" s="37"/>
      <c r="R292" s="37"/>
      <c r="S292" s="37"/>
      <c r="T292" s="37"/>
      <c r="U292" s="37"/>
      <c r="V292" s="37"/>
      <c r="W292" s="37"/>
      <c r="X292" s="37"/>
      <c r="Y292" s="37"/>
      <c r="Z292" s="37"/>
      <c r="AA292" s="37"/>
    </row>
    <row r="293" spans="1:27">
      <c r="A293" s="35"/>
      <c r="B293" s="35"/>
      <c r="C293" s="44" t="s">
        <v>1262</v>
      </c>
      <c r="D293" s="223" t="s">
        <v>3309</v>
      </c>
      <c r="E293" s="199"/>
      <c r="F293" s="199"/>
      <c r="G293" s="199"/>
      <c r="H293" s="200"/>
      <c r="I293" s="223" t="s">
        <v>3300</v>
      </c>
      <c r="J293" s="200"/>
      <c r="K293" s="37"/>
      <c r="L293" s="37"/>
      <c r="M293" s="37"/>
      <c r="N293" s="37"/>
      <c r="O293" s="37"/>
      <c r="P293" s="37"/>
      <c r="Q293" s="37"/>
      <c r="R293" s="37"/>
      <c r="S293" s="37"/>
      <c r="T293" s="37"/>
      <c r="U293" s="37"/>
      <c r="V293" s="37"/>
      <c r="W293" s="37"/>
      <c r="X293" s="37"/>
      <c r="Y293" s="37"/>
      <c r="Z293" s="37"/>
      <c r="AA293" s="37"/>
    </row>
    <row r="294" spans="1:27">
      <c r="A294" s="35"/>
      <c r="B294" s="35"/>
      <c r="C294" s="44" t="s">
        <v>1264</v>
      </c>
      <c r="D294" s="223" t="s">
        <v>3309</v>
      </c>
      <c r="E294" s="199"/>
      <c r="F294" s="199"/>
      <c r="G294" s="199"/>
      <c r="H294" s="200"/>
      <c r="I294" s="223" t="s">
        <v>3300</v>
      </c>
      <c r="J294" s="200"/>
      <c r="K294" s="37"/>
      <c r="L294" s="37"/>
      <c r="M294" s="37"/>
      <c r="N294" s="37"/>
      <c r="O294" s="37"/>
      <c r="P294" s="37"/>
      <c r="Q294" s="37"/>
      <c r="R294" s="37"/>
      <c r="S294" s="37"/>
      <c r="T294" s="37"/>
      <c r="U294" s="37"/>
      <c r="V294" s="37"/>
      <c r="W294" s="37"/>
      <c r="X294" s="37"/>
      <c r="Y294" s="37"/>
      <c r="Z294" s="37"/>
      <c r="AA294" s="37"/>
    </row>
    <row r="295" spans="1:27">
      <c r="A295" s="35"/>
      <c r="B295" s="35"/>
      <c r="C295" s="44" t="s">
        <v>1266</v>
      </c>
      <c r="D295" s="223" t="s">
        <v>3309</v>
      </c>
      <c r="E295" s="199"/>
      <c r="F295" s="199"/>
      <c r="G295" s="199"/>
      <c r="H295" s="200"/>
      <c r="I295" s="223" t="s">
        <v>3300</v>
      </c>
      <c r="J295" s="200"/>
      <c r="K295" s="37"/>
      <c r="L295" s="37"/>
      <c r="M295" s="37"/>
      <c r="N295" s="37"/>
      <c r="O295" s="37"/>
      <c r="P295" s="37"/>
      <c r="Q295" s="37"/>
      <c r="R295" s="37"/>
      <c r="S295" s="37"/>
      <c r="T295" s="37"/>
      <c r="U295" s="37"/>
      <c r="V295" s="37"/>
      <c r="W295" s="37"/>
      <c r="X295" s="37"/>
      <c r="Y295" s="37"/>
      <c r="Z295" s="37"/>
      <c r="AA295" s="37"/>
    </row>
    <row r="296" spans="1:27" ht="14.25">
      <c r="A296" s="35"/>
      <c r="B296" s="35"/>
      <c r="C296" s="35"/>
      <c r="D296" s="223" t="s">
        <v>3310</v>
      </c>
      <c r="E296" s="199"/>
      <c r="F296" s="199"/>
      <c r="G296" s="199"/>
      <c r="H296" s="200"/>
      <c r="I296" s="223" t="s">
        <v>3297</v>
      </c>
      <c r="J296" s="200"/>
      <c r="K296" s="37"/>
      <c r="L296" s="37"/>
      <c r="M296" s="37"/>
      <c r="N296" s="37"/>
      <c r="O296" s="37"/>
      <c r="P296" s="37"/>
      <c r="Q296" s="37"/>
      <c r="R296" s="37"/>
      <c r="S296" s="37"/>
      <c r="T296" s="37"/>
      <c r="U296" s="37"/>
      <c r="V296" s="37"/>
      <c r="W296" s="37"/>
      <c r="X296" s="37"/>
      <c r="Y296" s="37"/>
      <c r="Z296" s="37"/>
      <c r="AA296" s="37"/>
    </row>
    <row r="297" spans="1:27" ht="14.25">
      <c r="A297" s="35" t="s">
        <v>2736</v>
      </c>
      <c r="B297" s="35"/>
      <c r="C297" s="35" t="s">
        <v>3311</v>
      </c>
      <c r="D297" s="223" t="s">
        <v>3312</v>
      </c>
      <c r="E297" s="199"/>
      <c r="F297" s="199"/>
      <c r="G297" s="199"/>
      <c r="H297" s="200"/>
      <c r="I297" s="223" t="s">
        <v>3297</v>
      </c>
      <c r="J297" s="200"/>
      <c r="K297" s="37"/>
      <c r="L297" s="37"/>
      <c r="M297" s="37"/>
      <c r="N297" s="37"/>
      <c r="O297" s="37"/>
      <c r="P297" s="37"/>
      <c r="Q297" s="37"/>
      <c r="R297" s="37"/>
      <c r="S297" s="37"/>
      <c r="T297" s="37"/>
      <c r="U297" s="37"/>
      <c r="V297" s="37"/>
      <c r="W297" s="37"/>
      <c r="X297" s="37"/>
      <c r="Y297" s="37"/>
      <c r="Z297" s="37"/>
      <c r="AA297" s="37"/>
    </row>
    <row r="298" spans="1:27" ht="14.25">
      <c r="A298" s="35" t="s">
        <v>166</v>
      </c>
      <c r="B298" s="35"/>
      <c r="C298" s="35" t="s">
        <v>165</v>
      </c>
      <c r="D298" s="223" t="s">
        <v>3312</v>
      </c>
      <c r="E298" s="199"/>
      <c r="F298" s="199"/>
      <c r="G298" s="199"/>
      <c r="H298" s="200"/>
      <c r="I298" s="223" t="s">
        <v>3297</v>
      </c>
      <c r="J298" s="200"/>
      <c r="K298" s="37"/>
      <c r="L298" s="37"/>
      <c r="M298" s="37"/>
      <c r="N298" s="37"/>
      <c r="O298" s="37"/>
      <c r="P298" s="37"/>
      <c r="Q298" s="37"/>
      <c r="R298" s="37"/>
      <c r="S298" s="37"/>
      <c r="T298" s="37"/>
      <c r="U298" s="37"/>
      <c r="V298" s="37"/>
      <c r="W298" s="37"/>
      <c r="X298" s="37"/>
      <c r="Y298" s="37"/>
      <c r="Z298" s="37"/>
      <c r="AA298" s="37"/>
    </row>
    <row r="299" spans="1:27" ht="14.25">
      <c r="A299" s="35"/>
      <c r="B299" s="35"/>
      <c r="C299" s="35"/>
      <c r="D299" s="223" t="s">
        <v>3313</v>
      </c>
      <c r="E299" s="199"/>
      <c r="F299" s="199"/>
      <c r="G299" s="199"/>
      <c r="H299" s="200"/>
      <c r="I299" s="223" t="s">
        <v>3314</v>
      </c>
      <c r="J299" s="200"/>
      <c r="K299" s="37"/>
      <c r="L299" s="37"/>
      <c r="M299" s="37"/>
      <c r="N299" s="37"/>
      <c r="O299" s="37"/>
      <c r="P299" s="37"/>
      <c r="Q299" s="37"/>
      <c r="R299" s="37"/>
      <c r="S299" s="37"/>
      <c r="T299" s="37"/>
      <c r="U299" s="37"/>
      <c r="V299" s="37"/>
      <c r="W299" s="37"/>
      <c r="X299" s="37"/>
      <c r="Y299" s="37"/>
      <c r="Z299" s="37"/>
      <c r="AA299" s="37"/>
    </row>
    <row r="300" spans="1:27" ht="14.25">
      <c r="A300" s="35"/>
      <c r="B300" s="35"/>
      <c r="C300" s="35"/>
      <c r="D300" s="223" t="s">
        <v>3315</v>
      </c>
      <c r="E300" s="199"/>
      <c r="F300" s="199"/>
      <c r="G300" s="199"/>
      <c r="H300" s="200"/>
      <c r="I300" s="223" t="s">
        <v>3314</v>
      </c>
      <c r="J300" s="200"/>
      <c r="K300" s="37"/>
      <c r="L300" s="37"/>
      <c r="M300" s="37"/>
      <c r="N300" s="37"/>
      <c r="O300" s="37"/>
      <c r="P300" s="37"/>
      <c r="Q300" s="37"/>
      <c r="R300" s="37"/>
      <c r="S300" s="37"/>
      <c r="T300" s="37"/>
      <c r="U300" s="37"/>
      <c r="V300" s="37"/>
      <c r="W300" s="37"/>
      <c r="X300" s="37"/>
      <c r="Y300" s="37"/>
      <c r="Z300" s="37"/>
      <c r="AA300" s="37"/>
    </row>
    <row r="301" spans="1:27">
      <c r="A301" s="35"/>
      <c r="B301" s="35"/>
      <c r="C301" s="44"/>
      <c r="D301" s="223" t="s">
        <v>3316</v>
      </c>
      <c r="E301" s="199"/>
      <c r="F301" s="199"/>
      <c r="G301" s="199"/>
      <c r="H301" s="200"/>
      <c r="I301" s="223" t="s">
        <v>3317</v>
      </c>
      <c r="J301" s="200"/>
      <c r="K301" s="37"/>
      <c r="L301" s="37"/>
      <c r="M301" s="37"/>
      <c r="N301" s="37"/>
      <c r="O301" s="37"/>
      <c r="P301" s="37"/>
      <c r="Q301" s="37"/>
      <c r="R301" s="37"/>
      <c r="S301" s="37"/>
      <c r="T301" s="37"/>
      <c r="U301" s="37"/>
      <c r="V301" s="37"/>
      <c r="W301" s="37"/>
      <c r="X301" s="37"/>
      <c r="Y301" s="37"/>
      <c r="Z301" s="37"/>
      <c r="AA301" s="37"/>
    </row>
    <row r="302" spans="1:27">
      <c r="A302" s="35"/>
      <c r="B302" s="35"/>
      <c r="C302" s="44"/>
      <c r="D302" s="223" t="s">
        <v>3318</v>
      </c>
      <c r="E302" s="199"/>
      <c r="F302" s="199"/>
      <c r="G302" s="199"/>
      <c r="H302" s="200"/>
      <c r="I302" s="223"/>
      <c r="J302" s="200"/>
      <c r="K302" s="37"/>
      <c r="L302" s="37"/>
      <c r="M302" s="37"/>
      <c r="N302" s="37"/>
      <c r="O302" s="37"/>
      <c r="P302" s="37"/>
      <c r="Q302" s="37"/>
      <c r="R302" s="37"/>
      <c r="S302" s="37"/>
      <c r="T302" s="37"/>
      <c r="U302" s="37"/>
      <c r="V302" s="37"/>
      <c r="W302" s="37"/>
      <c r="X302" s="37"/>
      <c r="Y302" s="37"/>
      <c r="Z302" s="37"/>
      <c r="AA302" s="37"/>
    </row>
    <row r="303" spans="1:27">
      <c r="A303" s="35"/>
      <c r="B303" s="35"/>
      <c r="C303" s="45" t="s">
        <v>354</v>
      </c>
      <c r="D303" s="223" t="s">
        <v>3319</v>
      </c>
      <c r="E303" s="199"/>
      <c r="F303" s="199"/>
      <c r="G303" s="199"/>
      <c r="H303" s="200"/>
      <c r="I303" s="223" t="s">
        <v>3219</v>
      </c>
      <c r="J303" s="200"/>
      <c r="K303" s="37"/>
      <c r="L303" s="37"/>
      <c r="M303" s="37"/>
      <c r="N303" s="37"/>
      <c r="O303" s="37"/>
      <c r="P303" s="37"/>
      <c r="Q303" s="37"/>
      <c r="R303" s="37"/>
      <c r="S303" s="37"/>
      <c r="T303" s="37"/>
      <c r="U303" s="37"/>
      <c r="V303" s="37"/>
      <c r="W303" s="37"/>
      <c r="X303" s="37"/>
      <c r="Y303" s="37"/>
      <c r="Z303" s="37"/>
      <c r="AA303" s="37"/>
    </row>
    <row r="304" spans="1:27">
      <c r="A304" s="35"/>
      <c r="B304" s="35"/>
      <c r="C304" s="44" t="s">
        <v>349</v>
      </c>
      <c r="D304" s="223" t="s">
        <v>3319</v>
      </c>
      <c r="E304" s="199"/>
      <c r="F304" s="199"/>
      <c r="G304" s="199"/>
      <c r="H304" s="200"/>
      <c r="I304" s="223" t="s">
        <v>3219</v>
      </c>
      <c r="J304" s="200"/>
      <c r="K304" s="37"/>
      <c r="L304" s="37"/>
      <c r="M304" s="37"/>
      <c r="N304" s="37"/>
      <c r="O304" s="37"/>
      <c r="P304" s="37"/>
      <c r="Q304" s="37"/>
      <c r="R304" s="37"/>
      <c r="S304" s="37"/>
      <c r="T304" s="37"/>
      <c r="U304" s="37"/>
      <c r="V304" s="37"/>
      <c r="W304" s="37"/>
      <c r="X304" s="37"/>
      <c r="Y304" s="37"/>
      <c r="Z304" s="37"/>
      <c r="AA304" s="37"/>
    </row>
    <row r="305" spans="1:27">
      <c r="A305" s="35"/>
      <c r="B305" s="35"/>
      <c r="C305" s="44" t="s">
        <v>352</v>
      </c>
      <c r="D305" s="223" t="s">
        <v>3319</v>
      </c>
      <c r="E305" s="199"/>
      <c r="F305" s="199"/>
      <c r="G305" s="199"/>
      <c r="H305" s="200"/>
      <c r="I305" s="223" t="s">
        <v>3219</v>
      </c>
      <c r="J305" s="200"/>
      <c r="K305" s="37"/>
      <c r="L305" s="37"/>
      <c r="M305" s="37"/>
      <c r="N305" s="37"/>
      <c r="O305" s="37"/>
      <c r="P305" s="37"/>
      <c r="Q305" s="37"/>
      <c r="R305" s="37"/>
      <c r="S305" s="37"/>
      <c r="T305" s="37"/>
      <c r="U305" s="37"/>
      <c r="V305" s="37"/>
      <c r="W305" s="37"/>
      <c r="X305" s="37"/>
      <c r="Y305" s="37"/>
      <c r="Z305" s="37"/>
      <c r="AA305" s="37"/>
    </row>
    <row r="306" spans="1:27">
      <c r="A306" s="35"/>
      <c r="B306" s="35"/>
      <c r="C306" s="44"/>
      <c r="D306" s="223" t="s">
        <v>3320</v>
      </c>
      <c r="E306" s="199"/>
      <c r="F306" s="199"/>
      <c r="G306" s="199"/>
      <c r="H306" s="200"/>
      <c r="I306" s="223" t="s">
        <v>3314</v>
      </c>
      <c r="J306" s="200"/>
      <c r="K306" s="37"/>
      <c r="L306" s="37"/>
      <c r="M306" s="37"/>
      <c r="N306" s="37"/>
      <c r="O306" s="37"/>
      <c r="P306" s="37"/>
      <c r="Q306" s="37"/>
      <c r="R306" s="37"/>
      <c r="S306" s="37"/>
      <c r="T306" s="37"/>
      <c r="U306" s="37"/>
      <c r="V306" s="37"/>
      <c r="W306" s="37"/>
      <c r="X306" s="37"/>
      <c r="Y306" s="37"/>
      <c r="Z306" s="37"/>
      <c r="AA306" s="37"/>
    </row>
    <row r="307" spans="1:27">
      <c r="A307" s="35"/>
      <c r="B307" s="35"/>
      <c r="C307" s="45" t="s">
        <v>2736</v>
      </c>
      <c r="D307" s="223" t="s">
        <v>3321</v>
      </c>
      <c r="E307" s="199"/>
      <c r="F307" s="199"/>
      <c r="G307" s="199"/>
      <c r="H307" s="200"/>
      <c r="I307" s="223" t="s">
        <v>3322</v>
      </c>
      <c r="J307" s="200"/>
      <c r="K307" s="37"/>
      <c r="L307" s="37"/>
      <c r="M307" s="37"/>
      <c r="N307" s="37"/>
      <c r="O307" s="37"/>
      <c r="P307" s="37"/>
      <c r="Q307" s="37"/>
      <c r="R307" s="37"/>
      <c r="S307" s="37"/>
      <c r="T307" s="37"/>
      <c r="U307" s="37"/>
      <c r="V307" s="37"/>
      <c r="W307" s="37"/>
      <c r="X307" s="37"/>
      <c r="Y307" s="37"/>
      <c r="Z307" s="37"/>
      <c r="AA307" s="37"/>
    </row>
    <row r="308" spans="1:27">
      <c r="A308" s="35"/>
      <c r="B308" s="35"/>
      <c r="C308" s="45" t="s">
        <v>1675</v>
      </c>
      <c r="D308" s="223" t="s">
        <v>3323</v>
      </c>
      <c r="E308" s="199"/>
      <c r="F308" s="199"/>
      <c r="G308" s="199"/>
      <c r="H308" s="200"/>
      <c r="I308" s="223" t="s">
        <v>3322</v>
      </c>
      <c r="J308" s="200"/>
      <c r="K308" s="37"/>
      <c r="L308" s="37"/>
      <c r="M308" s="37"/>
      <c r="N308" s="37"/>
      <c r="O308" s="37"/>
      <c r="P308" s="37"/>
      <c r="Q308" s="37"/>
      <c r="R308" s="37"/>
      <c r="S308" s="37"/>
      <c r="T308" s="37"/>
      <c r="U308" s="37"/>
      <c r="V308" s="37"/>
      <c r="W308" s="37"/>
      <c r="X308" s="37"/>
      <c r="Y308" s="37"/>
      <c r="Z308" s="37"/>
      <c r="AA308" s="37"/>
    </row>
    <row r="309" spans="1:27">
      <c r="A309" s="35"/>
      <c r="B309" s="35"/>
      <c r="C309" s="45" t="s">
        <v>1678</v>
      </c>
      <c r="D309" s="223" t="s">
        <v>3323</v>
      </c>
      <c r="E309" s="199"/>
      <c r="F309" s="199"/>
      <c r="G309" s="199"/>
      <c r="H309" s="200"/>
      <c r="I309" s="223" t="s">
        <v>3322</v>
      </c>
      <c r="J309" s="200"/>
      <c r="K309" s="37"/>
      <c r="L309" s="37"/>
      <c r="M309" s="37"/>
      <c r="N309" s="37"/>
      <c r="O309" s="37"/>
      <c r="P309" s="37"/>
      <c r="Q309" s="37"/>
      <c r="R309" s="37"/>
      <c r="S309" s="37"/>
      <c r="T309" s="37"/>
      <c r="U309" s="37"/>
      <c r="V309" s="37"/>
      <c r="W309" s="37"/>
      <c r="X309" s="37"/>
      <c r="Y309" s="37"/>
      <c r="Z309" s="37"/>
      <c r="AA309" s="37"/>
    </row>
    <row r="310" spans="1:27">
      <c r="A310" s="35"/>
      <c r="B310" s="35"/>
      <c r="C310" s="45"/>
      <c r="D310" s="225" t="s">
        <v>3324</v>
      </c>
      <c r="E310" s="199"/>
      <c r="F310" s="199"/>
      <c r="G310" s="199"/>
      <c r="H310" s="200"/>
      <c r="I310" s="223" t="s">
        <v>3325</v>
      </c>
      <c r="J310" s="200"/>
      <c r="K310" s="37"/>
      <c r="L310" s="37"/>
      <c r="M310" s="37"/>
      <c r="N310" s="37"/>
      <c r="O310" s="37"/>
      <c r="P310" s="37"/>
      <c r="Q310" s="37"/>
      <c r="R310" s="37"/>
      <c r="S310" s="37"/>
      <c r="T310" s="37"/>
      <c r="U310" s="37"/>
      <c r="V310" s="37"/>
      <c r="W310" s="37"/>
      <c r="X310" s="37"/>
      <c r="Y310" s="37"/>
      <c r="Z310" s="37"/>
      <c r="AA310" s="37"/>
    </row>
    <row r="311" spans="1:27">
      <c r="A311" s="35"/>
      <c r="B311" s="35">
        <v>1</v>
      </c>
      <c r="C311" s="45" t="s">
        <v>1365</v>
      </c>
      <c r="D311" s="223" t="s">
        <v>3326</v>
      </c>
      <c r="E311" s="199"/>
      <c r="F311" s="199"/>
      <c r="G311" s="199"/>
      <c r="H311" s="200"/>
      <c r="I311" s="223" t="s">
        <v>3325</v>
      </c>
      <c r="J311" s="200"/>
      <c r="K311" s="37"/>
      <c r="L311" s="37"/>
      <c r="M311" s="37"/>
      <c r="N311" s="37"/>
      <c r="O311" s="37"/>
      <c r="P311" s="37"/>
      <c r="Q311" s="37"/>
      <c r="R311" s="37"/>
      <c r="S311" s="37"/>
      <c r="T311" s="37"/>
      <c r="U311" s="37"/>
      <c r="V311" s="37"/>
      <c r="W311" s="37"/>
      <c r="X311" s="37"/>
      <c r="Y311" s="37"/>
      <c r="Z311" s="37"/>
      <c r="AA311" s="37"/>
    </row>
    <row r="312" spans="1:27">
      <c r="A312" s="35"/>
      <c r="B312" s="35">
        <v>2</v>
      </c>
      <c r="C312" s="45" t="s">
        <v>1369</v>
      </c>
      <c r="D312" s="223" t="s">
        <v>3327</v>
      </c>
      <c r="E312" s="199"/>
      <c r="F312" s="199"/>
      <c r="G312" s="199"/>
      <c r="H312" s="200"/>
      <c r="I312" s="223" t="s">
        <v>3325</v>
      </c>
      <c r="J312" s="200"/>
      <c r="K312" s="37"/>
      <c r="L312" s="37"/>
      <c r="M312" s="184"/>
      <c r="N312" s="37"/>
      <c r="O312" s="37"/>
      <c r="P312" s="37"/>
      <c r="Q312" s="37"/>
      <c r="R312" s="37"/>
      <c r="S312" s="37"/>
      <c r="T312" s="37"/>
      <c r="U312" s="37"/>
      <c r="V312" s="37"/>
      <c r="W312" s="37"/>
      <c r="X312" s="37"/>
      <c r="Y312" s="37"/>
      <c r="Z312" s="37"/>
      <c r="AA312" s="37"/>
    </row>
    <row r="313" spans="1:27">
      <c r="A313" s="35"/>
      <c r="B313" s="35">
        <v>3</v>
      </c>
      <c r="C313" s="45" t="s">
        <v>1371</v>
      </c>
      <c r="D313" s="223" t="s">
        <v>3328</v>
      </c>
      <c r="E313" s="199"/>
      <c r="F313" s="199"/>
      <c r="G313" s="199"/>
      <c r="H313" s="200"/>
      <c r="I313" s="223" t="s">
        <v>3325</v>
      </c>
      <c r="J313" s="200"/>
      <c r="K313" s="37"/>
      <c r="L313" s="37"/>
      <c r="M313" s="184"/>
      <c r="N313" s="37"/>
      <c r="O313" s="37"/>
      <c r="P313" s="37"/>
      <c r="Q313" s="37"/>
      <c r="R313" s="37"/>
      <c r="S313" s="37"/>
      <c r="T313" s="37"/>
      <c r="U313" s="37"/>
      <c r="V313" s="37"/>
      <c r="W313" s="37"/>
      <c r="X313" s="37"/>
      <c r="Y313" s="37"/>
      <c r="Z313" s="37"/>
      <c r="AA313" s="37"/>
    </row>
    <row r="314" spans="1:27" ht="14.25">
      <c r="A314" s="35"/>
      <c r="B314" s="35">
        <v>4</v>
      </c>
      <c r="C314" s="35"/>
      <c r="D314" s="223" t="s">
        <v>3329</v>
      </c>
      <c r="E314" s="199"/>
      <c r="F314" s="199"/>
      <c r="G314" s="199"/>
      <c r="H314" s="200"/>
      <c r="I314" s="223" t="s">
        <v>3325</v>
      </c>
      <c r="J314" s="200"/>
      <c r="K314" s="37"/>
      <c r="L314" s="37"/>
      <c r="M314" s="184"/>
      <c r="N314" s="37"/>
      <c r="O314" s="37"/>
      <c r="P314" s="37"/>
      <c r="Q314" s="37"/>
      <c r="R314" s="37"/>
      <c r="S314" s="37"/>
      <c r="T314" s="37"/>
      <c r="U314" s="37"/>
      <c r="V314" s="37"/>
      <c r="W314" s="37"/>
      <c r="X314" s="37"/>
      <c r="Y314" s="37"/>
      <c r="Z314" s="37"/>
      <c r="AA314" s="37"/>
    </row>
    <row r="315" spans="1:27">
      <c r="A315" s="35"/>
      <c r="B315" s="35">
        <v>5</v>
      </c>
      <c r="C315" s="45" t="s">
        <v>3330</v>
      </c>
      <c r="D315" s="223" t="s">
        <v>3331</v>
      </c>
      <c r="E315" s="199"/>
      <c r="F315" s="199"/>
      <c r="G315" s="199"/>
      <c r="H315" s="200"/>
      <c r="I315" s="223" t="s">
        <v>3325</v>
      </c>
      <c r="J315" s="200"/>
      <c r="K315" s="37"/>
      <c r="L315" s="37"/>
      <c r="M315" s="184"/>
      <c r="N315" s="37"/>
      <c r="O315" s="37"/>
      <c r="P315" s="37"/>
      <c r="Q315" s="37"/>
      <c r="R315" s="37"/>
      <c r="S315" s="37"/>
      <c r="T315" s="37"/>
      <c r="U315" s="37"/>
      <c r="V315" s="37"/>
      <c r="W315" s="37"/>
      <c r="X315" s="37"/>
      <c r="Y315" s="37"/>
      <c r="Z315" s="37"/>
      <c r="AA315" s="37"/>
    </row>
    <row r="316" spans="1:27">
      <c r="A316" s="35"/>
      <c r="B316" s="35">
        <v>6</v>
      </c>
      <c r="C316" s="45" t="s">
        <v>3332</v>
      </c>
      <c r="D316" s="223" t="s">
        <v>3333</v>
      </c>
      <c r="E316" s="199"/>
      <c r="F316" s="199"/>
      <c r="G316" s="199"/>
      <c r="H316" s="200"/>
      <c r="I316" s="223" t="s">
        <v>3325</v>
      </c>
      <c r="J316" s="200"/>
      <c r="K316" s="37"/>
      <c r="L316" s="37"/>
      <c r="M316" s="184"/>
      <c r="N316" s="37"/>
      <c r="O316" s="37"/>
      <c r="P316" s="37"/>
      <c r="Q316" s="37"/>
      <c r="R316" s="37"/>
      <c r="S316" s="37"/>
      <c r="T316" s="37"/>
      <c r="U316" s="37"/>
      <c r="V316" s="37"/>
      <c r="W316" s="37"/>
      <c r="X316" s="37"/>
      <c r="Y316" s="37"/>
      <c r="Z316" s="37"/>
      <c r="AA316" s="37"/>
    </row>
    <row r="317" spans="1:27">
      <c r="A317" s="35"/>
      <c r="B317" s="35">
        <v>7</v>
      </c>
      <c r="C317" s="45" t="s">
        <v>1375</v>
      </c>
      <c r="D317" s="223" t="s">
        <v>3334</v>
      </c>
      <c r="E317" s="199"/>
      <c r="F317" s="199"/>
      <c r="G317" s="199"/>
      <c r="H317" s="200"/>
      <c r="I317" s="223" t="s">
        <v>3325</v>
      </c>
      <c r="J317" s="200"/>
      <c r="K317" s="37"/>
      <c r="L317" s="37"/>
      <c r="M317" s="184"/>
      <c r="N317" s="37"/>
      <c r="O317" s="37"/>
      <c r="P317" s="37"/>
      <c r="Q317" s="37"/>
      <c r="R317" s="37"/>
      <c r="S317" s="37"/>
      <c r="T317" s="37"/>
      <c r="U317" s="37"/>
      <c r="V317" s="37"/>
      <c r="W317" s="37"/>
      <c r="X317" s="37"/>
      <c r="Y317" s="37"/>
      <c r="Z317" s="37"/>
      <c r="AA317" s="37"/>
    </row>
    <row r="318" spans="1:27">
      <c r="A318" s="35"/>
      <c r="B318" s="35"/>
      <c r="C318" s="45" t="s">
        <v>1377</v>
      </c>
      <c r="D318" s="223" t="s">
        <v>1376</v>
      </c>
      <c r="E318" s="199"/>
      <c r="F318" s="199"/>
      <c r="G318" s="199"/>
      <c r="H318" s="200"/>
      <c r="I318" s="223" t="s">
        <v>3325</v>
      </c>
      <c r="J318" s="200"/>
      <c r="K318" s="37"/>
      <c r="L318" s="37"/>
      <c r="M318" s="184"/>
      <c r="N318" s="37"/>
      <c r="O318" s="37"/>
      <c r="P318" s="37"/>
      <c r="Q318" s="37"/>
      <c r="R318" s="37"/>
      <c r="S318" s="37"/>
      <c r="T318" s="37"/>
      <c r="U318" s="37"/>
      <c r="V318" s="37"/>
      <c r="W318" s="37"/>
      <c r="X318" s="37"/>
      <c r="Y318" s="37"/>
      <c r="Z318" s="37"/>
      <c r="AA318" s="37"/>
    </row>
    <row r="319" spans="1:27">
      <c r="A319" s="36"/>
      <c r="B319" s="36"/>
      <c r="C319" s="45" t="s">
        <v>1379</v>
      </c>
      <c r="D319" s="223" t="s">
        <v>3335</v>
      </c>
      <c r="E319" s="199"/>
      <c r="F319" s="199"/>
      <c r="G319" s="199"/>
      <c r="H319" s="200"/>
      <c r="I319" s="223" t="s">
        <v>3325</v>
      </c>
      <c r="J319" s="200"/>
      <c r="K319" s="75"/>
      <c r="L319" s="75"/>
      <c r="M319" s="75"/>
      <c r="N319" s="75"/>
      <c r="O319" s="75"/>
      <c r="P319" s="75"/>
      <c r="Q319" s="75"/>
      <c r="R319" s="75"/>
      <c r="S319" s="75"/>
      <c r="T319" s="75"/>
      <c r="U319" s="75"/>
      <c r="V319" s="75"/>
      <c r="W319" s="75"/>
      <c r="X319" s="75"/>
      <c r="Y319" s="75"/>
      <c r="Z319" s="75"/>
      <c r="AA319" s="75"/>
    </row>
    <row r="320" spans="1:27">
      <c r="A320" s="36"/>
      <c r="B320" s="36"/>
      <c r="C320" s="45" t="s">
        <v>1381</v>
      </c>
      <c r="D320" s="223" t="s">
        <v>2901</v>
      </c>
      <c r="E320" s="199"/>
      <c r="F320" s="199"/>
      <c r="G320" s="199"/>
      <c r="H320" s="200"/>
      <c r="I320" s="223" t="s">
        <v>3325</v>
      </c>
      <c r="J320" s="200"/>
      <c r="K320" s="75"/>
      <c r="L320" s="75"/>
      <c r="M320" s="75"/>
      <c r="N320" s="75"/>
      <c r="O320" s="75"/>
      <c r="P320" s="75"/>
      <c r="Q320" s="75"/>
      <c r="R320" s="75"/>
      <c r="S320" s="75"/>
      <c r="T320" s="75"/>
      <c r="U320" s="75"/>
      <c r="V320" s="75"/>
      <c r="W320" s="75"/>
      <c r="X320" s="75"/>
      <c r="Y320" s="75"/>
      <c r="Z320" s="75"/>
      <c r="AA320" s="75"/>
    </row>
    <row r="321" spans="1:27">
      <c r="A321" s="36"/>
      <c r="B321" s="36"/>
      <c r="C321" s="45" t="s">
        <v>1383</v>
      </c>
      <c r="D321" s="223" t="s">
        <v>3336</v>
      </c>
      <c r="E321" s="199"/>
      <c r="F321" s="199"/>
      <c r="G321" s="199"/>
      <c r="H321" s="200"/>
      <c r="I321" s="223" t="s">
        <v>3325</v>
      </c>
      <c r="J321" s="200"/>
      <c r="K321" s="75"/>
      <c r="L321" s="75"/>
      <c r="M321" s="75"/>
      <c r="N321" s="75"/>
      <c r="O321" s="75"/>
      <c r="P321" s="75"/>
      <c r="Q321" s="75"/>
      <c r="R321" s="75"/>
      <c r="S321" s="75"/>
      <c r="T321" s="75"/>
      <c r="U321" s="75"/>
      <c r="V321" s="75"/>
      <c r="W321" s="75"/>
      <c r="X321" s="75"/>
      <c r="Y321" s="75"/>
      <c r="Z321" s="75"/>
      <c r="AA321" s="75"/>
    </row>
    <row r="322" spans="1:27">
      <c r="A322" s="36"/>
      <c r="B322" s="36"/>
      <c r="C322" s="45" t="s">
        <v>1385</v>
      </c>
      <c r="D322" s="223" t="s">
        <v>3337</v>
      </c>
      <c r="E322" s="199"/>
      <c r="F322" s="199"/>
      <c r="G322" s="199"/>
      <c r="H322" s="200"/>
      <c r="I322" s="223" t="s">
        <v>3325</v>
      </c>
      <c r="J322" s="200"/>
      <c r="K322" s="75"/>
      <c r="L322" s="75"/>
      <c r="M322" s="75"/>
      <c r="N322" s="75"/>
      <c r="O322" s="75"/>
      <c r="P322" s="75"/>
      <c r="Q322" s="75"/>
      <c r="R322" s="75"/>
      <c r="S322" s="75"/>
      <c r="T322" s="75"/>
      <c r="U322" s="75"/>
      <c r="V322" s="75"/>
      <c r="W322" s="75"/>
      <c r="X322" s="75"/>
      <c r="Y322" s="75"/>
      <c r="Z322" s="75"/>
      <c r="AA322" s="75"/>
    </row>
    <row r="323" spans="1:27">
      <c r="A323" s="36"/>
      <c r="B323" s="36"/>
      <c r="C323" s="45" t="s">
        <v>1387</v>
      </c>
      <c r="D323" s="223" t="s">
        <v>3338</v>
      </c>
      <c r="E323" s="199"/>
      <c r="F323" s="199"/>
      <c r="G323" s="199"/>
      <c r="H323" s="200"/>
      <c r="I323" s="223" t="s">
        <v>3325</v>
      </c>
      <c r="J323" s="200"/>
      <c r="K323" s="75"/>
      <c r="L323" s="75"/>
      <c r="M323" s="75"/>
      <c r="N323" s="75"/>
      <c r="O323" s="75"/>
      <c r="P323" s="75"/>
      <c r="Q323" s="75"/>
      <c r="R323" s="75"/>
      <c r="S323" s="75"/>
      <c r="T323" s="75"/>
      <c r="U323" s="75"/>
      <c r="V323" s="75"/>
      <c r="W323" s="75"/>
      <c r="X323" s="75"/>
      <c r="Y323" s="75"/>
      <c r="Z323" s="75"/>
      <c r="AA323" s="75"/>
    </row>
    <row r="324" spans="1:27">
      <c r="A324" s="36"/>
      <c r="B324" s="36"/>
      <c r="C324" s="45"/>
      <c r="D324" s="223" t="s">
        <v>3339</v>
      </c>
      <c r="E324" s="199"/>
      <c r="F324" s="199"/>
      <c r="G324" s="199"/>
      <c r="H324" s="200"/>
      <c r="I324" s="223" t="s">
        <v>3340</v>
      </c>
      <c r="J324" s="200"/>
      <c r="K324" s="75"/>
      <c r="L324" s="75"/>
      <c r="M324" s="75"/>
      <c r="N324" s="75"/>
      <c r="O324" s="75"/>
      <c r="P324" s="75"/>
      <c r="Q324" s="75"/>
      <c r="R324" s="75"/>
      <c r="S324" s="75"/>
      <c r="T324" s="75"/>
      <c r="U324" s="75"/>
      <c r="V324" s="75"/>
      <c r="W324" s="75"/>
      <c r="X324" s="75"/>
      <c r="Y324" s="75"/>
      <c r="Z324" s="75"/>
      <c r="AA324" s="75"/>
    </row>
    <row r="325" spans="1:27" ht="14.25">
      <c r="A325" s="36"/>
      <c r="B325" s="36"/>
      <c r="C325" s="36"/>
      <c r="D325" s="204" t="s">
        <v>3341</v>
      </c>
      <c r="E325" s="199"/>
      <c r="F325" s="199"/>
      <c r="G325" s="199"/>
      <c r="H325" s="200"/>
      <c r="I325" s="223" t="s">
        <v>3340</v>
      </c>
      <c r="J325" s="200"/>
      <c r="K325" s="75"/>
      <c r="L325" s="75"/>
      <c r="M325" s="75"/>
      <c r="N325" s="75"/>
      <c r="O325" s="75"/>
      <c r="P325" s="75"/>
      <c r="Q325" s="75"/>
      <c r="R325" s="75"/>
      <c r="S325" s="75"/>
      <c r="T325" s="75"/>
      <c r="U325" s="75"/>
      <c r="V325" s="75"/>
      <c r="W325" s="75"/>
      <c r="X325" s="75"/>
      <c r="Y325" s="75"/>
      <c r="Z325" s="75"/>
      <c r="AA325" s="75"/>
    </row>
    <row r="326" spans="1:27" ht="14.25">
      <c r="A326" s="36"/>
      <c r="B326" s="36"/>
      <c r="C326" s="36"/>
      <c r="D326" s="204" t="s">
        <v>3342</v>
      </c>
      <c r="E326" s="199"/>
      <c r="F326" s="199"/>
      <c r="G326" s="199"/>
      <c r="H326" s="200"/>
      <c r="I326" s="223"/>
      <c r="J326" s="200"/>
      <c r="K326" s="75"/>
      <c r="L326" s="75"/>
      <c r="M326" s="75"/>
      <c r="N326" s="75"/>
      <c r="O326" s="75"/>
      <c r="P326" s="75"/>
      <c r="Q326" s="75"/>
      <c r="R326" s="75"/>
      <c r="S326" s="75"/>
      <c r="T326" s="75"/>
      <c r="U326" s="75"/>
      <c r="V326" s="75"/>
      <c r="W326" s="75"/>
      <c r="X326" s="75"/>
      <c r="Y326" s="75"/>
      <c r="Z326" s="75"/>
      <c r="AA326" s="75"/>
    </row>
    <row r="327" spans="1:27" ht="14.25">
      <c r="A327" s="36"/>
      <c r="B327" s="36"/>
      <c r="C327" s="36"/>
      <c r="D327" s="204" t="s">
        <v>3343</v>
      </c>
      <c r="E327" s="199"/>
      <c r="F327" s="199"/>
      <c r="G327" s="199"/>
      <c r="H327" s="200"/>
      <c r="I327" s="223" t="s">
        <v>3340</v>
      </c>
      <c r="J327" s="200"/>
      <c r="K327" s="75"/>
      <c r="L327" s="75"/>
      <c r="M327" s="75"/>
      <c r="N327" s="75"/>
      <c r="O327" s="75"/>
      <c r="P327" s="75"/>
      <c r="Q327" s="75"/>
      <c r="R327" s="75"/>
      <c r="S327" s="75"/>
      <c r="T327" s="75"/>
      <c r="U327" s="75"/>
      <c r="V327" s="75"/>
      <c r="W327" s="75"/>
      <c r="X327" s="75"/>
      <c r="Y327" s="75"/>
      <c r="Z327" s="75"/>
      <c r="AA327" s="75"/>
    </row>
    <row r="328" spans="1:27" ht="14.25">
      <c r="A328" s="36"/>
      <c r="B328" s="36"/>
      <c r="C328" s="36"/>
      <c r="D328" s="204" t="s">
        <v>3344</v>
      </c>
      <c r="E328" s="199"/>
      <c r="F328" s="199"/>
      <c r="G328" s="199"/>
      <c r="H328" s="200"/>
      <c r="I328" s="223" t="s">
        <v>3340</v>
      </c>
      <c r="J328" s="200"/>
      <c r="K328" s="75"/>
      <c r="L328" s="75"/>
      <c r="M328" s="75"/>
      <c r="N328" s="75"/>
      <c r="O328" s="75"/>
      <c r="P328" s="75"/>
      <c r="Q328" s="75"/>
      <c r="R328" s="75"/>
      <c r="S328" s="75"/>
      <c r="T328" s="75"/>
      <c r="U328" s="75"/>
      <c r="V328" s="75"/>
      <c r="W328" s="75"/>
      <c r="X328" s="75"/>
      <c r="Y328" s="75"/>
      <c r="Z328" s="75"/>
      <c r="AA328" s="75"/>
    </row>
    <row r="329" spans="1:27" ht="14.25">
      <c r="A329" s="36"/>
      <c r="B329" s="36"/>
      <c r="C329" s="36"/>
      <c r="D329" s="204" t="s">
        <v>3345</v>
      </c>
      <c r="E329" s="199"/>
      <c r="F329" s="199"/>
      <c r="G329" s="199"/>
      <c r="H329" s="200"/>
      <c r="I329" s="223" t="s">
        <v>3346</v>
      </c>
      <c r="J329" s="200"/>
      <c r="K329" s="75"/>
      <c r="L329" s="75"/>
      <c r="M329" s="75"/>
      <c r="N329" s="75"/>
      <c r="O329" s="75"/>
      <c r="P329" s="75"/>
      <c r="Q329" s="75"/>
      <c r="R329" s="75"/>
      <c r="S329" s="75"/>
      <c r="T329" s="75"/>
      <c r="U329" s="75"/>
      <c r="V329" s="75"/>
      <c r="W329" s="75"/>
      <c r="X329" s="75"/>
      <c r="Y329" s="75"/>
      <c r="Z329" s="75"/>
      <c r="AA329" s="75"/>
    </row>
    <row r="330" spans="1:27" ht="14.25">
      <c r="A330" s="36"/>
      <c r="B330" s="36"/>
      <c r="C330" s="36"/>
      <c r="D330" s="204" t="s">
        <v>3347</v>
      </c>
      <c r="E330" s="199"/>
      <c r="F330" s="199"/>
      <c r="G330" s="199"/>
      <c r="H330" s="200"/>
      <c r="I330" s="223" t="s">
        <v>3346</v>
      </c>
      <c r="J330" s="200"/>
      <c r="K330" s="75"/>
      <c r="L330" s="75"/>
      <c r="M330" s="75"/>
      <c r="N330" s="75"/>
      <c r="O330" s="75"/>
      <c r="P330" s="75"/>
      <c r="Q330" s="75"/>
      <c r="R330" s="75"/>
      <c r="S330" s="75"/>
      <c r="T330" s="75"/>
      <c r="U330" s="75"/>
      <c r="V330" s="75"/>
      <c r="W330" s="75"/>
      <c r="X330" s="75"/>
      <c r="Y330" s="75"/>
      <c r="Z330" s="75"/>
      <c r="AA330" s="75"/>
    </row>
    <row r="331" spans="1:27" ht="14.25">
      <c r="A331" s="36"/>
      <c r="B331" s="36"/>
      <c r="C331" s="36"/>
      <c r="D331" s="204" t="s">
        <v>3348</v>
      </c>
      <c r="E331" s="199"/>
      <c r="F331" s="199"/>
      <c r="G331" s="199"/>
      <c r="H331" s="200"/>
      <c r="I331" s="223" t="s">
        <v>3346</v>
      </c>
      <c r="J331" s="200"/>
      <c r="K331" s="75"/>
      <c r="L331" s="75"/>
      <c r="M331" s="75"/>
      <c r="N331" s="75"/>
      <c r="O331" s="75"/>
      <c r="P331" s="75"/>
      <c r="Q331" s="75"/>
      <c r="R331" s="75"/>
      <c r="S331" s="75"/>
      <c r="T331" s="75"/>
      <c r="U331" s="75"/>
      <c r="V331" s="75"/>
      <c r="W331" s="75"/>
      <c r="X331" s="75"/>
      <c r="Y331" s="75"/>
      <c r="Z331" s="75"/>
      <c r="AA331" s="75"/>
    </row>
    <row r="332" spans="1:27" ht="14.25">
      <c r="A332" s="36"/>
      <c r="B332" s="36"/>
      <c r="C332" s="36"/>
      <c r="D332" s="204" t="s">
        <v>3349</v>
      </c>
      <c r="E332" s="199"/>
      <c r="F332" s="199"/>
      <c r="G332" s="199"/>
      <c r="H332" s="200"/>
      <c r="I332" s="223" t="s">
        <v>3346</v>
      </c>
      <c r="J332" s="200"/>
      <c r="K332" s="75"/>
      <c r="L332" s="75"/>
      <c r="M332" s="75"/>
      <c r="N332" s="75"/>
      <c r="O332" s="75"/>
      <c r="P332" s="75"/>
      <c r="Q332" s="75"/>
      <c r="R332" s="75"/>
      <c r="S332" s="75"/>
      <c r="T332" s="75"/>
      <c r="U332" s="75"/>
      <c r="V332" s="75"/>
      <c r="W332" s="75"/>
      <c r="X332" s="75"/>
      <c r="Y332" s="75"/>
      <c r="Z332" s="75"/>
      <c r="AA332" s="75"/>
    </row>
    <row r="333" spans="1:27" ht="14.25">
      <c r="A333" s="36"/>
      <c r="B333" s="36"/>
      <c r="C333" s="36"/>
      <c r="D333" s="204" t="s">
        <v>3350</v>
      </c>
      <c r="E333" s="199"/>
      <c r="F333" s="199"/>
      <c r="G333" s="199"/>
      <c r="H333" s="200"/>
      <c r="I333" s="223" t="s">
        <v>3346</v>
      </c>
      <c r="J333" s="200"/>
      <c r="K333" s="75"/>
      <c r="L333" s="75"/>
      <c r="M333" s="75"/>
      <c r="N333" s="75"/>
      <c r="O333" s="75"/>
      <c r="P333" s="75"/>
      <c r="Q333" s="75"/>
      <c r="R333" s="75"/>
      <c r="S333" s="75"/>
      <c r="T333" s="75"/>
      <c r="U333" s="75"/>
      <c r="V333" s="75"/>
      <c r="W333" s="75"/>
      <c r="X333" s="75"/>
      <c r="Y333" s="75"/>
      <c r="Z333" s="75"/>
      <c r="AA333" s="75"/>
    </row>
    <row r="334" spans="1:27" ht="14.25">
      <c r="A334" s="36"/>
      <c r="B334" s="36"/>
      <c r="C334" s="36" t="s">
        <v>3351</v>
      </c>
      <c r="D334" s="204" t="s">
        <v>3352</v>
      </c>
      <c r="E334" s="199"/>
      <c r="F334" s="199"/>
      <c r="G334" s="199"/>
      <c r="H334" s="200"/>
      <c r="I334" s="223" t="s">
        <v>3353</v>
      </c>
      <c r="J334" s="200"/>
      <c r="K334" s="75"/>
      <c r="L334" s="75"/>
      <c r="M334" s="75"/>
      <c r="N334" s="75"/>
      <c r="O334" s="75"/>
      <c r="P334" s="75"/>
      <c r="Q334" s="75"/>
      <c r="R334" s="75"/>
      <c r="S334" s="75"/>
      <c r="T334" s="75"/>
      <c r="U334" s="75"/>
      <c r="V334" s="75"/>
      <c r="W334" s="75"/>
      <c r="X334" s="75"/>
      <c r="Y334" s="75"/>
      <c r="Z334" s="75"/>
      <c r="AA334" s="75"/>
    </row>
    <row r="335" spans="1:27" ht="14.25">
      <c r="A335" s="36"/>
      <c r="B335" s="36"/>
      <c r="C335" s="36" t="s">
        <v>3351</v>
      </c>
      <c r="D335" s="204" t="s">
        <v>3354</v>
      </c>
      <c r="E335" s="199"/>
      <c r="F335" s="199"/>
      <c r="G335" s="199"/>
      <c r="H335" s="200"/>
      <c r="I335" s="223" t="s">
        <v>3353</v>
      </c>
      <c r="J335" s="200"/>
      <c r="K335" s="75"/>
      <c r="L335" s="75"/>
      <c r="M335" s="75"/>
      <c r="N335" s="75"/>
      <c r="O335" s="75"/>
      <c r="P335" s="75"/>
      <c r="Q335" s="75"/>
      <c r="R335" s="75"/>
      <c r="S335" s="75"/>
      <c r="T335" s="75"/>
      <c r="U335" s="75"/>
      <c r="V335" s="75"/>
      <c r="W335" s="75"/>
      <c r="X335" s="75"/>
      <c r="Y335" s="75"/>
      <c r="Z335" s="75"/>
      <c r="AA335" s="75"/>
    </row>
    <row r="336" spans="1:27" ht="14.25">
      <c r="A336" s="36"/>
      <c r="B336" s="36"/>
      <c r="C336" s="36" t="s">
        <v>3351</v>
      </c>
      <c r="D336" s="204" t="s">
        <v>3355</v>
      </c>
      <c r="E336" s="199"/>
      <c r="F336" s="199"/>
      <c r="G336" s="199"/>
      <c r="H336" s="200"/>
      <c r="I336" s="223" t="s">
        <v>3353</v>
      </c>
      <c r="J336" s="200"/>
      <c r="K336" s="75"/>
      <c r="L336" s="75"/>
      <c r="M336" s="75"/>
      <c r="N336" s="75"/>
      <c r="O336" s="75"/>
      <c r="P336" s="75"/>
      <c r="Q336" s="75"/>
      <c r="R336" s="75"/>
      <c r="S336" s="75"/>
      <c r="T336" s="75"/>
      <c r="U336" s="75"/>
      <c r="V336" s="75"/>
      <c r="W336" s="75"/>
      <c r="X336" s="75"/>
      <c r="Y336" s="75"/>
      <c r="Z336" s="75"/>
      <c r="AA336" s="75"/>
    </row>
    <row r="337" spans="1:27" ht="14.25">
      <c r="A337" s="36"/>
      <c r="B337" s="36"/>
      <c r="C337" s="36" t="s">
        <v>3351</v>
      </c>
      <c r="D337" s="204" t="s">
        <v>3356</v>
      </c>
      <c r="E337" s="199"/>
      <c r="F337" s="199"/>
      <c r="G337" s="199"/>
      <c r="H337" s="200"/>
      <c r="I337" s="223" t="s">
        <v>3353</v>
      </c>
      <c r="J337" s="200"/>
      <c r="K337" s="75"/>
      <c r="L337" s="75"/>
      <c r="M337" s="75"/>
      <c r="N337" s="75"/>
      <c r="O337" s="75"/>
      <c r="P337" s="75"/>
      <c r="Q337" s="75"/>
      <c r="R337" s="75"/>
      <c r="S337" s="75"/>
      <c r="T337" s="75"/>
      <c r="U337" s="75"/>
      <c r="V337" s="75"/>
      <c r="W337" s="75"/>
      <c r="X337" s="75"/>
      <c r="Y337" s="75"/>
      <c r="Z337" s="75"/>
      <c r="AA337" s="75"/>
    </row>
    <row r="338" spans="1:27" ht="14.25">
      <c r="A338" s="36"/>
      <c r="B338" s="36"/>
      <c r="C338" s="36" t="s">
        <v>3351</v>
      </c>
      <c r="D338" s="204" t="s">
        <v>3357</v>
      </c>
      <c r="E338" s="199"/>
      <c r="F338" s="199"/>
      <c r="G338" s="199"/>
      <c r="H338" s="200"/>
      <c r="I338" s="223" t="s">
        <v>3353</v>
      </c>
      <c r="J338" s="200"/>
      <c r="K338" s="75"/>
      <c r="L338" s="75"/>
      <c r="M338" s="75"/>
      <c r="N338" s="75"/>
      <c r="O338" s="75"/>
      <c r="P338" s="75"/>
      <c r="Q338" s="75"/>
      <c r="R338" s="75"/>
      <c r="S338" s="75"/>
      <c r="T338" s="75"/>
      <c r="U338" s="75"/>
      <c r="V338" s="75"/>
      <c r="W338" s="75"/>
      <c r="X338" s="75"/>
      <c r="Y338" s="75"/>
      <c r="Z338" s="75"/>
      <c r="AA338" s="75"/>
    </row>
    <row r="339" spans="1:27" ht="14.25">
      <c r="A339" s="36"/>
      <c r="B339" s="36"/>
      <c r="C339" s="36" t="s">
        <v>3351</v>
      </c>
      <c r="D339" s="204" t="s">
        <v>3358</v>
      </c>
      <c r="E339" s="199"/>
      <c r="F339" s="199"/>
      <c r="G339" s="199"/>
      <c r="H339" s="200"/>
      <c r="I339" s="223" t="s">
        <v>3353</v>
      </c>
      <c r="J339" s="200"/>
      <c r="K339" s="75"/>
      <c r="L339" s="75"/>
      <c r="M339" s="75"/>
      <c r="N339" s="75"/>
      <c r="O339" s="75"/>
      <c r="P339" s="75"/>
      <c r="Q339" s="75"/>
      <c r="R339" s="75"/>
      <c r="S339" s="75"/>
      <c r="T339" s="75"/>
      <c r="U339" s="75"/>
      <c r="V339" s="75"/>
      <c r="W339" s="75"/>
      <c r="X339" s="75"/>
      <c r="Y339" s="75"/>
      <c r="Z339" s="75"/>
      <c r="AA339" s="75"/>
    </row>
    <row r="340" spans="1:27" ht="14.25">
      <c r="A340" s="36"/>
      <c r="B340" s="36"/>
      <c r="C340" s="36" t="s">
        <v>3351</v>
      </c>
      <c r="D340" s="204" t="s">
        <v>3359</v>
      </c>
      <c r="E340" s="199"/>
      <c r="F340" s="199"/>
      <c r="G340" s="199"/>
      <c r="H340" s="200"/>
      <c r="I340" s="223" t="s">
        <v>3353</v>
      </c>
      <c r="J340" s="200"/>
      <c r="K340" s="75"/>
      <c r="L340" s="75"/>
      <c r="M340" s="75"/>
      <c r="N340" s="75"/>
      <c r="O340" s="75"/>
      <c r="P340" s="75"/>
      <c r="Q340" s="75"/>
      <c r="R340" s="75"/>
      <c r="S340" s="75"/>
      <c r="T340" s="75"/>
      <c r="U340" s="75"/>
      <c r="V340" s="75"/>
      <c r="W340" s="75"/>
      <c r="X340" s="75"/>
      <c r="Y340" s="75"/>
      <c r="Z340" s="75"/>
      <c r="AA340" s="75"/>
    </row>
    <row r="341" spans="1:27" ht="14.25">
      <c r="A341" s="36"/>
      <c r="B341" s="36"/>
      <c r="C341" s="36" t="s">
        <v>3351</v>
      </c>
      <c r="D341" s="204" t="s">
        <v>3360</v>
      </c>
      <c r="E341" s="199"/>
      <c r="F341" s="199"/>
      <c r="G341" s="199"/>
      <c r="H341" s="200"/>
      <c r="I341" s="223" t="s">
        <v>3353</v>
      </c>
      <c r="J341" s="200"/>
      <c r="K341" s="75"/>
      <c r="L341" s="75"/>
      <c r="M341" s="75"/>
      <c r="N341" s="75"/>
      <c r="O341" s="75"/>
      <c r="P341" s="75"/>
      <c r="Q341" s="75"/>
      <c r="R341" s="75"/>
      <c r="S341" s="75"/>
      <c r="T341" s="75"/>
      <c r="U341" s="75"/>
      <c r="V341" s="75"/>
      <c r="W341" s="75"/>
      <c r="X341" s="75"/>
      <c r="Y341" s="75"/>
      <c r="Z341" s="75"/>
      <c r="AA341" s="75"/>
    </row>
    <row r="342" spans="1:27" ht="14.25">
      <c r="A342" s="36"/>
      <c r="B342" s="36"/>
      <c r="C342" s="36" t="s">
        <v>3351</v>
      </c>
      <c r="D342" s="204" t="s">
        <v>3361</v>
      </c>
      <c r="E342" s="199"/>
      <c r="F342" s="199"/>
      <c r="G342" s="199"/>
      <c r="H342" s="200"/>
      <c r="I342" s="223" t="s">
        <v>3353</v>
      </c>
      <c r="J342" s="200"/>
      <c r="K342" s="75"/>
      <c r="L342" s="75"/>
      <c r="M342" s="75"/>
      <c r="N342" s="75"/>
      <c r="O342" s="75"/>
      <c r="P342" s="75"/>
      <c r="Q342" s="75"/>
      <c r="R342" s="75"/>
      <c r="S342" s="75"/>
      <c r="T342" s="75"/>
      <c r="U342" s="75"/>
      <c r="V342" s="75"/>
      <c r="W342" s="75"/>
      <c r="X342" s="75"/>
      <c r="Y342" s="75"/>
      <c r="Z342" s="75"/>
      <c r="AA342" s="75"/>
    </row>
    <row r="343" spans="1:27" ht="14.25">
      <c r="A343" s="36"/>
      <c r="B343" s="36"/>
      <c r="C343" s="36"/>
      <c r="D343" s="189" t="s">
        <v>3362</v>
      </c>
      <c r="E343" s="185"/>
      <c r="F343" s="185"/>
      <c r="G343" s="185"/>
      <c r="H343" s="28"/>
      <c r="I343" s="223" t="s">
        <v>3363</v>
      </c>
      <c r="J343" s="200"/>
      <c r="K343" s="75" t="s">
        <v>3364</v>
      </c>
      <c r="L343" s="75"/>
      <c r="M343" s="75"/>
      <c r="N343" s="75"/>
      <c r="O343" s="75"/>
      <c r="P343" s="75"/>
      <c r="Q343" s="75"/>
      <c r="R343" s="75"/>
      <c r="S343" s="75"/>
      <c r="T343" s="75"/>
      <c r="U343" s="75"/>
      <c r="V343" s="75"/>
      <c r="W343" s="75"/>
      <c r="X343" s="75"/>
      <c r="Y343" s="75"/>
      <c r="Z343" s="75"/>
      <c r="AA343" s="75"/>
    </row>
    <row r="344" spans="1:27" ht="14.25">
      <c r="A344" s="36"/>
      <c r="B344" s="36"/>
      <c r="C344" s="36"/>
      <c r="D344" s="189" t="s">
        <v>3365</v>
      </c>
      <c r="E344" s="185"/>
      <c r="F344" s="185"/>
      <c r="G344" s="185"/>
      <c r="H344" s="28"/>
      <c r="I344" s="223"/>
      <c r="J344" s="200"/>
      <c r="K344" s="75" t="s">
        <v>3366</v>
      </c>
      <c r="L344" s="75"/>
      <c r="M344" s="75"/>
      <c r="N344" s="75"/>
      <c r="O344" s="75"/>
      <c r="P344" s="75"/>
      <c r="Q344" s="75"/>
      <c r="R344" s="75"/>
      <c r="S344" s="75"/>
      <c r="T344" s="75"/>
      <c r="U344" s="75"/>
      <c r="V344" s="75"/>
      <c r="W344" s="75"/>
      <c r="X344" s="75"/>
      <c r="Y344" s="75"/>
      <c r="Z344" s="75"/>
      <c r="AA344" s="75"/>
    </row>
    <row r="345" spans="1:27" ht="14.25">
      <c r="A345" s="36" t="s">
        <v>3367</v>
      </c>
      <c r="B345" s="36"/>
      <c r="C345" s="36"/>
      <c r="D345" s="204" t="s">
        <v>3368</v>
      </c>
      <c r="E345" s="199"/>
      <c r="F345" s="199"/>
      <c r="G345" s="199"/>
      <c r="H345" s="200"/>
      <c r="I345" s="226" t="s">
        <v>3363</v>
      </c>
      <c r="J345" s="200"/>
      <c r="K345" s="46" t="s">
        <v>3369</v>
      </c>
      <c r="L345" s="75"/>
      <c r="M345" s="75"/>
      <c r="N345" s="75"/>
      <c r="O345" s="75"/>
      <c r="P345" s="75"/>
      <c r="Q345" s="75"/>
      <c r="R345" s="75"/>
      <c r="S345" s="75"/>
      <c r="T345" s="75"/>
      <c r="U345" s="75"/>
      <c r="V345" s="75"/>
      <c r="W345" s="75"/>
      <c r="X345" s="75"/>
      <c r="Y345" s="75"/>
      <c r="Z345" s="75"/>
      <c r="AA345" s="75"/>
    </row>
    <row r="346" spans="1:27" ht="14.25">
      <c r="A346" s="36"/>
      <c r="B346" s="36"/>
      <c r="C346" s="36"/>
      <c r="D346" s="189" t="s">
        <v>3370</v>
      </c>
      <c r="E346" s="185"/>
      <c r="F346" s="185"/>
      <c r="G346" s="185"/>
      <c r="H346" s="28"/>
      <c r="I346" s="223"/>
      <c r="J346" s="200"/>
      <c r="K346" s="75" t="s">
        <v>3371</v>
      </c>
      <c r="L346" s="75"/>
      <c r="M346" s="75"/>
      <c r="N346" s="75"/>
      <c r="O346" s="75"/>
      <c r="P346" s="75"/>
      <c r="Q346" s="75"/>
      <c r="R346" s="75"/>
      <c r="S346" s="75"/>
      <c r="T346" s="75"/>
      <c r="U346" s="75"/>
      <c r="V346" s="75"/>
      <c r="W346" s="75"/>
      <c r="X346" s="75"/>
      <c r="Y346" s="75"/>
      <c r="Z346" s="75"/>
      <c r="AA346" s="75"/>
    </row>
    <row r="347" spans="1:27" ht="14.25">
      <c r="A347" s="36" t="s">
        <v>3367</v>
      </c>
      <c r="B347" s="36"/>
      <c r="C347" s="36"/>
      <c r="D347" s="204" t="s">
        <v>3372</v>
      </c>
      <c r="E347" s="199"/>
      <c r="F347" s="199"/>
      <c r="G347" s="199"/>
      <c r="H347" s="200"/>
      <c r="I347" s="223" t="s">
        <v>3363</v>
      </c>
      <c r="J347" s="200"/>
      <c r="K347" s="75" t="s">
        <v>3373</v>
      </c>
      <c r="L347" s="75"/>
      <c r="M347" s="75"/>
      <c r="N347" s="75"/>
      <c r="O347" s="75"/>
      <c r="P347" s="75"/>
      <c r="Q347" s="75"/>
      <c r="R347" s="75"/>
      <c r="S347" s="75"/>
      <c r="T347" s="75"/>
      <c r="U347" s="75"/>
      <c r="V347" s="75"/>
      <c r="W347" s="75"/>
      <c r="X347" s="75"/>
      <c r="Y347" s="75"/>
      <c r="Z347" s="75"/>
      <c r="AA347" s="75"/>
    </row>
    <row r="348" spans="1:27" ht="14.25">
      <c r="A348" s="36" t="s">
        <v>3374</v>
      </c>
      <c r="B348" s="36"/>
      <c r="C348" s="36"/>
      <c r="D348" s="204" t="s">
        <v>3375</v>
      </c>
      <c r="E348" s="199"/>
      <c r="F348" s="199"/>
      <c r="G348" s="199"/>
      <c r="H348" s="200"/>
      <c r="I348" s="223" t="s">
        <v>3376</v>
      </c>
      <c r="J348" s="200"/>
      <c r="K348" s="75" t="s">
        <v>3377</v>
      </c>
      <c r="L348" s="75"/>
      <c r="M348" s="75"/>
      <c r="N348" s="75"/>
      <c r="O348" s="75"/>
      <c r="P348" s="75"/>
      <c r="Q348" s="75"/>
      <c r="R348" s="75"/>
      <c r="S348" s="75"/>
      <c r="T348" s="75"/>
      <c r="U348" s="75"/>
      <c r="V348" s="75"/>
      <c r="W348" s="75"/>
      <c r="X348" s="75"/>
      <c r="Y348" s="75"/>
      <c r="Z348" s="75"/>
      <c r="AA348" s="75"/>
    </row>
    <row r="349" spans="1:27" ht="14.25">
      <c r="A349" s="36"/>
      <c r="B349" s="36"/>
      <c r="C349" s="36"/>
      <c r="D349" s="204" t="s">
        <v>3378</v>
      </c>
      <c r="E349" s="199"/>
      <c r="F349" s="199"/>
      <c r="G349" s="199"/>
      <c r="H349" s="200"/>
      <c r="I349" s="223" t="s">
        <v>3363</v>
      </c>
      <c r="J349" s="200"/>
      <c r="K349" s="75" t="s">
        <v>3379</v>
      </c>
      <c r="L349" s="75"/>
      <c r="M349" s="75"/>
      <c r="N349" s="75"/>
      <c r="O349" s="75"/>
      <c r="P349" s="75"/>
      <c r="Q349" s="75"/>
      <c r="R349" s="75"/>
      <c r="S349" s="75"/>
      <c r="T349" s="75"/>
      <c r="U349" s="75"/>
      <c r="V349" s="75"/>
      <c r="W349" s="75"/>
      <c r="X349" s="75"/>
      <c r="Y349" s="75"/>
      <c r="Z349" s="75"/>
      <c r="AA349" s="75"/>
    </row>
    <row r="350" spans="1:27" ht="14.25">
      <c r="A350" s="36"/>
      <c r="B350" s="36"/>
      <c r="C350" s="36"/>
      <c r="D350" s="204" t="s">
        <v>3380</v>
      </c>
      <c r="E350" s="199"/>
      <c r="F350" s="199"/>
      <c r="G350" s="199"/>
      <c r="H350" s="200"/>
      <c r="I350" s="223" t="s">
        <v>3363</v>
      </c>
      <c r="J350" s="200"/>
      <c r="K350" s="75" t="s">
        <v>3381</v>
      </c>
      <c r="L350" s="75"/>
      <c r="M350" s="75"/>
      <c r="N350" s="75"/>
      <c r="O350" s="75"/>
      <c r="P350" s="75"/>
      <c r="Q350" s="75"/>
      <c r="R350" s="75"/>
      <c r="S350" s="75"/>
      <c r="T350" s="75"/>
      <c r="U350" s="75"/>
      <c r="V350" s="75"/>
      <c r="W350" s="75"/>
      <c r="X350" s="75"/>
      <c r="Y350" s="75"/>
      <c r="Z350" s="75"/>
      <c r="AA350" s="75"/>
    </row>
    <row r="351" spans="1:27" ht="14.25">
      <c r="A351" s="36"/>
      <c r="B351" s="36"/>
      <c r="C351" s="36"/>
      <c r="D351" s="204" t="s">
        <v>3382</v>
      </c>
      <c r="E351" s="199"/>
      <c r="F351" s="199"/>
      <c r="G351" s="199"/>
      <c r="H351" s="200"/>
      <c r="I351" s="223" t="s">
        <v>3363</v>
      </c>
      <c r="J351" s="200"/>
      <c r="K351" s="75" t="s">
        <v>3379</v>
      </c>
      <c r="L351" s="75"/>
      <c r="M351" s="75"/>
      <c r="N351" s="75"/>
      <c r="O351" s="75"/>
      <c r="P351" s="75"/>
      <c r="Q351" s="75"/>
      <c r="R351" s="75"/>
      <c r="S351" s="75"/>
      <c r="T351" s="75"/>
      <c r="U351" s="75"/>
      <c r="V351" s="75"/>
      <c r="W351" s="75"/>
      <c r="X351" s="75"/>
      <c r="Y351" s="75"/>
      <c r="Z351" s="75"/>
      <c r="AA351" s="75"/>
    </row>
    <row r="352" spans="1:27" ht="14.25">
      <c r="A352" s="36"/>
      <c r="B352" s="36"/>
      <c r="C352" s="36"/>
      <c r="D352" s="186" t="s">
        <v>3383</v>
      </c>
      <c r="E352" s="184"/>
      <c r="F352" s="184"/>
      <c r="G352" s="184"/>
      <c r="H352" s="184"/>
      <c r="I352" s="226" t="s">
        <v>3363</v>
      </c>
      <c r="J352" s="200"/>
      <c r="K352" s="46" t="s">
        <v>3369</v>
      </c>
      <c r="L352" s="75"/>
      <c r="M352" s="75"/>
      <c r="N352" s="75"/>
      <c r="O352" s="75"/>
      <c r="P352" s="75"/>
      <c r="Q352" s="75"/>
      <c r="R352" s="75"/>
      <c r="S352" s="75"/>
      <c r="T352" s="75"/>
      <c r="U352" s="75"/>
      <c r="V352" s="75"/>
      <c r="W352" s="75"/>
      <c r="X352" s="75"/>
      <c r="Y352" s="75"/>
      <c r="Z352" s="75"/>
      <c r="AA352" s="75"/>
    </row>
    <row r="353" spans="1:27" ht="14.25">
      <c r="A353" s="36"/>
      <c r="B353" s="36"/>
      <c r="C353" s="36"/>
      <c r="D353" s="204" t="s">
        <v>3384</v>
      </c>
      <c r="E353" s="199"/>
      <c r="F353" s="199"/>
      <c r="G353" s="199"/>
      <c r="H353" s="200"/>
      <c r="I353" s="223"/>
      <c r="J353" s="200"/>
      <c r="K353" s="75" t="s">
        <v>3385</v>
      </c>
      <c r="L353" s="75"/>
      <c r="M353" s="75"/>
      <c r="N353" s="75"/>
      <c r="O353" s="75"/>
      <c r="P353" s="75"/>
      <c r="Q353" s="75"/>
      <c r="R353" s="75"/>
      <c r="S353" s="75"/>
      <c r="T353" s="75"/>
      <c r="U353" s="75"/>
      <c r="V353" s="75"/>
      <c r="W353" s="75"/>
      <c r="X353" s="75"/>
      <c r="Y353" s="75"/>
      <c r="Z353" s="75"/>
      <c r="AA353" s="75"/>
    </row>
    <row r="354" spans="1:27" ht="14.25">
      <c r="A354" s="36"/>
      <c r="B354" s="36"/>
      <c r="C354" s="36"/>
      <c r="D354" s="204" t="s">
        <v>3386</v>
      </c>
      <c r="E354" s="199"/>
      <c r="F354" s="199"/>
      <c r="G354" s="199"/>
      <c r="H354" s="200"/>
      <c r="I354" s="223"/>
      <c r="J354" s="200"/>
      <c r="K354" s="75"/>
      <c r="L354" s="75"/>
      <c r="M354" s="75"/>
      <c r="N354" s="75"/>
      <c r="O354" s="75"/>
      <c r="P354" s="75"/>
      <c r="Q354" s="75"/>
      <c r="R354" s="75"/>
      <c r="S354" s="75"/>
      <c r="T354" s="75"/>
      <c r="U354" s="75"/>
      <c r="V354" s="75"/>
      <c r="W354" s="75"/>
      <c r="X354" s="75"/>
      <c r="Y354" s="75"/>
      <c r="Z354" s="75"/>
      <c r="AA354" s="75"/>
    </row>
    <row r="355" spans="1:27" ht="14.25">
      <c r="A355" s="36"/>
      <c r="B355" s="36"/>
      <c r="C355" s="36"/>
      <c r="D355" s="204" t="s">
        <v>3387</v>
      </c>
      <c r="E355" s="199"/>
      <c r="F355" s="199"/>
      <c r="G355" s="199"/>
      <c r="H355" s="200"/>
      <c r="I355" s="223"/>
      <c r="J355" s="200"/>
      <c r="K355" s="184"/>
      <c r="L355" s="184"/>
      <c r="M355" s="184"/>
      <c r="N355" s="184"/>
      <c r="O355" s="184"/>
      <c r="P355" s="184"/>
      <c r="Q355" s="184"/>
      <c r="R355" s="184"/>
      <c r="S355" s="184"/>
      <c r="T355" s="184"/>
      <c r="U355" s="184"/>
      <c r="V355" s="184"/>
      <c r="W355" s="184"/>
      <c r="X355" s="184"/>
      <c r="Y355" s="184"/>
      <c r="Z355" s="184"/>
      <c r="AA355" s="184"/>
    </row>
    <row r="356" spans="1:27" ht="14.25">
      <c r="A356" s="36"/>
      <c r="B356" s="36"/>
      <c r="C356" s="36" t="s">
        <v>3388</v>
      </c>
      <c r="D356" s="223" t="s">
        <v>3389</v>
      </c>
      <c r="E356" s="199"/>
      <c r="F356" s="199"/>
      <c r="G356" s="199"/>
      <c r="H356" s="200"/>
      <c r="I356" s="226" t="s">
        <v>3390</v>
      </c>
      <c r="J356" s="200"/>
      <c r="K356" s="75"/>
      <c r="L356" s="75"/>
      <c r="M356" s="75"/>
      <c r="N356" s="75"/>
      <c r="O356" s="75"/>
      <c r="P356" s="75"/>
      <c r="Q356" s="75"/>
      <c r="R356" s="75"/>
      <c r="S356" s="75"/>
      <c r="T356" s="75"/>
      <c r="U356" s="75"/>
      <c r="V356" s="75"/>
      <c r="W356" s="75"/>
      <c r="X356" s="75"/>
      <c r="Y356" s="75"/>
      <c r="Z356" s="75"/>
      <c r="AA356" s="75"/>
    </row>
    <row r="357" spans="1:27" ht="14.25">
      <c r="A357" s="36"/>
      <c r="B357" s="36"/>
      <c r="C357" s="36" t="s">
        <v>3391</v>
      </c>
      <c r="D357" s="223" t="s">
        <v>3392</v>
      </c>
      <c r="E357" s="199"/>
      <c r="F357" s="199"/>
      <c r="G357" s="199"/>
      <c r="H357" s="200"/>
      <c r="I357" s="226" t="s">
        <v>3390</v>
      </c>
      <c r="J357" s="200"/>
      <c r="K357" s="75"/>
      <c r="L357" s="75"/>
      <c r="M357" s="75"/>
      <c r="N357" s="75"/>
      <c r="O357" s="75"/>
      <c r="P357" s="75"/>
      <c r="Q357" s="75"/>
      <c r="R357" s="75"/>
      <c r="S357" s="75"/>
      <c r="T357" s="75"/>
      <c r="U357" s="75"/>
      <c r="V357" s="75"/>
      <c r="W357" s="75"/>
      <c r="X357" s="75"/>
      <c r="Y357" s="75"/>
      <c r="Z357" s="75"/>
      <c r="AA357" s="75"/>
    </row>
    <row r="358" spans="1:27" ht="14.25">
      <c r="A358" s="36"/>
      <c r="B358" s="36"/>
      <c r="C358" s="36"/>
      <c r="D358" s="227" t="s">
        <v>3393</v>
      </c>
      <c r="E358" s="215"/>
      <c r="F358" s="215"/>
      <c r="G358" s="215"/>
      <c r="H358" s="215"/>
      <c r="I358" s="223"/>
      <c r="J358" s="200"/>
      <c r="K358" s="75"/>
      <c r="L358" s="75"/>
      <c r="M358" s="75"/>
      <c r="N358" s="75"/>
      <c r="O358" s="75"/>
      <c r="P358" s="75"/>
      <c r="Q358" s="75"/>
      <c r="R358" s="75"/>
      <c r="S358" s="75"/>
      <c r="T358" s="75"/>
      <c r="U358" s="75"/>
      <c r="V358" s="75"/>
      <c r="W358" s="75"/>
      <c r="X358" s="75"/>
      <c r="Y358" s="75"/>
      <c r="Z358" s="75"/>
      <c r="AA358" s="75"/>
    </row>
    <row r="359" spans="1:27" ht="14.25">
      <c r="A359" s="36"/>
      <c r="B359" s="36"/>
      <c r="C359" s="36" t="s">
        <v>146</v>
      </c>
      <c r="D359" s="204" t="s">
        <v>3394</v>
      </c>
      <c r="E359" s="199"/>
      <c r="F359" s="199"/>
      <c r="G359" s="199"/>
      <c r="H359" s="200"/>
      <c r="I359" s="226" t="s">
        <v>3395</v>
      </c>
      <c r="J359" s="200"/>
      <c r="K359" s="75" t="s">
        <v>3396</v>
      </c>
      <c r="L359" s="75"/>
      <c r="M359" s="75"/>
      <c r="N359" s="75"/>
      <c r="O359" s="75"/>
      <c r="P359" s="75"/>
      <c r="Q359" s="75"/>
      <c r="R359" s="75"/>
      <c r="S359" s="75"/>
      <c r="T359" s="75"/>
      <c r="U359" s="75"/>
      <c r="V359" s="75"/>
      <c r="W359" s="75"/>
      <c r="X359" s="75"/>
      <c r="Y359" s="75"/>
      <c r="Z359" s="75"/>
      <c r="AA359" s="75"/>
    </row>
    <row r="360" spans="1:27" ht="14.25">
      <c r="A360" s="47" t="s">
        <v>3397</v>
      </c>
      <c r="B360" s="47" t="s">
        <v>3398</v>
      </c>
      <c r="C360" s="47" t="s">
        <v>3399</v>
      </c>
      <c r="D360" s="228" t="s">
        <v>2911</v>
      </c>
      <c r="E360" s="199"/>
      <c r="F360" s="199"/>
      <c r="G360" s="199"/>
      <c r="H360" s="200"/>
      <c r="I360" s="228" t="s">
        <v>3400</v>
      </c>
      <c r="J360" s="200"/>
      <c r="K360" s="48"/>
      <c r="L360" s="48"/>
      <c r="M360" s="48"/>
      <c r="N360" s="48"/>
      <c r="O360" s="48"/>
      <c r="P360" s="48"/>
      <c r="Q360" s="48"/>
      <c r="R360" s="48"/>
      <c r="S360" s="48"/>
      <c r="T360" s="48"/>
      <c r="U360" s="48"/>
      <c r="V360" s="48"/>
      <c r="W360" s="48"/>
      <c r="X360" s="48"/>
      <c r="Y360" s="48"/>
      <c r="Z360" s="48"/>
      <c r="AA360" s="48"/>
    </row>
    <row r="361" spans="1:27" ht="14.25">
      <c r="A361" s="36"/>
      <c r="B361" s="36" t="s">
        <v>3401</v>
      </c>
      <c r="C361" s="36" t="s">
        <v>3402</v>
      </c>
      <c r="D361" s="204" t="s">
        <v>3403</v>
      </c>
      <c r="E361" s="199"/>
      <c r="F361" s="199"/>
      <c r="G361" s="199"/>
      <c r="H361" s="200"/>
      <c r="I361" s="223" t="s">
        <v>3404</v>
      </c>
      <c r="J361" s="200"/>
      <c r="K361" s="75"/>
      <c r="L361" s="75"/>
      <c r="M361" s="75"/>
      <c r="N361" s="75"/>
      <c r="O361" s="75"/>
      <c r="P361" s="75"/>
      <c r="Q361" s="75"/>
      <c r="R361" s="75"/>
      <c r="S361" s="75"/>
      <c r="T361" s="75"/>
      <c r="U361" s="75"/>
      <c r="V361" s="75"/>
      <c r="W361" s="75"/>
      <c r="X361" s="75"/>
      <c r="Y361" s="75"/>
      <c r="Z361" s="75"/>
      <c r="AA361" s="75"/>
    </row>
    <row r="362" spans="1:27" ht="14.25">
      <c r="A362" s="36"/>
      <c r="B362" s="36" t="s">
        <v>3405</v>
      </c>
      <c r="C362" s="36"/>
      <c r="D362" s="204" t="s">
        <v>3406</v>
      </c>
      <c r="E362" s="199"/>
      <c r="F362" s="199"/>
      <c r="G362" s="199"/>
      <c r="H362" s="200"/>
      <c r="I362" s="223" t="s">
        <v>3407</v>
      </c>
      <c r="J362" s="200"/>
      <c r="K362" s="75"/>
      <c r="L362" s="75"/>
      <c r="M362" s="75"/>
      <c r="N362" s="75"/>
      <c r="O362" s="75"/>
      <c r="P362" s="75"/>
      <c r="Q362" s="75"/>
      <c r="R362" s="75"/>
      <c r="S362" s="75"/>
      <c r="T362" s="75"/>
      <c r="U362" s="75"/>
      <c r="V362" s="75"/>
      <c r="W362" s="75"/>
      <c r="X362" s="75"/>
      <c r="Y362" s="75"/>
      <c r="Z362" s="75"/>
      <c r="AA362" s="75"/>
    </row>
    <row r="363" spans="1:27" ht="14.25">
      <c r="A363" s="36"/>
      <c r="B363" s="36" t="s">
        <v>3408</v>
      </c>
      <c r="C363" s="36" t="s">
        <v>187</v>
      </c>
      <c r="D363" s="204" t="s">
        <v>3409</v>
      </c>
      <c r="E363" s="199"/>
      <c r="F363" s="199"/>
      <c r="G363" s="199"/>
      <c r="H363" s="200"/>
      <c r="I363" s="223" t="s">
        <v>3407</v>
      </c>
      <c r="J363" s="200"/>
      <c r="K363" s="75"/>
      <c r="L363" s="75"/>
      <c r="M363" s="75"/>
      <c r="N363" s="75"/>
      <c r="O363" s="75"/>
      <c r="P363" s="75"/>
      <c r="Q363" s="75"/>
      <c r="R363" s="75"/>
      <c r="S363" s="75"/>
      <c r="T363" s="75"/>
      <c r="U363" s="75"/>
      <c r="V363" s="75"/>
      <c r="W363" s="75"/>
      <c r="X363" s="75"/>
      <c r="Y363" s="75"/>
      <c r="Z363" s="75"/>
      <c r="AA363" s="75"/>
    </row>
    <row r="364" spans="1:27" ht="14.25">
      <c r="A364" s="36"/>
      <c r="B364" s="36" t="s">
        <v>3408</v>
      </c>
      <c r="C364" s="36" t="s">
        <v>189</v>
      </c>
      <c r="D364" s="204" t="s">
        <v>3409</v>
      </c>
      <c r="E364" s="199"/>
      <c r="F364" s="199"/>
      <c r="G364" s="199"/>
      <c r="H364" s="200"/>
      <c r="I364" s="223" t="s">
        <v>3407</v>
      </c>
      <c r="J364" s="200"/>
      <c r="K364" s="75"/>
      <c r="L364" s="75"/>
      <c r="M364" s="75"/>
      <c r="N364" s="75"/>
      <c r="O364" s="75"/>
      <c r="P364" s="75"/>
      <c r="Q364" s="75"/>
      <c r="R364" s="75"/>
      <c r="S364" s="75"/>
      <c r="T364" s="75"/>
      <c r="U364" s="75"/>
      <c r="V364" s="75"/>
      <c r="W364" s="75"/>
      <c r="X364" s="75"/>
      <c r="Y364" s="75"/>
      <c r="Z364" s="75"/>
      <c r="AA364" s="75"/>
    </row>
    <row r="365" spans="1:27" ht="14.25">
      <c r="A365" s="36"/>
      <c r="B365" s="36" t="s">
        <v>3410</v>
      </c>
      <c r="C365" s="36" t="s">
        <v>179</v>
      </c>
      <c r="D365" s="204" t="s">
        <v>3409</v>
      </c>
      <c r="E365" s="199"/>
      <c r="F365" s="199"/>
      <c r="G365" s="199"/>
      <c r="H365" s="200"/>
      <c r="I365" s="223" t="s">
        <v>3407</v>
      </c>
      <c r="J365" s="200"/>
      <c r="K365" s="75"/>
      <c r="L365" s="75"/>
      <c r="M365" s="75"/>
      <c r="N365" s="75"/>
      <c r="O365" s="75"/>
      <c r="P365" s="75"/>
      <c r="Q365" s="75"/>
      <c r="R365" s="75"/>
      <c r="S365" s="75"/>
      <c r="T365" s="75"/>
      <c r="U365" s="75"/>
      <c r="V365" s="75"/>
      <c r="W365" s="75"/>
      <c r="X365" s="75"/>
      <c r="Y365" s="75"/>
      <c r="Z365" s="75"/>
      <c r="AA365" s="75"/>
    </row>
    <row r="366" spans="1:27" ht="14.25">
      <c r="A366" s="36"/>
      <c r="B366" s="36" t="s">
        <v>3410</v>
      </c>
      <c r="C366" s="36" t="s">
        <v>182</v>
      </c>
      <c r="D366" s="204" t="s">
        <v>3409</v>
      </c>
      <c r="E366" s="199"/>
      <c r="F366" s="199"/>
      <c r="G366" s="199"/>
      <c r="H366" s="200"/>
      <c r="I366" s="223" t="s">
        <v>3407</v>
      </c>
      <c r="J366" s="200"/>
      <c r="K366" s="75"/>
      <c r="L366" s="75"/>
      <c r="M366" s="75"/>
      <c r="N366" s="75"/>
      <c r="O366" s="75"/>
      <c r="P366" s="75"/>
      <c r="Q366" s="75"/>
      <c r="R366" s="75"/>
      <c r="S366" s="75"/>
      <c r="T366" s="75"/>
      <c r="U366" s="75"/>
      <c r="V366" s="75"/>
      <c r="W366" s="75"/>
      <c r="X366" s="75"/>
      <c r="Y366" s="75"/>
      <c r="Z366" s="75"/>
      <c r="AA366" s="75"/>
    </row>
    <row r="367" spans="1:27" ht="14.25">
      <c r="A367" s="36"/>
      <c r="B367" s="36" t="s">
        <v>3410</v>
      </c>
      <c r="C367" s="36" t="s">
        <v>184</v>
      </c>
      <c r="D367" s="204" t="s">
        <v>3409</v>
      </c>
      <c r="E367" s="199"/>
      <c r="F367" s="199"/>
      <c r="G367" s="199"/>
      <c r="H367" s="200"/>
      <c r="I367" s="223" t="s">
        <v>3407</v>
      </c>
      <c r="J367" s="200"/>
      <c r="K367" s="75"/>
      <c r="L367" s="75"/>
      <c r="M367" s="75"/>
      <c r="N367" s="75"/>
      <c r="O367" s="75"/>
      <c r="P367" s="75"/>
      <c r="Q367" s="75"/>
      <c r="R367" s="75"/>
      <c r="S367" s="75"/>
      <c r="T367" s="75"/>
      <c r="U367" s="75"/>
      <c r="V367" s="75"/>
      <c r="W367" s="75"/>
      <c r="X367" s="75"/>
      <c r="Y367" s="75"/>
      <c r="Z367" s="75"/>
      <c r="AA367" s="75"/>
    </row>
    <row r="368" spans="1:27" ht="14.25">
      <c r="A368" s="36"/>
      <c r="B368" s="31" t="s">
        <v>3411</v>
      </c>
      <c r="C368" s="31" t="s">
        <v>797</v>
      </c>
      <c r="D368" s="204" t="s">
        <v>3409</v>
      </c>
      <c r="E368" s="199"/>
      <c r="F368" s="199"/>
      <c r="G368" s="199"/>
      <c r="H368" s="200"/>
      <c r="I368" s="223" t="s">
        <v>3407</v>
      </c>
      <c r="J368" s="200"/>
      <c r="K368" s="75"/>
      <c r="L368" s="75"/>
      <c r="M368" s="75"/>
      <c r="N368" s="75"/>
      <c r="O368" s="75"/>
      <c r="P368" s="75"/>
      <c r="Q368" s="75"/>
      <c r="R368" s="75"/>
      <c r="S368" s="75"/>
      <c r="T368" s="75"/>
      <c r="U368" s="75"/>
      <c r="V368" s="75"/>
      <c r="W368" s="75"/>
      <c r="X368" s="75"/>
      <c r="Y368" s="75"/>
      <c r="Z368" s="75"/>
      <c r="AA368" s="75"/>
    </row>
    <row r="369" spans="1:27" ht="14.25">
      <c r="A369" s="36"/>
      <c r="B369" s="31" t="s">
        <v>3412</v>
      </c>
      <c r="C369" s="31" t="s">
        <v>3413</v>
      </c>
      <c r="D369" s="204" t="s">
        <v>3409</v>
      </c>
      <c r="E369" s="199"/>
      <c r="F369" s="199"/>
      <c r="G369" s="199"/>
      <c r="H369" s="200"/>
      <c r="I369" s="223" t="s">
        <v>3407</v>
      </c>
      <c r="J369" s="200"/>
      <c r="K369" s="75"/>
      <c r="L369" s="75"/>
      <c r="M369" s="75"/>
      <c r="N369" s="75"/>
      <c r="O369" s="75"/>
      <c r="P369" s="75"/>
      <c r="Q369" s="75"/>
      <c r="R369" s="75"/>
      <c r="S369" s="75"/>
      <c r="T369" s="75"/>
      <c r="U369" s="75"/>
      <c r="V369" s="75"/>
      <c r="W369" s="75"/>
      <c r="X369" s="75"/>
      <c r="Y369" s="75"/>
      <c r="Z369" s="75"/>
      <c r="AA369" s="75"/>
    </row>
    <row r="370" spans="1:27" ht="14.25">
      <c r="A370" s="36"/>
      <c r="B370" s="31" t="s">
        <v>3414</v>
      </c>
      <c r="C370" s="31" t="s">
        <v>3415</v>
      </c>
      <c r="D370" s="204" t="s">
        <v>3416</v>
      </c>
      <c r="E370" s="199"/>
      <c r="F370" s="199"/>
      <c r="G370" s="199"/>
      <c r="H370" s="200"/>
      <c r="I370" s="223" t="s">
        <v>3407</v>
      </c>
      <c r="J370" s="200"/>
      <c r="K370" s="75"/>
      <c r="L370" s="75"/>
      <c r="M370" s="75"/>
      <c r="N370" s="75"/>
      <c r="O370" s="75"/>
      <c r="P370" s="75"/>
      <c r="Q370" s="75"/>
      <c r="R370" s="75"/>
      <c r="S370" s="75"/>
      <c r="T370" s="75"/>
      <c r="U370" s="75"/>
      <c r="V370" s="75"/>
      <c r="W370" s="75"/>
      <c r="X370" s="75"/>
      <c r="Y370" s="75"/>
      <c r="Z370" s="75"/>
      <c r="AA370" s="75"/>
    </row>
    <row r="371" spans="1:27" ht="14.25">
      <c r="A371" s="36"/>
      <c r="B371" s="36" t="s">
        <v>3414</v>
      </c>
      <c r="C371" s="36" t="s">
        <v>3417</v>
      </c>
      <c r="D371" s="183" t="s">
        <v>3418</v>
      </c>
      <c r="E371" s="185"/>
      <c r="F371" s="185"/>
      <c r="G371" s="185"/>
      <c r="H371" s="28"/>
      <c r="I371" s="223" t="s">
        <v>3407</v>
      </c>
      <c r="J371" s="200"/>
      <c r="K371" s="75"/>
      <c r="L371" s="75"/>
      <c r="M371" s="75"/>
      <c r="N371" s="75"/>
      <c r="O371" s="75"/>
      <c r="P371" s="75"/>
      <c r="Q371" s="75"/>
      <c r="R371" s="75"/>
      <c r="S371" s="75"/>
      <c r="T371" s="75"/>
      <c r="U371" s="75"/>
      <c r="V371" s="75"/>
      <c r="W371" s="75"/>
      <c r="X371" s="75"/>
      <c r="Y371" s="75"/>
      <c r="Z371" s="75"/>
      <c r="AA371" s="75"/>
    </row>
    <row r="372" spans="1:27" ht="14.25">
      <c r="A372" s="36"/>
      <c r="B372" s="36" t="s">
        <v>3414</v>
      </c>
      <c r="C372" s="36" t="s">
        <v>3419</v>
      </c>
      <c r="D372" s="204" t="s">
        <v>3420</v>
      </c>
      <c r="E372" s="199"/>
      <c r="F372" s="199"/>
      <c r="G372" s="199"/>
      <c r="H372" s="200"/>
      <c r="I372" s="223" t="s">
        <v>3407</v>
      </c>
      <c r="J372" s="200"/>
      <c r="K372" s="75"/>
      <c r="L372" s="75"/>
      <c r="M372" s="75"/>
      <c r="N372" s="75"/>
      <c r="O372" s="75"/>
      <c r="P372" s="75"/>
      <c r="Q372" s="75"/>
      <c r="R372" s="75"/>
      <c r="S372" s="75"/>
      <c r="T372" s="75"/>
      <c r="U372" s="75"/>
      <c r="V372" s="75"/>
      <c r="W372" s="75"/>
      <c r="X372" s="75"/>
      <c r="Y372" s="75"/>
      <c r="Z372" s="75"/>
      <c r="AA372" s="75"/>
    </row>
    <row r="373" spans="1:27" ht="14.25">
      <c r="A373" s="36"/>
      <c r="B373" s="36" t="s">
        <v>3421</v>
      </c>
      <c r="C373" s="36" t="s">
        <v>3422</v>
      </c>
      <c r="D373" s="204" t="s">
        <v>3423</v>
      </c>
      <c r="E373" s="199"/>
      <c r="F373" s="199"/>
      <c r="G373" s="199"/>
      <c r="H373" s="200"/>
      <c r="I373" s="223" t="s">
        <v>3407</v>
      </c>
      <c r="J373" s="200"/>
      <c r="K373" s="75"/>
      <c r="L373" s="75"/>
      <c r="M373" s="75"/>
      <c r="N373" s="75"/>
      <c r="O373" s="75"/>
      <c r="P373" s="75"/>
      <c r="Q373" s="75"/>
      <c r="R373" s="75"/>
      <c r="S373" s="75"/>
      <c r="T373" s="75"/>
      <c r="U373" s="75"/>
      <c r="V373" s="75"/>
      <c r="W373" s="75"/>
      <c r="X373" s="75"/>
      <c r="Y373" s="75"/>
      <c r="Z373" s="75"/>
      <c r="AA373" s="75"/>
    </row>
    <row r="374" spans="1:27" ht="14.25">
      <c r="A374" s="36"/>
      <c r="B374" s="36" t="s">
        <v>3421</v>
      </c>
      <c r="C374" s="36" t="s">
        <v>3422</v>
      </c>
      <c r="D374" s="204" t="s">
        <v>3424</v>
      </c>
      <c r="E374" s="199"/>
      <c r="F374" s="199"/>
      <c r="G374" s="199"/>
      <c r="H374" s="200"/>
      <c r="I374" s="223"/>
      <c r="J374" s="200"/>
      <c r="K374" s="75"/>
      <c r="L374" s="75"/>
      <c r="M374" s="75"/>
      <c r="N374" s="75"/>
      <c r="O374" s="75"/>
      <c r="P374" s="75"/>
      <c r="Q374" s="75"/>
      <c r="R374" s="75"/>
      <c r="S374" s="75"/>
      <c r="T374" s="75"/>
      <c r="U374" s="75"/>
      <c r="V374" s="75"/>
      <c r="W374" s="75"/>
      <c r="X374" s="75"/>
      <c r="Y374" s="75"/>
      <c r="Z374" s="75"/>
      <c r="AA374" s="75"/>
    </row>
    <row r="375" spans="1:27" ht="14.25">
      <c r="A375" s="36"/>
      <c r="B375" s="36" t="s">
        <v>3425</v>
      </c>
      <c r="C375" s="36" t="s">
        <v>3426</v>
      </c>
      <c r="D375" s="204" t="s">
        <v>3416</v>
      </c>
      <c r="E375" s="199"/>
      <c r="F375" s="199"/>
      <c r="G375" s="199"/>
      <c r="H375" s="200"/>
      <c r="I375" s="223" t="s">
        <v>3407</v>
      </c>
      <c r="J375" s="200"/>
      <c r="K375" s="75"/>
      <c r="L375" s="75"/>
      <c r="M375" s="75"/>
      <c r="N375" s="75"/>
      <c r="O375" s="75"/>
      <c r="P375" s="75"/>
      <c r="Q375" s="75"/>
      <c r="R375" s="75"/>
      <c r="S375" s="75"/>
      <c r="T375" s="75"/>
      <c r="U375" s="75"/>
      <c r="V375" s="75"/>
      <c r="W375" s="75"/>
      <c r="X375" s="75"/>
      <c r="Y375" s="75"/>
      <c r="Z375" s="75"/>
      <c r="AA375" s="75"/>
    </row>
    <row r="376" spans="1:27" ht="14.25">
      <c r="A376" s="36"/>
      <c r="B376" s="36" t="s">
        <v>3427</v>
      </c>
      <c r="C376" s="36" t="s">
        <v>3428</v>
      </c>
      <c r="D376" s="204" t="s">
        <v>3416</v>
      </c>
      <c r="E376" s="199"/>
      <c r="F376" s="199"/>
      <c r="G376" s="199"/>
      <c r="H376" s="200"/>
      <c r="I376" s="223" t="s">
        <v>3407</v>
      </c>
      <c r="J376" s="200"/>
      <c r="K376" s="75"/>
      <c r="L376" s="75"/>
      <c r="M376" s="75"/>
      <c r="N376" s="75"/>
      <c r="O376" s="75"/>
      <c r="P376" s="75"/>
      <c r="Q376" s="75"/>
      <c r="R376" s="75"/>
      <c r="S376" s="75"/>
      <c r="T376" s="75"/>
      <c r="U376" s="75"/>
      <c r="V376" s="75"/>
      <c r="W376" s="75"/>
      <c r="X376" s="75"/>
      <c r="Y376" s="75"/>
      <c r="Z376" s="75"/>
      <c r="AA376" s="75"/>
    </row>
    <row r="377" spans="1:27" ht="14.25">
      <c r="A377" s="36"/>
      <c r="B377" s="36" t="s">
        <v>3429</v>
      </c>
      <c r="C377" s="36" t="s">
        <v>3430</v>
      </c>
      <c r="D377" s="204" t="s">
        <v>3431</v>
      </c>
      <c r="E377" s="199"/>
      <c r="F377" s="199"/>
      <c r="G377" s="199"/>
      <c r="H377" s="200"/>
      <c r="I377" s="223" t="s">
        <v>3407</v>
      </c>
      <c r="J377" s="200"/>
      <c r="K377" s="75"/>
      <c r="L377" s="75"/>
      <c r="M377" s="75"/>
      <c r="N377" s="75"/>
      <c r="O377" s="75"/>
      <c r="P377" s="75"/>
      <c r="Q377" s="75"/>
      <c r="R377" s="75"/>
      <c r="S377" s="75"/>
      <c r="T377" s="75"/>
      <c r="U377" s="75"/>
      <c r="V377" s="75"/>
      <c r="W377" s="75"/>
      <c r="X377" s="75"/>
      <c r="Y377" s="75"/>
      <c r="Z377" s="75"/>
      <c r="AA377" s="75"/>
    </row>
    <row r="378" spans="1:27" ht="14.25">
      <c r="A378" s="36"/>
      <c r="B378" s="36" t="s">
        <v>3432</v>
      </c>
      <c r="C378" s="36" t="s">
        <v>3433</v>
      </c>
      <c r="D378" s="204" t="s">
        <v>3416</v>
      </c>
      <c r="E378" s="199"/>
      <c r="F378" s="199"/>
      <c r="G378" s="199"/>
      <c r="H378" s="200"/>
      <c r="I378" s="223" t="s">
        <v>3407</v>
      </c>
      <c r="J378" s="200"/>
      <c r="K378" s="75"/>
      <c r="L378" s="75"/>
      <c r="M378" s="75"/>
      <c r="N378" s="75"/>
      <c r="O378" s="75"/>
      <c r="P378" s="75"/>
      <c r="Q378" s="75"/>
      <c r="R378" s="75"/>
      <c r="S378" s="75"/>
      <c r="T378" s="75"/>
      <c r="U378" s="75"/>
      <c r="V378" s="75"/>
      <c r="W378" s="75"/>
      <c r="X378" s="75"/>
      <c r="Y378" s="75"/>
      <c r="Z378" s="75"/>
      <c r="AA378" s="75"/>
    </row>
    <row r="379" spans="1:27" ht="14.25">
      <c r="A379" s="36"/>
      <c r="B379" s="36" t="s">
        <v>3434</v>
      </c>
      <c r="C379" s="36" t="s">
        <v>3435</v>
      </c>
      <c r="D379" s="204" t="s">
        <v>3436</v>
      </c>
      <c r="E379" s="199"/>
      <c r="F379" s="199"/>
      <c r="G379" s="199"/>
      <c r="H379" s="200"/>
      <c r="I379" s="223" t="s">
        <v>3407</v>
      </c>
      <c r="J379" s="200"/>
      <c r="K379" s="75"/>
      <c r="L379" s="75"/>
      <c r="M379" s="75"/>
      <c r="N379" s="75"/>
      <c r="O379" s="75"/>
      <c r="P379" s="75"/>
      <c r="Q379" s="75"/>
      <c r="R379" s="75"/>
      <c r="S379" s="75"/>
      <c r="T379" s="75"/>
      <c r="U379" s="75"/>
      <c r="V379" s="75"/>
      <c r="W379" s="75"/>
      <c r="X379" s="75"/>
      <c r="Y379" s="75"/>
      <c r="Z379" s="75"/>
      <c r="AA379" s="75"/>
    </row>
    <row r="380" spans="1:27" ht="14.25">
      <c r="A380" s="36"/>
      <c r="B380" s="36" t="s">
        <v>3437</v>
      </c>
      <c r="C380" s="36" t="s">
        <v>556</v>
      </c>
      <c r="D380" s="204" t="s">
        <v>3436</v>
      </c>
      <c r="E380" s="199"/>
      <c r="F380" s="199"/>
      <c r="G380" s="199"/>
      <c r="H380" s="200"/>
      <c r="I380" s="223" t="s">
        <v>3407</v>
      </c>
      <c r="J380" s="200"/>
      <c r="K380" s="75"/>
      <c r="L380" s="75"/>
      <c r="M380" s="75"/>
      <c r="N380" s="75"/>
      <c r="O380" s="75"/>
      <c r="P380" s="75"/>
      <c r="Q380" s="75"/>
      <c r="R380" s="75"/>
      <c r="S380" s="75"/>
      <c r="T380" s="75"/>
      <c r="U380" s="75"/>
      <c r="V380" s="75"/>
      <c r="W380" s="75"/>
      <c r="X380" s="75"/>
      <c r="Y380" s="75"/>
      <c r="Z380" s="75"/>
      <c r="AA380" s="75"/>
    </row>
    <row r="381" spans="1:27" ht="14.25">
      <c r="A381" s="36"/>
      <c r="B381" s="36" t="s">
        <v>3438</v>
      </c>
      <c r="C381" s="36" t="s">
        <v>53</v>
      </c>
      <c r="D381" s="204" t="s">
        <v>3439</v>
      </c>
      <c r="E381" s="199"/>
      <c r="F381" s="199"/>
      <c r="G381" s="199"/>
      <c r="H381" s="200"/>
      <c r="I381" s="223" t="s">
        <v>3407</v>
      </c>
      <c r="J381" s="200"/>
      <c r="K381" s="75"/>
      <c r="L381" s="75"/>
      <c r="M381" s="75"/>
      <c r="N381" s="75"/>
      <c r="O381" s="75"/>
      <c r="P381" s="75"/>
      <c r="Q381" s="75"/>
      <c r="R381" s="75"/>
      <c r="S381" s="75"/>
      <c r="T381" s="75"/>
      <c r="U381" s="75"/>
      <c r="V381" s="75"/>
      <c r="W381" s="75"/>
      <c r="X381" s="75"/>
      <c r="Y381" s="75"/>
      <c r="Z381" s="75"/>
      <c r="AA381" s="75"/>
    </row>
    <row r="382" spans="1:27" ht="14.25">
      <c r="A382" s="36"/>
      <c r="B382" s="36" t="s">
        <v>3414</v>
      </c>
      <c r="C382" s="36" t="s">
        <v>3440</v>
      </c>
      <c r="D382" s="204" t="s">
        <v>3441</v>
      </c>
      <c r="E382" s="199"/>
      <c r="F382" s="199"/>
      <c r="G382" s="199"/>
      <c r="H382" s="200"/>
      <c r="I382" s="223"/>
      <c r="J382" s="200"/>
      <c r="K382" s="75"/>
      <c r="L382" s="75"/>
      <c r="M382" s="75"/>
      <c r="N382" s="75"/>
      <c r="O382" s="75"/>
      <c r="P382" s="75"/>
      <c r="Q382" s="75"/>
      <c r="R382" s="75"/>
      <c r="S382" s="75"/>
      <c r="T382" s="75"/>
      <c r="U382" s="75"/>
      <c r="V382" s="75"/>
      <c r="W382" s="75"/>
      <c r="X382" s="75"/>
      <c r="Y382" s="75"/>
      <c r="Z382" s="75"/>
      <c r="AA382" s="75"/>
    </row>
    <row r="383" spans="1:27" ht="14.25">
      <c r="A383" s="36"/>
      <c r="B383" s="36" t="s">
        <v>3421</v>
      </c>
      <c r="C383" s="36" t="s">
        <v>3442</v>
      </c>
      <c r="D383" s="204" t="s">
        <v>3443</v>
      </c>
      <c r="E383" s="199"/>
      <c r="F383" s="199"/>
      <c r="G383" s="199"/>
      <c r="H383" s="200"/>
      <c r="I383" s="223" t="s">
        <v>3407</v>
      </c>
      <c r="J383" s="200"/>
      <c r="K383" s="75"/>
      <c r="L383" s="75"/>
      <c r="M383" s="75"/>
      <c r="N383" s="75"/>
      <c r="O383" s="75"/>
      <c r="P383" s="75"/>
      <c r="Q383" s="75"/>
      <c r="R383" s="75"/>
      <c r="S383" s="75"/>
      <c r="T383" s="75"/>
      <c r="U383" s="75"/>
      <c r="V383" s="75"/>
      <c r="W383" s="75"/>
      <c r="X383" s="75"/>
      <c r="Y383" s="75"/>
      <c r="Z383" s="75"/>
      <c r="AA383" s="75"/>
    </row>
    <row r="384" spans="1:27" ht="14.25">
      <c r="A384" s="36"/>
      <c r="B384" s="36" t="s">
        <v>3421</v>
      </c>
      <c r="C384" s="36" t="s">
        <v>3444</v>
      </c>
      <c r="D384" s="204" t="s">
        <v>3445</v>
      </c>
      <c r="E384" s="199"/>
      <c r="F384" s="199"/>
      <c r="G384" s="199"/>
      <c r="H384" s="200"/>
      <c r="I384" s="223"/>
      <c r="J384" s="200"/>
      <c r="K384" s="75"/>
      <c r="L384" s="75"/>
      <c r="M384" s="75"/>
      <c r="N384" s="75"/>
      <c r="O384" s="75"/>
      <c r="P384" s="75"/>
      <c r="Q384" s="75"/>
      <c r="R384" s="75"/>
      <c r="S384" s="75"/>
      <c r="T384" s="75"/>
      <c r="U384" s="75"/>
      <c r="V384" s="75"/>
      <c r="W384" s="75"/>
      <c r="X384" s="75"/>
      <c r="Y384" s="75"/>
      <c r="Z384" s="75"/>
      <c r="AA384" s="75"/>
    </row>
    <row r="385" spans="1:27" ht="14.25">
      <c r="A385" s="36"/>
      <c r="B385" s="36" t="s">
        <v>3421</v>
      </c>
      <c r="C385" s="36" t="s">
        <v>3446</v>
      </c>
      <c r="D385" s="204" t="s">
        <v>3445</v>
      </c>
      <c r="E385" s="199"/>
      <c r="F385" s="199"/>
      <c r="G385" s="199"/>
      <c r="H385" s="200"/>
      <c r="I385" s="223"/>
      <c r="J385" s="200"/>
      <c r="K385" s="75"/>
      <c r="L385" s="75"/>
      <c r="M385" s="75"/>
      <c r="N385" s="75"/>
      <c r="O385" s="75"/>
      <c r="P385" s="75"/>
      <c r="Q385" s="75"/>
      <c r="R385" s="75"/>
      <c r="S385" s="75"/>
      <c r="T385" s="75"/>
      <c r="U385" s="75"/>
      <c r="V385" s="75"/>
      <c r="W385" s="75"/>
      <c r="X385" s="75"/>
      <c r="Y385" s="75"/>
      <c r="Z385" s="75"/>
      <c r="AA385" s="75"/>
    </row>
    <row r="386" spans="1:27" ht="14.25">
      <c r="A386" s="36"/>
      <c r="B386" s="36" t="s">
        <v>3421</v>
      </c>
      <c r="C386" s="36" t="s">
        <v>3447</v>
      </c>
      <c r="D386" s="204" t="s">
        <v>3448</v>
      </c>
      <c r="E386" s="199"/>
      <c r="F386" s="199"/>
      <c r="G386" s="199"/>
      <c r="H386" s="200"/>
      <c r="I386" s="223"/>
      <c r="J386" s="200"/>
      <c r="K386" s="75"/>
      <c r="L386" s="75"/>
      <c r="M386" s="75"/>
      <c r="N386" s="75"/>
      <c r="O386" s="75"/>
      <c r="P386" s="75"/>
      <c r="Q386" s="75"/>
      <c r="R386" s="75"/>
      <c r="S386" s="75"/>
      <c r="T386" s="75"/>
      <c r="U386" s="75"/>
      <c r="V386" s="75"/>
      <c r="W386" s="75"/>
      <c r="X386" s="75"/>
      <c r="Y386" s="75"/>
      <c r="Z386" s="75"/>
      <c r="AA386" s="75"/>
    </row>
    <row r="387" spans="1:27" ht="14.25">
      <c r="A387" s="36"/>
      <c r="B387" s="36" t="s">
        <v>3425</v>
      </c>
      <c r="C387" s="36" t="s">
        <v>3449</v>
      </c>
      <c r="D387" s="204" t="s">
        <v>3450</v>
      </c>
      <c r="E387" s="199"/>
      <c r="F387" s="199"/>
      <c r="G387" s="199"/>
      <c r="H387" s="200"/>
      <c r="I387" s="223"/>
      <c r="J387" s="200"/>
      <c r="K387" s="75"/>
      <c r="L387" s="75"/>
      <c r="M387" s="75"/>
      <c r="N387" s="75"/>
      <c r="O387" s="75"/>
      <c r="P387" s="75"/>
      <c r="Q387" s="75"/>
      <c r="R387" s="75"/>
      <c r="S387" s="75"/>
      <c r="T387" s="75"/>
      <c r="U387" s="75"/>
      <c r="V387" s="75"/>
      <c r="W387" s="75"/>
      <c r="X387" s="75"/>
      <c r="Y387" s="75"/>
      <c r="Z387" s="75"/>
      <c r="AA387" s="75"/>
    </row>
    <row r="388" spans="1:27" ht="14.25">
      <c r="A388" s="36"/>
      <c r="B388" s="36" t="s">
        <v>3425</v>
      </c>
      <c r="C388" s="36" t="s">
        <v>3451</v>
      </c>
      <c r="D388" s="204" t="s">
        <v>3450</v>
      </c>
      <c r="E388" s="199"/>
      <c r="F388" s="199"/>
      <c r="G388" s="199"/>
      <c r="H388" s="200"/>
      <c r="I388" s="223"/>
      <c r="J388" s="200"/>
      <c r="K388" s="75"/>
      <c r="L388" s="75"/>
      <c r="M388" s="75"/>
      <c r="N388" s="75"/>
      <c r="O388" s="75"/>
      <c r="P388" s="75"/>
      <c r="Q388" s="75"/>
      <c r="R388" s="75"/>
      <c r="S388" s="75"/>
      <c r="T388" s="75"/>
      <c r="U388" s="75"/>
      <c r="V388" s="75"/>
      <c r="W388" s="75"/>
      <c r="X388" s="75"/>
      <c r="Y388" s="75"/>
      <c r="Z388" s="75"/>
      <c r="AA388" s="75"/>
    </row>
    <row r="389" spans="1:27" ht="14.25">
      <c r="A389" s="36"/>
      <c r="B389" s="36" t="s">
        <v>3421</v>
      </c>
      <c r="C389" s="36" t="s">
        <v>3452</v>
      </c>
      <c r="D389" s="204" t="s">
        <v>3443</v>
      </c>
      <c r="E389" s="199"/>
      <c r="F389" s="199"/>
      <c r="G389" s="199"/>
      <c r="H389" s="200"/>
      <c r="I389" s="223" t="s">
        <v>3453</v>
      </c>
      <c r="J389" s="200"/>
      <c r="K389" s="75"/>
      <c r="L389" s="75"/>
      <c r="M389" s="75"/>
      <c r="N389" s="75"/>
      <c r="O389" s="75"/>
      <c r="P389" s="75"/>
      <c r="Q389" s="75"/>
      <c r="R389" s="75"/>
      <c r="S389" s="75"/>
      <c r="T389" s="75"/>
      <c r="U389" s="75"/>
      <c r="V389" s="75"/>
      <c r="W389" s="75"/>
      <c r="X389" s="75"/>
      <c r="Y389" s="75"/>
      <c r="Z389" s="75"/>
      <c r="AA389" s="75"/>
    </row>
    <row r="390" spans="1:27" ht="14.25">
      <c r="A390" s="36"/>
      <c r="B390" s="36" t="s">
        <v>3454</v>
      </c>
      <c r="C390" s="36" t="s">
        <v>3455</v>
      </c>
      <c r="D390" s="204" t="s">
        <v>3456</v>
      </c>
      <c r="E390" s="199"/>
      <c r="F390" s="199"/>
      <c r="G390" s="199"/>
      <c r="H390" s="200"/>
      <c r="I390" s="223" t="s">
        <v>3457</v>
      </c>
      <c r="J390" s="200"/>
      <c r="K390" s="75"/>
      <c r="L390" s="75"/>
      <c r="M390" s="75"/>
      <c r="N390" s="75"/>
      <c r="O390" s="75"/>
      <c r="P390" s="75"/>
      <c r="Q390" s="75"/>
      <c r="R390" s="75"/>
      <c r="S390" s="75"/>
      <c r="T390" s="75"/>
      <c r="U390" s="75"/>
      <c r="V390" s="75"/>
      <c r="W390" s="75"/>
      <c r="X390" s="75"/>
      <c r="Y390" s="75"/>
      <c r="Z390" s="75"/>
      <c r="AA390" s="75"/>
    </row>
    <row r="391" spans="1:27" ht="14.25">
      <c r="A391" s="36"/>
      <c r="B391" s="36" t="s">
        <v>3454</v>
      </c>
      <c r="C391" s="36"/>
      <c r="D391" s="204" t="s">
        <v>3458</v>
      </c>
      <c r="E391" s="199"/>
      <c r="F391" s="199"/>
      <c r="G391" s="199"/>
      <c r="H391" s="200"/>
      <c r="I391" s="223" t="s">
        <v>3457</v>
      </c>
      <c r="J391" s="200"/>
      <c r="K391" s="75"/>
      <c r="L391" s="75"/>
      <c r="M391" s="75"/>
      <c r="N391" s="75"/>
      <c r="O391" s="75"/>
      <c r="P391" s="75"/>
      <c r="Q391" s="75"/>
      <c r="R391" s="75"/>
      <c r="S391" s="75"/>
      <c r="T391" s="75"/>
      <c r="U391" s="75"/>
      <c r="V391" s="75"/>
      <c r="W391" s="75"/>
      <c r="X391" s="75"/>
      <c r="Y391" s="75"/>
      <c r="Z391" s="75"/>
      <c r="AA391" s="75"/>
    </row>
    <row r="392" spans="1:27" ht="14.25">
      <c r="A392" s="36"/>
      <c r="B392" s="36" t="s">
        <v>3459</v>
      </c>
      <c r="C392" s="36"/>
      <c r="D392" s="204" t="s">
        <v>3460</v>
      </c>
      <c r="E392" s="199"/>
      <c r="F392" s="199"/>
      <c r="G392" s="199"/>
      <c r="H392" s="200"/>
      <c r="I392" s="223" t="s">
        <v>3404</v>
      </c>
      <c r="J392" s="200"/>
      <c r="K392" s="75"/>
      <c r="L392" s="75"/>
      <c r="M392" s="75"/>
      <c r="N392" s="75"/>
      <c r="O392" s="75"/>
      <c r="P392" s="75"/>
      <c r="Q392" s="75"/>
      <c r="R392" s="75"/>
      <c r="S392" s="75"/>
      <c r="T392" s="75"/>
      <c r="U392" s="75"/>
      <c r="V392" s="75"/>
      <c r="W392" s="75"/>
      <c r="X392" s="75"/>
      <c r="Y392" s="75"/>
      <c r="Z392" s="75"/>
      <c r="AA392" s="75"/>
    </row>
    <row r="393" spans="1:27" ht="14.25">
      <c r="A393" s="36"/>
      <c r="B393" s="36"/>
      <c r="C393" s="36"/>
      <c r="D393" s="204" t="s">
        <v>3461</v>
      </c>
      <c r="E393" s="199"/>
      <c r="F393" s="199"/>
      <c r="G393" s="199"/>
      <c r="H393" s="200"/>
      <c r="I393" s="223"/>
      <c r="J393" s="200"/>
      <c r="K393" s="75"/>
      <c r="L393" s="75"/>
      <c r="M393" s="75"/>
      <c r="N393" s="75"/>
      <c r="O393" s="75"/>
      <c r="P393" s="75"/>
      <c r="Q393" s="75"/>
      <c r="R393" s="75"/>
      <c r="S393" s="75"/>
      <c r="T393" s="75"/>
      <c r="U393" s="75"/>
      <c r="V393" s="75"/>
      <c r="W393" s="75"/>
      <c r="X393" s="75"/>
      <c r="Y393" s="75"/>
      <c r="Z393" s="75"/>
      <c r="AA393" s="75"/>
    </row>
    <row r="394" spans="1:27" ht="14.25">
      <c r="A394" s="36"/>
      <c r="B394" s="36"/>
      <c r="C394" s="36"/>
      <c r="D394" s="204" t="s">
        <v>3462</v>
      </c>
      <c r="E394" s="199"/>
      <c r="F394" s="199"/>
      <c r="G394" s="199"/>
      <c r="H394" s="200"/>
      <c r="I394" s="223"/>
      <c r="J394" s="200"/>
      <c r="K394" s="75"/>
      <c r="L394" s="75"/>
      <c r="M394" s="75"/>
      <c r="N394" s="75"/>
      <c r="O394" s="75"/>
      <c r="P394" s="75"/>
      <c r="Q394" s="75"/>
      <c r="R394" s="75"/>
      <c r="S394" s="75"/>
      <c r="T394" s="75"/>
      <c r="U394" s="75"/>
      <c r="V394" s="75"/>
      <c r="W394" s="75"/>
      <c r="X394" s="75"/>
      <c r="Y394" s="75"/>
      <c r="Z394" s="75"/>
      <c r="AA394" s="75"/>
    </row>
    <row r="395" spans="1:27" ht="14.25">
      <c r="A395" s="36"/>
      <c r="B395" s="36"/>
      <c r="C395" s="36"/>
      <c r="D395" s="204" t="s">
        <v>3463</v>
      </c>
      <c r="E395" s="199"/>
      <c r="F395" s="199"/>
      <c r="G395" s="199"/>
      <c r="H395" s="200"/>
      <c r="I395" s="223"/>
      <c r="J395" s="200"/>
      <c r="K395" s="75"/>
      <c r="L395" s="75"/>
      <c r="M395" s="75"/>
      <c r="N395" s="75"/>
      <c r="O395" s="75"/>
      <c r="P395" s="75"/>
      <c r="Q395" s="75"/>
      <c r="R395" s="75"/>
      <c r="S395" s="75"/>
      <c r="T395" s="75"/>
      <c r="U395" s="75"/>
      <c r="V395" s="75"/>
      <c r="W395" s="75"/>
      <c r="X395" s="75"/>
      <c r="Y395" s="75"/>
      <c r="Z395" s="75"/>
      <c r="AA395" s="75"/>
    </row>
    <row r="396" spans="1:27" ht="14.25">
      <c r="A396" s="36"/>
      <c r="B396" s="36" t="s">
        <v>3464</v>
      </c>
      <c r="C396" s="36" t="s">
        <v>2046</v>
      </c>
      <c r="D396" s="204" t="s">
        <v>3465</v>
      </c>
      <c r="E396" s="199"/>
      <c r="F396" s="199"/>
      <c r="G396" s="199"/>
      <c r="H396" s="200"/>
      <c r="I396" s="223" t="s">
        <v>3404</v>
      </c>
      <c r="J396" s="200"/>
      <c r="K396" s="75"/>
      <c r="L396" s="75"/>
      <c r="M396" s="75"/>
      <c r="N396" s="75"/>
      <c r="O396" s="75"/>
      <c r="P396" s="75"/>
      <c r="Q396" s="75"/>
      <c r="R396" s="75"/>
      <c r="S396" s="75"/>
      <c r="T396" s="75"/>
      <c r="U396" s="75"/>
      <c r="V396" s="75"/>
      <c r="W396" s="75"/>
      <c r="X396" s="75"/>
      <c r="Y396" s="75"/>
      <c r="Z396" s="75"/>
      <c r="AA396" s="75"/>
    </row>
    <row r="397" spans="1:27" ht="14.25">
      <c r="A397" s="36"/>
      <c r="B397" s="36" t="s">
        <v>3466</v>
      </c>
      <c r="C397" s="36" t="s">
        <v>2046</v>
      </c>
      <c r="D397" s="204" t="s">
        <v>3465</v>
      </c>
      <c r="E397" s="199"/>
      <c r="F397" s="199"/>
      <c r="G397" s="199"/>
      <c r="H397" s="200"/>
      <c r="I397" s="223" t="s">
        <v>3404</v>
      </c>
      <c r="J397" s="200"/>
      <c r="K397" s="75"/>
      <c r="L397" s="75"/>
      <c r="M397" s="75"/>
      <c r="N397" s="75"/>
      <c r="O397" s="75"/>
      <c r="P397" s="75"/>
      <c r="Q397" s="75"/>
      <c r="R397" s="75"/>
      <c r="S397" s="75"/>
      <c r="T397" s="75"/>
      <c r="U397" s="75"/>
      <c r="V397" s="75"/>
      <c r="W397" s="75"/>
      <c r="X397" s="75"/>
      <c r="Y397" s="75"/>
      <c r="Z397" s="75"/>
      <c r="AA397" s="75"/>
    </row>
    <row r="398" spans="1:27" ht="14.25">
      <c r="A398" s="36"/>
      <c r="B398" s="36" t="s">
        <v>3467</v>
      </c>
      <c r="C398" s="36" t="s">
        <v>3468</v>
      </c>
      <c r="D398" s="204" t="s">
        <v>3465</v>
      </c>
      <c r="E398" s="199"/>
      <c r="F398" s="199"/>
      <c r="G398" s="199"/>
      <c r="H398" s="200"/>
      <c r="I398" s="223" t="s">
        <v>3404</v>
      </c>
      <c r="J398" s="200"/>
      <c r="K398" s="75"/>
      <c r="L398" s="75"/>
      <c r="M398" s="75"/>
      <c r="N398" s="75"/>
      <c r="O398" s="75"/>
      <c r="P398" s="75"/>
      <c r="Q398" s="75"/>
      <c r="R398" s="75"/>
      <c r="S398" s="75"/>
      <c r="T398" s="75"/>
      <c r="U398" s="75"/>
      <c r="V398" s="75"/>
      <c r="W398" s="75"/>
      <c r="X398" s="75"/>
      <c r="Y398" s="75"/>
      <c r="Z398" s="75"/>
      <c r="AA398" s="75"/>
    </row>
    <row r="399" spans="1:27" ht="14.25">
      <c r="A399" s="36" t="s">
        <v>3469</v>
      </c>
      <c r="B399" s="36" t="s">
        <v>3470</v>
      </c>
      <c r="C399" s="36" t="s">
        <v>182</v>
      </c>
      <c r="D399" s="204" t="s">
        <v>3471</v>
      </c>
      <c r="E399" s="199"/>
      <c r="F399" s="199"/>
      <c r="G399" s="199"/>
      <c r="H399" s="200"/>
      <c r="I399" s="223"/>
      <c r="J399" s="200"/>
      <c r="K399" s="75"/>
      <c r="L399" s="75"/>
      <c r="M399" s="75"/>
      <c r="N399" s="75"/>
      <c r="O399" s="75"/>
      <c r="P399" s="75"/>
      <c r="Q399" s="75"/>
      <c r="R399" s="75"/>
      <c r="S399" s="75"/>
      <c r="T399" s="75"/>
      <c r="U399" s="75"/>
      <c r="V399" s="75"/>
      <c r="W399" s="75"/>
      <c r="X399" s="75"/>
      <c r="Y399" s="75"/>
      <c r="Z399" s="75"/>
      <c r="AA399" s="75"/>
    </row>
    <row r="400" spans="1:27" ht="14.25">
      <c r="A400" s="36" t="s">
        <v>3469</v>
      </c>
      <c r="B400" s="36" t="s">
        <v>3472</v>
      </c>
      <c r="C400" s="36" t="s">
        <v>2893</v>
      </c>
      <c r="D400" s="204" t="s">
        <v>3473</v>
      </c>
      <c r="E400" s="199"/>
      <c r="F400" s="199"/>
      <c r="G400" s="199"/>
      <c r="H400" s="200"/>
      <c r="I400" s="223"/>
      <c r="J400" s="200"/>
      <c r="K400" s="75"/>
      <c r="L400" s="75"/>
      <c r="M400" s="75"/>
      <c r="N400" s="75"/>
      <c r="O400" s="75"/>
      <c r="P400" s="75"/>
      <c r="Q400" s="75"/>
      <c r="R400" s="75"/>
      <c r="S400" s="75"/>
      <c r="T400" s="75"/>
      <c r="U400" s="75"/>
      <c r="V400" s="75"/>
      <c r="W400" s="75"/>
      <c r="X400" s="75"/>
      <c r="Y400" s="75"/>
      <c r="Z400" s="75"/>
      <c r="AA400" s="75"/>
    </row>
    <row r="401" spans="1:27" ht="14.25">
      <c r="A401" s="36" t="s">
        <v>3469</v>
      </c>
      <c r="B401" s="36" t="s">
        <v>3474</v>
      </c>
      <c r="C401" s="36" t="s">
        <v>3475</v>
      </c>
      <c r="D401" s="204" t="s">
        <v>3476</v>
      </c>
      <c r="E401" s="199"/>
      <c r="F401" s="199"/>
      <c r="G401" s="199"/>
      <c r="H401" s="200"/>
      <c r="I401" s="223"/>
      <c r="J401" s="200"/>
      <c r="K401" s="75"/>
      <c r="L401" s="75"/>
      <c r="M401" s="75"/>
      <c r="N401" s="75"/>
      <c r="O401" s="75"/>
      <c r="P401" s="75"/>
      <c r="Q401" s="75"/>
      <c r="R401" s="75"/>
      <c r="S401" s="75"/>
      <c r="T401" s="75"/>
      <c r="U401" s="75"/>
      <c r="V401" s="75"/>
      <c r="W401" s="75"/>
      <c r="X401" s="75"/>
      <c r="Y401" s="75"/>
      <c r="Z401" s="75"/>
      <c r="AA401" s="75"/>
    </row>
    <row r="402" spans="1:27" ht="14.25">
      <c r="A402" s="36" t="s">
        <v>3469</v>
      </c>
      <c r="B402" s="36" t="s">
        <v>3477</v>
      </c>
      <c r="C402" s="36"/>
      <c r="D402" s="204" t="s">
        <v>3478</v>
      </c>
      <c r="E402" s="199"/>
      <c r="F402" s="199"/>
      <c r="G402" s="199"/>
      <c r="H402" s="200"/>
      <c r="I402" s="223"/>
      <c r="J402" s="200"/>
      <c r="K402" s="75"/>
      <c r="L402" s="75"/>
      <c r="M402" s="75"/>
      <c r="N402" s="75"/>
      <c r="O402" s="75"/>
      <c r="P402" s="75"/>
      <c r="Q402" s="75"/>
      <c r="R402" s="75"/>
      <c r="S402" s="75"/>
      <c r="T402" s="75"/>
      <c r="U402" s="75"/>
      <c r="V402" s="75"/>
      <c r="W402" s="75"/>
      <c r="X402" s="75"/>
      <c r="Y402" s="75"/>
      <c r="Z402" s="75"/>
      <c r="AA402" s="75"/>
    </row>
    <row r="403" spans="1:27" ht="14.25">
      <c r="A403" s="36" t="s">
        <v>3469</v>
      </c>
      <c r="B403" s="36" t="s">
        <v>3479</v>
      </c>
      <c r="C403" s="36"/>
      <c r="D403" s="204" t="s">
        <v>3480</v>
      </c>
      <c r="E403" s="199"/>
      <c r="F403" s="199"/>
      <c r="G403" s="199"/>
      <c r="H403" s="200"/>
      <c r="I403" s="223" t="s">
        <v>3481</v>
      </c>
      <c r="J403" s="200"/>
      <c r="K403" s="75"/>
      <c r="L403" s="75"/>
      <c r="M403" s="75"/>
      <c r="N403" s="75"/>
      <c r="O403" s="75"/>
      <c r="P403" s="75"/>
      <c r="Q403" s="75"/>
      <c r="R403" s="75"/>
      <c r="S403" s="75"/>
      <c r="T403" s="75"/>
      <c r="U403" s="75"/>
      <c r="V403" s="75"/>
      <c r="W403" s="75"/>
      <c r="X403" s="75"/>
      <c r="Y403" s="75"/>
      <c r="Z403" s="75"/>
      <c r="AA403" s="75"/>
    </row>
    <row r="404" spans="1:27" ht="14.25">
      <c r="A404" s="36" t="s">
        <v>3469</v>
      </c>
      <c r="B404" s="36" t="s">
        <v>3482</v>
      </c>
      <c r="C404" s="36"/>
      <c r="D404" s="204"/>
      <c r="E404" s="199"/>
      <c r="F404" s="199"/>
      <c r="G404" s="199"/>
      <c r="H404" s="200"/>
      <c r="I404" s="223"/>
      <c r="J404" s="200"/>
      <c r="K404" s="75"/>
      <c r="L404" s="75"/>
      <c r="M404" s="75"/>
      <c r="N404" s="75"/>
      <c r="O404" s="75"/>
      <c r="P404" s="75"/>
      <c r="Q404" s="75"/>
      <c r="R404" s="75"/>
      <c r="S404" s="75"/>
      <c r="T404" s="75"/>
      <c r="U404" s="75"/>
      <c r="V404" s="75"/>
      <c r="W404" s="75"/>
      <c r="X404" s="75"/>
      <c r="Y404" s="75"/>
      <c r="Z404" s="75"/>
      <c r="AA404" s="75"/>
    </row>
    <row r="405" spans="1:27" ht="14.25">
      <c r="A405" s="36" t="s">
        <v>3469</v>
      </c>
      <c r="B405" s="36">
        <v>26</v>
      </c>
      <c r="C405" s="36"/>
      <c r="D405" s="204" t="s">
        <v>3483</v>
      </c>
      <c r="E405" s="199"/>
      <c r="F405" s="199"/>
      <c r="G405" s="199"/>
      <c r="H405" s="200"/>
      <c r="I405" s="223"/>
      <c r="J405" s="200"/>
      <c r="K405" s="75"/>
      <c r="L405" s="75"/>
      <c r="M405" s="75"/>
      <c r="N405" s="75"/>
      <c r="O405" s="75"/>
      <c r="P405" s="75"/>
      <c r="Q405" s="75"/>
      <c r="R405" s="75"/>
      <c r="S405" s="75"/>
      <c r="T405" s="75"/>
      <c r="U405" s="75"/>
      <c r="V405" s="75"/>
      <c r="W405" s="75"/>
      <c r="X405" s="75"/>
      <c r="Y405" s="75"/>
      <c r="Z405" s="75"/>
      <c r="AA405" s="75"/>
    </row>
    <row r="406" spans="1:27" ht="14.25">
      <c r="A406" s="36"/>
      <c r="B406" s="36"/>
      <c r="C406" s="36"/>
      <c r="D406" s="204"/>
      <c r="E406" s="199"/>
      <c r="F406" s="199"/>
      <c r="G406" s="199"/>
      <c r="H406" s="200"/>
      <c r="I406" s="223"/>
      <c r="J406" s="200"/>
      <c r="K406" s="75"/>
      <c r="L406" s="75"/>
      <c r="M406" s="75"/>
      <c r="N406" s="75"/>
      <c r="O406" s="75"/>
      <c r="P406" s="75"/>
      <c r="Q406" s="75"/>
      <c r="R406" s="75"/>
      <c r="S406" s="75"/>
      <c r="T406" s="75"/>
      <c r="U406" s="75"/>
      <c r="V406" s="75"/>
      <c r="W406" s="75"/>
      <c r="X406" s="75"/>
      <c r="Y406" s="75"/>
      <c r="Z406" s="75"/>
      <c r="AA406" s="75"/>
    </row>
    <row r="407" spans="1:27" ht="14.25">
      <c r="A407" s="36"/>
      <c r="B407" s="36"/>
      <c r="C407" s="36"/>
      <c r="D407" s="204"/>
      <c r="E407" s="199"/>
      <c r="F407" s="199"/>
      <c r="G407" s="199"/>
      <c r="H407" s="200"/>
      <c r="I407" s="223"/>
      <c r="J407" s="200"/>
      <c r="K407" s="75"/>
      <c r="L407" s="75"/>
      <c r="M407" s="75"/>
      <c r="N407" s="75"/>
      <c r="O407" s="75"/>
      <c r="P407" s="75"/>
      <c r="Q407" s="75"/>
      <c r="R407" s="75"/>
      <c r="S407" s="75"/>
      <c r="T407" s="75"/>
      <c r="U407" s="75"/>
      <c r="V407" s="75"/>
      <c r="W407" s="75"/>
      <c r="X407" s="75"/>
      <c r="Y407" s="75"/>
      <c r="Z407" s="75"/>
      <c r="AA407" s="75"/>
    </row>
    <row r="408" spans="1:27" ht="14.25">
      <c r="A408" s="36"/>
      <c r="B408" s="36"/>
      <c r="C408" s="36"/>
      <c r="D408" s="204"/>
      <c r="E408" s="199"/>
      <c r="F408" s="199"/>
      <c r="G408" s="199"/>
      <c r="H408" s="200"/>
      <c r="I408" s="223"/>
      <c r="J408" s="200"/>
      <c r="K408" s="75"/>
      <c r="L408" s="75"/>
      <c r="M408" s="75"/>
      <c r="N408" s="75"/>
      <c r="O408" s="75"/>
      <c r="P408" s="75"/>
      <c r="Q408" s="75"/>
      <c r="R408" s="75"/>
      <c r="S408" s="75"/>
      <c r="T408" s="75"/>
      <c r="U408" s="75"/>
      <c r="V408" s="75"/>
      <c r="W408" s="75"/>
      <c r="X408" s="75"/>
      <c r="Y408" s="75"/>
      <c r="Z408" s="75"/>
      <c r="AA408" s="75"/>
    </row>
    <row r="409" spans="1:27" ht="14.25">
      <c r="A409" s="36"/>
      <c r="B409" s="36"/>
      <c r="C409" s="36"/>
      <c r="D409" s="204"/>
      <c r="E409" s="199"/>
      <c r="F409" s="199"/>
      <c r="G409" s="199"/>
      <c r="H409" s="200"/>
      <c r="I409" s="223"/>
      <c r="J409" s="200"/>
      <c r="K409" s="75"/>
      <c r="L409" s="75"/>
      <c r="M409" s="75"/>
      <c r="N409" s="75"/>
      <c r="O409" s="75"/>
      <c r="P409" s="75"/>
      <c r="Q409" s="75"/>
      <c r="R409" s="75"/>
      <c r="S409" s="75"/>
      <c r="T409" s="75"/>
      <c r="U409" s="75"/>
      <c r="V409" s="75"/>
      <c r="W409" s="75"/>
      <c r="X409" s="75"/>
      <c r="Y409" s="75"/>
      <c r="Z409" s="75"/>
      <c r="AA409" s="75"/>
    </row>
    <row r="410" spans="1:27" ht="14.25">
      <c r="A410" s="36"/>
      <c r="B410" s="36"/>
      <c r="C410" s="36"/>
      <c r="D410" s="204"/>
      <c r="E410" s="199"/>
      <c r="F410" s="199"/>
      <c r="G410" s="199"/>
      <c r="H410" s="200"/>
      <c r="I410" s="223"/>
      <c r="J410" s="200"/>
      <c r="K410" s="75"/>
      <c r="L410" s="75"/>
      <c r="M410" s="75"/>
      <c r="N410" s="75"/>
      <c r="O410" s="75"/>
      <c r="P410" s="75"/>
      <c r="Q410" s="75"/>
      <c r="R410" s="75"/>
      <c r="S410" s="75"/>
      <c r="T410" s="75"/>
      <c r="U410" s="75"/>
      <c r="V410" s="75"/>
      <c r="W410" s="75"/>
      <c r="X410" s="75"/>
      <c r="Y410" s="75"/>
      <c r="Z410" s="75"/>
      <c r="AA410" s="75"/>
    </row>
    <row r="411" spans="1:27" ht="14.25">
      <c r="A411" s="36"/>
      <c r="B411" s="36"/>
      <c r="C411" s="36"/>
      <c r="D411" s="204"/>
      <c r="E411" s="199"/>
      <c r="F411" s="199"/>
      <c r="G411" s="199"/>
      <c r="H411" s="200"/>
      <c r="I411" s="223"/>
      <c r="J411" s="200"/>
      <c r="K411" s="75"/>
      <c r="L411" s="75"/>
      <c r="M411" s="75"/>
      <c r="N411" s="75"/>
      <c r="O411" s="75"/>
      <c r="P411" s="75"/>
      <c r="Q411" s="75"/>
      <c r="R411" s="75"/>
      <c r="S411" s="75"/>
      <c r="T411" s="75"/>
      <c r="U411" s="75"/>
      <c r="V411" s="75"/>
      <c r="W411" s="75"/>
      <c r="X411" s="75"/>
      <c r="Y411" s="75"/>
      <c r="Z411" s="75"/>
      <c r="AA411" s="75"/>
    </row>
    <row r="412" spans="1:27" ht="14.25">
      <c r="A412" s="36"/>
      <c r="B412" s="36"/>
      <c r="C412" s="36"/>
      <c r="D412" s="204"/>
      <c r="E412" s="199"/>
      <c r="F412" s="199"/>
      <c r="G412" s="199"/>
      <c r="H412" s="200"/>
      <c r="I412" s="223"/>
      <c r="J412" s="200"/>
      <c r="K412" s="75"/>
      <c r="L412" s="75"/>
      <c r="M412" s="75"/>
      <c r="N412" s="75"/>
      <c r="O412" s="75"/>
      <c r="P412" s="75"/>
      <c r="Q412" s="75"/>
      <c r="R412" s="75"/>
      <c r="S412" s="75"/>
      <c r="T412" s="75"/>
      <c r="U412" s="75"/>
      <c r="V412" s="75"/>
      <c r="W412" s="75"/>
      <c r="X412" s="75"/>
      <c r="Y412" s="75"/>
      <c r="Z412" s="75"/>
      <c r="AA412" s="75"/>
    </row>
    <row r="413" spans="1:27" ht="14.25">
      <c r="A413" s="36"/>
      <c r="B413" s="36"/>
      <c r="C413" s="36"/>
      <c r="D413" s="204"/>
      <c r="E413" s="199"/>
      <c r="F413" s="199"/>
      <c r="G413" s="199"/>
      <c r="H413" s="200"/>
      <c r="I413" s="223"/>
      <c r="J413" s="200"/>
      <c r="K413" s="75"/>
      <c r="L413" s="75"/>
      <c r="M413" s="75"/>
      <c r="N413" s="75"/>
      <c r="O413" s="75"/>
      <c r="P413" s="75"/>
      <c r="Q413" s="75"/>
      <c r="R413" s="75"/>
      <c r="S413" s="75"/>
      <c r="T413" s="75"/>
      <c r="U413" s="75"/>
      <c r="V413" s="75"/>
      <c r="W413" s="75"/>
      <c r="X413" s="75"/>
      <c r="Y413" s="75"/>
      <c r="Z413" s="75"/>
      <c r="AA413" s="75"/>
    </row>
    <row r="414" spans="1:27" ht="14.25">
      <c r="A414" s="36"/>
      <c r="B414" s="36"/>
      <c r="C414" s="36"/>
      <c r="D414" s="204"/>
      <c r="E414" s="199"/>
      <c r="F414" s="199"/>
      <c r="G414" s="199"/>
      <c r="H414" s="200"/>
      <c r="I414" s="223"/>
      <c r="J414" s="200"/>
      <c r="K414" s="75"/>
      <c r="L414" s="75"/>
      <c r="M414" s="75"/>
      <c r="N414" s="75"/>
      <c r="O414" s="75"/>
      <c r="P414" s="75"/>
      <c r="Q414" s="75"/>
      <c r="R414" s="75"/>
      <c r="S414" s="75"/>
      <c r="T414" s="75"/>
      <c r="U414" s="75"/>
      <c r="V414" s="75"/>
      <c r="W414" s="75"/>
      <c r="X414" s="75"/>
      <c r="Y414" s="75"/>
      <c r="Z414" s="75"/>
      <c r="AA414" s="75"/>
    </row>
    <row r="415" spans="1:27" ht="14.25">
      <c r="A415" s="36"/>
      <c r="B415" s="36"/>
      <c r="C415" s="36"/>
      <c r="D415" s="204"/>
      <c r="E415" s="199"/>
      <c r="F415" s="199"/>
      <c r="G415" s="199"/>
      <c r="H415" s="200"/>
      <c r="I415" s="223"/>
      <c r="J415" s="200"/>
      <c r="K415" s="75"/>
      <c r="L415" s="75"/>
      <c r="M415" s="75"/>
      <c r="N415" s="75"/>
      <c r="O415" s="75"/>
      <c r="P415" s="75"/>
      <c r="Q415" s="75"/>
      <c r="R415" s="75"/>
      <c r="S415" s="75"/>
      <c r="T415" s="75"/>
      <c r="U415" s="75"/>
      <c r="V415" s="75"/>
      <c r="W415" s="75"/>
      <c r="X415" s="75"/>
      <c r="Y415" s="75"/>
      <c r="Z415" s="75"/>
      <c r="AA415" s="75"/>
    </row>
    <row r="416" spans="1:27" ht="14.25">
      <c r="A416" s="36"/>
      <c r="B416" s="36"/>
      <c r="C416" s="36"/>
      <c r="D416" s="204"/>
      <c r="E416" s="199"/>
      <c r="F416" s="199"/>
      <c r="G416" s="199"/>
      <c r="H416" s="200"/>
      <c r="I416" s="223"/>
      <c r="J416" s="200"/>
      <c r="K416" s="75"/>
      <c r="L416" s="75"/>
      <c r="M416" s="75"/>
      <c r="N416" s="75"/>
      <c r="O416" s="75"/>
      <c r="P416" s="75"/>
      <c r="Q416" s="75"/>
      <c r="R416" s="75"/>
      <c r="S416" s="75"/>
      <c r="T416" s="75"/>
      <c r="U416" s="75"/>
      <c r="V416" s="75"/>
      <c r="W416" s="75"/>
      <c r="X416" s="75"/>
      <c r="Y416" s="75"/>
      <c r="Z416" s="75"/>
      <c r="AA416" s="75"/>
    </row>
    <row r="417" spans="1:27" ht="14.25">
      <c r="A417" s="36"/>
      <c r="B417" s="36"/>
      <c r="C417" s="36"/>
      <c r="D417" s="204"/>
      <c r="E417" s="199"/>
      <c r="F417" s="199"/>
      <c r="G417" s="199"/>
      <c r="H417" s="200"/>
      <c r="I417" s="223"/>
      <c r="J417" s="200"/>
      <c r="K417" s="75"/>
      <c r="L417" s="75"/>
      <c r="M417" s="75"/>
      <c r="N417" s="75"/>
      <c r="O417" s="75"/>
      <c r="P417" s="75"/>
      <c r="Q417" s="75"/>
      <c r="R417" s="75"/>
      <c r="S417" s="75"/>
      <c r="T417" s="75"/>
      <c r="U417" s="75"/>
      <c r="V417" s="75"/>
      <c r="W417" s="75"/>
      <c r="X417" s="75"/>
      <c r="Y417" s="75"/>
      <c r="Z417" s="75"/>
      <c r="AA417" s="75"/>
    </row>
    <row r="418" spans="1:27" ht="14.25">
      <c r="A418" s="36"/>
      <c r="B418" s="36"/>
      <c r="C418" s="36"/>
      <c r="D418" s="204"/>
      <c r="E418" s="199"/>
      <c r="F418" s="199"/>
      <c r="G418" s="199"/>
      <c r="H418" s="200"/>
      <c r="I418" s="223"/>
      <c r="J418" s="200"/>
      <c r="K418" s="75"/>
      <c r="L418" s="75"/>
      <c r="M418" s="75"/>
      <c r="N418" s="75"/>
      <c r="O418" s="75"/>
      <c r="P418" s="75"/>
      <c r="Q418" s="75"/>
      <c r="R418" s="75"/>
      <c r="S418" s="75"/>
      <c r="T418" s="75"/>
      <c r="U418" s="75"/>
      <c r="V418" s="75"/>
      <c r="W418" s="75"/>
      <c r="X418" s="75"/>
      <c r="Y418" s="75"/>
      <c r="Z418" s="75"/>
      <c r="AA418" s="75"/>
    </row>
    <row r="419" spans="1:27" ht="14.25">
      <c r="A419" s="36"/>
      <c r="B419" s="36"/>
      <c r="C419" s="36"/>
      <c r="D419" s="204"/>
      <c r="E419" s="199"/>
      <c r="F419" s="199"/>
      <c r="G419" s="199"/>
      <c r="H419" s="200"/>
      <c r="I419" s="223"/>
      <c r="J419" s="200"/>
      <c r="K419" s="75"/>
      <c r="L419" s="75"/>
      <c r="M419" s="75"/>
      <c r="N419" s="75"/>
      <c r="O419" s="75"/>
      <c r="P419" s="75"/>
      <c r="Q419" s="75"/>
      <c r="R419" s="75"/>
      <c r="S419" s="75"/>
      <c r="T419" s="75"/>
      <c r="U419" s="75"/>
      <c r="V419" s="75"/>
      <c r="W419" s="75"/>
      <c r="X419" s="75"/>
      <c r="Y419" s="75"/>
      <c r="Z419" s="75"/>
      <c r="AA419" s="75"/>
    </row>
    <row r="420" spans="1:27" ht="14.25">
      <c r="A420" s="36"/>
      <c r="B420" s="36"/>
      <c r="C420" s="36"/>
      <c r="D420" s="204"/>
      <c r="E420" s="199"/>
      <c r="F420" s="199"/>
      <c r="G420" s="199"/>
      <c r="H420" s="200"/>
      <c r="I420" s="223"/>
      <c r="J420" s="200"/>
      <c r="K420" s="75"/>
      <c r="L420" s="75"/>
      <c r="M420" s="75"/>
      <c r="N420" s="75"/>
      <c r="O420" s="75"/>
      <c r="P420" s="75"/>
      <c r="Q420" s="75"/>
      <c r="R420" s="75"/>
      <c r="S420" s="75"/>
      <c r="T420" s="75"/>
      <c r="U420" s="75"/>
      <c r="V420" s="75"/>
      <c r="W420" s="75"/>
      <c r="X420" s="75"/>
      <c r="Y420" s="75"/>
      <c r="Z420" s="75"/>
      <c r="AA420" s="75"/>
    </row>
    <row r="421" spans="1:27" ht="14.25">
      <c r="A421" s="36"/>
      <c r="B421" s="36"/>
      <c r="C421" s="36"/>
      <c r="D421" s="204"/>
      <c r="E421" s="199"/>
      <c r="F421" s="199"/>
      <c r="G421" s="199"/>
      <c r="H421" s="200"/>
      <c r="I421" s="223"/>
      <c r="J421" s="200"/>
      <c r="K421" s="75"/>
      <c r="L421" s="75"/>
      <c r="M421" s="75"/>
      <c r="N421" s="75"/>
      <c r="O421" s="75"/>
      <c r="P421" s="75"/>
      <c r="Q421" s="75"/>
      <c r="R421" s="75"/>
      <c r="S421" s="75"/>
      <c r="T421" s="75"/>
      <c r="U421" s="75"/>
      <c r="V421" s="75"/>
      <c r="W421" s="75"/>
      <c r="X421" s="75"/>
      <c r="Y421" s="75"/>
      <c r="Z421" s="75"/>
      <c r="AA421" s="75"/>
    </row>
    <row r="422" spans="1:27" ht="14.25">
      <c r="A422" s="36"/>
      <c r="B422" s="36"/>
      <c r="C422" s="36"/>
      <c r="D422" s="204"/>
      <c r="E422" s="199"/>
      <c r="F422" s="199"/>
      <c r="G422" s="199"/>
      <c r="H422" s="200"/>
      <c r="I422" s="223"/>
      <c r="J422" s="200"/>
      <c r="K422" s="75"/>
      <c r="L422" s="75"/>
      <c r="M422" s="75"/>
      <c r="N422" s="75"/>
      <c r="O422" s="75"/>
      <c r="P422" s="75"/>
      <c r="Q422" s="75"/>
      <c r="R422" s="75"/>
      <c r="S422" s="75"/>
      <c r="T422" s="75"/>
      <c r="U422" s="75"/>
      <c r="V422" s="75"/>
      <c r="W422" s="75"/>
      <c r="X422" s="75"/>
      <c r="Y422" s="75"/>
      <c r="Z422" s="75"/>
      <c r="AA422" s="75"/>
    </row>
    <row r="423" spans="1:27" ht="14.25">
      <c r="A423" s="36"/>
      <c r="B423" s="36"/>
      <c r="C423" s="36"/>
      <c r="D423" s="204"/>
      <c r="E423" s="199"/>
      <c r="F423" s="199"/>
      <c r="G423" s="199"/>
      <c r="H423" s="200"/>
      <c r="I423" s="223"/>
      <c r="J423" s="200"/>
      <c r="K423" s="75"/>
      <c r="L423" s="75"/>
      <c r="M423" s="75"/>
      <c r="N423" s="75"/>
      <c r="O423" s="75"/>
      <c r="P423" s="75"/>
      <c r="Q423" s="75"/>
      <c r="R423" s="75"/>
      <c r="S423" s="75"/>
      <c r="T423" s="75"/>
      <c r="U423" s="75"/>
      <c r="V423" s="75"/>
      <c r="W423" s="75"/>
      <c r="X423" s="75"/>
      <c r="Y423" s="75"/>
      <c r="Z423" s="75"/>
      <c r="AA423" s="75"/>
    </row>
    <row r="424" spans="1:27" ht="14.25">
      <c r="A424" s="36"/>
      <c r="B424" s="36"/>
      <c r="C424" s="36"/>
      <c r="D424" s="204"/>
      <c r="E424" s="199"/>
      <c r="F424" s="199"/>
      <c r="G424" s="199"/>
      <c r="H424" s="200"/>
      <c r="I424" s="223"/>
      <c r="J424" s="200"/>
      <c r="K424" s="75"/>
      <c r="L424" s="75"/>
      <c r="M424" s="75"/>
      <c r="N424" s="75"/>
      <c r="O424" s="75"/>
      <c r="P424" s="75"/>
      <c r="Q424" s="75"/>
      <c r="R424" s="75"/>
      <c r="S424" s="75"/>
      <c r="T424" s="75"/>
      <c r="U424" s="75"/>
      <c r="V424" s="75"/>
      <c r="W424" s="75"/>
      <c r="X424" s="75"/>
      <c r="Y424" s="75"/>
      <c r="Z424" s="75"/>
      <c r="AA424" s="75"/>
    </row>
    <row r="425" spans="1:27" ht="14.25">
      <c r="A425" s="36"/>
      <c r="B425" s="36"/>
      <c r="C425" s="36"/>
      <c r="D425" s="204"/>
      <c r="E425" s="199"/>
      <c r="F425" s="199"/>
      <c r="G425" s="199"/>
      <c r="H425" s="200"/>
      <c r="I425" s="223"/>
      <c r="J425" s="200"/>
      <c r="K425" s="75"/>
      <c r="L425" s="75"/>
      <c r="M425" s="75"/>
      <c r="N425" s="75"/>
      <c r="O425" s="75"/>
      <c r="P425" s="75"/>
      <c r="Q425" s="75"/>
      <c r="R425" s="75"/>
      <c r="S425" s="75"/>
      <c r="T425" s="75"/>
      <c r="U425" s="75"/>
      <c r="V425" s="75"/>
      <c r="W425" s="75"/>
      <c r="X425" s="75"/>
      <c r="Y425" s="75"/>
      <c r="Z425" s="75"/>
      <c r="AA425" s="75"/>
    </row>
    <row r="426" spans="1:27" ht="14.25">
      <c r="A426" s="36"/>
      <c r="B426" s="36"/>
      <c r="C426" s="36"/>
      <c r="D426" s="204"/>
      <c r="E426" s="199"/>
      <c r="F426" s="199"/>
      <c r="G426" s="199"/>
      <c r="H426" s="200"/>
      <c r="I426" s="223"/>
      <c r="J426" s="200"/>
      <c r="K426" s="75"/>
      <c r="L426" s="75"/>
      <c r="M426" s="75"/>
      <c r="N426" s="75"/>
      <c r="O426" s="75"/>
      <c r="P426" s="75"/>
      <c r="Q426" s="75"/>
      <c r="R426" s="75"/>
      <c r="S426" s="75"/>
      <c r="T426" s="75"/>
      <c r="U426" s="75"/>
      <c r="V426" s="75"/>
      <c r="W426" s="75"/>
      <c r="X426" s="75"/>
      <c r="Y426" s="75"/>
      <c r="Z426" s="75"/>
      <c r="AA426" s="75"/>
    </row>
    <row r="427" spans="1:27" ht="14.25">
      <c r="A427" s="36"/>
      <c r="B427" s="36"/>
      <c r="C427" s="36"/>
      <c r="D427" s="204"/>
      <c r="E427" s="199"/>
      <c r="F427" s="199"/>
      <c r="G427" s="199"/>
      <c r="H427" s="200"/>
      <c r="I427" s="223"/>
      <c r="J427" s="200"/>
      <c r="K427" s="75"/>
      <c r="L427" s="75"/>
      <c r="M427" s="75"/>
      <c r="N427" s="75"/>
      <c r="O427" s="75"/>
      <c r="P427" s="75"/>
      <c r="Q427" s="75"/>
      <c r="R427" s="75"/>
      <c r="S427" s="75"/>
      <c r="T427" s="75"/>
      <c r="U427" s="75"/>
      <c r="V427" s="75"/>
      <c r="W427" s="75"/>
      <c r="X427" s="75"/>
      <c r="Y427" s="75"/>
      <c r="Z427" s="75"/>
      <c r="AA427" s="75"/>
    </row>
    <row r="428" spans="1:27" ht="14.25">
      <c r="A428" s="36"/>
      <c r="B428" s="36"/>
      <c r="C428" s="36"/>
      <c r="D428" s="204"/>
      <c r="E428" s="199"/>
      <c r="F428" s="199"/>
      <c r="G428" s="199"/>
      <c r="H428" s="200"/>
      <c r="I428" s="223"/>
      <c r="J428" s="200"/>
      <c r="K428" s="75"/>
      <c r="L428" s="75"/>
      <c r="M428" s="75"/>
      <c r="N428" s="75"/>
      <c r="O428" s="75"/>
      <c r="P428" s="75"/>
      <c r="Q428" s="75"/>
      <c r="R428" s="75"/>
      <c r="S428" s="75"/>
      <c r="T428" s="75"/>
      <c r="U428" s="75"/>
      <c r="V428" s="75"/>
      <c r="W428" s="75"/>
      <c r="X428" s="75"/>
      <c r="Y428" s="75"/>
      <c r="Z428" s="75"/>
      <c r="AA428" s="75"/>
    </row>
    <row r="429" spans="1:27" ht="14.25">
      <c r="A429" s="36"/>
      <c r="B429" s="36"/>
      <c r="C429" s="36"/>
      <c r="D429" s="204"/>
      <c r="E429" s="199"/>
      <c r="F429" s="199"/>
      <c r="G429" s="199"/>
      <c r="H429" s="200"/>
      <c r="I429" s="223"/>
      <c r="J429" s="200"/>
      <c r="K429" s="75"/>
      <c r="L429" s="75"/>
      <c r="M429" s="75"/>
      <c r="N429" s="75"/>
      <c r="O429" s="75"/>
      <c r="P429" s="75"/>
      <c r="Q429" s="75"/>
      <c r="R429" s="75"/>
      <c r="S429" s="75"/>
      <c r="T429" s="75"/>
      <c r="U429" s="75"/>
      <c r="V429" s="75"/>
      <c r="W429" s="75"/>
      <c r="X429" s="75"/>
      <c r="Y429" s="75"/>
      <c r="Z429" s="75"/>
      <c r="AA429" s="75"/>
    </row>
    <row r="430" spans="1:27" ht="14.25">
      <c r="A430" s="36"/>
      <c r="B430" s="36"/>
      <c r="C430" s="36"/>
      <c r="D430" s="204"/>
      <c r="E430" s="199"/>
      <c r="F430" s="199"/>
      <c r="G430" s="199"/>
      <c r="H430" s="200"/>
      <c r="I430" s="223"/>
      <c r="J430" s="200"/>
      <c r="K430" s="75"/>
      <c r="L430" s="75"/>
      <c r="M430" s="75"/>
      <c r="N430" s="75"/>
      <c r="O430" s="75"/>
      <c r="P430" s="75"/>
      <c r="Q430" s="75"/>
      <c r="R430" s="75"/>
      <c r="S430" s="75"/>
      <c r="T430" s="75"/>
      <c r="U430" s="75"/>
      <c r="V430" s="75"/>
      <c r="W430" s="75"/>
      <c r="X430" s="75"/>
      <c r="Y430" s="75"/>
      <c r="Z430" s="75"/>
      <c r="AA430" s="75"/>
    </row>
    <row r="431" spans="1:27" ht="14.25">
      <c r="A431" s="36"/>
      <c r="B431" s="36"/>
      <c r="C431" s="36"/>
      <c r="D431" s="204"/>
      <c r="E431" s="199"/>
      <c r="F431" s="199"/>
      <c r="G431" s="199"/>
      <c r="H431" s="200"/>
      <c r="I431" s="223"/>
      <c r="J431" s="200"/>
      <c r="K431" s="75"/>
      <c r="L431" s="75"/>
      <c r="M431" s="75"/>
      <c r="N431" s="75"/>
      <c r="O431" s="75"/>
      <c r="P431" s="75"/>
      <c r="Q431" s="75"/>
      <c r="R431" s="75"/>
      <c r="S431" s="75"/>
      <c r="T431" s="75"/>
      <c r="U431" s="75"/>
      <c r="V431" s="75"/>
      <c r="W431" s="75"/>
      <c r="X431" s="75"/>
      <c r="Y431" s="75"/>
      <c r="Z431" s="75"/>
      <c r="AA431" s="75"/>
    </row>
    <row r="432" spans="1:27" ht="14.25">
      <c r="A432" s="36"/>
      <c r="B432" s="36"/>
      <c r="C432" s="36"/>
      <c r="D432" s="204"/>
      <c r="E432" s="199"/>
      <c r="F432" s="199"/>
      <c r="G432" s="199"/>
      <c r="H432" s="200"/>
      <c r="I432" s="223"/>
      <c r="J432" s="200"/>
      <c r="K432" s="75"/>
      <c r="L432" s="75"/>
      <c r="M432" s="75"/>
      <c r="N432" s="75"/>
      <c r="O432" s="75"/>
      <c r="P432" s="75"/>
      <c r="Q432" s="75"/>
      <c r="R432" s="75"/>
      <c r="S432" s="75"/>
      <c r="T432" s="75"/>
      <c r="U432" s="75"/>
      <c r="V432" s="75"/>
      <c r="W432" s="75"/>
      <c r="X432" s="75"/>
      <c r="Y432" s="75"/>
      <c r="Z432" s="75"/>
      <c r="AA432" s="75"/>
    </row>
    <row r="433" spans="1:27" ht="14.25">
      <c r="A433" s="36"/>
      <c r="B433" s="36"/>
      <c r="C433" s="36"/>
      <c r="D433" s="204"/>
      <c r="E433" s="199"/>
      <c r="F433" s="199"/>
      <c r="G433" s="199"/>
      <c r="H433" s="200"/>
      <c r="I433" s="223"/>
      <c r="J433" s="200"/>
      <c r="K433" s="75"/>
      <c r="L433" s="75"/>
      <c r="M433" s="75"/>
      <c r="N433" s="75"/>
      <c r="O433" s="75"/>
      <c r="P433" s="75"/>
      <c r="Q433" s="75"/>
      <c r="R433" s="75"/>
      <c r="S433" s="75"/>
      <c r="T433" s="75"/>
      <c r="U433" s="75"/>
      <c r="V433" s="75"/>
      <c r="W433" s="75"/>
      <c r="X433" s="75"/>
      <c r="Y433" s="75"/>
      <c r="Z433" s="75"/>
      <c r="AA433" s="75"/>
    </row>
    <row r="434" spans="1:27" ht="14.25">
      <c r="A434" s="36"/>
      <c r="B434" s="36"/>
      <c r="C434" s="36"/>
      <c r="D434" s="204"/>
      <c r="E434" s="199"/>
      <c r="F434" s="199"/>
      <c r="G434" s="199"/>
      <c r="H434" s="200"/>
      <c r="I434" s="223"/>
      <c r="J434" s="200"/>
      <c r="K434" s="75"/>
      <c r="L434" s="75"/>
      <c r="M434" s="75"/>
      <c r="N434" s="75"/>
      <c r="O434" s="75"/>
      <c r="P434" s="75"/>
      <c r="Q434" s="75"/>
      <c r="R434" s="75"/>
      <c r="S434" s="75"/>
      <c r="T434" s="75"/>
      <c r="U434" s="75"/>
      <c r="V434" s="75"/>
      <c r="W434" s="75"/>
      <c r="X434" s="75"/>
      <c r="Y434" s="75"/>
      <c r="Z434" s="75"/>
      <c r="AA434" s="75"/>
    </row>
    <row r="435" spans="1:27" ht="14.25">
      <c r="A435" s="36"/>
      <c r="B435" s="36"/>
      <c r="C435" s="36"/>
      <c r="D435" s="204"/>
      <c r="E435" s="199"/>
      <c r="F435" s="199"/>
      <c r="G435" s="199"/>
      <c r="H435" s="200"/>
      <c r="I435" s="223"/>
      <c r="J435" s="200"/>
      <c r="K435" s="75"/>
      <c r="L435" s="75"/>
      <c r="M435" s="75"/>
      <c r="N435" s="75"/>
      <c r="O435" s="75"/>
      <c r="P435" s="75"/>
      <c r="Q435" s="75"/>
      <c r="R435" s="75"/>
      <c r="S435" s="75"/>
      <c r="T435" s="75"/>
      <c r="U435" s="75"/>
      <c r="V435" s="75"/>
      <c r="W435" s="75"/>
      <c r="X435" s="75"/>
      <c r="Y435" s="75"/>
      <c r="Z435" s="75"/>
      <c r="AA435" s="75"/>
    </row>
    <row r="436" spans="1:27" ht="14.25">
      <c r="A436" s="36"/>
      <c r="B436" s="36"/>
      <c r="C436" s="36"/>
      <c r="D436" s="204"/>
      <c r="E436" s="199"/>
      <c r="F436" s="199"/>
      <c r="G436" s="199"/>
      <c r="H436" s="200"/>
      <c r="I436" s="223"/>
      <c r="J436" s="200"/>
      <c r="K436" s="75"/>
      <c r="L436" s="75"/>
      <c r="M436" s="75"/>
      <c r="N436" s="75"/>
      <c r="O436" s="75"/>
      <c r="P436" s="75"/>
      <c r="Q436" s="75"/>
      <c r="R436" s="75"/>
      <c r="S436" s="75"/>
      <c r="T436" s="75"/>
      <c r="U436" s="75"/>
      <c r="V436" s="75"/>
      <c r="W436" s="75"/>
      <c r="X436" s="75"/>
      <c r="Y436" s="75"/>
      <c r="Z436" s="75"/>
      <c r="AA436" s="75"/>
    </row>
    <row r="437" spans="1:27" ht="14.25">
      <c r="A437" s="36"/>
      <c r="B437" s="36"/>
      <c r="C437" s="36"/>
      <c r="D437" s="204"/>
      <c r="E437" s="199"/>
      <c r="F437" s="199"/>
      <c r="G437" s="199"/>
      <c r="H437" s="200"/>
      <c r="I437" s="223"/>
      <c r="J437" s="200"/>
      <c r="K437" s="75"/>
      <c r="L437" s="75"/>
      <c r="M437" s="75"/>
      <c r="N437" s="75"/>
      <c r="O437" s="75"/>
      <c r="P437" s="75"/>
      <c r="Q437" s="75"/>
      <c r="R437" s="75"/>
      <c r="S437" s="75"/>
      <c r="T437" s="75"/>
      <c r="U437" s="75"/>
      <c r="V437" s="75"/>
      <c r="W437" s="75"/>
      <c r="X437" s="75"/>
      <c r="Y437" s="75"/>
      <c r="Z437" s="75"/>
      <c r="AA437" s="75"/>
    </row>
    <row r="438" spans="1:27" ht="14.25">
      <c r="A438" s="36"/>
      <c r="B438" s="36"/>
      <c r="C438" s="36"/>
      <c r="D438" s="204"/>
      <c r="E438" s="199"/>
      <c r="F438" s="199"/>
      <c r="G438" s="199"/>
      <c r="H438" s="200"/>
      <c r="I438" s="223"/>
      <c r="J438" s="200"/>
      <c r="K438" s="75"/>
      <c r="L438" s="75"/>
      <c r="M438" s="75"/>
      <c r="N438" s="75"/>
      <c r="O438" s="75"/>
      <c r="P438" s="75"/>
      <c r="Q438" s="75"/>
      <c r="R438" s="75"/>
      <c r="S438" s="75"/>
      <c r="T438" s="75"/>
      <c r="U438" s="75"/>
      <c r="V438" s="75"/>
      <c r="W438" s="75"/>
      <c r="X438" s="75"/>
      <c r="Y438" s="75"/>
      <c r="Z438" s="75"/>
      <c r="AA438" s="75"/>
    </row>
    <row r="439" spans="1:27" ht="14.25">
      <c r="A439" s="36"/>
      <c r="B439" s="36"/>
      <c r="C439" s="36"/>
      <c r="D439" s="204"/>
      <c r="E439" s="199"/>
      <c r="F439" s="199"/>
      <c r="G439" s="199"/>
      <c r="H439" s="200"/>
      <c r="I439" s="223"/>
      <c r="J439" s="200"/>
      <c r="K439" s="75"/>
      <c r="L439" s="75"/>
      <c r="M439" s="75"/>
      <c r="N439" s="75"/>
      <c r="O439" s="75"/>
      <c r="P439" s="75"/>
      <c r="Q439" s="75"/>
      <c r="R439" s="75"/>
      <c r="S439" s="75"/>
      <c r="T439" s="75"/>
      <c r="U439" s="75"/>
      <c r="V439" s="75"/>
      <c r="W439" s="75"/>
      <c r="X439" s="75"/>
      <c r="Y439" s="75"/>
      <c r="Z439" s="75"/>
      <c r="AA439" s="75"/>
    </row>
    <row r="440" spans="1:27" ht="14.25">
      <c r="A440" s="36"/>
      <c r="B440" s="36"/>
      <c r="C440" s="36"/>
      <c r="D440" s="204"/>
      <c r="E440" s="199"/>
      <c r="F440" s="199"/>
      <c r="G440" s="199"/>
      <c r="H440" s="200"/>
      <c r="I440" s="223"/>
      <c r="J440" s="200"/>
      <c r="K440" s="75"/>
      <c r="L440" s="75"/>
      <c r="M440" s="75"/>
      <c r="N440" s="75"/>
      <c r="O440" s="75"/>
      <c r="P440" s="75"/>
      <c r="Q440" s="75"/>
      <c r="R440" s="75"/>
      <c r="S440" s="75"/>
      <c r="T440" s="75"/>
      <c r="U440" s="75"/>
      <c r="V440" s="75"/>
      <c r="W440" s="75"/>
      <c r="X440" s="75"/>
      <c r="Y440" s="75"/>
      <c r="Z440" s="75"/>
      <c r="AA440" s="75"/>
    </row>
    <row r="441" spans="1:27" ht="14.25">
      <c r="A441" s="36"/>
      <c r="B441" s="36"/>
      <c r="C441" s="36"/>
      <c r="D441" s="204"/>
      <c r="E441" s="199"/>
      <c r="F441" s="199"/>
      <c r="G441" s="199"/>
      <c r="H441" s="200"/>
      <c r="I441" s="223"/>
      <c r="J441" s="200"/>
      <c r="K441" s="75"/>
      <c r="L441" s="75"/>
      <c r="M441" s="75"/>
      <c r="N441" s="75"/>
      <c r="O441" s="75"/>
      <c r="P441" s="75"/>
      <c r="Q441" s="75"/>
      <c r="R441" s="75"/>
      <c r="S441" s="75"/>
      <c r="T441" s="75"/>
      <c r="U441" s="75"/>
      <c r="V441" s="75"/>
      <c r="W441" s="75"/>
      <c r="X441" s="75"/>
      <c r="Y441" s="75"/>
      <c r="Z441" s="75"/>
      <c r="AA441" s="75"/>
    </row>
    <row r="442" spans="1:27" ht="14.25">
      <c r="A442" s="36"/>
      <c r="B442" s="36"/>
      <c r="C442" s="36"/>
      <c r="D442" s="204"/>
      <c r="E442" s="199"/>
      <c r="F442" s="199"/>
      <c r="G442" s="199"/>
      <c r="H442" s="200"/>
      <c r="I442" s="223"/>
      <c r="J442" s="200"/>
      <c r="K442" s="75"/>
      <c r="L442" s="75"/>
      <c r="M442" s="75"/>
      <c r="N442" s="75"/>
      <c r="O442" s="75"/>
      <c r="P442" s="75"/>
      <c r="Q442" s="75"/>
      <c r="R442" s="75"/>
      <c r="S442" s="75"/>
      <c r="T442" s="75"/>
      <c r="U442" s="75"/>
      <c r="V442" s="75"/>
      <c r="W442" s="75"/>
      <c r="X442" s="75"/>
      <c r="Y442" s="75"/>
      <c r="Z442" s="75"/>
      <c r="AA442" s="75"/>
    </row>
    <row r="443" spans="1:27" ht="14.25">
      <c r="A443" s="36"/>
      <c r="B443" s="36"/>
      <c r="C443" s="36"/>
      <c r="D443" s="204"/>
      <c r="E443" s="199"/>
      <c r="F443" s="199"/>
      <c r="G443" s="199"/>
      <c r="H443" s="200"/>
      <c r="I443" s="223"/>
      <c r="J443" s="200"/>
      <c r="K443" s="75"/>
      <c r="L443" s="75"/>
      <c r="M443" s="75"/>
      <c r="N443" s="75"/>
      <c r="O443" s="75"/>
      <c r="P443" s="75"/>
      <c r="Q443" s="75"/>
      <c r="R443" s="75"/>
      <c r="S443" s="75"/>
      <c r="T443" s="75"/>
      <c r="U443" s="75"/>
      <c r="V443" s="75"/>
      <c r="W443" s="75"/>
      <c r="X443" s="75"/>
      <c r="Y443" s="75"/>
      <c r="Z443" s="75"/>
      <c r="AA443" s="75"/>
    </row>
    <row r="444" spans="1:27" ht="14.25">
      <c r="A444" s="36"/>
      <c r="B444" s="36"/>
      <c r="C444" s="36"/>
      <c r="D444" s="204"/>
      <c r="E444" s="199"/>
      <c r="F444" s="199"/>
      <c r="G444" s="199"/>
      <c r="H444" s="200"/>
      <c r="I444" s="223"/>
      <c r="J444" s="200"/>
      <c r="K444" s="75"/>
      <c r="L444" s="75"/>
      <c r="M444" s="75"/>
      <c r="N444" s="75"/>
      <c r="O444" s="75"/>
      <c r="P444" s="75"/>
      <c r="Q444" s="75"/>
      <c r="R444" s="75"/>
      <c r="S444" s="75"/>
      <c r="T444" s="75"/>
      <c r="U444" s="75"/>
      <c r="V444" s="75"/>
      <c r="W444" s="75"/>
      <c r="X444" s="75"/>
      <c r="Y444" s="75"/>
      <c r="Z444" s="75"/>
      <c r="AA444" s="75"/>
    </row>
    <row r="445" spans="1:27" ht="14.25">
      <c r="A445" s="36"/>
      <c r="B445" s="36"/>
      <c r="C445" s="36"/>
      <c r="D445" s="204"/>
      <c r="E445" s="199"/>
      <c r="F445" s="199"/>
      <c r="G445" s="199"/>
      <c r="H445" s="200"/>
      <c r="I445" s="223"/>
      <c r="J445" s="200"/>
      <c r="K445" s="75"/>
      <c r="L445" s="75"/>
      <c r="M445" s="75"/>
      <c r="N445" s="75"/>
      <c r="O445" s="75"/>
      <c r="P445" s="75"/>
      <c r="Q445" s="75"/>
      <c r="R445" s="75"/>
      <c r="S445" s="75"/>
      <c r="T445" s="75"/>
      <c r="U445" s="75"/>
      <c r="V445" s="75"/>
      <c r="W445" s="75"/>
      <c r="X445" s="75"/>
      <c r="Y445" s="75"/>
      <c r="Z445" s="75"/>
      <c r="AA445" s="75"/>
    </row>
    <row r="446" spans="1:27" ht="14.25">
      <c r="A446" s="36"/>
      <c r="B446" s="36"/>
      <c r="C446" s="36"/>
      <c r="D446" s="204"/>
      <c r="E446" s="199"/>
      <c r="F446" s="199"/>
      <c r="G446" s="199"/>
      <c r="H446" s="200"/>
      <c r="I446" s="223"/>
      <c r="J446" s="200"/>
      <c r="K446" s="75"/>
      <c r="L446" s="75"/>
      <c r="M446" s="75"/>
      <c r="N446" s="75"/>
      <c r="O446" s="75"/>
      <c r="P446" s="75"/>
      <c r="Q446" s="75"/>
      <c r="R446" s="75"/>
      <c r="S446" s="75"/>
      <c r="T446" s="75"/>
      <c r="U446" s="75"/>
      <c r="V446" s="75"/>
      <c r="W446" s="75"/>
      <c r="X446" s="75"/>
      <c r="Y446" s="75"/>
      <c r="Z446" s="75"/>
      <c r="AA446" s="75"/>
    </row>
    <row r="447" spans="1:27" ht="14.25">
      <c r="A447" s="36"/>
      <c r="B447" s="36"/>
      <c r="C447" s="36"/>
      <c r="D447" s="204"/>
      <c r="E447" s="199"/>
      <c r="F447" s="199"/>
      <c r="G447" s="199"/>
      <c r="H447" s="200"/>
      <c r="I447" s="223"/>
      <c r="J447" s="200"/>
      <c r="K447" s="75"/>
      <c r="L447" s="75"/>
      <c r="M447" s="75"/>
      <c r="N447" s="75"/>
      <c r="O447" s="75"/>
      <c r="P447" s="75"/>
      <c r="Q447" s="75"/>
      <c r="R447" s="75"/>
      <c r="S447" s="75"/>
      <c r="T447" s="75"/>
      <c r="U447" s="75"/>
      <c r="V447" s="75"/>
      <c r="W447" s="75"/>
      <c r="X447" s="75"/>
      <c r="Y447" s="75"/>
      <c r="Z447" s="75"/>
      <c r="AA447" s="75"/>
    </row>
    <row r="448" spans="1:27" ht="14.25">
      <c r="A448" s="36"/>
      <c r="B448" s="36"/>
      <c r="C448" s="36"/>
      <c r="D448" s="204"/>
      <c r="E448" s="199"/>
      <c r="F448" s="199"/>
      <c r="G448" s="199"/>
      <c r="H448" s="200"/>
      <c r="I448" s="223"/>
      <c r="J448" s="200"/>
      <c r="K448" s="75"/>
      <c r="L448" s="75"/>
      <c r="M448" s="75"/>
      <c r="N448" s="75"/>
      <c r="O448" s="75"/>
      <c r="P448" s="75"/>
      <c r="Q448" s="75"/>
      <c r="R448" s="75"/>
      <c r="S448" s="75"/>
      <c r="T448" s="75"/>
      <c r="U448" s="75"/>
      <c r="V448" s="75"/>
      <c r="W448" s="75"/>
      <c r="X448" s="75"/>
      <c r="Y448" s="75"/>
      <c r="Z448" s="75"/>
      <c r="AA448" s="75"/>
    </row>
    <row r="449" spans="1:27" ht="14.25">
      <c r="A449" s="36"/>
      <c r="B449" s="36"/>
      <c r="C449" s="36"/>
      <c r="D449" s="204"/>
      <c r="E449" s="199"/>
      <c r="F449" s="199"/>
      <c r="G449" s="199"/>
      <c r="H449" s="200"/>
      <c r="I449" s="223"/>
      <c r="J449" s="200"/>
      <c r="K449" s="75"/>
      <c r="L449" s="75"/>
      <c r="M449" s="75"/>
      <c r="N449" s="75"/>
      <c r="O449" s="75"/>
      <c r="P449" s="75"/>
      <c r="Q449" s="75"/>
      <c r="R449" s="75"/>
      <c r="S449" s="75"/>
      <c r="T449" s="75"/>
      <c r="U449" s="75"/>
      <c r="V449" s="75"/>
      <c r="W449" s="75"/>
      <c r="X449" s="75"/>
      <c r="Y449" s="75"/>
      <c r="Z449" s="75"/>
      <c r="AA449" s="75"/>
    </row>
    <row r="450" spans="1:27" ht="14.25">
      <c r="A450" s="36"/>
      <c r="B450" s="36"/>
      <c r="C450" s="36"/>
      <c r="D450" s="204"/>
      <c r="E450" s="199"/>
      <c r="F450" s="199"/>
      <c r="G450" s="199"/>
      <c r="H450" s="200"/>
      <c r="I450" s="223"/>
      <c r="J450" s="200"/>
      <c r="K450" s="75"/>
      <c r="L450" s="75"/>
      <c r="M450" s="75"/>
      <c r="N450" s="75"/>
      <c r="O450" s="75"/>
      <c r="P450" s="75"/>
      <c r="Q450" s="75"/>
      <c r="R450" s="75"/>
      <c r="S450" s="75"/>
      <c r="T450" s="75"/>
      <c r="U450" s="75"/>
      <c r="V450" s="75"/>
      <c r="W450" s="75"/>
      <c r="X450" s="75"/>
      <c r="Y450" s="75"/>
      <c r="Z450" s="75"/>
      <c r="AA450" s="75"/>
    </row>
    <row r="451" spans="1:27" ht="14.25">
      <c r="A451" s="49"/>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row>
    <row r="452" spans="1:27" ht="14.25">
      <c r="A452" s="49"/>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row>
    <row r="453" spans="1:27" ht="14.25">
      <c r="A453" s="49"/>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row>
    <row r="454" spans="1:27" ht="14.25">
      <c r="A454" s="49"/>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row>
    <row r="455" spans="1:27" ht="14.25">
      <c r="A455" s="49"/>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row>
    <row r="456" spans="1:27" ht="14.25">
      <c r="A456" s="49"/>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row>
    <row r="457" spans="1:27" ht="14.25">
      <c r="A457" s="49"/>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row>
    <row r="458" spans="1:27" ht="14.25">
      <c r="A458" s="49"/>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row>
    <row r="459" spans="1:27" ht="14.25">
      <c r="A459" s="49"/>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row>
    <row r="460" spans="1:27" ht="14.25">
      <c r="A460" s="49"/>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row>
    <row r="461" spans="1:27" ht="14.25">
      <c r="A461" s="49"/>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row>
    <row r="462" spans="1:27" ht="14.25">
      <c r="A462" s="49"/>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row>
    <row r="463" spans="1:27" ht="14.25">
      <c r="A463" s="49"/>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row>
    <row r="464" spans="1:27" ht="14.25">
      <c r="A464" s="49"/>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row>
    <row r="465" spans="1:27" ht="14.25">
      <c r="A465" s="49"/>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row>
    <row r="466" spans="1:27" ht="14.25">
      <c r="A466" s="49"/>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row>
    <row r="467" spans="1:27" ht="14.25">
      <c r="A467" s="49"/>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row>
    <row r="468" spans="1:27" ht="14.25">
      <c r="A468" s="49"/>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row>
    <row r="469" spans="1:27" ht="14.25">
      <c r="A469" s="49"/>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row>
    <row r="470" spans="1:27" ht="14.25">
      <c r="A470" s="49"/>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row>
    <row r="471" spans="1:27" ht="14.25">
      <c r="A471" s="49"/>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row>
    <row r="472" spans="1:27" ht="14.25">
      <c r="A472" s="49"/>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row>
    <row r="473" spans="1:27" ht="14.25">
      <c r="A473" s="49"/>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row>
    <row r="474" spans="1:27" ht="14.25">
      <c r="A474" s="49"/>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row>
    <row r="475" spans="1:27" ht="14.25">
      <c r="A475" s="49"/>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row>
    <row r="476" spans="1:27" ht="14.25">
      <c r="A476" s="49"/>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row>
    <row r="477" spans="1:27" ht="14.25">
      <c r="A477" s="49"/>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row>
    <row r="478" spans="1:27" ht="14.25">
      <c r="A478" s="49"/>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row>
    <row r="479" spans="1:27" ht="14.25">
      <c r="A479" s="49"/>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row>
    <row r="480" spans="1:27" ht="14.25">
      <c r="A480" s="49"/>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row>
    <row r="481" spans="1:27" ht="14.25">
      <c r="A481" s="49"/>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row>
    <row r="482" spans="1:27" ht="14.25">
      <c r="A482" s="49"/>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row>
    <row r="483" spans="1:27" ht="14.25">
      <c r="A483" s="49"/>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row>
    <row r="484" spans="1:27" ht="14.25">
      <c r="A484" s="49"/>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row>
    <row r="485" spans="1:27" ht="14.25">
      <c r="A485" s="49"/>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row>
    <row r="486" spans="1:27" ht="14.25">
      <c r="A486" s="49"/>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row>
    <row r="487" spans="1:27" ht="14.25">
      <c r="A487" s="49"/>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row>
    <row r="488" spans="1:27" ht="14.25">
      <c r="A488" s="49"/>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row>
    <row r="489" spans="1:27" ht="14.25">
      <c r="A489" s="49"/>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row>
    <row r="490" spans="1:27" ht="14.25">
      <c r="A490" s="49"/>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row>
    <row r="491" spans="1:27" ht="14.25">
      <c r="A491" s="49"/>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row>
    <row r="492" spans="1:27" ht="14.25">
      <c r="A492" s="49"/>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row>
    <row r="493" spans="1:27" ht="14.25">
      <c r="A493" s="49"/>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row>
    <row r="494" spans="1:27" ht="14.25">
      <c r="A494" s="49"/>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row>
    <row r="495" spans="1:27" ht="14.25">
      <c r="A495" s="49"/>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row>
    <row r="496" spans="1:27" ht="14.25">
      <c r="A496" s="49"/>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row>
    <row r="497" spans="1:27" ht="14.25">
      <c r="A497" s="49"/>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row>
    <row r="498" spans="1:27" ht="14.25">
      <c r="A498" s="49"/>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row>
    <row r="499" spans="1:27" ht="14.25">
      <c r="A499" s="49"/>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row>
    <row r="500" spans="1:27" ht="14.25">
      <c r="A500" s="49"/>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row>
    <row r="501" spans="1:27" ht="14.25">
      <c r="A501" s="49"/>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row>
    <row r="502" spans="1:27" ht="14.25">
      <c r="A502" s="49"/>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row>
    <row r="503" spans="1:27" ht="14.25">
      <c r="A503" s="49"/>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row>
    <row r="504" spans="1:27" ht="14.25">
      <c r="A504" s="49"/>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row>
    <row r="505" spans="1:27" ht="14.25">
      <c r="A505" s="49"/>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row>
    <row r="506" spans="1:27" ht="14.25">
      <c r="A506" s="49"/>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row>
    <row r="507" spans="1:27" ht="14.25">
      <c r="A507" s="49"/>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row>
    <row r="508" spans="1:27" ht="14.25">
      <c r="A508" s="49"/>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row>
    <row r="509" spans="1:27" ht="14.25">
      <c r="A509" s="49"/>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row>
    <row r="510" spans="1:27" ht="14.25">
      <c r="A510" s="49"/>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row>
    <row r="511" spans="1:27" ht="14.25">
      <c r="A511" s="49"/>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row>
    <row r="512" spans="1:27" ht="14.25">
      <c r="A512" s="49"/>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row>
    <row r="513" spans="1:27" ht="14.25">
      <c r="A513" s="49"/>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row>
    <row r="514" spans="1:27" ht="14.25">
      <c r="A514" s="49"/>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row>
    <row r="515" spans="1:27" ht="14.25">
      <c r="A515" s="49"/>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row>
    <row r="516" spans="1:27" ht="14.25">
      <c r="A516" s="49"/>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row>
    <row r="517" spans="1:27" ht="14.25">
      <c r="A517" s="49"/>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row>
    <row r="518" spans="1:27" ht="14.25">
      <c r="A518" s="49"/>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row>
    <row r="519" spans="1:27" ht="14.25">
      <c r="A519" s="49"/>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row>
    <row r="520" spans="1:27" ht="14.25">
      <c r="A520" s="49"/>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row>
    <row r="521" spans="1:27" ht="14.25">
      <c r="A521" s="49"/>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row>
    <row r="522" spans="1:27" ht="14.25">
      <c r="A522" s="49"/>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row>
    <row r="523" spans="1:27" ht="14.25">
      <c r="A523" s="49"/>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row>
    <row r="524" spans="1:27" ht="14.25">
      <c r="A524" s="49"/>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row>
    <row r="525" spans="1:27" ht="14.25">
      <c r="A525" s="49"/>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row>
    <row r="526" spans="1:27" ht="14.25">
      <c r="A526" s="49"/>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row>
    <row r="527" spans="1:27" ht="14.25">
      <c r="A527" s="49"/>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row>
    <row r="528" spans="1:27" ht="14.25">
      <c r="A528" s="49"/>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row>
    <row r="529" spans="1:27" ht="14.25">
      <c r="A529" s="49"/>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row>
    <row r="530" spans="1:27" ht="14.25">
      <c r="A530" s="49"/>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row>
    <row r="531" spans="1:27" ht="14.25">
      <c r="A531" s="49"/>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row>
    <row r="532" spans="1:27" ht="14.25">
      <c r="A532" s="49"/>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row>
    <row r="533" spans="1:27" ht="14.25">
      <c r="A533" s="49"/>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row>
    <row r="534" spans="1:27" ht="14.25">
      <c r="A534" s="49"/>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row>
    <row r="535" spans="1:27" ht="14.25">
      <c r="A535" s="49"/>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row>
    <row r="536" spans="1:27" ht="14.25">
      <c r="A536" s="49"/>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row>
    <row r="537" spans="1:27" ht="14.25">
      <c r="A537" s="49"/>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row>
    <row r="538" spans="1:27" ht="14.25">
      <c r="A538" s="49"/>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row>
    <row r="539" spans="1:27" ht="14.25">
      <c r="A539" s="49"/>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row>
    <row r="540" spans="1:27" ht="14.25">
      <c r="A540" s="49"/>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row>
    <row r="541" spans="1:27" ht="14.25">
      <c r="A541" s="49"/>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row>
    <row r="542" spans="1:27" ht="14.25">
      <c r="A542" s="49"/>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row>
    <row r="543" spans="1:27" ht="14.25">
      <c r="A543" s="49"/>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row>
    <row r="544" spans="1:27" ht="14.25">
      <c r="A544" s="49"/>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row>
    <row r="545" spans="1:27" ht="14.25">
      <c r="A545" s="49"/>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row>
    <row r="546" spans="1:27" ht="14.25">
      <c r="A546" s="49"/>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row>
    <row r="547" spans="1:27" ht="14.25">
      <c r="A547" s="49"/>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row>
    <row r="548" spans="1:27" ht="14.25">
      <c r="A548" s="49"/>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row>
    <row r="549" spans="1:27" ht="14.25">
      <c r="A549" s="49"/>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row>
    <row r="550" spans="1:27" ht="14.25">
      <c r="A550" s="49"/>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row>
    <row r="551" spans="1:27" ht="14.25">
      <c r="A551" s="49"/>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row>
    <row r="552" spans="1:27" ht="14.25">
      <c r="A552" s="49"/>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row>
    <row r="553" spans="1:27" ht="14.25">
      <c r="A553" s="49"/>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row>
    <row r="554" spans="1:27" ht="14.25">
      <c r="A554" s="49"/>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row>
    <row r="555" spans="1:27" ht="14.25">
      <c r="A555" s="49"/>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row>
    <row r="556" spans="1:27" ht="14.25">
      <c r="A556" s="49"/>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row>
    <row r="557" spans="1:27" ht="14.25">
      <c r="A557" s="49"/>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row>
    <row r="558" spans="1:27" ht="14.25">
      <c r="A558" s="49"/>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row>
    <row r="559" spans="1:27" ht="14.25">
      <c r="A559" s="49"/>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row>
    <row r="560" spans="1:27" ht="14.25">
      <c r="A560" s="49"/>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row>
    <row r="561" spans="1:27" ht="14.25">
      <c r="A561" s="49"/>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row>
    <row r="562" spans="1:27" ht="14.25">
      <c r="A562" s="49"/>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row>
    <row r="563" spans="1:27" ht="14.25">
      <c r="A563" s="49"/>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row>
    <row r="564" spans="1:27" ht="14.25">
      <c r="A564" s="49"/>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row>
    <row r="565" spans="1:27" ht="14.25">
      <c r="A565" s="49"/>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row>
    <row r="566" spans="1:27" ht="14.25">
      <c r="A566" s="49"/>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row>
    <row r="567" spans="1:27" ht="14.25">
      <c r="A567" s="49"/>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row>
    <row r="568" spans="1:27" ht="14.25">
      <c r="A568" s="49"/>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row>
    <row r="569" spans="1:27" ht="14.25">
      <c r="A569" s="49"/>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row>
    <row r="570" spans="1:27" ht="14.25">
      <c r="A570" s="49"/>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row>
    <row r="571" spans="1:27" ht="14.25">
      <c r="A571" s="49"/>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row>
    <row r="572" spans="1:27" ht="14.25">
      <c r="A572" s="49"/>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row>
    <row r="573" spans="1:27" ht="14.25">
      <c r="A573" s="49"/>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row>
    <row r="574" spans="1:27" ht="14.25">
      <c r="A574" s="49"/>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row>
    <row r="575" spans="1:27" ht="14.25">
      <c r="A575" s="49"/>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row>
    <row r="576" spans="1:27" ht="14.25">
      <c r="A576" s="49"/>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row>
    <row r="577" spans="1:27" ht="14.25">
      <c r="A577" s="49"/>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row>
    <row r="578" spans="1:27" ht="14.25">
      <c r="A578" s="49"/>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row>
    <row r="579" spans="1:27" ht="14.25">
      <c r="A579" s="49"/>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row>
    <row r="580" spans="1:27" ht="14.25">
      <c r="A580" s="49"/>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row>
    <row r="581" spans="1:27" ht="14.25">
      <c r="A581" s="49"/>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row>
    <row r="582" spans="1:27" ht="14.25">
      <c r="A582" s="49"/>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row>
    <row r="583" spans="1:27" ht="14.25">
      <c r="A583" s="49"/>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row>
    <row r="584" spans="1:27" ht="14.25">
      <c r="A584" s="49"/>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row>
    <row r="585" spans="1:27" ht="14.25">
      <c r="A585" s="49"/>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row>
    <row r="586" spans="1:27" ht="14.25">
      <c r="A586" s="49"/>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row>
    <row r="587" spans="1:27" ht="14.25">
      <c r="A587" s="49"/>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row>
    <row r="588" spans="1:27" ht="14.25">
      <c r="A588" s="49"/>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row>
    <row r="589" spans="1:27" ht="14.25">
      <c r="A589" s="49"/>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row>
    <row r="590" spans="1:27" ht="14.25">
      <c r="A590" s="49"/>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row>
    <row r="591" spans="1:27" ht="14.25">
      <c r="A591" s="49"/>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row>
    <row r="592" spans="1:27" ht="14.25">
      <c r="A592" s="49"/>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row>
    <row r="593" spans="1:27" ht="14.25">
      <c r="A593" s="49"/>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row>
    <row r="594" spans="1:27" ht="14.25">
      <c r="A594" s="49"/>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row>
    <row r="595" spans="1:27" ht="14.25">
      <c r="A595" s="49"/>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row>
    <row r="596" spans="1:27" ht="14.25">
      <c r="A596" s="49"/>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row>
    <row r="597" spans="1:27" ht="14.25">
      <c r="A597" s="49"/>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row>
    <row r="598" spans="1:27" ht="14.25">
      <c r="A598" s="49"/>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row>
    <row r="599" spans="1:27" ht="14.25">
      <c r="A599" s="49"/>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row>
    <row r="600" spans="1:27" ht="14.25">
      <c r="A600" s="49"/>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row>
    <row r="601" spans="1:27" ht="14.25">
      <c r="A601" s="49"/>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row>
    <row r="602" spans="1:27" ht="14.25">
      <c r="A602" s="49"/>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row>
    <row r="603" spans="1:27" ht="14.25">
      <c r="A603" s="49"/>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row>
    <row r="604" spans="1:27" ht="14.25">
      <c r="A604" s="49"/>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row>
    <row r="605" spans="1:27" ht="14.25">
      <c r="A605" s="49"/>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row>
    <row r="606" spans="1:27" ht="14.25">
      <c r="A606" s="49"/>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row>
    <row r="607" spans="1:27" ht="14.25">
      <c r="A607" s="49"/>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row>
    <row r="608" spans="1:27" ht="14.25">
      <c r="A608" s="49"/>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row>
    <row r="609" spans="1:27" ht="14.25">
      <c r="A609" s="49"/>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row>
    <row r="610" spans="1:27" ht="14.25">
      <c r="A610" s="49"/>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row>
    <row r="611" spans="1:27" ht="14.25">
      <c r="A611" s="49"/>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row>
    <row r="612" spans="1:27" ht="14.25">
      <c r="A612" s="49"/>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row>
    <row r="613" spans="1:27" ht="14.25">
      <c r="A613" s="49"/>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row>
    <row r="614" spans="1:27" ht="14.25">
      <c r="A614" s="49"/>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row>
    <row r="615" spans="1:27" ht="14.25">
      <c r="A615" s="49"/>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row>
    <row r="616" spans="1:27" ht="14.25">
      <c r="A616" s="49"/>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row>
    <row r="617" spans="1:27" ht="14.25">
      <c r="A617" s="49"/>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row>
    <row r="618" spans="1:27" ht="14.25">
      <c r="A618" s="49"/>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row>
    <row r="619" spans="1:27" ht="14.25">
      <c r="A619" s="49"/>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row>
    <row r="620" spans="1:27" ht="14.25">
      <c r="A620" s="49"/>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row>
    <row r="621" spans="1:27" ht="14.25">
      <c r="A621" s="49"/>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row>
    <row r="622" spans="1:27" ht="14.25">
      <c r="A622" s="49"/>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row>
    <row r="623" spans="1:27" ht="14.25">
      <c r="A623" s="49"/>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row>
    <row r="624" spans="1:27" ht="14.25">
      <c r="A624" s="49"/>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row>
    <row r="625" spans="1:27" ht="14.25">
      <c r="A625" s="49"/>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row>
    <row r="626" spans="1:27" ht="14.25">
      <c r="A626" s="49"/>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row>
    <row r="627" spans="1:27" ht="14.25">
      <c r="A627" s="49"/>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row>
    <row r="628" spans="1:27" ht="14.25">
      <c r="A628" s="49"/>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row>
    <row r="629" spans="1:27" ht="14.25">
      <c r="A629" s="49"/>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row>
    <row r="630" spans="1:27" ht="14.25">
      <c r="A630" s="49"/>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row>
    <row r="631" spans="1:27" ht="14.25">
      <c r="A631" s="49"/>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row>
    <row r="632" spans="1:27" ht="14.25">
      <c r="A632" s="49"/>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row>
    <row r="633" spans="1:27" ht="14.25">
      <c r="A633" s="49"/>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row>
    <row r="634" spans="1:27" ht="14.25">
      <c r="A634" s="49"/>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row>
    <row r="635" spans="1:27" ht="14.25">
      <c r="A635" s="49"/>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row>
    <row r="636" spans="1:27" ht="14.25">
      <c r="A636" s="49"/>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row>
    <row r="637" spans="1:27" ht="14.25">
      <c r="A637" s="49"/>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row>
    <row r="638" spans="1:27" ht="14.25">
      <c r="A638" s="49"/>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row>
    <row r="639" spans="1:27" ht="14.25">
      <c r="A639" s="49"/>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row>
    <row r="640" spans="1:27" ht="14.25">
      <c r="A640" s="49"/>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row>
    <row r="641" spans="1:27" ht="14.25">
      <c r="A641" s="49"/>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row>
    <row r="642" spans="1:27" ht="14.25">
      <c r="A642" s="49"/>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row>
    <row r="643" spans="1:27" ht="14.25">
      <c r="A643" s="49"/>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row>
    <row r="644" spans="1:27" ht="14.25">
      <c r="A644" s="49"/>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row>
    <row r="645" spans="1:27" ht="14.25">
      <c r="A645" s="49"/>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row>
    <row r="646" spans="1:27" ht="14.25">
      <c r="A646" s="49"/>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row>
    <row r="647" spans="1:27" ht="14.25">
      <c r="A647" s="49"/>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row>
    <row r="648" spans="1:27" ht="14.25">
      <c r="A648" s="49"/>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row>
    <row r="649" spans="1:27" ht="14.25">
      <c r="A649" s="49"/>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row>
    <row r="650" spans="1:27" ht="14.25">
      <c r="A650" s="49"/>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row>
    <row r="651" spans="1:27" ht="14.25">
      <c r="A651" s="49"/>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row>
    <row r="652" spans="1:27" ht="14.25">
      <c r="A652" s="49"/>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row>
    <row r="653" spans="1:27" ht="14.25">
      <c r="A653" s="49"/>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row>
    <row r="654" spans="1:27" ht="14.25">
      <c r="A654" s="49"/>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row>
    <row r="655" spans="1:27" ht="14.25">
      <c r="A655" s="49"/>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row>
    <row r="656" spans="1:27" ht="14.25">
      <c r="A656" s="49"/>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row>
    <row r="657" spans="1:27" ht="14.25">
      <c r="A657" s="49"/>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row>
    <row r="658" spans="1:27" ht="14.25">
      <c r="A658" s="49"/>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row>
    <row r="659" spans="1:27" ht="14.25">
      <c r="A659" s="49"/>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row>
    <row r="660" spans="1:27" ht="14.25">
      <c r="A660" s="49"/>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row>
    <row r="661" spans="1:27" ht="14.25">
      <c r="A661" s="49"/>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row>
    <row r="662" spans="1:27" ht="14.25">
      <c r="A662" s="49"/>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row>
    <row r="663" spans="1:27" ht="14.25">
      <c r="A663" s="49"/>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row>
    <row r="664" spans="1:27" ht="14.25">
      <c r="A664" s="49"/>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row>
    <row r="665" spans="1:27" ht="14.25">
      <c r="A665" s="49"/>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row>
    <row r="666" spans="1:27" ht="14.25">
      <c r="A666" s="49"/>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row>
    <row r="667" spans="1:27" ht="14.25">
      <c r="A667" s="49"/>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row>
    <row r="668" spans="1:27" ht="14.25">
      <c r="A668" s="49"/>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row>
    <row r="669" spans="1:27" ht="14.25">
      <c r="A669" s="49"/>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row>
    <row r="670" spans="1:27" ht="14.25">
      <c r="A670" s="49"/>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row>
    <row r="671" spans="1:27" ht="14.25">
      <c r="A671" s="49"/>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row>
    <row r="672" spans="1:27" ht="14.25">
      <c r="A672" s="49"/>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row>
    <row r="673" spans="1:27" ht="14.25">
      <c r="A673" s="49"/>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row>
    <row r="674" spans="1:27" ht="14.25">
      <c r="A674" s="49"/>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row>
    <row r="675" spans="1:27" ht="14.25">
      <c r="A675" s="49"/>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row>
    <row r="676" spans="1:27" ht="14.25">
      <c r="A676" s="49"/>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row>
    <row r="677" spans="1:27" ht="14.25">
      <c r="A677" s="49"/>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row>
    <row r="678" spans="1:27" ht="14.25">
      <c r="A678" s="49"/>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row>
    <row r="679" spans="1:27" ht="14.25">
      <c r="A679" s="49"/>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row>
    <row r="680" spans="1:27" ht="14.25">
      <c r="A680" s="49"/>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row>
    <row r="681" spans="1:27" ht="14.25">
      <c r="A681" s="49"/>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row>
    <row r="682" spans="1:27" ht="14.25">
      <c r="A682" s="49"/>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row>
    <row r="683" spans="1:27" ht="14.25">
      <c r="A683" s="49"/>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row>
    <row r="684" spans="1:27" ht="14.25">
      <c r="A684" s="49"/>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row>
    <row r="685" spans="1:27" ht="14.25">
      <c r="A685" s="49"/>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row>
    <row r="686" spans="1:27" ht="14.25">
      <c r="A686" s="49"/>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row>
    <row r="687" spans="1:27" ht="14.25">
      <c r="A687" s="49"/>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row>
    <row r="688" spans="1:27" ht="14.25">
      <c r="A688" s="49"/>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row>
    <row r="689" spans="1:27" ht="14.25">
      <c r="A689" s="49"/>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row>
    <row r="690" spans="1:27" ht="14.25">
      <c r="A690" s="49"/>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row>
    <row r="691" spans="1:27" ht="14.25">
      <c r="A691" s="49"/>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row>
    <row r="692" spans="1:27" ht="14.25">
      <c r="A692" s="49"/>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row>
    <row r="693" spans="1:27" ht="14.25">
      <c r="A693" s="49"/>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row>
    <row r="694" spans="1:27" ht="14.25">
      <c r="A694" s="49"/>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row>
    <row r="695" spans="1:27" ht="14.25">
      <c r="A695" s="49"/>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row>
    <row r="696" spans="1:27" ht="14.25">
      <c r="A696" s="49"/>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row>
    <row r="697" spans="1:27" ht="14.25">
      <c r="A697" s="49"/>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row>
    <row r="698" spans="1:27" ht="14.25">
      <c r="A698" s="49"/>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row>
    <row r="699" spans="1:27" ht="14.25">
      <c r="A699" s="49"/>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row>
    <row r="700" spans="1:27" ht="14.25">
      <c r="A700" s="49"/>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row>
    <row r="701" spans="1:27" ht="14.25">
      <c r="A701" s="49"/>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row>
    <row r="702" spans="1:27" ht="14.25">
      <c r="A702" s="49"/>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row>
    <row r="703" spans="1:27" ht="14.25">
      <c r="A703" s="49"/>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row>
    <row r="704" spans="1:27" ht="14.25">
      <c r="A704" s="49"/>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row>
    <row r="705" spans="1:27" ht="14.25">
      <c r="A705" s="49"/>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row>
    <row r="706" spans="1:27" ht="14.25">
      <c r="A706" s="49"/>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row>
    <row r="707" spans="1:27" ht="14.25">
      <c r="A707" s="49"/>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row>
    <row r="708" spans="1:27" ht="14.25">
      <c r="A708" s="49"/>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row>
    <row r="709" spans="1:27" ht="14.25">
      <c r="A709" s="49"/>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row>
    <row r="710" spans="1:27" ht="14.25">
      <c r="A710" s="49"/>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row>
    <row r="711" spans="1:27" ht="14.25">
      <c r="A711" s="49"/>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row>
    <row r="712" spans="1:27" ht="14.25">
      <c r="A712" s="49"/>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row>
    <row r="713" spans="1:27" ht="14.25">
      <c r="A713" s="49"/>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row>
    <row r="714" spans="1:27" ht="14.25">
      <c r="A714" s="49"/>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row>
    <row r="715" spans="1:27" ht="14.25">
      <c r="A715" s="49"/>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row>
    <row r="716" spans="1:27" ht="14.25">
      <c r="A716" s="49"/>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row>
    <row r="717" spans="1:27" ht="14.25">
      <c r="A717" s="49"/>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row>
    <row r="718" spans="1:27" ht="14.25">
      <c r="A718" s="49"/>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row>
    <row r="719" spans="1:27" ht="14.25">
      <c r="A719" s="49"/>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row>
    <row r="720" spans="1:27" ht="14.25">
      <c r="A720" s="49"/>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row>
    <row r="721" spans="1:27" ht="14.25">
      <c r="A721" s="49"/>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row>
    <row r="722" spans="1:27" ht="14.25">
      <c r="A722" s="49"/>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row>
    <row r="723" spans="1:27" ht="14.25">
      <c r="A723" s="49"/>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row>
    <row r="724" spans="1:27" ht="14.25">
      <c r="A724" s="49"/>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row>
    <row r="725" spans="1:27" ht="14.25">
      <c r="A725" s="49"/>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row>
    <row r="726" spans="1:27" ht="14.25">
      <c r="A726" s="49"/>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row>
    <row r="727" spans="1:27" ht="14.25">
      <c r="A727" s="49"/>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row>
    <row r="728" spans="1:27" ht="14.25">
      <c r="A728" s="49"/>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row>
    <row r="729" spans="1:27" ht="14.25">
      <c r="A729" s="49"/>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row>
    <row r="730" spans="1:27" ht="14.25">
      <c r="A730" s="49"/>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row>
    <row r="731" spans="1:27" ht="14.25">
      <c r="A731" s="49"/>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row>
    <row r="732" spans="1:27" ht="14.25">
      <c r="A732" s="49"/>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row>
    <row r="733" spans="1:27" ht="14.25">
      <c r="A733" s="49"/>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row>
    <row r="734" spans="1:27" ht="14.25">
      <c r="A734" s="49"/>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row>
    <row r="735" spans="1:27" ht="14.25">
      <c r="A735" s="49"/>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row>
    <row r="736" spans="1:27" ht="14.25">
      <c r="A736" s="49"/>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row>
    <row r="737" spans="1:27" ht="14.25">
      <c r="A737" s="49"/>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row>
    <row r="738" spans="1:27" ht="14.25">
      <c r="A738" s="49"/>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row>
    <row r="739" spans="1:27" ht="14.25">
      <c r="A739" s="49"/>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row>
    <row r="740" spans="1:27" ht="14.25">
      <c r="A740" s="49"/>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row>
    <row r="741" spans="1:27" ht="14.25">
      <c r="A741" s="49"/>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row>
    <row r="742" spans="1:27" ht="14.25">
      <c r="A742" s="49"/>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row>
    <row r="743" spans="1:27" ht="14.25">
      <c r="A743" s="49"/>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row>
    <row r="744" spans="1:27" ht="14.25">
      <c r="A744" s="49"/>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row>
    <row r="745" spans="1:27" ht="14.25">
      <c r="A745" s="49"/>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row>
    <row r="746" spans="1:27" ht="14.25">
      <c r="A746" s="49"/>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row>
    <row r="747" spans="1:27" ht="14.25">
      <c r="A747" s="49"/>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row>
    <row r="748" spans="1:27" ht="14.25">
      <c r="A748" s="49"/>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row>
    <row r="749" spans="1:27" ht="14.25">
      <c r="A749" s="49"/>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row>
    <row r="750" spans="1:27" ht="14.25">
      <c r="A750" s="49"/>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row>
    <row r="751" spans="1:27" ht="14.25">
      <c r="A751" s="49"/>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row>
    <row r="752" spans="1:27" ht="14.25">
      <c r="A752" s="49"/>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row>
    <row r="753" spans="1:27" ht="14.25">
      <c r="A753" s="49"/>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row>
    <row r="754" spans="1:27" ht="14.25">
      <c r="A754" s="49"/>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row>
    <row r="755" spans="1:27" ht="14.25">
      <c r="A755" s="49"/>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row>
    <row r="756" spans="1:27" ht="14.25">
      <c r="A756" s="49"/>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row>
    <row r="757" spans="1:27" ht="14.25">
      <c r="A757" s="49"/>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row>
    <row r="758" spans="1:27" ht="14.25">
      <c r="A758" s="49"/>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row>
    <row r="759" spans="1:27" ht="14.25">
      <c r="A759" s="49"/>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row>
    <row r="760" spans="1:27" ht="14.25">
      <c r="A760" s="49"/>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row>
    <row r="761" spans="1:27" ht="14.25">
      <c r="A761" s="49"/>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row>
    <row r="762" spans="1:27" ht="14.25">
      <c r="A762" s="49"/>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row>
    <row r="763" spans="1:27" ht="14.25">
      <c r="A763" s="49"/>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row>
    <row r="764" spans="1:27" ht="14.25">
      <c r="A764" s="49"/>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row>
    <row r="765" spans="1:27" ht="14.25">
      <c r="A765" s="49"/>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row>
    <row r="766" spans="1:27" ht="14.25">
      <c r="A766" s="49"/>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row>
    <row r="767" spans="1:27" ht="14.25">
      <c r="A767" s="49"/>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row>
    <row r="768" spans="1:27" ht="14.25">
      <c r="A768" s="49"/>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row>
    <row r="769" spans="1:27" ht="14.25">
      <c r="A769" s="49"/>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row>
    <row r="770" spans="1:27" ht="14.25">
      <c r="A770" s="49"/>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row>
    <row r="771" spans="1:27" ht="14.25">
      <c r="A771" s="49"/>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row>
    <row r="772" spans="1:27" ht="14.25">
      <c r="A772" s="49"/>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row>
    <row r="773" spans="1:27" ht="14.25">
      <c r="A773" s="49"/>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row>
    <row r="774" spans="1:27" ht="14.25">
      <c r="A774" s="49"/>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row>
    <row r="775" spans="1:27" ht="14.25">
      <c r="A775" s="49"/>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row>
    <row r="776" spans="1:27" ht="14.25">
      <c r="A776" s="49"/>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row>
    <row r="777" spans="1:27" ht="14.25">
      <c r="A777" s="49"/>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row>
    <row r="778" spans="1:27" ht="14.25">
      <c r="A778" s="49"/>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row>
    <row r="779" spans="1:27" ht="14.25">
      <c r="A779" s="49"/>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row>
    <row r="780" spans="1:27" ht="14.25">
      <c r="A780" s="49"/>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row>
    <row r="781" spans="1:27" ht="14.25">
      <c r="A781" s="49"/>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row>
    <row r="782" spans="1:27" ht="14.25">
      <c r="A782" s="49"/>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row>
    <row r="783" spans="1:27" ht="14.25">
      <c r="A783" s="49"/>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row>
    <row r="784" spans="1:27" ht="14.25">
      <c r="A784" s="49"/>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row>
    <row r="785" spans="1:27" ht="14.25">
      <c r="A785" s="49"/>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row>
    <row r="786" spans="1:27" ht="14.25">
      <c r="A786" s="49"/>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row>
    <row r="787" spans="1:27" ht="14.25">
      <c r="A787" s="49"/>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row>
    <row r="788" spans="1:27" ht="14.25">
      <c r="A788" s="49"/>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row>
    <row r="789" spans="1:27" ht="14.25">
      <c r="A789" s="49"/>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row>
    <row r="790" spans="1:27" ht="14.25">
      <c r="A790" s="49"/>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row>
    <row r="791" spans="1:27" ht="14.25">
      <c r="A791" s="49"/>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row>
    <row r="792" spans="1:27" ht="14.25">
      <c r="A792" s="49"/>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row>
    <row r="793" spans="1:27" ht="14.25">
      <c r="A793" s="49"/>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row>
    <row r="794" spans="1:27" ht="14.25">
      <c r="A794" s="49"/>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row>
    <row r="795" spans="1:27" ht="14.25">
      <c r="A795" s="49"/>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row>
    <row r="796" spans="1:27" ht="14.25">
      <c r="A796" s="49"/>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row>
    <row r="797" spans="1:27" ht="14.25">
      <c r="A797" s="49"/>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row>
    <row r="798" spans="1:27" ht="14.25">
      <c r="A798" s="49"/>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row>
    <row r="799" spans="1:27" ht="14.25">
      <c r="A799" s="49"/>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row>
    <row r="800" spans="1:27" ht="14.25">
      <c r="A800" s="49"/>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row>
    <row r="801" spans="1:27" ht="14.25">
      <c r="A801" s="49"/>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row>
    <row r="802" spans="1:27" ht="14.25">
      <c r="A802" s="49"/>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row>
    <row r="803" spans="1:27" ht="14.25">
      <c r="A803" s="49"/>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row>
    <row r="804" spans="1:27" ht="14.25">
      <c r="A804" s="49"/>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row>
    <row r="805" spans="1:27" ht="14.25">
      <c r="A805" s="49"/>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row>
    <row r="806" spans="1:27" ht="14.25">
      <c r="A806" s="49"/>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row>
    <row r="807" spans="1:27" ht="14.25">
      <c r="A807" s="49"/>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row>
    <row r="808" spans="1:27" ht="14.25">
      <c r="A808" s="49"/>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row>
    <row r="809" spans="1:27" ht="14.25">
      <c r="A809" s="49"/>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row>
    <row r="810" spans="1:27" ht="14.25">
      <c r="A810" s="49"/>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row>
    <row r="811" spans="1:27" ht="14.25">
      <c r="A811" s="49"/>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row>
    <row r="812" spans="1:27" ht="14.25">
      <c r="A812" s="49"/>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row>
    <row r="813" spans="1:27" ht="14.25">
      <c r="A813" s="49"/>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row>
    <row r="814" spans="1:27" ht="14.25">
      <c r="A814" s="49"/>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row>
    <row r="815" spans="1:27" ht="14.25">
      <c r="A815" s="49"/>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row>
    <row r="816" spans="1:27" ht="14.25">
      <c r="A816" s="49"/>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row>
    <row r="817" spans="1:27" ht="14.25">
      <c r="A817" s="49"/>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row>
    <row r="818" spans="1:27" ht="14.25">
      <c r="A818" s="49"/>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row>
    <row r="819" spans="1:27" ht="14.25">
      <c r="A819" s="49"/>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row>
    <row r="820" spans="1:27" ht="14.25">
      <c r="A820" s="49"/>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row>
    <row r="821" spans="1:27" ht="14.25">
      <c r="A821" s="49"/>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row>
    <row r="822" spans="1:27" ht="14.25">
      <c r="A822" s="49"/>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row>
    <row r="823" spans="1:27" ht="14.25">
      <c r="A823" s="49"/>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row>
    <row r="824" spans="1:27" ht="14.25">
      <c r="A824" s="49"/>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row>
    <row r="825" spans="1:27" ht="14.25">
      <c r="A825" s="49"/>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row>
    <row r="826" spans="1:27" ht="14.25">
      <c r="A826" s="49"/>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row>
    <row r="827" spans="1:27" ht="14.25">
      <c r="A827" s="49"/>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row>
    <row r="828" spans="1:27" ht="14.25">
      <c r="A828" s="49"/>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row>
    <row r="829" spans="1:27" ht="14.25">
      <c r="A829" s="49"/>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row>
    <row r="830" spans="1:27" ht="14.25">
      <c r="A830" s="49"/>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row>
    <row r="831" spans="1:27" ht="14.25">
      <c r="A831" s="49"/>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row>
    <row r="832" spans="1:27" ht="14.25">
      <c r="A832" s="49"/>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row>
    <row r="833" spans="1:27" ht="14.25">
      <c r="A833" s="49"/>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row>
    <row r="834" spans="1:27" ht="14.25">
      <c r="A834" s="49"/>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row>
    <row r="835" spans="1:27" ht="14.25">
      <c r="A835" s="49"/>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row>
    <row r="836" spans="1:27" ht="14.25">
      <c r="A836" s="49"/>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row>
    <row r="837" spans="1:27" ht="14.25">
      <c r="A837" s="49"/>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row>
    <row r="838" spans="1:27" ht="14.25">
      <c r="A838" s="49"/>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row>
    <row r="839" spans="1:27" ht="14.25">
      <c r="A839" s="49"/>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row>
    <row r="840" spans="1:27" ht="14.25">
      <c r="A840" s="49"/>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row>
    <row r="841" spans="1:27" ht="14.25">
      <c r="A841" s="49"/>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row>
    <row r="842" spans="1:27" ht="14.25">
      <c r="A842" s="49"/>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row>
    <row r="843" spans="1:27" ht="14.25">
      <c r="A843" s="49"/>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row>
    <row r="844" spans="1:27" ht="14.25">
      <c r="A844" s="49"/>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row>
    <row r="845" spans="1:27" ht="14.25">
      <c r="A845" s="49"/>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row>
    <row r="846" spans="1:27" ht="14.25">
      <c r="A846" s="49"/>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row>
    <row r="847" spans="1:27" ht="14.25">
      <c r="A847" s="49"/>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row>
    <row r="848" spans="1:27" ht="14.25">
      <c r="A848" s="49"/>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row>
    <row r="849" spans="1:27" ht="14.25">
      <c r="A849" s="49"/>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row>
    <row r="850" spans="1:27" ht="14.25">
      <c r="A850" s="49"/>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row>
    <row r="851" spans="1:27" ht="14.25">
      <c r="A851" s="49"/>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row>
    <row r="852" spans="1:27" ht="14.25">
      <c r="A852" s="49"/>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row>
    <row r="853" spans="1:27" ht="14.25">
      <c r="A853" s="49"/>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row>
    <row r="854" spans="1:27" ht="14.25">
      <c r="A854" s="49"/>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row>
    <row r="855" spans="1:27" ht="14.25">
      <c r="A855" s="49"/>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row>
    <row r="856" spans="1:27" ht="14.25">
      <c r="A856" s="49"/>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row>
    <row r="857" spans="1:27" ht="14.25">
      <c r="A857" s="49"/>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row>
    <row r="858" spans="1:27" ht="14.25">
      <c r="A858" s="49"/>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row>
    <row r="859" spans="1:27" ht="14.25">
      <c r="A859" s="49"/>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row>
    <row r="860" spans="1:27" ht="14.25">
      <c r="A860" s="49"/>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row>
    <row r="861" spans="1:27" ht="14.25">
      <c r="A861" s="49"/>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row>
    <row r="862" spans="1:27" ht="14.25">
      <c r="A862" s="49"/>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row>
    <row r="863" spans="1:27" ht="14.25">
      <c r="A863" s="49"/>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row>
    <row r="864" spans="1:27" ht="14.25">
      <c r="A864" s="49"/>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row>
    <row r="865" spans="1:27" ht="14.25">
      <c r="A865" s="49"/>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row>
    <row r="866" spans="1:27" ht="14.25">
      <c r="A866" s="49"/>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row>
    <row r="867" spans="1:27" ht="14.25">
      <c r="A867" s="49"/>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row>
    <row r="868" spans="1:27" ht="14.25">
      <c r="A868" s="49"/>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row>
    <row r="869" spans="1:27" ht="14.25">
      <c r="A869" s="49"/>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row>
    <row r="870" spans="1:27" ht="14.25">
      <c r="A870" s="49"/>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row>
    <row r="871" spans="1:27" ht="14.25">
      <c r="A871" s="49"/>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row>
    <row r="872" spans="1:27" ht="14.25">
      <c r="A872" s="49"/>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row>
    <row r="873" spans="1:27" ht="14.25">
      <c r="A873" s="49"/>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row>
    <row r="874" spans="1:27" ht="14.25">
      <c r="A874" s="49"/>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row>
    <row r="875" spans="1:27" ht="14.25">
      <c r="A875" s="49"/>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row>
    <row r="876" spans="1:27" ht="14.25">
      <c r="A876" s="49"/>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row>
    <row r="877" spans="1:27" ht="14.25">
      <c r="A877" s="49"/>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row>
    <row r="878" spans="1:27" ht="14.25">
      <c r="A878" s="49"/>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row>
    <row r="879" spans="1:27" ht="14.25">
      <c r="A879" s="49"/>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row>
    <row r="880" spans="1:27" ht="14.25">
      <c r="A880" s="49"/>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row>
    <row r="881" spans="1:27" ht="14.25">
      <c r="A881" s="49"/>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row>
    <row r="882" spans="1:27" ht="14.25">
      <c r="A882" s="49"/>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row>
    <row r="883" spans="1:27" ht="14.25">
      <c r="A883" s="49"/>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row>
    <row r="884" spans="1:27" ht="14.25">
      <c r="A884" s="49"/>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row>
    <row r="885" spans="1:27" ht="14.25">
      <c r="A885" s="49"/>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row>
    <row r="886" spans="1:27" ht="14.25">
      <c r="A886" s="49"/>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row>
    <row r="887" spans="1:27" ht="14.25">
      <c r="A887" s="49"/>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row>
    <row r="888" spans="1:27" ht="14.25">
      <c r="A888" s="49"/>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row>
    <row r="889" spans="1:27" ht="14.25">
      <c r="A889" s="49"/>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row>
    <row r="890" spans="1:27" ht="14.25">
      <c r="A890" s="49"/>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row>
    <row r="891" spans="1:27" ht="14.25">
      <c r="A891" s="49"/>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row>
    <row r="892" spans="1:27" ht="14.25">
      <c r="A892" s="49"/>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row>
    <row r="893" spans="1:27" ht="14.25">
      <c r="A893" s="49"/>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row>
    <row r="894" spans="1:27" ht="14.25">
      <c r="A894" s="49"/>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row>
    <row r="895" spans="1:27" ht="14.25">
      <c r="A895" s="49"/>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row>
    <row r="896" spans="1:27" ht="14.25">
      <c r="A896" s="49"/>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row>
    <row r="897" spans="1:27" ht="14.25">
      <c r="A897" s="49"/>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row>
    <row r="898" spans="1:27" ht="14.25">
      <c r="A898" s="49"/>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row>
    <row r="899" spans="1:27" ht="14.25">
      <c r="A899" s="49"/>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row>
    <row r="900" spans="1:27" ht="14.25">
      <c r="A900" s="49"/>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row>
    <row r="901" spans="1:27" ht="14.25">
      <c r="A901" s="49"/>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row>
    <row r="902" spans="1:27" ht="14.25">
      <c r="A902" s="49"/>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row>
    <row r="903" spans="1:27" ht="14.25">
      <c r="A903" s="49"/>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row>
    <row r="904" spans="1:27" ht="14.25">
      <c r="A904" s="49"/>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row>
    <row r="905" spans="1:27" ht="14.25">
      <c r="A905" s="49"/>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row>
    <row r="906" spans="1:27" ht="14.25">
      <c r="A906" s="49"/>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row>
    <row r="907" spans="1:27" ht="14.25">
      <c r="A907" s="49"/>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row>
    <row r="908" spans="1:27" ht="14.25">
      <c r="A908" s="49"/>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row>
    <row r="909" spans="1:27" ht="14.25">
      <c r="A909" s="49"/>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row>
    <row r="910" spans="1:27" ht="14.25">
      <c r="A910" s="49"/>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row>
    <row r="911" spans="1:27" ht="14.25">
      <c r="A911" s="49"/>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row>
    <row r="912" spans="1:27" ht="14.25">
      <c r="A912" s="49"/>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row>
    <row r="913" spans="1:27" ht="14.25">
      <c r="A913" s="49"/>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row>
    <row r="914" spans="1:27" ht="14.25">
      <c r="A914" s="49"/>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row>
    <row r="915" spans="1:27" ht="14.25">
      <c r="A915" s="49"/>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row>
    <row r="916" spans="1:27" ht="14.25">
      <c r="A916" s="49"/>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row>
    <row r="917" spans="1:27" ht="14.25">
      <c r="A917" s="49"/>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row>
    <row r="918" spans="1:27" ht="14.25">
      <c r="A918" s="49"/>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row>
    <row r="919" spans="1:27" ht="14.25">
      <c r="A919" s="49"/>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row>
    <row r="920" spans="1:27" ht="14.25">
      <c r="A920" s="49"/>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row>
    <row r="921" spans="1:27" ht="14.25">
      <c r="A921" s="49"/>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row>
    <row r="922" spans="1:27" ht="14.25">
      <c r="A922" s="49"/>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row>
    <row r="923" spans="1:27" ht="14.25">
      <c r="A923" s="49"/>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row>
    <row r="924" spans="1:27" ht="14.25">
      <c r="A924" s="49"/>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row>
    <row r="925" spans="1:27" ht="14.25">
      <c r="A925" s="49"/>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row>
    <row r="926" spans="1:27" ht="14.25">
      <c r="A926" s="49"/>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row>
    <row r="927" spans="1:27" ht="14.25">
      <c r="A927" s="49"/>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row>
    <row r="928" spans="1:27" ht="14.25">
      <c r="A928" s="49"/>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row>
    <row r="929" spans="1:27" ht="14.25">
      <c r="A929" s="49"/>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row>
    <row r="930" spans="1:27" ht="14.25">
      <c r="A930" s="49"/>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row>
    <row r="931" spans="1:27" ht="14.25">
      <c r="A931" s="49"/>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row>
    <row r="932" spans="1:27" ht="14.25">
      <c r="A932" s="49"/>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row>
    <row r="933" spans="1:27" ht="14.25">
      <c r="A933" s="49"/>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row>
    <row r="934" spans="1:27" ht="14.25">
      <c r="A934" s="49"/>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row>
    <row r="935" spans="1:27" ht="14.25">
      <c r="A935" s="49"/>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row>
    <row r="936" spans="1:27" ht="14.25">
      <c r="A936" s="49"/>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row>
    <row r="937" spans="1:27" ht="14.25">
      <c r="A937" s="49"/>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row>
    <row r="938" spans="1:27" ht="14.25">
      <c r="A938" s="49"/>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row>
    <row r="939" spans="1:27" ht="14.25">
      <c r="A939" s="49"/>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row>
    <row r="940" spans="1:27" ht="14.25">
      <c r="A940" s="49"/>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row>
    <row r="941" spans="1:27" ht="14.25">
      <c r="A941" s="49"/>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row>
    <row r="942" spans="1:27" ht="14.25">
      <c r="A942" s="49"/>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row>
    <row r="943" spans="1:27" ht="14.25">
      <c r="A943" s="49"/>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row>
    <row r="944" spans="1:27" ht="14.25">
      <c r="A944" s="49"/>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row>
    <row r="945" spans="1:27" ht="14.25">
      <c r="A945" s="49"/>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row>
    <row r="946" spans="1:27" ht="14.25">
      <c r="A946" s="49"/>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row>
    <row r="947" spans="1:27" ht="14.25">
      <c r="A947" s="49"/>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row>
    <row r="948" spans="1:27" ht="14.25">
      <c r="A948" s="49"/>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row>
    <row r="949" spans="1:27" ht="14.25">
      <c r="A949" s="49"/>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row>
    <row r="950" spans="1:27" ht="14.25">
      <c r="A950" s="49"/>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row>
    <row r="951" spans="1:27" ht="14.25">
      <c r="A951" s="49"/>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row>
    <row r="952" spans="1:27" ht="14.25">
      <c r="A952" s="49"/>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row>
    <row r="953" spans="1:27" ht="14.25">
      <c r="A953" s="49"/>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row>
    <row r="954" spans="1:27" ht="14.25">
      <c r="A954" s="49"/>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row>
    <row r="955" spans="1:27" ht="14.25">
      <c r="A955" s="49"/>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row>
    <row r="956" spans="1:27" ht="14.25">
      <c r="A956" s="49"/>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row>
    <row r="957" spans="1:27" ht="14.25">
      <c r="A957" s="49"/>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row>
    <row r="958" spans="1:27" ht="14.25">
      <c r="A958" s="49"/>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row>
    <row r="959" spans="1:27" ht="14.25">
      <c r="A959" s="49"/>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row>
    <row r="960" spans="1:27" ht="14.25">
      <c r="A960" s="49"/>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row>
    <row r="961" spans="1:27" ht="14.25">
      <c r="A961" s="49"/>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row>
    <row r="962" spans="1:27" ht="14.25">
      <c r="A962" s="49"/>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row>
    <row r="963" spans="1:27" ht="14.25">
      <c r="A963" s="49"/>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row>
    <row r="964" spans="1:27" ht="14.25">
      <c r="A964" s="49"/>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row>
    <row r="965" spans="1:27" ht="14.25">
      <c r="A965" s="49"/>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row>
    <row r="966" spans="1:27" ht="14.25">
      <c r="A966" s="49"/>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row>
    <row r="967" spans="1:27" ht="14.25">
      <c r="A967" s="49"/>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row>
    <row r="968" spans="1:27" ht="14.25">
      <c r="A968" s="49"/>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row>
    <row r="969" spans="1:27" ht="14.25">
      <c r="A969" s="49"/>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row>
    <row r="970" spans="1:27" ht="14.25">
      <c r="A970" s="49"/>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row>
    <row r="971" spans="1:27" ht="14.25">
      <c r="A971" s="49"/>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row>
    <row r="972" spans="1:27" ht="14.25">
      <c r="A972" s="49"/>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row>
    <row r="973" spans="1:27" ht="14.25">
      <c r="A973" s="49"/>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row>
    <row r="974" spans="1:27" ht="14.25">
      <c r="A974" s="49"/>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row>
    <row r="975" spans="1:27" ht="14.25">
      <c r="A975" s="49"/>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row>
    <row r="976" spans="1:27" ht="14.25">
      <c r="A976" s="49"/>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row>
    <row r="977" spans="1:27" ht="14.25">
      <c r="A977" s="49"/>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row>
    <row r="978" spans="1:27" ht="14.25">
      <c r="A978" s="49"/>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row>
    <row r="979" spans="1:27" ht="14.25">
      <c r="A979" s="49"/>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row>
    <row r="980" spans="1:27" ht="14.25">
      <c r="A980" s="49"/>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row>
    <row r="981" spans="1:27" ht="14.25">
      <c r="A981" s="49"/>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row>
    <row r="982" spans="1:27" ht="14.25">
      <c r="A982" s="49"/>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row>
    <row r="983" spans="1:27" ht="14.25">
      <c r="A983" s="49"/>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row>
    <row r="984" spans="1:27" ht="14.25">
      <c r="A984" s="49"/>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row>
    <row r="985" spans="1:27" ht="14.25">
      <c r="A985" s="49"/>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row>
    <row r="986" spans="1:27" ht="14.25">
      <c r="A986" s="49"/>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row>
    <row r="987" spans="1:27" ht="14.25">
      <c r="A987" s="49"/>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row>
    <row r="988" spans="1:27" ht="14.25">
      <c r="A988" s="49"/>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row>
    <row r="989" spans="1:27" ht="14.25">
      <c r="A989" s="49"/>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row>
    <row r="990" spans="1:27" ht="14.25">
      <c r="A990" s="49"/>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row>
    <row r="991" spans="1:27" ht="14.25">
      <c r="A991" s="49"/>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row>
    <row r="992" spans="1:27" ht="14.25">
      <c r="A992" s="49"/>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row>
    <row r="993" spans="1:27" ht="14.25">
      <c r="A993" s="49"/>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row>
    <row r="994" spans="1:27" ht="14.25">
      <c r="A994" s="49"/>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row>
    <row r="995" spans="1:27" ht="14.25">
      <c r="A995" s="49"/>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row>
    <row r="996" spans="1:27" ht="14.25">
      <c r="A996" s="49"/>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row>
    <row r="997" spans="1:27" ht="14.25">
      <c r="A997" s="49"/>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row>
    <row r="998" spans="1:27" ht="14.25">
      <c r="A998" s="49"/>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row>
    <row r="999" spans="1:27" ht="14.25">
      <c r="A999" s="49"/>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row>
    <row r="1000" spans="1:27" ht="14.25">
      <c r="A1000" s="49"/>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row>
    <row r="1001" spans="1:27" ht="14.25">
      <c r="A1001" s="49"/>
      <c r="B1001" s="75"/>
      <c r="C1001" s="75"/>
      <c r="D1001" s="75"/>
      <c r="E1001" s="75"/>
      <c r="F1001" s="75"/>
      <c r="G1001" s="75"/>
      <c r="H1001" s="75"/>
      <c r="I1001" s="75"/>
      <c r="J1001" s="75"/>
      <c r="K1001" s="75"/>
      <c r="L1001" s="75"/>
      <c r="M1001" s="75"/>
      <c r="N1001" s="75"/>
      <c r="O1001" s="75"/>
      <c r="P1001" s="75"/>
      <c r="Q1001" s="75"/>
      <c r="R1001" s="75"/>
      <c r="S1001" s="75"/>
      <c r="T1001" s="75"/>
      <c r="U1001" s="75"/>
      <c r="V1001" s="75"/>
      <c r="W1001" s="75"/>
      <c r="X1001" s="75"/>
      <c r="Y1001" s="75"/>
      <c r="Z1001" s="75"/>
      <c r="AA1001" s="75"/>
    </row>
    <row r="1002" spans="1:27" ht="14.25">
      <c r="A1002" s="49"/>
      <c r="B1002" s="75"/>
      <c r="C1002" s="75"/>
      <c r="D1002" s="75"/>
      <c r="E1002" s="75"/>
      <c r="F1002" s="75"/>
      <c r="G1002" s="75"/>
      <c r="H1002" s="75"/>
      <c r="I1002" s="75"/>
      <c r="J1002" s="75"/>
      <c r="K1002" s="75"/>
      <c r="L1002" s="75"/>
      <c r="M1002" s="75"/>
      <c r="N1002" s="75"/>
      <c r="O1002" s="75"/>
      <c r="P1002" s="75"/>
      <c r="Q1002" s="75"/>
      <c r="R1002" s="75"/>
      <c r="S1002" s="75"/>
      <c r="T1002" s="75"/>
      <c r="U1002" s="75"/>
      <c r="V1002" s="75"/>
      <c r="W1002" s="75"/>
      <c r="X1002" s="75"/>
      <c r="Y1002" s="75"/>
      <c r="Z1002" s="75"/>
      <c r="AA1002" s="75"/>
    </row>
    <row r="1003" spans="1:27" ht="14.25">
      <c r="A1003" s="49"/>
      <c r="B1003" s="75"/>
      <c r="C1003" s="75"/>
      <c r="D1003" s="75"/>
      <c r="E1003" s="75"/>
      <c r="F1003" s="75"/>
      <c r="G1003" s="75"/>
      <c r="H1003" s="75"/>
      <c r="I1003" s="75"/>
      <c r="J1003" s="75"/>
      <c r="K1003" s="75"/>
      <c r="L1003" s="75"/>
      <c r="M1003" s="75"/>
      <c r="N1003" s="75"/>
      <c r="O1003" s="75"/>
      <c r="P1003" s="75"/>
      <c r="Q1003" s="75"/>
      <c r="R1003" s="75"/>
      <c r="S1003" s="75"/>
      <c r="T1003" s="75"/>
      <c r="U1003" s="75"/>
      <c r="V1003" s="75"/>
      <c r="W1003" s="75"/>
      <c r="X1003" s="75"/>
      <c r="Y1003" s="75"/>
      <c r="Z1003" s="75"/>
      <c r="AA1003" s="75"/>
    </row>
    <row r="1004" spans="1:27" ht="14.25">
      <c r="A1004" s="49"/>
      <c r="B1004" s="75"/>
      <c r="C1004" s="75"/>
      <c r="D1004" s="75"/>
      <c r="E1004" s="75"/>
      <c r="F1004" s="75"/>
      <c r="G1004" s="75"/>
      <c r="H1004" s="75"/>
      <c r="I1004" s="75"/>
      <c r="J1004" s="75"/>
      <c r="K1004" s="75"/>
      <c r="L1004" s="75"/>
      <c r="M1004" s="75"/>
      <c r="N1004" s="75"/>
      <c r="O1004" s="75"/>
      <c r="P1004" s="75"/>
      <c r="Q1004" s="75"/>
      <c r="R1004" s="75"/>
      <c r="S1004" s="75"/>
      <c r="T1004" s="75"/>
      <c r="U1004" s="75"/>
      <c r="V1004" s="75"/>
      <c r="W1004" s="75"/>
      <c r="X1004" s="75"/>
      <c r="Y1004" s="75"/>
      <c r="Z1004" s="75"/>
      <c r="AA1004" s="75"/>
    </row>
    <row r="1005" spans="1:27" ht="14.25">
      <c r="A1005" s="49"/>
      <c r="B1005" s="75"/>
      <c r="C1005" s="75"/>
      <c r="D1005" s="75"/>
      <c r="E1005" s="75"/>
      <c r="F1005" s="75"/>
      <c r="G1005" s="75"/>
      <c r="H1005" s="75"/>
      <c r="I1005" s="75"/>
      <c r="J1005" s="75"/>
      <c r="K1005" s="75"/>
      <c r="L1005" s="75"/>
      <c r="M1005" s="75"/>
      <c r="N1005" s="75"/>
      <c r="O1005" s="75"/>
      <c r="P1005" s="75"/>
      <c r="Q1005" s="75"/>
      <c r="R1005" s="75"/>
      <c r="S1005" s="75"/>
      <c r="T1005" s="75"/>
      <c r="U1005" s="75"/>
      <c r="V1005" s="75"/>
      <c r="W1005" s="75"/>
      <c r="X1005" s="75"/>
      <c r="Y1005" s="75"/>
      <c r="Z1005" s="75"/>
      <c r="AA1005" s="75"/>
    </row>
    <row r="1006" spans="1:27" ht="14.25">
      <c r="A1006" s="49"/>
      <c r="B1006" s="75"/>
      <c r="C1006" s="75"/>
      <c r="D1006" s="75"/>
      <c r="E1006" s="75"/>
      <c r="F1006" s="75"/>
      <c r="G1006" s="75"/>
      <c r="H1006" s="75"/>
      <c r="I1006" s="75"/>
      <c r="J1006" s="75"/>
      <c r="K1006" s="75"/>
      <c r="L1006" s="75"/>
      <c r="M1006" s="75"/>
      <c r="N1006" s="75"/>
      <c r="O1006" s="75"/>
      <c r="P1006" s="75"/>
      <c r="Q1006" s="75"/>
      <c r="R1006" s="75"/>
      <c r="S1006" s="75"/>
      <c r="T1006" s="75"/>
      <c r="U1006" s="75"/>
      <c r="V1006" s="75"/>
      <c r="W1006" s="75"/>
      <c r="X1006" s="75"/>
      <c r="Y1006" s="75"/>
      <c r="Z1006" s="75"/>
      <c r="AA1006" s="75"/>
    </row>
    <row r="1007" spans="1:27" ht="14.25">
      <c r="A1007" s="49"/>
      <c r="B1007" s="75"/>
      <c r="C1007" s="75"/>
      <c r="D1007" s="75"/>
      <c r="E1007" s="75"/>
      <c r="F1007" s="75"/>
      <c r="G1007" s="75"/>
      <c r="H1007" s="75"/>
      <c r="I1007" s="75"/>
      <c r="J1007" s="75"/>
      <c r="K1007" s="75"/>
      <c r="L1007" s="75"/>
      <c r="M1007" s="75"/>
      <c r="N1007" s="75"/>
      <c r="O1007" s="75"/>
      <c r="P1007" s="75"/>
      <c r="Q1007" s="75"/>
      <c r="R1007" s="75"/>
      <c r="S1007" s="75"/>
      <c r="T1007" s="75"/>
      <c r="U1007" s="75"/>
      <c r="V1007" s="75"/>
      <c r="W1007" s="75"/>
      <c r="X1007" s="75"/>
      <c r="Y1007" s="75"/>
      <c r="Z1007" s="75"/>
      <c r="AA1007" s="75"/>
    </row>
    <row r="1008" spans="1:27" ht="14.25">
      <c r="A1008" s="49"/>
      <c r="B1008" s="75"/>
      <c r="C1008" s="75"/>
      <c r="D1008" s="75"/>
      <c r="E1008" s="75"/>
      <c r="F1008" s="75"/>
      <c r="G1008" s="75"/>
      <c r="H1008" s="75"/>
      <c r="I1008" s="75"/>
      <c r="J1008" s="75"/>
      <c r="K1008" s="75"/>
      <c r="L1008" s="75"/>
      <c r="M1008" s="75"/>
      <c r="N1008" s="75"/>
      <c r="O1008" s="75"/>
      <c r="P1008" s="75"/>
      <c r="Q1008" s="75"/>
      <c r="R1008" s="75"/>
      <c r="S1008" s="75"/>
      <c r="T1008" s="75"/>
      <c r="U1008" s="75"/>
      <c r="V1008" s="75"/>
      <c r="W1008" s="75"/>
      <c r="X1008" s="75"/>
      <c r="Y1008" s="75"/>
      <c r="Z1008" s="75"/>
      <c r="AA1008" s="75"/>
    </row>
    <row r="1009" spans="1:27" ht="14.25">
      <c r="A1009" s="49"/>
      <c r="B1009" s="75"/>
      <c r="C1009" s="75"/>
      <c r="D1009" s="75"/>
      <c r="E1009" s="75"/>
      <c r="F1009" s="75"/>
      <c r="G1009" s="75"/>
      <c r="H1009" s="75"/>
      <c r="I1009" s="75"/>
      <c r="J1009" s="75"/>
      <c r="K1009" s="75"/>
      <c r="L1009" s="75"/>
      <c r="M1009" s="75"/>
      <c r="N1009" s="75"/>
      <c r="O1009" s="75"/>
      <c r="P1009" s="75"/>
      <c r="Q1009" s="75"/>
      <c r="R1009" s="75"/>
      <c r="S1009" s="75"/>
      <c r="T1009" s="75"/>
      <c r="U1009" s="75"/>
      <c r="V1009" s="75"/>
      <c r="W1009" s="75"/>
      <c r="X1009" s="75"/>
      <c r="Y1009" s="75"/>
      <c r="Z1009" s="75"/>
      <c r="AA1009" s="75"/>
    </row>
    <row r="1010" spans="1:27" ht="14.25">
      <c r="A1010" s="49"/>
      <c r="B1010" s="75"/>
      <c r="C1010" s="75"/>
      <c r="D1010" s="75"/>
      <c r="E1010" s="75"/>
      <c r="F1010" s="75"/>
      <c r="G1010" s="75"/>
      <c r="H1010" s="75"/>
      <c r="I1010" s="75"/>
      <c r="J1010" s="75"/>
      <c r="K1010" s="75"/>
      <c r="L1010" s="75"/>
      <c r="M1010" s="75"/>
      <c r="N1010" s="75"/>
      <c r="O1010" s="75"/>
      <c r="P1010" s="75"/>
      <c r="Q1010" s="75"/>
      <c r="R1010" s="75"/>
      <c r="S1010" s="75"/>
      <c r="T1010" s="75"/>
      <c r="U1010" s="75"/>
      <c r="V1010" s="75"/>
      <c r="W1010" s="75"/>
      <c r="X1010" s="75"/>
      <c r="Y1010" s="75"/>
      <c r="Z1010" s="75"/>
      <c r="AA1010" s="75"/>
    </row>
    <row r="1011" spans="1:27" ht="14.25">
      <c r="A1011" s="49"/>
      <c r="B1011" s="75"/>
      <c r="C1011" s="75"/>
      <c r="D1011" s="75"/>
      <c r="E1011" s="75"/>
      <c r="F1011" s="75"/>
      <c r="G1011" s="75"/>
      <c r="H1011" s="75"/>
      <c r="I1011" s="75"/>
      <c r="J1011" s="75"/>
      <c r="K1011" s="75"/>
      <c r="L1011" s="75"/>
      <c r="M1011" s="75"/>
      <c r="N1011" s="75"/>
      <c r="O1011" s="75"/>
      <c r="P1011" s="75"/>
      <c r="Q1011" s="75"/>
      <c r="R1011" s="75"/>
      <c r="S1011" s="75"/>
      <c r="T1011" s="75"/>
      <c r="U1011" s="75"/>
      <c r="V1011" s="75"/>
      <c r="W1011" s="75"/>
      <c r="X1011" s="75"/>
      <c r="Y1011" s="75"/>
      <c r="Z1011" s="75"/>
      <c r="AA1011" s="75"/>
    </row>
    <row r="1012" spans="1:27" ht="14.25">
      <c r="A1012" s="49"/>
      <c r="B1012" s="75"/>
      <c r="C1012" s="75"/>
      <c r="D1012" s="75"/>
      <c r="E1012" s="75"/>
      <c r="F1012" s="75"/>
      <c r="G1012" s="75"/>
      <c r="H1012" s="75"/>
      <c r="I1012" s="75"/>
      <c r="J1012" s="75"/>
      <c r="K1012" s="75"/>
      <c r="L1012" s="75"/>
      <c r="M1012" s="75"/>
      <c r="N1012" s="75"/>
      <c r="O1012" s="75"/>
      <c r="P1012" s="75"/>
      <c r="Q1012" s="75"/>
      <c r="R1012" s="75"/>
      <c r="S1012" s="75"/>
      <c r="T1012" s="75"/>
      <c r="U1012" s="75"/>
      <c r="V1012" s="75"/>
      <c r="W1012" s="75"/>
      <c r="X1012" s="75"/>
      <c r="Y1012" s="75"/>
      <c r="Z1012" s="75"/>
      <c r="AA1012" s="75"/>
    </row>
    <row r="1013" spans="1:27" ht="14.25">
      <c r="A1013" s="49"/>
      <c r="B1013" s="75"/>
      <c r="C1013" s="75"/>
      <c r="D1013" s="75"/>
      <c r="E1013" s="75"/>
      <c r="F1013" s="75"/>
      <c r="G1013" s="75"/>
      <c r="H1013" s="75"/>
      <c r="I1013" s="75"/>
      <c r="J1013" s="75"/>
      <c r="K1013" s="75"/>
      <c r="L1013" s="75"/>
      <c r="M1013" s="75"/>
      <c r="N1013" s="75"/>
      <c r="O1013" s="75"/>
      <c r="P1013" s="75"/>
      <c r="Q1013" s="75"/>
      <c r="R1013" s="75"/>
      <c r="S1013" s="75"/>
      <c r="T1013" s="75"/>
      <c r="U1013" s="75"/>
      <c r="V1013" s="75"/>
      <c r="W1013" s="75"/>
      <c r="X1013" s="75"/>
      <c r="Y1013" s="75"/>
      <c r="Z1013" s="75"/>
      <c r="AA1013" s="75"/>
    </row>
    <row r="1014" spans="1:27" ht="14.25">
      <c r="A1014" s="49"/>
      <c r="B1014" s="75"/>
      <c r="C1014" s="75"/>
      <c r="D1014" s="75"/>
      <c r="E1014" s="75"/>
      <c r="F1014" s="75"/>
      <c r="G1014" s="75"/>
      <c r="H1014" s="75"/>
      <c r="I1014" s="75"/>
      <c r="J1014" s="75"/>
      <c r="K1014" s="75"/>
      <c r="L1014" s="75"/>
      <c r="M1014" s="75"/>
      <c r="N1014" s="75"/>
      <c r="O1014" s="75"/>
      <c r="P1014" s="75"/>
      <c r="Q1014" s="75"/>
      <c r="R1014" s="75"/>
      <c r="S1014" s="75"/>
      <c r="T1014" s="75"/>
      <c r="U1014" s="75"/>
      <c r="V1014" s="75"/>
      <c r="W1014" s="75"/>
      <c r="X1014" s="75"/>
      <c r="Y1014" s="75"/>
      <c r="Z1014" s="75"/>
      <c r="AA1014" s="75"/>
    </row>
    <row r="1015" spans="1:27" ht="14.25">
      <c r="A1015" s="49"/>
      <c r="B1015" s="75"/>
      <c r="C1015" s="75"/>
      <c r="D1015" s="75"/>
      <c r="E1015" s="75"/>
      <c r="F1015" s="75"/>
      <c r="G1015" s="75"/>
      <c r="H1015" s="75"/>
      <c r="I1015" s="75"/>
      <c r="J1015" s="75"/>
      <c r="K1015" s="75"/>
      <c r="L1015" s="75"/>
      <c r="M1015" s="75"/>
      <c r="N1015" s="75"/>
      <c r="O1015" s="75"/>
      <c r="P1015" s="75"/>
      <c r="Q1015" s="75"/>
      <c r="R1015" s="75"/>
      <c r="S1015" s="75"/>
      <c r="T1015" s="75"/>
      <c r="U1015" s="75"/>
      <c r="V1015" s="75"/>
      <c r="W1015" s="75"/>
      <c r="X1015" s="75"/>
      <c r="Y1015" s="75"/>
      <c r="Z1015" s="75"/>
      <c r="AA1015" s="75"/>
    </row>
    <row r="1016" spans="1:27" ht="14.25">
      <c r="A1016" s="49"/>
      <c r="B1016" s="75"/>
      <c r="C1016" s="75"/>
      <c r="D1016" s="75"/>
      <c r="E1016" s="75"/>
      <c r="F1016" s="75"/>
      <c r="G1016" s="75"/>
      <c r="H1016" s="75"/>
      <c r="I1016" s="75"/>
      <c r="J1016" s="75"/>
      <c r="K1016" s="75"/>
      <c r="L1016" s="75"/>
      <c r="M1016" s="75"/>
      <c r="N1016" s="75"/>
      <c r="O1016" s="75"/>
      <c r="P1016" s="75"/>
      <c r="Q1016" s="75"/>
      <c r="R1016" s="75"/>
      <c r="S1016" s="75"/>
      <c r="T1016" s="75"/>
      <c r="U1016" s="75"/>
      <c r="V1016" s="75"/>
      <c r="W1016" s="75"/>
      <c r="X1016" s="75"/>
      <c r="Y1016" s="75"/>
      <c r="Z1016" s="75"/>
      <c r="AA1016" s="75"/>
    </row>
    <row r="1017" spans="1:27" ht="14.25">
      <c r="A1017" s="49"/>
      <c r="B1017" s="75"/>
      <c r="C1017" s="75"/>
      <c r="D1017" s="75"/>
      <c r="E1017" s="75"/>
      <c r="F1017" s="75"/>
      <c r="G1017" s="75"/>
      <c r="H1017" s="75"/>
      <c r="I1017" s="75"/>
      <c r="J1017" s="75"/>
      <c r="K1017" s="75"/>
      <c r="L1017" s="75"/>
      <c r="M1017" s="75"/>
      <c r="N1017" s="75"/>
      <c r="O1017" s="75"/>
      <c r="P1017" s="75"/>
      <c r="Q1017" s="75"/>
      <c r="R1017" s="75"/>
      <c r="S1017" s="75"/>
      <c r="T1017" s="75"/>
      <c r="U1017" s="75"/>
      <c r="V1017" s="75"/>
      <c r="W1017" s="75"/>
      <c r="X1017" s="75"/>
      <c r="Y1017" s="75"/>
      <c r="Z1017" s="75"/>
      <c r="AA1017" s="75"/>
    </row>
    <row r="1018" spans="1:27" ht="14.25">
      <c r="A1018" s="49"/>
      <c r="B1018" s="75"/>
      <c r="C1018" s="75"/>
      <c r="D1018" s="75"/>
      <c r="E1018" s="75"/>
      <c r="F1018" s="75"/>
      <c r="G1018" s="75"/>
      <c r="H1018" s="75"/>
      <c r="I1018" s="75"/>
      <c r="J1018" s="75"/>
      <c r="K1018" s="75"/>
      <c r="L1018" s="75"/>
      <c r="M1018" s="75"/>
      <c r="N1018" s="75"/>
      <c r="O1018" s="75"/>
      <c r="P1018" s="75"/>
      <c r="Q1018" s="75"/>
      <c r="R1018" s="75"/>
      <c r="S1018" s="75"/>
      <c r="T1018" s="75"/>
      <c r="U1018" s="75"/>
      <c r="V1018" s="75"/>
      <c r="W1018" s="75"/>
      <c r="X1018" s="75"/>
      <c r="Y1018" s="75"/>
      <c r="Z1018" s="75"/>
      <c r="AA1018" s="75"/>
    </row>
    <row r="1019" spans="1:27" ht="14.25">
      <c r="A1019" s="49"/>
      <c r="B1019" s="75"/>
      <c r="C1019" s="75"/>
      <c r="D1019" s="75"/>
      <c r="E1019" s="75"/>
      <c r="F1019" s="75"/>
      <c r="G1019" s="75"/>
      <c r="H1019" s="75"/>
      <c r="I1019" s="75"/>
      <c r="J1019" s="75"/>
      <c r="K1019" s="75"/>
      <c r="L1019" s="75"/>
      <c r="M1019" s="75"/>
      <c r="N1019" s="75"/>
      <c r="O1019" s="75"/>
      <c r="P1019" s="75"/>
      <c r="Q1019" s="75"/>
      <c r="R1019" s="75"/>
      <c r="S1019" s="75"/>
      <c r="T1019" s="75"/>
      <c r="U1019" s="75"/>
      <c r="V1019" s="75"/>
      <c r="W1019" s="75"/>
      <c r="X1019" s="75"/>
      <c r="Y1019" s="75"/>
      <c r="Z1019" s="75"/>
      <c r="AA1019" s="75"/>
    </row>
    <row r="1020" spans="1:27" ht="14.25">
      <c r="A1020" s="49"/>
      <c r="B1020" s="75"/>
      <c r="C1020" s="75"/>
      <c r="D1020" s="75"/>
      <c r="E1020" s="75"/>
      <c r="F1020" s="75"/>
      <c r="G1020" s="75"/>
      <c r="H1020" s="75"/>
      <c r="I1020" s="75"/>
      <c r="J1020" s="75"/>
      <c r="K1020" s="75"/>
      <c r="L1020" s="75"/>
      <c r="M1020" s="75"/>
      <c r="N1020" s="75"/>
      <c r="O1020" s="75"/>
      <c r="P1020" s="75"/>
      <c r="Q1020" s="75"/>
      <c r="R1020" s="75"/>
      <c r="S1020" s="75"/>
      <c r="T1020" s="75"/>
      <c r="U1020" s="75"/>
      <c r="V1020" s="75"/>
      <c r="W1020" s="75"/>
      <c r="X1020" s="75"/>
      <c r="Y1020" s="75"/>
      <c r="Z1020" s="75"/>
      <c r="AA1020" s="75"/>
    </row>
    <row r="1021" spans="1:27" ht="14.25">
      <c r="A1021" s="49"/>
      <c r="B1021" s="75"/>
      <c r="C1021" s="75"/>
      <c r="D1021" s="75"/>
      <c r="E1021" s="75"/>
      <c r="F1021" s="75"/>
      <c r="G1021" s="75"/>
      <c r="H1021" s="75"/>
      <c r="I1021" s="75"/>
      <c r="J1021" s="75"/>
      <c r="K1021" s="75"/>
      <c r="L1021" s="75"/>
      <c r="M1021" s="75"/>
      <c r="N1021" s="75"/>
      <c r="O1021" s="75"/>
      <c r="P1021" s="75"/>
      <c r="Q1021" s="75"/>
      <c r="R1021" s="75"/>
      <c r="S1021" s="75"/>
      <c r="T1021" s="75"/>
      <c r="U1021" s="75"/>
      <c r="V1021" s="75"/>
      <c r="W1021" s="75"/>
      <c r="X1021" s="75"/>
      <c r="Y1021" s="75"/>
      <c r="Z1021" s="75"/>
      <c r="AA1021" s="75"/>
    </row>
    <row r="1022" spans="1:27" ht="14.25">
      <c r="A1022" s="49"/>
      <c r="B1022" s="75"/>
      <c r="C1022" s="75"/>
      <c r="D1022" s="75"/>
      <c r="E1022" s="75"/>
      <c r="F1022" s="75"/>
      <c r="G1022" s="75"/>
      <c r="H1022" s="75"/>
      <c r="I1022" s="75"/>
      <c r="J1022" s="75"/>
      <c r="K1022" s="75"/>
      <c r="L1022" s="75"/>
      <c r="M1022" s="75"/>
      <c r="N1022" s="75"/>
      <c r="O1022" s="75"/>
      <c r="P1022" s="75"/>
      <c r="Q1022" s="75"/>
      <c r="R1022" s="75"/>
      <c r="S1022" s="75"/>
      <c r="T1022" s="75"/>
      <c r="U1022" s="75"/>
      <c r="V1022" s="75"/>
      <c r="W1022" s="75"/>
      <c r="X1022" s="75"/>
      <c r="Y1022" s="75"/>
      <c r="Z1022" s="75"/>
      <c r="AA1022" s="75"/>
    </row>
    <row r="1023" spans="1:27" ht="14.25">
      <c r="A1023" s="49"/>
      <c r="B1023" s="75"/>
      <c r="C1023" s="75"/>
      <c r="D1023" s="75"/>
      <c r="E1023" s="75"/>
      <c r="F1023" s="75"/>
      <c r="G1023" s="75"/>
      <c r="H1023" s="75"/>
      <c r="I1023" s="75"/>
      <c r="J1023" s="75"/>
      <c r="K1023" s="75"/>
      <c r="L1023" s="75"/>
      <c r="M1023" s="75"/>
      <c r="N1023" s="75"/>
      <c r="O1023" s="75"/>
      <c r="P1023" s="75"/>
      <c r="Q1023" s="75"/>
      <c r="R1023" s="75"/>
      <c r="S1023" s="75"/>
      <c r="T1023" s="75"/>
      <c r="U1023" s="75"/>
      <c r="V1023" s="75"/>
      <c r="W1023" s="75"/>
      <c r="X1023" s="75"/>
      <c r="Y1023" s="75"/>
      <c r="Z1023" s="75"/>
      <c r="AA1023" s="75"/>
    </row>
    <row r="1024" spans="1:27" ht="14.25">
      <c r="A1024" s="49"/>
      <c r="B1024" s="75"/>
      <c r="C1024" s="75"/>
      <c r="D1024" s="75"/>
      <c r="E1024" s="75"/>
      <c r="F1024" s="75"/>
      <c r="G1024" s="75"/>
      <c r="H1024" s="75"/>
      <c r="I1024" s="75"/>
      <c r="J1024" s="75"/>
      <c r="K1024" s="75"/>
      <c r="L1024" s="75"/>
      <c r="M1024" s="75"/>
      <c r="N1024" s="75"/>
      <c r="O1024" s="75"/>
      <c r="P1024" s="75"/>
      <c r="Q1024" s="75"/>
      <c r="R1024" s="75"/>
      <c r="S1024" s="75"/>
      <c r="T1024" s="75"/>
      <c r="U1024" s="75"/>
      <c r="V1024" s="75"/>
      <c r="W1024" s="75"/>
      <c r="X1024" s="75"/>
      <c r="Y1024" s="75"/>
      <c r="Z1024" s="75"/>
      <c r="AA1024" s="75"/>
    </row>
    <row r="1025" spans="1:27" ht="14.25">
      <c r="A1025" s="49"/>
      <c r="B1025" s="75"/>
      <c r="C1025" s="75"/>
      <c r="D1025" s="75"/>
      <c r="E1025" s="75"/>
      <c r="F1025" s="75"/>
      <c r="G1025" s="75"/>
      <c r="H1025" s="75"/>
      <c r="I1025" s="75"/>
      <c r="J1025" s="75"/>
      <c r="K1025" s="75"/>
      <c r="L1025" s="75"/>
      <c r="M1025" s="75"/>
      <c r="N1025" s="75"/>
      <c r="O1025" s="75"/>
      <c r="P1025" s="75"/>
      <c r="Q1025" s="75"/>
      <c r="R1025" s="75"/>
      <c r="S1025" s="75"/>
      <c r="T1025" s="75"/>
      <c r="U1025" s="75"/>
      <c r="V1025" s="75"/>
      <c r="W1025" s="75"/>
      <c r="X1025" s="75"/>
      <c r="Y1025" s="75"/>
      <c r="Z1025" s="75"/>
      <c r="AA1025" s="75"/>
    </row>
    <row r="1026" spans="1:27" ht="14.25">
      <c r="A1026" s="49"/>
      <c r="B1026" s="75"/>
      <c r="C1026" s="75"/>
      <c r="D1026" s="75"/>
      <c r="E1026" s="75"/>
      <c r="F1026" s="75"/>
      <c r="G1026" s="75"/>
      <c r="H1026" s="75"/>
      <c r="I1026" s="75"/>
      <c r="J1026" s="75"/>
      <c r="K1026" s="75"/>
      <c r="L1026" s="75"/>
      <c r="M1026" s="75"/>
      <c r="N1026" s="75"/>
      <c r="O1026" s="75"/>
      <c r="P1026" s="75"/>
      <c r="Q1026" s="75"/>
      <c r="R1026" s="75"/>
      <c r="S1026" s="75"/>
      <c r="T1026" s="75"/>
      <c r="U1026" s="75"/>
      <c r="V1026" s="75"/>
      <c r="W1026" s="75"/>
      <c r="X1026" s="75"/>
      <c r="Y1026" s="75"/>
      <c r="Z1026" s="75"/>
      <c r="AA1026" s="75"/>
    </row>
    <row r="1027" spans="1:27" ht="14.25">
      <c r="A1027" s="49"/>
      <c r="B1027" s="75"/>
      <c r="C1027" s="75"/>
      <c r="D1027" s="75"/>
      <c r="E1027" s="75"/>
      <c r="F1027" s="75"/>
      <c r="G1027" s="75"/>
      <c r="H1027" s="75"/>
      <c r="I1027" s="75"/>
      <c r="J1027" s="75"/>
      <c r="K1027" s="75"/>
      <c r="L1027" s="75"/>
      <c r="M1027" s="75"/>
      <c r="N1027" s="75"/>
      <c r="O1027" s="75"/>
      <c r="P1027" s="75"/>
      <c r="Q1027" s="75"/>
      <c r="R1027" s="75"/>
      <c r="S1027" s="75"/>
      <c r="T1027" s="75"/>
      <c r="U1027" s="75"/>
      <c r="V1027" s="75"/>
      <c r="W1027" s="75"/>
      <c r="X1027" s="75"/>
      <c r="Y1027" s="75"/>
      <c r="Z1027" s="75"/>
      <c r="AA1027" s="75"/>
    </row>
    <row r="1028" spans="1:27" ht="14.25">
      <c r="A1028" s="49"/>
      <c r="B1028" s="75"/>
      <c r="C1028" s="75"/>
      <c r="D1028" s="75"/>
      <c r="E1028" s="75"/>
      <c r="F1028" s="75"/>
      <c r="G1028" s="75"/>
      <c r="H1028" s="75"/>
      <c r="I1028" s="75"/>
      <c r="J1028" s="75"/>
      <c r="K1028" s="75"/>
      <c r="L1028" s="75"/>
      <c r="M1028" s="75"/>
      <c r="N1028" s="75"/>
      <c r="O1028" s="75"/>
      <c r="P1028" s="75"/>
      <c r="Q1028" s="75"/>
      <c r="R1028" s="75"/>
      <c r="S1028" s="75"/>
      <c r="T1028" s="75"/>
      <c r="U1028" s="75"/>
      <c r="V1028" s="75"/>
      <c r="W1028" s="75"/>
      <c r="X1028" s="75"/>
      <c r="Y1028" s="75"/>
      <c r="Z1028" s="75"/>
      <c r="AA1028" s="75"/>
    </row>
    <row r="1029" spans="1:27" ht="14.25">
      <c r="A1029" s="49"/>
      <c r="B1029" s="75"/>
      <c r="C1029" s="75"/>
      <c r="D1029" s="75"/>
      <c r="E1029" s="75"/>
      <c r="F1029" s="75"/>
      <c r="G1029" s="75"/>
      <c r="H1029" s="75"/>
      <c r="I1029" s="75"/>
      <c r="J1029" s="75"/>
      <c r="K1029" s="75"/>
      <c r="L1029" s="75"/>
      <c r="M1029" s="75"/>
      <c r="N1029" s="75"/>
      <c r="O1029" s="75"/>
      <c r="P1029" s="75"/>
      <c r="Q1029" s="75"/>
      <c r="R1029" s="75"/>
      <c r="S1029" s="75"/>
      <c r="T1029" s="75"/>
      <c r="U1029" s="75"/>
      <c r="V1029" s="75"/>
      <c r="W1029" s="75"/>
      <c r="X1029" s="75"/>
      <c r="Y1029" s="75"/>
      <c r="Z1029" s="75"/>
      <c r="AA1029" s="75"/>
    </row>
    <row r="1030" spans="1:27" ht="14.25">
      <c r="A1030" s="49"/>
      <c r="B1030" s="75"/>
      <c r="C1030" s="75"/>
      <c r="D1030" s="75"/>
      <c r="E1030" s="75"/>
      <c r="F1030" s="75"/>
      <c r="G1030" s="75"/>
      <c r="H1030" s="75"/>
      <c r="I1030" s="75"/>
      <c r="J1030" s="75"/>
      <c r="K1030" s="75"/>
      <c r="L1030" s="75"/>
      <c r="M1030" s="75"/>
      <c r="N1030" s="75"/>
      <c r="O1030" s="75"/>
      <c r="P1030" s="75"/>
      <c r="Q1030" s="75"/>
      <c r="R1030" s="75"/>
      <c r="S1030" s="75"/>
      <c r="T1030" s="75"/>
      <c r="U1030" s="75"/>
      <c r="V1030" s="75"/>
      <c r="W1030" s="75"/>
      <c r="X1030" s="75"/>
      <c r="Y1030" s="75"/>
      <c r="Z1030" s="75"/>
      <c r="AA1030" s="75"/>
    </row>
    <row r="1031" spans="1:27" ht="14.25">
      <c r="A1031" s="49"/>
      <c r="B1031" s="75"/>
      <c r="C1031" s="75"/>
      <c r="D1031" s="75"/>
      <c r="E1031" s="75"/>
      <c r="F1031" s="75"/>
      <c r="G1031" s="75"/>
      <c r="H1031" s="75"/>
      <c r="I1031" s="75"/>
      <c r="J1031" s="75"/>
      <c r="K1031" s="75"/>
      <c r="L1031" s="75"/>
      <c r="M1031" s="75"/>
      <c r="N1031" s="75"/>
      <c r="O1031" s="75"/>
      <c r="P1031" s="75"/>
      <c r="Q1031" s="75"/>
      <c r="R1031" s="75"/>
      <c r="S1031" s="75"/>
      <c r="T1031" s="75"/>
      <c r="U1031" s="75"/>
      <c r="V1031" s="75"/>
      <c r="W1031" s="75"/>
      <c r="X1031" s="75"/>
      <c r="Y1031" s="75"/>
      <c r="Z1031" s="75"/>
      <c r="AA1031" s="75"/>
    </row>
    <row r="1032" spans="1:27" ht="14.25">
      <c r="A1032" s="49"/>
      <c r="B1032" s="75"/>
      <c r="C1032" s="75"/>
      <c r="D1032" s="75"/>
      <c r="E1032" s="75"/>
      <c r="F1032" s="75"/>
      <c r="G1032" s="75"/>
      <c r="H1032" s="75"/>
      <c r="I1032" s="75"/>
      <c r="J1032" s="75"/>
      <c r="K1032" s="75"/>
      <c r="L1032" s="75"/>
      <c r="M1032" s="75"/>
      <c r="N1032" s="75"/>
      <c r="O1032" s="75"/>
      <c r="P1032" s="75"/>
      <c r="Q1032" s="75"/>
      <c r="R1032" s="75"/>
      <c r="S1032" s="75"/>
      <c r="T1032" s="75"/>
      <c r="U1032" s="75"/>
      <c r="V1032" s="75"/>
      <c r="W1032" s="75"/>
      <c r="X1032" s="75"/>
      <c r="Y1032" s="75"/>
      <c r="Z1032" s="75"/>
      <c r="AA1032" s="75"/>
    </row>
    <row r="1033" spans="1:27" ht="14.25">
      <c r="A1033" s="49"/>
      <c r="B1033" s="75"/>
      <c r="C1033" s="75"/>
      <c r="D1033" s="75"/>
      <c r="E1033" s="75"/>
      <c r="F1033" s="75"/>
      <c r="G1033" s="75"/>
      <c r="H1033" s="75"/>
      <c r="I1033" s="75"/>
      <c r="J1033" s="75"/>
      <c r="K1033" s="75"/>
      <c r="L1033" s="75"/>
      <c r="M1033" s="75"/>
      <c r="N1033" s="75"/>
      <c r="O1033" s="75"/>
      <c r="P1033" s="75"/>
      <c r="Q1033" s="75"/>
      <c r="R1033" s="75"/>
      <c r="S1033" s="75"/>
      <c r="T1033" s="75"/>
      <c r="U1033" s="75"/>
      <c r="V1033" s="75"/>
      <c r="W1033" s="75"/>
      <c r="X1033" s="75"/>
      <c r="Y1033" s="75"/>
      <c r="Z1033" s="75"/>
      <c r="AA1033" s="75"/>
    </row>
    <row r="1034" spans="1:27" ht="14.25">
      <c r="A1034" s="49"/>
      <c r="B1034" s="75"/>
      <c r="C1034" s="75"/>
      <c r="D1034" s="75"/>
      <c r="E1034" s="75"/>
      <c r="F1034" s="75"/>
      <c r="G1034" s="75"/>
      <c r="H1034" s="75"/>
      <c r="I1034" s="75"/>
      <c r="J1034" s="75"/>
      <c r="K1034" s="75"/>
      <c r="L1034" s="75"/>
      <c r="M1034" s="75"/>
      <c r="N1034" s="75"/>
      <c r="O1034" s="75"/>
      <c r="P1034" s="75"/>
      <c r="Q1034" s="75"/>
      <c r="R1034" s="75"/>
      <c r="S1034" s="75"/>
      <c r="T1034" s="75"/>
      <c r="U1034" s="75"/>
      <c r="V1034" s="75"/>
      <c r="W1034" s="75"/>
      <c r="X1034" s="75"/>
      <c r="Y1034" s="75"/>
      <c r="Z1034" s="75"/>
      <c r="AA1034" s="75"/>
    </row>
    <row r="1035" spans="1:27" ht="14.25">
      <c r="A1035" s="49"/>
      <c r="B1035" s="75"/>
      <c r="C1035" s="75"/>
      <c r="D1035" s="75"/>
      <c r="E1035" s="75"/>
      <c r="F1035" s="75"/>
      <c r="G1035" s="75"/>
      <c r="H1035" s="75"/>
      <c r="I1035" s="75"/>
      <c r="J1035" s="75"/>
      <c r="K1035" s="75"/>
      <c r="L1035" s="75"/>
      <c r="M1035" s="75"/>
      <c r="N1035" s="75"/>
      <c r="O1035" s="75"/>
      <c r="P1035" s="75"/>
      <c r="Q1035" s="75"/>
      <c r="R1035" s="75"/>
      <c r="S1035" s="75"/>
      <c r="T1035" s="75"/>
      <c r="U1035" s="75"/>
      <c r="V1035" s="75"/>
      <c r="W1035" s="75"/>
      <c r="X1035" s="75"/>
      <c r="Y1035" s="75"/>
      <c r="Z1035" s="75"/>
      <c r="AA1035" s="75"/>
    </row>
    <row r="1036" spans="1:27" ht="14.25">
      <c r="A1036" s="49"/>
      <c r="B1036" s="75"/>
      <c r="C1036" s="75"/>
      <c r="D1036" s="75"/>
      <c r="E1036" s="75"/>
      <c r="F1036" s="75"/>
      <c r="G1036" s="75"/>
      <c r="H1036" s="75"/>
      <c r="I1036" s="75"/>
      <c r="J1036" s="75"/>
      <c r="K1036" s="75"/>
      <c r="L1036" s="75"/>
      <c r="M1036" s="75"/>
      <c r="N1036" s="75"/>
      <c r="O1036" s="75"/>
      <c r="P1036" s="75"/>
      <c r="Q1036" s="75"/>
      <c r="R1036" s="75"/>
      <c r="S1036" s="75"/>
      <c r="T1036" s="75"/>
      <c r="U1036" s="75"/>
      <c r="V1036" s="75"/>
      <c r="W1036" s="75"/>
      <c r="X1036" s="75"/>
      <c r="Y1036" s="75"/>
      <c r="Z1036" s="75"/>
      <c r="AA1036" s="75"/>
    </row>
    <row r="1037" spans="1:27" ht="14.25">
      <c r="A1037" s="49"/>
      <c r="B1037" s="75"/>
      <c r="C1037" s="75"/>
      <c r="D1037" s="75"/>
      <c r="E1037" s="75"/>
      <c r="F1037" s="75"/>
      <c r="G1037" s="75"/>
      <c r="H1037" s="75"/>
      <c r="I1037" s="75"/>
      <c r="J1037" s="75"/>
      <c r="K1037" s="75"/>
      <c r="L1037" s="75"/>
      <c r="M1037" s="75"/>
      <c r="N1037" s="75"/>
      <c r="O1037" s="75"/>
      <c r="P1037" s="75"/>
      <c r="Q1037" s="75"/>
      <c r="R1037" s="75"/>
      <c r="S1037" s="75"/>
      <c r="T1037" s="75"/>
      <c r="U1037" s="75"/>
      <c r="V1037" s="75"/>
      <c r="W1037" s="75"/>
      <c r="X1037" s="75"/>
      <c r="Y1037" s="75"/>
      <c r="Z1037" s="75"/>
      <c r="AA1037" s="75"/>
    </row>
    <row r="1038" spans="1:27" ht="14.25">
      <c r="A1038" s="49"/>
      <c r="B1038" s="75"/>
      <c r="C1038" s="75"/>
      <c r="D1038" s="75"/>
      <c r="E1038" s="75"/>
      <c r="F1038" s="75"/>
      <c r="G1038" s="75"/>
      <c r="H1038" s="75"/>
      <c r="I1038" s="75"/>
      <c r="J1038" s="75"/>
      <c r="K1038" s="75"/>
      <c r="L1038" s="75"/>
      <c r="M1038" s="75"/>
      <c r="N1038" s="75"/>
      <c r="O1038" s="75"/>
      <c r="P1038" s="75"/>
      <c r="Q1038" s="75"/>
      <c r="R1038" s="75"/>
      <c r="S1038" s="75"/>
      <c r="T1038" s="75"/>
      <c r="U1038" s="75"/>
      <c r="V1038" s="75"/>
      <c r="W1038" s="75"/>
      <c r="X1038" s="75"/>
      <c r="Y1038" s="75"/>
      <c r="Z1038" s="75"/>
      <c r="AA1038" s="75"/>
    </row>
    <row r="1039" spans="1:27" ht="14.25">
      <c r="A1039" s="49"/>
      <c r="B1039" s="75"/>
      <c r="C1039" s="75"/>
      <c r="D1039" s="75"/>
      <c r="E1039" s="75"/>
      <c r="F1039" s="75"/>
      <c r="G1039" s="75"/>
      <c r="H1039" s="75"/>
      <c r="I1039" s="75"/>
      <c r="J1039" s="75"/>
      <c r="K1039" s="75"/>
      <c r="L1039" s="75"/>
      <c r="M1039" s="75"/>
      <c r="N1039" s="75"/>
      <c r="O1039" s="75"/>
      <c r="P1039" s="75"/>
      <c r="Q1039" s="75"/>
      <c r="R1039" s="75"/>
      <c r="S1039" s="75"/>
      <c r="T1039" s="75"/>
      <c r="U1039" s="75"/>
      <c r="V1039" s="75"/>
      <c r="W1039" s="75"/>
      <c r="X1039" s="75"/>
      <c r="Y1039" s="75"/>
      <c r="Z1039" s="75"/>
      <c r="AA1039" s="75"/>
    </row>
    <row r="1040" spans="1:27" ht="14.25">
      <c r="A1040" s="49"/>
      <c r="B1040" s="75"/>
      <c r="C1040" s="75"/>
      <c r="D1040" s="75"/>
      <c r="E1040" s="75"/>
      <c r="F1040" s="75"/>
      <c r="G1040" s="75"/>
      <c r="H1040" s="75"/>
      <c r="I1040" s="75"/>
      <c r="J1040" s="75"/>
      <c r="K1040" s="75"/>
      <c r="L1040" s="75"/>
      <c r="M1040" s="75"/>
      <c r="N1040" s="75"/>
      <c r="O1040" s="75"/>
      <c r="P1040" s="75"/>
      <c r="Q1040" s="75"/>
      <c r="R1040" s="75"/>
      <c r="S1040" s="75"/>
      <c r="T1040" s="75"/>
      <c r="U1040" s="75"/>
      <c r="V1040" s="75"/>
      <c r="W1040" s="75"/>
      <c r="X1040" s="75"/>
      <c r="Y1040" s="75"/>
      <c r="Z1040" s="75"/>
      <c r="AA1040" s="75"/>
    </row>
    <row r="1041" spans="1:27" ht="14.25">
      <c r="A1041" s="49"/>
      <c r="B1041" s="75"/>
      <c r="C1041" s="75"/>
      <c r="D1041" s="75"/>
      <c r="E1041" s="75"/>
      <c r="F1041" s="75"/>
      <c r="G1041" s="75"/>
      <c r="H1041" s="75"/>
      <c r="I1041" s="75"/>
      <c r="J1041" s="75"/>
      <c r="K1041" s="75"/>
      <c r="L1041" s="75"/>
      <c r="M1041" s="75"/>
      <c r="N1041" s="75"/>
      <c r="O1041" s="75"/>
      <c r="P1041" s="75"/>
      <c r="Q1041" s="75"/>
      <c r="R1041" s="75"/>
      <c r="S1041" s="75"/>
      <c r="T1041" s="75"/>
      <c r="U1041" s="75"/>
      <c r="V1041" s="75"/>
      <c r="W1041" s="75"/>
      <c r="X1041" s="75"/>
      <c r="Y1041" s="75"/>
      <c r="Z1041" s="75"/>
      <c r="AA1041" s="75"/>
    </row>
    <row r="1042" spans="1:27" ht="14.25">
      <c r="A1042" s="49"/>
      <c r="B1042" s="75"/>
      <c r="C1042" s="75"/>
      <c r="D1042" s="75"/>
      <c r="E1042" s="75"/>
      <c r="F1042" s="75"/>
      <c r="G1042" s="75"/>
      <c r="H1042" s="75"/>
      <c r="I1042" s="75"/>
      <c r="J1042" s="75"/>
      <c r="K1042" s="75"/>
      <c r="L1042" s="75"/>
      <c r="M1042" s="75"/>
      <c r="N1042" s="75"/>
      <c r="O1042" s="75"/>
      <c r="P1042" s="75"/>
      <c r="Q1042" s="75"/>
      <c r="R1042" s="75"/>
      <c r="S1042" s="75"/>
      <c r="T1042" s="75"/>
      <c r="U1042" s="75"/>
      <c r="V1042" s="75"/>
      <c r="W1042" s="75"/>
      <c r="X1042" s="75"/>
      <c r="Y1042" s="75"/>
      <c r="Z1042" s="75"/>
      <c r="AA1042" s="75"/>
    </row>
    <row r="1043" spans="1:27" ht="14.25">
      <c r="A1043" s="49"/>
      <c r="B1043" s="75"/>
      <c r="C1043" s="75"/>
      <c r="D1043" s="75"/>
      <c r="E1043" s="75"/>
      <c r="F1043" s="75"/>
      <c r="G1043" s="75"/>
      <c r="H1043" s="75"/>
      <c r="I1043" s="75"/>
      <c r="J1043" s="75"/>
      <c r="K1043" s="75"/>
      <c r="L1043" s="75"/>
      <c r="M1043" s="75"/>
      <c r="N1043" s="75"/>
      <c r="O1043" s="75"/>
      <c r="P1043" s="75"/>
      <c r="Q1043" s="75"/>
      <c r="R1043" s="75"/>
      <c r="S1043" s="75"/>
      <c r="T1043" s="75"/>
      <c r="U1043" s="75"/>
      <c r="V1043" s="75"/>
      <c r="W1043" s="75"/>
      <c r="X1043" s="75"/>
      <c r="Y1043" s="75"/>
      <c r="Z1043" s="75"/>
      <c r="AA1043" s="75"/>
    </row>
    <row r="1044" spans="1:27" ht="14.25">
      <c r="A1044" s="49"/>
      <c r="B1044" s="75"/>
      <c r="C1044" s="75"/>
      <c r="D1044" s="75"/>
      <c r="E1044" s="75"/>
      <c r="F1044" s="75"/>
      <c r="G1044" s="75"/>
      <c r="H1044" s="75"/>
      <c r="I1044" s="75"/>
      <c r="J1044" s="75"/>
      <c r="K1044" s="75"/>
      <c r="L1044" s="75"/>
      <c r="M1044" s="75"/>
      <c r="N1044" s="75"/>
      <c r="O1044" s="75"/>
      <c r="P1044" s="75"/>
      <c r="Q1044" s="75"/>
      <c r="R1044" s="75"/>
      <c r="S1044" s="75"/>
      <c r="T1044" s="75"/>
      <c r="U1044" s="75"/>
      <c r="V1044" s="75"/>
      <c r="W1044" s="75"/>
      <c r="X1044" s="75"/>
      <c r="Y1044" s="75"/>
      <c r="Z1044" s="75"/>
      <c r="AA1044" s="75"/>
    </row>
    <row r="1045" spans="1:27" ht="14.25">
      <c r="A1045" s="49"/>
      <c r="B1045" s="75"/>
      <c r="C1045" s="75"/>
      <c r="D1045" s="75"/>
      <c r="E1045" s="75"/>
      <c r="F1045" s="75"/>
      <c r="G1045" s="75"/>
      <c r="H1045" s="75"/>
      <c r="I1045" s="75"/>
      <c r="J1045" s="75"/>
      <c r="K1045" s="75"/>
      <c r="L1045" s="75"/>
      <c r="M1045" s="75"/>
      <c r="N1045" s="75"/>
      <c r="O1045" s="75"/>
      <c r="P1045" s="75"/>
      <c r="Q1045" s="75"/>
      <c r="R1045" s="75"/>
      <c r="S1045" s="75"/>
      <c r="T1045" s="75"/>
      <c r="U1045" s="75"/>
      <c r="V1045" s="75"/>
      <c r="W1045" s="75"/>
      <c r="X1045" s="75"/>
      <c r="Y1045" s="75"/>
      <c r="Z1045" s="75"/>
      <c r="AA1045" s="75"/>
    </row>
    <row r="1046" spans="1:27" ht="14.25">
      <c r="A1046" s="49"/>
      <c r="B1046" s="75"/>
      <c r="C1046" s="75"/>
      <c r="D1046" s="75"/>
      <c r="E1046" s="75"/>
      <c r="F1046" s="75"/>
      <c r="G1046" s="75"/>
      <c r="H1046" s="75"/>
      <c r="I1046" s="75"/>
      <c r="J1046" s="75"/>
      <c r="K1046" s="75"/>
      <c r="L1046" s="75"/>
      <c r="M1046" s="75"/>
      <c r="N1046" s="75"/>
      <c r="O1046" s="75"/>
      <c r="P1046" s="75"/>
      <c r="Q1046" s="75"/>
      <c r="R1046" s="75"/>
      <c r="S1046" s="75"/>
      <c r="T1046" s="75"/>
      <c r="U1046" s="75"/>
      <c r="V1046" s="75"/>
      <c r="W1046" s="75"/>
      <c r="X1046" s="75"/>
      <c r="Y1046" s="75"/>
      <c r="Z1046" s="75"/>
      <c r="AA1046" s="75"/>
    </row>
    <row r="1047" spans="1:27" ht="14.25">
      <c r="A1047" s="49"/>
      <c r="B1047" s="75"/>
      <c r="C1047" s="75"/>
      <c r="D1047" s="75"/>
      <c r="E1047" s="75"/>
      <c r="F1047" s="75"/>
      <c r="G1047" s="75"/>
      <c r="H1047" s="75"/>
      <c r="I1047" s="75"/>
      <c r="J1047" s="75"/>
      <c r="K1047" s="75"/>
      <c r="L1047" s="75"/>
      <c r="M1047" s="75"/>
      <c r="N1047" s="75"/>
      <c r="O1047" s="75"/>
      <c r="P1047" s="75"/>
      <c r="Q1047" s="75"/>
      <c r="R1047" s="75"/>
      <c r="S1047" s="75"/>
      <c r="T1047" s="75"/>
      <c r="U1047" s="75"/>
      <c r="V1047" s="75"/>
      <c r="W1047" s="75"/>
      <c r="X1047" s="75"/>
      <c r="Y1047" s="75"/>
      <c r="Z1047" s="75"/>
      <c r="AA1047" s="75"/>
    </row>
    <row r="1048" spans="1:27" ht="14.25">
      <c r="A1048" s="49"/>
      <c r="B1048" s="75"/>
      <c r="C1048" s="75"/>
      <c r="D1048" s="75"/>
      <c r="E1048" s="75"/>
      <c r="F1048" s="75"/>
      <c r="G1048" s="75"/>
      <c r="H1048" s="75"/>
      <c r="I1048" s="75"/>
      <c r="J1048" s="75"/>
      <c r="K1048" s="75"/>
      <c r="L1048" s="75"/>
      <c r="M1048" s="75"/>
      <c r="N1048" s="75"/>
      <c r="O1048" s="75"/>
      <c r="P1048" s="75"/>
      <c r="Q1048" s="75"/>
      <c r="R1048" s="75"/>
      <c r="S1048" s="75"/>
      <c r="T1048" s="75"/>
      <c r="U1048" s="75"/>
      <c r="V1048" s="75"/>
      <c r="W1048" s="75"/>
      <c r="X1048" s="75"/>
      <c r="Y1048" s="75"/>
      <c r="Z1048" s="75"/>
      <c r="AA1048" s="75"/>
    </row>
    <row r="1049" spans="1:27" ht="14.25">
      <c r="A1049" s="49"/>
      <c r="B1049" s="75"/>
      <c r="C1049" s="75"/>
      <c r="D1049" s="75"/>
      <c r="E1049" s="75"/>
      <c r="F1049" s="75"/>
      <c r="G1049" s="75"/>
      <c r="H1049" s="75"/>
      <c r="I1049" s="75"/>
      <c r="J1049" s="75"/>
      <c r="K1049" s="75"/>
      <c r="L1049" s="75"/>
      <c r="M1049" s="75"/>
      <c r="N1049" s="75"/>
      <c r="O1049" s="75"/>
      <c r="P1049" s="75"/>
      <c r="Q1049" s="75"/>
      <c r="R1049" s="75"/>
      <c r="S1049" s="75"/>
      <c r="T1049" s="75"/>
      <c r="U1049" s="75"/>
      <c r="V1049" s="75"/>
      <c r="W1049" s="75"/>
      <c r="X1049" s="75"/>
      <c r="Y1049" s="75"/>
      <c r="Z1049" s="75"/>
      <c r="AA1049" s="75"/>
    </row>
    <row r="1050" spans="1:27" ht="14.25">
      <c r="A1050" s="49"/>
      <c r="B1050" s="75"/>
      <c r="C1050" s="75"/>
      <c r="D1050" s="75"/>
      <c r="E1050" s="75"/>
      <c r="F1050" s="75"/>
      <c r="G1050" s="75"/>
      <c r="H1050" s="75"/>
      <c r="I1050" s="75"/>
      <c r="J1050" s="75"/>
      <c r="K1050" s="75"/>
      <c r="L1050" s="75"/>
      <c r="M1050" s="75"/>
      <c r="N1050" s="75"/>
      <c r="O1050" s="75"/>
      <c r="P1050" s="75"/>
      <c r="Q1050" s="75"/>
      <c r="R1050" s="75"/>
      <c r="S1050" s="75"/>
      <c r="T1050" s="75"/>
      <c r="U1050" s="75"/>
      <c r="V1050" s="75"/>
      <c r="W1050" s="75"/>
      <c r="X1050" s="75"/>
      <c r="Y1050" s="75"/>
      <c r="Z1050" s="75"/>
      <c r="AA1050" s="75"/>
    </row>
    <row r="1051" spans="1:27" ht="14.25">
      <c r="A1051" s="49"/>
      <c r="B1051" s="75"/>
      <c r="C1051" s="75"/>
      <c r="D1051" s="75"/>
      <c r="E1051" s="75"/>
      <c r="F1051" s="75"/>
      <c r="G1051" s="75"/>
      <c r="H1051" s="75"/>
      <c r="I1051" s="75"/>
      <c r="J1051" s="75"/>
      <c r="K1051" s="75"/>
      <c r="L1051" s="75"/>
      <c r="M1051" s="75"/>
      <c r="N1051" s="75"/>
      <c r="O1051" s="75"/>
      <c r="P1051" s="75"/>
      <c r="Q1051" s="75"/>
      <c r="R1051" s="75"/>
      <c r="S1051" s="75"/>
      <c r="T1051" s="75"/>
      <c r="U1051" s="75"/>
      <c r="V1051" s="75"/>
      <c r="W1051" s="75"/>
      <c r="X1051" s="75"/>
      <c r="Y1051" s="75"/>
      <c r="Z1051" s="75"/>
      <c r="AA1051" s="75"/>
    </row>
    <row r="1052" spans="1:27" ht="14.25">
      <c r="A1052" s="49"/>
      <c r="B1052" s="75"/>
      <c r="C1052" s="75"/>
      <c r="D1052" s="75"/>
      <c r="E1052" s="75"/>
      <c r="F1052" s="75"/>
      <c r="G1052" s="75"/>
      <c r="H1052" s="75"/>
      <c r="I1052" s="75"/>
      <c r="J1052" s="75"/>
      <c r="K1052" s="75"/>
      <c r="L1052" s="75"/>
      <c r="M1052" s="75"/>
      <c r="N1052" s="75"/>
      <c r="O1052" s="75"/>
      <c r="P1052" s="75"/>
      <c r="Q1052" s="75"/>
      <c r="R1052" s="75"/>
      <c r="S1052" s="75"/>
      <c r="T1052" s="75"/>
      <c r="U1052" s="75"/>
      <c r="V1052" s="75"/>
      <c r="W1052" s="75"/>
      <c r="X1052" s="75"/>
      <c r="Y1052" s="75"/>
      <c r="Z1052" s="75"/>
      <c r="AA1052" s="75"/>
    </row>
    <row r="1053" spans="1:27" ht="14.25">
      <c r="A1053" s="49"/>
      <c r="B1053" s="75"/>
      <c r="C1053" s="75"/>
      <c r="D1053" s="75"/>
      <c r="E1053" s="75"/>
      <c r="F1053" s="75"/>
      <c r="G1053" s="75"/>
      <c r="H1053" s="75"/>
      <c r="I1053" s="75"/>
      <c r="J1053" s="75"/>
      <c r="K1053" s="75"/>
      <c r="L1053" s="75"/>
      <c r="M1053" s="75"/>
      <c r="N1053" s="75"/>
      <c r="O1053" s="75"/>
      <c r="P1053" s="75"/>
      <c r="Q1053" s="75"/>
      <c r="R1053" s="75"/>
      <c r="S1053" s="75"/>
      <c r="T1053" s="75"/>
      <c r="U1053" s="75"/>
      <c r="V1053" s="75"/>
      <c r="W1053" s="75"/>
      <c r="X1053" s="75"/>
      <c r="Y1053" s="75"/>
      <c r="Z1053" s="75"/>
      <c r="AA1053" s="75"/>
    </row>
    <row r="1054" spans="1:27" ht="14.25">
      <c r="A1054" s="49"/>
      <c r="B1054" s="75"/>
      <c r="C1054" s="75"/>
      <c r="D1054" s="75"/>
      <c r="E1054" s="75"/>
      <c r="F1054" s="75"/>
      <c r="G1054" s="75"/>
      <c r="H1054" s="75"/>
      <c r="I1054" s="75"/>
      <c r="J1054" s="75"/>
      <c r="K1054" s="75"/>
      <c r="L1054" s="75"/>
      <c r="M1054" s="75"/>
      <c r="N1054" s="75"/>
      <c r="O1054" s="75"/>
      <c r="P1054" s="75"/>
      <c r="Q1054" s="75"/>
      <c r="R1054" s="75"/>
      <c r="S1054" s="75"/>
      <c r="T1054" s="75"/>
      <c r="U1054" s="75"/>
      <c r="V1054" s="75"/>
      <c r="W1054" s="75"/>
      <c r="X1054" s="75"/>
      <c r="Y1054" s="75"/>
      <c r="Z1054" s="75"/>
      <c r="AA1054" s="75"/>
    </row>
    <row r="1055" spans="1:27" ht="14.25">
      <c r="A1055" s="49"/>
      <c r="B1055" s="75"/>
      <c r="C1055" s="75"/>
      <c r="D1055" s="75"/>
      <c r="E1055" s="75"/>
      <c r="F1055" s="75"/>
      <c r="G1055" s="75"/>
      <c r="H1055" s="75"/>
      <c r="I1055" s="75"/>
      <c r="J1055" s="75"/>
      <c r="K1055" s="75"/>
      <c r="L1055" s="75"/>
      <c r="M1055" s="75"/>
      <c r="N1055" s="75"/>
      <c r="O1055" s="75"/>
      <c r="P1055" s="75"/>
      <c r="Q1055" s="75"/>
      <c r="R1055" s="75"/>
      <c r="S1055" s="75"/>
      <c r="T1055" s="75"/>
      <c r="U1055" s="75"/>
      <c r="V1055" s="75"/>
      <c r="W1055" s="75"/>
      <c r="X1055" s="75"/>
      <c r="Y1055" s="75"/>
      <c r="Z1055" s="75"/>
      <c r="AA1055" s="75"/>
    </row>
    <row r="1056" spans="1:27" ht="14.25">
      <c r="A1056" s="49"/>
      <c r="B1056" s="75"/>
      <c r="C1056" s="75"/>
      <c r="D1056" s="75"/>
      <c r="E1056" s="75"/>
      <c r="F1056" s="75"/>
      <c r="G1056" s="75"/>
      <c r="H1056" s="75"/>
      <c r="I1056" s="75"/>
      <c r="J1056" s="75"/>
      <c r="K1056" s="75"/>
      <c r="L1056" s="75"/>
      <c r="M1056" s="75"/>
      <c r="N1056" s="75"/>
      <c r="O1056" s="75"/>
      <c r="P1056" s="75"/>
      <c r="Q1056" s="75"/>
      <c r="R1056" s="75"/>
      <c r="S1056" s="75"/>
      <c r="T1056" s="75"/>
      <c r="U1056" s="75"/>
      <c r="V1056" s="75"/>
      <c r="W1056" s="75"/>
      <c r="X1056" s="75"/>
      <c r="Y1056" s="75"/>
      <c r="Z1056" s="75"/>
      <c r="AA1056" s="75"/>
    </row>
    <row r="1057" spans="1:27" ht="14.25">
      <c r="A1057" s="49"/>
      <c r="B1057" s="75"/>
      <c r="C1057" s="75"/>
      <c r="D1057" s="75"/>
      <c r="E1057" s="75"/>
      <c r="F1057" s="75"/>
      <c r="G1057" s="75"/>
      <c r="H1057" s="75"/>
      <c r="I1057" s="75"/>
      <c r="J1057" s="75"/>
      <c r="K1057" s="75"/>
      <c r="L1057" s="75"/>
      <c r="M1057" s="75"/>
      <c r="N1057" s="75"/>
      <c r="O1057" s="75"/>
      <c r="P1057" s="75"/>
      <c r="Q1057" s="75"/>
      <c r="R1057" s="75"/>
      <c r="S1057" s="75"/>
      <c r="T1057" s="75"/>
      <c r="U1057" s="75"/>
      <c r="V1057" s="75"/>
      <c r="W1057" s="75"/>
      <c r="X1057" s="75"/>
      <c r="Y1057" s="75"/>
      <c r="Z1057" s="75"/>
      <c r="AA1057" s="75"/>
    </row>
    <row r="1058" spans="1:27" ht="14.25">
      <c r="A1058" s="49"/>
      <c r="B1058" s="75"/>
      <c r="C1058" s="75"/>
      <c r="D1058" s="75"/>
      <c r="E1058" s="75"/>
      <c r="F1058" s="75"/>
      <c r="G1058" s="75"/>
      <c r="H1058" s="75"/>
      <c r="I1058" s="75"/>
      <c r="J1058" s="75"/>
      <c r="K1058" s="75"/>
      <c r="L1058" s="75"/>
      <c r="M1058" s="75"/>
      <c r="N1058" s="75"/>
      <c r="O1058" s="75"/>
      <c r="P1058" s="75"/>
      <c r="Q1058" s="75"/>
      <c r="R1058" s="75"/>
      <c r="S1058" s="75"/>
      <c r="T1058" s="75"/>
      <c r="U1058" s="75"/>
      <c r="V1058" s="75"/>
      <c r="W1058" s="75"/>
      <c r="X1058" s="75"/>
      <c r="Y1058" s="75"/>
      <c r="Z1058" s="75"/>
      <c r="AA1058" s="75"/>
    </row>
    <row r="1059" spans="1:27" ht="14.25">
      <c r="A1059" s="49"/>
      <c r="B1059" s="75"/>
      <c r="C1059" s="75"/>
      <c r="D1059" s="75"/>
      <c r="E1059" s="75"/>
      <c r="F1059" s="75"/>
      <c r="G1059" s="75"/>
      <c r="H1059" s="75"/>
      <c r="I1059" s="75"/>
      <c r="J1059" s="75"/>
      <c r="K1059" s="75"/>
      <c r="L1059" s="75"/>
      <c r="M1059" s="75"/>
      <c r="N1059" s="75"/>
      <c r="O1059" s="75"/>
      <c r="P1059" s="75"/>
      <c r="Q1059" s="75"/>
      <c r="R1059" s="75"/>
      <c r="S1059" s="75"/>
      <c r="T1059" s="75"/>
      <c r="U1059" s="75"/>
      <c r="V1059" s="75"/>
      <c r="W1059" s="75"/>
      <c r="X1059" s="75"/>
      <c r="Y1059" s="75"/>
      <c r="Z1059" s="75"/>
      <c r="AA1059" s="75"/>
    </row>
    <row r="1060" spans="1:27" ht="14.25">
      <c r="A1060" s="49"/>
      <c r="B1060" s="75"/>
      <c r="C1060" s="75"/>
      <c r="D1060" s="75"/>
      <c r="E1060" s="75"/>
      <c r="F1060" s="75"/>
      <c r="G1060" s="75"/>
      <c r="H1060" s="75"/>
      <c r="I1060" s="75"/>
      <c r="J1060" s="75"/>
      <c r="K1060" s="75"/>
      <c r="L1060" s="75"/>
      <c r="M1060" s="75"/>
      <c r="N1060" s="75"/>
      <c r="O1060" s="75"/>
      <c r="P1060" s="75"/>
      <c r="Q1060" s="75"/>
      <c r="R1060" s="75"/>
      <c r="S1060" s="75"/>
      <c r="T1060" s="75"/>
      <c r="U1060" s="75"/>
      <c r="V1060" s="75"/>
      <c r="W1060" s="75"/>
      <c r="X1060" s="75"/>
      <c r="Y1060" s="75"/>
      <c r="Z1060" s="75"/>
      <c r="AA1060" s="75"/>
    </row>
    <row r="1061" spans="1:27" ht="14.25">
      <c r="A1061" s="49"/>
      <c r="B1061" s="75"/>
      <c r="C1061" s="75"/>
      <c r="D1061" s="75"/>
      <c r="E1061" s="75"/>
      <c r="F1061" s="75"/>
      <c r="G1061" s="75"/>
      <c r="H1061" s="75"/>
      <c r="I1061" s="75"/>
      <c r="J1061" s="75"/>
      <c r="K1061" s="75"/>
      <c r="L1061" s="75"/>
      <c r="M1061" s="75"/>
      <c r="N1061" s="75"/>
      <c r="O1061" s="75"/>
      <c r="P1061" s="75"/>
      <c r="Q1061" s="75"/>
      <c r="R1061" s="75"/>
      <c r="S1061" s="75"/>
      <c r="T1061" s="75"/>
      <c r="U1061" s="75"/>
      <c r="V1061" s="75"/>
      <c r="W1061" s="75"/>
      <c r="X1061" s="75"/>
      <c r="Y1061" s="75"/>
      <c r="Z1061" s="75"/>
      <c r="AA1061" s="75"/>
    </row>
    <row r="1062" spans="1:27" ht="14.25">
      <c r="A1062" s="49"/>
      <c r="B1062" s="75"/>
      <c r="C1062" s="75"/>
      <c r="D1062" s="75"/>
      <c r="E1062" s="75"/>
      <c r="F1062" s="75"/>
      <c r="G1062" s="75"/>
      <c r="H1062" s="75"/>
      <c r="I1062" s="75"/>
      <c r="J1062" s="75"/>
      <c r="K1062" s="75"/>
      <c r="L1062" s="75"/>
      <c r="M1062" s="75"/>
      <c r="N1062" s="75"/>
      <c r="O1062" s="75"/>
      <c r="P1062" s="75"/>
      <c r="Q1062" s="75"/>
      <c r="R1062" s="75"/>
      <c r="S1062" s="75"/>
      <c r="T1062" s="75"/>
      <c r="U1062" s="75"/>
      <c r="V1062" s="75"/>
      <c r="W1062" s="75"/>
      <c r="X1062" s="75"/>
      <c r="Y1062" s="75"/>
      <c r="Z1062" s="75"/>
      <c r="AA1062" s="75"/>
    </row>
  </sheetData>
  <customSheetViews>
    <customSheetView guid="{A692BA3E-DCED-4157-8340-C6216F1B5E02}" filter="1" showAutoFilter="1">
      <pageMargins left="0" right="0" top="0" bottom="0" header="0" footer="0"/>
      <autoFilter ref="C6:C455" xr:uid="{F4FFC775-72DB-4154-87C2-AF2BB0907D45}"/>
    </customSheetView>
    <customSheetView guid="{A2AC78AE-28DC-435C-BA12-3B308A889B0E}" filter="1" showAutoFilter="1">
      <pageMargins left="0" right="0" top="0" bottom="0" header="0" footer="0"/>
      <autoFilter ref="A6:J513" xr:uid="{2C130873-F7A1-4CDF-8717-F0FC2C99110F}"/>
    </customSheetView>
  </customSheetViews>
  <mergeCells count="861">
    <mergeCell ref="D367:H367"/>
    <mergeCell ref="I367:J367"/>
    <mergeCell ref="D368:H368"/>
    <mergeCell ref="I368:J368"/>
    <mergeCell ref="D369:H369"/>
    <mergeCell ref="I369:J369"/>
    <mergeCell ref="D362:H362"/>
    <mergeCell ref="I362:J362"/>
    <mergeCell ref="D363:H363"/>
    <mergeCell ref="I363:J363"/>
    <mergeCell ref="D364:H364"/>
    <mergeCell ref="I364:J364"/>
    <mergeCell ref="D365:H365"/>
    <mergeCell ref="I365:J365"/>
    <mergeCell ref="I366:J366"/>
    <mergeCell ref="D366:H366"/>
    <mergeCell ref="D357:H357"/>
    <mergeCell ref="I357:J357"/>
    <mergeCell ref="D358:H358"/>
    <mergeCell ref="I358:J358"/>
    <mergeCell ref="I359:J359"/>
    <mergeCell ref="D359:H359"/>
    <mergeCell ref="D360:H360"/>
    <mergeCell ref="I360:J360"/>
    <mergeCell ref="D361:H361"/>
    <mergeCell ref="I361:J361"/>
    <mergeCell ref="I352:J352"/>
    <mergeCell ref="D351:H351"/>
    <mergeCell ref="D353:H353"/>
    <mergeCell ref="I353:J353"/>
    <mergeCell ref="D354:H354"/>
    <mergeCell ref="I354:J354"/>
    <mergeCell ref="D355:H355"/>
    <mergeCell ref="I355:J355"/>
    <mergeCell ref="D356:H356"/>
    <mergeCell ref="I356:J356"/>
    <mergeCell ref="D347:H347"/>
    <mergeCell ref="I347:J347"/>
    <mergeCell ref="I348:J348"/>
    <mergeCell ref="D348:H348"/>
    <mergeCell ref="D349:H349"/>
    <mergeCell ref="I349:J349"/>
    <mergeCell ref="D350:H350"/>
    <mergeCell ref="I350:J350"/>
    <mergeCell ref="I351:J351"/>
    <mergeCell ref="D341:H341"/>
    <mergeCell ref="I341:J341"/>
    <mergeCell ref="D342:H342"/>
    <mergeCell ref="I342:J342"/>
    <mergeCell ref="I343:J343"/>
    <mergeCell ref="I344:J344"/>
    <mergeCell ref="D345:H345"/>
    <mergeCell ref="I345:J345"/>
    <mergeCell ref="I346:J346"/>
    <mergeCell ref="I322:J322"/>
    <mergeCell ref="D322:H322"/>
    <mergeCell ref="D323:H323"/>
    <mergeCell ref="I323:J323"/>
    <mergeCell ref="D324:H324"/>
    <mergeCell ref="I324:J324"/>
    <mergeCell ref="D325:H325"/>
    <mergeCell ref="I325:J325"/>
    <mergeCell ref="D340:H340"/>
    <mergeCell ref="I340:J340"/>
    <mergeCell ref="D335:H335"/>
    <mergeCell ref="I335:J335"/>
    <mergeCell ref="I336:J336"/>
    <mergeCell ref="D336:H336"/>
    <mergeCell ref="D337:H337"/>
    <mergeCell ref="I337:J337"/>
    <mergeCell ref="D338:H338"/>
    <mergeCell ref="I338:J338"/>
    <mergeCell ref="D339:H339"/>
    <mergeCell ref="I339:J339"/>
    <mergeCell ref="D330:H330"/>
    <mergeCell ref="I330:J330"/>
    <mergeCell ref="D331:H331"/>
    <mergeCell ref="I331:J331"/>
    <mergeCell ref="D317:H317"/>
    <mergeCell ref="I317:J317"/>
    <mergeCell ref="D318:H318"/>
    <mergeCell ref="I318:J318"/>
    <mergeCell ref="D319:H319"/>
    <mergeCell ref="I319:J319"/>
    <mergeCell ref="D320:H320"/>
    <mergeCell ref="I320:J320"/>
    <mergeCell ref="D321:H321"/>
    <mergeCell ref="I321:J321"/>
    <mergeCell ref="D312:H312"/>
    <mergeCell ref="I312:J312"/>
    <mergeCell ref="D313:H313"/>
    <mergeCell ref="I313:J313"/>
    <mergeCell ref="D314:H314"/>
    <mergeCell ref="I314:J314"/>
    <mergeCell ref="I315:J315"/>
    <mergeCell ref="D315:H315"/>
    <mergeCell ref="D316:H316"/>
    <mergeCell ref="I316:J316"/>
    <mergeCell ref="D332:H332"/>
    <mergeCell ref="I332:J332"/>
    <mergeCell ref="D333:H333"/>
    <mergeCell ref="I333:J333"/>
    <mergeCell ref="D334:H334"/>
    <mergeCell ref="I334:J334"/>
    <mergeCell ref="D304:H304"/>
    <mergeCell ref="I304:J304"/>
    <mergeCell ref="D326:H326"/>
    <mergeCell ref="I326:J326"/>
    <mergeCell ref="D327:H327"/>
    <mergeCell ref="I327:J327"/>
    <mergeCell ref="D328:H328"/>
    <mergeCell ref="I328:J328"/>
    <mergeCell ref="I329:J329"/>
    <mergeCell ref="D329:H329"/>
    <mergeCell ref="D305:H305"/>
    <mergeCell ref="I305:J305"/>
    <mergeCell ref="D306:H306"/>
    <mergeCell ref="I306:J306"/>
    <mergeCell ref="D307:H307"/>
    <mergeCell ref="I307:J307"/>
    <mergeCell ref="I308:J308"/>
    <mergeCell ref="D308:H308"/>
    <mergeCell ref="D309:H309"/>
    <mergeCell ref="I309:J309"/>
    <mergeCell ref="D310:H310"/>
    <mergeCell ref="I310:J310"/>
    <mergeCell ref="D311:H311"/>
    <mergeCell ref="I311:J311"/>
    <mergeCell ref="D299:H299"/>
    <mergeCell ref="I299:J299"/>
    <mergeCell ref="D300:H300"/>
    <mergeCell ref="I300:J300"/>
    <mergeCell ref="I301:J301"/>
    <mergeCell ref="D301:H301"/>
    <mergeCell ref="D302:H302"/>
    <mergeCell ref="I302:J302"/>
    <mergeCell ref="D303:H303"/>
    <mergeCell ref="I303:J303"/>
    <mergeCell ref="I294:J294"/>
    <mergeCell ref="D294:H294"/>
    <mergeCell ref="D295:H295"/>
    <mergeCell ref="I295:J295"/>
    <mergeCell ref="D296:H296"/>
    <mergeCell ref="I296:J296"/>
    <mergeCell ref="D297:H297"/>
    <mergeCell ref="I297:J297"/>
    <mergeCell ref="D298:H298"/>
    <mergeCell ref="I298:J298"/>
    <mergeCell ref="I286:J286"/>
    <mergeCell ref="I287:J287"/>
    <mergeCell ref="I288:J288"/>
    <mergeCell ref="I289:J289"/>
    <mergeCell ref="D291:H291"/>
    <mergeCell ref="I291:J291"/>
    <mergeCell ref="D292:H292"/>
    <mergeCell ref="I292:J292"/>
    <mergeCell ref="D293:H293"/>
    <mergeCell ref="I293:J293"/>
    <mergeCell ref="D278:H278"/>
    <mergeCell ref="I278:J278"/>
    <mergeCell ref="I279:J279"/>
    <mergeCell ref="I280:J280"/>
    <mergeCell ref="I281:J281"/>
    <mergeCell ref="I282:J282"/>
    <mergeCell ref="I283:J283"/>
    <mergeCell ref="I284:J284"/>
    <mergeCell ref="I285:J285"/>
    <mergeCell ref="I128:J128"/>
    <mergeCell ref="D128:H128"/>
    <mergeCell ref="D129:H129"/>
    <mergeCell ref="I129:J129"/>
    <mergeCell ref="D130:H130"/>
    <mergeCell ref="I130:J130"/>
    <mergeCell ref="D131:H131"/>
    <mergeCell ref="I131:J131"/>
    <mergeCell ref="D270:H270"/>
    <mergeCell ref="I270:J270"/>
    <mergeCell ref="D260:H260"/>
    <mergeCell ref="I260:J260"/>
    <mergeCell ref="D261:H261"/>
    <mergeCell ref="I261:J261"/>
    <mergeCell ref="D262:H262"/>
    <mergeCell ref="I262:J262"/>
    <mergeCell ref="D263:H263"/>
    <mergeCell ref="I263:J263"/>
    <mergeCell ref="D264:H264"/>
    <mergeCell ref="I264:J264"/>
    <mergeCell ref="D255:H255"/>
    <mergeCell ref="I255:J255"/>
    <mergeCell ref="D256:H256"/>
    <mergeCell ref="I256:J256"/>
    <mergeCell ref="D123:H123"/>
    <mergeCell ref="I123:J123"/>
    <mergeCell ref="D124:H124"/>
    <mergeCell ref="I124:J124"/>
    <mergeCell ref="D125:H125"/>
    <mergeCell ref="I125:J125"/>
    <mergeCell ref="D126:H126"/>
    <mergeCell ref="I126:J126"/>
    <mergeCell ref="D127:H127"/>
    <mergeCell ref="I127:J127"/>
    <mergeCell ref="D118:H118"/>
    <mergeCell ref="I118:J118"/>
    <mergeCell ref="D119:H119"/>
    <mergeCell ref="I119:J119"/>
    <mergeCell ref="D120:H120"/>
    <mergeCell ref="I120:J120"/>
    <mergeCell ref="I121:J121"/>
    <mergeCell ref="D121:H121"/>
    <mergeCell ref="D122:H122"/>
    <mergeCell ref="I122:J122"/>
    <mergeCell ref="D450:H450"/>
    <mergeCell ref="I450:J450"/>
    <mergeCell ref="D444:H444"/>
    <mergeCell ref="I444:J444"/>
    <mergeCell ref="D445:H445"/>
    <mergeCell ref="I445:J445"/>
    <mergeCell ref="D446:H446"/>
    <mergeCell ref="I446:J446"/>
    <mergeCell ref="I447:J447"/>
    <mergeCell ref="D414:H414"/>
    <mergeCell ref="I414:J414"/>
    <mergeCell ref="D415:H415"/>
    <mergeCell ref="I415:J415"/>
    <mergeCell ref="D447:H447"/>
    <mergeCell ref="D448:H448"/>
    <mergeCell ref="I448:J448"/>
    <mergeCell ref="D449:H449"/>
    <mergeCell ref="I449:J449"/>
    <mergeCell ref="D441:H441"/>
    <mergeCell ref="I441:J441"/>
    <mergeCell ref="D442:H442"/>
    <mergeCell ref="I442:J442"/>
    <mergeCell ref="D443:H443"/>
    <mergeCell ref="I443:J443"/>
    <mergeCell ref="D437:H437"/>
    <mergeCell ref="I437:J437"/>
    <mergeCell ref="D438:H438"/>
    <mergeCell ref="I438:J438"/>
    <mergeCell ref="D439:H439"/>
    <mergeCell ref="I439:J439"/>
    <mergeCell ref="I440:J440"/>
    <mergeCell ref="D440:H440"/>
    <mergeCell ref="D428:H428"/>
    <mergeCell ref="D409:H409"/>
    <mergeCell ref="I409:J409"/>
    <mergeCell ref="D410:H410"/>
    <mergeCell ref="I410:J410"/>
    <mergeCell ref="D411:H411"/>
    <mergeCell ref="I411:J411"/>
    <mergeCell ref="I412:J412"/>
    <mergeCell ref="D412:H412"/>
    <mergeCell ref="D413:H413"/>
    <mergeCell ref="I413:J413"/>
    <mergeCell ref="D404:H404"/>
    <mergeCell ref="I404:J404"/>
    <mergeCell ref="I405:J405"/>
    <mergeCell ref="D405:H405"/>
    <mergeCell ref="D406:H406"/>
    <mergeCell ref="I406:J406"/>
    <mergeCell ref="D407:H407"/>
    <mergeCell ref="I407:J407"/>
    <mergeCell ref="D408:H408"/>
    <mergeCell ref="I408:J408"/>
    <mergeCell ref="D395:H395"/>
    <mergeCell ref="I395:J395"/>
    <mergeCell ref="D396:H396"/>
    <mergeCell ref="I396:J396"/>
    <mergeCell ref="D397:H397"/>
    <mergeCell ref="I397:J397"/>
    <mergeCell ref="I398:J398"/>
    <mergeCell ref="D398:H398"/>
    <mergeCell ref="D399:H399"/>
    <mergeCell ref="I399:J399"/>
    <mergeCell ref="D400:H400"/>
    <mergeCell ref="I400:J400"/>
    <mergeCell ref="D401:H401"/>
    <mergeCell ref="I401:J401"/>
    <mergeCell ref="D402:H402"/>
    <mergeCell ref="I402:J402"/>
    <mergeCell ref="D403:H403"/>
    <mergeCell ref="I403:J403"/>
    <mergeCell ref="D436:H436"/>
    <mergeCell ref="I436:J436"/>
    <mergeCell ref="D431:H431"/>
    <mergeCell ref="I431:J431"/>
    <mergeCell ref="D432:H432"/>
    <mergeCell ref="I432:J432"/>
    <mergeCell ref="I433:J433"/>
    <mergeCell ref="D433:H433"/>
    <mergeCell ref="D434:H434"/>
    <mergeCell ref="I434:J434"/>
    <mergeCell ref="D435:H435"/>
    <mergeCell ref="I435:J435"/>
    <mergeCell ref="I426:J426"/>
    <mergeCell ref="D426:H426"/>
    <mergeCell ref="D427:H427"/>
    <mergeCell ref="I427:J427"/>
    <mergeCell ref="I428:J428"/>
    <mergeCell ref="D429:H429"/>
    <mergeCell ref="I429:J429"/>
    <mergeCell ref="D430:H430"/>
    <mergeCell ref="I430:J430"/>
    <mergeCell ref="D421:H421"/>
    <mergeCell ref="I421:J421"/>
    <mergeCell ref="D422:H422"/>
    <mergeCell ref="I422:J422"/>
    <mergeCell ref="D423:H423"/>
    <mergeCell ref="I423:J423"/>
    <mergeCell ref="D424:H424"/>
    <mergeCell ref="I424:J424"/>
    <mergeCell ref="D425:H425"/>
    <mergeCell ref="I425:J425"/>
    <mergeCell ref="D416:H416"/>
    <mergeCell ref="I416:J416"/>
    <mergeCell ref="D417:H417"/>
    <mergeCell ref="I417:J417"/>
    <mergeCell ref="D418:H418"/>
    <mergeCell ref="I418:J418"/>
    <mergeCell ref="I419:J419"/>
    <mergeCell ref="D419:H419"/>
    <mergeCell ref="D420:H420"/>
    <mergeCell ref="I420:J420"/>
    <mergeCell ref="D390:H390"/>
    <mergeCell ref="I390:J390"/>
    <mergeCell ref="I391:J391"/>
    <mergeCell ref="D391:H391"/>
    <mergeCell ref="D392:H392"/>
    <mergeCell ref="I392:J392"/>
    <mergeCell ref="D393:H393"/>
    <mergeCell ref="I393:J393"/>
    <mergeCell ref="D394:H394"/>
    <mergeCell ref="I394:J394"/>
    <mergeCell ref="D385:H385"/>
    <mergeCell ref="I385:J385"/>
    <mergeCell ref="D386:H386"/>
    <mergeCell ref="I386:J386"/>
    <mergeCell ref="D387:H387"/>
    <mergeCell ref="I387:J387"/>
    <mergeCell ref="D388:H388"/>
    <mergeCell ref="I388:J388"/>
    <mergeCell ref="D389:H389"/>
    <mergeCell ref="I389:J389"/>
    <mergeCell ref="D380:H380"/>
    <mergeCell ref="I380:J380"/>
    <mergeCell ref="D381:H381"/>
    <mergeCell ref="I381:J381"/>
    <mergeCell ref="D382:H382"/>
    <mergeCell ref="I382:J382"/>
    <mergeCell ref="D383:H383"/>
    <mergeCell ref="I383:J383"/>
    <mergeCell ref="I384:J384"/>
    <mergeCell ref="D384:H384"/>
    <mergeCell ref="D375:H375"/>
    <mergeCell ref="I375:J375"/>
    <mergeCell ref="D376:H376"/>
    <mergeCell ref="I376:J376"/>
    <mergeCell ref="I377:J377"/>
    <mergeCell ref="D377:H377"/>
    <mergeCell ref="D378:H378"/>
    <mergeCell ref="I378:J378"/>
    <mergeCell ref="D379:H379"/>
    <mergeCell ref="I379:J379"/>
    <mergeCell ref="D370:H370"/>
    <mergeCell ref="I370:J370"/>
    <mergeCell ref="I371:J371"/>
    <mergeCell ref="D372:H372"/>
    <mergeCell ref="I372:J372"/>
    <mergeCell ref="D373:H373"/>
    <mergeCell ref="I373:J373"/>
    <mergeCell ref="D374:H374"/>
    <mergeCell ref="I374:J374"/>
    <mergeCell ref="D276:H276"/>
    <mergeCell ref="I276:J276"/>
    <mergeCell ref="I277:J277"/>
    <mergeCell ref="D277:H277"/>
    <mergeCell ref="D265:H265"/>
    <mergeCell ref="I265:J265"/>
    <mergeCell ref="I266:J266"/>
    <mergeCell ref="D266:H266"/>
    <mergeCell ref="D267:H267"/>
    <mergeCell ref="I267:J267"/>
    <mergeCell ref="I268:J268"/>
    <mergeCell ref="D269:H269"/>
    <mergeCell ref="I269:J269"/>
    <mergeCell ref="D271:H271"/>
    <mergeCell ref="I271:J271"/>
    <mergeCell ref="D272:H272"/>
    <mergeCell ref="I272:J272"/>
    <mergeCell ref="D273:H273"/>
    <mergeCell ref="I273:J273"/>
    <mergeCell ref="D274:H274"/>
    <mergeCell ref="I274:J274"/>
    <mergeCell ref="D275:H275"/>
    <mergeCell ref="I275:J275"/>
    <mergeCell ref="D257:H257"/>
    <mergeCell ref="I257:J257"/>
    <mergeCell ref="D258:H258"/>
    <mergeCell ref="I258:J258"/>
    <mergeCell ref="I259:J259"/>
    <mergeCell ref="D259:H259"/>
    <mergeCell ref="D250:H250"/>
    <mergeCell ref="I250:J250"/>
    <mergeCell ref="D251:H251"/>
    <mergeCell ref="I251:J251"/>
    <mergeCell ref="I252:J252"/>
    <mergeCell ref="D252:H252"/>
    <mergeCell ref="D253:H253"/>
    <mergeCell ref="I253:J253"/>
    <mergeCell ref="D254:H254"/>
    <mergeCell ref="I254:J254"/>
    <mergeCell ref="I245:J245"/>
    <mergeCell ref="D245:H245"/>
    <mergeCell ref="D246:H246"/>
    <mergeCell ref="I246:J246"/>
    <mergeCell ref="D247:H247"/>
    <mergeCell ref="I247:J247"/>
    <mergeCell ref="D248:H248"/>
    <mergeCell ref="I248:J248"/>
    <mergeCell ref="D249:H249"/>
    <mergeCell ref="I249:J249"/>
    <mergeCell ref="D240:H240"/>
    <mergeCell ref="I240:J240"/>
    <mergeCell ref="D241:H241"/>
    <mergeCell ref="I241:J241"/>
    <mergeCell ref="D242:H242"/>
    <mergeCell ref="I242:J242"/>
    <mergeCell ref="D243:H243"/>
    <mergeCell ref="I243:J243"/>
    <mergeCell ref="D244:H244"/>
    <mergeCell ref="I244:J244"/>
    <mergeCell ref="D235:H235"/>
    <mergeCell ref="I235:J235"/>
    <mergeCell ref="D236:H236"/>
    <mergeCell ref="I236:J236"/>
    <mergeCell ref="D237:H237"/>
    <mergeCell ref="I237:J237"/>
    <mergeCell ref="I238:J238"/>
    <mergeCell ref="D238:H238"/>
    <mergeCell ref="D239:H239"/>
    <mergeCell ref="I239:J239"/>
    <mergeCell ref="D230:H230"/>
    <mergeCell ref="I230:J230"/>
    <mergeCell ref="I231:J231"/>
    <mergeCell ref="D231:H231"/>
    <mergeCell ref="D232:H232"/>
    <mergeCell ref="I232:J232"/>
    <mergeCell ref="D233:H233"/>
    <mergeCell ref="I233:J233"/>
    <mergeCell ref="D234:H234"/>
    <mergeCell ref="I234:J234"/>
    <mergeCell ref="D225:H225"/>
    <mergeCell ref="I225:J225"/>
    <mergeCell ref="D226:H226"/>
    <mergeCell ref="I226:J226"/>
    <mergeCell ref="D227:H227"/>
    <mergeCell ref="I227:J227"/>
    <mergeCell ref="D228:H228"/>
    <mergeCell ref="I228:J228"/>
    <mergeCell ref="D229:H229"/>
    <mergeCell ref="I229:J229"/>
    <mergeCell ref="D220:H220"/>
    <mergeCell ref="I220:J220"/>
    <mergeCell ref="D221:H221"/>
    <mergeCell ref="I221:J221"/>
    <mergeCell ref="D222:H222"/>
    <mergeCell ref="I222:J222"/>
    <mergeCell ref="D223:H223"/>
    <mergeCell ref="I223:J223"/>
    <mergeCell ref="I224:J224"/>
    <mergeCell ref="D224:H224"/>
    <mergeCell ref="D215:H215"/>
    <mergeCell ref="I215:J215"/>
    <mergeCell ref="D216:H216"/>
    <mergeCell ref="I216:J216"/>
    <mergeCell ref="I217:J217"/>
    <mergeCell ref="D217:H217"/>
    <mergeCell ref="D218:H218"/>
    <mergeCell ref="I218:J218"/>
    <mergeCell ref="D219:H219"/>
    <mergeCell ref="I219:J219"/>
    <mergeCell ref="I210:J210"/>
    <mergeCell ref="D210:H210"/>
    <mergeCell ref="D211:H211"/>
    <mergeCell ref="I211:J211"/>
    <mergeCell ref="D212:H212"/>
    <mergeCell ref="I212:J212"/>
    <mergeCell ref="D213:H213"/>
    <mergeCell ref="I213:J213"/>
    <mergeCell ref="D214:H214"/>
    <mergeCell ref="I214:J214"/>
    <mergeCell ref="D205:H205"/>
    <mergeCell ref="I205:J205"/>
    <mergeCell ref="D206:H206"/>
    <mergeCell ref="I206:J206"/>
    <mergeCell ref="D207:H207"/>
    <mergeCell ref="I207:J207"/>
    <mergeCell ref="D208:H208"/>
    <mergeCell ref="I208:J208"/>
    <mergeCell ref="D209:H209"/>
    <mergeCell ref="I209:J209"/>
    <mergeCell ref="D200:H200"/>
    <mergeCell ref="I200:J200"/>
    <mergeCell ref="D201:H201"/>
    <mergeCell ref="I201:J201"/>
    <mergeCell ref="D202:H202"/>
    <mergeCell ref="I202:J202"/>
    <mergeCell ref="I203:J203"/>
    <mergeCell ref="D203:H203"/>
    <mergeCell ref="D204:H204"/>
    <mergeCell ref="I204:J204"/>
    <mergeCell ref="D195:H195"/>
    <mergeCell ref="I195:J195"/>
    <mergeCell ref="I196:J196"/>
    <mergeCell ref="D196:H196"/>
    <mergeCell ref="D197:H197"/>
    <mergeCell ref="I197:J197"/>
    <mergeCell ref="D198:H198"/>
    <mergeCell ref="I198:J198"/>
    <mergeCell ref="D199:H199"/>
    <mergeCell ref="I199:J199"/>
    <mergeCell ref="D190:H190"/>
    <mergeCell ref="I190:J190"/>
    <mergeCell ref="D191:H191"/>
    <mergeCell ref="I191:J191"/>
    <mergeCell ref="D192:H192"/>
    <mergeCell ref="I192:J192"/>
    <mergeCell ref="D193:H193"/>
    <mergeCell ref="I193:J193"/>
    <mergeCell ref="D194:H194"/>
    <mergeCell ref="I194:J194"/>
    <mergeCell ref="D185:H185"/>
    <mergeCell ref="I185:J185"/>
    <mergeCell ref="D186:H186"/>
    <mergeCell ref="I186:J186"/>
    <mergeCell ref="D187:H187"/>
    <mergeCell ref="I187:J187"/>
    <mergeCell ref="D188:H188"/>
    <mergeCell ref="I188:J188"/>
    <mergeCell ref="I189:J189"/>
    <mergeCell ref="D189:H189"/>
    <mergeCell ref="D180:H180"/>
    <mergeCell ref="I180:J180"/>
    <mergeCell ref="D181:H181"/>
    <mergeCell ref="I181:J181"/>
    <mergeCell ref="I182:J182"/>
    <mergeCell ref="D182:H182"/>
    <mergeCell ref="D183:H183"/>
    <mergeCell ref="I183:J183"/>
    <mergeCell ref="D184:H184"/>
    <mergeCell ref="I184:J184"/>
    <mergeCell ref="I163:J163"/>
    <mergeCell ref="D163:H163"/>
    <mergeCell ref="D164:H164"/>
    <mergeCell ref="I164:J164"/>
    <mergeCell ref="D165:H165"/>
    <mergeCell ref="D166:H166"/>
    <mergeCell ref="D167:H167"/>
    <mergeCell ref="D168:H168"/>
    <mergeCell ref="D179:H179"/>
    <mergeCell ref="I179:J179"/>
    <mergeCell ref="D169:H169"/>
    <mergeCell ref="D170:H170"/>
    <mergeCell ref="D171:H171"/>
    <mergeCell ref="D172:H172"/>
    <mergeCell ref="D173:H173"/>
    <mergeCell ref="D174:H174"/>
    <mergeCell ref="I175:J175"/>
    <mergeCell ref="D175:H175"/>
    <mergeCell ref="D176:H176"/>
    <mergeCell ref="I176:J176"/>
    <mergeCell ref="D177:H177"/>
    <mergeCell ref="I177:J177"/>
    <mergeCell ref="D178:H178"/>
    <mergeCell ref="I178:J178"/>
    <mergeCell ref="D158:H158"/>
    <mergeCell ref="I158:J158"/>
    <mergeCell ref="D159:H159"/>
    <mergeCell ref="I159:J159"/>
    <mergeCell ref="D160:H160"/>
    <mergeCell ref="I160:J160"/>
    <mergeCell ref="D161:H161"/>
    <mergeCell ref="I161:J161"/>
    <mergeCell ref="D162:H162"/>
    <mergeCell ref="I162:J162"/>
    <mergeCell ref="D153:H153"/>
    <mergeCell ref="I153:J153"/>
    <mergeCell ref="D154:H154"/>
    <mergeCell ref="I154:J154"/>
    <mergeCell ref="D155:H155"/>
    <mergeCell ref="I155:J155"/>
    <mergeCell ref="I156:J156"/>
    <mergeCell ref="D156:H156"/>
    <mergeCell ref="D157:H157"/>
    <mergeCell ref="I157:J157"/>
    <mergeCell ref="D148:H148"/>
    <mergeCell ref="I148:J148"/>
    <mergeCell ref="I149:J149"/>
    <mergeCell ref="D149:H149"/>
    <mergeCell ref="D150:H150"/>
    <mergeCell ref="I150:J150"/>
    <mergeCell ref="D151:H151"/>
    <mergeCell ref="I151:J151"/>
    <mergeCell ref="D152:H152"/>
    <mergeCell ref="I152:J152"/>
    <mergeCell ref="D143:H143"/>
    <mergeCell ref="I143:J143"/>
    <mergeCell ref="D144:H144"/>
    <mergeCell ref="I144:J144"/>
    <mergeCell ref="D145:H145"/>
    <mergeCell ref="I145:J145"/>
    <mergeCell ref="D146:H146"/>
    <mergeCell ref="I146:J146"/>
    <mergeCell ref="D147:H147"/>
    <mergeCell ref="I147:J147"/>
    <mergeCell ref="D138:H138"/>
    <mergeCell ref="I138:J138"/>
    <mergeCell ref="D139:H139"/>
    <mergeCell ref="I139:J139"/>
    <mergeCell ref="D140:H140"/>
    <mergeCell ref="I140:J140"/>
    <mergeCell ref="D141:H141"/>
    <mergeCell ref="I141:J141"/>
    <mergeCell ref="I142:J142"/>
    <mergeCell ref="D142:H142"/>
    <mergeCell ref="D133:H133"/>
    <mergeCell ref="I133:J133"/>
    <mergeCell ref="D134:H134"/>
    <mergeCell ref="I134:J134"/>
    <mergeCell ref="I135:J135"/>
    <mergeCell ref="D135:H135"/>
    <mergeCell ref="D136:H136"/>
    <mergeCell ref="I136:J136"/>
    <mergeCell ref="D137:H137"/>
    <mergeCell ref="I137:J137"/>
    <mergeCell ref="I107:J107"/>
    <mergeCell ref="D107:H107"/>
    <mergeCell ref="D108:H108"/>
    <mergeCell ref="I108:J108"/>
    <mergeCell ref="D109:H109"/>
    <mergeCell ref="I109:J109"/>
    <mergeCell ref="D110:H110"/>
    <mergeCell ref="I110:J110"/>
    <mergeCell ref="D132:H132"/>
    <mergeCell ref="I132:J132"/>
    <mergeCell ref="D111:H111"/>
    <mergeCell ref="I111:J111"/>
    <mergeCell ref="D112:H112"/>
    <mergeCell ref="I112:J112"/>
    <mergeCell ref="D113:H113"/>
    <mergeCell ref="I113:J113"/>
    <mergeCell ref="I114:J114"/>
    <mergeCell ref="D114:H114"/>
    <mergeCell ref="D115:H115"/>
    <mergeCell ref="I115:J115"/>
    <mergeCell ref="D116:H116"/>
    <mergeCell ref="I116:J116"/>
    <mergeCell ref="D117:H117"/>
    <mergeCell ref="I117:J117"/>
    <mergeCell ref="D101:H101"/>
    <mergeCell ref="I101:J101"/>
    <mergeCell ref="I102:J102"/>
    <mergeCell ref="D103:H103"/>
    <mergeCell ref="I103:J103"/>
    <mergeCell ref="I104:J104"/>
    <mergeCell ref="D105:H105"/>
    <mergeCell ref="I105:J105"/>
    <mergeCell ref="I106:J106"/>
    <mergeCell ref="D96:H96"/>
    <mergeCell ref="I96:J96"/>
    <mergeCell ref="D97:H97"/>
    <mergeCell ref="I97:J97"/>
    <mergeCell ref="D98:H98"/>
    <mergeCell ref="I98:J98"/>
    <mergeCell ref="D99:H99"/>
    <mergeCell ref="I99:J99"/>
    <mergeCell ref="D100:H100"/>
    <mergeCell ref="I100:J100"/>
    <mergeCell ref="D91:H91"/>
    <mergeCell ref="I91:J91"/>
    <mergeCell ref="D92:H92"/>
    <mergeCell ref="I92:J92"/>
    <mergeCell ref="D93:H93"/>
    <mergeCell ref="I93:J93"/>
    <mergeCell ref="D94:H94"/>
    <mergeCell ref="I94:J94"/>
    <mergeCell ref="I95:J95"/>
    <mergeCell ref="D95:H95"/>
    <mergeCell ref="D86:H86"/>
    <mergeCell ref="I86:J86"/>
    <mergeCell ref="D87:H87"/>
    <mergeCell ref="I87:J87"/>
    <mergeCell ref="I88:J88"/>
    <mergeCell ref="D88:H88"/>
    <mergeCell ref="D89:H89"/>
    <mergeCell ref="I89:J89"/>
    <mergeCell ref="D90:H90"/>
    <mergeCell ref="I90:J90"/>
    <mergeCell ref="D81:H81"/>
    <mergeCell ref="I81:J81"/>
    <mergeCell ref="D82:H82"/>
    <mergeCell ref="D83:H83"/>
    <mergeCell ref="I83:J83"/>
    <mergeCell ref="D84:H84"/>
    <mergeCell ref="I84:J84"/>
    <mergeCell ref="D85:H85"/>
    <mergeCell ref="I85:J85"/>
    <mergeCell ref="D20:H20"/>
    <mergeCell ref="I20:J20"/>
    <mergeCell ref="I21:J21"/>
    <mergeCell ref="D21:H21"/>
    <mergeCell ref="D22:H22"/>
    <mergeCell ref="I22:J22"/>
    <mergeCell ref="D23:H23"/>
    <mergeCell ref="I23:J23"/>
    <mergeCell ref="D24:H24"/>
    <mergeCell ref="I24:J24"/>
    <mergeCell ref="D15:H15"/>
    <mergeCell ref="I15:J15"/>
    <mergeCell ref="D16:H16"/>
    <mergeCell ref="I16:J16"/>
    <mergeCell ref="D17:H17"/>
    <mergeCell ref="I17:J17"/>
    <mergeCell ref="D18:H18"/>
    <mergeCell ref="I18:J18"/>
    <mergeCell ref="D19:H19"/>
    <mergeCell ref="I19:J19"/>
    <mergeCell ref="D80:H80"/>
    <mergeCell ref="I80:J80"/>
    <mergeCell ref="A2:J2"/>
    <mergeCell ref="D3:E3"/>
    <mergeCell ref="D4:E4"/>
    <mergeCell ref="G4:H4"/>
    <mergeCell ref="D6:H6"/>
    <mergeCell ref="I6:J6"/>
    <mergeCell ref="I7:J7"/>
    <mergeCell ref="D7:H7"/>
    <mergeCell ref="D8:H8"/>
    <mergeCell ref="I8:J8"/>
    <mergeCell ref="D9:H9"/>
    <mergeCell ref="I9:J9"/>
    <mergeCell ref="D10:H10"/>
    <mergeCell ref="I10:J10"/>
    <mergeCell ref="D11:H11"/>
    <mergeCell ref="I11:J11"/>
    <mergeCell ref="D12:H12"/>
    <mergeCell ref="I12:J12"/>
    <mergeCell ref="D13:H13"/>
    <mergeCell ref="I13:J13"/>
    <mergeCell ref="I14:J14"/>
    <mergeCell ref="D14:H14"/>
    <mergeCell ref="D75:H75"/>
    <mergeCell ref="I75:J75"/>
    <mergeCell ref="D76:H76"/>
    <mergeCell ref="I76:J76"/>
    <mergeCell ref="I77:J77"/>
    <mergeCell ref="D77:H77"/>
    <mergeCell ref="D78:H78"/>
    <mergeCell ref="I78:J78"/>
    <mergeCell ref="D79:H79"/>
    <mergeCell ref="I79:J79"/>
    <mergeCell ref="I70:J70"/>
    <mergeCell ref="D70:H70"/>
    <mergeCell ref="D71:H71"/>
    <mergeCell ref="I71:J71"/>
    <mergeCell ref="D72:H72"/>
    <mergeCell ref="I72:J72"/>
    <mergeCell ref="D73:H73"/>
    <mergeCell ref="I73:J73"/>
    <mergeCell ref="D74:H74"/>
    <mergeCell ref="I74:J74"/>
    <mergeCell ref="D65:H65"/>
    <mergeCell ref="I65:J65"/>
    <mergeCell ref="D66:H66"/>
    <mergeCell ref="I66:J66"/>
    <mergeCell ref="D67:H67"/>
    <mergeCell ref="I67:J67"/>
    <mergeCell ref="D68:H68"/>
    <mergeCell ref="I68:J68"/>
    <mergeCell ref="D69:H69"/>
    <mergeCell ref="I69:J69"/>
    <mergeCell ref="D60:H60"/>
    <mergeCell ref="I60:J60"/>
    <mergeCell ref="D61:H61"/>
    <mergeCell ref="I61:J61"/>
    <mergeCell ref="D62:H62"/>
    <mergeCell ref="I62:J62"/>
    <mergeCell ref="I63:J63"/>
    <mergeCell ref="D63:H63"/>
    <mergeCell ref="D64:H64"/>
    <mergeCell ref="I64:J64"/>
    <mergeCell ref="D55:H55"/>
    <mergeCell ref="I55:J55"/>
    <mergeCell ref="I56:J56"/>
    <mergeCell ref="D56:H56"/>
    <mergeCell ref="D57:H57"/>
    <mergeCell ref="I57:J57"/>
    <mergeCell ref="D58:H58"/>
    <mergeCell ref="I58:J58"/>
    <mergeCell ref="D59:H59"/>
    <mergeCell ref="I59:J59"/>
    <mergeCell ref="D50:H50"/>
    <mergeCell ref="I50:J50"/>
    <mergeCell ref="D51:H51"/>
    <mergeCell ref="I51:J51"/>
    <mergeCell ref="D52:H52"/>
    <mergeCell ref="I52:J52"/>
    <mergeCell ref="D53:H53"/>
    <mergeCell ref="I53:J53"/>
    <mergeCell ref="D54:H54"/>
    <mergeCell ref="I54:J54"/>
    <mergeCell ref="D45:H45"/>
    <mergeCell ref="I45:J45"/>
    <mergeCell ref="D46:H46"/>
    <mergeCell ref="I46:J46"/>
    <mergeCell ref="D47:H47"/>
    <mergeCell ref="I47:J47"/>
    <mergeCell ref="D48:H48"/>
    <mergeCell ref="I48:J48"/>
    <mergeCell ref="I49:J49"/>
    <mergeCell ref="D49:H49"/>
    <mergeCell ref="D40:H40"/>
    <mergeCell ref="I40:J40"/>
    <mergeCell ref="D41:H41"/>
    <mergeCell ref="I41:J41"/>
    <mergeCell ref="I42:J42"/>
    <mergeCell ref="D42:H42"/>
    <mergeCell ref="D43:H43"/>
    <mergeCell ref="I43:J43"/>
    <mergeCell ref="D44:H44"/>
    <mergeCell ref="I44:J44"/>
    <mergeCell ref="I35:J35"/>
    <mergeCell ref="D35:H35"/>
    <mergeCell ref="D36:H36"/>
    <mergeCell ref="I36:J36"/>
    <mergeCell ref="D37:H37"/>
    <mergeCell ref="I37:J37"/>
    <mergeCell ref="D38:H38"/>
    <mergeCell ref="I38:J38"/>
    <mergeCell ref="D39:H39"/>
    <mergeCell ref="I39:J39"/>
    <mergeCell ref="D30:H30"/>
    <mergeCell ref="I30:J30"/>
    <mergeCell ref="D31:H31"/>
    <mergeCell ref="I31:J31"/>
    <mergeCell ref="D32:H32"/>
    <mergeCell ref="I32:J32"/>
    <mergeCell ref="D33:H33"/>
    <mergeCell ref="I33:J33"/>
    <mergeCell ref="D34:H34"/>
    <mergeCell ref="I34:J34"/>
    <mergeCell ref="D25:H25"/>
    <mergeCell ref="I25:J25"/>
    <mergeCell ref="D26:H26"/>
    <mergeCell ref="I26:J26"/>
    <mergeCell ref="D27:H27"/>
    <mergeCell ref="I27:J27"/>
    <mergeCell ref="I28:J28"/>
    <mergeCell ref="D28:H28"/>
    <mergeCell ref="D29:H29"/>
    <mergeCell ref="I29:J29"/>
  </mergeCells>
  <conditionalFormatting sqref="A242 C245 A248 A251 A254">
    <cfRule type="expression" dxfId="17" priority="2">
      <formula>COUNTIF(A:A,A242)&gt;1</formula>
    </cfRule>
  </conditionalFormatting>
  <conditionalFormatting sqref="B266:B267 D358">
    <cfRule type="colorScale" priority="1">
      <colorScale>
        <cfvo type="min"/>
        <cfvo type="max"/>
        <color rgb="FF57BB8A"/>
        <color rgb="FFFFFFFF"/>
      </colorScale>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outlinePr summaryBelow="0" summaryRight="0"/>
    <pageSetUpPr fitToPage="1"/>
  </sheetPr>
  <dimension ref="A1:E49"/>
  <sheetViews>
    <sheetView workbookViewId="0">
      <pane ySplit="1" topLeftCell="A3" activePane="bottomLeft" state="frozen"/>
      <selection pane="bottomLeft" activeCell="D12" sqref="D12"/>
    </sheetView>
  </sheetViews>
  <sheetFormatPr defaultColWidth="14.3984375" defaultRowHeight="15.75" customHeight="1"/>
  <cols>
    <col min="1" max="1" width="16.59765625" customWidth="1"/>
    <col min="2" max="2" width="18.73046875" customWidth="1"/>
    <col min="3" max="3" width="32.3984375" customWidth="1"/>
    <col min="4" max="4" width="106.1328125" customWidth="1"/>
  </cols>
  <sheetData>
    <row r="1" spans="1:5" ht="14.25">
      <c r="A1" s="47" t="s">
        <v>3484</v>
      </c>
      <c r="B1" s="47" t="s">
        <v>3398</v>
      </c>
      <c r="C1" s="47" t="s">
        <v>3399</v>
      </c>
      <c r="D1" s="190" t="s">
        <v>2911</v>
      </c>
      <c r="E1" s="50" t="s">
        <v>3400</v>
      </c>
    </row>
    <row r="2" spans="1:5" ht="14.25">
      <c r="A2" s="36"/>
      <c r="B2" s="36" t="s">
        <v>3485</v>
      </c>
      <c r="C2" s="36" t="s">
        <v>3486</v>
      </c>
      <c r="D2" s="31" t="s">
        <v>3487</v>
      </c>
      <c r="E2" s="38" t="s">
        <v>3404</v>
      </c>
    </row>
    <row r="3" spans="1:5" ht="14.25">
      <c r="A3" s="36"/>
      <c r="B3" s="36" t="s">
        <v>3488</v>
      </c>
      <c r="C3" s="36" t="s">
        <v>3402</v>
      </c>
      <c r="D3" s="31" t="s">
        <v>3403</v>
      </c>
      <c r="E3" s="38" t="s">
        <v>3404</v>
      </c>
    </row>
    <row r="4" spans="1:5" ht="14.25">
      <c r="A4" s="36"/>
      <c r="B4" s="36" t="s">
        <v>3405</v>
      </c>
      <c r="C4" s="36"/>
      <c r="D4" s="31" t="s">
        <v>3406</v>
      </c>
      <c r="E4" s="38" t="s">
        <v>3407</v>
      </c>
    </row>
    <row r="5" spans="1:5" ht="14.25">
      <c r="A5" s="36"/>
      <c r="B5" s="36" t="s">
        <v>3408</v>
      </c>
      <c r="C5" s="36" t="s">
        <v>187</v>
      </c>
      <c r="D5" s="31" t="s">
        <v>3409</v>
      </c>
      <c r="E5" s="38" t="s">
        <v>3407</v>
      </c>
    </row>
    <row r="6" spans="1:5" ht="14.25">
      <c r="A6" s="36"/>
      <c r="B6" s="36" t="s">
        <v>3408</v>
      </c>
      <c r="C6" s="36" t="s">
        <v>189</v>
      </c>
      <c r="D6" s="31" t="s">
        <v>3409</v>
      </c>
      <c r="E6" s="38" t="s">
        <v>3407</v>
      </c>
    </row>
    <row r="7" spans="1:5" ht="14.25">
      <c r="A7" s="36"/>
      <c r="B7" s="36" t="s">
        <v>3410</v>
      </c>
      <c r="C7" s="36" t="s">
        <v>179</v>
      </c>
      <c r="D7" s="31" t="s">
        <v>3409</v>
      </c>
      <c r="E7" s="38" t="s">
        <v>3407</v>
      </c>
    </row>
    <row r="8" spans="1:5" ht="14.25">
      <c r="A8" s="36"/>
      <c r="B8" s="36" t="s">
        <v>3410</v>
      </c>
      <c r="C8" s="36" t="s">
        <v>182</v>
      </c>
      <c r="D8" s="31" t="s">
        <v>3409</v>
      </c>
      <c r="E8" s="38" t="s">
        <v>3407</v>
      </c>
    </row>
    <row r="9" spans="1:5" ht="14.25">
      <c r="A9" s="36"/>
      <c r="B9" s="36" t="s">
        <v>3410</v>
      </c>
      <c r="C9" s="36" t="s">
        <v>184</v>
      </c>
      <c r="D9" s="31" t="s">
        <v>3409</v>
      </c>
      <c r="E9" s="38" t="s">
        <v>3407</v>
      </c>
    </row>
    <row r="10" spans="1:5" ht="14.25">
      <c r="A10" s="36"/>
      <c r="B10" s="31" t="s">
        <v>3411</v>
      </c>
      <c r="C10" s="31" t="s">
        <v>797</v>
      </c>
      <c r="D10" s="31" t="s">
        <v>3409</v>
      </c>
      <c r="E10" s="38" t="s">
        <v>3407</v>
      </c>
    </row>
    <row r="11" spans="1:5" ht="14.25">
      <c r="A11" s="36"/>
      <c r="B11" s="31" t="s">
        <v>3412</v>
      </c>
      <c r="C11" s="31" t="s">
        <v>3413</v>
      </c>
      <c r="D11" s="31" t="s">
        <v>3409</v>
      </c>
      <c r="E11" s="38" t="s">
        <v>3407</v>
      </c>
    </row>
    <row r="12" spans="1:5" ht="14.25">
      <c r="A12" s="36"/>
      <c r="B12" s="31" t="s">
        <v>3414</v>
      </c>
      <c r="C12" s="31" t="s">
        <v>3415</v>
      </c>
      <c r="D12" s="31" t="s">
        <v>3416</v>
      </c>
      <c r="E12" s="38" t="s">
        <v>3407</v>
      </c>
    </row>
    <row r="13" spans="1:5" ht="14.25">
      <c r="A13" s="36"/>
      <c r="B13" s="36" t="s">
        <v>3414</v>
      </c>
      <c r="C13" s="36" t="s">
        <v>3417</v>
      </c>
      <c r="D13" s="183" t="s">
        <v>3418</v>
      </c>
      <c r="E13" s="38" t="s">
        <v>3407</v>
      </c>
    </row>
    <row r="14" spans="1:5" ht="14.25">
      <c r="A14" s="36"/>
      <c r="B14" s="36" t="s">
        <v>3414</v>
      </c>
      <c r="C14" s="36" t="s">
        <v>3419</v>
      </c>
      <c r="D14" s="31" t="s">
        <v>3420</v>
      </c>
      <c r="E14" s="38" t="s">
        <v>3407</v>
      </c>
    </row>
    <row r="15" spans="1:5" ht="14.25">
      <c r="A15" s="36"/>
      <c r="B15" s="36" t="s">
        <v>3421</v>
      </c>
      <c r="C15" s="36" t="s">
        <v>3422</v>
      </c>
      <c r="D15" s="31" t="s">
        <v>3423</v>
      </c>
      <c r="E15" s="38" t="s">
        <v>3407</v>
      </c>
    </row>
    <row r="16" spans="1:5" ht="14.25">
      <c r="A16" s="36"/>
      <c r="B16" s="36" t="s">
        <v>3421</v>
      </c>
      <c r="C16" s="36" t="s">
        <v>3422</v>
      </c>
      <c r="D16" s="31" t="s">
        <v>3489</v>
      </c>
      <c r="E16" s="43"/>
    </row>
    <row r="17" spans="1:5" ht="14.25">
      <c r="A17" s="36"/>
      <c r="B17" s="36" t="s">
        <v>3425</v>
      </c>
      <c r="C17" s="36" t="s">
        <v>3426</v>
      </c>
      <c r="D17" s="31" t="s">
        <v>3416</v>
      </c>
      <c r="E17" s="43" t="s">
        <v>3407</v>
      </c>
    </row>
    <row r="18" spans="1:5" ht="14.25">
      <c r="A18" s="36"/>
      <c r="B18" s="36" t="s">
        <v>3427</v>
      </c>
      <c r="C18" s="36" t="s">
        <v>3428</v>
      </c>
      <c r="D18" s="31" t="s">
        <v>3416</v>
      </c>
      <c r="E18" s="43" t="s">
        <v>3407</v>
      </c>
    </row>
    <row r="19" spans="1:5" ht="14.25">
      <c r="A19" s="36"/>
      <c r="B19" s="36" t="s">
        <v>3429</v>
      </c>
      <c r="C19" s="36" t="s">
        <v>3430</v>
      </c>
      <c r="D19" s="31" t="s">
        <v>3431</v>
      </c>
      <c r="E19" s="43" t="s">
        <v>3407</v>
      </c>
    </row>
    <row r="20" spans="1:5" ht="14.25">
      <c r="A20" s="36"/>
      <c r="B20" s="36" t="s">
        <v>3432</v>
      </c>
      <c r="C20" s="36" t="s">
        <v>3433</v>
      </c>
      <c r="D20" s="31" t="s">
        <v>3416</v>
      </c>
      <c r="E20" s="43" t="s">
        <v>3407</v>
      </c>
    </row>
    <row r="21" spans="1:5" ht="14.25">
      <c r="A21" s="36"/>
      <c r="B21" s="36" t="s">
        <v>3434</v>
      </c>
      <c r="C21" s="36" t="s">
        <v>3435</v>
      </c>
      <c r="D21" s="31" t="s">
        <v>3436</v>
      </c>
      <c r="E21" s="43" t="s">
        <v>3407</v>
      </c>
    </row>
    <row r="22" spans="1:5" ht="14.25">
      <c r="A22" s="36"/>
      <c r="B22" s="36" t="s">
        <v>3437</v>
      </c>
      <c r="C22" s="36" t="s">
        <v>556</v>
      </c>
      <c r="D22" s="31" t="s">
        <v>3436</v>
      </c>
      <c r="E22" s="43" t="s">
        <v>3407</v>
      </c>
    </row>
    <row r="23" spans="1:5" ht="14.25">
      <c r="A23" s="36"/>
      <c r="B23" s="36" t="s">
        <v>3438</v>
      </c>
      <c r="C23" s="36" t="s">
        <v>53</v>
      </c>
      <c r="D23" s="31" t="s">
        <v>3439</v>
      </c>
      <c r="E23" s="43" t="s">
        <v>3407</v>
      </c>
    </row>
    <row r="24" spans="1:5" ht="14.25">
      <c r="A24" s="36"/>
      <c r="B24" s="36" t="s">
        <v>3414</v>
      </c>
      <c r="C24" s="36" t="s">
        <v>3440</v>
      </c>
      <c r="D24" s="31" t="s">
        <v>3441</v>
      </c>
      <c r="E24" s="43"/>
    </row>
    <row r="25" spans="1:5" ht="14.25">
      <c r="A25" s="36"/>
      <c r="B25" s="36" t="s">
        <v>3421</v>
      </c>
      <c r="C25" s="36" t="s">
        <v>3442</v>
      </c>
      <c r="D25" s="31" t="s">
        <v>3443</v>
      </c>
      <c r="E25" s="43" t="s">
        <v>3407</v>
      </c>
    </row>
    <row r="26" spans="1:5" ht="14.25">
      <c r="A26" s="36"/>
      <c r="B26" s="36" t="s">
        <v>3421</v>
      </c>
      <c r="C26" s="36" t="s">
        <v>3444</v>
      </c>
      <c r="D26" s="31" t="s">
        <v>3445</v>
      </c>
      <c r="E26" s="43"/>
    </row>
    <row r="27" spans="1:5" ht="14.25">
      <c r="A27" s="36"/>
      <c r="B27" s="36" t="s">
        <v>3421</v>
      </c>
      <c r="C27" s="36" t="s">
        <v>3446</v>
      </c>
      <c r="D27" s="31" t="s">
        <v>3445</v>
      </c>
      <c r="E27" s="43"/>
    </row>
    <row r="28" spans="1:5" ht="14.25">
      <c r="A28" s="36"/>
      <c r="B28" s="36" t="s">
        <v>3421</v>
      </c>
      <c r="C28" s="36" t="s">
        <v>3447</v>
      </c>
      <c r="D28" s="31" t="s">
        <v>3448</v>
      </c>
      <c r="E28" s="43"/>
    </row>
    <row r="29" spans="1:5" ht="14.25">
      <c r="A29" s="36"/>
      <c r="B29" s="36" t="s">
        <v>3425</v>
      </c>
      <c r="C29" s="36" t="s">
        <v>3449</v>
      </c>
      <c r="D29" s="31" t="s">
        <v>3450</v>
      </c>
      <c r="E29" s="43" t="s">
        <v>3453</v>
      </c>
    </row>
    <row r="30" spans="1:5" ht="14.25">
      <c r="A30" s="36"/>
      <c r="B30" s="36" t="s">
        <v>3425</v>
      </c>
      <c r="C30" s="36" t="s">
        <v>3451</v>
      </c>
      <c r="D30" s="31" t="s">
        <v>3450</v>
      </c>
      <c r="E30" s="43" t="s">
        <v>3453</v>
      </c>
    </row>
    <row r="31" spans="1:5" ht="14.25">
      <c r="A31" s="36"/>
      <c r="B31" s="36" t="s">
        <v>3421</v>
      </c>
      <c r="C31" s="36" t="s">
        <v>3452</v>
      </c>
      <c r="D31" s="31" t="s">
        <v>3443</v>
      </c>
      <c r="E31" s="43" t="s">
        <v>3453</v>
      </c>
    </row>
    <row r="32" spans="1:5" ht="14.25">
      <c r="A32" s="36"/>
      <c r="B32" s="36" t="s">
        <v>3454</v>
      </c>
      <c r="C32" s="36" t="s">
        <v>3455</v>
      </c>
      <c r="D32" s="31" t="s">
        <v>3456</v>
      </c>
      <c r="E32" s="43" t="s">
        <v>3457</v>
      </c>
    </row>
    <row r="33" spans="1:5" ht="14.25">
      <c r="A33" s="36"/>
      <c r="B33" s="36" t="s">
        <v>3454</v>
      </c>
      <c r="C33" s="36"/>
      <c r="D33" s="31" t="s">
        <v>3458</v>
      </c>
      <c r="E33" s="43" t="s">
        <v>3457</v>
      </c>
    </row>
    <row r="34" spans="1:5" ht="14.25">
      <c r="A34" s="36"/>
      <c r="B34" s="36" t="s">
        <v>3459</v>
      </c>
      <c r="C34" s="36"/>
      <c r="D34" s="31" t="s">
        <v>3460</v>
      </c>
      <c r="E34" s="43" t="s">
        <v>3404</v>
      </c>
    </row>
    <row r="35" spans="1:5" ht="14.25">
      <c r="A35" s="36"/>
      <c r="B35" s="36"/>
      <c r="C35" s="36"/>
      <c r="D35" s="31" t="s">
        <v>3461</v>
      </c>
      <c r="E35" s="43"/>
    </row>
    <row r="36" spans="1:5" ht="14.25">
      <c r="A36" s="36"/>
      <c r="B36" s="36"/>
      <c r="C36" s="36"/>
      <c r="D36" s="31" t="s">
        <v>3462</v>
      </c>
      <c r="E36" s="43"/>
    </row>
    <row r="37" spans="1:5" ht="14.25">
      <c r="A37" s="36"/>
      <c r="B37" s="36"/>
      <c r="C37" s="36"/>
      <c r="D37" s="31" t="s">
        <v>3463</v>
      </c>
      <c r="E37" s="43"/>
    </row>
    <row r="38" spans="1:5" ht="14.25">
      <c r="A38" s="36"/>
      <c r="B38" s="36" t="s">
        <v>3464</v>
      </c>
      <c r="C38" s="36" t="s">
        <v>2046</v>
      </c>
      <c r="D38" s="31" t="s">
        <v>3465</v>
      </c>
      <c r="E38" s="43" t="s">
        <v>3404</v>
      </c>
    </row>
    <row r="39" spans="1:5" ht="14.25">
      <c r="A39" s="36"/>
      <c r="B39" s="36" t="s">
        <v>3466</v>
      </c>
      <c r="C39" s="36" t="s">
        <v>2046</v>
      </c>
      <c r="D39" s="31" t="s">
        <v>3465</v>
      </c>
      <c r="E39" s="43" t="s">
        <v>3404</v>
      </c>
    </row>
    <row r="40" spans="1:5" ht="14.25">
      <c r="A40" s="36"/>
      <c r="B40" s="36" t="s">
        <v>3467</v>
      </c>
      <c r="C40" s="36" t="s">
        <v>3468</v>
      </c>
      <c r="D40" s="31" t="s">
        <v>3465</v>
      </c>
      <c r="E40" s="43" t="s">
        <v>3404</v>
      </c>
    </row>
    <row r="41" spans="1:5" ht="14.25">
      <c r="A41" s="36"/>
      <c r="B41" s="36" t="s">
        <v>3490</v>
      </c>
      <c r="C41" s="36" t="s">
        <v>3491</v>
      </c>
      <c r="D41" s="31" t="s">
        <v>3492</v>
      </c>
      <c r="E41" s="43" t="s">
        <v>3493</v>
      </c>
    </row>
    <row r="42" spans="1:5" ht="14.25">
      <c r="A42" s="36"/>
      <c r="B42" s="36" t="s">
        <v>3494</v>
      </c>
      <c r="C42" s="36" t="s">
        <v>3495</v>
      </c>
      <c r="D42" s="31" t="s">
        <v>3496</v>
      </c>
      <c r="E42" s="43" t="s">
        <v>3497</v>
      </c>
    </row>
    <row r="43" spans="1:5" ht="14.25">
      <c r="A43" s="36"/>
      <c r="B43" s="36" t="s">
        <v>3498</v>
      </c>
      <c r="C43" s="36"/>
      <c r="D43" s="31" t="s">
        <v>3499</v>
      </c>
      <c r="E43" s="43">
        <v>43768</v>
      </c>
    </row>
    <row r="44" spans="1:5" ht="15.75" customHeight="1">
      <c r="A44" s="186" t="s">
        <v>3500</v>
      </c>
      <c r="B44" s="184"/>
      <c r="C44" s="186" t="s">
        <v>3501</v>
      </c>
      <c r="D44" s="51" t="str">
        <f t="shared" ref="D44:D47" si="0">HYPERLINK("https://docs.google.com/spreadsheets/d/1K4g_3wVwH1TBQN4MMTiwvRuVzlKQs6LGuikLJPyrwzw/edit#gid=0","See Redline Document")</f>
        <v>See Redline Document</v>
      </c>
      <c r="E44" s="184"/>
    </row>
    <row r="45" spans="1:5" ht="15.75" customHeight="1">
      <c r="A45" s="186" t="s">
        <v>3502</v>
      </c>
      <c r="B45" s="184"/>
      <c r="C45" s="186" t="s">
        <v>3501</v>
      </c>
      <c r="D45" s="51" t="str">
        <f t="shared" si="0"/>
        <v>See Redline Document</v>
      </c>
      <c r="E45" s="184"/>
    </row>
    <row r="46" spans="1:5" ht="15.75" customHeight="1">
      <c r="A46" s="186" t="s">
        <v>3503</v>
      </c>
      <c r="B46" s="184"/>
      <c r="C46" s="186" t="s">
        <v>3501</v>
      </c>
      <c r="D46" s="51" t="str">
        <f t="shared" si="0"/>
        <v>See Redline Document</v>
      </c>
      <c r="E46" s="184"/>
    </row>
    <row r="47" spans="1:5" ht="15.75" customHeight="1">
      <c r="A47" s="186" t="s">
        <v>3504</v>
      </c>
      <c r="B47" s="184"/>
      <c r="C47" s="186" t="s">
        <v>3501</v>
      </c>
      <c r="D47" s="51" t="str">
        <f t="shared" si="0"/>
        <v>See Redline Document</v>
      </c>
      <c r="E47" s="184"/>
    </row>
    <row r="48" spans="1:5" ht="15.75" customHeight="1">
      <c r="A48" s="186" t="s">
        <v>3505</v>
      </c>
      <c r="B48" s="184"/>
      <c r="C48" s="184"/>
      <c r="D48" s="51" t="str">
        <f t="shared" ref="D48:D49" si="1">HYPERLINK("https://drive.google.com/open?id=1MZ8RqsaTrJiYrSAz8de9eiu0QLkUmPDd","Mechanicals Updated per photos")</f>
        <v>Mechanicals Updated per photos</v>
      </c>
      <c r="E48" s="184"/>
    </row>
    <row r="49" spans="1:4" ht="15.75" customHeight="1">
      <c r="A49" s="186" t="s">
        <v>343</v>
      </c>
      <c r="B49" s="184"/>
      <c r="C49" s="184"/>
      <c r="D49" s="51" t="str">
        <f t="shared" si="1"/>
        <v>Mechanicals Updated per photos</v>
      </c>
    </row>
  </sheetData>
  <customSheetViews>
    <customSheetView guid="{A692BA3E-DCED-4157-8340-C6216F1B5E02}" filter="1" showAutoFilter="1">
      <pageMargins left="0" right="0" top="0" bottom="0" header="0" footer="0"/>
      <autoFilter ref="A1:E51" xr:uid="{9C55FFF0-2B94-4710-B003-41C44485A308}"/>
    </customSheetView>
  </customSheetViews>
  <printOptions horizontalCentered="1" gridLines="1"/>
  <pageMargins left="0.7" right="0.7" top="0.75" bottom="0.75" header="0" footer="0"/>
  <pageSetup paperSize="9"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ummaryRight="0"/>
  </sheetPr>
  <dimension ref="A1:AA801"/>
  <sheetViews>
    <sheetView workbookViewId="0">
      <pane ySplit="6" topLeftCell="A7" activePane="bottomLeft" state="frozen"/>
      <selection pane="bottomLeft" activeCell="B8" sqref="B8"/>
    </sheetView>
  </sheetViews>
  <sheetFormatPr defaultColWidth="14.3984375" defaultRowHeight="15.75" customHeight="1"/>
  <cols>
    <col min="1" max="1" width="25.1328125" customWidth="1"/>
    <col min="2" max="2" width="21" customWidth="1"/>
    <col min="3" max="3" width="39.3984375" customWidth="1"/>
    <col min="4" max="4" width="21.59765625" customWidth="1"/>
    <col min="8" max="8" width="39" customWidth="1"/>
    <col min="9" max="9" width="21.1328125" customWidth="1"/>
    <col min="10" max="10" width="22.59765625" customWidth="1"/>
  </cols>
  <sheetData>
    <row r="1" spans="1:27" ht="15.75" customHeight="1">
      <c r="A1" s="160" t="str">
        <f>HYPERLINK("https://drive.google.com/open?id=195ADsPF7e6qp-XCMHU02_gGfLOsAuj4y","Link to Drawing")</f>
        <v>Link to Drawing</v>
      </c>
      <c r="B1" s="142"/>
      <c r="C1" s="186"/>
      <c r="D1" s="186"/>
      <c r="E1" s="186"/>
      <c r="F1" s="186"/>
      <c r="G1" s="186"/>
      <c r="H1" s="186"/>
      <c r="I1" s="186"/>
      <c r="J1" s="186"/>
      <c r="K1" s="186"/>
      <c r="L1" s="186"/>
      <c r="M1" s="186"/>
      <c r="N1" s="186"/>
      <c r="O1" s="186"/>
      <c r="P1" s="186"/>
      <c r="Q1" s="186"/>
      <c r="R1" s="186"/>
      <c r="S1" s="186"/>
      <c r="T1" s="186"/>
      <c r="U1" s="186"/>
      <c r="V1" s="186"/>
      <c r="W1" s="186"/>
      <c r="X1" s="186"/>
      <c r="Y1" s="186"/>
      <c r="Z1" s="186"/>
      <c r="AA1" s="186"/>
    </row>
    <row r="2" spans="1:27" ht="14.25">
      <c r="A2" s="207" t="s">
        <v>2904</v>
      </c>
      <c r="B2" s="201"/>
      <c r="C2" s="201"/>
      <c r="D2" s="201"/>
      <c r="E2" s="201"/>
      <c r="F2" s="201"/>
      <c r="G2" s="201"/>
      <c r="H2" s="201"/>
      <c r="I2" s="201"/>
      <c r="J2" s="201"/>
      <c r="K2" s="75"/>
      <c r="L2" s="75"/>
      <c r="M2" s="75"/>
      <c r="N2" s="75"/>
      <c r="O2" s="75"/>
      <c r="P2" s="75"/>
      <c r="Q2" s="75"/>
      <c r="R2" s="75"/>
      <c r="S2" s="75"/>
      <c r="T2" s="75"/>
      <c r="U2" s="75"/>
      <c r="V2" s="75"/>
      <c r="W2" s="75"/>
      <c r="X2" s="75"/>
      <c r="Y2" s="75"/>
      <c r="Z2" s="75"/>
      <c r="AA2" s="75"/>
    </row>
    <row r="3" spans="1:27" ht="14.25">
      <c r="A3" s="10" t="s">
        <v>1518</v>
      </c>
      <c r="B3" s="11"/>
      <c r="C3" s="152"/>
      <c r="D3" s="201"/>
      <c r="E3" s="193"/>
      <c r="F3" s="158"/>
      <c r="G3" s="158"/>
      <c r="H3" s="158"/>
      <c r="I3" s="159"/>
      <c r="J3" s="159"/>
      <c r="K3" s="75"/>
      <c r="L3" s="75"/>
      <c r="M3" s="75"/>
      <c r="N3" s="75"/>
      <c r="O3" s="75"/>
      <c r="P3" s="75"/>
      <c r="Q3" s="75"/>
      <c r="R3" s="75"/>
      <c r="S3" s="75"/>
      <c r="T3" s="75"/>
      <c r="U3" s="75"/>
      <c r="V3" s="75"/>
      <c r="W3" s="75"/>
      <c r="X3" s="75"/>
      <c r="Y3" s="75"/>
      <c r="Z3" s="75"/>
      <c r="AA3" s="75"/>
    </row>
    <row r="4" spans="1:27" ht="14.25">
      <c r="A4" s="10" t="s">
        <v>2905</v>
      </c>
      <c r="B4" s="11" t="s">
        <v>2906</v>
      </c>
      <c r="C4" s="152"/>
      <c r="D4" s="201"/>
      <c r="E4" s="193"/>
      <c r="F4" s="11" t="s">
        <v>2907</v>
      </c>
      <c r="G4" s="208">
        <v>43551</v>
      </c>
      <c r="H4" s="193"/>
      <c r="I4" s="159"/>
      <c r="J4" s="159"/>
      <c r="K4" s="75"/>
      <c r="L4" s="75"/>
      <c r="M4" s="75"/>
      <c r="N4" s="75"/>
      <c r="O4" s="75"/>
      <c r="P4" s="75"/>
      <c r="Q4" s="75"/>
      <c r="R4" s="75"/>
      <c r="S4" s="75"/>
      <c r="T4" s="75"/>
      <c r="U4" s="75"/>
      <c r="V4" s="75"/>
      <c r="W4" s="75"/>
      <c r="X4" s="75"/>
      <c r="Y4" s="75"/>
      <c r="Z4" s="75"/>
      <c r="AA4" s="75"/>
    </row>
    <row r="5" spans="1:27" ht="14.25">
      <c r="A5" s="12"/>
      <c r="B5" s="158"/>
      <c r="C5" s="158"/>
      <c r="D5" s="158"/>
      <c r="E5" s="158"/>
      <c r="F5" s="158"/>
      <c r="G5" s="158"/>
      <c r="H5" s="158"/>
      <c r="I5" s="158"/>
      <c r="J5" s="158"/>
      <c r="K5" s="75"/>
      <c r="L5" s="75"/>
      <c r="M5" s="75"/>
      <c r="N5" s="75"/>
      <c r="O5" s="75"/>
      <c r="P5" s="75"/>
      <c r="Q5" s="75"/>
      <c r="R5" s="75"/>
      <c r="S5" s="75"/>
      <c r="T5" s="75"/>
      <c r="U5" s="75"/>
      <c r="V5" s="75"/>
      <c r="W5" s="75"/>
      <c r="X5" s="75"/>
      <c r="Y5" s="75"/>
      <c r="Z5" s="75"/>
      <c r="AA5" s="75"/>
    </row>
    <row r="6" spans="1:27" ht="14.25">
      <c r="A6" s="13" t="s">
        <v>2908</v>
      </c>
      <c r="B6" s="14" t="s">
        <v>2909</v>
      </c>
      <c r="C6" s="15" t="s">
        <v>2910</v>
      </c>
      <c r="D6" s="209" t="s">
        <v>2911</v>
      </c>
      <c r="E6" s="201"/>
      <c r="F6" s="201"/>
      <c r="G6" s="201"/>
      <c r="H6" s="193"/>
      <c r="I6" s="210" t="s">
        <v>2912</v>
      </c>
      <c r="J6" s="193"/>
      <c r="K6" s="75"/>
      <c r="L6" s="75"/>
      <c r="M6" s="75"/>
      <c r="N6" s="75"/>
      <c r="O6" s="75"/>
      <c r="P6" s="75"/>
      <c r="Q6" s="75"/>
      <c r="R6" s="75"/>
      <c r="S6" s="75"/>
      <c r="T6" s="75"/>
      <c r="U6" s="75"/>
      <c r="V6" s="75"/>
      <c r="W6" s="75"/>
      <c r="X6" s="75"/>
      <c r="Y6" s="75"/>
      <c r="Z6" s="75"/>
      <c r="AA6" s="75"/>
    </row>
    <row r="7" spans="1:27" ht="14.25">
      <c r="A7" s="36"/>
      <c r="B7" s="36"/>
      <c r="C7" s="52" t="s">
        <v>3506</v>
      </c>
      <c r="D7" s="204" t="s">
        <v>3507</v>
      </c>
      <c r="E7" s="199"/>
      <c r="F7" s="199"/>
      <c r="G7" s="199"/>
      <c r="H7" s="200"/>
      <c r="I7" s="223"/>
      <c r="J7" s="200"/>
      <c r="K7" s="75"/>
      <c r="L7" s="75"/>
      <c r="M7" s="75"/>
      <c r="N7" s="75"/>
      <c r="O7" s="75"/>
      <c r="P7" s="75"/>
      <c r="Q7" s="75"/>
      <c r="R7" s="75"/>
      <c r="S7" s="75"/>
      <c r="T7" s="75"/>
      <c r="U7" s="75"/>
      <c r="V7" s="75"/>
      <c r="W7" s="75"/>
      <c r="X7" s="75"/>
      <c r="Y7" s="75"/>
      <c r="Z7" s="75"/>
      <c r="AA7" s="75"/>
    </row>
    <row r="8" spans="1:27" ht="14.25">
      <c r="A8" s="36"/>
      <c r="B8" s="36"/>
      <c r="C8" s="31"/>
      <c r="D8" s="204" t="s">
        <v>3508</v>
      </c>
      <c r="E8" s="199"/>
      <c r="F8" s="199"/>
      <c r="G8" s="199"/>
      <c r="H8" s="200"/>
      <c r="I8" s="223"/>
      <c r="J8" s="200"/>
      <c r="K8" s="75"/>
      <c r="L8" s="75"/>
      <c r="M8" s="75"/>
      <c r="N8" s="75"/>
      <c r="O8" s="75"/>
      <c r="P8" s="75"/>
      <c r="Q8" s="75"/>
      <c r="R8" s="75"/>
      <c r="S8" s="75"/>
      <c r="T8" s="75"/>
      <c r="U8" s="75"/>
      <c r="V8" s="75"/>
      <c r="W8" s="75"/>
      <c r="X8" s="75"/>
      <c r="Y8" s="75"/>
      <c r="Z8" s="75"/>
      <c r="AA8" s="75"/>
    </row>
    <row r="9" spans="1:27" ht="14.25">
      <c r="A9" s="36"/>
      <c r="B9" s="36"/>
      <c r="C9" s="31"/>
      <c r="D9" s="204"/>
      <c r="E9" s="199"/>
      <c r="F9" s="199"/>
      <c r="G9" s="199"/>
      <c r="H9" s="200"/>
      <c r="I9" s="223"/>
      <c r="J9" s="200"/>
      <c r="K9" s="75"/>
      <c r="L9" s="75"/>
      <c r="M9" s="75"/>
      <c r="N9" s="75"/>
      <c r="O9" s="75"/>
      <c r="P9" s="75"/>
      <c r="Q9" s="75"/>
      <c r="R9" s="75"/>
      <c r="S9" s="75"/>
      <c r="T9" s="75"/>
      <c r="U9" s="75"/>
      <c r="V9" s="75"/>
      <c r="W9" s="75"/>
      <c r="X9" s="75"/>
      <c r="Y9" s="75"/>
      <c r="Z9" s="75"/>
      <c r="AA9" s="75"/>
    </row>
    <row r="10" spans="1:27" ht="14.25">
      <c r="A10" s="36"/>
      <c r="B10" s="36"/>
      <c r="C10" s="31"/>
      <c r="D10" s="204"/>
      <c r="E10" s="199"/>
      <c r="F10" s="199"/>
      <c r="G10" s="199"/>
      <c r="H10" s="200"/>
      <c r="I10" s="223"/>
      <c r="J10" s="200"/>
      <c r="K10" s="75"/>
      <c r="L10" s="75"/>
      <c r="M10" s="75"/>
      <c r="N10" s="75"/>
      <c r="O10" s="75"/>
      <c r="P10" s="75"/>
      <c r="Q10" s="75"/>
      <c r="R10" s="75"/>
      <c r="S10" s="75"/>
      <c r="T10" s="75"/>
      <c r="U10" s="75"/>
      <c r="V10" s="75"/>
      <c r="W10" s="75"/>
      <c r="X10" s="75"/>
      <c r="Y10" s="75"/>
      <c r="Z10" s="75"/>
      <c r="AA10" s="75"/>
    </row>
    <row r="11" spans="1:27">
      <c r="A11" s="36"/>
      <c r="B11" s="36"/>
      <c r="C11" s="57" t="s">
        <v>1053</v>
      </c>
      <c r="D11" s="204" t="s">
        <v>3509</v>
      </c>
      <c r="E11" s="199"/>
      <c r="F11" s="199"/>
      <c r="G11" s="199"/>
      <c r="H11" s="200"/>
      <c r="I11" s="223" t="s">
        <v>3510</v>
      </c>
      <c r="J11" s="200"/>
      <c r="K11" s="75"/>
      <c r="L11" s="75"/>
      <c r="M11" s="75"/>
      <c r="N11" s="75"/>
      <c r="O11" s="75"/>
      <c r="P11" s="75"/>
      <c r="Q11" s="75"/>
      <c r="R11" s="75"/>
      <c r="S11" s="75"/>
      <c r="T11" s="75"/>
      <c r="U11" s="75"/>
      <c r="V11" s="75"/>
      <c r="W11" s="75"/>
      <c r="X11" s="75"/>
      <c r="Y11" s="75"/>
      <c r="Z11" s="75"/>
      <c r="AA11" s="75"/>
    </row>
    <row r="12" spans="1:27">
      <c r="A12" s="36"/>
      <c r="B12" s="36"/>
      <c r="C12" s="58" t="s">
        <v>98</v>
      </c>
      <c r="D12" s="204" t="s">
        <v>3509</v>
      </c>
      <c r="E12" s="199"/>
      <c r="F12" s="199"/>
      <c r="G12" s="199"/>
      <c r="H12" s="200"/>
      <c r="I12" s="223" t="s">
        <v>3510</v>
      </c>
      <c r="J12" s="200"/>
      <c r="K12" s="75"/>
      <c r="L12" s="75"/>
      <c r="M12" s="75"/>
      <c r="N12" s="75"/>
      <c r="O12" s="75"/>
      <c r="P12" s="75"/>
      <c r="Q12" s="75"/>
      <c r="R12" s="75"/>
      <c r="S12" s="75"/>
      <c r="T12" s="75"/>
      <c r="U12" s="75"/>
      <c r="V12" s="75"/>
      <c r="W12" s="75"/>
      <c r="X12" s="75"/>
      <c r="Y12" s="75"/>
      <c r="Z12" s="75"/>
      <c r="AA12" s="75"/>
    </row>
    <row r="13" spans="1:27">
      <c r="A13" s="36"/>
      <c r="B13" s="36"/>
      <c r="C13" s="58" t="s">
        <v>590</v>
      </c>
      <c r="D13" s="204" t="s">
        <v>3509</v>
      </c>
      <c r="E13" s="199"/>
      <c r="F13" s="199"/>
      <c r="G13" s="199"/>
      <c r="H13" s="200"/>
      <c r="I13" s="223" t="s">
        <v>3510</v>
      </c>
      <c r="J13" s="200"/>
      <c r="K13" s="75"/>
      <c r="L13" s="75"/>
      <c r="M13" s="75"/>
      <c r="N13" s="75"/>
      <c r="O13" s="75"/>
      <c r="P13" s="75"/>
      <c r="Q13" s="75"/>
      <c r="R13" s="75"/>
      <c r="S13" s="75"/>
      <c r="T13" s="75"/>
      <c r="U13" s="75"/>
      <c r="V13" s="75"/>
      <c r="W13" s="75"/>
      <c r="X13" s="75"/>
      <c r="Y13" s="75"/>
      <c r="Z13" s="75"/>
      <c r="AA13" s="75"/>
    </row>
    <row r="14" spans="1:27">
      <c r="A14" s="36"/>
      <c r="B14" s="36"/>
      <c r="C14" s="58" t="s">
        <v>595</v>
      </c>
      <c r="D14" s="204" t="s">
        <v>3509</v>
      </c>
      <c r="E14" s="199"/>
      <c r="F14" s="199"/>
      <c r="G14" s="199"/>
      <c r="H14" s="200"/>
      <c r="I14" s="223" t="s">
        <v>3510</v>
      </c>
      <c r="J14" s="200"/>
      <c r="K14" s="75"/>
      <c r="L14" s="75"/>
      <c r="M14" s="75"/>
      <c r="N14" s="75"/>
      <c r="O14" s="75"/>
      <c r="P14" s="75"/>
      <c r="Q14" s="75"/>
      <c r="R14" s="75"/>
      <c r="S14" s="75"/>
      <c r="T14" s="75"/>
      <c r="U14" s="75"/>
      <c r="V14" s="75"/>
      <c r="W14" s="75"/>
      <c r="X14" s="75"/>
      <c r="Y14" s="75"/>
      <c r="Z14" s="75"/>
      <c r="AA14" s="75"/>
    </row>
    <row r="15" spans="1:27">
      <c r="A15" s="36"/>
      <c r="B15" s="36"/>
      <c r="C15" s="58" t="s">
        <v>1049</v>
      </c>
      <c r="D15" s="204" t="s">
        <v>3509</v>
      </c>
      <c r="E15" s="199"/>
      <c r="F15" s="199"/>
      <c r="G15" s="199"/>
      <c r="H15" s="200"/>
      <c r="I15" s="223" t="s">
        <v>3510</v>
      </c>
      <c r="J15" s="200"/>
      <c r="K15" s="75"/>
      <c r="L15" s="75"/>
      <c r="M15" s="75"/>
      <c r="N15" s="75"/>
      <c r="O15" s="75"/>
      <c r="P15" s="75"/>
      <c r="Q15" s="75"/>
      <c r="R15" s="75"/>
      <c r="S15" s="75"/>
      <c r="T15" s="75"/>
      <c r="U15" s="75"/>
      <c r="V15" s="75"/>
      <c r="W15" s="75"/>
      <c r="X15" s="75"/>
      <c r="Y15" s="75"/>
      <c r="Z15" s="75"/>
      <c r="AA15" s="75"/>
    </row>
    <row r="16" spans="1:27">
      <c r="A16" s="36"/>
      <c r="B16" s="36"/>
      <c r="C16" s="58" t="s">
        <v>586</v>
      </c>
      <c r="D16" s="204" t="s">
        <v>3509</v>
      </c>
      <c r="E16" s="199"/>
      <c r="F16" s="199"/>
      <c r="G16" s="199"/>
      <c r="H16" s="200"/>
      <c r="I16" s="223" t="s">
        <v>3510</v>
      </c>
      <c r="J16" s="200"/>
      <c r="K16" s="75"/>
      <c r="L16" s="75"/>
      <c r="M16" s="75"/>
      <c r="N16" s="75"/>
      <c r="O16" s="75"/>
      <c r="P16" s="75"/>
      <c r="Q16" s="75"/>
      <c r="R16" s="75"/>
      <c r="S16" s="75"/>
      <c r="T16" s="75"/>
      <c r="U16" s="75"/>
      <c r="V16" s="75"/>
      <c r="W16" s="75"/>
      <c r="X16" s="75"/>
      <c r="Y16" s="75"/>
      <c r="Z16" s="75"/>
      <c r="AA16" s="75"/>
    </row>
    <row r="17" spans="1:27">
      <c r="A17" s="36"/>
      <c r="B17" s="36"/>
      <c r="C17" s="58" t="s">
        <v>611</v>
      </c>
      <c r="D17" s="204" t="s">
        <v>3509</v>
      </c>
      <c r="E17" s="199"/>
      <c r="F17" s="199"/>
      <c r="G17" s="199"/>
      <c r="H17" s="200"/>
      <c r="I17" s="223" t="s">
        <v>3510</v>
      </c>
      <c r="J17" s="200"/>
      <c r="K17" s="75"/>
      <c r="L17" s="75"/>
      <c r="M17" s="75"/>
      <c r="N17" s="75"/>
      <c r="O17" s="75"/>
      <c r="P17" s="75"/>
      <c r="Q17" s="75"/>
      <c r="R17" s="75"/>
      <c r="S17" s="75"/>
      <c r="T17" s="75"/>
      <c r="U17" s="75"/>
      <c r="V17" s="75"/>
      <c r="W17" s="75"/>
      <c r="X17" s="75"/>
      <c r="Y17" s="75"/>
      <c r="Z17" s="75"/>
      <c r="AA17" s="75"/>
    </row>
    <row r="18" spans="1:27">
      <c r="A18" s="36"/>
      <c r="B18" s="36"/>
      <c r="C18" s="58" t="s">
        <v>599</v>
      </c>
      <c r="D18" s="204" t="s">
        <v>3509</v>
      </c>
      <c r="E18" s="199"/>
      <c r="F18" s="199"/>
      <c r="G18" s="199"/>
      <c r="H18" s="200"/>
      <c r="I18" s="223" t="s">
        <v>3510</v>
      </c>
      <c r="J18" s="200"/>
      <c r="K18" s="75"/>
      <c r="L18" s="75"/>
      <c r="M18" s="75"/>
      <c r="N18" s="75"/>
      <c r="O18" s="75"/>
      <c r="P18" s="75"/>
      <c r="Q18" s="75"/>
      <c r="R18" s="75"/>
      <c r="S18" s="75"/>
      <c r="T18" s="75"/>
      <c r="U18" s="75"/>
      <c r="V18" s="75"/>
      <c r="W18" s="75"/>
      <c r="X18" s="75"/>
      <c r="Y18" s="75"/>
      <c r="Z18" s="75"/>
      <c r="AA18" s="75"/>
    </row>
    <row r="19" spans="1:27">
      <c r="A19" s="36"/>
      <c r="B19" s="36"/>
      <c r="C19" s="58" t="s">
        <v>603</v>
      </c>
      <c r="D19" s="204" t="s">
        <v>3509</v>
      </c>
      <c r="E19" s="199"/>
      <c r="F19" s="199"/>
      <c r="G19" s="199"/>
      <c r="H19" s="200"/>
      <c r="I19" s="223" t="s">
        <v>3510</v>
      </c>
      <c r="J19" s="200"/>
      <c r="K19" s="75"/>
      <c r="L19" s="75"/>
      <c r="M19" s="75"/>
      <c r="N19" s="75"/>
      <c r="O19" s="75"/>
      <c r="P19" s="75"/>
      <c r="Q19" s="75"/>
      <c r="R19" s="75"/>
      <c r="S19" s="75"/>
      <c r="T19" s="75"/>
      <c r="U19" s="75"/>
      <c r="V19" s="75"/>
      <c r="W19" s="75"/>
      <c r="X19" s="75"/>
      <c r="Y19" s="75"/>
      <c r="Z19" s="75"/>
      <c r="AA19" s="75"/>
    </row>
    <row r="20" spans="1:27">
      <c r="A20" s="36"/>
      <c r="B20" s="36"/>
      <c r="C20" s="58" t="s">
        <v>597</v>
      </c>
      <c r="D20" s="204" t="s">
        <v>3509</v>
      </c>
      <c r="E20" s="199"/>
      <c r="F20" s="199"/>
      <c r="G20" s="199"/>
      <c r="H20" s="200"/>
      <c r="I20" s="223" t="s">
        <v>3510</v>
      </c>
      <c r="J20" s="200"/>
      <c r="K20" s="75"/>
      <c r="L20" s="75"/>
      <c r="M20" s="75"/>
      <c r="N20" s="75"/>
      <c r="O20" s="75"/>
      <c r="P20" s="75"/>
      <c r="Q20" s="75"/>
      <c r="R20" s="75"/>
      <c r="S20" s="75"/>
      <c r="T20" s="75"/>
      <c r="U20" s="75"/>
      <c r="V20" s="75"/>
      <c r="W20" s="75"/>
      <c r="X20" s="75"/>
      <c r="Y20" s="75"/>
      <c r="Z20" s="75"/>
      <c r="AA20" s="75"/>
    </row>
    <row r="21" spans="1:27">
      <c r="A21" s="36"/>
      <c r="B21" s="36"/>
      <c r="C21" s="58" t="s">
        <v>1055</v>
      </c>
      <c r="D21" s="204" t="s">
        <v>3509</v>
      </c>
      <c r="E21" s="199"/>
      <c r="F21" s="199"/>
      <c r="G21" s="199"/>
      <c r="H21" s="200"/>
      <c r="I21" s="223" t="s">
        <v>3510</v>
      </c>
      <c r="J21" s="200"/>
      <c r="K21" s="75"/>
      <c r="L21" s="75"/>
      <c r="M21" s="75"/>
      <c r="N21" s="75"/>
      <c r="O21" s="75"/>
      <c r="P21" s="75"/>
      <c r="Q21" s="75"/>
      <c r="R21" s="75"/>
      <c r="S21" s="75"/>
      <c r="T21" s="75"/>
      <c r="U21" s="75"/>
      <c r="V21" s="75"/>
      <c r="W21" s="75"/>
      <c r="X21" s="75"/>
      <c r="Y21" s="75"/>
      <c r="Z21" s="75"/>
      <c r="AA21" s="75"/>
    </row>
    <row r="22" spans="1:27">
      <c r="A22" s="36"/>
      <c r="B22" s="36"/>
      <c r="C22" s="58" t="s">
        <v>601</v>
      </c>
      <c r="D22" s="204" t="s">
        <v>3509</v>
      </c>
      <c r="E22" s="199"/>
      <c r="F22" s="199"/>
      <c r="G22" s="199"/>
      <c r="H22" s="200"/>
      <c r="I22" s="223" t="s">
        <v>3510</v>
      </c>
      <c r="J22" s="200"/>
      <c r="K22" s="75"/>
      <c r="L22" s="75"/>
      <c r="M22" s="75"/>
      <c r="N22" s="75"/>
      <c r="O22" s="75"/>
      <c r="P22" s="75"/>
      <c r="Q22" s="75"/>
      <c r="R22" s="75"/>
      <c r="S22" s="75"/>
      <c r="T22" s="75"/>
      <c r="U22" s="75"/>
      <c r="V22" s="75"/>
      <c r="W22" s="75"/>
      <c r="X22" s="75"/>
      <c r="Y22" s="75"/>
      <c r="Z22" s="75"/>
      <c r="AA22" s="75"/>
    </row>
    <row r="23" spans="1:27">
      <c r="A23" s="36"/>
      <c r="B23" s="36"/>
      <c r="C23" s="58" t="s">
        <v>705</v>
      </c>
      <c r="D23" s="204" t="s">
        <v>3509</v>
      </c>
      <c r="E23" s="199"/>
      <c r="F23" s="199"/>
      <c r="G23" s="199"/>
      <c r="H23" s="200"/>
      <c r="I23" s="223" t="s">
        <v>3510</v>
      </c>
      <c r="J23" s="200"/>
      <c r="K23" s="75"/>
      <c r="L23" s="75"/>
      <c r="M23" s="75"/>
      <c r="N23" s="75"/>
      <c r="O23" s="75"/>
      <c r="P23" s="75"/>
      <c r="Q23" s="75"/>
      <c r="R23" s="75"/>
      <c r="S23" s="75"/>
      <c r="T23" s="75"/>
      <c r="U23" s="75"/>
      <c r="V23" s="75"/>
      <c r="W23" s="75"/>
      <c r="X23" s="75"/>
      <c r="Y23" s="75"/>
      <c r="Z23" s="75"/>
      <c r="AA23" s="75"/>
    </row>
    <row r="24" spans="1:27">
      <c r="A24" s="36"/>
      <c r="B24" s="36"/>
      <c r="C24" s="58" t="s">
        <v>707</v>
      </c>
      <c r="D24" s="204" t="s">
        <v>3509</v>
      </c>
      <c r="E24" s="199"/>
      <c r="F24" s="199"/>
      <c r="G24" s="199"/>
      <c r="H24" s="200"/>
      <c r="I24" s="223" t="s">
        <v>3510</v>
      </c>
      <c r="J24" s="200"/>
      <c r="K24" s="75"/>
      <c r="L24" s="75"/>
      <c r="M24" s="75"/>
      <c r="N24" s="75"/>
      <c r="O24" s="75"/>
      <c r="P24" s="75"/>
      <c r="Q24" s="75"/>
      <c r="R24" s="75"/>
      <c r="S24" s="75"/>
      <c r="T24" s="75"/>
      <c r="U24" s="75"/>
      <c r="V24" s="75"/>
      <c r="W24" s="75"/>
      <c r="X24" s="75"/>
      <c r="Y24" s="75"/>
      <c r="Z24" s="75"/>
      <c r="AA24" s="75"/>
    </row>
    <row r="25" spans="1:27">
      <c r="A25" s="36"/>
      <c r="B25" s="36"/>
      <c r="C25" s="58" t="s">
        <v>709</v>
      </c>
      <c r="D25" s="204" t="s">
        <v>3509</v>
      </c>
      <c r="E25" s="199"/>
      <c r="F25" s="199"/>
      <c r="G25" s="199"/>
      <c r="H25" s="200"/>
      <c r="I25" s="223" t="s">
        <v>3510</v>
      </c>
      <c r="J25" s="200"/>
      <c r="K25" s="75"/>
      <c r="L25" s="75"/>
      <c r="M25" s="75"/>
      <c r="N25" s="75"/>
      <c r="O25" s="75"/>
      <c r="P25" s="75"/>
      <c r="Q25" s="75"/>
      <c r="R25" s="75"/>
      <c r="S25" s="75"/>
      <c r="T25" s="75"/>
      <c r="U25" s="75"/>
      <c r="V25" s="75"/>
      <c r="W25" s="75"/>
      <c r="X25" s="75"/>
      <c r="Y25" s="75"/>
      <c r="Z25" s="75"/>
      <c r="AA25" s="75"/>
    </row>
    <row r="26" spans="1:27">
      <c r="A26" s="36"/>
      <c r="B26" s="36"/>
      <c r="C26" s="58" t="s">
        <v>711</v>
      </c>
      <c r="D26" s="204" t="s">
        <v>3509</v>
      </c>
      <c r="E26" s="199"/>
      <c r="F26" s="199"/>
      <c r="G26" s="199"/>
      <c r="H26" s="200"/>
      <c r="I26" s="223" t="s">
        <v>3510</v>
      </c>
      <c r="J26" s="200"/>
      <c r="K26" s="75"/>
      <c r="L26" s="75"/>
      <c r="M26" s="75"/>
      <c r="N26" s="75"/>
      <c r="O26" s="75"/>
      <c r="P26" s="75"/>
      <c r="Q26" s="75"/>
      <c r="R26" s="75"/>
      <c r="S26" s="75"/>
      <c r="T26" s="75"/>
      <c r="U26" s="75"/>
      <c r="V26" s="75"/>
      <c r="W26" s="75"/>
      <c r="X26" s="75"/>
      <c r="Y26" s="75"/>
      <c r="Z26" s="75"/>
      <c r="AA26" s="75"/>
    </row>
    <row r="27" spans="1:27">
      <c r="A27" s="36"/>
      <c r="B27" s="36"/>
      <c r="C27" s="58" t="s">
        <v>713</v>
      </c>
      <c r="D27" s="204" t="s">
        <v>3509</v>
      </c>
      <c r="E27" s="199"/>
      <c r="F27" s="199"/>
      <c r="G27" s="199"/>
      <c r="H27" s="200"/>
      <c r="I27" s="223" t="s">
        <v>3510</v>
      </c>
      <c r="J27" s="200"/>
      <c r="K27" s="75"/>
      <c r="L27" s="75"/>
      <c r="M27" s="75"/>
      <c r="N27" s="75"/>
      <c r="O27" s="75"/>
      <c r="P27" s="75"/>
      <c r="Q27" s="75"/>
      <c r="R27" s="75"/>
      <c r="S27" s="75"/>
      <c r="T27" s="75"/>
      <c r="U27" s="75"/>
      <c r="V27" s="75"/>
      <c r="W27" s="75"/>
      <c r="X27" s="75"/>
      <c r="Y27" s="75"/>
      <c r="Z27" s="75"/>
      <c r="AA27" s="75"/>
    </row>
    <row r="28" spans="1:27">
      <c r="A28" s="36"/>
      <c r="B28" s="36"/>
      <c r="C28" s="58" t="s">
        <v>850</v>
      </c>
      <c r="D28" s="204" t="s">
        <v>3509</v>
      </c>
      <c r="E28" s="199"/>
      <c r="F28" s="199"/>
      <c r="G28" s="199"/>
      <c r="H28" s="200"/>
      <c r="I28" s="223" t="s">
        <v>3510</v>
      </c>
      <c r="J28" s="200"/>
      <c r="K28" s="75"/>
      <c r="L28" s="75"/>
      <c r="M28" s="75"/>
      <c r="N28" s="75"/>
      <c r="O28" s="75"/>
      <c r="P28" s="75"/>
      <c r="Q28" s="75"/>
      <c r="R28" s="75"/>
      <c r="S28" s="75"/>
      <c r="T28" s="75"/>
      <c r="U28" s="75"/>
      <c r="V28" s="75"/>
      <c r="W28" s="75"/>
      <c r="X28" s="75"/>
      <c r="Y28" s="75"/>
      <c r="Z28" s="75"/>
      <c r="AA28" s="75"/>
    </row>
    <row r="29" spans="1:27">
      <c r="A29" s="36"/>
      <c r="B29" s="36"/>
      <c r="C29" s="58" t="s">
        <v>846</v>
      </c>
      <c r="D29" s="204" t="s">
        <v>3509</v>
      </c>
      <c r="E29" s="199"/>
      <c r="F29" s="199"/>
      <c r="G29" s="199"/>
      <c r="H29" s="200"/>
      <c r="I29" s="223" t="s">
        <v>3510</v>
      </c>
      <c r="J29" s="200"/>
      <c r="K29" s="75"/>
      <c r="L29" s="75"/>
      <c r="M29" s="75"/>
      <c r="N29" s="75"/>
      <c r="O29" s="75"/>
      <c r="P29" s="75"/>
      <c r="Q29" s="75"/>
      <c r="R29" s="75"/>
      <c r="S29" s="75"/>
      <c r="T29" s="75"/>
      <c r="U29" s="75"/>
      <c r="V29" s="75"/>
      <c r="W29" s="75"/>
      <c r="X29" s="75"/>
      <c r="Y29" s="75"/>
      <c r="Z29" s="75"/>
      <c r="AA29" s="75"/>
    </row>
    <row r="30" spans="1:27">
      <c r="A30" s="36"/>
      <c r="B30" s="36"/>
      <c r="C30" s="58" t="s">
        <v>844</v>
      </c>
      <c r="D30" s="204" t="s">
        <v>3509</v>
      </c>
      <c r="E30" s="199"/>
      <c r="F30" s="199"/>
      <c r="G30" s="199"/>
      <c r="H30" s="200"/>
      <c r="I30" s="223" t="s">
        <v>3510</v>
      </c>
      <c r="J30" s="200"/>
      <c r="K30" s="75"/>
      <c r="L30" s="75"/>
      <c r="M30" s="75"/>
      <c r="N30" s="75"/>
      <c r="O30" s="75"/>
      <c r="P30" s="75"/>
      <c r="Q30" s="75"/>
      <c r="R30" s="75"/>
      <c r="S30" s="75"/>
      <c r="T30" s="75"/>
      <c r="U30" s="75"/>
      <c r="V30" s="75"/>
      <c r="W30" s="75"/>
      <c r="X30" s="75"/>
      <c r="Y30" s="75"/>
      <c r="Z30" s="75"/>
      <c r="AA30" s="75"/>
    </row>
    <row r="31" spans="1:27">
      <c r="A31" s="36"/>
      <c r="B31" s="36"/>
      <c r="C31" s="58" t="s">
        <v>848</v>
      </c>
      <c r="D31" s="204" t="s">
        <v>3509</v>
      </c>
      <c r="E31" s="199"/>
      <c r="F31" s="199"/>
      <c r="G31" s="199"/>
      <c r="H31" s="200"/>
      <c r="I31" s="223" t="s">
        <v>3510</v>
      </c>
      <c r="J31" s="200"/>
      <c r="K31" s="75"/>
      <c r="L31" s="75"/>
      <c r="M31" s="75"/>
      <c r="N31" s="75"/>
      <c r="O31" s="75"/>
      <c r="P31" s="75"/>
      <c r="Q31" s="75"/>
      <c r="R31" s="75"/>
      <c r="S31" s="75"/>
      <c r="T31" s="75"/>
      <c r="U31" s="75"/>
      <c r="V31" s="75"/>
      <c r="W31" s="75"/>
      <c r="X31" s="75"/>
      <c r="Y31" s="75"/>
      <c r="Z31" s="75"/>
      <c r="AA31" s="75"/>
    </row>
    <row r="32" spans="1:27">
      <c r="A32" s="36"/>
      <c r="B32" s="36"/>
      <c r="C32" s="58" t="s">
        <v>656</v>
      </c>
      <c r="D32" s="204" t="s">
        <v>3509</v>
      </c>
      <c r="E32" s="199"/>
      <c r="F32" s="199"/>
      <c r="G32" s="199"/>
      <c r="H32" s="200"/>
      <c r="I32" s="223" t="s">
        <v>3510</v>
      </c>
      <c r="J32" s="200"/>
      <c r="K32" s="75"/>
      <c r="L32" s="75"/>
      <c r="M32" s="75"/>
      <c r="N32" s="75"/>
      <c r="O32" s="75"/>
      <c r="P32" s="75"/>
      <c r="Q32" s="75"/>
      <c r="R32" s="75"/>
      <c r="S32" s="75"/>
      <c r="T32" s="75"/>
      <c r="U32" s="75"/>
      <c r="V32" s="75"/>
      <c r="W32" s="75"/>
      <c r="X32" s="75"/>
      <c r="Y32" s="75"/>
      <c r="Z32" s="75"/>
      <c r="AA32" s="75"/>
    </row>
    <row r="33" spans="1:27">
      <c r="A33" s="36"/>
      <c r="B33" s="36"/>
      <c r="C33" s="58" t="s">
        <v>658</v>
      </c>
      <c r="D33" s="204" t="s">
        <v>3509</v>
      </c>
      <c r="E33" s="199"/>
      <c r="F33" s="199"/>
      <c r="G33" s="199"/>
      <c r="H33" s="200"/>
      <c r="I33" s="223" t="s">
        <v>3511</v>
      </c>
      <c r="J33" s="200"/>
      <c r="K33" s="75"/>
      <c r="L33" s="75"/>
      <c r="M33" s="75"/>
      <c r="N33" s="75"/>
      <c r="O33" s="75"/>
      <c r="P33" s="75"/>
      <c r="Q33" s="75"/>
      <c r="R33" s="75"/>
      <c r="S33" s="75"/>
      <c r="T33" s="75"/>
      <c r="U33" s="75"/>
      <c r="V33" s="75"/>
      <c r="W33" s="75"/>
      <c r="X33" s="75"/>
      <c r="Y33" s="75"/>
      <c r="Z33" s="75"/>
      <c r="AA33" s="75"/>
    </row>
    <row r="34" spans="1:27">
      <c r="A34" s="36"/>
      <c r="B34" s="36"/>
      <c r="C34" s="58" t="s">
        <v>173</v>
      </c>
      <c r="D34" s="204" t="s">
        <v>3509</v>
      </c>
      <c r="E34" s="199"/>
      <c r="F34" s="199"/>
      <c r="G34" s="199"/>
      <c r="H34" s="200"/>
      <c r="I34" s="223" t="s">
        <v>3511</v>
      </c>
      <c r="J34" s="200"/>
      <c r="K34" s="75"/>
      <c r="L34" s="75"/>
      <c r="M34" s="75"/>
      <c r="N34" s="75"/>
      <c r="O34" s="75"/>
      <c r="P34" s="75"/>
      <c r="Q34" s="75"/>
      <c r="R34" s="75"/>
      <c r="S34" s="75"/>
      <c r="T34" s="75"/>
      <c r="U34" s="75"/>
      <c r="V34" s="75"/>
      <c r="W34" s="75"/>
      <c r="X34" s="75"/>
      <c r="Y34" s="75"/>
      <c r="Z34" s="75"/>
      <c r="AA34" s="75"/>
    </row>
    <row r="35" spans="1:27">
      <c r="A35" s="36"/>
      <c r="B35" s="36"/>
      <c r="C35" s="58" t="s">
        <v>175</v>
      </c>
      <c r="D35" s="204" t="s">
        <v>3509</v>
      </c>
      <c r="E35" s="199"/>
      <c r="F35" s="199"/>
      <c r="G35" s="199"/>
      <c r="H35" s="200"/>
      <c r="I35" s="223" t="s">
        <v>3511</v>
      </c>
      <c r="J35" s="200"/>
      <c r="K35" s="75"/>
      <c r="L35" s="75"/>
      <c r="M35" s="75"/>
      <c r="N35" s="75"/>
      <c r="O35" s="75"/>
      <c r="P35" s="75"/>
      <c r="Q35" s="75"/>
      <c r="R35" s="75"/>
      <c r="S35" s="75"/>
      <c r="T35" s="75"/>
      <c r="U35" s="75"/>
      <c r="V35" s="75"/>
      <c r="W35" s="75"/>
      <c r="X35" s="75"/>
      <c r="Y35" s="75"/>
      <c r="Z35" s="75"/>
      <c r="AA35" s="75"/>
    </row>
    <row r="36" spans="1:27">
      <c r="A36" s="36"/>
      <c r="B36" s="36"/>
      <c r="C36" s="58" t="s">
        <v>1027</v>
      </c>
      <c r="D36" s="204" t="s">
        <v>3509</v>
      </c>
      <c r="E36" s="199"/>
      <c r="F36" s="199"/>
      <c r="G36" s="199"/>
      <c r="H36" s="200"/>
      <c r="I36" s="223" t="s">
        <v>3511</v>
      </c>
      <c r="J36" s="200"/>
      <c r="K36" s="75"/>
      <c r="L36" s="75"/>
      <c r="M36" s="75"/>
      <c r="N36" s="75"/>
      <c r="O36" s="75"/>
      <c r="P36" s="75"/>
      <c r="Q36" s="75"/>
      <c r="R36" s="75"/>
      <c r="S36" s="75"/>
      <c r="T36" s="75"/>
      <c r="U36" s="75"/>
      <c r="V36" s="75"/>
      <c r="W36" s="75"/>
      <c r="X36" s="75"/>
      <c r="Y36" s="75"/>
      <c r="Z36" s="75"/>
      <c r="AA36" s="75"/>
    </row>
    <row r="37" spans="1:27">
      <c r="A37" s="36"/>
      <c r="B37" s="36"/>
      <c r="C37" s="58" t="s">
        <v>1030</v>
      </c>
      <c r="D37" s="204" t="s">
        <v>3509</v>
      </c>
      <c r="E37" s="199"/>
      <c r="F37" s="199"/>
      <c r="G37" s="199"/>
      <c r="H37" s="200"/>
      <c r="I37" s="223" t="s">
        <v>3511</v>
      </c>
      <c r="J37" s="200"/>
      <c r="K37" s="75"/>
      <c r="L37" s="75"/>
      <c r="M37" s="75"/>
      <c r="N37" s="75"/>
      <c r="O37" s="75"/>
      <c r="P37" s="75"/>
      <c r="Q37" s="75"/>
      <c r="R37" s="75"/>
      <c r="S37" s="75"/>
      <c r="T37" s="75"/>
      <c r="U37" s="75"/>
      <c r="V37" s="75"/>
      <c r="W37" s="75"/>
      <c r="X37" s="75"/>
      <c r="Y37" s="75"/>
      <c r="Z37" s="75"/>
      <c r="AA37" s="75"/>
    </row>
    <row r="38" spans="1:27">
      <c r="A38" s="36"/>
      <c r="B38" s="36"/>
      <c r="C38" s="58" t="s">
        <v>59</v>
      </c>
      <c r="D38" s="204" t="s">
        <v>3509</v>
      </c>
      <c r="E38" s="199"/>
      <c r="F38" s="199"/>
      <c r="G38" s="199"/>
      <c r="H38" s="200"/>
      <c r="I38" s="223" t="s">
        <v>3511</v>
      </c>
      <c r="J38" s="200"/>
      <c r="K38" s="75"/>
      <c r="L38" s="75"/>
      <c r="M38" s="75"/>
      <c r="N38" s="75"/>
      <c r="O38" s="75"/>
      <c r="P38" s="75"/>
      <c r="Q38" s="75"/>
      <c r="R38" s="75"/>
      <c r="S38" s="75"/>
      <c r="T38" s="75"/>
      <c r="U38" s="75"/>
      <c r="V38" s="75"/>
      <c r="W38" s="75"/>
      <c r="X38" s="75"/>
      <c r="Y38" s="75"/>
      <c r="Z38" s="75"/>
      <c r="AA38" s="75"/>
    </row>
    <row r="39" spans="1:27">
      <c r="A39" s="36"/>
      <c r="B39" s="36"/>
      <c r="C39" s="58" t="s">
        <v>1032</v>
      </c>
      <c r="D39" s="204" t="s">
        <v>3509</v>
      </c>
      <c r="E39" s="199"/>
      <c r="F39" s="199"/>
      <c r="G39" s="199"/>
      <c r="H39" s="200"/>
      <c r="I39" s="223" t="s">
        <v>3511</v>
      </c>
      <c r="J39" s="200"/>
      <c r="K39" s="75"/>
      <c r="L39" s="75"/>
      <c r="M39" s="75"/>
      <c r="N39" s="75"/>
      <c r="O39" s="75"/>
      <c r="P39" s="75"/>
      <c r="Q39" s="75"/>
      <c r="R39" s="75"/>
      <c r="S39" s="75"/>
      <c r="T39" s="75"/>
      <c r="U39" s="75"/>
      <c r="V39" s="75"/>
      <c r="W39" s="75"/>
      <c r="X39" s="75"/>
      <c r="Y39" s="75"/>
      <c r="Z39" s="75"/>
      <c r="AA39" s="75"/>
    </row>
    <row r="40" spans="1:27">
      <c r="A40" s="36"/>
      <c r="B40" s="36"/>
      <c r="C40" s="58" t="s">
        <v>52</v>
      </c>
      <c r="D40" s="204" t="s">
        <v>3509</v>
      </c>
      <c r="E40" s="199"/>
      <c r="F40" s="199"/>
      <c r="G40" s="199"/>
      <c r="H40" s="200"/>
      <c r="I40" s="223" t="s">
        <v>3511</v>
      </c>
      <c r="J40" s="200"/>
      <c r="K40" s="75"/>
      <c r="L40" s="75"/>
      <c r="M40" s="75"/>
      <c r="N40" s="75"/>
      <c r="O40" s="75"/>
      <c r="P40" s="75"/>
      <c r="Q40" s="75"/>
      <c r="R40" s="75"/>
      <c r="S40" s="75"/>
      <c r="T40" s="75"/>
      <c r="U40" s="75"/>
      <c r="V40" s="75"/>
      <c r="W40" s="75"/>
      <c r="X40" s="75"/>
      <c r="Y40" s="75"/>
      <c r="Z40" s="75"/>
      <c r="AA40" s="75"/>
    </row>
    <row r="41" spans="1:27">
      <c r="A41" s="36"/>
      <c r="B41" s="36"/>
      <c r="C41" s="58" t="s">
        <v>312</v>
      </c>
      <c r="D41" s="204" t="s">
        <v>3509</v>
      </c>
      <c r="E41" s="199"/>
      <c r="F41" s="199"/>
      <c r="G41" s="199"/>
      <c r="H41" s="200"/>
      <c r="I41" s="223" t="s">
        <v>3511</v>
      </c>
      <c r="J41" s="200"/>
      <c r="K41" s="75"/>
      <c r="L41" s="75"/>
      <c r="M41" s="75"/>
      <c r="N41" s="75"/>
      <c r="O41" s="75"/>
      <c r="P41" s="75"/>
      <c r="Q41" s="75"/>
      <c r="R41" s="75"/>
      <c r="S41" s="75"/>
      <c r="T41" s="75"/>
      <c r="U41" s="75"/>
      <c r="V41" s="75"/>
      <c r="W41" s="75"/>
      <c r="X41" s="75"/>
      <c r="Y41" s="75"/>
      <c r="Z41" s="75"/>
      <c r="AA41" s="75"/>
    </row>
    <row r="42" spans="1:27">
      <c r="A42" s="36"/>
      <c r="B42" s="36"/>
      <c r="C42" s="58" t="s">
        <v>308</v>
      </c>
      <c r="D42" s="204" t="s">
        <v>3509</v>
      </c>
      <c r="E42" s="199"/>
      <c r="F42" s="199"/>
      <c r="G42" s="199"/>
      <c r="H42" s="200"/>
      <c r="I42" s="223" t="s">
        <v>3511</v>
      </c>
      <c r="J42" s="200"/>
      <c r="K42" s="75"/>
      <c r="L42" s="75"/>
      <c r="M42" s="75"/>
      <c r="N42" s="75"/>
      <c r="O42" s="75"/>
      <c r="P42" s="75"/>
      <c r="Q42" s="75"/>
      <c r="R42" s="75"/>
      <c r="S42" s="75"/>
      <c r="T42" s="75"/>
      <c r="U42" s="75"/>
      <c r="V42" s="75"/>
      <c r="W42" s="75"/>
      <c r="X42" s="75"/>
      <c r="Y42" s="75"/>
      <c r="Z42" s="75"/>
      <c r="AA42" s="75"/>
    </row>
    <row r="43" spans="1:27">
      <c r="A43" s="36"/>
      <c r="B43" s="36"/>
      <c r="C43" s="58" t="s">
        <v>310</v>
      </c>
      <c r="D43" s="204" t="s">
        <v>3509</v>
      </c>
      <c r="E43" s="199"/>
      <c r="F43" s="199"/>
      <c r="G43" s="199"/>
      <c r="H43" s="200"/>
      <c r="I43" s="223" t="s">
        <v>3511</v>
      </c>
      <c r="J43" s="200"/>
      <c r="K43" s="75"/>
      <c r="L43" s="75"/>
      <c r="M43" s="75"/>
      <c r="N43" s="75"/>
      <c r="O43" s="75"/>
      <c r="P43" s="75"/>
      <c r="Q43" s="75"/>
      <c r="R43" s="75"/>
      <c r="S43" s="75"/>
      <c r="T43" s="75"/>
      <c r="U43" s="75"/>
      <c r="V43" s="75"/>
      <c r="W43" s="75"/>
      <c r="X43" s="75"/>
      <c r="Y43" s="75"/>
      <c r="Z43" s="75"/>
      <c r="AA43" s="75"/>
    </row>
    <row r="44" spans="1:27">
      <c r="A44" s="36"/>
      <c r="B44" s="36"/>
      <c r="C44" s="58" t="s">
        <v>306</v>
      </c>
      <c r="D44" s="204" t="s">
        <v>3509</v>
      </c>
      <c r="E44" s="199"/>
      <c r="F44" s="199"/>
      <c r="G44" s="199"/>
      <c r="H44" s="200"/>
      <c r="I44" s="223" t="s">
        <v>3511</v>
      </c>
      <c r="J44" s="200"/>
      <c r="K44" s="75"/>
      <c r="L44" s="75"/>
      <c r="M44" s="75"/>
      <c r="N44" s="75"/>
      <c r="O44" s="75"/>
      <c r="P44" s="75"/>
      <c r="Q44" s="75"/>
      <c r="R44" s="75"/>
      <c r="S44" s="75"/>
      <c r="T44" s="75"/>
      <c r="U44" s="75"/>
      <c r="V44" s="75"/>
      <c r="W44" s="75"/>
      <c r="X44" s="75"/>
      <c r="Y44" s="75"/>
      <c r="Z44" s="75"/>
      <c r="AA44" s="75"/>
    </row>
    <row r="45" spans="1:27">
      <c r="A45" s="36"/>
      <c r="B45" s="36"/>
      <c r="C45" s="58" t="s">
        <v>1128</v>
      </c>
      <c r="D45" s="204" t="s">
        <v>3509</v>
      </c>
      <c r="E45" s="199"/>
      <c r="F45" s="199"/>
      <c r="G45" s="199"/>
      <c r="H45" s="200"/>
      <c r="I45" s="223" t="s">
        <v>3511</v>
      </c>
      <c r="J45" s="200"/>
      <c r="K45" s="75"/>
      <c r="L45" s="75"/>
      <c r="M45" s="75"/>
      <c r="N45" s="75"/>
      <c r="O45" s="75"/>
      <c r="P45" s="75"/>
      <c r="Q45" s="75"/>
      <c r="R45" s="75"/>
      <c r="S45" s="75"/>
      <c r="T45" s="75"/>
      <c r="U45" s="75"/>
      <c r="V45" s="75"/>
      <c r="W45" s="75"/>
      <c r="X45" s="75"/>
      <c r="Y45" s="75"/>
      <c r="Z45" s="75"/>
      <c r="AA45" s="75"/>
    </row>
    <row r="46" spans="1:27">
      <c r="A46" s="36"/>
      <c r="B46" s="36"/>
      <c r="C46" s="58" t="s">
        <v>189</v>
      </c>
      <c r="D46" s="204" t="s">
        <v>3509</v>
      </c>
      <c r="E46" s="199"/>
      <c r="F46" s="199"/>
      <c r="G46" s="199"/>
      <c r="H46" s="200"/>
      <c r="I46" s="223" t="s">
        <v>3511</v>
      </c>
      <c r="J46" s="200"/>
      <c r="K46" s="75"/>
      <c r="L46" s="75"/>
      <c r="M46" s="75"/>
      <c r="N46" s="75"/>
      <c r="O46" s="75"/>
      <c r="P46" s="75"/>
      <c r="Q46" s="75"/>
      <c r="R46" s="75"/>
      <c r="S46" s="75"/>
      <c r="T46" s="75"/>
      <c r="U46" s="75"/>
      <c r="V46" s="75"/>
      <c r="W46" s="75"/>
      <c r="X46" s="75"/>
      <c r="Y46" s="75"/>
      <c r="Z46" s="75"/>
      <c r="AA46" s="75"/>
    </row>
    <row r="47" spans="1:27">
      <c r="A47" s="36"/>
      <c r="B47" s="36"/>
      <c r="C47" s="58" t="s">
        <v>179</v>
      </c>
      <c r="D47" s="204" t="s">
        <v>3509</v>
      </c>
      <c r="E47" s="199"/>
      <c r="F47" s="199"/>
      <c r="G47" s="199"/>
      <c r="H47" s="200"/>
      <c r="I47" s="223" t="s">
        <v>3511</v>
      </c>
      <c r="J47" s="200"/>
      <c r="K47" s="75"/>
      <c r="L47" s="75"/>
      <c r="M47" s="75"/>
      <c r="N47" s="75"/>
      <c r="O47" s="75"/>
      <c r="P47" s="75"/>
      <c r="Q47" s="75"/>
      <c r="R47" s="75"/>
      <c r="S47" s="75"/>
      <c r="T47" s="75"/>
      <c r="U47" s="75"/>
      <c r="V47" s="75"/>
      <c r="W47" s="75"/>
      <c r="X47" s="75"/>
      <c r="Y47" s="75"/>
      <c r="Z47" s="75"/>
      <c r="AA47" s="75"/>
    </row>
    <row r="48" spans="1:27">
      <c r="A48" s="36"/>
      <c r="B48" s="36"/>
      <c r="C48" s="58" t="s">
        <v>182</v>
      </c>
      <c r="D48" s="204" t="s">
        <v>3509</v>
      </c>
      <c r="E48" s="199"/>
      <c r="F48" s="199"/>
      <c r="G48" s="199"/>
      <c r="H48" s="200"/>
      <c r="I48" s="223" t="s">
        <v>3511</v>
      </c>
      <c r="J48" s="200"/>
      <c r="K48" s="75"/>
      <c r="L48" s="75"/>
      <c r="M48" s="75"/>
      <c r="N48" s="75"/>
      <c r="O48" s="75"/>
      <c r="P48" s="75"/>
      <c r="Q48" s="75"/>
      <c r="R48" s="75"/>
      <c r="S48" s="75"/>
      <c r="T48" s="75"/>
      <c r="U48" s="75"/>
      <c r="V48" s="75"/>
      <c r="W48" s="75"/>
      <c r="X48" s="75"/>
      <c r="Y48" s="75"/>
      <c r="Z48" s="75"/>
      <c r="AA48" s="75"/>
    </row>
    <row r="49" spans="1:27">
      <c r="A49" s="36"/>
      <c r="B49" s="36"/>
      <c r="C49" s="58" t="s">
        <v>184</v>
      </c>
      <c r="D49" s="204" t="s">
        <v>3509</v>
      </c>
      <c r="E49" s="199"/>
      <c r="F49" s="199"/>
      <c r="G49" s="199"/>
      <c r="H49" s="200"/>
      <c r="I49" s="223" t="s">
        <v>3511</v>
      </c>
      <c r="J49" s="200"/>
      <c r="K49" s="75"/>
      <c r="L49" s="75"/>
      <c r="M49" s="75"/>
      <c r="N49" s="75"/>
      <c r="O49" s="75"/>
      <c r="P49" s="75"/>
      <c r="Q49" s="75"/>
      <c r="R49" s="75"/>
      <c r="S49" s="75"/>
      <c r="T49" s="75"/>
      <c r="U49" s="75"/>
      <c r="V49" s="75"/>
      <c r="W49" s="75"/>
      <c r="X49" s="75"/>
      <c r="Y49" s="75"/>
      <c r="Z49" s="75"/>
      <c r="AA49" s="75"/>
    </row>
    <row r="50" spans="1:27">
      <c r="A50" s="36"/>
      <c r="B50" s="36"/>
      <c r="C50" s="58" t="s">
        <v>187</v>
      </c>
      <c r="D50" s="204" t="s">
        <v>3509</v>
      </c>
      <c r="E50" s="199"/>
      <c r="F50" s="199"/>
      <c r="G50" s="199"/>
      <c r="H50" s="200"/>
      <c r="I50" s="223" t="s">
        <v>3511</v>
      </c>
      <c r="J50" s="200"/>
      <c r="K50" s="75"/>
      <c r="L50" s="75"/>
      <c r="M50" s="75"/>
      <c r="N50" s="75"/>
      <c r="O50" s="75"/>
      <c r="P50" s="75"/>
      <c r="Q50" s="75"/>
      <c r="R50" s="75"/>
      <c r="S50" s="75"/>
      <c r="T50" s="75"/>
      <c r="U50" s="75"/>
      <c r="V50" s="75"/>
      <c r="W50" s="75"/>
      <c r="X50" s="75"/>
      <c r="Y50" s="75"/>
      <c r="Z50" s="75"/>
      <c r="AA50" s="75"/>
    </row>
    <row r="51" spans="1:27">
      <c r="A51" s="36"/>
      <c r="B51" s="36"/>
      <c r="C51" s="53" t="s">
        <v>1201</v>
      </c>
      <c r="D51" s="204" t="s">
        <v>3509</v>
      </c>
      <c r="E51" s="199"/>
      <c r="F51" s="199"/>
      <c r="G51" s="199"/>
      <c r="H51" s="200"/>
      <c r="I51" s="223" t="s">
        <v>3511</v>
      </c>
      <c r="J51" s="200"/>
      <c r="K51" s="75"/>
      <c r="L51" s="75"/>
      <c r="M51" s="75"/>
      <c r="N51" s="75"/>
      <c r="O51" s="75"/>
      <c r="P51" s="75"/>
      <c r="Q51" s="75"/>
      <c r="R51" s="75"/>
      <c r="S51" s="75"/>
      <c r="T51" s="75"/>
      <c r="U51" s="75"/>
      <c r="V51" s="75"/>
      <c r="W51" s="75"/>
      <c r="X51" s="75"/>
      <c r="Y51" s="75"/>
      <c r="Z51" s="75"/>
      <c r="AA51" s="75"/>
    </row>
    <row r="52" spans="1:27">
      <c r="A52" s="36"/>
      <c r="B52" s="36"/>
      <c r="C52" s="54" t="s">
        <v>1389</v>
      </c>
      <c r="D52" s="204" t="s">
        <v>3512</v>
      </c>
      <c r="E52" s="199"/>
      <c r="F52" s="199"/>
      <c r="G52" s="199"/>
      <c r="H52" s="200"/>
      <c r="I52" s="223" t="s">
        <v>3511</v>
      </c>
      <c r="J52" s="200"/>
      <c r="K52" s="75"/>
      <c r="L52" s="75"/>
      <c r="M52" s="75"/>
      <c r="N52" s="75"/>
      <c r="O52" s="75"/>
      <c r="P52" s="75"/>
      <c r="Q52" s="75"/>
      <c r="R52" s="75"/>
      <c r="S52" s="75"/>
      <c r="T52" s="75"/>
      <c r="U52" s="75"/>
      <c r="V52" s="75"/>
      <c r="W52" s="75"/>
      <c r="X52" s="75"/>
      <c r="Y52" s="75"/>
      <c r="Z52" s="75"/>
      <c r="AA52" s="75"/>
    </row>
    <row r="53" spans="1:27">
      <c r="A53" s="36"/>
      <c r="B53" s="36"/>
      <c r="C53" s="58" t="s">
        <v>1213</v>
      </c>
      <c r="D53" s="204" t="s">
        <v>3509</v>
      </c>
      <c r="E53" s="199"/>
      <c r="F53" s="199"/>
      <c r="G53" s="199"/>
      <c r="H53" s="200"/>
      <c r="I53" s="223" t="s">
        <v>3511</v>
      </c>
      <c r="J53" s="200"/>
      <c r="K53" s="75"/>
      <c r="L53" s="75"/>
      <c r="M53" s="75"/>
      <c r="N53" s="75"/>
      <c r="O53" s="75"/>
      <c r="P53" s="75"/>
      <c r="Q53" s="75"/>
      <c r="R53" s="75"/>
      <c r="S53" s="75"/>
      <c r="T53" s="75"/>
      <c r="U53" s="75"/>
      <c r="V53" s="75"/>
      <c r="W53" s="75"/>
      <c r="X53" s="75"/>
      <c r="Y53" s="75"/>
      <c r="Z53" s="75"/>
      <c r="AA53" s="75"/>
    </row>
    <row r="54" spans="1:27">
      <c r="A54" s="36"/>
      <c r="B54" s="36"/>
      <c r="C54" s="58" t="s">
        <v>1204</v>
      </c>
      <c r="D54" s="204" t="s">
        <v>3509</v>
      </c>
      <c r="E54" s="199"/>
      <c r="F54" s="199"/>
      <c r="G54" s="199"/>
      <c r="H54" s="200"/>
      <c r="I54" s="223" t="s">
        <v>3511</v>
      </c>
      <c r="J54" s="200"/>
      <c r="K54" s="75"/>
      <c r="L54" s="75"/>
      <c r="M54" s="75"/>
      <c r="N54" s="75"/>
      <c r="O54" s="75"/>
      <c r="P54" s="75"/>
      <c r="Q54" s="75"/>
      <c r="R54" s="75"/>
      <c r="S54" s="75"/>
      <c r="T54" s="75"/>
      <c r="U54" s="75"/>
      <c r="V54" s="75"/>
      <c r="W54" s="75"/>
      <c r="X54" s="75"/>
      <c r="Y54" s="75"/>
      <c r="Z54" s="75"/>
      <c r="AA54" s="75"/>
    </row>
    <row r="55" spans="1:27">
      <c r="A55" s="36"/>
      <c r="B55" s="36"/>
      <c r="C55" s="54" t="s">
        <v>915</v>
      </c>
      <c r="D55" s="204" t="s">
        <v>3513</v>
      </c>
      <c r="E55" s="199"/>
      <c r="F55" s="199"/>
      <c r="G55" s="199"/>
      <c r="H55" s="200"/>
      <c r="I55" s="223" t="s">
        <v>3511</v>
      </c>
      <c r="J55" s="200"/>
      <c r="K55" s="75"/>
      <c r="L55" s="75"/>
      <c r="M55" s="75"/>
      <c r="N55" s="75"/>
      <c r="O55" s="75"/>
      <c r="P55" s="75"/>
      <c r="Q55" s="75"/>
      <c r="R55" s="75"/>
      <c r="S55" s="75"/>
      <c r="T55" s="75"/>
      <c r="U55" s="75"/>
      <c r="V55" s="75"/>
      <c r="W55" s="75"/>
      <c r="X55" s="75"/>
      <c r="Y55" s="75"/>
      <c r="Z55" s="75"/>
      <c r="AA55" s="75"/>
    </row>
    <row r="56" spans="1:27">
      <c r="A56" s="36"/>
      <c r="B56" s="36"/>
      <c r="C56" s="55" t="s">
        <v>918</v>
      </c>
      <c r="D56" s="204" t="s">
        <v>3513</v>
      </c>
      <c r="E56" s="199"/>
      <c r="F56" s="199"/>
      <c r="G56" s="199"/>
      <c r="H56" s="200"/>
      <c r="I56" s="223" t="s">
        <v>3511</v>
      </c>
      <c r="J56" s="200"/>
      <c r="K56" s="75"/>
      <c r="L56" s="75"/>
      <c r="M56" s="75"/>
      <c r="N56" s="75"/>
      <c r="O56" s="75"/>
      <c r="P56" s="75"/>
      <c r="Q56" s="75"/>
      <c r="R56" s="75"/>
      <c r="S56" s="75"/>
      <c r="T56" s="75"/>
      <c r="U56" s="75"/>
      <c r="V56" s="75"/>
      <c r="W56" s="75"/>
      <c r="X56" s="75"/>
      <c r="Y56" s="75"/>
      <c r="Z56" s="75"/>
      <c r="AA56" s="75"/>
    </row>
    <row r="57" spans="1:27">
      <c r="A57" s="36"/>
      <c r="B57" s="36"/>
      <c r="C57" s="55" t="s">
        <v>923</v>
      </c>
      <c r="D57" s="204" t="s">
        <v>3513</v>
      </c>
      <c r="E57" s="199"/>
      <c r="F57" s="199"/>
      <c r="G57" s="199"/>
      <c r="H57" s="200"/>
      <c r="I57" s="223" t="s">
        <v>3511</v>
      </c>
      <c r="J57" s="200"/>
      <c r="K57" s="75"/>
      <c r="L57" s="75"/>
      <c r="M57" s="75"/>
      <c r="N57" s="75"/>
      <c r="O57" s="75"/>
      <c r="P57" s="75"/>
      <c r="Q57" s="75"/>
      <c r="R57" s="75"/>
      <c r="S57" s="75"/>
      <c r="T57" s="75"/>
      <c r="U57" s="75"/>
      <c r="V57" s="75"/>
      <c r="W57" s="75"/>
      <c r="X57" s="75"/>
      <c r="Y57" s="75"/>
      <c r="Z57" s="75"/>
      <c r="AA57" s="75"/>
    </row>
    <row r="58" spans="1:27">
      <c r="A58" s="36"/>
      <c r="B58" s="36"/>
      <c r="C58" s="55" t="s">
        <v>928</v>
      </c>
      <c r="D58" s="204" t="s">
        <v>3513</v>
      </c>
      <c r="E58" s="199"/>
      <c r="F58" s="199"/>
      <c r="G58" s="199"/>
      <c r="H58" s="200"/>
      <c r="I58" s="223" t="s">
        <v>3511</v>
      </c>
      <c r="J58" s="200"/>
      <c r="K58" s="75"/>
      <c r="L58" s="75"/>
      <c r="M58" s="75"/>
      <c r="N58" s="75"/>
      <c r="O58" s="75"/>
      <c r="P58" s="75"/>
      <c r="Q58" s="75"/>
      <c r="R58" s="75"/>
      <c r="S58" s="75"/>
      <c r="T58" s="75"/>
      <c r="U58" s="75"/>
      <c r="V58" s="75"/>
      <c r="W58" s="75"/>
      <c r="X58" s="75"/>
      <c r="Y58" s="75"/>
      <c r="Z58" s="75"/>
      <c r="AA58" s="75"/>
    </row>
    <row r="59" spans="1:27">
      <c r="A59" s="36"/>
      <c r="B59" s="36"/>
      <c r="C59" s="56" t="s">
        <v>3514</v>
      </c>
      <c r="D59" s="204" t="s">
        <v>3515</v>
      </c>
      <c r="E59" s="199"/>
      <c r="F59" s="199"/>
      <c r="G59" s="199"/>
      <c r="H59" s="200"/>
      <c r="I59" s="223"/>
      <c r="J59" s="200"/>
      <c r="K59" s="75"/>
      <c r="L59" s="75"/>
      <c r="M59" s="75"/>
      <c r="N59" s="75"/>
      <c r="O59" s="75"/>
      <c r="P59" s="75"/>
      <c r="Q59" s="75"/>
      <c r="R59" s="75"/>
      <c r="S59" s="75"/>
      <c r="T59" s="75"/>
      <c r="U59" s="75"/>
      <c r="V59" s="75"/>
      <c r="W59" s="75"/>
      <c r="X59" s="75"/>
      <c r="Y59" s="75"/>
      <c r="Z59" s="75"/>
      <c r="AA59" s="75"/>
    </row>
    <row r="60" spans="1:27">
      <c r="A60" s="36"/>
      <c r="B60" s="36"/>
      <c r="C60" s="56" t="s">
        <v>3516</v>
      </c>
      <c r="D60" s="204" t="s">
        <v>3515</v>
      </c>
      <c r="E60" s="199"/>
      <c r="F60" s="199"/>
      <c r="G60" s="199"/>
      <c r="H60" s="200"/>
      <c r="I60" s="223"/>
      <c r="J60" s="200"/>
      <c r="K60" s="75"/>
      <c r="L60" s="75"/>
      <c r="M60" s="75"/>
      <c r="N60" s="75"/>
      <c r="O60" s="75"/>
      <c r="P60" s="75"/>
      <c r="Q60" s="75"/>
      <c r="R60" s="75"/>
      <c r="S60" s="75"/>
      <c r="T60" s="75"/>
      <c r="U60" s="75"/>
      <c r="V60" s="75"/>
      <c r="W60" s="75"/>
      <c r="X60" s="75"/>
      <c r="Y60" s="75"/>
      <c r="Z60" s="75"/>
      <c r="AA60" s="75"/>
    </row>
    <row r="61" spans="1:27">
      <c r="A61" s="36"/>
      <c r="B61" s="36"/>
      <c r="C61" s="56" t="s">
        <v>3517</v>
      </c>
      <c r="D61" s="204" t="s">
        <v>3515</v>
      </c>
      <c r="E61" s="199"/>
      <c r="F61" s="199"/>
      <c r="G61" s="199"/>
      <c r="H61" s="200"/>
      <c r="I61" s="223"/>
      <c r="J61" s="200"/>
      <c r="K61" s="75"/>
      <c r="L61" s="75"/>
      <c r="M61" s="75"/>
      <c r="N61" s="75"/>
      <c r="O61" s="75"/>
      <c r="P61" s="75"/>
      <c r="Q61" s="75"/>
      <c r="R61" s="75"/>
      <c r="S61" s="75"/>
      <c r="T61" s="75"/>
      <c r="U61" s="75"/>
      <c r="V61" s="75"/>
      <c r="W61" s="75"/>
      <c r="X61" s="75"/>
      <c r="Y61" s="75"/>
      <c r="Z61" s="75"/>
      <c r="AA61" s="75"/>
    </row>
    <row r="62" spans="1:27">
      <c r="A62" s="36"/>
      <c r="B62" s="36"/>
      <c r="C62" s="57" t="s">
        <v>921</v>
      </c>
      <c r="D62" s="204" t="s">
        <v>3509</v>
      </c>
      <c r="E62" s="199"/>
      <c r="F62" s="199"/>
      <c r="G62" s="199"/>
      <c r="H62" s="200"/>
      <c r="I62" s="223" t="s">
        <v>3518</v>
      </c>
      <c r="J62" s="200"/>
      <c r="K62" s="75"/>
      <c r="L62" s="75"/>
      <c r="M62" s="75"/>
      <c r="N62" s="75"/>
      <c r="O62" s="75"/>
      <c r="P62" s="75"/>
      <c r="Q62" s="75"/>
      <c r="R62" s="75"/>
      <c r="S62" s="75"/>
      <c r="T62" s="75"/>
      <c r="U62" s="75"/>
      <c r="V62" s="75"/>
      <c r="W62" s="75"/>
      <c r="X62" s="75"/>
      <c r="Y62" s="75"/>
      <c r="Z62" s="75"/>
      <c r="AA62" s="75"/>
    </row>
    <row r="63" spans="1:27">
      <c r="A63" s="36"/>
      <c r="B63" s="36"/>
      <c r="C63" s="58" t="s">
        <v>3519</v>
      </c>
      <c r="D63" s="204" t="s">
        <v>3509</v>
      </c>
      <c r="E63" s="199"/>
      <c r="F63" s="199"/>
      <c r="G63" s="199"/>
      <c r="H63" s="200"/>
      <c r="I63" s="223" t="s">
        <v>3518</v>
      </c>
      <c r="J63" s="200"/>
      <c r="K63" s="75"/>
      <c r="L63" s="75"/>
      <c r="M63" s="75"/>
      <c r="N63" s="75"/>
      <c r="O63" s="75"/>
      <c r="P63" s="75"/>
      <c r="Q63" s="75"/>
      <c r="R63" s="75"/>
      <c r="S63" s="75"/>
      <c r="T63" s="75"/>
      <c r="U63" s="75"/>
      <c r="V63" s="75"/>
      <c r="W63" s="75"/>
      <c r="X63" s="75"/>
      <c r="Y63" s="75"/>
      <c r="Z63" s="75"/>
      <c r="AA63" s="75"/>
    </row>
    <row r="64" spans="1:27">
      <c r="A64" s="36"/>
      <c r="B64" s="36"/>
      <c r="C64" s="58" t="s">
        <v>3520</v>
      </c>
      <c r="D64" s="204" t="s">
        <v>3509</v>
      </c>
      <c r="E64" s="199"/>
      <c r="F64" s="199"/>
      <c r="G64" s="199"/>
      <c r="H64" s="200"/>
      <c r="I64" s="223" t="s">
        <v>3518</v>
      </c>
      <c r="J64" s="200"/>
      <c r="K64" s="75"/>
      <c r="L64" s="75"/>
      <c r="M64" s="75"/>
      <c r="N64" s="75"/>
      <c r="O64" s="75"/>
      <c r="P64" s="75"/>
      <c r="Q64" s="75"/>
      <c r="R64" s="75"/>
      <c r="S64" s="75"/>
      <c r="T64" s="75"/>
      <c r="U64" s="75"/>
      <c r="V64" s="75"/>
      <c r="W64" s="75"/>
      <c r="X64" s="75"/>
      <c r="Y64" s="75"/>
      <c r="Z64" s="75"/>
      <c r="AA64" s="75"/>
    </row>
    <row r="65" spans="1:27">
      <c r="A65" s="36"/>
      <c r="B65" s="36"/>
      <c r="C65" s="58" t="s">
        <v>3521</v>
      </c>
      <c r="D65" s="204" t="s">
        <v>3509</v>
      </c>
      <c r="E65" s="199"/>
      <c r="F65" s="199"/>
      <c r="G65" s="199"/>
      <c r="H65" s="200"/>
      <c r="I65" s="223" t="s">
        <v>3518</v>
      </c>
      <c r="J65" s="200"/>
      <c r="K65" s="75"/>
      <c r="L65" s="75"/>
      <c r="M65" s="75"/>
      <c r="N65" s="75"/>
      <c r="O65" s="75"/>
      <c r="P65" s="75"/>
      <c r="Q65" s="75"/>
      <c r="R65" s="75"/>
      <c r="S65" s="75"/>
      <c r="T65" s="75"/>
      <c r="U65" s="75"/>
      <c r="V65" s="75"/>
      <c r="W65" s="75"/>
      <c r="X65" s="75"/>
      <c r="Y65" s="75"/>
      <c r="Z65" s="75"/>
      <c r="AA65" s="75"/>
    </row>
    <row r="66" spans="1:27">
      <c r="A66" s="36"/>
      <c r="B66" s="36"/>
      <c r="C66" s="58" t="s">
        <v>3522</v>
      </c>
      <c r="D66" s="204" t="s">
        <v>3509</v>
      </c>
      <c r="E66" s="199"/>
      <c r="F66" s="199"/>
      <c r="G66" s="199"/>
      <c r="H66" s="200"/>
      <c r="I66" s="223" t="s">
        <v>3518</v>
      </c>
      <c r="J66" s="200"/>
      <c r="K66" s="75"/>
      <c r="L66" s="75"/>
      <c r="M66" s="75"/>
      <c r="N66" s="75"/>
      <c r="O66" s="75"/>
      <c r="P66" s="75"/>
      <c r="Q66" s="75"/>
      <c r="R66" s="75"/>
      <c r="S66" s="75"/>
      <c r="T66" s="75"/>
      <c r="U66" s="75"/>
      <c r="V66" s="75"/>
      <c r="W66" s="75"/>
      <c r="X66" s="75"/>
      <c r="Y66" s="75"/>
      <c r="Z66" s="75"/>
      <c r="AA66" s="75"/>
    </row>
    <row r="67" spans="1:27">
      <c r="A67" s="36"/>
      <c r="B67" s="36"/>
      <c r="C67" s="58" t="s">
        <v>3523</v>
      </c>
      <c r="D67" s="204" t="s">
        <v>3509</v>
      </c>
      <c r="E67" s="199"/>
      <c r="F67" s="199"/>
      <c r="G67" s="199"/>
      <c r="H67" s="200"/>
      <c r="I67" s="223" t="s">
        <v>3518</v>
      </c>
      <c r="J67" s="200"/>
      <c r="K67" s="75"/>
      <c r="L67" s="75"/>
      <c r="M67" s="75"/>
      <c r="N67" s="75"/>
      <c r="O67" s="75"/>
      <c r="P67" s="75"/>
      <c r="Q67" s="75"/>
      <c r="R67" s="75"/>
      <c r="S67" s="75"/>
      <c r="T67" s="75"/>
      <c r="U67" s="75"/>
      <c r="V67" s="75"/>
      <c r="W67" s="75"/>
      <c r="X67" s="75"/>
      <c r="Y67" s="75"/>
      <c r="Z67" s="75"/>
      <c r="AA67" s="75"/>
    </row>
    <row r="68" spans="1:27">
      <c r="A68" s="36"/>
      <c r="B68" s="36"/>
      <c r="C68" s="58" t="s">
        <v>3524</v>
      </c>
      <c r="D68" s="204" t="s">
        <v>3509</v>
      </c>
      <c r="E68" s="199"/>
      <c r="F68" s="199"/>
      <c r="G68" s="199"/>
      <c r="H68" s="200"/>
      <c r="I68" s="223" t="s">
        <v>3518</v>
      </c>
      <c r="J68" s="200"/>
      <c r="K68" s="75"/>
      <c r="L68" s="75"/>
      <c r="M68" s="75"/>
      <c r="N68" s="75"/>
      <c r="O68" s="75"/>
      <c r="P68" s="75"/>
      <c r="Q68" s="75"/>
      <c r="R68" s="75"/>
      <c r="S68" s="75"/>
      <c r="T68" s="75"/>
      <c r="U68" s="75"/>
      <c r="V68" s="75"/>
      <c r="W68" s="75"/>
      <c r="X68" s="75"/>
      <c r="Y68" s="75"/>
      <c r="Z68" s="75"/>
      <c r="AA68" s="75"/>
    </row>
    <row r="69" spans="1:27">
      <c r="A69" s="36"/>
      <c r="B69" s="36"/>
      <c r="C69" s="58" t="s">
        <v>3525</v>
      </c>
      <c r="D69" s="204" t="s">
        <v>3509</v>
      </c>
      <c r="E69" s="199"/>
      <c r="F69" s="199"/>
      <c r="G69" s="199"/>
      <c r="H69" s="200"/>
      <c r="I69" s="223" t="s">
        <v>3518</v>
      </c>
      <c r="J69" s="200"/>
      <c r="K69" s="75"/>
      <c r="L69" s="75"/>
      <c r="M69" s="75"/>
      <c r="N69" s="75"/>
      <c r="O69" s="75"/>
      <c r="P69" s="75"/>
      <c r="Q69" s="75"/>
      <c r="R69" s="75"/>
      <c r="S69" s="75"/>
      <c r="T69" s="75"/>
      <c r="U69" s="75"/>
      <c r="V69" s="75"/>
      <c r="W69" s="75"/>
      <c r="X69" s="75"/>
      <c r="Y69" s="75"/>
      <c r="Z69" s="75"/>
      <c r="AA69" s="75"/>
    </row>
    <row r="70" spans="1:27">
      <c r="A70" s="36"/>
      <c r="B70" s="36"/>
      <c r="C70" s="58" t="s">
        <v>3526</v>
      </c>
      <c r="D70" s="204" t="s">
        <v>3509</v>
      </c>
      <c r="E70" s="199"/>
      <c r="F70" s="199"/>
      <c r="G70" s="199"/>
      <c r="H70" s="200"/>
      <c r="I70" s="223" t="s">
        <v>3284</v>
      </c>
      <c r="J70" s="200"/>
      <c r="K70" s="75"/>
      <c r="L70" s="75"/>
      <c r="M70" s="75"/>
      <c r="N70" s="75"/>
      <c r="O70" s="75"/>
      <c r="P70" s="75"/>
      <c r="Q70" s="75"/>
      <c r="R70" s="75"/>
      <c r="S70" s="75"/>
      <c r="T70" s="75"/>
      <c r="U70" s="75"/>
      <c r="V70" s="75"/>
      <c r="W70" s="75"/>
      <c r="X70" s="75"/>
      <c r="Y70" s="75"/>
      <c r="Z70" s="75"/>
      <c r="AA70" s="75"/>
    </row>
    <row r="71" spans="1:27">
      <c r="A71" s="36"/>
      <c r="B71" s="36"/>
      <c r="C71" s="58" t="s">
        <v>3527</v>
      </c>
      <c r="D71" s="204" t="s">
        <v>3509</v>
      </c>
      <c r="E71" s="199"/>
      <c r="F71" s="199"/>
      <c r="G71" s="199"/>
      <c r="H71" s="200"/>
      <c r="I71" s="223" t="s">
        <v>3284</v>
      </c>
      <c r="J71" s="200"/>
      <c r="K71" s="75"/>
      <c r="L71" s="75"/>
      <c r="M71" s="75"/>
      <c r="N71" s="75"/>
      <c r="O71" s="75"/>
      <c r="P71" s="75"/>
      <c r="Q71" s="75"/>
      <c r="R71" s="75"/>
      <c r="S71" s="75"/>
      <c r="T71" s="75"/>
      <c r="U71" s="75"/>
      <c r="V71" s="75"/>
      <c r="W71" s="75"/>
      <c r="X71" s="75"/>
      <c r="Y71" s="75"/>
      <c r="Z71" s="75"/>
      <c r="AA71" s="75"/>
    </row>
    <row r="72" spans="1:27">
      <c r="A72" s="36"/>
      <c r="B72" s="36"/>
      <c r="C72" s="58" t="s">
        <v>3528</v>
      </c>
      <c r="D72" s="204" t="s">
        <v>3509</v>
      </c>
      <c r="E72" s="199"/>
      <c r="F72" s="199"/>
      <c r="G72" s="199"/>
      <c r="H72" s="200"/>
      <c r="I72" s="223" t="s">
        <v>3284</v>
      </c>
      <c r="J72" s="200"/>
      <c r="K72" s="75"/>
      <c r="L72" s="75"/>
      <c r="M72" s="75"/>
      <c r="N72" s="75"/>
      <c r="O72" s="75"/>
      <c r="P72" s="75"/>
      <c r="Q72" s="75"/>
      <c r="R72" s="75"/>
      <c r="S72" s="75"/>
      <c r="T72" s="75"/>
      <c r="U72" s="75"/>
      <c r="V72" s="75"/>
      <c r="W72" s="75"/>
      <c r="X72" s="75"/>
      <c r="Y72" s="75"/>
      <c r="Z72" s="75"/>
      <c r="AA72" s="75"/>
    </row>
    <row r="73" spans="1:27">
      <c r="A73" s="36"/>
      <c r="B73" s="36"/>
      <c r="C73" s="58" t="s">
        <v>3529</v>
      </c>
      <c r="D73" s="204" t="s">
        <v>3509</v>
      </c>
      <c r="E73" s="199"/>
      <c r="F73" s="199"/>
      <c r="G73" s="199"/>
      <c r="H73" s="200"/>
      <c r="I73" s="223" t="s">
        <v>3284</v>
      </c>
      <c r="J73" s="200"/>
      <c r="K73" s="75"/>
      <c r="L73" s="75"/>
      <c r="M73" s="75"/>
      <c r="N73" s="75"/>
      <c r="O73" s="75"/>
      <c r="P73" s="75"/>
      <c r="Q73" s="75"/>
      <c r="R73" s="75"/>
      <c r="S73" s="75"/>
      <c r="T73" s="75"/>
      <c r="U73" s="75"/>
      <c r="V73" s="75"/>
      <c r="W73" s="75"/>
      <c r="X73" s="75"/>
      <c r="Y73" s="75"/>
      <c r="Z73" s="75"/>
      <c r="AA73" s="75"/>
    </row>
    <row r="74" spans="1:27">
      <c r="A74" s="36"/>
      <c r="B74" s="36"/>
      <c r="C74" s="58" t="s">
        <v>3530</v>
      </c>
      <c r="D74" s="204" t="s">
        <v>3509</v>
      </c>
      <c r="E74" s="199"/>
      <c r="F74" s="199"/>
      <c r="G74" s="199"/>
      <c r="H74" s="200"/>
      <c r="I74" s="223" t="s">
        <v>3284</v>
      </c>
      <c r="J74" s="200"/>
      <c r="K74" s="75"/>
      <c r="L74" s="75"/>
      <c r="M74" s="75"/>
      <c r="N74" s="75"/>
      <c r="O74" s="75"/>
      <c r="P74" s="75"/>
      <c r="Q74" s="75"/>
      <c r="R74" s="75"/>
      <c r="S74" s="75"/>
      <c r="T74" s="75"/>
      <c r="U74" s="75"/>
      <c r="V74" s="75"/>
      <c r="W74" s="75"/>
      <c r="X74" s="75"/>
      <c r="Y74" s="75"/>
      <c r="Z74" s="75"/>
      <c r="AA74" s="75"/>
    </row>
    <row r="75" spans="1:27">
      <c r="A75" s="36"/>
      <c r="B75" s="36"/>
      <c r="C75" s="58" t="s">
        <v>3531</v>
      </c>
      <c r="D75" s="204" t="s">
        <v>3509</v>
      </c>
      <c r="E75" s="199"/>
      <c r="F75" s="199"/>
      <c r="G75" s="199"/>
      <c r="H75" s="200"/>
      <c r="I75" s="223" t="s">
        <v>3284</v>
      </c>
      <c r="J75" s="200"/>
      <c r="K75" s="75"/>
      <c r="L75" s="75"/>
      <c r="M75" s="75"/>
      <c r="N75" s="75"/>
      <c r="O75" s="75"/>
      <c r="P75" s="75"/>
      <c r="Q75" s="75"/>
      <c r="R75" s="75"/>
      <c r="S75" s="75"/>
      <c r="T75" s="75"/>
      <c r="U75" s="75"/>
      <c r="V75" s="75"/>
      <c r="W75" s="75"/>
      <c r="X75" s="75"/>
      <c r="Y75" s="75"/>
      <c r="Z75" s="75"/>
      <c r="AA75" s="75"/>
    </row>
    <row r="76" spans="1:27">
      <c r="A76" s="36"/>
      <c r="B76" s="36"/>
      <c r="C76" s="58" t="s">
        <v>266</v>
      </c>
      <c r="D76" s="204" t="s">
        <v>3509</v>
      </c>
      <c r="E76" s="199"/>
      <c r="F76" s="199"/>
      <c r="G76" s="199"/>
      <c r="H76" s="200"/>
      <c r="I76" s="223" t="s">
        <v>3284</v>
      </c>
      <c r="J76" s="200"/>
      <c r="K76" s="75"/>
      <c r="L76" s="75"/>
      <c r="M76" s="75"/>
      <c r="N76" s="75"/>
      <c r="O76" s="75"/>
      <c r="P76" s="75"/>
      <c r="Q76" s="75"/>
      <c r="R76" s="75"/>
      <c r="S76" s="75"/>
      <c r="T76" s="75"/>
      <c r="U76" s="75"/>
      <c r="V76" s="75"/>
      <c r="W76" s="75"/>
      <c r="X76" s="75"/>
      <c r="Y76" s="75"/>
      <c r="Z76" s="75"/>
      <c r="AA76" s="75"/>
    </row>
    <row r="77" spans="1:27">
      <c r="A77" s="36"/>
      <c r="B77" s="36"/>
      <c r="C77" s="58" t="s">
        <v>268</v>
      </c>
      <c r="D77" s="204" t="s">
        <v>3509</v>
      </c>
      <c r="E77" s="199"/>
      <c r="F77" s="199"/>
      <c r="G77" s="199"/>
      <c r="H77" s="200"/>
      <c r="I77" s="223" t="s">
        <v>3284</v>
      </c>
      <c r="J77" s="200"/>
      <c r="K77" s="75"/>
      <c r="L77" s="75"/>
      <c r="M77" s="75"/>
      <c r="N77" s="75"/>
      <c r="O77" s="75"/>
      <c r="P77" s="75"/>
      <c r="Q77" s="75"/>
      <c r="R77" s="75"/>
      <c r="S77" s="75"/>
      <c r="T77" s="75"/>
      <c r="U77" s="75"/>
      <c r="V77" s="75"/>
      <c r="W77" s="75"/>
      <c r="X77" s="75"/>
      <c r="Y77" s="75"/>
      <c r="Z77" s="75"/>
      <c r="AA77" s="75"/>
    </row>
    <row r="78" spans="1:27">
      <c r="A78" s="36"/>
      <c r="B78" s="36"/>
      <c r="C78" s="58" t="s">
        <v>269</v>
      </c>
      <c r="D78" s="204" t="s">
        <v>3509</v>
      </c>
      <c r="E78" s="199"/>
      <c r="F78" s="199"/>
      <c r="G78" s="199"/>
      <c r="H78" s="200"/>
      <c r="I78" s="223" t="s">
        <v>3284</v>
      </c>
      <c r="J78" s="200"/>
      <c r="K78" s="75"/>
      <c r="L78" s="75"/>
      <c r="M78" s="75"/>
      <c r="N78" s="75"/>
      <c r="O78" s="75"/>
      <c r="P78" s="75"/>
      <c r="Q78" s="75"/>
      <c r="R78" s="75"/>
      <c r="S78" s="75"/>
      <c r="T78" s="75"/>
      <c r="U78" s="75"/>
      <c r="V78" s="75"/>
      <c r="W78" s="75"/>
      <c r="X78" s="75"/>
      <c r="Y78" s="75"/>
      <c r="Z78" s="75"/>
      <c r="AA78" s="75"/>
    </row>
    <row r="79" spans="1:27">
      <c r="A79" s="36"/>
      <c r="B79" s="36"/>
      <c r="C79" s="58" t="s">
        <v>271</v>
      </c>
      <c r="D79" s="204" t="s">
        <v>3509</v>
      </c>
      <c r="E79" s="199"/>
      <c r="F79" s="199"/>
      <c r="G79" s="199"/>
      <c r="H79" s="200"/>
      <c r="I79" s="223" t="s">
        <v>3284</v>
      </c>
      <c r="J79" s="200"/>
      <c r="K79" s="75"/>
      <c r="L79" s="75"/>
      <c r="M79" s="75"/>
      <c r="N79" s="75"/>
      <c r="O79" s="75"/>
      <c r="P79" s="75"/>
      <c r="Q79" s="75"/>
      <c r="R79" s="75"/>
      <c r="S79" s="75"/>
      <c r="T79" s="75"/>
      <c r="U79" s="75"/>
      <c r="V79" s="75"/>
      <c r="W79" s="75"/>
      <c r="X79" s="75"/>
      <c r="Y79" s="75"/>
      <c r="Z79" s="75"/>
      <c r="AA79" s="75"/>
    </row>
    <row r="80" spans="1:27">
      <c r="A80" s="36"/>
      <c r="B80" s="36"/>
      <c r="C80" s="58" t="s">
        <v>273</v>
      </c>
      <c r="D80" s="204" t="s">
        <v>3509</v>
      </c>
      <c r="E80" s="199"/>
      <c r="F80" s="199"/>
      <c r="G80" s="199"/>
      <c r="H80" s="200"/>
      <c r="I80" s="223" t="s">
        <v>3284</v>
      </c>
      <c r="J80" s="200"/>
      <c r="K80" s="75"/>
      <c r="L80" s="75"/>
      <c r="M80" s="75"/>
      <c r="N80" s="75"/>
      <c r="O80" s="75"/>
      <c r="P80" s="75"/>
      <c r="Q80" s="75"/>
      <c r="R80" s="75"/>
      <c r="S80" s="75"/>
      <c r="T80" s="75"/>
      <c r="U80" s="75"/>
      <c r="V80" s="75"/>
      <c r="W80" s="75"/>
      <c r="X80" s="75"/>
      <c r="Y80" s="75"/>
      <c r="Z80" s="75"/>
      <c r="AA80" s="75"/>
    </row>
    <row r="81" spans="1:27">
      <c r="A81" s="36"/>
      <c r="B81" s="36"/>
      <c r="C81" s="58" t="s">
        <v>275</v>
      </c>
      <c r="D81" s="204" t="s">
        <v>3509</v>
      </c>
      <c r="E81" s="199"/>
      <c r="F81" s="199"/>
      <c r="G81" s="199"/>
      <c r="H81" s="200"/>
      <c r="I81" s="223" t="s">
        <v>3284</v>
      </c>
      <c r="J81" s="200"/>
      <c r="K81" s="75"/>
      <c r="L81" s="75"/>
      <c r="M81" s="75"/>
      <c r="N81" s="75"/>
      <c r="O81" s="75"/>
      <c r="P81" s="75"/>
      <c r="Q81" s="75"/>
      <c r="R81" s="75"/>
      <c r="S81" s="75"/>
      <c r="T81" s="75"/>
      <c r="U81" s="75"/>
      <c r="V81" s="75"/>
      <c r="W81" s="75"/>
      <c r="X81" s="75"/>
      <c r="Y81" s="75"/>
      <c r="Z81" s="75"/>
      <c r="AA81" s="75"/>
    </row>
    <row r="82" spans="1:27">
      <c r="A82" s="36"/>
      <c r="B82" s="36"/>
      <c r="C82" s="58" t="s">
        <v>277</v>
      </c>
      <c r="D82" s="204" t="s">
        <v>3509</v>
      </c>
      <c r="E82" s="199"/>
      <c r="F82" s="199"/>
      <c r="G82" s="199"/>
      <c r="H82" s="200"/>
      <c r="I82" s="223" t="s">
        <v>3284</v>
      </c>
      <c r="J82" s="200"/>
      <c r="K82" s="75"/>
      <c r="L82" s="75"/>
      <c r="M82" s="75"/>
      <c r="N82" s="75"/>
      <c r="O82" s="75"/>
      <c r="P82" s="75"/>
      <c r="Q82" s="75"/>
      <c r="R82" s="75"/>
      <c r="S82" s="75"/>
      <c r="T82" s="75"/>
      <c r="U82" s="75"/>
      <c r="V82" s="75"/>
      <c r="W82" s="75"/>
      <c r="X82" s="75"/>
      <c r="Y82" s="75"/>
      <c r="Z82" s="75"/>
      <c r="AA82" s="75"/>
    </row>
    <row r="83" spans="1:27">
      <c r="A83" s="36"/>
      <c r="B83" s="36"/>
      <c r="C83" s="58" t="s">
        <v>279</v>
      </c>
      <c r="D83" s="204" t="s">
        <v>3509</v>
      </c>
      <c r="E83" s="199"/>
      <c r="F83" s="199"/>
      <c r="G83" s="199"/>
      <c r="H83" s="200"/>
      <c r="I83" s="223" t="s">
        <v>3284</v>
      </c>
      <c r="J83" s="200"/>
      <c r="K83" s="75"/>
      <c r="L83" s="75"/>
      <c r="M83" s="75"/>
      <c r="N83" s="75"/>
      <c r="O83" s="75"/>
      <c r="P83" s="75"/>
      <c r="Q83" s="75"/>
      <c r="R83" s="75"/>
      <c r="S83" s="75"/>
      <c r="T83" s="75"/>
      <c r="U83" s="75"/>
      <c r="V83" s="75"/>
      <c r="W83" s="75"/>
      <c r="X83" s="75"/>
      <c r="Y83" s="75"/>
      <c r="Z83" s="75"/>
      <c r="AA83" s="75"/>
    </row>
    <row r="84" spans="1:27" ht="14.25">
      <c r="A84" s="36"/>
      <c r="B84" s="36"/>
      <c r="C84" s="36"/>
      <c r="D84" s="204"/>
      <c r="E84" s="199"/>
      <c r="F84" s="199"/>
      <c r="G84" s="199"/>
      <c r="H84" s="200"/>
      <c r="I84" s="223"/>
      <c r="J84" s="200"/>
      <c r="K84" s="75"/>
      <c r="L84" s="75"/>
      <c r="M84" s="75"/>
      <c r="N84" s="75"/>
      <c r="O84" s="75"/>
      <c r="P84" s="75"/>
      <c r="Q84" s="75"/>
      <c r="R84" s="75"/>
      <c r="S84" s="75"/>
      <c r="T84" s="75"/>
      <c r="U84" s="75"/>
      <c r="V84" s="75"/>
      <c r="W84" s="75"/>
      <c r="X84" s="75"/>
      <c r="Y84" s="75"/>
      <c r="Z84" s="75"/>
      <c r="AA84" s="75"/>
    </row>
    <row r="85" spans="1:27" ht="14.25">
      <c r="A85" s="36"/>
      <c r="B85" s="36"/>
      <c r="C85" s="36"/>
      <c r="D85" s="204"/>
      <c r="E85" s="199"/>
      <c r="F85" s="199"/>
      <c r="G85" s="199"/>
      <c r="H85" s="200"/>
      <c r="I85" s="223"/>
      <c r="J85" s="200"/>
      <c r="K85" s="75"/>
      <c r="L85" s="75"/>
      <c r="M85" s="75"/>
      <c r="N85" s="75"/>
      <c r="O85" s="75"/>
      <c r="P85" s="75"/>
      <c r="Q85" s="75"/>
      <c r="R85" s="75"/>
      <c r="S85" s="75"/>
      <c r="T85" s="75"/>
      <c r="U85" s="75"/>
      <c r="V85" s="75"/>
      <c r="W85" s="75"/>
      <c r="X85" s="75"/>
      <c r="Y85" s="75"/>
      <c r="Z85" s="75"/>
      <c r="AA85" s="75"/>
    </row>
    <row r="86" spans="1:27" ht="14.25">
      <c r="A86" s="36"/>
      <c r="B86" s="36"/>
      <c r="C86" s="36"/>
      <c r="D86" s="204"/>
      <c r="E86" s="199"/>
      <c r="F86" s="199"/>
      <c r="G86" s="199"/>
      <c r="H86" s="200"/>
      <c r="I86" s="223"/>
      <c r="J86" s="200"/>
      <c r="K86" s="75"/>
      <c r="L86" s="75"/>
      <c r="M86" s="75"/>
      <c r="N86" s="75"/>
      <c r="O86" s="75"/>
      <c r="P86" s="75"/>
      <c r="Q86" s="75"/>
      <c r="R86" s="75"/>
      <c r="S86" s="75"/>
      <c r="T86" s="75"/>
      <c r="U86" s="75"/>
      <c r="V86" s="75"/>
      <c r="W86" s="75"/>
      <c r="X86" s="75"/>
      <c r="Y86" s="75"/>
      <c r="Z86" s="75"/>
      <c r="AA86" s="75"/>
    </row>
    <row r="87" spans="1:27" ht="14.25">
      <c r="A87" s="36"/>
      <c r="B87" s="36"/>
      <c r="C87" s="36"/>
      <c r="D87" s="204"/>
      <c r="E87" s="199"/>
      <c r="F87" s="199"/>
      <c r="G87" s="199"/>
      <c r="H87" s="200"/>
      <c r="I87" s="223"/>
      <c r="J87" s="200"/>
      <c r="K87" s="75"/>
      <c r="L87" s="75"/>
      <c r="M87" s="75"/>
      <c r="N87" s="75"/>
      <c r="O87" s="75"/>
      <c r="P87" s="75"/>
      <c r="Q87" s="75"/>
      <c r="R87" s="75"/>
      <c r="S87" s="75"/>
      <c r="T87" s="75"/>
      <c r="U87" s="75"/>
      <c r="V87" s="75"/>
      <c r="W87" s="75"/>
      <c r="X87" s="75"/>
      <c r="Y87" s="75"/>
      <c r="Z87" s="75"/>
      <c r="AA87" s="75"/>
    </row>
    <row r="88" spans="1:27" ht="14.25">
      <c r="A88" s="36"/>
      <c r="B88" s="36"/>
      <c r="C88" s="36"/>
      <c r="D88" s="204"/>
      <c r="E88" s="199"/>
      <c r="F88" s="199"/>
      <c r="G88" s="199"/>
      <c r="H88" s="200"/>
      <c r="I88" s="223"/>
      <c r="J88" s="200"/>
      <c r="K88" s="75"/>
      <c r="L88" s="75"/>
      <c r="M88" s="75"/>
      <c r="N88" s="75"/>
      <c r="O88" s="75"/>
      <c r="P88" s="75"/>
      <c r="Q88" s="75"/>
      <c r="R88" s="75"/>
      <c r="S88" s="75"/>
      <c r="T88" s="75"/>
      <c r="U88" s="75"/>
      <c r="V88" s="75"/>
      <c r="W88" s="75"/>
      <c r="X88" s="75"/>
      <c r="Y88" s="75"/>
      <c r="Z88" s="75"/>
      <c r="AA88" s="75"/>
    </row>
    <row r="89" spans="1:27" ht="14.25">
      <c r="A89" s="36"/>
      <c r="B89" s="36"/>
      <c r="C89" s="36"/>
      <c r="D89" s="204"/>
      <c r="E89" s="199"/>
      <c r="F89" s="199"/>
      <c r="G89" s="199"/>
      <c r="H89" s="200"/>
      <c r="I89" s="223"/>
      <c r="J89" s="200"/>
      <c r="K89" s="75"/>
      <c r="L89" s="75"/>
      <c r="M89" s="75"/>
      <c r="N89" s="75"/>
      <c r="O89" s="75"/>
      <c r="P89" s="75"/>
      <c r="Q89" s="75"/>
      <c r="R89" s="75"/>
      <c r="S89" s="75"/>
      <c r="T89" s="75"/>
      <c r="U89" s="75"/>
      <c r="V89" s="75"/>
      <c r="W89" s="75"/>
      <c r="X89" s="75"/>
      <c r="Y89" s="75"/>
      <c r="Z89" s="75"/>
      <c r="AA89" s="75"/>
    </row>
    <row r="90" spans="1:27" ht="14.25">
      <c r="A90" s="36"/>
      <c r="B90" s="36"/>
      <c r="C90" s="36"/>
      <c r="D90" s="204"/>
      <c r="E90" s="199"/>
      <c r="F90" s="199"/>
      <c r="G90" s="199"/>
      <c r="H90" s="200"/>
      <c r="I90" s="223"/>
      <c r="J90" s="200"/>
      <c r="K90" s="75"/>
      <c r="L90" s="75"/>
      <c r="M90" s="75"/>
      <c r="N90" s="75"/>
      <c r="O90" s="75"/>
      <c r="P90" s="75"/>
      <c r="Q90" s="75"/>
      <c r="R90" s="75"/>
      <c r="S90" s="75"/>
      <c r="T90" s="75"/>
      <c r="U90" s="75"/>
      <c r="V90" s="75"/>
      <c r="W90" s="75"/>
      <c r="X90" s="75"/>
      <c r="Y90" s="75"/>
      <c r="Z90" s="75"/>
      <c r="AA90" s="75"/>
    </row>
    <row r="91" spans="1:27" ht="14.25">
      <c r="A91" s="36"/>
      <c r="B91" s="36"/>
      <c r="C91" s="36"/>
      <c r="D91" s="204"/>
      <c r="E91" s="199"/>
      <c r="F91" s="199"/>
      <c r="G91" s="199"/>
      <c r="H91" s="200"/>
      <c r="I91" s="223"/>
      <c r="J91" s="200"/>
      <c r="K91" s="75"/>
      <c r="L91" s="75"/>
      <c r="M91" s="75"/>
      <c r="N91" s="75"/>
      <c r="O91" s="75"/>
      <c r="P91" s="75"/>
      <c r="Q91" s="75"/>
      <c r="R91" s="75"/>
      <c r="S91" s="75"/>
      <c r="T91" s="75"/>
      <c r="U91" s="75"/>
      <c r="V91" s="75"/>
      <c r="W91" s="75"/>
      <c r="X91" s="75"/>
      <c r="Y91" s="75"/>
      <c r="Z91" s="75"/>
      <c r="AA91" s="75"/>
    </row>
    <row r="92" spans="1:27" ht="14.25">
      <c r="A92" s="36"/>
      <c r="B92" s="36"/>
      <c r="C92" s="36"/>
      <c r="D92" s="204"/>
      <c r="E92" s="199"/>
      <c r="F92" s="199"/>
      <c r="G92" s="199"/>
      <c r="H92" s="200"/>
      <c r="I92" s="223"/>
      <c r="J92" s="200"/>
      <c r="K92" s="75"/>
      <c r="L92" s="75"/>
      <c r="M92" s="75"/>
      <c r="N92" s="75"/>
      <c r="O92" s="75"/>
      <c r="P92" s="75"/>
      <c r="Q92" s="75"/>
      <c r="R92" s="75"/>
      <c r="S92" s="75"/>
      <c r="T92" s="75"/>
      <c r="U92" s="75"/>
      <c r="V92" s="75"/>
      <c r="W92" s="75"/>
      <c r="X92" s="75"/>
      <c r="Y92" s="75"/>
      <c r="Z92" s="75"/>
      <c r="AA92" s="75"/>
    </row>
    <row r="93" spans="1:27" ht="14.25">
      <c r="A93" s="36"/>
      <c r="B93" s="36"/>
      <c r="C93" s="36"/>
      <c r="D93" s="204"/>
      <c r="E93" s="199"/>
      <c r="F93" s="199"/>
      <c r="G93" s="199"/>
      <c r="H93" s="200"/>
      <c r="I93" s="223"/>
      <c r="J93" s="200"/>
      <c r="K93" s="75"/>
      <c r="L93" s="75"/>
      <c r="M93" s="75"/>
      <c r="N93" s="75"/>
      <c r="O93" s="75"/>
      <c r="P93" s="75"/>
      <c r="Q93" s="75"/>
      <c r="R93" s="75"/>
      <c r="S93" s="75"/>
      <c r="T93" s="75"/>
      <c r="U93" s="75"/>
      <c r="V93" s="75"/>
      <c r="W93" s="75"/>
      <c r="X93" s="75"/>
      <c r="Y93" s="75"/>
      <c r="Z93" s="75"/>
      <c r="AA93" s="75"/>
    </row>
    <row r="94" spans="1:27" ht="14.25">
      <c r="A94" s="36"/>
      <c r="B94" s="36"/>
      <c r="C94" s="36"/>
      <c r="D94" s="204"/>
      <c r="E94" s="199"/>
      <c r="F94" s="199"/>
      <c r="G94" s="199"/>
      <c r="H94" s="200"/>
      <c r="I94" s="223"/>
      <c r="J94" s="200"/>
      <c r="K94" s="75"/>
      <c r="L94" s="75"/>
      <c r="M94" s="75"/>
      <c r="N94" s="75"/>
      <c r="O94" s="75"/>
      <c r="P94" s="75"/>
      <c r="Q94" s="75"/>
      <c r="R94" s="75"/>
      <c r="S94" s="75"/>
      <c r="T94" s="75"/>
      <c r="U94" s="75"/>
      <c r="V94" s="75"/>
      <c r="W94" s="75"/>
      <c r="X94" s="75"/>
      <c r="Y94" s="75"/>
      <c r="Z94" s="75"/>
      <c r="AA94" s="75"/>
    </row>
    <row r="95" spans="1:27" ht="14.25">
      <c r="A95" s="36"/>
      <c r="B95" s="36"/>
      <c r="C95" s="36"/>
      <c r="D95" s="204"/>
      <c r="E95" s="199"/>
      <c r="F95" s="199"/>
      <c r="G95" s="199"/>
      <c r="H95" s="200"/>
      <c r="I95" s="223"/>
      <c r="J95" s="200"/>
      <c r="K95" s="75"/>
      <c r="L95" s="75"/>
      <c r="M95" s="75"/>
      <c r="N95" s="75"/>
      <c r="O95" s="75"/>
      <c r="P95" s="75"/>
      <c r="Q95" s="75"/>
      <c r="R95" s="75"/>
      <c r="S95" s="75"/>
      <c r="T95" s="75"/>
      <c r="U95" s="75"/>
      <c r="V95" s="75"/>
      <c r="W95" s="75"/>
      <c r="X95" s="75"/>
      <c r="Y95" s="75"/>
      <c r="Z95" s="75"/>
      <c r="AA95" s="75"/>
    </row>
    <row r="96" spans="1:27" ht="14.25">
      <c r="A96" s="36"/>
      <c r="B96" s="36"/>
      <c r="C96" s="36"/>
      <c r="D96" s="204"/>
      <c r="E96" s="199"/>
      <c r="F96" s="199"/>
      <c r="G96" s="199"/>
      <c r="H96" s="200"/>
      <c r="I96" s="223"/>
      <c r="J96" s="200"/>
      <c r="K96" s="75"/>
      <c r="L96" s="75"/>
      <c r="M96" s="75"/>
      <c r="N96" s="75"/>
      <c r="O96" s="75"/>
      <c r="P96" s="75"/>
      <c r="Q96" s="75"/>
      <c r="R96" s="75"/>
      <c r="S96" s="75"/>
      <c r="T96" s="75"/>
      <c r="U96" s="75"/>
      <c r="V96" s="75"/>
      <c r="W96" s="75"/>
      <c r="X96" s="75"/>
      <c r="Y96" s="75"/>
      <c r="Z96" s="75"/>
      <c r="AA96" s="75"/>
    </row>
    <row r="97" spans="1:27" ht="14.25">
      <c r="A97" s="36"/>
      <c r="B97" s="36"/>
      <c r="C97" s="36"/>
      <c r="D97" s="204"/>
      <c r="E97" s="199"/>
      <c r="F97" s="199"/>
      <c r="G97" s="199"/>
      <c r="H97" s="200"/>
      <c r="I97" s="223"/>
      <c r="J97" s="200"/>
      <c r="K97" s="75"/>
      <c r="L97" s="75"/>
      <c r="M97" s="75"/>
      <c r="N97" s="75"/>
      <c r="O97" s="75"/>
      <c r="P97" s="75"/>
      <c r="Q97" s="75"/>
      <c r="R97" s="75"/>
      <c r="S97" s="75"/>
      <c r="T97" s="75"/>
      <c r="U97" s="75"/>
      <c r="V97" s="75"/>
      <c r="W97" s="75"/>
      <c r="X97" s="75"/>
      <c r="Y97" s="75"/>
      <c r="Z97" s="75"/>
      <c r="AA97" s="75"/>
    </row>
    <row r="98" spans="1:27" ht="14.25">
      <c r="A98" s="36"/>
      <c r="B98" s="36"/>
      <c r="C98" s="36"/>
      <c r="D98" s="204"/>
      <c r="E98" s="199"/>
      <c r="F98" s="199"/>
      <c r="G98" s="199"/>
      <c r="H98" s="200"/>
      <c r="I98" s="223"/>
      <c r="J98" s="200"/>
      <c r="K98" s="75"/>
      <c r="L98" s="75"/>
      <c r="M98" s="75"/>
      <c r="N98" s="75"/>
      <c r="O98" s="75"/>
      <c r="P98" s="75"/>
      <c r="Q98" s="75"/>
      <c r="R98" s="75"/>
      <c r="S98" s="75"/>
      <c r="T98" s="75"/>
      <c r="U98" s="75"/>
      <c r="V98" s="75"/>
      <c r="W98" s="75"/>
      <c r="X98" s="75"/>
      <c r="Y98" s="75"/>
      <c r="Z98" s="75"/>
      <c r="AA98" s="75"/>
    </row>
    <row r="99" spans="1:27" ht="14.25">
      <c r="A99" s="36"/>
      <c r="B99" s="36"/>
      <c r="C99" s="36"/>
      <c r="D99" s="204"/>
      <c r="E99" s="199"/>
      <c r="F99" s="199"/>
      <c r="G99" s="199"/>
      <c r="H99" s="200"/>
      <c r="I99" s="223"/>
      <c r="J99" s="200"/>
      <c r="K99" s="75"/>
      <c r="L99" s="75"/>
      <c r="M99" s="75"/>
      <c r="N99" s="75"/>
      <c r="O99" s="75"/>
      <c r="P99" s="75"/>
      <c r="Q99" s="75"/>
      <c r="R99" s="75"/>
      <c r="S99" s="75"/>
      <c r="T99" s="75"/>
      <c r="U99" s="75"/>
      <c r="V99" s="75"/>
      <c r="W99" s="75"/>
      <c r="X99" s="75"/>
      <c r="Y99" s="75"/>
      <c r="Z99" s="75"/>
      <c r="AA99" s="75"/>
    </row>
    <row r="100" spans="1:27" ht="14.25">
      <c r="A100" s="36"/>
      <c r="B100" s="36"/>
      <c r="C100" s="36"/>
      <c r="D100" s="204"/>
      <c r="E100" s="199"/>
      <c r="F100" s="199"/>
      <c r="G100" s="199"/>
      <c r="H100" s="200"/>
      <c r="I100" s="223"/>
      <c r="J100" s="200"/>
      <c r="K100" s="75"/>
      <c r="L100" s="75"/>
      <c r="M100" s="75"/>
      <c r="N100" s="75"/>
      <c r="O100" s="75"/>
      <c r="P100" s="75"/>
      <c r="Q100" s="75"/>
      <c r="R100" s="75"/>
      <c r="S100" s="75"/>
      <c r="T100" s="75"/>
      <c r="U100" s="75"/>
      <c r="V100" s="75"/>
      <c r="W100" s="75"/>
      <c r="X100" s="75"/>
      <c r="Y100" s="75"/>
      <c r="Z100" s="75"/>
      <c r="AA100" s="75"/>
    </row>
    <row r="101" spans="1:27" ht="14.25">
      <c r="A101" s="36"/>
      <c r="B101" s="36"/>
      <c r="C101" s="36"/>
      <c r="D101" s="204"/>
      <c r="E101" s="199"/>
      <c r="F101" s="199"/>
      <c r="G101" s="199"/>
      <c r="H101" s="200"/>
      <c r="I101" s="223"/>
      <c r="J101" s="200"/>
      <c r="K101" s="75"/>
      <c r="L101" s="75"/>
      <c r="M101" s="75"/>
      <c r="N101" s="75"/>
      <c r="O101" s="75"/>
      <c r="P101" s="75"/>
      <c r="Q101" s="75"/>
      <c r="R101" s="75"/>
      <c r="S101" s="75"/>
      <c r="T101" s="75"/>
      <c r="U101" s="75"/>
      <c r="V101" s="75"/>
      <c r="W101" s="75"/>
      <c r="X101" s="75"/>
      <c r="Y101" s="75"/>
      <c r="Z101" s="75"/>
      <c r="AA101" s="75"/>
    </row>
    <row r="102" spans="1:27" ht="14.25">
      <c r="A102" s="36"/>
      <c r="B102" s="36"/>
      <c r="C102" s="36"/>
      <c r="D102" s="204"/>
      <c r="E102" s="199"/>
      <c r="F102" s="199"/>
      <c r="G102" s="199"/>
      <c r="H102" s="200"/>
      <c r="I102" s="223"/>
      <c r="J102" s="200"/>
      <c r="K102" s="75"/>
      <c r="L102" s="75"/>
      <c r="M102" s="75"/>
      <c r="N102" s="75"/>
      <c r="O102" s="75"/>
      <c r="P102" s="75"/>
      <c r="Q102" s="75"/>
      <c r="R102" s="75"/>
      <c r="S102" s="75"/>
      <c r="T102" s="75"/>
      <c r="U102" s="75"/>
      <c r="V102" s="75"/>
      <c r="W102" s="75"/>
      <c r="X102" s="75"/>
      <c r="Y102" s="75"/>
      <c r="Z102" s="75"/>
      <c r="AA102" s="75"/>
    </row>
    <row r="103" spans="1:27" ht="14.25">
      <c r="A103" s="36"/>
      <c r="B103" s="36"/>
      <c r="C103" s="36"/>
      <c r="D103" s="204"/>
      <c r="E103" s="199"/>
      <c r="F103" s="199"/>
      <c r="G103" s="199"/>
      <c r="H103" s="200"/>
      <c r="I103" s="223"/>
      <c r="J103" s="200"/>
      <c r="K103" s="75"/>
      <c r="L103" s="75"/>
      <c r="M103" s="75"/>
      <c r="N103" s="75"/>
      <c r="O103" s="75"/>
      <c r="P103" s="75"/>
      <c r="Q103" s="75"/>
      <c r="R103" s="75"/>
      <c r="S103" s="75"/>
      <c r="T103" s="75"/>
      <c r="U103" s="75"/>
      <c r="V103" s="75"/>
      <c r="W103" s="75"/>
      <c r="X103" s="75"/>
      <c r="Y103" s="75"/>
      <c r="Z103" s="75"/>
      <c r="AA103" s="75"/>
    </row>
    <row r="104" spans="1:27" ht="14.25">
      <c r="A104" s="36"/>
      <c r="B104" s="36"/>
      <c r="C104" s="36"/>
      <c r="D104" s="204"/>
      <c r="E104" s="199"/>
      <c r="F104" s="199"/>
      <c r="G104" s="199"/>
      <c r="H104" s="200"/>
      <c r="I104" s="223"/>
      <c r="J104" s="200"/>
      <c r="K104" s="75"/>
      <c r="L104" s="75"/>
      <c r="M104" s="75"/>
      <c r="N104" s="75"/>
      <c r="O104" s="75"/>
      <c r="P104" s="75"/>
      <c r="Q104" s="75"/>
      <c r="R104" s="75"/>
      <c r="S104" s="75"/>
      <c r="T104" s="75"/>
      <c r="U104" s="75"/>
      <c r="V104" s="75"/>
      <c r="W104" s="75"/>
      <c r="X104" s="75"/>
      <c r="Y104" s="75"/>
      <c r="Z104" s="75"/>
      <c r="AA104" s="75"/>
    </row>
    <row r="105" spans="1:27" ht="14.25">
      <c r="A105" s="36"/>
      <c r="B105" s="36"/>
      <c r="C105" s="36"/>
      <c r="D105" s="204"/>
      <c r="E105" s="199"/>
      <c r="F105" s="199"/>
      <c r="G105" s="199"/>
      <c r="H105" s="200"/>
      <c r="I105" s="223"/>
      <c r="J105" s="200"/>
      <c r="K105" s="75"/>
      <c r="L105" s="75"/>
      <c r="M105" s="75"/>
      <c r="N105" s="75"/>
      <c r="O105" s="75"/>
      <c r="P105" s="75"/>
      <c r="Q105" s="75"/>
      <c r="R105" s="75"/>
      <c r="S105" s="75"/>
      <c r="T105" s="75"/>
      <c r="U105" s="75"/>
      <c r="V105" s="75"/>
      <c r="W105" s="75"/>
      <c r="X105" s="75"/>
      <c r="Y105" s="75"/>
      <c r="Z105" s="75"/>
      <c r="AA105" s="75"/>
    </row>
    <row r="106" spans="1:27" ht="14.25">
      <c r="A106" s="36"/>
      <c r="B106" s="36"/>
      <c r="C106" s="36"/>
      <c r="D106" s="204"/>
      <c r="E106" s="199"/>
      <c r="F106" s="199"/>
      <c r="G106" s="199"/>
      <c r="H106" s="200"/>
      <c r="I106" s="223"/>
      <c r="J106" s="200"/>
      <c r="K106" s="75"/>
      <c r="L106" s="75"/>
      <c r="M106" s="75"/>
      <c r="N106" s="75"/>
      <c r="O106" s="75"/>
      <c r="P106" s="75"/>
      <c r="Q106" s="75"/>
      <c r="R106" s="75"/>
      <c r="S106" s="75"/>
      <c r="T106" s="75"/>
      <c r="U106" s="75"/>
      <c r="V106" s="75"/>
      <c r="W106" s="75"/>
      <c r="X106" s="75"/>
      <c r="Y106" s="75"/>
      <c r="Z106" s="75"/>
      <c r="AA106" s="75"/>
    </row>
    <row r="107" spans="1:27" ht="14.25">
      <c r="A107" s="36"/>
      <c r="B107" s="36"/>
      <c r="C107" s="36"/>
      <c r="D107" s="204"/>
      <c r="E107" s="199"/>
      <c r="F107" s="199"/>
      <c r="G107" s="199"/>
      <c r="H107" s="200"/>
      <c r="I107" s="223"/>
      <c r="J107" s="200"/>
      <c r="K107" s="75"/>
      <c r="L107" s="75"/>
      <c r="M107" s="75"/>
      <c r="N107" s="75"/>
      <c r="O107" s="75"/>
      <c r="P107" s="75"/>
      <c r="Q107" s="75"/>
      <c r="R107" s="75"/>
      <c r="S107" s="75"/>
      <c r="T107" s="75"/>
      <c r="U107" s="75"/>
      <c r="V107" s="75"/>
      <c r="W107" s="75"/>
      <c r="X107" s="75"/>
      <c r="Y107" s="75"/>
      <c r="Z107" s="75"/>
      <c r="AA107" s="75"/>
    </row>
    <row r="108" spans="1:27" ht="14.25">
      <c r="A108" s="36"/>
      <c r="B108" s="36"/>
      <c r="C108" s="36"/>
      <c r="D108" s="204"/>
      <c r="E108" s="199"/>
      <c r="F108" s="199"/>
      <c r="G108" s="199"/>
      <c r="H108" s="200"/>
      <c r="I108" s="223"/>
      <c r="J108" s="200"/>
      <c r="K108" s="75"/>
      <c r="L108" s="75"/>
      <c r="M108" s="75"/>
      <c r="N108" s="75"/>
      <c r="O108" s="75"/>
      <c r="P108" s="75"/>
      <c r="Q108" s="75"/>
      <c r="R108" s="75"/>
      <c r="S108" s="75"/>
      <c r="T108" s="75"/>
      <c r="U108" s="75"/>
      <c r="V108" s="75"/>
      <c r="W108" s="75"/>
      <c r="X108" s="75"/>
      <c r="Y108" s="75"/>
      <c r="Z108" s="75"/>
      <c r="AA108" s="75"/>
    </row>
    <row r="109" spans="1:27" ht="14.25">
      <c r="A109" s="49"/>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row>
    <row r="110" spans="1:27" ht="14.25">
      <c r="A110" s="49"/>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row>
    <row r="111" spans="1:27" ht="14.25">
      <c r="A111" s="49"/>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row>
    <row r="112" spans="1:27" ht="14.25">
      <c r="A112" s="49"/>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row>
    <row r="113" spans="1:27" ht="14.25">
      <c r="A113" s="49"/>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row>
    <row r="114" spans="1:27" ht="14.25">
      <c r="A114" s="49"/>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row>
    <row r="115" spans="1:27" ht="14.25">
      <c r="A115" s="49"/>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row>
    <row r="116" spans="1:27" ht="14.25">
      <c r="A116" s="49"/>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row>
    <row r="117" spans="1:27" ht="14.25">
      <c r="A117" s="49"/>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row>
    <row r="118" spans="1:27" ht="14.25">
      <c r="A118" s="49"/>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row>
    <row r="119" spans="1:27" ht="14.25">
      <c r="A119" s="49"/>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row>
    <row r="120" spans="1:27" ht="14.25">
      <c r="A120" s="49"/>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row>
    <row r="121" spans="1:27" ht="14.25">
      <c r="A121" s="49"/>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row>
    <row r="122" spans="1:27" ht="14.25">
      <c r="A122" s="49"/>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row>
    <row r="123" spans="1:27" ht="14.25">
      <c r="A123" s="49"/>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row>
    <row r="124" spans="1:27" ht="14.25">
      <c r="A124" s="49"/>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row>
    <row r="125" spans="1:27" ht="14.25">
      <c r="A125" s="49"/>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row>
    <row r="126" spans="1:27" ht="14.25">
      <c r="A126" s="49"/>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row>
    <row r="127" spans="1:27" ht="14.25">
      <c r="A127" s="49"/>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row>
    <row r="128" spans="1:27" ht="14.25">
      <c r="A128" s="49"/>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row>
    <row r="129" spans="1:27" ht="14.25">
      <c r="A129" s="49"/>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row>
    <row r="130" spans="1:27" ht="14.25">
      <c r="A130" s="49"/>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row>
    <row r="131" spans="1:27" ht="14.25">
      <c r="A131" s="49"/>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row>
    <row r="132" spans="1:27" ht="14.25">
      <c r="A132" s="49"/>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row>
    <row r="133" spans="1:27" ht="14.25">
      <c r="A133" s="49"/>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row>
    <row r="134" spans="1:27" ht="14.25">
      <c r="A134" s="49"/>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row>
    <row r="135" spans="1:27" ht="14.25">
      <c r="A135" s="49"/>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row>
    <row r="136" spans="1:27" ht="14.25">
      <c r="A136" s="49"/>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row>
    <row r="137" spans="1:27" ht="14.25">
      <c r="A137" s="49"/>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row>
    <row r="138" spans="1:27" ht="14.25">
      <c r="A138" s="49"/>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row>
    <row r="139" spans="1:27" ht="14.25">
      <c r="A139" s="49"/>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row>
    <row r="140" spans="1:27" ht="14.25">
      <c r="A140" s="49"/>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row>
    <row r="141" spans="1:27" ht="14.25">
      <c r="A141" s="49"/>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row>
    <row r="142" spans="1:27" ht="14.25">
      <c r="A142" s="49"/>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row>
    <row r="143" spans="1:27" ht="14.25">
      <c r="A143" s="49"/>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row>
    <row r="144" spans="1:27" ht="14.25">
      <c r="A144" s="49"/>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row>
    <row r="145" spans="1:27" ht="14.25">
      <c r="A145" s="49"/>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row>
    <row r="146" spans="1:27" ht="14.25">
      <c r="A146" s="49"/>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row>
    <row r="147" spans="1:27" ht="14.25">
      <c r="A147" s="49"/>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row>
    <row r="148" spans="1:27" ht="14.25">
      <c r="A148" s="49"/>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row>
    <row r="149" spans="1:27" ht="14.25">
      <c r="A149" s="49"/>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row>
    <row r="150" spans="1:27" ht="14.25">
      <c r="A150" s="49"/>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row>
    <row r="151" spans="1:27" ht="14.25">
      <c r="A151" s="49"/>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row>
    <row r="152" spans="1:27" ht="14.25">
      <c r="A152" s="49"/>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row>
    <row r="153" spans="1:27" ht="14.25">
      <c r="A153" s="49"/>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row>
    <row r="154" spans="1:27" ht="14.25">
      <c r="A154" s="49"/>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row>
    <row r="155" spans="1:27" ht="14.25">
      <c r="A155" s="49"/>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row>
    <row r="156" spans="1:27" ht="14.25">
      <c r="A156" s="49"/>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row>
    <row r="157" spans="1:27" ht="14.25">
      <c r="A157" s="49"/>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row>
    <row r="158" spans="1:27" ht="14.25">
      <c r="A158" s="49"/>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row>
    <row r="159" spans="1:27" ht="14.25">
      <c r="A159" s="49"/>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row>
    <row r="160" spans="1:27" ht="14.25">
      <c r="A160" s="49"/>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row>
    <row r="161" spans="1:27" ht="14.25">
      <c r="A161" s="49"/>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row>
    <row r="162" spans="1:27" ht="14.25">
      <c r="A162" s="49"/>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row>
    <row r="163" spans="1:27" ht="14.25">
      <c r="A163" s="49"/>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row>
    <row r="164" spans="1:27" ht="14.25">
      <c r="A164" s="49"/>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row>
    <row r="165" spans="1:27" ht="14.25">
      <c r="A165" s="49"/>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row>
    <row r="166" spans="1:27" ht="14.25">
      <c r="A166" s="49"/>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row>
    <row r="167" spans="1:27" ht="14.25">
      <c r="A167" s="49"/>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row>
    <row r="168" spans="1:27" ht="14.25">
      <c r="A168" s="49"/>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row>
    <row r="169" spans="1:27" ht="14.25">
      <c r="A169" s="49"/>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row>
    <row r="170" spans="1:27" ht="14.25">
      <c r="A170" s="49"/>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row>
    <row r="171" spans="1:27" ht="14.25">
      <c r="A171" s="49"/>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row>
    <row r="172" spans="1:27" ht="14.25">
      <c r="A172" s="49"/>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row>
    <row r="173" spans="1:27" ht="14.25">
      <c r="A173" s="49"/>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row>
    <row r="174" spans="1:27" ht="14.25">
      <c r="A174" s="49"/>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row>
    <row r="175" spans="1:27" ht="14.25">
      <c r="A175" s="49"/>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row>
    <row r="176" spans="1:27" ht="14.25">
      <c r="A176" s="49"/>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row>
    <row r="177" spans="1:27" ht="14.25">
      <c r="A177" s="49"/>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row>
    <row r="178" spans="1:27" ht="14.25">
      <c r="A178" s="49"/>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row>
    <row r="179" spans="1:27" ht="14.25">
      <c r="A179" s="49"/>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row>
    <row r="180" spans="1:27" ht="14.25">
      <c r="A180" s="49"/>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row>
    <row r="181" spans="1:27" ht="14.25">
      <c r="A181" s="49"/>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row>
    <row r="182" spans="1:27" ht="14.25">
      <c r="A182" s="49"/>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row>
    <row r="183" spans="1:27" ht="14.25">
      <c r="A183" s="49"/>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row>
    <row r="184" spans="1:27" ht="14.25">
      <c r="A184" s="49"/>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row>
    <row r="185" spans="1:27" ht="14.25">
      <c r="A185" s="49"/>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row>
    <row r="186" spans="1:27" ht="14.25">
      <c r="A186" s="49"/>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row>
    <row r="187" spans="1:27" ht="14.25">
      <c r="A187" s="49"/>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row>
    <row r="188" spans="1:27" ht="14.25">
      <c r="A188" s="49"/>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row>
    <row r="189" spans="1:27" ht="14.25">
      <c r="A189" s="49"/>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row>
    <row r="190" spans="1:27" ht="14.25">
      <c r="A190" s="49"/>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row>
    <row r="191" spans="1:27" ht="14.25">
      <c r="A191" s="49"/>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row>
    <row r="192" spans="1:27" ht="14.25">
      <c r="A192" s="49"/>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row>
    <row r="193" spans="1:27" ht="14.25">
      <c r="A193" s="49"/>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row>
    <row r="194" spans="1:27" ht="14.25">
      <c r="A194" s="49"/>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row>
    <row r="195" spans="1:27" ht="14.25">
      <c r="A195" s="49"/>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row>
    <row r="196" spans="1:27" ht="14.25">
      <c r="A196" s="49"/>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row>
    <row r="197" spans="1:27" ht="14.25">
      <c r="A197" s="49"/>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row>
    <row r="198" spans="1:27" ht="14.25">
      <c r="A198" s="49"/>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row>
    <row r="199" spans="1:27" ht="14.25">
      <c r="A199" s="49"/>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row>
    <row r="200" spans="1:27" ht="14.25">
      <c r="A200" s="49"/>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row>
    <row r="201" spans="1:27" ht="14.25">
      <c r="A201" s="49"/>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row>
    <row r="202" spans="1:27" ht="14.25">
      <c r="A202" s="49"/>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row>
    <row r="203" spans="1:27" ht="14.25">
      <c r="A203" s="49"/>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row>
    <row r="204" spans="1:27" ht="14.25">
      <c r="A204" s="49"/>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row>
    <row r="205" spans="1:27" ht="14.25">
      <c r="A205" s="49"/>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row>
    <row r="206" spans="1:27" ht="14.25">
      <c r="A206" s="49"/>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row>
    <row r="207" spans="1:27" ht="14.25">
      <c r="A207" s="49"/>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row>
    <row r="208" spans="1:27" ht="14.25">
      <c r="A208" s="49"/>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row>
    <row r="209" spans="1:27" ht="14.25">
      <c r="A209" s="49"/>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row>
    <row r="210" spans="1:27" ht="14.25">
      <c r="A210" s="49"/>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row>
    <row r="211" spans="1:27" ht="14.25">
      <c r="A211" s="49"/>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row>
    <row r="212" spans="1:27" ht="14.25">
      <c r="A212" s="49"/>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row>
    <row r="213" spans="1:27" ht="14.25">
      <c r="A213" s="49"/>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row>
    <row r="214" spans="1:27" ht="14.25">
      <c r="A214" s="49"/>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row>
    <row r="215" spans="1:27" ht="14.25">
      <c r="A215" s="49"/>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row>
    <row r="216" spans="1:27" ht="14.25">
      <c r="A216" s="49"/>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row>
    <row r="217" spans="1:27" ht="14.25">
      <c r="A217" s="49"/>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row>
    <row r="218" spans="1:27" ht="14.25">
      <c r="A218" s="49"/>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row>
    <row r="219" spans="1:27" ht="14.25">
      <c r="A219" s="49"/>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row>
    <row r="220" spans="1:27" ht="14.25">
      <c r="A220" s="49"/>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row>
    <row r="221" spans="1:27" ht="14.25">
      <c r="A221" s="49"/>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row>
    <row r="222" spans="1:27" ht="14.25">
      <c r="A222" s="49"/>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row>
    <row r="223" spans="1:27" ht="14.25">
      <c r="A223" s="49"/>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row>
    <row r="224" spans="1:27" ht="14.25">
      <c r="A224" s="49"/>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row>
    <row r="225" spans="1:27" ht="14.25">
      <c r="A225" s="49"/>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row>
    <row r="226" spans="1:27" ht="14.25">
      <c r="A226" s="49"/>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row>
    <row r="227" spans="1:27" ht="14.25">
      <c r="A227" s="49"/>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row>
    <row r="228" spans="1:27" ht="14.25">
      <c r="A228" s="49"/>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row>
    <row r="229" spans="1:27" ht="14.25">
      <c r="A229" s="49"/>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row>
    <row r="230" spans="1:27" ht="14.25">
      <c r="A230" s="49"/>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row>
    <row r="231" spans="1:27" ht="14.25">
      <c r="A231" s="49"/>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row>
    <row r="232" spans="1:27" ht="14.25">
      <c r="A232" s="49"/>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row>
    <row r="233" spans="1:27" ht="14.25">
      <c r="A233" s="49"/>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row>
    <row r="234" spans="1:27" ht="14.25">
      <c r="A234" s="49"/>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row>
    <row r="235" spans="1:27" ht="14.25">
      <c r="A235" s="49"/>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row>
    <row r="236" spans="1:27" ht="14.25">
      <c r="A236" s="49"/>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row>
    <row r="237" spans="1:27" ht="14.25">
      <c r="A237" s="49"/>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row>
    <row r="238" spans="1:27" ht="14.25">
      <c r="A238" s="49"/>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row>
    <row r="239" spans="1:27" ht="14.25">
      <c r="A239" s="49"/>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row>
    <row r="240" spans="1:27" ht="14.25">
      <c r="A240" s="49"/>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row>
    <row r="241" spans="1:27" ht="14.25">
      <c r="A241" s="49"/>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row>
    <row r="242" spans="1:27" ht="14.25">
      <c r="A242" s="49"/>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row>
    <row r="243" spans="1:27" ht="14.25">
      <c r="A243" s="49"/>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row>
    <row r="244" spans="1:27" ht="14.25">
      <c r="A244" s="49"/>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row>
    <row r="245" spans="1:27" ht="14.25">
      <c r="A245" s="49"/>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row>
    <row r="246" spans="1:27" ht="14.25">
      <c r="A246" s="49"/>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row>
    <row r="247" spans="1:27" ht="14.25">
      <c r="A247" s="49"/>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row>
    <row r="248" spans="1:27" ht="14.25">
      <c r="A248" s="49"/>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row>
    <row r="249" spans="1:27" ht="14.25">
      <c r="A249" s="49"/>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row>
    <row r="250" spans="1:27" ht="14.25">
      <c r="A250" s="49"/>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row>
    <row r="251" spans="1:27" ht="14.25">
      <c r="A251" s="49"/>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row>
    <row r="252" spans="1:27" ht="14.25">
      <c r="A252" s="49"/>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row>
    <row r="253" spans="1:27" ht="14.25">
      <c r="A253" s="49"/>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row>
    <row r="254" spans="1:27" ht="14.25">
      <c r="A254" s="49"/>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row>
    <row r="255" spans="1:27" ht="14.25">
      <c r="A255" s="49"/>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row>
    <row r="256" spans="1:27" ht="14.25">
      <c r="A256" s="49"/>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row>
    <row r="257" spans="1:27" ht="14.25">
      <c r="A257" s="49"/>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row>
    <row r="258" spans="1:27" ht="14.25">
      <c r="A258" s="49"/>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row>
    <row r="259" spans="1:27" ht="14.25">
      <c r="A259" s="49"/>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row>
    <row r="260" spans="1:27" ht="14.25">
      <c r="A260" s="49"/>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row>
    <row r="261" spans="1:27" ht="14.25">
      <c r="A261" s="49"/>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row>
    <row r="262" spans="1:27" ht="14.25">
      <c r="A262" s="49"/>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row>
    <row r="263" spans="1:27" ht="14.25">
      <c r="A263" s="49"/>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row>
    <row r="264" spans="1:27" ht="14.25">
      <c r="A264" s="49"/>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row>
    <row r="265" spans="1:27" ht="14.25">
      <c r="A265" s="49"/>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row>
    <row r="266" spans="1:27" ht="14.25">
      <c r="A266" s="49"/>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row>
    <row r="267" spans="1:27" ht="14.25">
      <c r="A267" s="49"/>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row>
    <row r="268" spans="1:27" ht="14.25">
      <c r="A268" s="49"/>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row>
    <row r="269" spans="1:27" ht="14.25">
      <c r="A269" s="49"/>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row>
    <row r="270" spans="1:27" ht="14.25">
      <c r="A270" s="49"/>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row>
    <row r="271" spans="1:27" ht="14.25">
      <c r="A271" s="49"/>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row>
    <row r="272" spans="1:27" ht="14.25">
      <c r="A272" s="49"/>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row>
    <row r="273" spans="1:27" ht="14.25">
      <c r="A273" s="49"/>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row>
    <row r="274" spans="1:27" ht="14.25">
      <c r="A274" s="49"/>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row>
    <row r="275" spans="1:27" ht="14.25">
      <c r="A275" s="49"/>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row>
    <row r="276" spans="1:27" ht="14.25">
      <c r="A276" s="49"/>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row>
    <row r="277" spans="1:27" ht="14.25">
      <c r="A277" s="49"/>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row>
    <row r="278" spans="1:27" ht="14.25">
      <c r="A278" s="49"/>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row>
    <row r="279" spans="1:27" ht="14.25">
      <c r="A279" s="49"/>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row>
    <row r="280" spans="1:27" ht="14.25">
      <c r="A280" s="49"/>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row>
    <row r="281" spans="1:27" ht="14.25">
      <c r="A281" s="49"/>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row>
    <row r="282" spans="1:27" ht="14.25">
      <c r="A282" s="49"/>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row>
    <row r="283" spans="1:27" ht="14.25">
      <c r="A283" s="49"/>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row>
    <row r="284" spans="1:27" ht="14.25">
      <c r="A284" s="49"/>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row>
    <row r="285" spans="1:27" ht="14.25">
      <c r="A285" s="49"/>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row>
    <row r="286" spans="1:27" ht="14.25">
      <c r="A286" s="49"/>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row>
    <row r="287" spans="1:27" ht="14.25">
      <c r="A287" s="49"/>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row>
    <row r="288" spans="1:27" ht="14.25">
      <c r="A288" s="49"/>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row>
    <row r="289" spans="1:27" ht="14.25">
      <c r="A289" s="49"/>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row>
    <row r="290" spans="1:27" ht="14.25">
      <c r="A290" s="49"/>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row>
    <row r="291" spans="1:27" ht="14.25">
      <c r="A291" s="49"/>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row>
    <row r="292" spans="1:27" ht="14.25">
      <c r="A292" s="49"/>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row>
    <row r="293" spans="1:27" ht="14.25">
      <c r="A293" s="49"/>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row>
    <row r="294" spans="1:27" ht="14.25">
      <c r="A294" s="49"/>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row>
    <row r="295" spans="1:27" ht="14.25">
      <c r="A295" s="49"/>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row>
    <row r="296" spans="1:27" ht="14.25">
      <c r="A296" s="49"/>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row>
    <row r="297" spans="1:27" ht="14.25">
      <c r="A297" s="49"/>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row>
    <row r="298" spans="1:27" ht="14.25">
      <c r="A298" s="49"/>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row>
    <row r="299" spans="1:27" ht="14.25">
      <c r="A299" s="49"/>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row>
    <row r="300" spans="1:27" ht="14.25">
      <c r="A300" s="49"/>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row>
    <row r="301" spans="1:27" ht="14.25">
      <c r="A301" s="49"/>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row>
    <row r="302" spans="1:27" ht="14.25">
      <c r="A302" s="49"/>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row>
    <row r="303" spans="1:27" ht="14.25">
      <c r="A303" s="49"/>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row>
    <row r="304" spans="1:27" ht="14.25">
      <c r="A304" s="49"/>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row>
    <row r="305" spans="1:27" ht="14.25">
      <c r="A305" s="49"/>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row>
    <row r="306" spans="1:27" ht="14.25">
      <c r="A306" s="49"/>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row>
    <row r="307" spans="1:27" ht="14.25">
      <c r="A307" s="49"/>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row>
    <row r="308" spans="1:27" ht="14.25">
      <c r="A308" s="49"/>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row>
    <row r="309" spans="1:27" ht="14.25">
      <c r="A309" s="49"/>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row>
    <row r="310" spans="1:27" ht="14.25">
      <c r="A310" s="49"/>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row>
    <row r="311" spans="1:27" ht="14.25">
      <c r="A311" s="49"/>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row>
    <row r="312" spans="1:27" ht="14.25">
      <c r="A312" s="49"/>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row>
    <row r="313" spans="1:27" ht="14.25">
      <c r="A313" s="49"/>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row>
    <row r="314" spans="1:27" ht="14.25">
      <c r="A314" s="49"/>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row>
    <row r="315" spans="1:27" ht="14.25">
      <c r="A315" s="49"/>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row>
    <row r="316" spans="1:27" ht="14.25">
      <c r="A316" s="49"/>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row>
    <row r="317" spans="1:27" ht="14.25">
      <c r="A317" s="49"/>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row>
    <row r="318" spans="1:27" ht="14.25">
      <c r="A318" s="49"/>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row>
    <row r="319" spans="1:27" ht="14.25">
      <c r="A319" s="49"/>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row>
    <row r="320" spans="1:27" ht="14.25">
      <c r="A320" s="49"/>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row>
    <row r="321" spans="1:27" ht="14.25">
      <c r="A321" s="49"/>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row>
    <row r="322" spans="1:27" ht="14.25">
      <c r="A322" s="49"/>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row>
    <row r="323" spans="1:27" ht="14.25">
      <c r="A323" s="49"/>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row>
    <row r="324" spans="1:27" ht="14.25">
      <c r="A324" s="49"/>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row>
    <row r="325" spans="1:27" ht="14.25">
      <c r="A325" s="49"/>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row>
    <row r="326" spans="1:27" ht="14.25">
      <c r="A326" s="49"/>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row>
    <row r="327" spans="1:27" ht="14.25">
      <c r="A327" s="49"/>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row>
    <row r="328" spans="1:27" ht="14.25">
      <c r="A328" s="49"/>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row>
    <row r="329" spans="1:27" ht="14.25">
      <c r="A329" s="49"/>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row>
    <row r="330" spans="1:27" ht="14.25">
      <c r="A330" s="49"/>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row>
    <row r="331" spans="1:27" ht="14.25">
      <c r="A331" s="49"/>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row>
    <row r="332" spans="1:27" ht="14.25">
      <c r="A332" s="49"/>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row>
    <row r="333" spans="1:27" ht="14.25">
      <c r="A333" s="49"/>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row>
    <row r="334" spans="1:27" ht="14.25">
      <c r="A334" s="49"/>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row>
    <row r="335" spans="1:27" ht="14.25">
      <c r="A335" s="49"/>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row>
    <row r="336" spans="1:27" ht="14.25">
      <c r="A336" s="49"/>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row>
    <row r="337" spans="1:27" ht="14.25">
      <c r="A337" s="49"/>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row>
    <row r="338" spans="1:27" ht="14.25">
      <c r="A338" s="49"/>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row>
    <row r="339" spans="1:27" ht="14.25">
      <c r="A339" s="49"/>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row>
    <row r="340" spans="1:27" ht="14.25">
      <c r="A340" s="49"/>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row>
    <row r="341" spans="1:27" ht="14.25">
      <c r="A341" s="49"/>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row>
    <row r="342" spans="1:27" ht="14.25">
      <c r="A342" s="49"/>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row>
    <row r="343" spans="1:27" ht="14.25">
      <c r="A343" s="49"/>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row>
    <row r="344" spans="1:27" ht="14.25">
      <c r="A344" s="49"/>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row>
    <row r="345" spans="1:27" ht="14.25">
      <c r="A345" s="49"/>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row>
    <row r="346" spans="1:27" ht="14.25">
      <c r="A346" s="49"/>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row>
    <row r="347" spans="1:27" ht="14.25">
      <c r="A347" s="49"/>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row>
    <row r="348" spans="1:27" ht="14.25">
      <c r="A348" s="49"/>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row>
    <row r="349" spans="1:27" ht="14.25">
      <c r="A349" s="49"/>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row>
    <row r="350" spans="1:27" ht="14.25">
      <c r="A350" s="49"/>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row>
    <row r="351" spans="1:27" ht="14.25">
      <c r="A351" s="49"/>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row>
    <row r="352" spans="1:27" ht="14.25">
      <c r="A352" s="49"/>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row>
    <row r="353" spans="1:27" ht="14.25">
      <c r="A353" s="49"/>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row>
    <row r="354" spans="1:27" ht="14.25">
      <c r="A354" s="49"/>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row>
    <row r="355" spans="1:27" ht="14.25">
      <c r="A355" s="49"/>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row>
    <row r="356" spans="1:27" ht="14.25">
      <c r="A356" s="49"/>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row>
    <row r="357" spans="1:27" ht="14.25">
      <c r="A357" s="49"/>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row>
    <row r="358" spans="1:27" ht="14.25">
      <c r="A358" s="49"/>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row>
    <row r="359" spans="1:27" ht="14.25">
      <c r="A359" s="49"/>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row>
    <row r="360" spans="1:27" ht="14.25">
      <c r="A360" s="49"/>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row>
    <row r="361" spans="1:27" ht="14.25">
      <c r="A361" s="49"/>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row>
    <row r="362" spans="1:27" ht="14.25">
      <c r="A362" s="49"/>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row>
    <row r="363" spans="1:27" ht="14.25">
      <c r="A363" s="49"/>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row>
    <row r="364" spans="1:27" ht="14.25">
      <c r="A364" s="49"/>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row>
    <row r="365" spans="1:27" ht="14.25">
      <c r="A365" s="49"/>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row>
    <row r="366" spans="1:27" ht="14.25">
      <c r="A366" s="49"/>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row>
    <row r="367" spans="1:27" ht="14.25">
      <c r="A367" s="49"/>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row>
    <row r="368" spans="1:27" ht="14.25">
      <c r="A368" s="49"/>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row>
    <row r="369" spans="1:27" ht="14.25">
      <c r="A369" s="49"/>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row>
    <row r="370" spans="1:27" ht="14.25">
      <c r="A370" s="49"/>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row>
    <row r="371" spans="1:27" ht="14.25">
      <c r="A371" s="49"/>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row>
    <row r="372" spans="1:27" ht="14.25">
      <c r="A372" s="49"/>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row>
    <row r="373" spans="1:27" ht="14.25">
      <c r="A373" s="49"/>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row>
    <row r="374" spans="1:27" ht="14.25">
      <c r="A374" s="49"/>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row>
    <row r="375" spans="1:27" ht="14.25">
      <c r="A375" s="49"/>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row>
    <row r="376" spans="1:27" ht="14.25">
      <c r="A376" s="49"/>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row>
    <row r="377" spans="1:27" ht="14.25">
      <c r="A377" s="49"/>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row>
    <row r="378" spans="1:27" ht="14.25">
      <c r="A378" s="49"/>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row>
    <row r="379" spans="1:27" ht="14.25">
      <c r="A379" s="49"/>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row>
    <row r="380" spans="1:27" ht="14.25">
      <c r="A380" s="49"/>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row>
    <row r="381" spans="1:27" ht="14.25">
      <c r="A381" s="49"/>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row>
    <row r="382" spans="1:27" ht="14.25">
      <c r="A382" s="49"/>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row>
    <row r="383" spans="1:27" ht="14.25">
      <c r="A383" s="49"/>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row>
    <row r="384" spans="1:27" ht="14.25">
      <c r="A384" s="49"/>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row>
    <row r="385" spans="1:27" ht="14.25">
      <c r="A385" s="49"/>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row>
    <row r="386" spans="1:27" ht="14.25">
      <c r="A386" s="49"/>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row>
    <row r="387" spans="1:27" ht="14.25">
      <c r="A387" s="49"/>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row>
    <row r="388" spans="1:27" ht="14.25">
      <c r="A388" s="49"/>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row>
    <row r="389" spans="1:27" ht="14.25">
      <c r="A389" s="49"/>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row>
    <row r="390" spans="1:27" ht="14.25">
      <c r="A390" s="49"/>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row>
    <row r="391" spans="1:27" ht="14.25">
      <c r="A391" s="49"/>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row>
    <row r="392" spans="1:27" ht="14.25">
      <c r="A392" s="49"/>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row>
    <row r="393" spans="1:27" ht="14.25">
      <c r="A393" s="49"/>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row>
    <row r="394" spans="1:27" ht="14.25">
      <c r="A394" s="49"/>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row>
    <row r="395" spans="1:27" ht="14.25">
      <c r="A395" s="49"/>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row>
    <row r="396" spans="1:27" ht="14.25">
      <c r="A396" s="49"/>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row>
    <row r="397" spans="1:27" ht="14.25">
      <c r="A397" s="49"/>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row>
    <row r="398" spans="1:27" ht="14.25">
      <c r="A398" s="49"/>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row>
    <row r="399" spans="1:27" ht="14.25">
      <c r="A399" s="49"/>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row>
    <row r="400" spans="1:27" ht="14.25">
      <c r="A400" s="49"/>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row>
    <row r="401" spans="1:27" ht="14.25">
      <c r="A401" s="49"/>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row>
    <row r="402" spans="1:27" ht="14.25">
      <c r="A402" s="49"/>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row>
    <row r="403" spans="1:27" ht="14.25">
      <c r="A403" s="49"/>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row>
    <row r="404" spans="1:27" ht="14.25">
      <c r="A404" s="49"/>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row>
    <row r="405" spans="1:27" ht="14.25">
      <c r="A405" s="49"/>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row>
    <row r="406" spans="1:27" ht="14.25">
      <c r="A406" s="49"/>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row>
    <row r="407" spans="1:27" ht="14.25">
      <c r="A407" s="49"/>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row>
    <row r="408" spans="1:27" ht="14.25">
      <c r="A408" s="49"/>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row>
    <row r="409" spans="1:27" ht="14.25">
      <c r="A409" s="49"/>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row>
    <row r="410" spans="1:27" ht="14.25">
      <c r="A410" s="49"/>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row>
    <row r="411" spans="1:27" ht="14.25">
      <c r="A411" s="49"/>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row>
    <row r="412" spans="1:27" ht="14.25">
      <c r="A412" s="49"/>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row>
    <row r="413" spans="1:27" ht="14.25">
      <c r="A413" s="49"/>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row>
    <row r="414" spans="1:27" ht="14.25">
      <c r="A414" s="49"/>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row>
    <row r="415" spans="1:27" ht="14.25">
      <c r="A415" s="49"/>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row>
    <row r="416" spans="1:27" ht="14.25">
      <c r="A416" s="49"/>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row>
    <row r="417" spans="1:27" ht="14.25">
      <c r="A417" s="49"/>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row>
    <row r="418" spans="1:27" ht="14.25">
      <c r="A418" s="49"/>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row>
    <row r="419" spans="1:27" ht="14.25">
      <c r="A419" s="49"/>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row>
    <row r="420" spans="1:27" ht="14.25">
      <c r="A420" s="49"/>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row>
    <row r="421" spans="1:27" ht="14.25">
      <c r="A421" s="49"/>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row>
    <row r="422" spans="1:27" ht="14.25">
      <c r="A422" s="49"/>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row>
    <row r="423" spans="1:27" ht="14.25">
      <c r="A423" s="49"/>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row>
    <row r="424" spans="1:27" ht="14.25">
      <c r="A424" s="49"/>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row>
    <row r="425" spans="1:27" ht="14.25">
      <c r="A425" s="49"/>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row>
    <row r="426" spans="1:27" ht="14.25">
      <c r="A426" s="49"/>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row>
    <row r="427" spans="1:27" ht="14.25">
      <c r="A427" s="49"/>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row>
    <row r="428" spans="1:27" ht="14.25">
      <c r="A428" s="49"/>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row>
    <row r="429" spans="1:27" ht="14.25">
      <c r="A429" s="49"/>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row>
    <row r="430" spans="1:27" ht="14.25">
      <c r="A430" s="49"/>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row>
    <row r="431" spans="1:27" ht="14.25">
      <c r="A431" s="49"/>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row>
    <row r="432" spans="1:27" ht="14.25">
      <c r="A432" s="49"/>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row>
    <row r="433" spans="1:27" ht="14.25">
      <c r="A433" s="49"/>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row>
    <row r="434" spans="1:27" ht="14.25">
      <c r="A434" s="49"/>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row>
    <row r="435" spans="1:27" ht="14.25">
      <c r="A435" s="49"/>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row>
    <row r="436" spans="1:27" ht="14.25">
      <c r="A436" s="49"/>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row>
    <row r="437" spans="1:27" ht="14.25">
      <c r="A437" s="49"/>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row>
    <row r="438" spans="1:27" ht="14.25">
      <c r="A438" s="49"/>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row>
    <row r="439" spans="1:27" ht="14.25">
      <c r="A439" s="49"/>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row>
    <row r="440" spans="1:27" ht="14.25">
      <c r="A440" s="49"/>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row>
    <row r="441" spans="1:27" ht="14.25">
      <c r="A441" s="49"/>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row>
    <row r="442" spans="1:27" ht="14.25">
      <c r="A442" s="49"/>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row>
    <row r="443" spans="1:27" ht="14.25">
      <c r="A443" s="49"/>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row>
    <row r="444" spans="1:27" ht="14.25">
      <c r="A444" s="49"/>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row>
    <row r="445" spans="1:27" ht="14.25">
      <c r="A445" s="49"/>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row>
    <row r="446" spans="1:27" ht="14.25">
      <c r="A446" s="49"/>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row>
    <row r="447" spans="1:27" ht="14.25">
      <c r="A447" s="49"/>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row>
    <row r="448" spans="1:27" ht="14.25">
      <c r="A448" s="49"/>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row>
    <row r="449" spans="1:27" ht="14.25">
      <c r="A449" s="49"/>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row>
    <row r="450" spans="1:27" ht="14.25">
      <c r="A450" s="49"/>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row>
    <row r="451" spans="1:27" ht="14.25">
      <c r="A451" s="49"/>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row>
    <row r="452" spans="1:27" ht="14.25">
      <c r="A452" s="49"/>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row>
    <row r="453" spans="1:27" ht="14.25">
      <c r="A453" s="49"/>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row>
    <row r="454" spans="1:27" ht="14.25">
      <c r="A454" s="49"/>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row>
    <row r="455" spans="1:27" ht="14.25">
      <c r="A455" s="49"/>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row>
    <row r="456" spans="1:27" ht="14.25">
      <c r="A456" s="49"/>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row>
    <row r="457" spans="1:27" ht="14.25">
      <c r="A457" s="49"/>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row>
    <row r="458" spans="1:27" ht="14.25">
      <c r="A458" s="49"/>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row>
    <row r="459" spans="1:27" ht="14.25">
      <c r="A459" s="49"/>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row>
    <row r="460" spans="1:27" ht="14.25">
      <c r="A460" s="49"/>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row>
    <row r="461" spans="1:27" ht="14.25">
      <c r="A461" s="49"/>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row>
    <row r="462" spans="1:27" ht="14.25">
      <c r="A462" s="49"/>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row>
    <row r="463" spans="1:27" ht="14.25">
      <c r="A463" s="49"/>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row>
    <row r="464" spans="1:27" ht="14.25">
      <c r="A464" s="49"/>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row>
    <row r="465" spans="1:27" ht="14.25">
      <c r="A465" s="49"/>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row>
    <row r="466" spans="1:27" ht="14.25">
      <c r="A466" s="49"/>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row>
    <row r="467" spans="1:27" ht="14.25">
      <c r="A467" s="49"/>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row>
    <row r="468" spans="1:27" ht="14.25">
      <c r="A468" s="49"/>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row>
    <row r="469" spans="1:27" ht="14.25">
      <c r="A469" s="49"/>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row>
    <row r="470" spans="1:27" ht="14.25">
      <c r="A470" s="49"/>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row>
    <row r="471" spans="1:27" ht="14.25">
      <c r="A471" s="49"/>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row>
    <row r="472" spans="1:27" ht="14.25">
      <c r="A472" s="49"/>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row>
    <row r="473" spans="1:27" ht="14.25">
      <c r="A473" s="49"/>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row>
    <row r="474" spans="1:27" ht="14.25">
      <c r="A474" s="49"/>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row>
    <row r="475" spans="1:27" ht="14.25">
      <c r="A475" s="49"/>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row>
    <row r="476" spans="1:27" ht="14.25">
      <c r="A476" s="49"/>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row>
    <row r="477" spans="1:27" ht="14.25">
      <c r="A477" s="49"/>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row>
    <row r="478" spans="1:27" ht="14.25">
      <c r="A478" s="49"/>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row>
    <row r="479" spans="1:27" ht="14.25">
      <c r="A479" s="49"/>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row>
    <row r="480" spans="1:27" ht="14.25">
      <c r="A480" s="49"/>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row>
    <row r="481" spans="1:27" ht="14.25">
      <c r="A481" s="49"/>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row>
    <row r="482" spans="1:27" ht="14.25">
      <c r="A482" s="49"/>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row>
    <row r="483" spans="1:27" ht="14.25">
      <c r="A483" s="49"/>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row>
    <row r="484" spans="1:27" ht="14.25">
      <c r="A484" s="49"/>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row>
    <row r="485" spans="1:27" ht="14.25">
      <c r="A485" s="49"/>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row>
    <row r="486" spans="1:27" ht="14.25">
      <c r="A486" s="49"/>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row>
    <row r="487" spans="1:27" ht="14.25">
      <c r="A487" s="49"/>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row>
    <row r="488" spans="1:27" ht="14.25">
      <c r="A488" s="49"/>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row>
    <row r="489" spans="1:27" ht="14.25">
      <c r="A489" s="49"/>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row>
    <row r="490" spans="1:27" ht="14.25">
      <c r="A490" s="49"/>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row>
    <row r="491" spans="1:27" ht="14.25">
      <c r="A491" s="49"/>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row>
    <row r="492" spans="1:27" ht="14.25">
      <c r="A492" s="49"/>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row>
    <row r="493" spans="1:27" ht="14.25">
      <c r="A493" s="49"/>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row>
    <row r="494" spans="1:27" ht="14.25">
      <c r="A494" s="49"/>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row>
    <row r="495" spans="1:27" ht="14.25">
      <c r="A495" s="49"/>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row>
    <row r="496" spans="1:27" ht="14.25">
      <c r="A496" s="49"/>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row>
    <row r="497" spans="1:27" ht="14.25">
      <c r="A497" s="49"/>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row>
    <row r="498" spans="1:27" ht="14.25">
      <c r="A498" s="49"/>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row>
    <row r="499" spans="1:27" ht="14.25">
      <c r="A499" s="49"/>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row>
    <row r="500" spans="1:27" ht="14.25">
      <c r="A500" s="49"/>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row>
    <row r="501" spans="1:27" ht="14.25">
      <c r="A501" s="49"/>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row>
    <row r="502" spans="1:27" ht="14.25">
      <c r="A502" s="49"/>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row>
    <row r="503" spans="1:27" ht="14.25">
      <c r="A503" s="49"/>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row>
    <row r="504" spans="1:27" ht="14.25">
      <c r="A504" s="49"/>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row>
    <row r="505" spans="1:27" ht="14.25">
      <c r="A505" s="49"/>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row>
    <row r="506" spans="1:27" ht="14.25">
      <c r="A506" s="49"/>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row>
    <row r="507" spans="1:27" ht="14.25">
      <c r="A507" s="49"/>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row>
    <row r="508" spans="1:27" ht="14.25">
      <c r="A508" s="49"/>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row>
    <row r="509" spans="1:27" ht="14.25">
      <c r="A509" s="49"/>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row>
    <row r="510" spans="1:27" ht="14.25">
      <c r="A510" s="49"/>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row>
    <row r="511" spans="1:27" ht="14.25">
      <c r="A511" s="49"/>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row>
    <row r="512" spans="1:27" ht="14.25">
      <c r="A512" s="49"/>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row>
    <row r="513" spans="1:27" ht="14.25">
      <c r="A513" s="49"/>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row>
    <row r="514" spans="1:27" ht="14.25">
      <c r="A514" s="49"/>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row>
    <row r="515" spans="1:27" ht="14.25">
      <c r="A515" s="49"/>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row>
    <row r="516" spans="1:27" ht="14.25">
      <c r="A516" s="49"/>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row>
    <row r="517" spans="1:27" ht="14.25">
      <c r="A517" s="49"/>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row>
    <row r="518" spans="1:27" ht="14.25">
      <c r="A518" s="49"/>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row>
    <row r="519" spans="1:27" ht="14.25">
      <c r="A519" s="49"/>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row>
    <row r="520" spans="1:27" ht="14.25">
      <c r="A520" s="49"/>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row>
    <row r="521" spans="1:27" ht="14.25">
      <c r="A521" s="49"/>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row>
    <row r="522" spans="1:27" ht="14.25">
      <c r="A522" s="49"/>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row>
    <row r="523" spans="1:27" ht="14.25">
      <c r="A523" s="49"/>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row>
    <row r="524" spans="1:27" ht="14.25">
      <c r="A524" s="49"/>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row>
    <row r="525" spans="1:27" ht="14.25">
      <c r="A525" s="49"/>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row>
    <row r="526" spans="1:27" ht="14.25">
      <c r="A526" s="49"/>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row>
    <row r="527" spans="1:27" ht="14.25">
      <c r="A527" s="49"/>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row>
    <row r="528" spans="1:27" ht="14.25">
      <c r="A528" s="49"/>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row>
    <row r="529" spans="1:27" ht="14.25">
      <c r="A529" s="49"/>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row>
    <row r="530" spans="1:27" ht="14.25">
      <c r="A530" s="49"/>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row>
    <row r="531" spans="1:27" ht="14.25">
      <c r="A531" s="49"/>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row>
    <row r="532" spans="1:27" ht="14.25">
      <c r="A532" s="49"/>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row>
    <row r="533" spans="1:27" ht="14.25">
      <c r="A533" s="49"/>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row>
    <row r="534" spans="1:27" ht="14.25">
      <c r="A534" s="49"/>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row>
    <row r="535" spans="1:27" ht="14.25">
      <c r="A535" s="49"/>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row>
    <row r="536" spans="1:27" ht="14.25">
      <c r="A536" s="49"/>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row>
    <row r="537" spans="1:27" ht="14.25">
      <c r="A537" s="49"/>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row>
    <row r="538" spans="1:27" ht="14.25">
      <c r="A538" s="49"/>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row>
    <row r="539" spans="1:27" ht="14.25">
      <c r="A539" s="49"/>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row>
    <row r="540" spans="1:27" ht="14.25">
      <c r="A540" s="49"/>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row>
    <row r="541" spans="1:27" ht="14.25">
      <c r="A541" s="49"/>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row>
    <row r="542" spans="1:27" ht="14.25">
      <c r="A542" s="49"/>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row>
    <row r="543" spans="1:27" ht="14.25">
      <c r="A543" s="49"/>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row>
    <row r="544" spans="1:27" ht="14.25">
      <c r="A544" s="49"/>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row>
    <row r="545" spans="1:27" ht="14.25">
      <c r="A545" s="49"/>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row>
    <row r="546" spans="1:27" ht="14.25">
      <c r="A546" s="49"/>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row>
    <row r="547" spans="1:27" ht="14.25">
      <c r="A547" s="49"/>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row>
    <row r="548" spans="1:27" ht="14.25">
      <c r="A548" s="49"/>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row>
    <row r="549" spans="1:27" ht="14.25">
      <c r="A549" s="49"/>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row>
    <row r="550" spans="1:27" ht="14.25">
      <c r="A550" s="49"/>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row>
    <row r="551" spans="1:27" ht="14.25">
      <c r="A551" s="49"/>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row>
    <row r="552" spans="1:27" ht="14.25">
      <c r="A552" s="49"/>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row>
    <row r="553" spans="1:27" ht="14.25">
      <c r="A553" s="49"/>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row>
    <row r="554" spans="1:27" ht="14.25">
      <c r="A554" s="49"/>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row>
    <row r="555" spans="1:27" ht="14.25">
      <c r="A555" s="49"/>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row>
    <row r="556" spans="1:27" ht="14.25">
      <c r="A556" s="49"/>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row>
    <row r="557" spans="1:27" ht="14.25">
      <c r="A557" s="49"/>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row>
    <row r="558" spans="1:27" ht="14.25">
      <c r="A558" s="49"/>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row>
    <row r="559" spans="1:27" ht="14.25">
      <c r="A559" s="49"/>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row>
    <row r="560" spans="1:27" ht="14.25">
      <c r="A560" s="49"/>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row>
    <row r="561" spans="1:27" ht="14.25">
      <c r="A561" s="49"/>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row>
    <row r="562" spans="1:27" ht="14.25">
      <c r="A562" s="49"/>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row>
    <row r="563" spans="1:27" ht="14.25">
      <c r="A563" s="49"/>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row>
    <row r="564" spans="1:27" ht="14.25">
      <c r="A564" s="49"/>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row>
    <row r="565" spans="1:27" ht="14.25">
      <c r="A565" s="49"/>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row>
    <row r="566" spans="1:27" ht="14.25">
      <c r="A566" s="49"/>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row>
    <row r="567" spans="1:27" ht="14.25">
      <c r="A567" s="49"/>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row>
    <row r="568" spans="1:27" ht="14.25">
      <c r="A568" s="49"/>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row>
    <row r="569" spans="1:27" ht="14.25">
      <c r="A569" s="49"/>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row>
    <row r="570" spans="1:27" ht="14.25">
      <c r="A570" s="49"/>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row>
    <row r="571" spans="1:27" ht="14.25">
      <c r="A571" s="49"/>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row>
    <row r="572" spans="1:27" ht="14.25">
      <c r="A572" s="49"/>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row>
    <row r="573" spans="1:27" ht="14.25">
      <c r="A573" s="49"/>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row>
    <row r="574" spans="1:27" ht="14.25">
      <c r="A574" s="49"/>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row>
    <row r="575" spans="1:27" ht="14.25">
      <c r="A575" s="49"/>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row>
    <row r="576" spans="1:27" ht="14.25">
      <c r="A576" s="49"/>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row>
    <row r="577" spans="1:27" ht="14.25">
      <c r="A577" s="49"/>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row>
    <row r="578" spans="1:27" ht="14.25">
      <c r="A578" s="49"/>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row>
    <row r="579" spans="1:27" ht="14.25">
      <c r="A579" s="49"/>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row>
    <row r="580" spans="1:27" ht="14.25">
      <c r="A580" s="49"/>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row>
    <row r="581" spans="1:27" ht="14.25">
      <c r="A581" s="49"/>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row>
    <row r="582" spans="1:27" ht="14.25">
      <c r="A582" s="49"/>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row>
    <row r="583" spans="1:27" ht="14.25">
      <c r="A583" s="49"/>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row>
    <row r="584" spans="1:27" ht="14.25">
      <c r="A584" s="49"/>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row>
    <row r="585" spans="1:27" ht="14.25">
      <c r="A585" s="49"/>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row>
    <row r="586" spans="1:27" ht="14.25">
      <c r="A586" s="49"/>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row>
    <row r="587" spans="1:27" ht="14.25">
      <c r="A587" s="49"/>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row>
    <row r="588" spans="1:27" ht="14.25">
      <c r="A588" s="49"/>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row>
    <row r="589" spans="1:27" ht="14.25">
      <c r="A589" s="49"/>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row>
    <row r="590" spans="1:27" ht="14.25">
      <c r="A590" s="49"/>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row>
    <row r="591" spans="1:27" ht="14.25">
      <c r="A591" s="49"/>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row>
    <row r="592" spans="1:27" ht="14.25">
      <c r="A592" s="49"/>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row>
    <row r="593" spans="1:27" ht="14.25">
      <c r="A593" s="49"/>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row>
    <row r="594" spans="1:27" ht="14.25">
      <c r="A594" s="49"/>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row>
    <row r="595" spans="1:27" ht="14.25">
      <c r="A595" s="49"/>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row>
    <row r="596" spans="1:27" ht="14.25">
      <c r="A596" s="49"/>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row>
    <row r="597" spans="1:27" ht="14.25">
      <c r="A597" s="49"/>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row>
    <row r="598" spans="1:27" ht="14.25">
      <c r="A598" s="49"/>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row>
    <row r="599" spans="1:27" ht="14.25">
      <c r="A599" s="49"/>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row>
    <row r="600" spans="1:27" ht="14.25">
      <c r="A600" s="49"/>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row>
    <row r="601" spans="1:27" ht="14.25">
      <c r="A601" s="49"/>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row>
    <row r="602" spans="1:27" ht="14.25">
      <c r="A602" s="49"/>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row>
    <row r="603" spans="1:27" ht="14.25">
      <c r="A603" s="49"/>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row>
    <row r="604" spans="1:27" ht="14.25">
      <c r="A604" s="49"/>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row>
    <row r="605" spans="1:27" ht="14.25">
      <c r="A605" s="49"/>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row>
    <row r="606" spans="1:27" ht="14.25">
      <c r="A606" s="49"/>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row>
    <row r="607" spans="1:27" ht="14.25">
      <c r="A607" s="49"/>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row>
    <row r="608" spans="1:27" ht="14.25">
      <c r="A608" s="49"/>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row>
    <row r="609" spans="1:27" ht="14.25">
      <c r="A609" s="49"/>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row>
    <row r="610" spans="1:27" ht="14.25">
      <c r="A610" s="49"/>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row>
    <row r="611" spans="1:27" ht="14.25">
      <c r="A611" s="49"/>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row>
    <row r="612" spans="1:27" ht="14.25">
      <c r="A612" s="49"/>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row>
    <row r="613" spans="1:27" ht="14.25">
      <c r="A613" s="49"/>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row>
    <row r="614" spans="1:27" ht="14.25">
      <c r="A614" s="49"/>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row>
    <row r="615" spans="1:27" ht="14.25">
      <c r="A615" s="49"/>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row>
    <row r="616" spans="1:27" ht="14.25">
      <c r="A616" s="49"/>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row>
    <row r="617" spans="1:27" ht="14.25">
      <c r="A617" s="49"/>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row>
    <row r="618" spans="1:27" ht="14.25">
      <c r="A618" s="49"/>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row>
    <row r="619" spans="1:27" ht="14.25">
      <c r="A619" s="49"/>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row>
    <row r="620" spans="1:27" ht="14.25">
      <c r="A620" s="49"/>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row>
    <row r="621" spans="1:27" ht="14.25">
      <c r="A621" s="49"/>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row>
    <row r="622" spans="1:27" ht="14.25">
      <c r="A622" s="49"/>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row>
    <row r="623" spans="1:27" ht="14.25">
      <c r="A623" s="49"/>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row>
    <row r="624" spans="1:27" ht="14.25">
      <c r="A624" s="49"/>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row>
    <row r="625" spans="1:27" ht="14.25">
      <c r="A625" s="49"/>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row>
    <row r="626" spans="1:27" ht="14.25">
      <c r="A626" s="49"/>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row>
    <row r="627" spans="1:27" ht="14.25">
      <c r="A627" s="49"/>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row>
    <row r="628" spans="1:27" ht="14.25">
      <c r="A628" s="49"/>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row>
    <row r="629" spans="1:27" ht="14.25">
      <c r="A629" s="49"/>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row>
    <row r="630" spans="1:27" ht="14.25">
      <c r="A630" s="49"/>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row>
    <row r="631" spans="1:27" ht="14.25">
      <c r="A631" s="49"/>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row>
    <row r="632" spans="1:27" ht="14.25">
      <c r="A632" s="49"/>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row>
    <row r="633" spans="1:27" ht="14.25">
      <c r="A633" s="49"/>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row>
    <row r="634" spans="1:27" ht="14.25">
      <c r="A634" s="49"/>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row>
    <row r="635" spans="1:27" ht="14.25">
      <c r="A635" s="49"/>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row>
    <row r="636" spans="1:27" ht="14.25">
      <c r="A636" s="49"/>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row>
    <row r="637" spans="1:27" ht="14.25">
      <c r="A637" s="49"/>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row>
    <row r="638" spans="1:27" ht="14.25">
      <c r="A638" s="49"/>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row>
    <row r="639" spans="1:27" ht="14.25">
      <c r="A639" s="49"/>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row>
    <row r="640" spans="1:27" ht="14.25">
      <c r="A640" s="49"/>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row>
    <row r="641" spans="1:27" ht="14.25">
      <c r="A641" s="49"/>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row>
    <row r="642" spans="1:27" ht="14.25">
      <c r="A642" s="49"/>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row>
    <row r="643" spans="1:27" ht="14.25">
      <c r="A643" s="49"/>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row>
    <row r="644" spans="1:27" ht="14.25">
      <c r="A644" s="49"/>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row>
    <row r="645" spans="1:27" ht="14.25">
      <c r="A645" s="49"/>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row>
    <row r="646" spans="1:27" ht="14.25">
      <c r="A646" s="49"/>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row>
    <row r="647" spans="1:27" ht="14.25">
      <c r="A647" s="49"/>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row>
    <row r="648" spans="1:27" ht="14.25">
      <c r="A648" s="49"/>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row>
    <row r="649" spans="1:27" ht="14.25">
      <c r="A649" s="49"/>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row>
    <row r="650" spans="1:27" ht="14.25">
      <c r="A650" s="49"/>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row>
    <row r="651" spans="1:27" ht="14.25">
      <c r="A651" s="49"/>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row>
    <row r="652" spans="1:27" ht="14.25">
      <c r="A652" s="49"/>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row>
    <row r="653" spans="1:27" ht="14.25">
      <c r="A653" s="49"/>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row>
    <row r="654" spans="1:27" ht="14.25">
      <c r="A654" s="49"/>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row>
    <row r="655" spans="1:27" ht="14.25">
      <c r="A655" s="49"/>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row>
    <row r="656" spans="1:27" ht="14.25">
      <c r="A656" s="49"/>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row>
    <row r="657" spans="1:27" ht="14.25">
      <c r="A657" s="49"/>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row>
    <row r="658" spans="1:27" ht="14.25">
      <c r="A658" s="49"/>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row>
    <row r="659" spans="1:27" ht="14.25">
      <c r="A659" s="49"/>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row>
    <row r="660" spans="1:27" ht="14.25">
      <c r="A660" s="49"/>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row>
    <row r="661" spans="1:27" ht="14.25">
      <c r="A661" s="49"/>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row>
    <row r="662" spans="1:27" ht="14.25">
      <c r="A662" s="49"/>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row>
    <row r="663" spans="1:27" ht="14.25">
      <c r="A663" s="49"/>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row>
    <row r="664" spans="1:27" ht="14.25">
      <c r="A664" s="49"/>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row>
    <row r="665" spans="1:27" ht="14.25">
      <c r="A665" s="49"/>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row>
    <row r="666" spans="1:27" ht="14.25">
      <c r="A666" s="49"/>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row>
    <row r="667" spans="1:27" ht="14.25">
      <c r="A667" s="49"/>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row>
    <row r="668" spans="1:27" ht="14.25">
      <c r="A668" s="49"/>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row>
    <row r="669" spans="1:27" ht="14.25">
      <c r="A669" s="49"/>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row>
    <row r="670" spans="1:27" ht="14.25">
      <c r="A670" s="49"/>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row>
    <row r="671" spans="1:27" ht="14.25">
      <c r="A671" s="49"/>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row>
    <row r="672" spans="1:27" ht="14.25">
      <c r="A672" s="49"/>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row>
    <row r="673" spans="1:27" ht="14.25">
      <c r="A673" s="49"/>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row>
    <row r="674" spans="1:27" ht="14.25">
      <c r="A674" s="49"/>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row>
    <row r="675" spans="1:27" ht="14.25">
      <c r="A675" s="49"/>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row>
    <row r="676" spans="1:27" ht="14.25">
      <c r="A676" s="49"/>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row>
    <row r="677" spans="1:27" ht="14.25">
      <c r="A677" s="49"/>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row>
    <row r="678" spans="1:27" ht="14.25">
      <c r="A678" s="49"/>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row>
    <row r="679" spans="1:27" ht="14.25">
      <c r="A679" s="49"/>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row>
    <row r="680" spans="1:27" ht="14.25">
      <c r="A680" s="49"/>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row>
    <row r="681" spans="1:27" ht="14.25">
      <c r="A681" s="49"/>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row>
    <row r="682" spans="1:27" ht="14.25">
      <c r="A682" s="49"/>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row>
    <row r="683" spans="1:27" ht="14.25">
      <c r="A683" s="49"/>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row>
    <row r="684" spans="1:27" ht="14.25">
      <c r="A684" s="49"/>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row>
    <row r="685" spans="1:27" ht="14.25">
      <c r="A685" s="49"/>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row>
    <row r="686" spans="1:27" ht="14.25">
      <c r="A686" s="49"/>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row>
    <row r="687" spans="1:27" ht="14.25">
      <c r="A687" s="49"/>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row>
    <row r="688" spans="1:27" ht="14.25">
      <c r="A688" s="49"/>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row>
    <row r="689" spans="1:27" ht="14.25">
      <c r="A689" s="49"/>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row>
    <row r="690" spans="1:27" ht="14.25">
      <c r="A690" s="49"/>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row>
    <row r="691" spans="1:27" ht="14.25">
      <c r="A691" s="49"/>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row>
    <row r="692" spans="1:27" ht="14.25">
      <c r="A692" s="49"/>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row>
    <row r="693" spans="1:27" ht="14.25">
      <c r="A693" s="49"/>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row>
    <row r="694" spans="1:27" ht="14.25">
      <c r="A694" s="49"/>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row>
    <row r="695" spans="1:27" ht="14.25">
      <c r="A695" s="49"/>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row>
    <row r="696" spans="1:27" ht="14.25">
      <c r="A696" s="49"/>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row>
    <row r="697" spans="1:27" ht="14.25">
      <c r="A697" s="49"/>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row>
    <row r="698" spans="1:27" ht="14.25">
      <c r="A698" s="49"/>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row>
    <row r="699" spans="1:27" ht="14.25">
      <c r="A699" s="49"/>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row>
    <row r="700" spans="1:27" ht="14.25">
      <c r="A700" s="49"/>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row>
    <row r="701" spans="1:27" ht="14.25">
      <c r="A701" s="49"/>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row>
    <row r="702" spans="1:27" ht="14.25">
      <c r="A702" s="49"/>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row>
    <row r="703" spans="1:27" ht="14.25">
      <c r="A703" s="49"/>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row>
    <row r="704" spans="1:27" ht="14.25">
      <c r="A704" s="49"/>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row>
    <row r="705" spans="1:27" ht="14.25">
      <c r="A705" s="49"/>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row>
    <row r="706" spans="1:27" ht="14.25">
      <c r="A706" s="49"/>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row>
    <row r="707" spans="1:27" ht="14.25">
      <c r="A707" s="49"/>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row>
    <row r="708" spans="1:27" ht="14.25">
      <c r="A708" s="49"/>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row>
    <row r="709" spans="1:27" ht="14.25">
      <c r="A709" s="49"/>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row>
    <row r="710" spans="1:27" ht="14.25">
      <c r="A710" s="49"/>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row>
    <row r="711" spans="1:27" ht="14.25">
      <c r="A711" s="49"/>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row>
    <row r="712" spans="1:27" ht="14.25">
      <c r="A712" s="49"/>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row>
    <row r="713" spans="1:27" ht="14.25">
      <c r="A713" s="49"/>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row>
    <row r="714" spans="1:27" ht="14.25">
      <c r="A714" s="49"/>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row>
    <row r="715" spans="1:27" ht="14.25">
      <c r="A715" s="49"/>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row>
    <row r="716" spans="1:27" ht="14.25">
      <c r="A716" s="49"/>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row>
    <row r="717" spans="1:27" ht="14.25">
      <c r="A717" s="49"/>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row>
    <row r="718" spans="1:27" ht="14.25">
      <c r="A718" s="49"/>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row>
    <row r="719" spans="1:27" ht="14.25">
      <c r="A719" s="49"/>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row>
    <row r="720" spans="1:27" ht="14.25">
      <c r="A720" s="49"/>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row>
    <row r="721" spans="1:27" ht="14.25">
      <c r="A721" s="49"/>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row>
    <row r="722" spans="1:27" ht="14.25">
      <c r="A722" s="49"/>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row>
    <row r="723" spans="1:27" ht="14.25">
      <c r="A723" s="49"/>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row>
    <row r="724" spans="1:27" ht="14.25">
      <c r="A724" s="49"/>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row>
    <row r="725" spans="1:27" ht="14.25">
      <c r="A725" s="49"/>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row>
    <row r="726" spans="1:27" ht="14.25">
      <c r="A726" s="49"/>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row>
    <row r="727" spans="1:27" ht="14.25">
      <c r="A727" s="49"/>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row>
    <row r="728" spans="1:27" ht="14.25">
      <c r="A728" s="49"/>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row>
    <row r="729" spans="1:27" ht="14.25">
      <c r="A729" s="49"/>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row>
    <row r="730" spans="1:27" ht="14.25">
      <c r="A730" s="49"/>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row>
    <row r="731" spans="1:27" ht="14.25">
      <c r="A731" s="49"/>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row>
    <row r="732" spans="1:27" ht="14.25">
      <c r="A732" s="49"/>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row>
    <row r="733" spans="1:27" ht="14.25">
      <c r="A733" s="49"/>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row>
    <row r="734" spans="1:27" ht="14.25">
      <c r="A734" s="49"/>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row>
    <row r="735" spans="1:27" ht="14.25">
      <c r="A735" s="49"/>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row>
    <row r="736" spans="1:27" ht="14.25">
      <c r="A736" s="49"/>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row>
    <row r="737" spans="1:27" ht="14.25">
      <c r="A737" s="49"/>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row>
    <row r="738" spans="1:27" ht="14.25">
      <c r="A738" s="49"/>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row>
    <row r="739" spans="1:27" ht="14.25">
      <c r="A739" s="49"/>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row>
    <row r="740" spans="1:27" ht="14.25">
      <c r="A740" s="49"/>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row>
    <row r="741" spans="1:27" ht="14.25">
      <c r="A741" s="49"/>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row>
    <row r="742" spans="1:27" ht="14.25">
      <c r="A742" s="49"/>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row>
    <row r="743" spans="1:27" ht="14.25">
      <c r="A743" s="49"/>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row>
    <row r="744" spans="1:27" ht="14.25">
      <c r="A744" s="49"/>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row>
    <row r="745" spans="1:27" ht="14.25">
      <c r="A745" s="49"/>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row>
    <row r="746" spans="1:27" ht="14.25">
      <c r="A746" s="49"/>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row>
    <row r="747" spans="1:27" ht="14.25">
      <c r="A747" s="49"/>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row>
    <row r="748" spans="1:27" ht="14.25">
      <c r="A748" s="49"/>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row>
    <row r="749" spans="1:27" ht="14.25">
      <c r="A749" s="49"/>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row>
    <row r="750" spans="1:27" ht="14.25">
      <c r="A750" s="49"/>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row>
    <row r="751" spans="1:27" ht="14.25">
      <c r="A751" s="49"/>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row>
    <row r="752" spans="1:27" ht="14.25">
      <c r="A752" s="49"/>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row>
    <row r="753" spans="1:27" ht="14.25">
      <c r="A753" s="49"/>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row>
    <row r="754" spans="1:27" ht="14.25">
      <c r="A754" s="49"/>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row>
    <row r="755" spans="1:27" ht="14.25">
      <c r="A755" s="49"/>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row>
    <row r="756" spans="1:27" ht="14.25">
      <c r="A756" s="49"/>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row>
    <row r="757" spans="1:27" ht="14.25">
      <c r="A757" s="49"/>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row>
    <row r="758" spans="1:27" ht="14.25">
      <c r="A758" s="49"/>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row>
    <row r="759" spans="1:27" ht="14.25">
      <c r="A759" s="49"/>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row>
    <row r="760" spans="1:27" ht="14.25">
      <c r="A760" s="49"/>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row>
    <row r="761" spans="1:27" ht="14.25">
      <c r="A761" s="49"/>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row>
    <row r="762" spans="1:27" ht="14.25">
      <c r="A762" s="49"/>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row>
    <row r="763" spans="1:27" ht="14.25">
      <c r="A763" s="49"/>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row>
    <row r="764" spans="1:27" ht="14.25">
      <c r="A764" s="49"/>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row>
    <row r="765" spans="1:27" ht="14.25">
      <c r="A765" s="49"/>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row>
    <row r="766" spans="1:27" ht="14.25">
      <c r="A766" s="49"/>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row>
    <row r="767" spans="1:27" ht="14.25">
      <c r="A767" s="49"/>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row>
    <row r="768" spans="1:27" ht="14.25">
      <c r="A768" s="49"/>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row>
    <row r="769" spans="1:27" ht="14.25">
      <c r="A769" s="49"/>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row>
    <row r="770" spans="1:27" ht="14.25">
      <c r="A770" s="49"/>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row>
    <row r="771" spans="1:27" ht="14.25">
      <c r="A771" s="49"/>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row>
    <row r="772" spans="1:27" ht="14.25">
      <c r="A772" s="49"/>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row>
    <row r="773" spans="1:27" ht="14.25">
      <c r="A773" s="49"/>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row>
    <row r="774" spans="1:27" ht="14.25">
      <c r="A774" s="49"/>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row>
    <row r="775" spans="1:27" ht="14.25">
      <c r="A775" s="49"/>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row>
    <row r="776" spans="1:27" ht="14.25">
      <c r="A776" s="49"/>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row>
    <row r="777" spans="1:27" ht="14.25">
      <c r="A777" s="49"/>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row>
    <row r="778" spans="1:27" ht="14.25">
      <c r="A778" s="49"/>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row>
    <row r="779" spans="1:27" ht="14.25">
      <c r="A779" s="49"/>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row>
    <row r="780" spans="1:27" ht="14.25">
      <c r="A780" s="49"/>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row>
    <row r="781" spans="1:27" ht="14.25">
      <c r="A781" s="49"/>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row>
    <row r="782" spans="1:27" ht="14.25">
      <c r="A782" s="49"/>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row>
    <row r="783" spans="1:27" ht="14.25">
      <c r="A783" s="49"/>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row>
    <row r="784" spans="1:27" ht="14.25">
      <c r="A784" s="49"/>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row>
    <row r="785" spans="1:27" ht="14.25">
      <c r="A785" s="49"/>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row>
    <row r="786" spans="1:27" ht="14.25">
      <c r="A786" s="49"/>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row>
    <row r="787" spans="1:27" ht="14.25">
      <c r="A787" s="49"/>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row>
    <row r="788" spans="1:27" ht="14.25">
      <c r="A788" s="49"/>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row>
    <row r="789" spans="1:27" ht="14.25">
      <c r="A789" s="49"/>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row>
    <row r="790" spans="1:27" ht="14.25">
      <c r="A790" s="49"/>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row>
    <row r="791" spans="1:27" ht="14.25">
      <c r="A791" s="49"/>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row>
    <row r="792" spans="1:27" ht="14.25">
      <c r="A792" s="49"/>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row>
    <row r="793" spans="1:27" ht="14.25">
      <c r="A793" s="49"/>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row>
    <row r="794" spans="1:27" ht="14.25">
      <c r="A794" s="49"/>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row>
    <row r="795" spans="1:27" ht="14.25">
      <c r="A795" s="49"/>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row>
    <row r="796" spans="1:27" ht="14.25">
      <c r="A796" s="49"/>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row>
    <row r="797" spans="1:27" ht="14.25">
      <c r="A797" s="49"/>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row>
    <row r="798" spans="1:27" ht="14.25">
      <c r="A798" s="49"/>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row>
    <row r="799" spans="1:27" ht="14.25">
      <c r="A799" s="49"/>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row>
    <row r="800" spans="1:27" ht="14.25">
      <c r="A800" s="49"/>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row>
    <row r="801" spans="1:27" ht="14.25">
      <c r="A801" s="49"/>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row>
  </sheetData>
  <autoFilter ref="A6:J108" xr:uid="{00000000-0009-0000-0000-000004000000}"/>
  <customSheetViews>
    <customSheetView guid="{A692BA3E-DCED-4157-8340-C6216F1B5E02}" filter="1" showAutoFilter="1">
      <pageMargins left="0" right="0" top="0" bottom="0" header="0" footer="0"/>
      <autoFilter ref="C6:C194" xr:uid="{26A5B909-33A5-4744-A5D6-29097AB4E189}"/>
    </customSheetView>
  </customSheetViews>
  <mergeCells count="210">
    <mergeCell ref="D72:H72"/>
    <mergeCell ref="I72:J72"/>
    <mergeCell ref="D73:H73"/>
    <mergeCell ref="I73:J73"/>
    <mergeCell ref="D67:H67"/>
    <mergeCell ref="I67:J67"/>
    <mergeCell ref="D68:H68"/>
    <mergeCell ref="I68:J68"/>
    <mergeCell ref="D69:H69"/>
    <mergeCell ref="I69:J69"/>
    <mergeCell ref="I70:J70"/>
    <mergeCell ref="D70:H70"/>
    <mergeCell ref="D71:H71"/>
    <mergeCell ref="I71:J71"/>
    <mergeCell ref="D62:H62"/>
    <mergeCell ref="I62:J62"/>
    <mergeCell ref="I63:J63"/>
    <mergeCell ref="D63:H63"/>
    <mergeCell ref="D64:H64"/>
    <mergeCell ref="I64:J64"/>
    <mergeCell ref="D65:H65"/>
    <mergeCell ref="I65:J65"/>
    <mergeCell ref="D66:H66"/>
    <mergeCell ref="I66:J66"/>
    <mergeCell ref="D57:H57"/>
    <mergeCell ref="I57:J57"/>
    <mergeCell ref="D58:H58"/>
    <mergeCell ref="I58:J58"/>
    <mergeCell ref="D59:H59"/>
    <mergeCell ref="I59:J59"/>
    <mergeCell ref="D60:H60"/>
    <mergeCell ref="I60:J60"/>
    <mergeCell ref="D61:H61"/>
    <mergeCell ref="I61:J61"/>
    <mergeCell ref="D52:H52"/>
    <mergeCell ref="I52:J52"/>
    <mergeCell ref="D53:H53"/>
    <mergeCell ref="I53:J53"/>
    <mergeCell ref="D54:H54"/>
    <mergeCell ref="I54:J54"/>
    <mergeCell ref="D55:H55"/>
    <mergeCell ref="I55:J55"/>
    <mergeCell ref="I56:J56"/>
    <mergeCell ref="D56:H56"/>
    <mergeCell ref="D47:H47"/>
    <mergeCell ref="I47:J47"/>
    <mergeCell ref="D48:H48"/>
    <mergeCell ref="I48:J48"/>
    <mergeCell ref="I49:J49"/>
    <mergeCell ref="D49:H49"/>
    <mergeCell ref="D50:H50"/>
    <mergeCell ref="I50:J50"/>
    <mergeCell ref="D51:H51"/>
    <mergeCell ref="I51:J51"/>
    <mergeCell ref="I42:J42"/>
    <mergeCell ref="D42:H42"/>
    <mergeCell ref="D43:H43"/>
    <mergeCell ref="I43:J43"/>
    <mergeCell ref="D44:H44"/>
    <mergeCell ref="I44:J44"/>
    <mergeCell ref="D45:H45"/>
    <mergeCell ref="I45:J45"/>
    <mergeCell ref="D46:H46"/>
    <mergeCell ref="I46:J46"/>
    <mergeCell ref="D37:H37"/>
    <mergeCell ref="I37:J37"/>
    <mergeCell ref="D38:H38"/>
    <mergeCell ref="I38:J38"/>
    <mergeCell ref="D39:H39"/>
    <mergeCell ref="I39:J39"/>
    <mergeCell ref="D40:H40"/>
    <mergeCell ref="I40:J40"/>
    <mergeCell ref="D41:H41"/>
    <mergeCell ref="I41:J41"/>
    <mergeCell ref="I32:J32"/>
    <mergeCell ref="D33:H33"/>
    <mergeCell ref="I33:J33"/>
    <mergeCell ref="D34:H34"/>
    <mergeCell ref="I34:J34"/>
    <mergeCell ref="I35:J35"/>
    <mergeCell ref="D35:H35"/>
    <mergeCell ref="D36:H36"/>
    <mergeCell ref="I36:J36"/>
    <mergeCell ref="D108:H108"/>
    <mergeCell ref="I108:J108"/>
    <mergeCell ref="D102:H102"/>
    <mergeCell ref="I102:J102"/>
    <mergeCell ref="D103:H103"/>
    <mergeCell ref="I103:J103"/>
    <mergeCell ref="D104:H104"/>
    <mergeCell ref="I104:J104"/>
    <mergeCell ref="I105:J105"/>
    <mergeCell ref="D23:H23"/>
    <mergeCell ref="I23:J23"/>
    <mergeCell ref="D24:H24"/>
    <mergeCell ref="I24:J24"/>
    <mergeCell ref="D105:H105"/>
    <mergeCell ref="D106:H106"/>
    <mergeCell ref="I106:J106"/>
    <mergeCell ref="D107:H107"/>
    <mergeCell ref="I107:J107"/>
    <mergeCell ref="D25:H25"/>
    <mergeCell ref="I25:J25"/>
    <mergeCell ref="D26:H26"/>
    <mergeCell ref="I26:J26"/>
    <mergeCell ref="D27:H27"/>
    <mergeCell ref="I27:J27"/>
    <mergeCell ref="I28:J28"/>
    <mergeCell ref="D28:H28"/>
    <mergeCell ref="D29:H29"/>
    <mergeCell ref="I29:J29"/>
    <mergeCell ref="D30:H30"/>
    <mergeCell ref="I30:J30"/>
    <mergeCell ref="D31:H31"/>
    <mergeCell ref="I31:J31"/>
    <mergeCell ref="D32:H32"/>
    <mergeCell ref="D18:H18"/>
    <mergeCell ref="I18:J18"/>
    <mergeCell ref="D19:H19"/>
    <mergeCell ref="I19:J19"/>
    <mergeCell ref="D20:H20"/>
    <mergeCell ref="I20:J20"/>
    <mergeCell ref="I21:J21"/>
    <mergeCell ref="D21:H21"/>
    <mergeCell ref="D22:H22"/>
    <mergeCell ref="I22:J22"/>
    <mergeCell ref="D13:H13"/>
    <mergeCell ref="I13:J13"/>
    <mergeCell ref="I14:J14"/>
    <mergeCell ref="D14:H14"/>
    <mergeCell ref="D15:H15"/>
    <mergeCell ref="I15:J15"/>
    <mergeCell ref="D16:H16"/>
    <mergeCell ref="I16:J16"/>
    <mergeCell ref="D17:H17"/>
    <mergeCell ref="I17:J17"/>
    <mergeCell ref="D99:H99"/>
    <mergeCell ref="I99:J99"/>
    <mergeCell ref="D100:H100"/>
    <mergeCell ref="I100:J100"/>
    <mergeCell ref="D101:H101"/>
    <mergeCell ref="I101:J101"/>
    <mergeCell ref="A2:J2"/>
    <mergeCell ref="D3:E3"/>
    <mergeCell ref="D4:E4"/>
    <mergeCell ref="G4:H4"/>
    <mergeCell ref="D6:H6"/>
    <mergeCell ref="I6:J6"/>
    <mergeCell ref="I7:J7"/>
    <mergeCell ref="D7:H7"/>
    <mergeCell ref="D8:H8"/>
    <mergeCell ref="I8:J8"/>
    <mergeCell ref="D9:H9"/>
    <mergeCell ref="I9:J9"/>
    <mergeCell ref="D10:H10"/>
    <mergeCell ref="I10:J10"/>
    <mergeCell ref="D11:H11"/>
    <mergeCell ref="I11:J11"/>
    <mergeCell ref="D12:H12"/>
    <mergeCell ref="I12:J12"/>
    <mergeCell ref="D94:H94"/>
    <mergeCell ref="I94:J94"/>
    <mergeCell ref="D95:H95"/>
    <mergeCell ref="I95:J95"/>
    <mergeCell ref="D96:H96"/>
    <mergeCell ref="I96:J96"/>
    <mergeCell ref="D97:H97"/>
    <mergeCell ref="I97:J97"/>
    <mergeCell ref="I98:J98"/>
    <mergeCell ref="D98:H98"/>
    <mergeCell ref="D89:H89"/>
    <mergeCell ref="I89:J89"/>
    <mergeCell ref="D90:H90"/>
    <mergeCell ref="I90:J90"/>
    <mergeCell ref="I91:J91"/>
    <mergeCell ref="D91:H91"/>
    <mergeCell ref="D92:H92"/>
    <mergeCell ref="I92:J92"/>
    <mergeCell ref="D93:H93"/>
    <mergeCell ref="I93:J93"/>
    <mergeCell ref="I84:J84"/>
    <mergeCell ref="D84:H84"/>
    <mergeCell ref="D85:H85"/>
    <mergeCell ref="I85:J85"/>
    <mergeCell ref="D86:H86"/>
    <mergeCell ref="I86:J86"/>
    <mergeCell ref="D87:H87"/>
    <mergeCell ref="I87:J87"/>
    <mergeCell ref="D88:H88"/>
    <mergeCell ref="I88:J88"/>
    <mergeCell ref="D79:H79"/>
    <mergeCell ref="I79:J79"/>
    <mergeCell ref="D80:H80"/>
    <mergeCell ref="I80:J80"/>
    <mergeCell ref="D81:H81"/>
    <mergeCell ref="I81:J81"/>
    <mergeCell ref="D82:H82"/>
    <mergeCell ref="I82:J82"/>
    <mergeCell ref="D83:H83"/>
    <mergeCell ref="I83:J83"/>
    <mergeCell ref="D74:H74"/>
    <mergeCell ref="I74:J74"/>
    <mergeCell ref="D75:H75"/>
    <mergeCell ref="I75:J75"/>
    <mergeCell ref="D76:H76"/>
    <mergeCell ref="I76:J76"/>
    <mergeCell ref="I77:J77"/>
    <mergeCell ref="D77:H77"/>
    <mergeCell ref="D78:H78"/>
    <mergeCell ref="I78:J7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ummaryRight="0"/>
  </sheetPr>
  <dimension ref="A1:F411"/>
  <sheetViews>
    <sheetView workbookViewId="0"/>
  </sheetViews>
  <sheetFormatPr defaultColWidth="14.3984375" defaultRowHeight="15.75" customHeight="1"/>
  <cols>
    <col min="1" max="1" width="31.59765625" customWidth="1"/>
    <col min="2" max="2" width="37.86328125" customWidth="1"/>
    <col min="3" max="26" width="31.59765625" customWidth="1"/>
  </cols>
  <sheetData>
    <row r="1" spans="1:6" ht="13.9">
      <c r="A1" s="59" t="s">
        <v>3532</v>
      </c>
      <c r="B1" s="59" t="s">
        <v>30</v>
      </c>
      <c r="C1" s="59" t="s">
        <v>3533</v>
      </c>
      <c r="D1" s="59" t="s">
        <v>3534</v>
      </c>
      <c r="E1" s="59" t="s">
        <v>3535</v>
      </c>
      <c r="F1" s="59" t="s">
        <v>1518</v>
      </c>
    </row>
    <row r="2" spans="1:6" ht="15.75" customHeight="1">
      <c r="A2" s="186" t="s">
        <v>3536</v>
      </c>
      <c r="B2" s="186" t="s">
        <v>3537</v>
      </c>
      <c r="C2" s="186" t="s">
        <v>3538</v>
      </c>
      <c r="D2" s="186" t="s">
        <v>3539</v>
      </c>
      <c r="E2" s="186" t="s">
        <v>3540</v>
      </c>
      <c r="F2" s="186" t="s">
        <v>3541</v>
      </c>
    </row>
    <row r="3" spans="1:6" ht="15.75" customHeight="1">
      <c r="A3" s="186" t="s">
        <v>3542</v>
      </c>
      <c r="B3" s="186" t="s">
        <v>3537</v>
      </c>
      <c r="C3" s="186" t="s">
        <v>3543</v>
      </c>
      <c r="D3" s="186" t="s">
        <v>3540</v>
      </c>
      <c r="E3" s="186" t="s">
        <v>3540</v>
      </c>
      <c r="F3" s="186" t="s">
        <v>3541</v>
      </c>
    </row>
    <row r="4" spans="1:6" ht="15.75" customHeight="1">
      <c r="A4" s="186" t="s">
        <v>3544</v>
      </c>
      <c r="B4" s="186" t="s">
        <v>3537</v>
      </c>
      <c r="C4" s="186" t="s">
        <v>3545</v>
      </c>
      <c r="D4" s="186" t="s">
        <v>3540</v>
      </c>
      <c r="E4" s="186" t="s">
        <v>3546</v>
      </c>
      <c r="F4" s="186" t="s">
        <v>3541</v>
      </c>
    </row>
    <row r="5" spans="1:6" ht="15.75" customHeight="1">
      <c r="A5" s="186" t="s">
        <v>3547</v>
      </c>
      <c r="B5" s="186" t="s">
        <v>3537</v>
      </c>
      <c r="C5" s="186" t="s">
        <v>3538</v>
      </c>
      <c r="D5" s="186" t="s">
        <v>3539</v>
      </c>
      <c r="E5" s="186" t="s">
        <v>3540</v>
      </c>
      <c r="F5" s="186" t="s">
        <v>3541</v>
      </c>
    </row>
    <row r="6" spans="1:6" ht="15.75" customHeight="1">
      <c r="A6" s="186" t="s">
        <v>3548</v>
      </c>
      <c r="B6" s="186" t="s">
        <v>3537</v>
      </c>
      <c r="C6" s="186" t="s">
        <v>3549</v>
      </c>
      <c r="D6" s="186" t="s">
        <v>3540</v>
      </c>
      <c r="E6" s="186" t="s">
        <v>3550</v>
      </c>
      <c r="F6" s="186" t="s">
        <v>3541</v>
      </c>
    </row>
    <row r="7" spans="1:6" ht="15.75" customHeight="1">
      <c r="A7" s="186" t="s">
        <v>3551</v>
      </c>
      <c r="B7" s="186" t="s">
        <v>3537</v>
      </c>
      <c r="C7" s="186" t="s">
        <v>3543</v>
      </c>
      <c r="D7" s="186" t="s">
        <v>3540</v>
      </c>
      <c r="E7" s="186" t="s">
        <v>3540</v>
      </c>
      <c r="F7" s="186" t="s">
        <v>3541</v>
      </c>
    </row>
    <row r="8" spans="1:6" ht="15.75" customHeight="1">
      <c r="A8" s="186" t="s">
        <v>3552</v>
      </c>
      <c r="B8" s="186" t="s">
        <v>3537</v>
      </c>
      <c r="C8" s="186" t="s">
        <v>3553</v>
      </c>
      <c r="D8" s="186" t="s">
        <v>3540</v>
      </c>
      <c r="E8" s="186" t="s">
        <v>3554</v>
      </c>
      <c r="F8" s="186" t="s">
        <v>3541</v>
      </c>
    </row>
    <row r="9" spans="1:6" ht="15.75" customHeight="1">
      <c r="A9" s="186" t="s">
        <v>3555</v>
      </c>
      <c r="B9" s="186" t="s">
        <v>3537</v>
      </c>
      <c r="C9" s="186" t="s">
        <v>3556</v>
      </c>
      <c r="D9" s="186" t="s">
        <v>3540</v>
      </c>
      <c r="E9" s="186" t="s">
        <v>3557</v>
      </c>
      <c r="F9" s="186" t="s">
        <v>3541</v>
      </c>
    </row>
    <row r="10" spans="1:6" ht="15.75" customHeight="1">
      <c r="A10" s="186" t="s">
        <v>3558</v>
      </c>
      <c r="B10" s="186" t="s">
        <v>3537</v>
      </c>
      <c r="C10" s="186" t="s">
        <v>3559</v>
      </c>
      <c r="D10" s="186" t="s">
        <v>3550</v>
      </c>
      <c r="E10" s="186" t="s">
        <v>3540</v>
      </c>
      <c r="F10" s="186" t="s">
        <v>3541</v>
      </c>
    </row>
    <row r="11" spans="1:6" ht="15.75" customHeight="1">
      <c r="A11" s="186" t="s">
        <v>3560</v>
      </c>
      <c r="B11" s="186" t="s">
        <v>3537</v>
      </c>
      <c r="C11" s="186" t="s">
        <v>3561</v>
      </c>
      <c r="D11" s="186" t="s">
        <v>3554</v>
      </c>
      <c r="E11" s="186" t="s">
        <v>3540</v>
      </c>
      <c r="F11" s="186" t="s">
        <v>3541</v>
      </c>
    </row>
    <row r="12" spans="1:6" ht="15.75" customHeight="1">
      <c r="A12" s="186" t="s">
        <v>3562</v>
      </c>
      <c r="B12" s="186" t="s">
        <v>3537</v>
      </c>
      <c r="C12" s="186" t="s">
        <v>3563</v>
      </c>
      <c r="D12" s="186" t="s">
        <v>3540</v>
      </c>
      <c r="E12" s="186" t="s">
        <v>3564</v>
      </c>
      <c r="F12" s="186" t="s">
        <v>3541</v>
      </c>
    </row>
    <row r="13" spans="1:6" ht="15.75" customHeight="1">
      <c r="A13" s="186" t="s">
        <v>3565</v>
      </c>
      <c r="B13" s="186" t="s">
        <v>3537</v>
      </c>
      <c r="C13" s="186" t="s">
        <v>3563</v>
      </c>
      <c r="D13" s="186" t="s">
        <v>3540</v>
      </c>
      <c r="E13" s="186" t="s">
        <v>3564</v>
      </c>
      <c r="F13" s="186" t="s">
        <v>3541</v>
      </c>
    </row>
    <row r="14" spans="1:6" ht="15.75" customHeight="1">
      <c r="A14" s="186" t="s">
        <v>3566</v>
      </c>
      <c r="B14" s="186" t="s">
        <v>3537</v>
      </c>
      <c r="C14" s="186" t="s">
        <v>3567</v>
      </c>
      <c r="D14" s="186" t="s">
        <v>3557</v>
      </c>
      <c r="E14" s="186" t="s">
        <v>3540</v>
      </c>
      <c r="F14" s="186" t="s">
        <v>3541</v>
      </c>
    </row>
    <row r="15" spans="1:6" ht="15.75" customHeight="1">
      <c r="A15" s="186" t="s">
        <v>3568</v>
      </c>
      <c r="B15" s="186" t="s">
        <v>3569</v>
      </c>
      <c r="C15" s="186" t="s">
        <v>3570</v>
      </c>
      <c r="D15" s="186" t="s">
        <v>3571</v>
      </c>
      <c r="E15" s="186" t="s">
        <v>3571</v>
      </c>
      <c r="F15" s="186" t="s">
        <v>3572</v>
      </c>
    </row>
    <row r="16" spans="1:6" ht="15.75" customHeight="1">
      <c r="A16" s="186" t="s">
        <v>3573</v>
      </c>
      <c r="B16" s="186" t="s">
        <v>3569</v>
      </c>
      <c r="C16" s="186" t="s">
        <v>3570</v>
      </c>
      <c r="D16" s="186" t="s">
        <v>3571</v>
      </c>
      <c r="E16" s="186" t="s">
        <v>3571</v>
      </c>
      <c r="F16" s="186" t="s">
        <v>3572</v>
      </c>
    </row>
    <row r="17" spans="1:6" ht="15.75" customHeight="1">
      <c r="A17" s="186" t="s">
        <v>3574</v>
      </c>
      <c r="B17" s="186" t="s">
        <v>3575</v>
      </c>
      <c r="C17" s="186" t="s">
        <v>3576</v>
      </c>
      <c r="D17" s="186" t="s">
        <v>3577</v>
      </c>
      <c r="E17" s="186" t="s">
        <v>3578</v>
      </c>
      <c r="F17" s="186">
        <v>32851</v>
      </c>
    </row>
    <row r="18" spans="1:6" ht="15.75" customHeight="1">
      <c r="A18" s="186" t="s">
        <v>3579</v>
      </c>
      <c r="B18" s="186" t="s">
        <v>3575</v>
      </c>
      <c r="C18" s="186" t="s">
        <v>3576</v>
      </c>
      <c r="D18" s="186" t="s">
        <v>3577</v>
      </c>
      <c r="E18" s="186" t="s">
        <v>3578</v>
      </c>
      <c r="F18" s="186">
        <v>32851</v>
      </c>
    </row>
    <row r="19" spans="1:6" ht="15.75" customHeight="1">
      <c r="A19" s="186" t="s">
        <v>3580</v>
      </c>
      <c r="B19" s="186" t="s">
        <v>3581</v>
      </c>
      <c r="C19" s="186" t="s">
        <v>3582</v>
      </c>
      <c r="D19" s="186" t="s">
        <v>3550</v>
      </c>
      <c r="E19" s="186" t="s">
        <v>3583</v>
      </c>
      <c r="F19" s="186" t="s">
        <v>3584</v>
      </c>
    </row>
    <row r="20" spans="1:6" ht="15.75" customHeight="1">
      <c r="A20" s="186" t="s">
        <v>3585</v>
      </c>
      <c r="B20" s="186" t="s">
        <v>3581</v>
      </c>
      <c r="C20" s="186" t="s">
        <v>3586</v>
      </c>
      <c r="D20" s="186" t="s">
        <v>3557</v>
      </c>
      <c r="E20" s="186" t="s">
        <v>3583</v>
      </c>
      <c r="F20" s="186" t="s">
        <v>3584</v>
      </c>
    </row>
    <row r="21" spans="1:6" ht="15.75" customHeight="1">
      <c r="A21" s="186" t="s">
        <v>3587</v>
      </c>
      <c r="B21" s="186" t="s">
        <v>3588</v>
      </c>
      <c r="C21" s="186" t="s">
        <v>3589</v>
      </c>
      <c r="D21" s="186" t="s">
        <v>3590</v>
      </c>
      <c r="E21" s="186" t="s">
        <v>3554</v>
      </c>
      <c r="F21" s="186" t="s">
        <v>3591</v>
      </c>
    </row>
    <row r="22" spans="1:6" ht="15.75" customHeight="1">
      <c r="A22" s="186" t="s">
        <v>3592</v>
      </c>
      <c r="B22" s="186" t="s">
        <v>3588</v>
      </c>
      <c r="C22" s="186" t="s">
        <v>3593</v>
      </c>
      <c r="D22" s="186" t="s">
        <v>3590</v>
      </c>
      <c r="E22" s="186" t="s">
        <v>3594</v>
      </c>
      <c r="F22" s="186" t="s">
        <v>3591</v>
      </c>
    </row>
    <row r="23" spans="1:6" ht="15.75" customHeight="1">
      <c r="A23" s="186" t="s">
        <v>3595</v>
      </c>
      <c r="B23" s="186" t="s">
        <v>3588</v>
      </c>
      <c r="C23" s="186" t="s">
        <v>3549</v>
      </c>
      <c r="D23" s="186" t="s">
        <v>3540</v>
      </c>
      <c r="E23" s="186" t="s">
        <v>3550</v>
      </c>
      <c r="F23" s="186" t="s">
        <v>3591</v>
      </c>
    </row>
    <row r="24" spans="1:6" ht="15.75" customHeight="1">
      <c r="A24" s="186" t="s">
        <v>3596</v>
      </c>
      <c r="B24" s="186" t="s">
        <v>3588</v>
      </c>
      <c r="C24" s="186" t="s">
        <v>3549</v>
      </c>
      <c r="D24" s="186" t="s">
        <v>3540</v>
      </c>
      <c r="E24" s="186" t="s">
        <v>3550</v>
      </c>
      <c r="F24" s="186" t="s">
        <v>3591</v>
      </c>
    </row>
    <row r="25" spans="1:6" ht="15.75" customHeight="1">
      <c r="A25" s="186" t="s">
        <v>3597</v>
      </c>
      <c r="B25" s="186" t="s">
        <v>3588</v>
      </c>
      <c r="C25" s="186" t="s">
        <v>3556</v>
      </c>
      <c r="D25" s="186" t="s">
        <v>3540</v>
      </c>
      <c r="E25" s="186" t="s">
        <v>3557</v>
      </c>
      <c r="F25" s="186" t="s">
        <v>3591</v>
      </c>
    </row>
    <row r="26" spans="1:6" ht="15.75" customHeight="1">
      <c r="A26" s="186" t="s">
        <v>3598</v>
      </c>
      <c r="B26" s="186" t="s">
        <v>3588</v>
      </c>
      <c r="C26" s="186" t="s">
        <v>3553</v>
      </c>
      <c r="D26" s="186" t="s">
        <v>3540</v>
      </c>
      <c r="E26" s="186" t="s">
        <v>3554</v>
      </c>
      <c r="F26" s="186" t="s">
        <v>3591</v>
      </c>
    </row>
    <row r="27" spans="1:6" ht="15.75" customHeight="1">
      <c r="A27" s="186" t="s">
        <v>3599</v>
      </c>
      <c r="B27" s="186" t="s">
        <v>3588</v>
      </c>
      <c r="C27" s="186" t="s">
        <v>3600</v>
      </c>
      <c r="D27" s="186" t="s">
        <v>3540</v>
      </c>
      <c r="E27" s="186" t="s">
        <v>3583</v>
      </c>
      <c r="F27" s="186" t="s">
        <v>3591</v>
      </c>
    </row>
    <row r="28" spans="1:6" ht="15.75" customHeight="1">
      <c r="A28" s="186" t="s">
        <v>3601</v>
      </c>
      <c r="B28" s="186" t="s">
        <v>3588</v>
      </c>
      <c r="C28" s="186" t="s">
        <v>3602</v>
      </c>
      <c r="D28" s="186" t="s">
        <v>3540</v>
      </c>
      <c r="E28" s="186" t="s">
        <v>3603</v>
      </c>
      <c r="F28" s="186" t="s">
        <v>3591</v>
      </c>
    </row>
    <row r="29" spans="1:6" ht="15.75" customHeight="1">
      <c r="A29" s="186" t="s">
        <v>3604</v>
      </c>
      <c r="B29" s="186" t="s">
        <v>3588</v>
      </c>
      <c r="C29" s="186" t="s">
        <v>3605</v>
      </c>
      <c r="D29" s="186" t="s">
        <v>3540</v>
      </c>
      <c r="E29" s="186" t="s">
        <v>3583</v>
      </c>
      <c r="F29" s="186" t="s">
        <v>3591</v>
      </c>
    </row>
    <row r="30" spans="1:6" ht="15.75" customHeight="1">
      <c r="A30" s="186" t="s">
        <v>3606</v>
      </c>
      <c r="B30" s="186" t="s">
        <v>3588</v>
      </c>
      <c r="C30" s="186" t="s">
        <v>3605</v>
      </c>
      <c r="D30" s="186" t="s">
        <v>3540</v>
      </c>
      <c r="E30" s="186" t="s">
        <v>3583</v>
      </c>
      <c r="F30" s="186" t="s">
        <v>3591</v>
      </c>
    </row>
    <row r="31" spans="1:6" ht="15.75" customHeight="1">
      <c r="A31" s="186" t="s">
        <v>3607</v>
      </c>
      <c r="B31" s="186" t="s">
        <v>3588</v>
      </c>
      <c r="C31" s="186" t="s">
        <v>3608</v>
      </c>
      <c r="D31" s="186" t="s">
        <v>3540</v>
      </c>
      <c r="E31" s="186" t="s">
        <v>3583</v>
      </c>
      <c r="F31" s="186" t="s">
        <v>3591</v>
      </c>
    </row>
    <row r="32" spans="1:6" ht="15.75" customHeight="1">
      <c r="A32" s="186" t="s">
        <v>3609</v>
      </c>
      <c r="B32" s="186" t="s">
        <v>3588</v>
      </c>
      <c r="C32" s="186" t="s">
        <v>3610</v>
      </c>
      <c r="D32" s="186" t="s">
        <v>3539</v>
      </c>
      <c r="E32" s="186" t="s">
        <v>3603</v>
      </c>
      <c r="F32" s="186" t="s">
        <v>3591</v>
      </c>
    </row>
    <row r="33" spans="1:6" ht="15.75" customHeight="1">
      <c r="A33" s="186" t="s">
        <v>3611</v>
      </c>
      <c r="B33" s="186" t="s">
        <v>3588</v>
      </c>
      <c r="C33" s="186" t="s">
        <v>3602</v>
      </c>
      <c r="D33" s="186" t="s">
        <v>3540</v>
      </c>
      <c r="E33" s="186" t="s">
        <v>3603</v>
      </c>
      <c r="F33" s="186" t="s">
        <v>3591</v>
      </c>
    </row>
    <row r="34" spans="1:6" ht="15.75" customHeight="1">
      <c r="A34" s="186" t="s">
        <v>3612</v>
      </c>
      <c r="B34" s="186" t="s">
        <v>3588</v>
      </c>
      <c r="C34" s="186" t="s">
        <v>3582</v>
      </c>
      <c r="D34" s="186" t="s">
        <v>3550</v>
      </c>
      <c r="E34" s="186" t="s">
        <v>3583</v>
      </c>
      <c r="F34" s="186" t="s">
        <v>3591</v>
      </c>
    </row>
    <row r="35" spans="1:6" ht="15.75" customHeight="1">
      <c r="A35" s="186" t="s">
        <v>3613</v>
      </c>
      <c r="B35" s="186" t="s">
        <v>3588</v>
      </c>
      <c r="C35" s="186" t="s">
        <v>3614</v>
      </c>
      <c r="D35" s="186" t="s">
        <v>3583</v>
      </c>
      <c r="E35" s="186" t="s">
        <v>3550</v>
      </c>
      <c r="F35" s="186" t="s">
        <v>3591</v>
      </c>
    </row>
    <row r="36" spans="1:6" ht="15.75" customHeight="1">
      <c r="A36" s="186" t="s">
        <v>3615</v>
      </c>
      <c r="B36" s="186" t="s">
        <v>3588</v>
      </c>
      <c r="C36" s="186" t="s">
        <v>3586</v>
      </c>
      <c r="D36" s="186" t="s">
        <v>3557</v>
      </c>
      <c r="E36" s="186" t="s">
        <v>3583</v>
      </c>
      <c r="F36" s="186" t="s">
        <v>3591</v>
      </c>
    </row>
    <row r="37" spans="1:6" ht="15.75" customHeight="1">
      <c r="A37" s="186" t="s">
        <v>3616</v>
      </c>
      <c r="B37" s="186" t="s">
        <v>3588</v>
      </c>
      <c r="C37" s="186" t="s">
        <v>3617</v>
      </c>
      <c r="D37" s="186" t="s">
        <v>3564</v>
      </c>
      <c r="E37" s="186" t="s">
        <v>3554</v>
      </c>
      <c r="F37" s="186" t="s">
        <v>3591</v>
      </c>
    </row>
    <row r="38" spans="1:6" ht="15.75" customHeight="1">
      <c r="A38" s="186" t="s">
        <v>3618</v>
      </c>
      <c r="B38" s="186" t="s">
        <v>3619</v>
      </c>
      <c r="C38" s="186" t="s">
        <v>3589</v>
      </c>
      <c r="D38" s="186" t="s">
        <v>3590</v>
      </c>
      <c r="E38" s="186" t="s">
        <v>3554</v>
      </c>
      <c r="F38" s="186" t="s">
        <v>3620</v>
      </c>
    </row>
    <row r="39" spans="1:6" ht="15.75" customHeight="1">
      <c r="A39" s="186" t="s">
        <v>3621</v>
      </c>
      <c r="B39" s="186" t="s">
        <v>3619</v>
      </c>
      <c r="C39" s="186" t="s">
        <v>3589</v>
      </c>
      <c r="D39" s="186" t="s">
        <v>3590</v>
      </c>
      <c r="E39" s="186" t="s">
        <v>3554</v>
      </c>
      <c r="F39" s="186" t="s">
        <v>3620</v>
      </c>
    </row>
    <row r="40" spans="1:6" ht="12.75">
      <c r="A40" s="186" t="s">
        <v>3622</v>
      </c>
      <c r="B40" s="186" t="s">
        <v>3619</v>
      </c>
      <c r="C40" s="186" t="s">
        <v>3589</v>
      </c>
      <c r="D40" s="186" t="s">
        <v>3590</v>
      </c>
      <c r="E40" s="186" t="s">
        <v>3554</v>
      </c>
      <c r="F40" s="186" t="s">
        <v>3620</v>
      </c>
    </row>
    <row r="41" spans="1:6" ht="12.75">
      <c r="A41" s="186" t="s">
        <v>3623</v>
      </c>
      <c r="B41" s="186" t="s">
        <v>3619</v>
      </c>
      <c r="C41" s="186" t="s">
        <v>3593</v>
      </c>
      <c r="D41" s="186" t="s">
        <v>3590</v>
      </c>
      <c r="E41" s="186" t="s">
        <v>3594</v>
      </c>
      <c r="F41" s="186" t="s">
        <v>3620</v>
      </c>
    </row>
    <row r="42" spans="1:6" ht="12.75">
      <c r="A42" s="186" t="s">
        <v>3624</v>
      </c>
      <c r="B42" s="186" t="s">
        <v>3619</v>
      </c>
      <c r="C42" s="186" t="s">
        <v>3593</v>
      </c>
      <c r="D42" s="186" t="s">
        <v>3590</v>
      </c>
      <c r="E42" s="186" t="s">
        <v>3594</v>
      </c>
      <c r="F42" s="186" t="s">
        <v>3620</v>
      </c>
    </row>
    <row r="43" spans="1:6" ht="12.75">
      <c r="A43" s="186" t="s">
        <v>3625</v>
      </c>
      <c r="B43" s="186" t="s">
        <v>3619</v>
      </c>
      <c r="C43" s="186" t="s">
        <v>3593</v>
      </c>
      <c r="D43" s="186" t="s">
        <v>3590</v>
      </c>
      <c r="E43" s="186" t="s">
        <v>3594</v>
      </c>
      <c r="F43" s="186" t="s">
        <v>3620</v>
      </c>
    </row>
    <row r="44" spans="1:6" ht="12.75">
      <c r="A44" s="186" t="s">
        <v>3626</v>
      </c>
      <c r="B44" s="186" t="s">
        <v>3619</v>
      </c>
      <c r="C44" s="186" t="s">
        <v>3627</v>
      </c>
      <c r="D44" s="186" t="s">
        <v>3628</v>
      </c>
      <c r="E44" s="186" t="s">
        <v>3603</v>
      </c>
      <c r="F44" s="186" t="s">
        <v>3629</v>
      </c>
    </row>
    <row r="45" spans="1:6" ht="12.75">
      <c r="A45" s="186" t="s">
        <v>3630</v>
      </c>
      <c r="B45" s="186" t="s">
        <v>3619</v>
      </c>
      <c r="C45" s="186" t="s">
        <v>3631</v>
      </c>
      <c r="D45" s="186" t="s">
        <v>3632</v>
      </c>
      <c r="E45" s="186" t="s">
        <v>3603</v>
      </c>
      <c r="F45" s="186" t="s">
        <v>3629</v>
      </c>
    </row>
    <row r="46" spans="1:6" ht="12.75">
      <c r="A46" s="186" t="s">
        <v>3633</v>
      </c>
      <c r="B46" s="186" t="s">
        <v>3619</v>
      </c>
      <c r="C46" s="186" t="s">
        <v>3634</v>
      </c>
      <c r="D46" s="186" t="s">
        <v>3550</v>
      </c>
      <c r="E46" s="186" t="s">
        <v>3550</v>
      </c>
      <c r="F46" s="186" t="s">
        <v>3629</v>
      </c>
    </row>
    <row r="47" spans="1:6" ht="12.75">
      <c r="A47" s="186" t="s">
        <v>3635</v>
      </c>
      <c r="B47" s="186" t="s">
        <v>3619</v>
      </c>
      <c r="C47" s="186" t="s">
        <v>3636</v>
      </c>
      <c r="D47" s="186" t="s">
        <v>3550</v>
      </c>
      <c r="E47" s="186" t="s">
        <v>3583</v>
      </c>
      <c r="F47" s="186" t="s">
        <v>3629</v>
      </c>
    </row>
    <row r="48" spans="1:6" ht="12.75">
      <c r="A48" s="186" t="s">
        <v>3637</v>
      </c>
      <c r="B48" s="186" t="s">
        <v>3619</v>
      </c>
      <c r="C48" s="186" t="s">
        <v>3638</v>
      </c>
      <c r="D48" s="186" t="s">
        <v>3632</v>
      </c>
      <c r="E48" s="186" t="s">
        <v>3550</v>
      </c>
      <c r="F48" s="186" t="s">
        <v>3629</v>
      </c>
    </row>
    <row r="49" spans="1:6" ht="12.75">
      <c r="A49" s="186" t="s">
        <v>3639</v>
      </c>
      <c r="B49" s="186" t="s">
        <v>3619</v>
      </c>
      <c r="C49" s="186" t="s">
        <v>3636</v>
      </c>
      <c r="D49" s="186" t="s">
        <v>3550</v>
      </c>
      <c r="E49" s="186" t="s">
        <v>3583</v>
      </c>
      <c r="F49" s="186" t="s">
        <v>3629</v>
      </c>
    </row>
    <row r="50" spans="1:6" ht="12.75">
      <c r="A50" s="186" t="s">
        <v>3640</v>
      </c>
      <c r="B50" s="186" t="s">
        <v>3619</v>
      </c>
      <c r="C50" s="186" t="s">
        <v>3636</v>
      </c>
      <c r="D50" s="186" t="s">
        <v>3550</v>
      </c>
      <c r="E50" s="186" t="s">
        <v>3583</v>
      </c>
      <c r="F50" s="186" t="s">
        <v>3629</v>
      </c>
    </row>
    <row r="51" spans="1:6" ht="12.75">
      <c r="A51" s="186" t="s">
        <v>3641</v>
      </c>
      <c r="B51" s="186" t="s">
        <v>3619</v>
      </c>
      <c r="C51" s="186" t="s">
        <v>3636</v>
      </c>
      <c r="D51" s="186" t="s">
        <v>3550</v>
      </c>
      <c r="E51" s="186" t="s">
        <v>3583</v>
      </c>
      <c r="F51" s="186" t="s">
        <v>3629</v>
      </c>
    </row>
    <row r="52" spans="1:6" ht="12.75">
      <c r="A52" s="186" t="s">
        <v>3642</v>
      </c>
      <c r="B52" s="186" t="s">
        <v>3619</v>
      </c>
      <c r="C52" s="186" t="s">
        <v>3636</v>
      </c>
      <c r="D52" s="186" t="s">
        <v>3550</v>
      </c>
      <c r="E52" s="186" t="s">
        <v>3583</v>
      </c>
      <c r="F52" s="186" t="s">
        <v>3629</v>
      </c>
    </row>
    <row r="53" spans="1:6" ht="12.75">
      <c r="A53" s="186" t="s">
        <v>3643</v>
      </c>
      <c r="B53" s="186" t="s">
        <v>3619</v>
      </c>
      <c r="C53" s="186" t="s">
        <v>3636</v>
      </c>
      <c r="D53" s="186" t="s">
        <v>3550</v>
      </c>
      <c r="E53" s="186" t="s">
        <v>3583</v>
      </c>
      <c r="F53" s="186" t="s">
        <v>3629</v>
      </c>
    </row>
    <row r="54" spans="1:6" ht="12.75">
      <c r="A54" s="186" t="s">
        <v>3644</v>
      </c>
      <c r="B54" s="186" t="s">
        <v>3619</v>
      </c>
      <c r="C54" s="186" t="s">
        <v>3636</v>
      </c>
      <c r="D54" s="186" t="s">
        <v>3550</v>
      </c>
      <c r="E54" s="186" t="s">
        <v>3583</v>
      </c>
      <c r="F54" s="186" t="s">
        <v>3629</v>
      </c>
    </row>
    <row r="55" spans="1:6" ht="12.75">
      <c r="A55" s="186" t="s">
        <v>3645</v>
      </c>
      <c r="B55" s="186" t="s">
        <v>3619</v>
      </c>
      <c r="C55" s="186" t="s">
        <v>3636</v>
      </c>
      <c r="D55" s="186" t="s">
        <v>3550</v>
      </c>
      <c r="E55" s="186" t="s">
        <v>3583</v>
      </c>
      <c r="F55" s="186" t="s">
        <v>3629</v>
      </c>
    </row>
    <row r="56" spans="1:6" ht="12.75">
      <c r="A56" s="186" t="s">
        <v>3646</v>
      </c>
      <c r="B56" s="186" t="s">
        <v>3619</v>
      </c>
      <c r="C56" s="186" t="s">
        <v>3647</v>
      </c>
      <c r="D56" s="186" t="s">
        <v>3550</v>
      </c>
      <c r="E56" s="186" t="s">
        <v>3628</v>
      </c>
      <c r="F56" s="186" t="s">
        <v>3629</v>
      </c>
    </row>
    <row r="57" spans="1:6" ht="12.75">
      <c r="A57" s="186" t="s">
        <v>3648</v>
      </c>
      <c r="B57" s="186" t="s">
        <v>3619</v>
      </c>
      <c r="C57" s="186" t="s">
        <v>3647</v>
      </c>
      <c r="D57" s="186" t="s">
        <v>3550</v>
      </c>
      <c r="E57" s="186" t="s">
        <v>3628</v>
      </c>
      <c r="F57" s="186" t="s">
        <v>3629</v>
      </c>
    </row>
    <row r="58" spans="1:6" ht="12.75">
      <c r="A58" s="186" t="s">
        <v>3649</v>
      </c>
      <c r="B58" s="186" t="s">
        <v>3619</v>
      </c>
      <c r="C58" s="186" t="s">
        <v>3631</v>
      </c>
      <c r="D58" s="186" t="s">
        <v>3632</v>
      </c>
      <c r="E58" s="186" t="s">
        <v>3603</v>
      </c>
      <c r="F58" s="186" t="s">
        <v>3629</v>
      </c>
    </row>
    <row r="59" spans="1:6" ht="12.75">
      <c r="A59" s="186" t="s">
        <v>3650</v>
      </c>
      <c r="B59" s="186" t="s">
        <v>3619</v>
      </c>
      <c r="C59" s="186" t="s">
        <v>3651</v>
      </c>
      <c r="D59" s="186" t="s">
        <v>3632</v>
      </c>
      <c r="E59" s="186" t="s">
        <v>3632</v>
      </c>
      <c r="F59" s="186" t="s">
        <v>3629</v>
      </c>
    </row>
    <row r="60" spans="1:6" ht="12.75">
      <c r="A60" s="186" t="s">
        <v>3652</v>
      </c>
      <c r="B60" s="186" t="s">
        <v>3619</v>
      </c>
      <c r="C60" s="186" t="s">
        <v>3651</v>
      </c>
      <c r="D60" s="186" t="s">
        <v>3632</v>
      </c>
      <c r="E60" s="186" t="s">
        <v>3632</v>
      </c>
      <c r="F60" s="186" t="s">
        <v>3629</v>
      </c>
    </row>
    <row r="61" spans="1:6" ht="12.75">
      <c r="A61" s="186" t="s">
        <v>3653</v>
      </c>
      <c r="B61" s="186" t="s">
        <v>3619</v>
      </c>
      <c r="C61" s="186" t="s">
        <v>3651</v>
      </c>
      <c r="D61" s="186" t="s">
        <v>3632</v>
      </c>
      <c r="E61" s="186" t="s">
        <v>3632</v>
      </c>
      <c r="F61" s="186" t="s">
        <v>3629</v>
      </c>
    </row>
    <row r="62" spans="1:6" ht="12.75">
      <c r="A62" s="186" t="s">
        <v>3654</v>
      </c>
      <c r="B62" s="186" t="s">
        <v>3619</v>
      </c>
      <c r="C62" s="186" t="s">
        <v>3655</v>
      </c>
      <c r="D62" s="186" t="s">
        <v>3603</v>
      </c>
      <c r="E62" s="186" t="s">
        <v>3603</v>
      </c>
      <c r="F62" s="186" t="s">
        <v>3629</v>
      </c>
    </row>
    <row r="63" spans="1:6" ht="12.75">
      <c r="A63" s="186" t="s">
        <v>3656</v>
      </c>
      <c r="B63" s="186" t="s">
        <v>3619</v>
      </c>
      <c r="C63" s="186" t="s">
        <v>3657</v>
      </c>
      <c r="D63" s="186" t="s">
        <v>3603</v>
      </c>
      <c r="E63" s="186" t="s">
        <v>3632</v>
      </c>
      <c r="F63" s="186" t="s">
        <v>3629</v>
      </c>
    </row>
    <row r="64" spans="1:6" ht="12.75">
      <c r="A64" s="186" t="s">
        <v>3658</v>
      </c>
      <c r="B64" s="186" t="s">
        <v>3619</v>
      </c>
      <c r="C64" s="186" t="s">
        <v>3657</v>
      </c>
      <c r="D64" s="186" t="s">
        <v>3603</v>
      </c>
      <c r="E64" s="186" t="s">
        <v>3632</v>
      </c>
      <c r="F64" s="186" t="s">
        <v>3629</v>
      </c>
    </row>
    <row r="65" spans="1:6" ht="12.75">
      <c r="A65" s="186" t="s">
        <v>3659</v>
      </c>
      <c r="B65" s="186" t="s">
        <v>3619</v>
      </c>
      <c r="C65" s="186" t="s">
        <v>3631</v>
      </c>
      <c r="D65" s="186" t="s">
        <v>3632</v>
      </c>
      <c r="E65" s="186" t="s">
        <v>3603</v>
      </c>
      <c r="F65" s="186" t="s">
        <v>3629</v>
      </c>
    </row>
    <row r="66" spans="1:6" ht="12.75">
      <c r="A66" s="186" t="s">
        <v>3660</v>
      </c>
      <c r="B66" s="186" t="s">
        <v>3619</v>
      </c>
      <c r="C66" s="186" t="s">
        <v>3631</v>
      </c>
      <c r="D66" s="186" t="s">
        <v>3632</v>
      </c>
      <c r="E66" s="186" t="s">
        <v>3603</v>
      </c>
      <c r="F66" s="186" t="s">
        <v>3629</v>
      </c>
    </row>
    <row r="67" spans="1:6" ht="12.75">
      <c r="A67" s="186" t="s">
        <v>3661</v>
      </c>
      <c r="B67" s="186" t="s">
        <v>3619</v>
      </c>
      <c r="C67" s="186" t="s">
        <v>3662</v>
      </c>
      <c r="D67" s="186" t="s">
        <v>1028</v>
      </c>
      <c r="E67" s="186" t="s">
        <v>1028</v>
      </c>
      <c r="F67" s="186" t="s">
        <v>3629</v>
      </c>
    </row>
    <row r="68" spans="1:6" ht="12.75">
      <c r="A68" s="186" t="s">
        <v>3663</v>
      </c>
      <c r="B68" s="186" t="s">
        <v>3619</v>
      </c>
      <c r="C68" s="186" t="s">
        <v>3662</v>
      </c>
      <c r="D68" s="186" t="s">
        <v>1028</v>
      </c>
      <c r="E68" s="186" t="s">
        <v>1028</v>
      </c>
      <c r="F68" s="186" t="s">
        <v>3629</v>
      </c>
    </row>
    <row r="69" spans="1:6" ht="12.75">
      <c r="A69" s="186" t="s">
        <v>3664</v>
      </c>
      <c r="B69" s="186" t="s">
        <v>3619</v>
      </c>
      <c r="C69" s="186" t="s">
        <v>3662</v>
      </c>
      <c r="D69" s="186" t="s">
        <v>1028</v>
      </c>
      <c r="E69" s="186" t="s">
        <v>1028</v>
      </c>
      <c r="F69" s="186" t="s">
        <v>3629</v>
      </c>
    </row>
    <row r="70" spans="1:6" ht="12.75">
      <c r="A70" s="186" t="s">
        <v>3665</v>
      </c>
      <c r="B70" s="186" t="s">
        <v>3619</v>
      </c>
      <c r="C70" s="186" t="s">
        <v>3662</v>
      </c>
      <c r="D70" s="186" t="s">
        <v>1028</v>
      </c>
      <c r="E70" s="186" t="s">
        <v>1028</v>
      </c>
      <c r="F70" s="186" t="s">
        <v>3629</v>
      </c>
    </row>
    <row r="71" spans="1:6" ht="12.75">
      <c r="A71" s="186" t="s">
        <v>3666</v>
      </c>
      <c r="B71" s="186" t="s">
        <v>3619</v>
      </c>
      <c r="C71" s="186" t="s">
        <v>3662</v>
      </c>
      <c r="D71" s="186" t="s">
        <v>1028</v>
      </c>
      <c r="E71" s="186" t="s">
        <v>1028</v>
      </c>
      <c r="F71" s="186" t="s">
        <v>3629</v>
      </c>
    </row>
    <row r="72" spans="1:6" ht="12.75">
      <c r="A72" s="186" t="s">
        <v>3667</v>
      </c>
      <c r="B72" s="186" t="s">
        <v>3619</v>
      </c>
      <c r="C72" s="186" t="s">
        <v>3662</v>
      </c>
      <c r="D72" s="186" t="s">
        <v>1028</v>
      </c>
      <c r="E72" s="186" t="s">
        <v>1028</v>
      </c>
      <c r="F72" s="186" t="s">
        <v>3629</v>
      </c>
    </row>
    <row r="73" spans="1:6" ht="12.75">
      <c r="A73" s="186" t="s">
        <v>3668</v>
      </c>
      <c r="B73" s="186" t="s">
        <v>3619</v>
      </c>
      <c r="C73" s="186" t="s">
        <v>3631</v>
      </c>
      <c r="D73" s="186" t="s">
        <v>3632</v>
      </c>
      <c r="E73" s="186" t="s">
        <v>3603</v>
      </c>
      <c r="F73" s="186" t="s">
        <v>3629</v>
      </c>
    </row>
    <row r="74" spans="1:6" ht="12.75">
      <c r="A74" s="186" t="s">
        <v>3669</v>
      </c>
      <c r="B74" s="186" t="s">
        <v>3619</v>
      </c>
      <c r="C74" s="186" t="s">
        <v>3631</v>
      </c>
      <c r="D74" s="186" t="s">
        <v>3632</v>
      </c>
      <c r="E74" s="186" t="s">
        <v>3603</v>
      </c>
      <c r="F74" s="186" t="s">
        <v>3629</v>
      </c>
    </row>
    <row r="75" spans="1:6" ht="12.75">
      <c r="A75" s="186" t="s">
        <v>3670</v>
      </c>
      <c r="B75" s="186" t="s">
        <v>3619</v>
      </c>
      <c r="C75" s="186" t="s">
        <v>3631</v>
      </c>
      <c r="D75" s="186" t="s">
        <v>3632</v>
      </c>
      <c r="E75" s="186" t="s">
        <v>3603</v>
      </c>
      <c r="F75" s="186" t="s">
        <v>3629</v>
      </c>
    </row>
    <row r="76" spans="1:6" ht="12.75">
      <c r="A76" s="186" t="s">
        <v>3671</v>
      </c>
      <c r="B76" s="186" t="s">
        <v>3619</v>
      </c>
      <c r="C76" s="186" t="s">
        <v>3631</v>
      </c>
      <c r="D76" s="186" t="s">
        <v>3632</v>
      </c>
      <c r="E76" s="186" t="s">
        <v>3603</v>
      </c>
      <c r="F76" s="186" t="s">
        <v>3629</v>
      </c>
    </row>
    <row r="77" spans="1:6" ht="12.75">
      <c r="A77" s="186" t="s">
        <v>3672</v>
      </c>
      <c r="B77" s="186" t="s">
        <v>3619</v>
      </c>
      <c r="C77" s="186" t="s">
        <v>3631</v>
      </c>
      <c r="D77" s="186" t="s">
        <v>3632</v>
      </c>
      <c r="E77" s="186" t="s">
        <v>3603</v>
      </c>
      <c r="F77" s="186" t="s">
        <v>3629</v>
      </c>
    </row>
    <row r="78" spans="1:6" ht="12.75">
      <c r="A78" s="186" t="s">
        <v>3673</v>
      </c>
      <c r="B78" s="186" t="s">
        <v>3619</v>
      </c>
      <c r="C78" s="186" t="s">
        <v>3657</v>
      </c>
      <c r="D78" s="186" t="s">
        <v>3603</v>
      </c>
      <c r="E78" s="186" t="s">
        <v>3632</v>
      </c>
      <c r="F78" s="186" t="s">
        <v>3629</v>
      </c>
    </row>
    <row r="79" spans="1:6" ht="12.75">
      <c r="A79" s="186" t="s">
        <v>3674</v>
      </c>
      <c r="B79" s="186" t="s">
        <v>3619</v>
      </c>
      <c r="C79" s="186" t="s">
        <v>3631</v>
      </c>
      <c r="D79" s="186" t="s">
        <v>3632</v>
      </c>
      <c r="E79" s="186" t="s">
        <v>3603</v>
      </c>
      <c r="F79" s="186" t="s">
        <v>3629</v>
      </c>
    </row>
    <row r="80" spans="1:6" ht="12.75">
      <c r="A80" s="186" t="s">
        <v>3675</v>
      </c>
      <c r="B80" s="186" t="s">
        <v>3619</v>
      </c>
      <c r="C80" s="186" t="s">
        <v>3631</v>
      </c>
      <c r="D80" s="186" t="s">
        <v>3632</v>
      </c>
      <c r="E80" s="186" t="s">
        <v>3603</v>
      </c>
      <c r="F80" s="186" t="s">
        <v>3629</v>
      </c>
    </row>
    <row r="81" spans="1:6" ht="12.75">
      <c r="A81" s="186" t="s">
        <v>3676</v>
      </c>
      <c r="B81" s="186" t="s">
        <v>3619</v>
      </c>
      <c r="C81" s="186" t="s">
        <v>3631</v>
      </c>
      <c r="D81" s="186" t="s">
        <v>3632</v>
      </c>
      <c r="E81" s="186" t="s">
        <v>3603</v>
      </c>
      <c r="F81" s="186" t="s">
        <v>3629</v>
      </c>
    </row>
    <row r="82" spans="1:6" ht="12.75">
      <c r="A82" s="186" t="s">
        <v>3677</v>
      </c>
      <c r="B82" s="186" t="s">
        <v>3619</v>
      </c>
      <c r="C82" s="186" t="s">
        <v>3631</v>
      </c>
      <c r="D82" s="186" t="s">
        <v>3632</v>
      </c>
      <c r="E82" s="186" t="s">
        <v>3603</v>
      </c>
      <c r="F82" s="186" t="s">
        <v>3629</v>
      </c>
    </row>
    <row r="83" spans="1:6" ht="12.75">
      <c r="A83" s="186" t="s">
        <v>3678</v>
      </c>
      <c r="B83" s="186" t="s">
        <v>3619</v>
      </c>
      <c r="C83" s="186" t="s">
        <v>3657</v>
      </c>
      <c r="D83" s="186" t="s">
        <v>3603</v>
      </c>
      <c r="E83" s="186" t="s">
        <v>3632</v>
      </c>
      <c r="F83" s="186" t="s">
        <v>3629</v>
      </c>
    </row>
    <row r="84" spans="1:6" ht="12.75">
      <c r="A84" s="186" t="s">
        <v>3679</v>
      </c>
      <c r="B84" s="186" t="s">
        <v>3619</v>
      </c>
      <c r="C84" s="186" t="s">
        <v>3657</v>
      </c>
      <c r="D84" s="186" t="s">
        <v>3603</v>
      </c>
      <c r="E84" s="186" t="s">
        <v>3632</v>
      </c>
      <c r="F84" s="186" t="s">
        <v>3629</v>
      </c>
    </row>
    <row r="85" spans="1:6" ht="12.75">
      <c r="A85" s="186" t="s">
        <v>3680</v>
      </c>
      <c r="B85" s="186" t="s">
        <v>3619</v>
      </c>
      <c r="C85" s="186" t="s">
        <v>3657</v>
      </c>
      <c r="D85" s="186" t="s">
        <v>3603</v>
      </c>
      <c r="E85" s="186" t="s">
        <v>3632</v>
      </c>
      <c r="F85" s="186" t="s">
        <v>3629</v>
      </c>
    </row>
    <row r="86" spans="1:6" ht="12.75">
      <c r="A86" s="186" t="s">
        <v>3681</v>
      </c>
      <c r="B86" s="186" t="s">
        <v>3619</v>
      </c>
      <c r="C86" s="186" t="s">
        <v>3631</v>
      </c>
      <c r="D86" s="186" t="s">
        <v>3632</v>
      </c>
      <c r="E86" s="186" t="s">
        <v>3603</v>
      </c>
      <c r="F86" s="186" t="s">
        <v>3629</v>
      </c>
    </row>
    <row r="87" spans="1:6" ht="12.75">
      <c r="A87" s="186" t="s">
        <v>3682</v>
      </c>
      <c r="B87" s="186" t="s">
        <v>3619</v>
      </c>
      <c r="C87" s="186" t="s">
        <v>3657</v>
      </c>
      <c r="D87" s="186" t="s">
        <v>3603</v>
      </c>
      <c r="E87" s="186" t="s">
        <v>3632</v>
      </c>
      <c r="F87" s="186" t="s">
        <v>3629</v>
      </c>
    </row>
    <row r="88" spans="1:6" ht="12.75">
      <c r="A88" s="186" t="s">
        <v>3683</v>
      </c>
      <c r="B88" s="186" t="s">
        <v>3619</v>
      </c>
      <c r="C88" s="186" t="s">
        <v>3657</v>
      </c>
      <c r="D88" s="186" t="s">
        <v>3603</v>
      </c>
      <c r="E88" s="186" t="s">
        <v>3632</v>
      </c>
      <c r="F88" s="186" t="s">
        <v>3629</v>
      </c>
    </row>
    <row r="89" spans="1:6" ht="12.75">
      <c r="A89" s="186" t="s">
        <v>3684</v>
      </c>
      <c r="B89" s="186" t="s">
        <v>3619</v>
      </c>
      <c r="C89" s="186" t="s">
        <v>3685</v>
      </c>
      <c r="D89" s="186" t="s">
        <v>3590</v>
      </c>
      <c r="E89" s="186" t="s">
        <v>3540</v>
      </c>
      <c r="F89" s="186" t="s">
        <v>3629</v>
      </c>
    </row>
    <row r="90" spans="1:6" ht="12.75">
      <c r="A90" s="186" t="s">
        <v>3686</v>
      </c>
      <c r="B90" s="186" t="s">
        <v>3619</v>
      </c>
      <c r="C90" s="186" t="s">
        <v>3685</v>
      </c>
      <c r="D90" s="186" t="s">
        <v>3590</v>
      </c>
      <c r="E90" s="186" t="s">
        <v>3540</v>
      </c>
      <c r="F90" s="186" t="s">
        <v>3629</v>
      </c>
    </row>
    <row r="91" spans="1:6" ht="12.75">
      <c r="A91" s="186" t="s">
        <v>3687</v>
      </c>
      <c r="B91" s="186" t="s">
        <v>3619</v>
      </c>
      <c r="C91" s="186" t="s">
        <v>3543</v>
      </c>
      <c r="D91" s="186" t="s">
        <v>3540</v>
      </c>
      <c r="E91" s="186" t="s">
        <v>3540</v>
      </c>
      <c r="F91" s="186" t="s">
        <v>3629</v>
      </c>
    </row>
    <row r="92" spans="1:6" ht="12.75">
      <c r="A92" s="186" t="s">
        <v>3688</v>
      </c>
      <c r="B92" s="186" t="s">
        <v>3619</v>
      </c>
      <c r="C92" s="186" t="s">
        <v>3689</v>
      </c>
      <c r="D92" s="186" t="s">
        <v>3628</v>
      </c>
      <c r="E92" s="186" t="s">
        <v>3540</v>
      </c>
      <c r="F92" s="186" t="s">
        <v>3629</v>
      </c>
    </row>
    <row r="93" spans="1:6" ht="12.75">
      <c r="A93" s="186" t="s">
        <v>3690</v>
      </c>
      <c r="B93" s="186" t="s">
        <v>3619</v>
      </c>
      <c r="C93" s="186" t="s">
        <v>3543</v>
      </c>
      <c r="D93" s="186" t="s">
        <v>3540</v>
      </c>
      <c r="E93" s="186" t="s">
        <v>3540</v>
      </c>
      <c r="F93" s="186" t="s">
        <v>3629</v>
      </c>
    </row>
    <row r="94" spans="1:6" ht="12.75">
      <c r="A94" s="186" t="s">
        <v>3691</v>
      </c>
      <c r="B94" s="186" t="s">
        <v>3619</v>
      </c>
      <c r="C94" s="186" t="s">
        <v>3692</v>
      </c>
      <c r="D94" s="186" t="s">
        <v>3540</v>
      </c>
      <c r="E94" s="186" t="s">
        <v>3628</v>
      </c>
      <c r="F94" s="186" t="s">
        <v>3629</v>
      </c>
    </row>
    <row r="95" spans="1:6" ht="12.75">
      <c r="A95" s="186" t="s">
        <v>3693</v>
      </c>
      <c r="B95" s="186" t="s">
        <v>3619</v>
      </c>
      <c r="C95" s="186" t="s">
        <v>3692</v>
      </c>
      <c r="D95" s="186" t="s">
        <v>3540</v>
      </c>
      <c r="E95" s="186" t="s">
        <v>3628</v>
      </c>
      <c r="F95" s="186" t="s">
        <v>3629</v>
      </c>
    </row>
    <row r="96" spans="1:6" ht="12.75">
      <c r="A96" s="186" t="s">
        <v>3694</v>
      </c>
      <c r="B96" s="186" t="s">
        <v>3619</v>
      </c>
      <c r="C96" s="186" t="s">
        <v>3692</v>
      </c>
      <c r="D96" s="186" t="s">
        <v>3540</v>
      </c>
      <c r="E96" s="186" t="s">
        <v>3628</v>
      </c>
      <c r="F96" s="186" t="s">
        <v>3629</v>
      </c>
    </row>
    <row r="97" spans="1:6" ht="12.75">
      <c r="A97" s="186" t="s">
        <v>3695</v>
      </c>
      <c r="B97" s="186" t="s">
        <v>3619</v>
      </c>
      <c r="C97" s="186" t="s">
        <v>3692</v>
      </c>
      <c r="D97" s="186" t="s">
        <v>3540</v>
      </c>
      <c r="E97" s="186" t="s">
        <v>3628</v>
      </c>
      <c r="F97" s="186" t="s">
        <v>3629</v>
      </c>
    </row>
    <row r="98" spans="1:6" ht="12.75">
      <c r="A98" s="186" t="s">
        <v>3696</v>
      </c>
      <c r="B98" s="186" t="s">
        <v>3619</v>
      </c>
      <c r="C98" s="186" t="s">
        <v>3692</v>
      </c>
      <c r="D98" s="186" t="s">
        <v>3540</v>
      </c>
      <c r="E98" s="186" t="s">
        <v>3628</v>
      </c>
      <c r="F98" s="186" t="s">
        <v>3629</v>
      </c>
    </row>
    <row r="99" spans="1:6" ht="12.75">
      <c r="A99" s="186" t="s">
        <v>3697</v>
      </c>
      <c r="B99" s="186" t="s">
        <v>3619</v>
      </c>
      <c r="C99" s="186" t="s">
        <v>3692</v>
      </c>
      <c r="D99" s="186" t="s">
        <v>3540</v>
      </c>
      <c r="E99" s="186" t="s">
        <v>3628</v>
      </c>
      <c r="F99" s="186" t="s">
        <v>3629</v>
      </c>
    </row>
    <row r="100" spans="1:6" ht="12.75">
      <c r="A100" s="186" t="s">
        <v>3698</v>
      </c>
      <c r="B100" s="186" t="s">
        <v>3619</v>
      </c>
      <c r="C100" s="186" t="s">
        <v>3602</v>
      </c>
      <c r="D100" s="186" t="s">
        <v>3540</v>
      </c>
      <c r="E100" s="186" t="s">
        <v>3603</v>
      </c>
      <c r="F100" s="186" t="s">
        <v>3629</v>
      </c>
    </row>
    <row r="101" spans="1:6" ht="12.75">
      <c r="A101" s="186" t="s">
        <v>3699</v>
      </c>
      <c r="B101" s="186" t="s">
        <v>3619</v>
      </c>
      <c r="C101" s="186" t="s">
        <v>3700</v>
      </c>
      <c r="D101" s="186" t="s">
        <v>3539</v>
      </c>
      <c r="E101" s="186" t="s">
        <v>3539</v>
      </c>
      <c r="F101" s="186" t="s">
        <v>3629</v>
      </c>
    </row>
    <row r="102" spans="1:6" ht="12.75">
      <c r="A102" s="186" t="s">
        <v>3701</v>
      </c>
      <c r="B102" s="186" t="s">
        <v>3619</v>
      </c>
      <c r="C102" s="186" t="s">
        <v>3700</v>
      </c>
      <c r="D102" s="186" t="s">
        <v>3539</v>
      </c>
      <c r="E102" s="186" t="s">
        <v>3539</v>
      </c>
      <c r="F102" s="186" t="s">
        <v>3629</v>
      </c>
    </row>
    <row r="103" spans="1:6" ht="12.75">
      <c r="A103" s="186" t="s">
        <v>3702</v>
      </c>
      <c r="B103" s="186" t="s">
        <v>3619</v>
      </c>
      <c r="C103" s="186" t="s">
        <v>3700</v>
      </c>
      <c r="D103" s="186" t="s">
        <v>3539</v>
      </c>
      <c r="E103" s="186" t="s">
        <v>3539</v>
      </c>
      <c r="F103" s="186" t="s">
        <v>3629</v>
      </c>
    </row>
    <row r="104" spans="1:6" ht="12.75">
      <c r="A104" s="186" t="s">
        <v>3703</v>
      </c>
      <c r="B104" s="186" t="s">
        <v>3619</v>
      </c>
      <c r="C104" s="186" t="s">
        <v>3700</v>
      </c>
      <c r="D104" s="186" t="s">
        <v>3539</v>
      </c>
      <c r="E104" s="186" t="s">
        <v>3539</v>
      </c>
      <c r="F104" s="186" t="s">
        <v>3629</v>
      </c>
    </row>
    <row r="105" spans="1:6" ht="12.75">
      <c r="A105" s="186" t="s">
        <v>3704</v>
      </c>
      <c r="B105" s="186" t="s">
        <v>3619</v>
      </c>
      <c r="C105" s="186" t="s">
        <v>3700</v>
      </c>
      <c r="D105" s="186" t="s">
        <v>3539</v>
      </c>
      <c r="E105" s="186" t="s">
        <v>3539</v>
      </c>
      <c r="F105" s="186" t="s">
        <v>3629</v>
      </c>
    </row>
    <row r="106" spans="1:6" ht="12.75">
      <c r="A106" s="186" t="s">
        <v>3705</v>
      </c>
      <c r="B106" s="186" t="s">
        <v>3619</v>
      </c>
      <c r="C106" s="186" t="s">
        <v>3700</v>
      </c>
      <c r="D106" s="186" t="s">
        <v>3539</v>
      </c>
      <c r="E106" s="186" t="s">
        <v>3539</v>
      </c>
      <c r="F106" s="186" t="s">
        <v>3629</v>
      </c>
    </row>
    <row r="107" spans="1:6" ht="12.75">
      <c r="A107" s="186" t="s">
        <v>3706</v>
      </c>
      <c r="B107" s="186" t="s">
        <v>3619</v>
      </c>
      <c r="C107" s="186" t="s">
        <v>3700</v>
      </c>
      <c r="D107" s="186" t="s">
        <v>3539</v>
      </c>
      <c r="E107" s="186" t="s">
        <v>3539</v>
      </c>
      <c r="F107" s="186" t="s">
        <v>3629</v>
      </c>
    </row>
    <row r="108" spans="1:6" ht="12.75">
      <c r="A108" s="186" t="s">
        <v>3707</v>
      </c>
      <c r="B108" s="186" t="s">
        <v>3619</v>
      </c>
      <c r="C108" s="186" t="s">
        <v>3700</v>
      </c>
      <c r="D108" s="186" t="s">
        <v>3539</v>
      </c>
      <c r="E108" s="186" t="s">
        <v>3539</v>
      </c>
      <c r="F108" s="186" t="s">
        <v>3629</v>
      </c>
    </row>
    <row r="109" spans="1:6" ht="12.75">
      <c r="A109" s="186" t="s">
        <v>3708</v>
      </c>
      <c r="B109" s="186" t="s">
        <v>3619</v>
      </c>
      <c r="C109" s="186" t="s">
        <v>3700</v>
      </c>
      <c r="D109" s="186" t="s">
        <v>3539</v>
      </c>
      <c r="E109" s="186" t="s">
        <v>3539</v>
      </c>
      <c r="F109" s="186" t="s">
        <v>3629</v>
      </c>
    </row>
    <row r="110" spans="1:6" ht="12.75">
      <c r="A110" s="186" t="s">
        <v>3709</v>
      </c>
      <c r="B110" s="186" t="s">
        <v>3619</v>
      </c>
      <c r="C110" s="186" t="s">
        <v>3700</v>
      </c>
      <c r="D110" s="186" t="s">
        <v>3539</v>
      </c>
      <c r="E110" s="186" t="s">
        <v>3539</v>
      </c>
      <c r="F110" s="186" t="s">
        <v>3629</v>
      </c>
    </row>
    <row r="111" spans="1:6" ht="12.75">
      <c r="A111" s="186" t="s">
        <v>3710</v>
      </c>
      <c r="B111" s="186" t="s">
        <v>3619</v>
      </c>
      <c r="C111" s="186" t="s">
        <v>3700</v>
      </c>
      <c r="D111" s="186" t="s">
        <v>3539</v>
      </c>
      <c r="E111" s="186" t="s">
        <v>3539</v>
      </c>
      <c r="F111" s="186" t="s">
        <v>3629</v>
      </c>
    </row>
    <row r="112" spans="1:6" ht="12.75">
      <c r="A112" s="186" t="s">
        <v>3711</v>
      </c>
      <c r="B112" s="186" t="s">
        <v>3619</v>
      </c>
      <c r="C112" s="186" t="s">
        <v>3700</v>
      </c>
      <c r="D112" s="186" t="s">
        <v>3539</v>
      </c>
      <c r="E112" s="186" t="s">
        <v>3539</v>
      </c>
      <c r="F112" s="186" t="s">
        <v>3629</v>
      </c>
    </row>
    <row r="113" spans="1:6" ht="12.75">
      <c r="A113" s="186" t="s">
        <v>3712</v>
      </c>
      <c r="B113" s="186" t="s">
        <v>3619</v>
      </c>
      <c r="C113" s="186" t="s">
        <v>3700</v>
      </c>
      <c r="D113" s="186" t="s">
        <v>3539</v>
      </c>
      <c r="E113" s="186" t="s">
        <v>3539</v>
      </c>
      <c r="F113" s="186" t="s">
        <v>3629</v>
      </c>
    </row>
    <row r="114" spans="1:6" ht="12.75">
      <c r="A114" s="186" t="s">
        <v>3713</v>
      </c>
      <c r="B114" s="186" t="s">
        <v>3619</v>
      </c>
      <c r="C114" s="186" t="s">
        <v>3700</v>
      </c>
      <c r="D114" s="186" t="s">
        <v>3539</v>
      </c>
      <c r="E114" s="186" t="s">
        <v>3539</v>
      </c>
      <c r="F114" s="186" t="s">
        <v>3629</v>
      </c>
    </row>
    <row r="115" spans="1:6" ht="12.75">
      <c r="A115" s="186" t="s">
        <v>3714</v>
      </c>
      <c r="B115" s="186" t="s">
        <v>3619</v>
      </c>
      <c r="C115" s="186" t="s">
        <v>3700</v>
      </c>
      <c r="D115" s="186" t="s">
        <v>3539</v>
      </c>
      <c r="E115" s="186" t="s">
        <v>3539</v>
      </c>
      <c r="F115" s="186" t="s">
        <v>3629</v>
      </c>
    </row>
    <row r="116" spans="1:6" ht="12.75">
      <c r="A116" s="186" t="s">
        <v>3715</v>
      </c>
      <c r="B116" s="186" t="s">
        <v>3619</v>
      </c>
      <c r="C116" s="186" t="s">
        <v>3716</v>
      </c>
      <c r="D116" s="186" t="s">
        <v>3583</v>
      </c>
      <c r="E116" s="186" t="s">
        <v>3539</v>
      </c>
      <c r="F116" s="186" t="s">
        <v>3629</v>
      </c>
    </row>
    <row r="117" spans="1:6" ht="12.75">
      <c r="A117" s="186" t="s">
        <v>3717</v>
      </c>
      <c r="B117" s="186" t="s">
        <v>3619</v>
      </c>
      <c r="C117" s="186" t="s">
        <v>3716</v>
      </c>
      <c r="D117" s="186" t="s">
        <v>3583</v>
      </c>
      <c r="E117" s="186" t="s">
        <v>3539</v>
      </c>
      <c r="F117" s="186" t="s">
        <v>3629</v>
      </c>
    </row>
    <row r="118" spans="1:6" ht="12.75">
      <c r="A118" s="186" t="s">
        <v>3718</v>
      </c>
      <c r="B118" s="186" t="s">
        <v>3619</v>
      </c>
      <c r="C118" s="186" t="s">
        <v>3716</v>
      </c>
      <c r="D118" s="186" t="s">
        <v>3583</v>
      </c>
      <c r="E118" s="186" t="s">
        <v>3539</v>
      </c>
      <c r="F118" s="186" t="s">
        <v>3629</v>
      </c>
    </row>
    <row r="119" spans="1:6" ht="12.75">
      <c r="A119" s="186" t="s">
        <v>3719</v>
      </c>
      <c r="B119" s="186" t="s">
        <v>3619</v>
      </c>
      <c r="C119" s="186" t="s">
        <v>3716</v>
      </c>
      <c r="D119" s="186" t="s">
        <v>3583</v>
      </c>
      <c r="E119" s="186" t="s">
        <v>3539</v>
      </c>
      <c r="F119" s="186" t="s">
        <v>3629</v>
      </c>
    </row>
    <row r="120" spans="1:6" ht="12.75">
      <c r="A120" s="186" t="s">
        <v>3720</v>
      </c>
      <c r="B120" s="186" t="s">
        <v>3619</v>
      </c>
      <c r="C120" s="186" t="s">
        <v>3716</v>
      </c>
      <c r="D120" s="186" t="s">
        <v>3583</v>
      </c>
      <c r="E120" s="186" t="s">
        <v>3539</v>
      </c>
      <c r="F120" s="186" t="s">
        <v>3629</v>
      </c>
    </row>
    <row r="121" spans="1:6" ht="12.75">
      <c r="A121" s="186" t="s">
        <v>3721</v>
      </c>
      <c r="B121" s="186" t="s">
        <v>3619</v>
      </c>
      <c r="C121" s="186" t="s">
        <v>3722</v>
      </c>
      <c r="D121" s="186" t="s">
        <v>3539</v>
      </c>
      <c r="E121" s="186"/>
      <c r="F121" s="186" t="s">
        <v>3629</v>
      </c>
    </row>
    <row r="122" spans="1:6" ht="12.75">
      <c r="A122" s="186" t="s">
        <v>3723</v>
      </c>
      <c r="B122" s="186" t="s">
        <v>3619</v>
      </c>
      <c r="C122" s="186" t="s">
        <v>3724</v>
      </c>
      <c r="D122" s="186" t="s">
        <v>3583</v>
      </c>
      <c r="E122" s="186" t="s">
        <v>3550</v>
      </c>
      <c r="F122" s="186" t="s">
        <v>3629</v>
      </c>
    </row>
    <row r="123" spans="1:6" ht="12.75">
      <c r="A123" s="186" t="s">
        <v>3725</v>
      </c>
      <c r="B123" s="186" t="s">
        <v>3619</v>
      </c>
      <c r="C123" s="186" t="s">
        <v>3726</v>
      </c>
      <c r="D123" s="186" t="s">
        <v>3727</v>
      </c>
      <c r="E123" s="186" t="s">
        <v>3550</v>
      </c>
      <c r="F123" s="186" t="s">
        <v>3629</v>
      </c>
    </row>
    <row r="124" spans="1:6" ht="12.75">
      <c r="A124" s="186" t="s">
        <v>3728</v>
      </c>
      <c r="B124" s="186" t="s">
        <v>3619</v>
      </c>
      <c r="C124" s="186" t="s">
        <v>3724</v>
      </c>
      <c r="D124" s="186" t="s">
        <v>3583</v>
      </c>
      <c r="E124" s="186" t="s">
        <v>3550</v>
      </c>
      <c r="F124" s="186" t="s">
        <v>3629</v>
      </c>
    </row>
    <row r="125" spans="1:6" ht="12.75">
      <c r="A125" s="186" t="s">
        <v>3729</v>
      </c>
      <c r="B125" s="186" t="s">
        <v>3619</v>
      </c>
      <c r="C125" s="186" t="s">
        <v>3634</v>
      </c>
      <c r="D125" s="186" t="s">
        <v>3550</v>
      </c>
      <c r="E125" s="186" t="s">
        <v>3550</v>
      </c>
      <c r="F125" s="186" t="s">
        <v>3629</v>
      </c>
    </row>
    <row r="126" spans="1:6" ht="12.75">
      <c r="A126" s="186" t="s">
        <v>3730</v>
      </c>
      <c r="B126" s="186" t="s">
        <v>3619</v>
      </c>
      <c r="C126" s="186" t="s">
        <v>3731</v>
      </c>
      <c r="D126" s="186" t="s">
        <v>3628</v>
      </c>
      <c r="E126" s="186" t="s">
        <v>3550</v>
      </c>
      <c r="F126" s="186" t="s">
        <v>3629</v>
      </c>
    </row>
    <row r="127" spans="1:6" ht="12.75">
      <c r="A127" s="186" t="s">
        <v>3732</v>
      </c>
      <c r="B127" s="186" t="s">
        <v>3619</v>
      </c>
      <c r="C127" s="186" t="s">
        <v>3731</v>
      </c>
      <c r="D127" s="186" t="s">
        <v>3628</v>
      </c>
      <c r="E127" s="186" t="s">
        <v>3550</v>
      </c>
      <c r="F127" s="186" t="s">
        <v>3629</v>
      </c>
    </row>
    <row r="128" spans="1:6" ht="12.75">
      <c r="A128" s="186" t="s">
        <v>3733</v>
      </c>
      <c r="B128" s="186" t="s">
        <v>3619</v>
      </c>
      <c r="C128" s="186" t="s">
        <v>3731</v>
      </c>
      <c r="D128" s="186" t="s">
        <v>3628</v>
      </c>
      <c r="E128" s="186" t="s">
        <v>3550</v>
      </c>
      <c r="F128" s="186" t="s">
        <v>3629</v>
      </c>
    </row>
    <row r="129" spans="1:6" ht="12.75">
      <c r="A129" s="186" t="s">
        <v>3734</v>
      </c>
      <c r="B129" s="186" t="s">
        <v>3619</v>
      </c>
      <c r="C129" s="186" t="s">
        <v>3731</v>
      </c>
      <c r="D129" s="186" t="s">
        <v>3628</v>
      </c>
      <c r="E129" s="186" t="s">
        <v>3550</v>
      </c>
      <c r="F129" s="186" t="s">
        <v>3629</v>
      </c>
    </row>
    <row r="130" spans="1:6" ht="12.75">
      <c r="A130" s="186" t="s">
        <v>3735</v>
      </c>
      <c r="B130" s="186" t="s">
        <v>3619</v>
      </c>
      <c r="C130" s="186" t="s">
        <v>3634</v>
      </c>
      <c r="D130" s="186" t="s">
        <v>3550</v>
      </c>
      <c r="E130" s="186" t="s">
        <v>3550</v>
      </c>
      <c r="F130" s="186" t="s">
        <v>3629</v>
      </c>
    </row>
    <row r="131" spans="1:6" ht="12.75">
      <c r="A131" s="186" t="s">
        <v>3736</v>
      </c>
      <c r="B131" s="186" t="s">
        <v>3619</v>
      </c>
      <c r="C131" s="186" t="s">
        <v>3647</v>
      </c>
      <c r="D131" s="186" t="s">
        <v>3550</v>
      </c>
      <c r="E131" s="186" t="s">
        <v>3628</v>
      </c>
      <c r="F131" s="186" t="s">
        <v>3629</v>
      </c>
    </row>
    <row r="132" spans="1:6" ht="12.75">
      <c r="A132" s="186" t="s">
        <v>3737</v>
      </c>
      <c r="B132" s="186" t="s">
        <v>3619</v>
      </c>
      <c r="C132" s="186" t="s">
        <v>3634</v>
      </c>
      <c r="D132" s="186" t="s">
        <v>3550</v>
      </c>
      <c r="E132" s="186" t="s">
        <v>3550</v>
      </c>
      <c r="F132" s="186" t="s">
        <v>3629</v>
      </c>
    </row>
    <row r="133" spans="1:6" ht="12.75">
      <c r="A133" s="186" t="s">
        <v>3738</v>
      </c>
      <c r="B133" s="186" t="s">
        <v>3619</v>
      </c>
      <c r="C133" s="186" t="s">
        <v>3724</v>
      </c>
      <c r="D133" s="186" t="s">
        <v>3583</v>
      </c>
      <c r="E133" s="186" t="s">
        <v>3550</v>
      </c>
      <c r="F133" s="186" t="s">
        <v>3629</v>
      </c>
    </row>
    <row r="134" spans="1:6" ht="12.75">
      <c r="A134" s="186" t="s">
        <v>3739</v>
      </c>
      <c r="B134" s="186" t="s">
        <v>3619</v>
      </c>
      <c r="C134" s="186" t="s">
        <v>3724</v>
      </c>
      <c r="D134" s="186" t="s">
        <v>3583</v>
      </c>
      <c r="E134" s="186" t="s">
        <v>3550</v>
      </c>
      <c r="F134" s="186" t="s">
        <v>3629</v>
      </c>
    </row>
    <row r="135" spans="1:6" ht="12.75">
      <c r="A135" s="186" t="s">
        <v>3740</v>
      </c>
      <c r="B135" s="186" t="s">
        <v>3619</v>
      </c>
      <c r="C135" s="186" t="s">
        <v>3724</v>
      </c>
      <c r="D135" s="186" t="s">
        <v>3583</v>
      </c>
      <c r="E135" s="186" t="s">
        <v>3550</v>
      </c>
      <c r="F135" s="186" t="s">
        <v>3629</v>
      </c>
    </row>
    <row r="136" spans="1:6" ht="12.75">
      <c r="A136" s="186" t="s">
        <v>3741</v>
      </c>
      <c r="B136" s="186" t="s">
        <v>3619</v>
      </c>
      <c r="C136" s="186" t="s">
        <v>3724</v>
      </c>
      <c r="D136" s="186" t="s">
        <v>3583</v>
      </c>
      <c r="E136" s="186" t="s">
        <v>3550</v>
      </c>
      <c r="F136" s="186" t="s">
        <v>3629</v>
      </c>
    </row>
    <row r="137" spans="1:6" ht="12.75">
      <c r="A137" s="186" t="s">
        <v>3742</v>
      </c>
      <c r="B137" s="186" t="s">
        <v>3619</v>
      </c>
      <c r="C137" s="186" t="s">
        <v>3724</v>
      </c>
      <c r="D137" s="186" t="s">
        <v>3583</v>
      </c>
      <c r="E137" s="186" t="s">
        <v>3550</v>
      </c>
      <c r="F137" s="186" t="s">
        <v>3629</v>
      </c>
    </row>
    <row r="138" spans="1:6" ht="12.75">
      <c r="A138" s="186" t="s">
        <v>3743</v>
      </c>
      <c r="B138" s="186" t="s">
        <v>3619</v>
      </c>
      <c r="C138" s="186" t="s">
        <v>3724</v>
      </c>
      <c r="D138" s="186" t="s">
        <v>3583</v>
      </c>
      <c r="E138" s="186" t="s">
        <v>3550</v>
      </c>
      <c r="F138" s="186" t="s">
        <v>3629</v>
      </c>
    </row>
    <row r="139" spans="1:6" ht="12.75">
      <c r="A139" s="186" t="s">
        <v>3744</v>
      </c>
      <c r="B139" s="186" t="s">
        <v>3619</v>
      </c>
      <c r="C139" s="186" t="s">
        <v>3634</v>
      </c>
      <c r="D139" s="186" t="s">
        <v>3550</v>
      </c>
      <c r="E139" s="186" t="s">
        <v>3550</v>
      </c>
      <c r="F139" s="186" t="s">
        <v>3629</v>
      </c>
    </row>
    <row r="140" spans="1:6" ht="12.75">
      <c r="A140" s="186" t="s">
        <v>3745</v>
      </c>
      <c r="B140" s="186" t="s">
        <v>3619</v>
      </c>
      <c r="C140" s="186" t="s">
        <v>3636</v>
      </c>
      <c r="D140" s="186" t="s">
        <v>3550</v>
      </c>
      <c r="E140" s="186" t="s">
        <v>3583</v>
      </c>
      <c r="F140" s="186" t="s">
        <v>3629</v>
      </c>
    </row>
    <row r="141" spans="1:6" ht="12.75">
      <c r="A141" s="186" t="s">
        <v>3746</v>
      </c>
      <c r="B141" s="186" t="s">
        <v>3619</v>
      </c>
      <c r="C141" s="186" t="s">
        <v>3634</v>
      </c>
      <c r="D141" s="186" t="s">
        <v>3550</v>
      </c>
      <c r="E141" s="186" t="s">
        <v>3550</v>
      </c>
      <c r="F141" s="186" t="s">
        <v>3629</v>
      </c>
    </row>
    <row r="142" spans="1:6" ht="12.75">
      <c r="A142" s="186" t="s">
        <v>3747</v>
      </c>
      <c r="B142" s="186" t="s">
        <v>3619</v>
      </c>
      <c r="C142" s="186" t="s">
        <v>3634</v>
      </c>
      <c r="D142" s="186" t="s">
        <v>3550</v>
      </c>
      <c r="E142" s="186" t="s">
        <v>3550</v>
      </c>
      <c r="F142" s="186" t="s">
        <v>3629</v>
      </c>
    </row>
    <row r="143" spans="1:6" ht="12.75">
      <c r="A143" s="186" t="s">
        <v>3748</v>
      </c>
      <c r="B143" s="186" t="s">
        <v>3619</v>
      </c>
      <c r="C143" s="186" t="s">
        <v>3634</v>
      </c>
      <c r="D143" s="186" t="s">
        <v>3550</v>
      </c>
      <c r="E143" s="186" t="s">
        <v>3550</v>
      </c>
      <c r="F143" s="186" t="s">
        <v>3629</v>
      </c>
    </row>
    <row r="144" spans="1:6" ht="12.75">
      <c r="A144" s="186" t="s">
        <v>3749</v>
      </c>
      <c r="B144" s="186" t="s">
        <v>3619</v>
      </c>
      <c r="C144" s="186" t="s">
        <v>3724</v>
      </c>
      <c r="D144" s="186" t="s">
        <v>3583</v>
      </c>
      <c r="E144" s="186" t="s">
        <v>3550</v>
      </c>
      <c r="F144" s="186" t="s">
        <v>3629</v>
      </c>
    </row>
    <row r="145" spans="1:6" ht="12.75">
      <c r="A145" s="186" t="s">
        <v>3750</v>
      </c>
      <c r="B145" s="186" t="s">
        <v>3619</v>
      </c>
      <c r="C145" s="186" t="s">
        <v>3751</v>
      </c>
      <c r="D145" s="186" t="s">
        <v>3583</v>
      </c>
      <c r="E145" s="186" t="s">
        <v>3564</v>
      </c>
      <c r="F145" s="186" t="s">
        <v>3629</v>
      </c>
    </row>
    <row r="146" spans="1:6" ht="12.75">
      <c r="A146" s="186" t="s">
        <v>3752</v>
      </c>
      <c r="B146" s="186" t="s">
        <v>3619</v>
      </c>
      <c r="C146" s="186" t="s">
        <v>3751</v>
      </c>
      <c r="D146" s="186" t="s">
        <v>3583</v>
      </c>
      <c r="E146" s="186" t="s">
        <v>3564</v>
      </c>
      <c r="F146" s="186" t="s">
        <v>3629</v>
      </c>
    </row>
    <row r="147" spans="1:6" ht="12.75">
      <c r="A147" s="186" t="s">
        <v>3753</v>
      </c>
      <c r="B147" s="186" t="s">
        <v>3619</v>
      </c>
      <c r="C147" s="186" t="s">
        <v>3754</v>
      </c>
      <c r="D147" s="186" t="s">
        <v>3550</v>
      </c>
      <c r="E147" s="186" t="s">
        <v>3564</v>
      </c>
      <c r="F147" s="186" t="s">
        <v>3629</v>
      </c>
    </row>
    <row r="148" spans="1:6" ht="12.75">
      <c r="A148" s="186" t="s">
        <v>3755</v>
      </c>
      <c r="B148" s="186" t="s">
        <v>3619</v>
      </c>
      <c r="C148" s="186" t="s">
        <v>3724</v>
      </c>
      <c r="D148" s="186" t="s">
        <v>3583</v>
      </c>
      <c r="E148" s="186" t="s">
        <v>3550</v>
      </c>
      <c r="F148" s="186" t="s">
        <v>3629</v>
      </c>
    </row>
    <row r="149" spans="1:6" ht="12.75">
      <c r="A149" s="186" t="s">
        <v>3756</v>
      </c>
      <c r="B149" s="186" t="s">
        <v>3619</v>
      </c>
      <c r="C149" s="186" t="s">
        <v>3724</v>
      </c>
      <c r="D149" s="186" t="s">
        <v>3583</v>
      </c>
      <c r="E149" s="186" t="s">
        <v>3550</v>
      </c>
      <c r="F149" s="186" t="s">
        <v>3629</v>
      </c>
    </row>
    <row r="150" spans="1:6" ht="12.75">
      <c r="A150" s="186" t="s">
        <v>3757</v>
      </c>
      <c r="B150" s="186" t="s">
        <v>3619</v>
      </c>
      <c r="C150" s="186" t="s">
        <v>3634</v>
      </c>
      <c r="D150" s="186" t="s">
        <v>3550</v>
      </c>
      <c r="E150" s="186" t="s">
        <v>3550</v>
      </c>
      <c r="F150" s="186" t="s">
        <v>3629</v>
      </c>
    </row>
    <row r="151" spans="1:6" ht="12.75">
      <c r="A151" s="186" t="s">
        <v>3758</v>
      </c>
      <c r="B151" s="186" t="s">
        <v>3619</v>
      </c>
      <c r="C151" s="186" t="s">
        <v>3570</v>
      </c>
      <c r="D151" s="186" t="s">
        <v>3571</v>
      </c>
      <c r="E151" s="186" t="s">
        <v>3571</v>
      </c>
      <c r="F151" s="186" t="s">
        <v>3629</v>
      </c>
    </row>
    <row r="152" spans="1:6" ht="12.75">
      <c r="A152" s="186" t="s">
        <v>3759</v>
      </c>
      <c r="B152" s="186" t="s">
        <v>3619</v>
      </c>
      <c r="C152" s="186" t="s">
        <v>3724</v>
      </c>
      <c r="D152" s="186" t="s">
        <v>3583</v>
      </c>
      <c r="E152" s="186" t="s">
        <v>3550</v>
      </c>
      <c r="F152" s="186" t="s">
        <v>3629</v>
      </c>
    </row>
    <row r="153" spans="1:6" ht="12.75">
      <c r="A153" s="186" t="s">
        <v>3760</v>
      </c>
      <c r="B153" s="186" t="s">
        <v>3619</v>
      </c>
      <c r="C153" s="186" t="s">
        <v>3761</v>
      </c>
      <c r="D153" s="186" t="s">
        <v>3550</v>
      </c>
      <c r="E153" s="186" t="s">
        <v>3571</v>
      </c>
      <c r="F153" s="186" t="s">
        <v>3629</v>
      </c>
    </row>
    <row r="154" spans="1:6" ht="12.75">
      <c r="A154" s="186" t="s">
        <v>3762</v>
      </c>
      <c r="B154" s="186" t="s">
        <v>3619</v>
      </c>
      <c r="C154" s="186" t="s">
        <v>3724</v>
      </c>
      <c r="D154" s="186" t="s">
        <v>3583</v>
      </c>
      <c r="E154" s="186" t="s">
        <v>3550</v>
      </c>
      <c r="F154" s="186" t="s">
        <v>3629</v>
      </c>
    </row>
    <row r="155" spans="1:6" ht="12.75">
      <c r="A155" s="186" t="s">
        <v>3763</v>
      </c>
      <c r="B155" s="186" t="s">
        <v>3619</v>
      </c>
      <c r="C155" s="186" t="s">
        <v>3570</v>
      </c>
      <c r="D155" s="186" t="s">
        <v>3571</v>
      </c>
      <c r="E155" s="186" t="s">
        <v>3571</v>
      </c>
      <c r="F155" s="186" t="s">
        <v>3629</v>
      </c>
    </row>
    <row r="156" spans="1:6" ht="12.75">
      <c r="A156" s="186" t="s">
        <v>3764</v>
      </c>
      <c r="B156" s="186" t="s">
        <v>3619</v>
      </c>
      <c r="C156" s="186" t="s">
        <v>3634</v>
      </c>
      <c r="D156" s="186" t="s">
        <v>3550</v>
      </c>
      <c r="E156" s="186" t="s">
        <v>3550</v>
      </c>
      <c r="F156" s="186" t="s">
        <v>3629</v>
      </c>
    </row>
    <row r="157" spans="1:6" ht="12.75">
      <c r="A157" s="186" t="s">
        <v>3765</v>
      </c>
      <c r="B157" s="186" t="s">
        <v>3619</v>
      </c>
      <c r="C157" s="186" t="s">
        <v>3634</v>
      </c>
      <c r="D157" s="186" t="s">
        <v>3550</v>
      </c>
      <c r="E157" s="186" t="s">
        <v>3550</v>
      </c>
      <c r="F157" s="186" t="s">
        <v>3629</v>
      </c>
    </row>
    <row r="158" spans="1:6" ht="12.75">
      <c r="A158" s="186" t="s">
        <v>3766</v>
      </c>
      <c r="B158" s="186" t="s">
        <v>3619</v>
      </c>
      <c r="C158" s="186" t="s">
        <v>3634</v>
      </c>
      <c r="D158" s="186" t="s">
        <v>3550</v>
      </c>
      <c r="E158" s="186" t="s">
        <v>3550</v>
      </c>
      <c r="F158" s="186" t="s">
        <v>3629</v>
      </c>
    </row>
    <row r="159" spans="1:6" ht="12.75">
      <c r="A159" s="186" t="s">
        <v>3767</v>
      </c>
      <c r="B159" s="186" t="s">
        <v>3619</v>
      </c>
      <c r="C159" s="186" t="s">
        <v>3634</v>
      </c>
      <c r="D159" s="186" t="s">
        <v>3550</v>
      </c>
      <c r="E159" s="186" t="s">
        <v>3550</v>
      </c>
      <c r="F159" s="186" t="s">
        <v>3629</v>
      </c>
    </row>
    <row r="160" spans="1:6" ht="12.75">
      <c r="A160" s="186" t="s">
        <v>3768</v>
      </c>
      <c r="B160" s="186" t="s">
        <v>3619</v>
      </c>
      <c r="C160" s="186" t="s">
        <v>3636</v>
      </c>
      <c r="D160" s="186" t="s">
        <v>3550</v>
      </c>
      <c r="E160" s="186" t="s">
        <v>3583</v>
      </c>
      <c r="F160" s="186" t="s">
        <v>3629</v>
      </c>
    </row>
    <row r="161" spans="1:6" ht="12.75">
      <c r="A161" s="186" t="s">
        <v>3769</v>
      </c>
      <c r="B161" s="186" t="s">
        <v>3619</v>
      </c>
      <c r="C161" s="186" t="s">
        <v>3634</v>
      </c>
      <c r="D161" s="186" t="s">
        <v>3550</v>
      </c>
      <c r="E161" s="186" t="s">
        <v>3550</v>
      </c>
      <c r="F161" s="186" t="s">
        <v>3629</v>
      </c>
    </row>
    <row r="162" spans="1:6" ht="12.75">
      <c r="A162" s="186" t="s">
        <v>3770</v>
      </c>
      <c r="B162" s="186" t="s">
        <v>3619</v>
      </c>
      <c r="C162" s="186" t="s">
        <v>3636</v>
      </c>
      <c r="D162" s="186" t="s">
        <v>3550</v>
      </c>
      <c r="E162" s="186" t="s">
        <v>3583</v>
      </c>
      <c r="F162" s="186" t="s">
        <v>3629</v>
      </c>
    </row>
    <row r="163" spans="1:6" ht="12.75">
      <c r="A163" s="186" t="s">
        <v>3771</v>
      </c>
      <c r="B163" s="186" t="s">
        <v>3619</v>
      </c>
      <c r="C163" s="186" t="s">
        <v>3724</v>
      </c>
      <c r="D163" s="186" t="s">
        <v>3583</v>
      </c>
      <c r="E163" s="186" t="s">
        <v>3550</v>
      </c>
      <c r="F163" s="186" t="s">
        <v>3629</v>
      </c>
    </row>
    <row r="164" spans="1:6" ht="12.75">
      <c r="A164" s="186" t="s">
        <v>3772</v>
      </c>
      <c r="B164" s="186" t="s">
        <v>3619</v>
      </c>
      <c r="C164" s="186" t="s">
        <v>3634</v>
      </c>
      <c r="D164" s="186" t="s">
        <v>3550</v>
      </c>
      <c r="E164" s="186" t="s">
        <v>3550</v>
      </c>
      <c r="F164" s="186" t="s">
        <v>3629</v>
      </c>
    </row>
    <row r="165" spans="1:6" ht="12.75">
      <c r="A165" s="186" t="s">
        <v>3773</v>
      </c>
      <c r="B165" s="186" t="s">
        <v>3619</v>
      </c>
      <c r="C165" s="186" t="s">
        <v>3634</v>
      </c>
      <c r="D165" s="186" t="s">
        <v>3550</v>
      </c>
      <c r="E165" s="186" t="s">
        <v>3550</v>
      </c>
      <c r="F165" s="186" t="s">
        <v>3629</v>
      </c>
    </row>
    <row r="166" spans="1:6" ht="12.75">
      <c r="A166" s="186" t="s">
        <v>3774</v>
      </c>
      <c r="B166" s="186" t="s">
        <v>3619</v>
      </c>
      <c r="C166" s="186" t="s">
        <v>3775</v>
      </c>
      <c r="D166" s="186" t="s">
        <v>3550</v>
      </c>
      <c r="E166" s="186" t="s">
        <v>3594</v>
      </c>
      <c r="F166" s="186" t="s">
        <v>3629</v>
      </c>
    </row>
    <row r="167" spans="1:6" ht="12.75">
      <c r="A167" s="186" t="s">
        <v>3776</v>
      </c>
      <c r="B167" s="186" t="s">
        <v>3619</v>
      </c>
      <c r="C167" s="186" t="s">
        <v>3777</v>
      </c>
      <c r="D167" s="186" t="s">
        <v>3583</v>
      </c>
      <c r="E167" s="186" t="s">
        <v>3557</v>
      </c>
      <c r="F167" s="186" t="s">
        <v>3629</v>
      </c>
    </row>
    <row r="168" spans="1:6" ht="12.75">
      <c r="A168" s="186" t="s">
        <v>3778</v>
      </c>
      <c r="B168" s="186" t="s">
        <v>3619</v>
      </c>
      <c r="C168" s="186" t="s">
        <v>3779</v>
      </c>
      <c r="D168" s="186" t="s">
        <v>3590</v>
      </c>
      <c r="E168" s="186" t="s">
        <v>3557</v>
      </c>
      <c r="F168" s="186" t="s">
        <v>3629</v>
      </c>
    </row>
    <row r="169" spans="1:6" ht="12.75">
      <c r="A169" s="186" t="s">
        <v>3780</v>
      </c>
      <c r="B169" s="186" t="s">
        <v>3619</v>
      </c>
      <c r="C169" s="186" t="s">
        <v>3781</v>
      </c>
      <c r="D169" s="186" t="s">
        <v>3628</v>
      </c>
      <c r="E169" s="186" t="s">
        <v>3557</v>
      </c>
      <c r="F169" s="186" t="s">
        <v>3629</v>
      </c>
    </row>
    <row r="170" spans="1:6" ht="12.75">
      <c r="A170" s="186" t="s">
        <v>3782</v>
      </c>
      <c r="B170" s="186" t="s">
        <v>3619</v>
      </c>
      <c r="C170" s="186" t="s">
        <v>3779</v>
      </c>
      <c r="D170" s="186" t="s">
        <v>3590</v>
      </c>
      <c r="E170" s="186" t="s">
        <v>3557</v>
      </c>
      <c r="F170" s="186" t="s">
        <v>3629</v>
      </c>
    </row>
    <row r="171" spans="1:6" ht="12.75">
      <c r="A171" s="186" t="s">
        <v>3783</v>
      </c>
      <c r="B171" s="186" t="s">
        <v>3619</v>
      </c>
      <c r="C171" s="186" t="s">
        <v>3777</v>
      </c>
      <c r="D171" s="186" t="s">
        <v>3583</v>
      </c>
      <c r="E171" s="186" t="s">
        <v>3557</v>
      </c>
      <c r="F171" s="186" t="s">
        <v>3629</v>
      </c>
    </row>
    <row r="172" spans="1:6" ht="12.75">
      <c r="A172" s="186" t="s">
        <v>3784</v>
      </c>
      <c r="B172" s="186" t="s">
        <v>3619</v>
      </c>
      <c r="C172" s="186" t="s">
        <v>3777</v>
      </c>
      <c r="D172" s="186" t="s">
        <v>3583</v>
      </c>
      <c r="E172" s="186" t="s">
        <v>3557</v>
      </c>
      <c r="F172" s="186" t="s">
        <v>3629</v>
      </c>
    </row>
    <row r="173" spans="1:6" ht="12.75">
      <c r="A173" s="186" t="s">
        <v>3785</v>
      </c>
      <c r="B173" s="186" t="s">
        <v>3619</v>
      </c>
      <c r="C173" s="186" t="s">
        <v>3777</v>
      </c>
      <c r="D173" s="186" t="s">
        <v>3583</v>
      </c>
      <c r="E173" s="186" t="s">
        <v>3557</v>
      </c>
      <c r="F173" s="186" t="s">
        <v>3629</v>
      </c>
    </row>
    <row r="174" spans="1:6" ht="12.75">
      <c r="A174" s="186" t="s">
        <v>3786</v>
      </c>
      <c r="B174" s="186" t="s">
        <v>3619</v>
      </c>
      <c r="C174" s="186" t="s">
        <v>3777</v>
      </c>
      <c r="D174" s="186" t="s">
        <v>3583</v>
      </c>
      <c r="E174" s="186" t="s">
        <v>3557</v>
      </c>
      <c r="F174" s="186" t="s">
        <v>3629</v>
      </c>
    </row>
    <row r="175" spans="1:6" ht="12.75">
      <c r="A175" s="186" t="s">
        <v>3787</v>
      </c>
      <c r="B175" s="186" t="s">
        <v>3619</v>
      </c>
      <c r="C175" s="186" t="s">
        <v>3777</v>
      </c>
      <c r="D175" s="186" t="s">
        <v>3583</v>
      </c>
      <c r="E175" s="186" t="s">
        <v>3557</v>
      </c>
      <c r="F175" s="186" t="s">
        <v>3629</v>
      </c>
    </row>
    <row r="176" spans="1:6" ht="12.75">
      <c r="A176" s="186" t="s">
        <v>3788</v>
      </c>
      <c r="B176" s="186" t="s">
        <v>3619</v>
      </c>
      <c r="C176" s="186" t="s">
        <v>3777</v>
      </c>
      <c r="D176" s="186" t="s">
        <v>3583</v>
      </c>
      <c r="E176" s="186" t="s">
        <v>3557</v>
      </c>
      <c r="F176" s="186" t="s">
        <v>3629</v>
      </c>
    </row>
    <row r="177" spans="1:6" ht="12.75">
      <c r="A177" s="186" t="s">
        <v>3789</v>
      </c>
      <c r="B177" s="186" t="s">
        <v>3619</v>
      </c>
      <c r="C177" s="186" t="s">
        <v>3790</v>
      </c>
      <c r="D177" s="186" t="s">
        <v>3557</v>
      </c>
      <c r="E177" s="186" t="s">
        <v>3557</v>
      </c>
      <c r="F177" s="186" t="s">
        <v>3629</v>
      </c>
    </row>
    <row r="178" spans="1:6" ht="12.75">
      <c r="A178" s="186" t="s">
        <v>3791</v>
      </c>
      <c r="B178" s="186" t="s">
        <v>3619</v>
      </c>
      <c r="C178" s="186" t="s">
        <v>3790</v>
      </c>
      <c r="D178" s="186" t="s">
        <v>3557</v>
      </c>
      <c r="E178" s="186" t="s">
        <v>3557</v>
      </c>
      <c r="F178" s="186" t="s">
        <v>3629</v>
      </c>
    </row>
    <row r="179" spans="1:6" ht="12.75">
      <c r="A179" s="186" t="s">
        <v>3792</v>
      </c>
      <c r="B179" s="186" t="s">
        <v>3619</v>
      </c>
      <c r="C179" s="186" t="s">
        <v>3777</v>
      </c>
      <c r="D179" s="186" t="s">
        <v>3583</v>
      </c>
      <c r="E179" s="186" t="s">
        <v>3557</v>
      </c>
      <c r="F179" s="186" t="s">
        <v>3629</v>
      </c>
    </row>
    <row r="180" spans="1:6" ht="12.75">
      <c r="A180" s="186" t="s">
        <v>3793</v>
      </c>
      <c r="B180" s="186" t="s">
        <v>3619</v>
      </c>
      <c r="C180" s="186" t="s">
        <v>3781</v>
      </c>
      <c r="D180" s="186" t="s">
        <v>3628</v>
      </c>
      <c r="E180" s="186" t="s">
        <v>3557</v>
      </c>
      <c r="F180" s="186" t="s">
        <v>3629</v>
      </c>
    </row>
    <row r="181" spans="1:6" ht="12.75">
      <c r="A181" s="186" t="s">
        <v>3794</v>
      </c>
      <c r="B181" s="186" t="s">
        <v>3619</v>
      </c>
      <c r="C181" s="186" t="s">
        <v>3781</v>
      </c>
      <c r="D181" s="186" t="s">
        <v>3628</v>
      </c>
      <c r="E181" s="186" t="s">
        <v>3557</v>
      </c>
      <c r="F181" s="186" t="s">
        <v>3629</v>
      </c>
    </row>
    <row r="182" spans="1:6" ht="12.75">
      <c r="A182" s="186" t="s">
        <v>3795</v>
      </c>
      <c r="B182" s="186" t="s">
        <v>3619</v>
      </c>
      <c r="C182" s="186" t="s">
        <v>3777</v>
      </c>
      <c r="D182" s="186" t="s">
        <v>3583</v>
      </c>
      <c r="E182" s="186" t="s">
        <v>3557</v>
      </c>
      <c r="F182" s="186" t="s">
        <v>3629</v>
      </c>
    </row>
    <row r="183" spans="1:6" ht="12.75">
      <c r="A183" s="186" t="s">
        <v>3796</v>
      </c>
      <c r="B183" s="186" t="s">
        <v>3619</v>
      </c>
      <c r="C183" s="186" t="s">
        <v>3790</v>
      </c>
      <c r="D183" s="186" t="s">
        <v>3557</v>
      </c>
      <c r="E183" s="186" t="s">
        <v>3557</v>
      </c>
      <c r="F183" s="186" t="s">
        <v>3629</v>
      </c>
    </row>
    <row r="184" spans="1:6" ht="12.75">
      <c r="A184" s="186" t="s">
        <v>3797</v>
      </c>
      <c r="B184" s="186" t="s">
        <v>3619</v>
      </c>
      <c r="C184" s="186" t="s">
        <v>3777</v>
      </c>
      <c r="D184" s="186" t="s">
        <v>3583</v>
      </c>
      <c r="E184" s="186" t="s">
        <v>3557</v>
      </c>
      <c r="F184" s="186" t="s">
        <v>3629</v>
      </c>
    </row>
    <row r="185" spans="1:6" ht="12.75">
      <c r="A185" s="186" t="s">
        <v>3798</v>
      </c>
      <c r="B185" s="186" t="s">
        <v>3619</v>
      </c>
      <c r="C185" s="186" t="s">
        <v>3777</v>
      </c>
      <c r="D185" s="186" t="s">
        <v>3583</v>
      </c>
      <c r="E185" s="186" t="s">
        <v>3557</v>
      </c>
      <c r="F185" s="186" t="s">
        <v>3629</v>
      </c>
    </row>
    <row r="186" spans="1:6" ht="12.75">
      <c r="A186" s="186" t="s">
        <v>3799</v>
      </c>
      <c r="B186" s="186" t="s">
        <v>3619</v>
      </c>
      <c r="C186" s="186" t="s">
        <v>3777</v>
      </c>
      <c r="D186" s="186" t="s">
        <v>3583</v>
      </c>
      <c r="E186" s="186" t="s">
        <v>3557</v>
      </c>
      <c r="F186" s="186" t="s">
        <v>3629</v>
      </c>
    </row>
    <row r="187" spans="1:6" ht="12.75">
      <c r="A187" s="186" t="s">
        <v>3800</v>
      </c>
      <c r="B187" s="186" t="s">
        <v>3619</v>
      </c>
      <c r="C187" s="186" t="s">
        <v>3790</v>
      </c>
      <c r="D187" s="186" t="s">
        <v>3557</v>
      </c>
      <c r="E187" s="186" t="s">
        <v>3557</v>
      </c>
      <c r="F187" s="186" t="s">
        <v>3629</v>
      </c>
    </row>
    <row r="188" spans="1:6" ht="12.75">
      <c r="A188" s="186" t="s">
        <v>3801</v>
      </c>
      <c r="B188" s="186" t="s">
        <v>3619</v>
      </c>
      <c r="C188" s="186" t="s">
        <v>3790</v>
      </c>
      <c r="D188" s="186" t="s">
        <v>3557</v>
      </c>
      <c r="E188" s="186" t="s">
        <v>3557</v>
      </c>
      <c r="F188" s="186" t="s">
        <v>3629</v>
      </c>
    </row>
    <row r="189" spans="1:6" ht="12.75">
      <c r="A189" s="186" t="s">
        <v>3802</v>
      </c>
      <c r="B189" s="186" t="s">
        <v>3619</v>
      </c>
      <c r="C189" s="186" t="s">
        <v>3790</v>
      </c>
      <c r="D189" s="186" t="s">
        <v>3557</v>
      </c>
      <c r="E189" s="186" t="s">
        <v>3557</v>
      </c>
      <c r="F189" s="186" t="s">
        <v>3629</v>
      </c>
    </row>
    <row r="190" spans="1:6" ht="12.75">
      <c r="A190" s="186" t="s">
        <v>3803</v>
      </c>
      <c r="B190" s="186" t="s">
        <v>3619</v>
      </c>
      <c r="C190" s="186" t="s">
        <v>3804</v>
      </c>
      <c r="D190" s="186" t="s">
        <v>3554</v>
      </c>
      <c r="E190" s="186" t="s">
        <v>3554</v>
      </c>
      <c r="F190" s="186" t="s">
        <v>3629</v>
      </c>
    </row>
    <row r="191" spans="1:6" ht="12.75">
      <c r="A191" s="186" t="s">
        <v>3805</v>
      </c>
      <c r="B191" s="186" t="s">
        <v>3619</v>
      </c>
      <c r="C191" s="186" t="s">
        <v>3804</v>
      </c>
      <c r="D191" s="186" t="s">
        <v>3554</v>
      </c>
      <c r="E191" s="186" t="s">
        <v>3554</v>
      </c>
      <c r="F191" s="186" t="s">
        <v>3629</v>
      </c>
    </row>
    <row r="192" spans="1:6" ht="12.75">
      <c r="A192" s="186" t="s">
        <v>3806</v>
      </c>
      <c r="B192" s="186" t="s">
        <v>3619</v>
      </c>
      <c r="C192" s="186" t="s">
        <v>3777</v>
      </c>
      <c r="D192" s="186" t="s">
        <v>3583</v>
      </c>
      <c r="E192" s="186" t="s">
        <v>3557</v>
      </c>
      <c r="F192" s="186" t="s">
        <v>3629</v>
      </c>
    </row>
    <row r="193" spans="1:6" ht="12.75">
      <c r="A193" s="186" t="s">
        <v>3807</v>
      </c>
      <c r="B193" s="186" t="s">
        <v>3619</v>
      </c>
      <c r="C193" s="186" t="s">
        <v>3808</v>
      </c>
      <c r="D193" s="186" t="s">
        <v>3550</v>
      </c>
      <c r="E193" s="186" t="s">
        <v>3557</v>
      </c>
      <c r="F193" s="186" t="s">
        <v>3629</v>
      </c>
    </row>
    <row r="194" spans="1:6" ht="12.75">
      <c r="A194" s="186" t="s">
        <v>3809</v>
      </c>
      <c r="B194" s="186" t="s">
        <v>3619</v>
      </c>
      <c r="C194" s="186" t="s">
        <v>3790</v>
      </c>
      <c r="D194" s="186" t="s">
        <v>3557</v>
      </c>
      <c r="E194" s="186" t="s">
        <v>3557</v>
      </c>
      <c r="F194" s="186" t="s">
        <v>3629</v>
      </c>
    </row>
    <row r="195" spans="1:6" ht="12.75">
      <c r="A195" s="186" t="s">
        <v>3810</v>
      </c>
      <c r="B195" s="186" t="s">
        <v>3619</v>
      </c>
      <c r="C195" s="186" t="s">
        <v>3777</v>
      </c>
      <c r="D195" s="186" t="s">
        <v>3583</v>
      </c>
      <c r="E195" s="186" t="s">
        <v>3557</v>
      </c>
      <c r="F195" s="186" t="s">
        <v>3629</v>
      </c>
    </row>
    <row r="196" spans="1:6" ht="12.75">
      <c r="A196" s="186" t="s">
        <v>3811</v>
      </c>
      <c r="B196" s="186" t="s">
        <v>3619</v>
      </c>
      <c r="C196" s="186" t="s">
        <v>3777</v>
      </c>
      <c r="D196" s="186" t="s">
        <v>3583</v>
      </c>
      <c r="E196" s="186" t="s">
        <v>3557</v>
      </c>
      <c r="F196" s="186" t="s">
        <v>3629</v>
      </c>
    </row>
    <row r="197" spans="1:6" ht="12.75">
      <c r="A197" s="186" t="s">
        <v>3812</v>
      </c>
      <c r="B197" s="186" t="s">
        <v>3619</v>
      </c>
      <c r="C197" s="186" t="s">
        <v>3777</v>
      </c>
      <c r="D197" s="186" t="s">
        <v>3583</v>
      </c>
      <c r="E197" s="186" t="s">
        <v>3557</v>
      </c>
      <c r="F197" s="186" t="s">
        <v>3629</v>
      </c>
    </row>
    <row r="198" spans="1:6" ht="12.75">
      <c r="A198" s="186" t="s">
        <v>3813</v>
      </c>
      <c r="B198" s="186" t="s">
        <v>3619</v>
      </c>
      <c r="C198" s="186" t="s">
        <v>3777</v>
      </c>
      <c r="D198" s="186" t="s">
        <v>3583</v>
      </c>
      <c r="E198" s="186" t="s">
        <v>3557</v>
      </c>
      <c r="F198" s="186" t="s">
        <v>3629</v>
      </c>
    </row>
    <row r="199" spans="1:6" ht="12.75">
      <c r="A199" s="186" t="s">
        <v>3814</v>
      </c>
      <c r="B199" s="186" t="s">
        <v>3619</v>
      </c>
      <c r="C199" s="186" t="s">
        <v>3777</v>
      </c>
      <c r="D199" s="186" t="s">
        <v>3583</v>
      </c>
      <c r="E199" s="186" t="s">
        <v>3557</v>
      </c>
      <c r="F199" s="186" t="s">
        <v>3629</v>
      </c>
    </row>
    <row r="200" spans="1:6" ht="12.75">
      <c r="A200" s="186" t="s">
        <v>3815</v>
      </c>
      <c r="B200" s="186" t="s">
        <v>3619</v>
      </c>
      <c r="C200" s="186" t="s">
        <v>3777</v>
      </c>
      <c r="D200" s="186" t="s">
        <v>3583</v>
      </c>
      <c r="E200" s="186" t="s">
        <v>3557</v>
      </c>
      <c r="F200" s="186" t="s">
        <v>3629</v>
      </c>
    </row>
    <row r="201" spans="1:6" ht="12.75">
      <c r="A201" s="186" t="s">
        <v>3816</v>
      </c>
      <c r="B201" s="186" t="s">
        <v>3619</v>
      </c>
      <c r="C201" s="186" t="s">
        <v>3777</v>
      </c>
      <c r="D201" s="186" t="s">
        <v>3583</v>
      </c>
      <c r="E201" s="186" t="s">
        <v>3557</v>
      </c>
      <c r="F201" s="186" t="s">
        <v>3629</v>
      </c>
    </row>
    <row r="202" spans="1:6" ht="12.75">
      <c r="A202" s="186" t="s">
        <v>3817</v>
      </c>
      <c r="B202" s="186" t="s">
        <v>3619</v>
      </c>
      <c r="C202" s="186" t="s">
        <v>3777</v>
      </c>
      <c r="D202" s="186" t="s">
        <v>3583</v>
      </c>
      <c r="E202" s="186" t="s">
        <v>3557</v>
      </c>
      <c r="F202" s="186" t="s">
        <v>3629</v>
      </c>
    </row>
    <row r="203" spans="1:6" ht="12.75">
      <c r="A203" s="186" t="s">
        <v>3818</v>
      </c>
      <c r="B203" s="186" t="s">
        <v>3619</v>
      </c>
      <c r="C203" s="186" t="s">
        <v>3777</v>
      </c>
      <c r="D203" s="186" t="s">
        <v>3583</v>
      </c>
      <c r="E203" s="186" t="s">
        <v>3557</v>
      </c>
      <c r="F203" s="186" t="s">
        <v>3629</v>
      </c>
    </row>
    <row r="204" spans="1:6" ht="12.75">
      <c r="A204" s="186" t="s">
        <v>3819</v>
      </c>
      <c r="B204" s="186" t="s">
        <v>3619</v>
      </c>
      <c r="C204" s="186" t="s">
        <v>3790</v>
      </c>
      <c r="D204" s="186" t="s">
        <v>3557</v>
      </c>
      <c r="E204" s="186" t="s">
        <v>3557</v>
      </c>
      <c r="F204" s="186" t="s">
        <v>3629</v>
      </c>
    </row>
    <row r="205" spans="1:6" ht="12.75">
      <c r="A205" s="186" t="s">
        <v>3820</v>
      </c>
      <c r="B205" s="186" t="s">
        <v>3619</v>
      </c>
      <c r="C205" s="186" t="s">
        <v>3790</v>
      </c>
      <c r="D205" s="186" t="s">
        <v>3557</v>
      </c>
      <c r="E205" s="186" t="s">
        <v>3557</v>
      </c>
      <c r="F205" s="186" t="s">
        <v>3629</v>
      </c>
    </row>
    <row r="206" spans="1:6" ht="12.75">
      <c r="A206" s="186" t="s">
        <v>3821</v>
      </c>
      <c r="B206" s="186" t="s">
        <v>3619</v>
      </c>
      <c r="C206" s="186" t="s">
        <v>3790</v>
      </c>
      <c r="D206" s="186" t="s">
        <v>3557</v>
      </c>
      <c r="E206" s="186" t="s">
        <v>3557</v>
      </c>
      <c r="F206" s="186" t="s">
        <v>3629</v>
      </c>
    </row>
    <row r="207" spans="1:6" ht="12.75">
      <c r="A207" s="186" t="s">
        <v>3822</v>
      </c>
      <c r="B207" s="186" t="s">
        <v>3619</v>
      </c>
      <c r="C207" s="186" t="s">
        <v>3823</v>
      </c>
      <c r="D207" s="186" t="s">
        <v>3583</v>
      </c>
      <c r="E207" s="186" t="s">
        <v>3554</v>
      </c>
      <c r="F207" s="186" t="s">
        <v>3629</v>
      </c>
    </row>
    <row r="208" spans="1:6" ht="12.75">
      <c r="A208" s="186" t="s">
        <v>3824</v>
      </c>
      <c r="B208" s="186" t="s">
        <v>3619</v>
      </c>
      <c r="C208" s="186" t="s">
        <v>3823</v>
      </c>
      <c r="D208" s="186" t="s">
        <v>3583</v>
      </c>
      <c r="E208" s="186" t="s">
        <v>3554</v>
      </c>
      <c r="F208" s="186" t="s">
        <v>3629</v>
      </c>
    </row>
    <row r="209" spans="1:6" ht="12.75">
      <c r="A209" s="186" t="s">
        <v>3825</v>
      </c>
      <c r="B209" s="186" t="s">
        <v>3619</v>
      </c>
      <c r="C209" s="186" t="s">
        <v>3823</v>
      </c>
      <c r="D209" s="186" t="s">
        <v>3583</v>
      </c>
      <c r="E209" s="186" t="s">
        <v>3554</v>
      </c>
      <c r="F209" s="186" t="s">
        <v>3629</v>
      </c>
    </row>
    <row r="210" spans="1:6" ht="12.75">
      <c r="A210" s="186" t="s">
        <v>3826</v>
      </c>
      <c r="B210" s="186" t="s">
        <v>3619</v>
      </c>
      <c r="C210" s="186" t="s">
        <v>3823</v>
      </c>
      <c r="D210" s="186" t="s">
        <v>3583</v>
      </c>
      <c r="E210" s="186" t="s">
        <v>3554</v>
      </c>
      <c r="F210" s="186" t="s">
        <v>3629</v>
      </c>
    </row>
    <row r="211" spans="1:6" ht="12.75">
      <c r="A211" s="186" t="s">
        <v>3827</v>
      </c>
      <c r="B211" s="186" t="s">
        <v>3619</v>
      </c>
      <c r="C211" s="186" t="s">
        <v>3828</v>
      </c>
      <c r="D211" s="186" t="s">
        <v>3554</v>
      </c>
      <c r="E211" s="186" t="s">
        <v>3554</v>
      </c>
      <c r="F211" s="186" t="s">
        <v>3629</v>
      </c>
    </row>
    <row r="212" spans="1:6" ht="12.75">
      <c r="A212" s="186" t="s">
        <v>3829</v>
      </c>
      <c r="B212" s="186" t="s">
        <v>3619</v>
      </c>
      <c r="C212" s="186" t="s">
        <v>3828</v>
      </c>
      <c r="D212" s="186" t="s">
        <v>3554</v>
      </c>
      <c r="E212" s="186" t="s">
        <v>3554</v>
      </c>
      <c r="F212" s="186" t="s">
        <v>3629</v>
      </c>
    </row>
    <row r="213" spans="1:6" ht="12.75">
      <c r="A213" s="186" t="s">
        <v>3830</v>
      </c>
      <c r="B213" s="186" t="s">
        <v>3619</v>
      </c>
      <c r="C213" s="186" t="s">
        <v>3831</v>
      </c>
      <c r="D213" s="186" t="s">
        <v>3727</v>
      </c>
      <c r="E213" s="186" t="s">
        <v>3554</v>
      </c>
      <c r="F213" s="186" t="s">
        <v>3629</v>
      </c>
    </row>
    <row r="214" spans="1:6" ht="12.75">
      <c r="A214" s="186" t="s">
        <v>3832</v>
      </c>
      <c r="B214" s="186" t="s">
        <v>3619</v>
      </c>
      <c r="C214" s="186" t="s">
        <v>3833</v>
      </c>
      <c r="D214" s="186" t="s">
        <v>3554</v>
      </c>
      <c r="E214" s="186" t="s">
        <v>3554</v>
      </c>
      <c r="F214" s="186" t="s">
        <v>3629</v>
      </c>
    </row>
    <row r="215" spans="1:6" ht="12.75">
      <c r="A215" s="186" t="s">
        <v>3834</v>
      </c>
      <c r="B215" s="186" t="s">
        <v>3619</v>
      </c>
      <c r="C215" s="186" t="s">
        <v>3823</v>
      </c>
      <c r="D215" s="186" t="s">
        <v>3583</v>
      </c>
      <c r="E215" s="186" t="s">
        <v>3554</v>
      </c>
      <c r="F215" s="186" t="s">
        <v>3629</v>
      </c>
    </row>
    <row r="216" spans="1:6" ht="12.75">
      <c r="A216" s="186" t="s">
        <v>3835</v>
      </c>
      <c r="B216" s="186" t="s">
        <v>3619</v>
      </c>
      <c r="C216" s="186" t="s">
        <v>3804</v>
      </c>
      <c r="D216" s="186" t="s">
        <v>3554</v>
      </c>
      <c r="E216" s="186" t="s">
        <v>3554</v>
      </c>
      <c r="F216" s="186" t="s">
        <v>3629</v>
      </c>
    </row>
    <row r="217" spans="1:6" ht="12.75">
      <c r="A217" s="186" t="s">
        <v>3836</v>
      </c>
      <c r="B217" s="186" t="s">
        <v>3619</v>
      </c>
      <c r="C217" s="186" t="s">
        <v>3804</v>
      </c>
      <c r="D217" s="186" t="s">
        <v>3554</v>
      </c>
      <c r="E217" s="186" t="s">
        <v>3554</v>
      </c>
      <c r="F217" s="186" t="s">
        <v>3629</v>
      </c>
    </row>
    <row r="218" spans="1:6" ht="12.75">
      <c r="A218" s="186" t="s">
        <v>3837</v>
      </c>
      <c r="B218" s="186" t="s">
        <v>3619</v>
      </c>
      <c r="C218" s="186" t="s">
        <v>3804</v>
      </c>
      <c r="D218" s="186" t="s">
        <v>3554</v>
      </c>
      <c r="E218" s="186" t="s">
        <v>3554</v>
      </c>
      <c r="F218" s="186" t="s">
        <v>3629</v>
      </c>
    </row>
    <row r="219" spans="1:6" ht="12.75">
      <c r="A219" s="186" t="s">
        <v>3838</v>
      </c>
      <c r="B219" s="186" t="s">
        <v>3619</v>
      </c>
      <c r="C219" s="186" t="s">
        <v>3804</v>
      </c>
      <c r="D219" s="186" t="s">
        <v>3554</v>
      </c>
      <c r="E219" s="186" t="s">
        <v>3554</v>
      </c>
      <c r="F219" s="186" t="s">
        <v>3629</v>
      </c>
    </row>
    <row r="220" spans="1:6" ht="12.75">
      <c r="A220" s="186" t="s">
        <v>3839</v>
      </c>
      <c r="B220" s="186" t="s">
        <v>3619</v>
      </c>
      <c r="C220" s="186" t="s">
        <v>3804</v>
      </c>
      <c r="D220" s="186" t="s">
        <v>3554</v>
      </c>
      <c r="E220" s="186" t="s">
        <v>3554</v>
      </c>
      <c r="F220" s="186" t="s">
        <v>3629</v>
      </c>
    </row>
    <row r="221" spans="1:6" ht="12.75">
      <c r="A221" s="186" t="s">
        <v>3840</v>
      </c>
      <c r="B221" s="186" t="s">
        <v>3619</v>
      </c>
      <c r="C221" s="186" t="s">
        <v>3804</v>
      </c>
      <c r="D221" s="186" t="s">
        <v>3554</v>
      </c>
      <c r="E221" s="186" t="s">
        <v>3554</v>
      </c>
      <c r="F221" s="186" t="s">
        <v>3629</v>
      </c>
    </row>
    <row r="222" spans="1:6" ht="12.75">
      <c r="A222" s="186" t="s">
        <v>3841</v>
      </c>
      <c r="B222" s="186" t="s">
        <v>3619</v>
      </c>
      <c r="C222" s="186" t="s">
        <v>3842</v>
      </c>
      <c r="D222" s="186" t="s">
        <v>3554</v>
      </c>
      <c r="E222" s="186" t="s">
        <v>3590</v>
      </c>
      <c r="F222" s="186" t="s">
        <v>3629</v>
      </c>
    </row>
    <row r="223" spans="1:6" ht="12.75">
      <c r="A223" s="186" t="s">
        <v>3843</v>
      </c>
      <c r="B223" s="186" t="s">
        <v>3619</v>
      </c>
      <c r="C223" s="186" t="s">
        <v>3842</v>
      </c>
      <c r="D223" s="186" t="s">
        <v>3554</v>
      </c>
      <c r="E223" s="186" t="s">
        <v>3590</v>
      </c>
      <c r="F223" s="186" t="s">
        <v>3629</v>
      </c>
    </row>
    <row r="224" spans="1:6" ht="12.75">
      <c r="A224" s="186" t="s">
        <v>3844</v>
      </c>
      <c r="B224" s="186" t="s">
        <v>3619</v>
      </c>
      <c r="C224" s="186" t="s">
        <v>3804</v>
      </c>
      <c r="D224" s="186" t="s">
        <v>3554</v>
      </c>
      <c r="E224" s="186" t="s">
        <v>3554</v>
      </c>
      <c r="F224" s="186" t="s">
        <v>3629</v>
      </c>
    </row>
    <row r="225" spans="1:6" ht="12.75">
      <c r="A225" s="186" t="s">
        <v>3845</v>
      </c>
      <c r="B225" s="186" t="s">
        <v>3619</v>
      </c>
      <c r="C225" s="186" t="s">
        <v>3846</v>
      </c>
      <c r="D225" s="186" t="s">
        <v>3571</v>
      </c>
      <c r="E225" s="186" t="s">
        <v>3554</v>
      </c>
      <c r="F225" s="186" t="s">
        <v>3629</v>
      </c>
    </row>
    <row r="226" spans="1:6" ht="12.75">
      <c r="A226" s="186" t="s">
        <v>3847</v>
      </c>
      <c r="B226" s="186" t="s">
        <v>3619</v>
      </c>
      <c r="C226" s="186" t="s">
        <v>3570</v>
      </c>
      <c r="D226" s="186" t="s">
        <v>3571</v>
      </c>
      <c r="E226" s="186" t="s">
        <v>3571</v>
      </c>
      <c r="F226" s="186" t="s">
        <v>3629</v>
      </c>
    </row>
    <row r="227" spans="1:6" ht="12.75">
      <c r="A227" s="186" t="s">
        <v>3848</v>
      </c>
      <c r="B227" s="186" t="s">
        <v>3619</v>
      </c>
      <c r="C227" s="186" t="s">
        <v>3849</v>
      </c>
      <c r="D227" s="186" t="s">
        <v>3554</v>
      </c>
      <c r="E227" s="186" t="s">
        <v>3583</v>
      </c>
      <c r="F227" s="186" t="s">
        <v>3629</v>
      </c>
    </row>
    <row r="228" spans="1:6" ht="12.75">
      <c r="A228" s="186" t="s">
        <v>3850</v>
      </c>
      <c r="B228" s="186" t="s">
        <v>3619</v>
      </c>
      <c r="C228" s="186" t="s">
        <v>3851</v>
      </c>
      <c r="D228" s="186" t="s">
        <v>3727</v>
      </c>
      <c r="E228" s="186" t="s">
        <v>3564</v>
      </c>
      <c r="F228" s="186" t="s">
        <v>3629</v>
      </c>
    </row>
    <row r="229" spans="1:6" ht="12.75">
      <c r="A229" s="186" t="s">
        <v>3852</v>
      </c>
      <c r="B229" s="186" t="s">
        <v>3619</v>
      </c>
      <c r="C229" s="186" t="s">
        <v>3851</v>
      </c>
      <c r="D229" s="186" t="s">
        <v>3727</v>
      </c>
      <c r="E229" s="186" t="s">
        <v>3564</v>
      </c>
      <c r="F229" s="186" t="s">
        <v>3629</v>
      </c>
    </row>
    <row r="230" spans="1:6" ht="12.75">
      <c r="A230" s="186" t="s">
        <v>3853</v>
      </c>
      <c r="B230" s="186" t="s">
        <v>3619</v>
      </c>
      <c r="C230" s="186" t="s">
        <v>3851</v>
      </c>
      <c r="D230" s="186" t="s">
        <v>3727</v>
      </c>
      <c r="E230" s="186" t="s">
        <v>3564</v>
      </c>
      <c r="F230" s="186" t="s">
        <v>3629</v>
      </c>
    </row>
    <row r="231" spans="1:6" ht="12.75">
      <c r="A231" s="186" t="s">
        <v>3854</v>
      </c>
      <c r="B231" s="186" t="s">
        <v>3619</v>
      </c>
      <c r="C231" s="186" t="s">
        <v>3855</v>
      </c>
      <c r="D231" s="186" t="s">
        <v>3564</v>
      </c>
      <c r="E231" s="186" t="s">
        <v>3564</v>
      </c>
      <c r="F231" s="186" t="s">
        <v>3629</v>
      </c>
    </row>
    <row r="232" spans="1:6" ht="12.75">
      <c r="A232" s="186" t="s">
        <v>3856</v>
      </c>
      <c r="B232" s="186" t="s">
        <v>3619</v>
      </c>
      <c r="C232" s="186" t="s">
        <v>3855</v>
      </c>
      <c r="D232" s="186" t="s">
        <v>3564</v>
      </c>
      <c r="E232" s="186" t="s">
        <v>3564</v>
      </c>
      <c r="F232" s="186" t="s">
        <v>3629</v>
      </c>
    </row>
    <row r="233" spans="1:6" ht="12.75">
      <c r="A233" s="186" t="s">
        <v>3857</v>
      </c>
      <c r="B233" s="186" t="s">
        <v>3619</v>
      </c>
      <c r="C233" s="186" t="s">
        <v>3855</v>
      </c>
      <c r="D233" s="186" t="s">
        <v>3564</v>
      </c>
      <c r="E233" s="186" t="s">
        <v>3564</v>
      </c>
      <c r="F233" s="186" t="s">
        <v>3629</v>
      </c>
    </row>
    <row r="234" spans="1:6" ht="12.75">
      <c r="A234" s="186" t="s">
        <v>3858</v>
      </c>
      <c r="B234" s="186" t="s">
        <v>3619</v>
      </c>
      <c r="C234" s="186" t="s">
        <v>3855</v>
      </c>
      <c r="D234" s="186" t="s">
        <v>3564</v>
      </c>
      <c r="E234" s="186" t="s">
        <v>3564</v>
      </c>
      <c r="F234" s="186" t="s">
        <v>3629</v>
      </c>
    </row>
    <row r="235" spans="1:6" ht="12.75">
      <c r="A235" s="186" t="s">
        <v>3859</v>
      </c>
      <c r="B235" s="186" t="s">
        <v>3619</v>
      </c>
      <c r="C235" s="186" t="s">
        <v>3855</v>
      </c>
      <c r="D235" s="186" t="s">
        <v>3564</v>
      </c>
      <c r="E235" s="186" t="s">
        <v>3564</v>
      </c>
      <c r="F235" s="186" t="s">
        <v>3629</v>
      </c>
    </row>
    <row r="236" spans="1:6" ht="12.75">
      <c r="A236" s="186" t="s">
        <v>3860</v>
      </c>
      <c r="B236" s="186" t="s">
        <v>3619</v>
      </c>
      <c r="C236" s="186" t="s">
        <v>3855</v>
      </c>
      <c r="D236" s="186" t="s">
        <v>3564</v>
      </c>
      <c r="E236" s="186" t="s">
        <v>3564</v>
      </c>
      <c r="F236" s="186" t="s">
        <v>3629</v>
      </c>
    </row>
    <row r="237" spans="1:6" ht="12.75">
      <c r="A237" s="186" t="s">
        <v>3861</v>
      </c>
      <c r="B237" s="186" t="s">
        <v>3619</v>
      </c>
      <c r="C237" s="186" t="s">
        <v>3855</v>
      </c>
      <c r="D237" s="186" t="s">
        <v>3564</v>
      </c>
      <c r="E237" s="186" t="s">
        <v>3564</v>
      </c>
      <c r="F237" s="186" t="s">
        <v>3629</v>
      </c>
    </row>
    <row r="238" spans="1:6" ht="12.75">
      <c r="A238" s="186" t="s">
        <v>3862</v>
      </c>
      <c r="B238" s="186" t="s">
        <v>3619</v>
      </c>
      <c r="C238" s="186" t="s">
        <v>3855</v>
      </c>
      <c r="D238" s="186" t="s">
        <v>3564</v>
      </c>
      <c r="E238" s="186" t="s">
        <v>3564</v>
      </c>
      <c r="F238" s="186" t="s">
        <v>3629</v>
      </c>
    </row>
    <row r="239" spans="1:6" ht="12.75">
      <c r="A239" s="186" t="s">
        <v>3863</v>
      </c>
      <c r="B239" s="186" t="s">
        <v>3619</v>
      </c>
      <c r="C239" s="186" t="s">
        <v>3864</v>
      </c>
      <c r="D239" s="186" t="s">
        <v>3564</v>
      </c>
      <c r="E239" s="186" t="s">
        <v>3865</v>
      </c>
      <c r="F239" s="186" t="s">
        <v>3629</v>
      </c>
    </row>
    <row r="240" spans="1:6" ht="12.75">
      <c r="A240" s="186" t="s">
        <v>3866</v>
      </c>
      <c r="B240" s="186" t="s">
        <v>3619</v>
      </c>
      <c r="C240" s="186" t="s">
        <v>3855</v>
      </c>
      <c r="D240" s="186" t="s">
        <v>3564</v>
      </c>
      <c r="E240" s="186" t="s">
        <v>3564</v>
      </c>
      <c r="F240" s="186" t="s">
        <v>3629</v>
      </c>
    </row>
    <row r="241" spans="1:6" ht="12.75">
      <c r="A241" s="186" t="s">
        <v>3867</v>
      </c>
      <c r="B241" s="186" t="s">
        <v>3619</v>
      </c>
      <c r="C241" s="186" t="s">
        <v>3855</v>
      </c>
      <c r="D241" s="186" t="s">
        <v>3564</v>
      </c>
      <c r="E241" s="186" t="s">
        <v>3564</v>
      </c>
      <c r="F241" s="186" t="s">
        <v>3629</v>
      </c>
    </row>
    <row r="242" spans="1:6" ht="12.75">
      <c r="A242" s="186" t="s">
        <v>3868</v>
      </c>
      <c r="B242" s="186" t="s">
        <v>3619</v>
      </c>
      <c r="C242" s="186" t="s">
        <v>3855</v>
      </c>
      <c r="D242" s="186" t="s">
        <v>3564</v>
      </c>
      <c r="E242" s="186" t="s">
        <v>3564</v>
      </c>
      <c r="F242" s="186" t="s">
        <v>3629</v>
      </c>
    </row>
    <row r="243" spans="1:6" ht="12.75">
      <c r="A243" s="186" t="s">
        <v>3869</v>
      </c>
      <c r="B243" s="186" t="s">
        <v>3619</v>
      </c>
      <c r="C243" s="186" t="s">
        <v>3870</v>
      </c>
      <c r="D243" s="186" t="s">
        <v>3564</v>
      </c>
      <c r="E243" s="186" t="s">
        <v>3583</v>
      </c>
      <c r="F243" s="186" t="s">
        <v>3629</v>
      </c>
    </row>
    <row r="244" spans="1:6" ht="12.75">
      <c r="A244" s="186" t="s">
        <v>3871</v>
      </c>
      <c r="B244" s="186" t="s">
        <v>3619</v>
      </c>
      <c r="C244" s="186" t="s">
        <v>3870</v>
      </c>
      <c r="D244" s="186" t="s">
        <v>3564</v>
      </c>
      <c r="E244" s="186" t="s">
        <v>3583</v>
      </c>
      <c r="F244" s="186" t="s">
        <v>3629</v>
      </c>
    </row>
    <row r="245" spans="1:6" ht="12.75">
      <c r="A245" s="186" t="s">
        <v>3872</v>
      </c>
      <c r="B245" s="186" t="s">
        <v>3619</v>
      </c>
      <c r="C245" s="186" t="s">
        <v>3855</v>
      </c>
      <c r="D245" s="186" t="s">
        <v>3564</v>
      </c>
      <c r="E245" s="186" t="s">
        <v>3564</v>
      </c>
      <c r="F245" s="186" t="s">
        <v>3629</v>
      </c>
    </row>
    <row r="246" spans="1:6" ht="12.75">
      <c r="A246" s="186" t="s">
        <v>3873</v>
      </c>
      <c r="B246" s="186" t="s">
        <v>3619</v>
      </c>
      <c r="C246" s="186" t="s">
        <v>3874</v>
      </c>
      <c r="D246" s="186" t="s">
        <v>3546</v>
      </c>
      <c r="E246" s="186" t="s">
        <v>3546</v>
      </c>
      <c r="F246" s="186" t="s">
        <v>3629</v>
      </c>
    </row>
    <row r="247" spans="1:6" ht="12.75">
      <c r="A247" s="186" t="s">
        <v>3875</v>
      </c>
      <c r="B247" s="186" t="s">
        <v>3619</v>
      </c>
      <c r="C247" s="186" t="s">
        <v>3876</v>
      </c>
      <c r="D247" s="186" t="s">
        <v>3877</v>
      </c>
      <c r="E247" s="186" t="s">
        <v>3877</v>
      </c>
      <c r="F247" s="186" t="s">
        <v>3629</v>
      </c>
    </row>
    <row r="248" spans="1:6" ht="12.75">
      <c r="A248" s="186" t="s">
        <v>3878</v>
      </c>
      <c r="B248" s="186" t="s">
        <v>3619</v>
      </c>
      <c r="C248" s="186" t="s">
        <v>3874</v>
      </c>
      <c r="D248" s="186" t="s">
        <v>3546</v>
      </c>
      <c r="E248" s="186" t="s">
        <v>3546</v>
      </c>
      <c r="F248" s="186" t="s">
        <v>3629</v>
      </c>
    </row>
    <row r="249" spans="1:6" ht="12.75">
      <c r="A249" s="186" t="s">
        <v>3879</v>
      </c>
      <c r="B249" s="186" t="s">
        <v>3619</v>
      </c>
      <c r="C249" s="186" t="s">
        <v>3880</v>
      </c>
      <c r="D249" s="186" t="s">
        <v>3877</v>
      </c>
      <c r="E249" s="186" t="s">
        <v>3546</v>
      </c>
      <c r="F249" s="186" t="s">
        <v>3629</v>
      </c>
    </row>
    <row r="250" spans="1:6" ht="12.75">
      <c r="A250" s="186" t="s">
        <v>3881</v>
      </c>
      <c r="B250" s="186" t="s">
        <v>3619</v>
      </c>
      <c r="C250" s="186" t="s">
        <v>3874</v>
      </c>
      <c r="D250" s="186" t="s">
        <v>3546</v>
      </c>
      <c r="E250" s="186" t="s">
        <v>3546</v>
      </c>
      <c r="F250" s="186" t="s">
        <v>3629</v>
      </c>
    </row>
    <row r="251" spans="1:6" ht="12.75">
      <c r="A251" s="186" t="s">
        <v>3882</v>
      </c>
      <c r="B251" s="186" t="s">
        <v>3619</v>
      </c>
      <c r="C251" s="186" t="s">
        <v>3874</v>
      </c>
      <c r="D251" s="186" t="s">
        <v>3546</v>
      </c>
      <c r="E251" s="186" t="s">
        <v>3546</v>
      </c>
      <c r="F251" s="186" t="s">
        <v>3629</v>
      </c>
    </row>
    <row r="252" spans="1:6" ht="12.75">
      <c r="A252" s="186" t="s">
        <v>3883</v>
      </c>
      <c r="B252" s="186" t="s">
        <v>3619</v>
      </c>
      <c r="C252" s="186" t="s">
        <v>3874</v>
      </c>
      <c r="D252" s="186" t="s">
        <v>3546</v>
      </c>
      <c r="E252" s="186" t="s">
        <v>3546</v>
      </c>
      <c r="F252" s="186" t="s">
        <v>3629</v>
      </c>
    </row>
    <row r="253" spans="1:6" ht="12.75">
      <c r="A253" s="186" t="s">
        <v>3884</v>
      </c>
      <c r="B253" s="186" t="s">
        <v>3619</v>
      </c>
      <c r="C253" s="186" t="s">
        <v>3874</v>
      </c>
      <c r="D253" s="186" t="s">
        <v>3546</v>
      </c>
      <c r="E253" s="186" t="s">
        <v>3546</v>
      </c>
      <c r="F253" s="186" t="s">
        <v>3629</v>
      </c>
    </row>
    <row r="254" spans="1:6" ht="12.75">
      <c r="A254" s="186" t="s">
        <v>3885</v>
      </c>
      <c r="B254" s="186" t="s">
        <v>3619</v>
      </c>
      <c r="C254" s="186" t="s">
        <v>3886</v>
      </c>
      <c r="D254" s="186" t="s">
        <v>3571</v>
      </c>
      <c r="E254" s="186" t="s">
        <v>3865</v>
      </c>
      <c r="F254" s="186" t="s">
        <v>3629</v>
      </c>
    </row>
    <row r="255" spans="1:6" ht="12.75">
      <c r="A255" s="186" t="s">
        <v>3887</v>
      </c>
      <c r="B255" s="186" t="s">
        <v>3619</v>
      </c>
      <c r="C255" s="186" t="s">
        <v>3570</v>
      </c>
      <c r="D255" s="186" t="s">
        <v>3571</v>
      </c>
      <c r="E255" s="186" t="s">
        <v>3571</v>
      </c>
      <c r="F255" s="186" t="s">
        <v>3629</v>
      </c>
    </row>
    <row r="256" spans="1:6" ht="12.75">
      <c r="A256" s="186" t="s">
        <v>3888</v>
      </c>
      <c r="B256" s="186" t="s">
        <v>3619</v>
      </c>
      <c r="C256" s="186" t="s">
        <v>3886</v>
      </c>
      <c r="D256" s="186" t="s">
        <v>3571</v>
      </c>
      <c r="E256" s="186" t="s">
        <v>3865</v>
      </c>
      <c r="F256" s="186" t="s">
        <v>3629</v>
      </c>
    </row>
    <row r="257" spans="1:6" ht="12.75">
      <c r="A257" s="186" t="s">
        <v>3889</v>
      </c>
      <c r="B257" s="186" t="s">
        <v>3619</v>
      </c>
      <c r="C257" s="186" t="s">
        <v>3570</v>
      </c>
      <c r="D257" s="186" t="s">
        <v>3571</v>
      </c>
      <c r="E257" s="186" t="s">
        <v>3571</v>
      </c>
      <c r="F257" s="186" t="s">
        <v>3629</v>
      </c>
    </row>
    <row r="258" spans="1:6" ht="12.75">
      <c r="A258" s="186" t="s">
        <v>3890</v>
      </c>
      <c r="B258" s="186" t="s">
        <v>3619</v>
      </c>
      <c r="C258" s="186" t="s">
        <v>3886</v>
      </c>
      <c r="D258" s="186" t="s">
        <v>3571</v>
      </c>
      <c r="E258" s="186" t="s">
        <v>3865</v>
      </c>
      <c r="F258" s="186" t="s">
        <v>3629</v>
      </c>
    </row>
    <row r="259" spans="1:6" ht="12.75">
      <c r="A259" s="186" t="s">
        <v>3891</v>
      </c>
      <c r="B259" s="186" t="s">
        <v>3619</v>
      </c>
      <c r="C259" s="186" t="s">
        <v>3570</v>
      </c>
      <c r="D259" s="186" t="s">
        <v>3571</v>
      </c>
      <c r="E259" s="186" t="s">
        <v>3571</v>
      </c>
      <c r="F259" s="186" t="s">
        <v>3629</v>
      </c>
    </row>
    <row r="260" spans="1:6" ht="12.75">
      <c r="A260" s="186" t="s">
        <v>3892</v>
      </c>
      <c r="B260" s="186" t="s">
        <v>3619</v>
      </c>
      <c r="C260" s="186" t="s">
        <v>3570</v>
      </c>
      <c r="D260" s="186" t="s">
        <v>3571</v>
      </c>
      <c r="E260" s="186" t="s">
        <v>3571</v>
      </c>
      <c r="F260" s="186" t="s">
        <v>3629</v>
      </c>
    </row>
    <row r="261" spans="1:6" ht="12.75">
      <c r="A261" s="186" t="s">
        <v>3893</v>
      </c>
      <c r="B261" s="186" t="s">
        <v>3619</v>
      </c>
      <c r="C261" s="186" t="s">
        <v>3570</v>
      </c>
      <c r="D261" s="186" t="s">
        <v>3571</v>
      </c>
      <c r="E261" s="186" t="s">
        <v>3571</v>
      </c>
      <c r="F261" s="186" t="s">
        <v>3629</v>
      </c>
    </row>
    <row r="262" spans="1:6" ht="12.75">
      <c r="A262" s="186" t="s">
        <v>3894</v>
      </c>
      <c r="B262" s="186" t="s">
        <v>3619</v>
      </c>
      <c r="C262" s="186" t="s">
        <v>3570</v>
      </c>
      <c r="D262" s="186" t="s">
        <v>3571</v>
      </c>
      <c r="E262" s="186" t="s">
        <v>3571</v>
      </c>
      <c r="F262" s="186" t="s">
        <v>3629</v>
      </c>
    </row>
    <row r="263" spans="1:6" ht="12.75">
      <c r="A263" s="186" t="s">
        <v>3895</v>
      </c>
      <c r="B263" s="186" t="s">
        <v>3619</v>
      </c>
      <c r="C263" s="186" t="s">
        <v>3886</v>
      </c>
      <c r="D263" s="186" t="s">
        <v>3571</v>
      </c>
      <c r="E263" s="186" t="s">
        <v>3865</v>
      </c>
      <c r="F263" s="186" t="s">
        <v>3629</v>
      </c>
    </row>
    <row r="264" spans="1:6" ht="12.75">
      <c r="A264" s="186" t="s">
        <v>3896</v>
      </c>
      <c r="B264" s="186" t="s">
        <v>3619</v>
      </c>
      <c r="C264" s="186" t="s">
        <v>3886</v>
      </c>
      <c r="D264" s="186" t="s">
        <v>3571</v>
      </c>
      <c r="E264" s="186" t="s">
        <v>3865</v>
      </c>
      <c r="F264" s="186" t="s">
        <v>3629</v>
      </c>
    </row>
    <row r="265" spans="1:6" ht="12.75">
      <c r="A265" s="186" t="s">
        <v>3897</v>
      </c>
      <c r="B265" s="186" t="s">
        <v>3619</v>
      </c>
      <c r="C265" s="186" t="s">
        <v>3886</v>
      </c>
      <c r="D265" s="186" t="s">
        <v>3571</v>
      </c>
      <c r="E265" s="186" t="s">
        <v>3865</v>
      </c>
      <c r="F265" s="186" t="s">
        <v>3629</v>
      </c>
    </row>
    <row r="266" spans="1:6" ht="12.75">
      <c r="A266" s="186" t="s">
        <v>3898</v>
      </c>
      <c r="B266" s="186" t="s">
        <v>3619</v>
      </c>
      <c r="C266" s="186" t="s">
        <v>3899</v>
      </c>
      <c r="D266" s="186" t="s">
        <v>3865</v>
      </c>
      <c r="E266" s="186" t="s">
        <v>3865</v>
      </c>
      <c r="F266" s="186" t="s">
        <v>3629</v>
      </c>
    </row>
    <row r="267" spans="1:6" ht="12.75">
      <c r="A267" s="186" t="s">
        <v>3900</v>
      </c>
      <c r="B267" s="186" t="s">
        <v>3619</v>
      </c>
      <c r="C267" s="186" t="s">
        <v>3899</v>
      </c>
      <c r="D267" s="186" t="s">
        <v>3865</v>
      </c>
      <c r="E267" s="186" t="s">
        <v>3865</v>
      </c>
      <c r="F267" s="186" t="s">
        <v>3629</v>
      </c>
    </row>
    <row r="268" spans="1:6" ht="12.75">
      <c r="A268" s="186" t="s">
        <v>3901</v>
      </c>
      <c r="B268" s="186" t="s">
        <v>3619</v>
      </c>
      <c r="C268" s="186" t="s">
        <v>3570</v>
      </c>
      <c r="D268" s="186" t="s">
        <v>3571</v>
      </c>
      <c r="E268" s="186" t="s">
        <v>3571</v>
      </c>
      <c r="F268" s="186" t="s">
        <v>3629</v>
      </c>
    </row>
    <row r="269" spans="1:6" ht="12.75">
      <c r="A269" s="186" t="s">
        <v>3902</v>
      </c>
      <c r="B269" s="186" t="s">
        <v>3619</v>
      </c>
      <c r="C269" s="186" t="s">
        <v>3570</v>
      </c>
      <c r="D269" s="186" t="s">
        <v>3571</v>
      </c>
      <c r="E269" s="186" t="s">
        <v>3571</v>
      </c>
      <c r="F269" s="186" t="s">
        <v>3629</v>
      </c>
    </row>
    <row r="270" spans="1:6" ht="12.75">
      <c r="A270" s="186" t="s">
        <v>3903</v>
      </c>
      <c r="B270" s="186" t="s">
        <v>3619</v>
      </c>
      <c r="C270" s="186" t="s">
        <v>3570</v>
      </c>
      <c r="D270" s="186" t="s">
        <v>3571</v>
      </c>
      <c r="E270" s="186" t="s">
        <v>3571</v>
      </c>
      <c r="F270" s="186" t="s">
        <v>3629</v>
      </c>
    </row>
    <row r="271" spans="1:6" ht="12.75">
      <c r="A271" s="186" t="s">
        <v>3904</v>
      </c>
      <c r="B271" s="186" t="s">
        <v>3619</v>
      </c>
      <c r="C271" s="186" t="s">
        <v>3570</v>
      </c>
      <c r="D271" s="186" t="s">
        <v>3571</v>
      </c>
      <c r="E271" s="186" t="s">
        <v>3571</v>
      </c>
      <c r="F271" s="186" t="s">
        <v>3629</v>
      </c>
    </row>
    <row r="272" spans="1:6" ht="12.75">
      <c r="A272" s="186" t="s">
        <v>3905</v>
      </c>
      <c r="B272" s="186" t="s">
        <v>3619</v>
      </c>
      <c r="C272" s="186" t="s">
        <v>3570</v>
      </c>
      <c r="D272" s="186" t="s">
        <v>3571</v>
      </c>
      <c r="E272" s="186" t="s">
        <v>3571</v>
      </c>
      <c r="F272" s="186" t="s">
        <v>3629</v>
      </c>
    </row>
    <row r="273" spans="1:6" ht="12.75">
      <c r="A273" s="186" t="s">
        <v>3906</v>
      </c>
      <c r="B273" s="186" t="s">
        <v>3619</v>
      </c>
      <c r="C273" s="186" t="s">
        <v>3570</v>
      </c>
      <c r="D273" s="186" t="s">
        <v>3571</v>
      </c>
      <c r="E273" s="186" t="s">
        <v>3571</v>
      </c>
      <c r="F273" s="186" t="s">
        <v>3629</v>
      </c>
    </row>
    <row r="274" spans="1:6" ht="12.75">
      <c r="A274" s="186" t="s">
        <v>3907</v>
      </c>
      <c r="B274" s="186" t="s">
        <v>3619</v>
      </c>
      <c r="C274" s="186" t="s">
        <v>3899</v>
      </c>
      <c r="D274" s="186" t="s">
        <v>3865</v>
      </c>
      <c r="E274" s="186" t="s">
        <v>3865</v>
      </c>
      <c r="F274" s="186" t="s">
        <v>3629</v>
      </c>
    </row>
    <row r="275" spans="1:6" ht="12.75">
      <c r="A275" s="186" t="s">
        <v>3908</v>
      </c>
      <c r="B275" s="186" t="s">
        <v>3619</v>
      </c>
      <c r="C275" s="186" t="s">
        <v>3909</v>
      </c>
      <c r="D275" s="186" t="s">
        <v>3583</v>
      </c>
      <c r="E275" s="186" t="s">
        <v>3583</v>
      </c>
      <c r="F275" s="186" t="s">
        <v>3629</v>
      </c>
    </row>
    <row r="276" spans="1:6" ht="12.75">
      <c r="A276" s="186" t="s">
        <v>3910</v>
      </c>
      <c r="B276" s="186" t="s">
        <v>3619</v>
      </c>
      <c r="C276" s="186" t="s">
        <v>3909</v>
      </c>
      <c r="D276" s="186" t="s">
        <v>3583</v>
      </c>
      <c r="E276" s="186" t="s">
        <v>3583</v>
      </c>
      <c r="F276" s="186" t="s">
        <v>3629</v>
      </c>
    </row>
    <row r="277" spans="1:6" ht="12.75">
      <c r="A277" s="186" t="s">
        <v>3911</v>
      </c>
      <c r="B277" s="186" t="s">
        <v>3619</v>
      </c>
      <c r="C277" s="186" t="s">
        <v>3912</v>
      </c>
      <c r="D277" s="186" t="s">
        <v>3583</v>
      </c>
      <c r="E277" s="186" t="s">
        <v>3583</v>
      </c>
      <c r="F277" s="186" t="s">
        <v>3629</v>
      </c>
    </row>
    <row r="278" spans="1:6" ht="12.75">
      <c r="A278" s="186" t="s">
        <v>3913</v>
      </c>
      <c r="B278" s="186" t="s">
        <v>3619</v>
      </c>
      <c r="C278" s="186" t="s">
        <v>3909</v>
      </c>
      <c r="D278" s="186" t="s">
        <v>3583</v>
      </c>
      <c r="E278" s="186" t="s">
        <v>3583</v>
      </c>
      <c r="F278" s="186" t="s">
        <v>3629</v>
      </c>
    </row>
    <row r="279" spans="1:6" ht="12.75">
      <c r="A279" s="186" t="s">
        <v>3914</v>
      </c>
      <c r="B279" s="186" t="s">
        <v>3619</v>
      </c>
      <c r="C279" s="186" t="s">
        <v>3909</v>
      </c>
      <c r="D279" s="186" t="s">
        <v>3583</v>
      </c>
      <c r="E279" s="186" t="s">
        <v>3583</v>
      </c>
      <c r="F279" s="186" t="s">
        <v>3629</v>
      </c>
    </row>
    <row r="280" spans="1:6" ht="12.75">
      <c r="A280" s="186" t="s">
        <v>3915</v>
      </c>
      <c r="B280" s="186" t="s">
        <v>3619</v>
      </c>
      <c r="C280" s="186" t="s">
        <v>3916</v>
      </c>
      <c r="D280" s="186" t="s">
        <v>3628</v>
      </c>
      <c r="E280" s="186" t="s">
        <v>3583</v>
      </c>
      <c r="F280" s="186" t="s">
        <v>3629</v>
      </c>
    </row>
    <row r="281" spans="1:6" ht="12.75">
      <c r="A281" s="186" t="s">
        <v>3917</v>
      </c>
      <c r="B281" s="186" t="s">
        <v>3619</v>
      </c>
      <c r="C281" s="186" t="s">
        <v>3916</v>
      </c>
      <c r="D281" s="186" t="s">
        <v>3628</v>
      </c>
      <c r="E281" s="186" t="s">
        <v>3583</v>
      </c>
      <c r="F281" s="186" t="s">
        <v>3629</v>
      </c>
    </row>
    <row r="282" spans="1:6" ht="12.75">
      <c r="A282" s="186" t="s">
        <v>3918</v>
      </c>
      <c r="B282" s="186" t="s">
        <v>3619</v>
      </c>
      <c r="C282" s="186" t="s">
        <v>3916</v>
      </c>
      <c r="D282" s="186" t="s">
        <v>3628</v>
      </c>
      <c r="E282" s="186" t="s">
        <v>3583</v>
      </c>
      <c r="F282" s="186" t="s">
        <v>3629</v>
      </c>
    </row>
    <row r="283" spans="1:6" ht="12.75">
      <c r="A283" s="186" t="s">
        <v>3919</v>
      </c>
      <c r="B283" s="186" t="s">
        <v>3619</v>
      </c>
      <c r="C283" s="186" t="s">
        <v>3912</v>
      </c>
      <c r="D283" s="186" t="s">
        <v>3583</v>
      </c>
      <c r="E283" s="186" t="s">
        <v>3583</v>
      </c>
      <c r="F283" s="186" t="s">
        <v>3629</v>
      </c>
    </row>
    <row r="284" spans="1:6" ht="12.75">
      <c r="A284" s="186" t="s">
        <v>3920</v>
      </c>
      <c r="B284" s="186" t="s">
        <v>3619</v>
      </c>
      <c r="C284" s="186" t="s">
        <v>3921</v>
      </c>
      <c r="D284" s="186" t="s">
        <v>3590</v>
      </c>
      <c r="E284" s="186" t="s">
        <v>3583</v>
      </c>
      <c r="F284" s="186" t="s">
        <v>3629</v>
      </c>
    </row>
    <row r="285" spans="1:6" ht="12.75">
      <c r="A285" s="186" t="s">
        <v>3922</v>
      </c>
      <c r="B285" s="186" t="s">
        <v>3619</v>
      </c>
      <c r="C285" s="186" t="s">
        <v>3916</v>
      </c>
      <c r="D285" s="186" t="s">
        <v>3628</v>
      </c>
      <c r="E285" s="186" t="s">
        <v>3583</v>
      </c>
      <c r="F285" s="186" t="s">
        <v>3629</v>
      </c>
    </row>
    <row r="286" spans="1:6" ht="12.75">
      <c r="A286" s="186" t="s">
        <v>3923</v>
      </c>
      <c r="B286" s="186" t="s">
        <v>3619</v>
      </c>
      <c r="C286" s="186" t="s">
        <v>3924</v>
      </c>
      <c r="D286" s="186" t="s">
        <v>3583</v>
      </c>
      <c r="E286" s="186" t="s">
        <v>3583</v>
      </c>
      <c r="F286" s="186" t="s">
        <v>3629</v>
      </c>
    </row>
    <row r="287" spans="1:6" ht="12.75">
      <c r="A287" s="186" t="s">
        <v>3925</v>
      </c>
      <c r="B287" s="186" t="s">
        <v>3619</v>
      </c>
      <c r="C287" s="186" t="s">
        <v>3909</v>
      </c>
      <c r="D287" s="186" t="s">
        <v>3583</v>
      </c>
      <c r="E287" s="186" t="s">
        <v>3583</v>
      </c>
      <c r="F287" s="186" t="s">
        <v>3629</v>
      </c>
    </row>
    <row r="288" spans="1:6" ht="12.75">
      <c r="A288" s="186" t="s">
        <v>3926</v>
      </c>
      <c r="B288" s="186" t="s">
        <v>3619</v>
      </c>
      <c r="C288" s="186" t="s">
        <v>3916</v>
      </c>
      <c r="D288" s="186" t="s">
        <v>3628</v>
      </c>
      <c r="E288" s="186" t="s">
        <v>3583</v>
      </c>
      <c r="F288" s="186" t="s">
        <v>3629</v>
      </c>
    </row>
    <row r="289" spans="1:6" ht="12.75">
      <c r="A289" s="186" t="s">
        <v>3927</v>
      </c>
      <c r="B289" s="186" t="s">
        <v>3619</v>
      </c>
      <c r="C289" s="186" t="s">
        <v>3928</v>
      </c>
      <c r="D289" s="186" t="s">
        <v>3583</v>
      </c>
      <c r="E289" s="186" t="s">
        <v>3590</v>
      </c>
      <c r="F289" s="186" t="s">
        <v>3629</v>
      </c>
    </row>
    <row r="290" spans="1:6" ht="12.75">
      <c r="A290" s="186" t="s">
        <v>3929</v>
      </c>
      <c r="B290" s="186" t="s">
        <v>3619</v>
      </c>
      <c r="C290" s="186" t="s">
        <v>3909</v>
      </c>
      <c r="D290" s="186" t="s">
        <v>3583</v>
      </c>
      <c r="E290" s="186" t="s">
        <v>3583</v>
      </c>
      <c r="F290" s="186" t="s">
        <v>3629</v>
      </c>
    </row>
    <row r="291" spans="1:6" ht="12.75">
      <c r="A291" s="186" t="s">
        <v>3930</v>
      </c>
      <c r="B291" s="186" t="s">
        <v>3619</v>
      </c>
      <c r="C291" s="186" t="s">
        <v>3909</v>
      </c>
      <c r="D291" s="186" t="s">
        <v>3583</v>
      </c>
      <c r="E291" s="186" t="s">
        <v>3583</v>
      </c>
      <c r="F291" s="186" t="s">
        <v>3629</v>
      </c>
    </row>
    <row r="292" spans="1:6" ht="12.75">
      <c r="A292" s="186" t="s">
        <v>3931</v>
      </c>
      <c r="B292" s="186" t="s">
        <v>3619</v>
      </c>
      <c r="C292" s="186" t="s">
        <v>3909</v>
      </c>
      <c r="D292" s="186" t="s">
        <v>3583</v>
      </c>
      <c r="E292" s="186" t="s">
        <v>3583</v>
      </c>
      <c r="F292" s="186" t="s">
        <v>3629</v>
      </c>
    </row>
    <row r="293" spans="1:6" ht="12.75">
      <c r="A293" s="186" t="s">
        <v>3932</v>
      </c>
      <c r="B293" s="186" t="s">
        <v>3619</v>
      </c>
      <c r="C293" s="186" t="s">
        <v>3909</v>
      </c>
      <c r="D293" s="186" t="s">
        <v>3583</v>
      </c>
      <c r="E293" s="186" t="s">
        <v>3583</v>
      </c>
      <c r="F293" s="186" t="s">
        <v>3629</v>
      </c>
    </row>
    <row r="294" spans="1:6" ht="12.75">
      <c r="A294" s="186" t="s">
        <v>3933</v>
      </c>
      <c r="B294" s="186" t="s">
        <v>3619</v>
      </c>
      <c r="C294" s="186" t="s">
        <v>3909</v>
      </c>
      <c r="D294" s="186" t="s">
        <v>3583</v>
      </c>
      <c r="E294" s="186" t="s">
        <v>3583</v>
      </c>
      <c r="F294" s="186" t="s">
        <v>3629</v>
      </c>
    </row>
    <row r="295" spans="1:6" ht="12.75">
      <c r="A295" s="186" t="s">
        <v>3934</v>
      </c>
      <c r="B295" s="186" t="s">
        <v>3619</v>
      </c>
      <c r="C295" s="186" t="s">
        <v>3909</v>
      </c>
      <c r="D295" s="186" t="s">
        <v>3583</v>
      </c>
      <c r="E295" s="186" t="s">
        <v>3583</v>
      </c>
      <c r="F295" s="186" t="s">
        <v>3629</v>
      </c>
    </row>
    <row r="296" spans="1:6" ht="12.75">
      <c r="A296" s="186" t="s">
        <v>3935</v>
      </c>
      <c r="B296" s="186" t="s">
        <v>3619</v>
      </c>
      <c r="C296" s="186" t="s">
        <v>3909</v>
      </c>
      <c r="D296" s="186" t="s">
        <v>3583</v>
      </c>
      <c r="E296" s="186" t="s">
        <v>3583</v>
      </c>
      <c r="F296" s="186" t="s">
        <v>3629</v>
      </c>
    </row>
    <row r="297" spans="1:6" ht="12.75">
      <c r="A297" s="186" t="s">
        <v>3936</v>
      </c>
      <c r="B297" s="186" t="s">
        <v>3619</v>
      </c>
      <c r="C297" s="186" t="s">
        <v>3909</v>
      </c>
      <c r="D297" s="186" t="s">
        <v>3583</v>
      </c>
      <c r="E297" s="186" t="s">
        <v>3583</v>
      </c>
      <c r="F297" s="186" t="s">
        <v>3629</v>
      </c>
    </row>
    <row r="298" spans="1:6" ht="12.75">
      <c r="A298" s="186" t="s">
        <v>3937</v>
      </c>
      <c r="B298" s="186" t="s">
        <v>3619</v>
      </c>
      <c r="C298" s="186" t="s">
        <v>3909</v>
      </c>
      <c r="D298" s="186" t="s">
        <v>3583</v>
      </c>
      <c r="E298" s="186" t="s">
        <v>3583</v>
      </c>
      <c r="F298" s="186" t="s">
        <v>3629</v>
      </c>
    </row>
    <row r="299" spans="1:6" ht="12.75">
      <c r="A299" s="186" t="s">
        <v>3938</v>
      </c>
      <c r="B299" s="186" t="s">
        <v>3619</v>
      </c>
      <c r="C299" s="186" t="s">
        <v>3909</v>
      </c>
      <c r="D299" s="186" t="s">
        <v>3583</v>
      </c>
      <c r="E299" s="186" t="s">
        <v>3583</v>
      </c>
      <c r="F299" s="186" t="s">
        <v>3629</v>
      </c>
    </row>
    <row r="300" spans="1:6" ht="12.75">
      <c r="A300" s="186" t="s">
        <v>3939</v>
      </c>
      <c r="B300" s="186" t="s">
        <v>3619</v>
      </c>
      <c r="C300" s="186" t="s">
        <v>3909</v>
      </c>
      <c r="D300" s="186" t="s">
        <v>3583</v>
      </c>
      <c r="E300" s="186" t="s">
        <v>3583</v>
      </c>
      <c r="F300" s="186" t="s">
        <v>3629</v>
      </c>
    </row>
    <row r="301" spans="1:6" ht="12.75">
      <c r="A301" s="186" t="s">
        <v>3940</v>
      </c>
      <c r="B301" s="186" t="s">
        <v>3619</v>
      </c>
      <c r="C301" s="186" t="s">
        <v>3909</v>
      </c>
      <c r="D301" s="186" t="s">
        <v>3583</v>
      </c>
      <c r="E301" s="186" t="s">
        <v>3583</v>
      </c>
      <c r="F301" s="186" t="s">
        <v>3629</v>
      </c>
    </row>
    <row r="302" spans="1:6" ht="12.75">
      <c r="A302" s="186" t="s">
        <v>3941</v>
      </c>
      <c r="B302" s="186" t="s">
        <v>3619</v>
      </c>
      <c r="C302" s="186" t="s">
        <v>3909</v>
      </c>
      <c r="D302" s="186" t="s">
        <v>3583</v>
      </c>
      <c r="E302" s="186" t="s">
        <v>3583</v>
      </c>
      <c r="F302" s="186" t="s">
        <v>3629</v>
      </c>
    </row>
    <row r="303" spans="1:6" ht="12.75">
      <c r="A303" s="186" t="s">
        <v>3942</v>
      </c>
      <c r="B303" s="186" t="s">
        <v>3619</v>
      </c>
      <c r="C303" s="186" t="s">
        <v>3909</v>
      </c>
      <c r="D303" s="186" t="s">
        <v>3583</v>
      </c>
      <c r="E303" s="186" t="s">
        <v>3583</v>
      </c>
      <c r="F303" s="186" t="s">
        <v>3629</v>
      </c>
    </row>
    <row r="304" spans="1:6" ht="12.75">
      <c r="A304" s="186" t="s">
        <v>3943</v>
      </c>
      <c r="B304" s="186" t="s">
        <v>3619</v>
      </c>
      <c r="C304" s="186" t="s">
        <v>3909</v>
      </c>
      <c r="D304" s="186" t="s">
        <v>3583</v>
      </c>
      <c r="E304" s="186" t="s">
        <v>3583</v>
      </c>
      <c r="F304" s="186" t="s">
        <v>3629</v>
      </c>
    </row>
    <row r="305" spans="1:6" ht="12.75">
      <c r="A305" s="186" t="s">
        <v>3944</v>
      </c>
      <c r="B305" s="186" t="s">
        <v>3619</v>
      </c>
      <c r="C305" s="186" t="s">
        <v>3909</v>
      </c>
      <c r="D305" s="186" t="s">
        <v>3583</v>
      </c>
      <c r="E305" s="186" t="s">
        <v>3583</v>
      </c>
      <c r="F305" s="186" t="s">
        <v>3629</v>
      </c>
    </row>
    <row r="306" spans="1:6" ht="12.75">
      <c r="A306" s="186" t="s">
        <v>3945</v>
      </c>
      <c r="B306" s="186" t="s">
        <v>3619</v>
      </c>
      <c r="C306" s="186" t="s">
        <v>3946</v>
      </c>
      <c r="D306" s="186" t="s">
        <v>3632</v>
      </c>
      <c r="E306" s="186" t="s">
        <v>3583</v>
      </c>
      <c r="F306" s="186" t="s">
        <v>3629</v>
      </c>
    </row>
    <row r="307" spans="1:6" ht="12.75">
      <c r="A307" s="186" t="s">
        <v>3947</v>
      </c>
      <c r="B307" s="186" t="s">
        <v>3619</v>
      </c>
      <c r="C307" s="186" t="s">
        <v>3946</v>
      </c>
      <c r="D307" s="186" t="s">
        <v>3632</v>
      </c>
      <c r="E307" s="186" t="s">
        <v>3583</v>
      </c>
      <c r="F307" s="186" t="s">
        <v>3629</v>
      </c>
    </row>
    <row r="308" spans="1:6" ht="12.75">
      <c r="A308" s="186" t="s">
        <v>3948</v>
      </c>
      <c r="B308" s="186" t="s">
        <v>3619</v>
      </c>
      <c r="C308" s="186" t="s">
        <v>3946</v>
      </c>
      <c r="D308" s="186" t="s">
        <v>3632</v>
      </c>
      <c r="E308" s="186" t="s">
        <v>3583</v>
      </c>
      <c r="F308" s="186" t="s">
        <v>3629</v>
      </c>
    </row>
    <row r="309" spans="1:6" ht="12.75">
      <c r="A309" s="186" t="s">
        <v>3949</v>
      </c>
      <c r="B309" s="186" t="s">
        <v>3619</v>
      </c>
      <c r="C309" s="186" t="s">
        <v>3909</v>
      </c>
      <c r="D309" s="186" t="s">
        <v>3583</v>
      </c>
      <c r="E309" s="186" t="s">
        <v>3583</v>
      </c>
      <c r="F309" s="186" t="s">
        <v>3629</v>
      </c>
    </row>
    <row r="310" spans="1:6" ht="12.75">
      <c r="A310" s="186" t="s">
        <v>3950</v>
      </c>
      <c r="B310" s="186" t="s">
        <v>3619</v>
      </c>
      <c r="C310" s="186" t="s">
        <v>3921</v>
      </c>
      <c r="D310" s="186" t="s">
        <v>3590</v>
      </c>
      <c r="E310" s="186" t="s">
        <v>3583</v>
      </c>
      <c r="F310" s="186" t="s">
        <v>3629</v>
      </c>
    </row>
    <row r="311" spans="1:6" ht="12.75">
      <c r="A311" s="186" t="s">
        <v>3951</v>
      </c>
      <c r="B311" s="186" t="s">
        <v>3619</v>
      </c>
      <c r="C311" s="186" t="s">
        <v>3921</v>
      </c>
      <c r="D311" s="186" t="s">
        <v>3590</v>
      </c>
      <c r="E311" s="186" t="s">
        <v>3583</v>
      </c>
      <c r="F311" s="186" t="s">
        <v>3629</v>
      </c>
    </row>
    <row r="312" spans="1:6" ht="12.75">
      <c r="A312" s="186" t="s">
        <v>3952</v>
      </c>
      <c r="B312" s="186" t="s">
        <v>3619</v>
      </c>
      <c r="C312" s="186" t="s">
        <v>3921</v>
      </c>
      <c r="D312" s="186" t="s">
        <v>3590</v>
      </c>
      <c r="E312" s="186" t="s">
        <v>3583</v>
      </c>
      <c r="F312" s="186" t="s">
        <v>3629</v>
      </c>
    </row>
    <row r="313" spans="1:6" ht="12.75">
      <c r="A313" s="186" t="s">
        <v>3953</v>
      </c>
      <c r="B313" s="186" t="s">
        <v>3619</v>
      </c>
      <c r="C313" s="186" t="s">
        <v>3921</v>
      </c>
      <c r="D313" s="186" t="s">
        <v>3590</v>
      </c>
      <c r="E313" s="186" t="s">
        <v>3583</v>
      </c>
      <c r="F313" s="186" t="s">
        <v>3629</v>
      </c>
    </row>
    <row r="314" spans="1:6" ht="12.75">
      <c r="A314" s="186" t="s">
        <v>3954</v>
      </c>
      <c r="B314" s="186" t="s">
        <v>3619</v>
      </c>
      <c r="C314" s="186" t="s">
        <v>3928</v>
      </c>
      <c r="D314" s="186" t="s">
        <v>3583</v>
      </c>
      <c r="E314" s="186" t="s">
        <v>3590</v>
      </c>
      <c r="F314" s="186" t="s">
        <v>3629</v>
      </c>
    </row>
    <row r="315" spans="1:6" ht="12.75">
      <c r="A315" s="186" t="s">
        <v>3955</v>
      </c>
      <c r="B315" s="186" t="s">
        <v>3619</v>
      </c>
      <c r="C315" s="186" t="s">
        <v>3928</v>
      </c>
      <c r="D315" s="186" t="s">
        <v>3583</v>
      </c>
      <c r="E315" s="186" t="s">
        <v>3590</v>
      </c>
      <c r="F315" s="186" t="s">
        <v>3629</v>
      </c>
    </row>
    <row r="316" spans="1:6" ht="12.75">
      <c r="A316" s="186" t="s">
        <v>3956</v>
      </c>
      <c r="B316" s="186" t="s">
        <v>3619</v>
      </c>
      <c r="C316" s="186" t="s">
        <v>3921</v>
      </c>
      <c r="D316" s="186" t="s">
        <v>3590</v>
      </c>
      <c r="E316" s="186" t="s">
        <v>3583</v>
      </c>
      <c r="F316" s="186" t="s">
        <v>3629</v>
      </c>
    </row>
    <row r="317" spans="1:6" ht="12.75">
      <c r="A317" s="186" t="s">
        <v>3943</v>
      </c>
      <c r="B317" s="186" t="s">
        <v>3619</v>
      </c>
      <c r="C317" s="186" t="s">
        <v>3924</v>
      </c>
      <c r="D317" s="186" t="s">
        <v>3583</v>
      </c>
      <c r="E317" s="186" t="s">
        <v>3583</v>
      </c>
      <c r="F317" s="186" t="s">
        <v>3629</v>
      </c>
    </row>
    <row r="318" spans="1:6" ht="12.75">
      <c r="A318" s="186" t="s">
        <v>3945</v>
      </c>
      <c r="B318" s="186" t="s">
        <v>3619</v>
      </c>
      <c r="C318" s="186" t="s">
        <v>3921</v>
      </c>
      <c r="D318" s="186" t="s">
        <v>3590</v>
      </c>
      <c r="E318" s="186" t="s">
        <v>3583</v>
      </c>
      <c r="F318" s="186" t="s">
        <v>3629</v>
      </c>
    </row>
    <row r="319" spans="1:6" ht="12.75">
      <c r="A319" s="186" t="s">
        <v>3947</v>
      </c>
      <c r="B319" s="186" t="s">
        <v>3619</v>
      </c>
      <c r="C319" s="186" t="s">
        <v>3921</v>
      </c>
      <c r="D319" s="186" t="s">
        <v>3590</v>
      </c>
      <c r="E319" s="186" t="s">
        <v>3583</v>
      </c>
      <c r="F319" s="186" t="s">
        <v>3629</v>
      </c>
    </row>
    <row r="320" spans="1:6" ht="12.75">
      <c r="A320" s="186" t="s">
        <v>3957</v>
      </c>
      <c r="B320" s="186" t="s">
        <v>3619</v>
      </c>
      <c r="C320" s="186" t="s">
        <v>3958</v>
      </c>
      <c r="D320" s="186" t="s">
        <v>3583</v>
      </c>
      <c r="E320" s="186" t="s">
        <v>3583</v>
      </c>
      <c r="F320" s="186" t="s">
        <v>3629</v>
      </c>
    </row>
    <row r="321" spans="1:6" ht="12.75">
      <c r="A321" s="186" t="s">
        <v>3959</v>
      </c>
      <c r="B321" s="186" t="s">
        <v>3619</v>
      </c>
      <c r="C321" s="186" t="s">
        <v>3960</v>
      </c>
      <c r="D321" s="186" t="s">
        <v>3583</v>
      </c>
      <c r="E321" s="186" t="s">
        <v>3583</v>
      </c>
      <c r="F321" s="186" t="s">
        <v>3629</v>
      </c>
    </row>
    <row r="322" spans="1:6" ht="12.75">
      <c r="A322" s="186" t="s">
        <v>3961</v>
      </c>
      <c r="B322" s="186" t="s">
        <v>3619</v>
      </c>
      <c r="C322" s="186" t="s">
        <v>3960</v>
      </c>
      <c r="D322" s="186" t="s">
        <v>3583</v>
      </c>
      <c r="E322" s="186" t="s">
        <v>3583</v>
      </c>
      <c r="F322" s="186" t="s">
        <v>3629</v>
      </c>
    </row>
    <row r="323" spans="1:6" ht="12.75">
      <c r="A323" s="186" t="s">
        <v>3962</v>
      </c>
      <c r="B323" s="186" t="s">
        <v>3619</v>
      </c>
      <c r="C323" s="186" t="s">
        <v>3960</v>
      </c>
      <c r="D323" s="186" t="s">
        <v>3583</v>
      </c>
      <c r="E323" s="186" t="s">
        <v>3583</v>
      </c>
      <c r="F323" s="186" t="s">
        <v>3629</v>
      </c>
    </row>
    <row r="324" spans="1:6" ht="12.75">
      <c r="A324" s="186" t="s">
        <v>3963</v>
      </c>
      <c r="B324" s="186" t="s">
        <v>3619</v>
      </c>
      <c r="C324" s="186" t="s">
        <v>3960</v>
      </c>
      <c r="D324" s="186" t="s">
        <v>3583</v>
      </c>
      <c r="E324" s="186" t="s">
        <v>3583</v>
      </c>
      <c r="F324" s="186" t="s">
        <v>3629</v>
      </c>
    </row>
    <row r="325" spans="1:6" ht="12.75">
      <c r="A325" s="186" t="s">
        <v>3964</v>
      </c>
      <c r="B325" s="186" t="s">
        <v>3619</v>
      </c>
      <c r="C325" s="186" t="s">
        <v>3958</v>
      </c>
      <c r="D325" s="186" t="s">
        <v>3583</v>
      </c>
      <c r="E325" s="186" t="s">
        <v>3583</v>
      </c>
      <c r="F325" s="186" t="s">
        <v>3629</v>
      </c>
    </row>
    <row r="326" spans="1:6" ht="12.75">
      <c r="A326" s="186" t="s">
        <v>3965</v>
      </c>
      <c r="B326" s="186" t="s">
        <v>3619</v>
      </c>
      <c r="C326" s="186" t="s">
        <v>3958</v>
      </c>
      <c r="D326" s="186" t="s">
        <v>3583</v>
      </c>
      <c r="E326" s="186" t="s">
        <v>3583</v>
      </c>
      <c r="F326" s="186" t="s">
        <v>3629</v>
      </c>
    </row>
    <row r="327" spans="1:6" ht="12.75">
      <c r="A327" s="186" t="s">
        <v>3966</v>
      </c>
      <c r="B327" s="186" t="s">
        <v>3619</v>
      </c>
      <c r="C327" s="186" t="s">
        <v>3958</v>
      </c>
      <c r="D327" s="186" t="s">
        <v>3583</v>
      </c>
      <c r="E327" s="186" t="s">
        <v>3583</v>
      </c>
      <c r="F327" s="186" t="s">
        <v>3629</v>
      </c>
    </row>
    <row r="328" spans="1:6" ht="12.75">
      <c r="A328" s="186" t="s">
        <v>3967</v>
      </c>
      <c r="B328" s="186" t="s">
        <v>3619</v>
      </c>
      <c r="C328" s="186" t="s">
        <v>3958</v>
      </c>
      <c r="D328" s="186" t="s">
        <v>3583</v>
      </c>
      <c r="E328" s="186" t="s">
        <v>3583</v>
      </c>
      <c r="F328" s="186" t="s">
        <v>3629</v>
      </c>
    </row>
    <row r="329" spans="1:6" ht="12.75">
      <c r="A329" s="186" t="s">
        <v>3968</v>
      </c>
      <c r="B329" s="186" t="s">
        <v>3619</v>
      </c>
      <c r="C329" s="186" t="s">
        <v>3960</v>
      </c>
      <c r="D329" s="186" t="s">
        <v>3583</v>
      </c>
      <c r="E329" s="186" t="s">
        <v>3583</v>
      </c>
      <c r="F329" s="186" t="s">
        <v>3629</v>
      </c>
    </row>
    <row r="330" spans="1:6" ht="12.75">
      <c r="A330" s="186" t="s">
        <v>3969</v>
      </c>
      <c r="B330" s="186" t="s">
        <v>3619</v>
      </c>
      <c r="C330" s="186" t="s">
        <v>3960</v>
      </c>
      <c r="D330" s="186" t="s">
        <v>3583</v>
      </c>
      <c r="E330" s="186" t="s">
        <v>3583</v>
      </c>
      <c r="F330" s="186" t="s">
        <v>3629</v>
      </c>
    </row>
    <row r="331" spans="1:6" ht="12.75">
      <c r="A331" s="186" t="s">
        <v>3970</v>
      </c>
      <c r="B331" s="186" t="s">
        <v>3619</v>
      </c>
      <c r="C331" s="186" t="s">
        <v>3958</v>
      </c>
      <c r="D331" s="186" t="s">
        <v>3583</v>
      </c>
      <c r="E331" s="186" t="s">
        <v>3583</v>
      </c>
      <c r="F331" s="186" t="s">
        <v>3629</v>
      </c>
    </row>
    <row r="332" spans="1:6" ht="12.75">
      <c r="A332" s="186" t="s">
        <v>3971</v>
      </c>
      <c r="B332" s="186" t="s">
        <v>3619</v>
      </c>
      <c r="C332" s="186" t="s">
        <v>3960</v>
      </c>
      <c r="D332" s="186" t="s">
        <v>3583</v>
      </c>
      <c r="E332" s="186" t="s">
        <v>3583</v>
      </c>
      <c r="F332" s="186" t="s">
        <v>3629</v>
      </c>
    </row>
    <row r="333" spans="1:6" ht="12.75">
      <c r="A333" s="186" t="s">
        <v>3972</v>
      </c>
      <c r="B333" s="186" t="s">
        <v>3619</v>
      </c>
      <c r="C333" s="186" t="s">
        <v>3636</v>
      </c>
      <c r="D333" s="186" t="s">
        <v>3550</v>
      </c>
      <c r="E333" s="186" t="s">
        <v>3583</v>
      </c>
      <c r="F333" s="186" t="s">
        <v>3629</v>
      </c>
    </row>
    <row r="334" spans="1:6" ht="12.75">
      <c r="A334" s="186" t="s">
        <v>3973</v>
      </c>
      <c r="B334" s="186" t="s">
        <v>3619</v>
      </c>
      <c r="C334" s="186" t="s">
        <v>3636</v>
      </c>
      <c r="D334" s="186" t="s">
        <v>3550</v>
      </c>
      <c r="E334" s="186" t="s">
        <v>3583</v>
      </c>
      <c r="F334" s="186" t="s">
        <v>3629</v>
      </c>
    </row>
    <row r="335" spans="1:6" ht="12.75">
      <c r="A335" s="186" t="s">
        <v>3974</v>
      </c>
      <c r="B335" s="186" t="s">
        <v>3975</v>
      </c>
      <c r="C335" s="186" t="s">
        <v>3631</v>
      </c>
      <c r="D335" s="186" t="s">
        <v>3632</v>
      </c>
      <c r="E335" s="186" t="s">
        <v>3603</v>
      </c>
      <c r="F335" s="186" t="s">
        <v>3976</v>
      </c>
    </row>
    <row r="336" spans="1:6" ht="12.75">
      <c r="A336" s="186" t="s">
        <v>3977</v>
      </c>
      <c r="B336" s="186" t="s">
        <v>3975</v>
      </c>
      <c r="C336" s="186" t="s">
        <v>3655</v>
      </c>
      <c r="D336" s="186" t="s">
        <v>3603</v>
      </c>
      <c r="E336" s="186" t="s">
        <v>3603</v>
      </c>
      <c r="F336" s="186" t="s">
        <v>3976</v>
      </c>
    </row>
    <row r="337" spans="1:6" ht="12.75">
      <c r="A337" s="186" t="s">
        <v>3978</v>
      </c>
      <c r="B337" s="186" t="s">
        <v>3975</v>
      </c>
      <c r="C337" s="186" t="s">
        <v>3631</v>
      </c>
      <c r="D337" s="186" t="s">
        <v>3632</v>
      </c>
      <c r="E337" s="186" t="s">
        <v>3603</v>
      </c>
      <c r="F337" s="186" t="s">
        <v>3976</v>
      </c>
    </row>
    <row r="338" spans="1:6" ht="12.75">
      <c r="A338" s="186" t="s">
        <v>3979</v>
      </c>
      <c r="B338" s="186" t="s">
        <v>3975</v>
      </c>
      <c r="C338" s="186" t="s">
        <v>3980</v>
      </c>
      <c r="D338" s="186" t="s">
        <v>3540</v>
      </c>
      <c r="E338" s="186" t="s">
        <v>3539</v>
      </c>
      <c r="F338" s="186" t="s">
        <v>3976</v>
      </c>
    </row>
    <row r="339" spans="1:6" ht="12.75">
      <c r="A339" s="186" t="s">
        <v>3981</v>
      </c>
      <c r="B339" s="186" t="s">
        <v>3975</v>
      </c>
      <c r="C339" s="186" t="s">
        <v>3980</v>
      </c>
      <c r="D339" s="186" t="s">
        <v>3540</v>
      </c>
      <c r="E339" s="186" t="s">
        <v>3539</v>
      </c>
      <c r="F339" s="186" t="s">
        <v>3976</v>
      </c>
    </row>
    <row r="340" spans="1:6" ht="12.75">
      <c r="A340" s="186" t="s">
        <v>3982</v>
      </c>
      <c r="B340" s="186" t="s">
        <v>3975</v>
      </c>
      <c r="C340" s="186" t="s">
        <v>3980</v>
      </c>
      <c r="D340" s="186" t="s">
        <v>3540</v>
      </c>
      <c r="E340" s="186" t="s">
        <v>3539</v>
      </c>
      <c r="F340" s="186" t="s">
        <v>3976</v>
      </c>
    </row>
    <row r="341" spans="1:6" ht="12.75">
      <c r="A341" s="186" t="s">
        <v>3983</v>
      </c>
      <c r="B341" s="186" t="s">
        <v>3975</v>
      </c>
      <c r="C341" s="186" t="s">
        <v>3846</v>
      </c>
      <c r="D341" s="186" t="s">
        <v>3571</v>
      </c>
      <c r="E341" s="186" t="s">
        <v>3554</v>
      </c>
      <c r="F341" s="186" t="s">
        <v>3976</v>
      </c>
    </row>
    <row r="342" spans="1:6" ht="12.75">
      <c r="A342" s="186" t="s">
        <v>3984</v>
      </c>
      <c r="B342" s="186" t="s">
        <v>3975</v>
      </c>
      <c r="C342" s="186" t="s">
        <v>3985</v>
      </c>
      <c r="D342" s="186" t="s">
        <v>3571</v>
      </c>
      <c r="E342" s="186" t="s">
        <v>3540</v>
      </c>
      <c r="F342" s="186" t="s">
        <v>3976</v>
      </c>
    </row>
    <row r="343" spans="1:6" ht="12.75">
      <c r="A343" s="186" t="s">
        <v>3986</v>
      </c>
      <c r="B343" s="186" t="s">
        <v>3975</v>
      </c>
      <c r="C343" s="186" t="s">
        <v>3543</v>
      </c>
      <c r="D343" s="186" t="s">
        <v>3540</v>
      </c>
      <c r="E343" s="186" t="s">
        <v>3540</v>
      </c>
      <c r="F343" s="186" t="s">
        <v>3976</v>
      </c>
    </row>
    <row r="344" spans="1:6" ht="12.75">
      <c r="A344" s="186" t="s">
        <v>3987</v>
      </c>
      <c r="B344" s="186" t="s">
        <v>3975</v>
      </c>
      <c r="C344" s="186" t="s">
        <v>3638</v>
      </c>
      <c r="D344" s="186" t="s">
        <v>3632</v>
      </c>
      <c r="E344" s="186" t="s">
        <v>3550</v>
      </c>
      <c r="F344" s="186" t="s">
        <v>3976</v>
      </c>
    </row>
    <row r="345" spans="1:6" ht="12.75">
      <c r="A345" s="186" t="s">
        <v>3988</v>
      </c>
      <c r="B345" s="186" t="s">
        <v>3975</v>
      </c>
      <c r="C345" s="186" t="s">
        <v>3634</v>
      </c>
      <c r="D345" s="186" t="s">
        <v>3550</v>
      </c>
      <c r="E345" s="186" t="s">
        <v>3550</v>
      </c>
      <c r="F345" s="186" t="s">
        <v>3976</v>
      </c>
    </row>
    <row r="346" spans="1:6" ht="12.75">
      <c r="A346" s="186" t="s">
        <v>3989</v>
      </c>
      <c r="B346" s="186" t="s">
        <v>3975</v>
      </c>
      <c r="C346" s="186" t="s">
        <v>3634</v>
      </c>
      <c r="D346" s="186" t="s">
        <v>3550</v>
      </c>
      <c r="E346" s="186" t="s">
        <v>3550</v>
      </c>
      <c r="F346" s="186" t="s">
        <v>3976</v>
      </c>
    </row>
    <row r="347" spans="1:6" ht="12.75">
      <c r="A347" s="186" t="s">
        <v>3990</v>
      </c>
      <c r="B347" s="186" t="s">
        <v>3975</v>
      </c>
      <c r="C347" s="186" t="s">
        <v>3804</v>
      </c>
      <c r="D347" s="186" t="s">
        <v>3554</v>
      </c>
      <c r="E347" s="186" t="s">
        <v>3554</v>
      </c>
      <c r="F347" s="186" t="s">
        <v>3976</v>
      </c>
    </row>
    <row r="348" spans="1:6" ht="12.75">
      <c r="A348" s="186" t="s">
        <v>3991</v>
      </c>
      <c r="B348" s="186" t="s">
        <v>3975</v>
      </c>
      <c r="C348" s="186" t="s">
        <v>3804</v>
      </c>
      <c r="D348" s="186" t="s">
        <v>3554</v>
      </c>
      <c r="E348" s="186" t="s">
        <v>3554</v>
      </c>
      <c r="F348" s="186" t="s">
        <v>3976</v>
      </c>
    </row>
    <row r="349" spans="1:6" ht="12.75">
      <c r="A349" s="186" t="s">
        <v>3992</v>
      </c>
      <c r="B349" s="186" t="s">
        <v>3975</v>
      </c>
      <c r="C349" s="186" t="s">
        <v>3804</v>
      </c>
      <c r="D349" s="186" t="s">
        <v>3554</v>
      </c>
      <c r="E349" s="186" t="s">
        <v>3554</v>
      </c>
      <c r="F349" s="186" t="s">
        <v>3976</v>
      </c>
    </row>
    <row r="350" spans="1:6" ht="12.75">
      <c r="A350" s="186" t="s">
        <v>3993</v>
      </c>
      <c r="B350" s="186" t="s">
        <v>3975</v>
      </c>
      <c r="C350" s="186" t="s">
        <v>3876</v>
      </c>
      <c r="D350" s="186" t="s">
        <v>3877</v>
      </c>
      <c r="E350" s="186" t="s">
        <v>3877</v>
      </c>
      <c r="F350" s="186" t="s">
        <v>3976</v>
      </c>
    </row>
    <row r="351" spans="1:6" ht="12.75">
      <c r="A351" s="186" t="s">
        <v>3994</v>
      </c>
      <c r="B351" s="186" t="s">
        <v>3975</v>
      </c>
      <c r="C351" s="186" t="s">
        <v>3995</v>
      </c>
      <c r="D351" s="186" t="s">
        <v>3546</v>
      </c>
      <c r="E351" s="186" t="s">
        <v>3877</v>
      </c>
      <c r="F351" s="186" t="s">
        <v>3976</v>
      </c>
    </row>
    <row r="352" spans="1:6" ht="12.75">
      <c r="A352" s="186" t="s">
        <v>3996</v>
      </c>
      <c r="B352" s="186" t="s">
        <v>3975</v>
      </c>
      <c r="C352" s="186" t="s">
        <v>3876</v>
      </c>
      <c r="D352" s="186" t="s">
        <v>3877</v>
      </c>
      <c r="E352" s="186" t="s">
        <v>3877</v>
      </c>
      <c r="F352" s="186" t="s">
        <v>3976</v>
      </c>
    </row>
    <row r="353" spans="1:6" ht="12.75">
      <c r="A353" s="186" t="s">
        <v>3997</v>
      </c>
      <c r="B353" s="186" t="s">
        <v>3975</v>
      </c>
      <c r="C353" s="186" t="s">
        <v>3876</v>
      </c>
      <c r="D353" s="186" t="s">
        <v>3877</v>
      </c>
      <c r="E353" s="186" t="s">
        <v>3877</v>
      </c>
      <c r="F353" s="186" t="s">
        <v>3976</v>
      </c>
    </row>
    <row r="354" spans="1:6" ht="12.75">
      <c r="A354" s="186" t="s">
        <v>3998</v>
      </c>
      <c r="B354" s="186" t="s">
        <v>3975</v>
      </c>
      <c r="C354" s="186" t="s">
        <v>3876</v>
      </c>
      <c r="D354" s="186" t="s">
        <v>3877</v>
      </c>
      <c r="E354" s="186" t="s">
        <v>3877</v>
      </c>
      <c r="F354" s="186" t="s">
        <v>3976</v>
      </c>
    </row>
    <row r="355" spans="1:6" ht="12.75">
      <c r="A355" s="186" t="s">
        <v>3999</v>
      </c>
      <c r="B355" s="186" t="s">
        <v>3975</v>
      </c>
      <c r="C355" s="186" t="s">
        <v>3876</v>
      </c>
      <c r="D355" s="186" t="s">
        <v>3877</v>
      </c>
      <c r="E355" s="186" t="s">
        <v>3877</v>
      </c>
      <c r="F355" s="186" t="s">
        <v>3976</v>
      </c>
    </row>
    <row r="356" spans="1:6" ht="12.75">
      <c r="A356" s="186" t="s">
        <v>4000</v>
      </c>
      <c r="B356" s="186" t="s">
        <v>3975</v>
      </c>
      <c r="C356" s="186" t="s">
        <v>3876</v>
      </c>
      <c r="D356" s="186" t="s">
        <v>3877</v>
      </c>
      <c r="E356" s="186" t="s">
        <v>3877</v>
      </c>
      <c r="F356" s="186" t="s">
        <v>3976</v>
      </c>
    </row>
    <row r="357" spans="1:6" ht="12.75">
      <c r="A357" s="186" t="s">
        <v>4001</v>
      </c>
      <c r="B357" s="186" t="s">
        <v>3975</v>
      </c>
      <c r="C357" s="186" t="s">
        <v>3876</v>
      </c>
      <c r="D357" s="186" t="s">
        <v>3877</v>
      </c>
      <c r="E357" s="186" t="s">
        <v>3877</v>
      </c>
      <c r="F357" s="186" t="s">
        <v>3976</v>
      </c>
    </row>
    <row r="358" spans="1:6" ht="12.75">
      <c r="A358" s="186" t="s">
        <v>4002</v>
      </c>
      <c r="B358" s="186" t="s">
        <v>3975</v>
      </c>
      <c r="C358" s="186" t="s">
        <v>3874</v>
      </c>
      <c r="D358" s="186" t="s">
        <v>3546</v>
      </c>
      <c r="E358" s="186" t="s">
        <v>3546</v>
      </c>
      <c r="F358" s="186" t="s">
        <v>3976</v>
      </c>
    </row>
    <row r="359" spans="1:6" ht="12.75">
      <c r="A359" s="186" t="s">
        <v>4003</v>
      </c>
      <c r="B359" s="186" t="s">
        <v>3975</v>
      </c>
      <c r="C359" s="186" t="s">
        <v>3886</v>
      </c>
      <c r="D359" s="186" t="s">
        <v>3571</v>
      </c>
      <c r="E359" s="186" t="s">
        <v>3865</v>
      </c>
      <c r="F359" s="186" t="s">
        <v>3976</v>
      </c>
    </row>
    <row r="360" spans="1:6" ht="12.75">
      <c r="A360" s="186" t="s">
        <v>4004</v>
      </c>
      <c r="B360" s="186" t="s">
        <v>3975</v>
      </c>
      <c r="C360" s="186" t="s">
        <v>3886</v>
      </c>
      <c r="D360" s="186" t="s">
        <v>3571</v>
      </c>
      <c r="E360" s="186" t="s">
        <v>3865</v>
      </c>
      <c r="F360" s="186" t="s">
        <v>3976</v>
      </c>
    </row>
    <row r="361" spans="1:6" ht="12.75">
      <c r="A361" s="186" t="s">
        <v>4005</v>
      </c>
      <c r="B361" s="186" t="s">
        <v>3975</v>
      </c>
      <c r="C361" s="186" t="s">
        <v>3886</v>
      </c>
      <c r="D361" s="186" t="s">
        <v>3571</v>
      </c>
      <c r="E361" s="186" t="s">
        <v>3865</v>
      </c>
      <c r="F361" s="186" t="s">
        <v>3976</v>
      </c>
    </row>
    <row r="362" spans="1:6" ht="12.75">
      <c r="A362" s="186" t="s">
        <v>4006</v>
      </c>
      <c r="B362" s="186" t="s">
        <v>3975</v>
      </c>
      <c r="C362" s="186" t="s">
        <v>3886</v>
      </c>
      <c r="D362" s="186" t="s">
        <v>3571</v>
      </c>
      <c r="E362" s="186" t="s">
        <v>3865</v>
      </c>
      <c r="F362" s="186" t="s">
        <v>3976</v>
      </c>
    </row>
    <row r="363" spans="1:6" ht="12.75">
      <c r="A363" s="186" t="s">
        <v>4007</v>
      </c>
      <c r="B363" s="186" t="s">
        <v>3975</v>
      </c>
      <c r="C363" s="186" t="s">
        <v>3886</v>
      </c>
      <c r="D363" s="186" t="s">
        <v>3571</v>
      </c>
      <c r="E363" s="186" t="s">
        <v>3865</v>
      </c>
      <c r="F363" s="186" t="s">
        <v>3976</v>
      </c>
    </row>
    <row r="364" spans="1:6" ht="12.75">
      <c r="A364" s="186" t="s">
        <v>4008</v>
      </c>
      <c r="B364" s="186" t="s">
        <v>3975</v>
      </c>
      <c r="C364" s="186" t="s">
        <v>3886</v>
      </c>
      <c r="D364" s="186" t="s">
        <v>3571</v>
      </c>
      <c r="E364" s="186" t="s">
        <v>3865</v>
      </c>
      <c r="F364" s="186" t="s">
        <v>3976</v>
      </c>
    </row>
    <row r="365" spans="1:6" ht="12.75">
      <c r="A365" s="186" t="s">
        <v>4009</v>
      </c>
      <c r="B365" s="186" t="s">
        <v>3975</v>
      </c>
      <c r="C365" s="186" t="s">
        <v>3886</v>
      </c>
      <c r="D365" s="186" t="s">
        <v>3571</v>
      </c>
      <c r="E365" s="186" t="s">
        <v>3865</v>
      </c>
      <c r="F365" s="186" t="s">
        <v>3976</v>
      </c>
    </row>
    <row r="366" spans="1:6" ht="12.75">
      <c r="A366" s="186" t="s">
        <v>4010</v>
      </c>
      <c r="B366" s="186" t="s">
        <v>3975</v>
      </c>
      <c r="C366" s="186" t="s">
        <v>3886</v>
      </c>
      <c r="D366" s="186" t="s">
        <v>3571</v>
      </c>
      <c r="E366" s="186" t="s">
        <v>3865</v>
      </c>
      <c r="F366" s="186" t="s">
        <v>3976</v>
      </c>
    </row>
    <row r="367" spans="1:6" ht="12.75">
      <c r="A367" s="186" t="s">
        <v>4011</v>
      </c>
      <c r="B367" s="186" t="s">
        <v>3975</v>
      </c>
      <c r="C367" s="186" t="s">
        <v>3886</v>
      </c>
      <c r="D367" s="186" t="s">
        <v>3571</v>
      </c>
      <c r="E367" s="186" t="s">
        <v>3865</v>
      </c>
      <c r="F367" s="186" t="s">
        <v>3976</v>
      </c>
    </row>
    <row r="368" spans="1:6" ht="12.75">
      <c r="A368" s="186" t="s">
        <v>4012</v>
      </c>
      <c r="B368" s="186" t="s">
        <v>3975</v>
      </c>
      <c r="C368" s="186" t="s">
        <v>3886</v>
      </c>
      <c r="D368" s="186" t="s">
        <v>3571</v>
      </c>
      <c r="E368" s="186" t="s">
        <v>3865</v>
      </c>
      <c r="F368" s="186" t="s">
        <v>3976</v>
      </c>
    </row>
    <row r="369" spans="1:6" ht="12.75">
      <c r="A369" s="186" t="s">
        <v>4013</v>
      </c>
      <c r="B369" s="186" t="s">
        <v>3975</v>
      </c>
      <c r="C369" s="186" t="s">
        <v>3886</v>
      </c>
      <c r="D369" s="186" t="s">
        <v>3571</v>
      </c>
      <c r="E369" s="186" t="s">
        <v>3865</v>
      </c>
      <c r="F369" s="186" t="s">
        <v>3976</v>
      </c>
    </row>
    <row r="370" spans="1:6" ht="12.75">
      <c r="A370" s="186" t="s">
        <v>4014</v>
      </c>
      <c r="B370" s="186" t="s">
        <v>3975</v>
      </c>
      <c r="C370" s="186" t="s">
        <v>3886</v>
      </c>
      <c r="D370" s="186" t="s">
        <v>3571</v>
      </c>
      <c r="E370" s="186" t="s">
        <v>3865</v>
      </c>
      <c r="F370" s="186" t="s">
        <v>3976</v>
      </c>
    </row>
    <row r="371" spans="1:6" ht="12.75">
      <c r="A371" s="186" t="s">
        <v>4015</v>
      </c>
      <c r="B371" s="186" t="s">
        <v>3975</v>
      </c>
      <c r="C371" s="186" t="s">
        <v>3899</v>
      </c>
      <c r="D371" s="186" t="s">
        <v>3865</v>
      </c>
      <c r="E371" s="186" t="s">
        <v>3865</v>
      </c>
      <c r="F371" s="186" t="s">
        <v>3976</v>
      </c>
    </row>
    <row r="372" spans="1:6" ht="12.75">
      <c r="A372" s="186" t="s">
        <v>4016</v>
      </c>
      <c r="B372" s="186" t="s">
        <v>3975</v>
      </c>
      <c r="C372" s="186" t="s">
        <v>3899</v>
      </c>
      <c r="D372" s="186" t="s">
        <v>3865</v>
      </c>
      <c r="E372" s="186" t="s">
        <v>3865</v>
      </c>
      <c r="F372" s="186" t="s">
        <v>3976</v>
      </c>
    </row>
    <row r="373" spans="1:6" ht="12.75">
      <c r="A373" s="186" t="s">
        <v>4017</v>
      </c>
      <c r="B373" s="186" t="s">
        <v>3975</v>
      </c>
      <c r="C373" s="186" t="s">
        <v>3899</v>
      </c>
      <c r="D373" s="186" t="s">
        <v>3865</v>
      </c>
      <c r="E373" s="186" t="s">
        <v>3865</v>
      </c>
      <c r="F373" s="186" t="s">
        <v>3976</v>
      </c>
    </row>
    <row r="374" spans="1:6" ht="12.75">
      <c r="A374" s="186" t="s">
        <v>4018</v>
      </c>
      <c r="B374" s="186" t="s">
        <v>3975</v>
      </c>
      <c r="C374" s="186" t="s">
        <v>3899</v>
      </c>
      <c r="D374" s="186" t="s">
        <v>3865</v>
      </c>
      <c r="E374" s="186" t="s">
        <v>3865</v>
      </c>
      <c r="F374" s="186" t="s">
        <v>3976</v>
      </c>
    </row>
    <row r="375" spans="1:6" ht="12.75">
      <c r="A375" s="186" t="s">
        <v>4019</v>
      </c>
      <c r="B375" s="186" t="s">
        <v>3975</v>
      </c>
      <c r="C375" s="186" t="s">
        <v>3899</v>
      </c>
      <c r="D375" s="186" t="s">
        <v>3865</v>
      </c>
      <c r="E375" s="186" t="s">
        <v>3865</v>
      </c>
      <c r="F375" s="186" t="s">
        <v>3976</v>
      </c>
    </row>
    <row r="376" spans="1:6" ht="12.75">
      <c r="A376" s="186" t="s">
        <v>4020</v>
      </c>
      <c r="B376" s="186" t="s">
        <v>3975</v>
      </c>
      <c r="C376" s="186" t="s">
        <v>3899</v>
      </c>
      <c r="D376" s="186" t="s">
        <v>3865</v>
      </c>
      <c r="E376" s="186" t="s">
        <v>3865</v>
      </c>
      <c r="F376" s="186" t="s">
        <v>3976</v>
      </c>
    </row>
    <row r="377" spans="1:6" ht="12.75">
      <c r="A377" s="186" t="s">
        <v>4021</v>
      </c>
      <c r="B377" s="186" t="s">
        <v>3975</v>
      </c>
      <c r="C377" s="186" t="s">
        <v>3899</v>
      </c>
      <c r="D377" s="186" t="s">
        <v>3865</v>
      </c>
      <c r="E377" s="186" t="s">
        <v>3865</v>
      </c>
      <c r="F377" s="186" t="s">
        <v>3976</v>
      </c>
    </row>
    <row r="378" spans="1:6" ht="12.75">
      <c r="A378" s="186" t="s">
        <v>4022</v>
      </c>
      <c r="B378" s="186" t="s">
        <v>3975</v>
      </c>
      <c r="C378" s="186" t="s">
        <v>3899</v>
      </c>
      <c r="D378" s="186" t="s">
        <v>3865</v>
      </c>
      <c r="E378" s="186" t="s">
        <v>3865</v>
      </c>
      <c r="F378" s="186" t="s">
        <v>3976</v>
      </c>
    </row>
    <row r="379" spans="1:6" ht="12.75">
      <c r="A379" s="186" t="s">
        <v>4023</v>
      </c>
      <c r="B379" s="186" t="s">
        <v>3975</v>
      </c>
      <c r="C379" s="186" t="s">
        <v>3899</v>
      </c>
      <c r="D379" s="186" t="s">
        <v>3865</v>
      </c>
      <c r="E379" s="186" t="s">
        <v>3865</v>
      </c>
      <c r="F379" s="186" t="s">
        <v>3976</v>
      </c>
    </row>
    <row r="380" spans="1:6" ht="12.75">
      <c r="A380" s="186" t="s">
        <v>4024</v>
      </c>
      <c r="B380" s="186" t="s">
        <v>3975</v>
      </c>
      <c r="C380" s="186" t="s">
        <v>3899</v>
      </c>
      <c r="D380" s="186" t="s">
        <v>3865</v>
      </c>
      <c r="E380" s="186" t="s">
        <v>3865</v>
      </c>
      <c r="F380" s="186" t="s">
        <v>3976</v>
      </c>
    </row>
    <row r="381" spans="1:6" ht="12.75">
      <c r="A381" s="186" t="s">
        <v>4025</v>
      </c>
      <c r="B381" s="186" t="s">
        <v>3975</v>
      </c>
      <c r="C381" s="186" t="s">
        <v>3886</v>
      </c>
      <c r="D381" s="186" t="s">
        <v>3571</v>
      </c>
      <c r="E381" s="186" t="s">
        <v>3865</v>
      </c>
      <c r="F381" s="186" t="s">
        <v>3976</v>
      </c>
    </row>
    <row r="382" spans="1:6" ht="12.75">
      <c r="A382" s="186" t="s">
        <v>4026</v>
      </c>
      <c r="B382" s="186" t="s">
        <v>3975</v>
      </c>
      <c r="C382" s="186" t="s">
        <v>3886</v>
      </c>
      <c r="D382" s="186" t="s">
        <v>3571</v>
      </c>
      <c r="E382" s="186" t="s">
        <v>3865</v>
      </c>
      <c r="F382" s="186" t="s">
        <v>3976</v>
      </c>
    </row>
    <row r="383" spans="1:6" ht="12.75">
      <c r="A383" s="186" t="s">
        <v>4027</v>
      </c>
      <c r="B383" s="186" t="s">
        <v>3975</v>
      </c>
      <c r="C383" s="186" t="s">
        <v>3886</v>
      </c>
      <c r="D383" s="186" t="s">
        <v>3571</v>
      </c>
      <c r="E383" s="186" t="s">
        <v>3865</v>
      </c>
      <c r="F383" s="186" t="s">
        <v>3976</v>
      </c>
    </row>
    <row r="384" spans="1:6" ht="12.75">
      <c r="A384" s="186" t="s">
        <v>4028</v>
      </c>
      <c r="B384" s="186" t="s">
        <v>3975</v>
      </c>
      <c r="C384" s="186" t="s">
        <v>3886</v>
      </c>
      <c r="D384" s="186" t="s">
        <v>3571</v>
      </c>
      <c r="E384" s="186" t="s">
        <v>3865</v>
      </c>
      <c r="F384" s="186" t="s">
        <v>3976</v>
      </c>
    </row>
    <row r="385" spans="1:6" ht="12.75">
      <c r="A385" s="186" t="s">
        <v>4029</v>
      </c>
      <c r="B385" s="186" t="s">
        <v>3975</v>
      </c>
      <c r="C385" s="186" t="s">
        <v>3886</v>
      </c>
      <c r="D385" s="186" t="s">
        <v>3571</v>
      </c>
      <c r="E385" s="186" t="s">
        <v>3865</v>
      </c>
      <c r="F385" s="186" t="s">
        <v>3976</v>
      </c>
    </row>
    <row r="386" spans="1:6" ht="12.75">
      <c r="A386" s="186" t="s">
        <v>4030</v>
      </c>
      <c r="B386" s="186" t="s">
        <v>4031</v>
      </c>
      <c r="C386" s="186" t="s">
        <v>3886</v>
      </c>
      <c r="D386" s="186" t="s">
        <v>3571</v>
      </c>
      <c r="E386" s="186" t="s">
        <v>3865</v>
      </c>
      <c r="F386" s="186" t="s">
        <v>3976</v>
      </c>
    </row>
    <row r="387" spans="1:6" ht="12.75">
      <c r="A387" s="186" t="s">
        <v>4032</v>
      </c>
      <c r="B387" s="186" t="s">
        <v>4031</v>
      </c>
      <c r="C387" s="186" t="s">
        <v>3576</v>
      </c>
      <c r="D387" s="186" t="s">
        <v>3577</v>
      </c>
      <c r="E387" s="186" t="s">
        <v>3578</v>
      </c>
      <c r="F387" s="186" t="s">
        <v>4033</v>
      </c>
    </row>
    <row r="388" spans="1:6" ht="12.75">
      <c r="A388" s="186" t="s">
        <v>4034</v>
      </c>
      <c r="B388" s="186" t="s">
        <v>4035</v>
      </c>
      <c r="C388" s="186" t="s">
        <v>3576</v>
      </c>
      <c r="D388" s="186" t="s">
        <v>3577</v>
      </c>
      <c r="E388" s="186" t="s">
        <v>3578</v>
      </c>
      <c r="F388" s="186" t="s">
        <v>4033</v>
      </c>
    </row>
    <row r="389" spans="1:6" ht="12.75">
      <c r="A389" s="186" t="s">
        <v>4036</v>
      </c>
      <c r="B389" s="186" t="s">
        <v>4035</v>
      </c>
      <c r="C389" s="186" t="s">
        <v>3804</v>
      </c>
      <c r="D389" s="186" t="s">
        <v>3554</v>
      </c>
      <c r="E389" s="186" t="s">
        <v>3554</v>
      </c>
      <c r="F389" s="186" t="s">
        <v>3591</v>
      </c>
    </row>
    <row r="390" spans="1:6" ht="12.75">
      <c r="A390" s="186" t="s">
        <v>4037</v>
      </c>
      <c r="B390" s="186" t="s">
        <v>4035</v>
      </c>
      <c r="C390" s="186" t="s">
        <v>4038</v>
      </c>
      <c r="D390" s="186" t="s">
        <v>3540</v>
      </c>
      <c r="E390" s="186" t="s">
        <v>4039</v>
      </c>
      <c r="F390" s="186" t="s">
        <v>3591</v>
      </c>
    </row>
    <row r="391" spans="1:6" ht="12.75">
      <c r="A391" s="186" t="s">
        <v>4040</v>
      </c>
      <c r="B391" s="186" t="s">
        <v>4035</v>
      </c>
      <c r="C391" s="186" t="s">
        <v>4038</v>
      </c>
      <c r="D391" s="186" t="s">
        <v>3540</v>
      </c>
      <c r="E391" s="186" t="s">
        <v>4039</v>
      </c>
      <c r="F391" s="186" t="s">
        <v>3591</v>
      </c>
    </row>
    <row r="392" spans="1:6" ht="12.75">
      <c r="A392" s="186" t="s">
        <v>4041</v>
      </c>
      <c r="B392" s="186" t="s">
        <v>3581</v>
      </c>
      <c r="C392" s="186" t="s">
        <v>3549</v>
      </c>
      <c r="D392" s="186" t="s">
        <v>3540</v>
      </c>
      <c r="E392" s="186" t="s">
        <v>3550</v>
      </c>
      <c r="F392" s="186" t="s">
        <v>3584</v>
      </c>
    </row>
    <row r="393" spans="1:6" ht="12.75">
      <c r="A393" s="186" t="s">
        <v>4042</v>
      </c>
      <c r="B393" s="186" t="s">
        <v>3581</v>
      </c>
      <c r="C393" s="186" t="s">
        <v>3556</v>
      </c>
      <c r="D393" s="186" t="s">
        <v>3540</v>
      </c>
      <c r="E393" s="186" t="s">
        <v>3557</v>
      </c>
      <c r="F393" s="186" t="s">
        <v>3584</v>
      </c>
    </row>
    <row r="394" spans="1:6" ht="12.75">
      <c r="A394" s="186" t="s">
        <v>4043</v>
      </c>
      <c r="B394" s="186" t="s">
        <v>3581</v>
      </c>
      <c r="C394" s="186" t="s">
        <v>3553</v>
      </c>
      <c r="D394" s="186" t="s">
        <v>3540</v>
      </c>
      <c r="E394" s="186" t="s">
        <v>3554</v>
      </c>
      <c r="F394" s="186" t="s">
        <v>3584</v>
      </c>
    </row>
    <row r="395" spans="1:6" ht="12.75">
      <c r="A395" s="186" t="s">
        <v>4044</v>
      </c>
      <c r="B395" s="186" t="s">
        <v>3581</v>
      </c>
      <c r="C395" s="186" t="s">
        <v>4045</v>
      </c>
      <c r="D395" s="186" t="s">
        <v>3564</v>
      </c>
      <c r="E395" s="186" t="s">
        <v>3877</v>
      </c>
      <c r="F395" s="186" t="s">
        <v>3584</v>
      </c>
    </row>
    <row r="396" spans="1:6" ht="12.75">
      <c r="A396" s="186" t="s">
        <v>4046</v>
      </c>
      <c r="B396" s="186" t="s">
        <v>4047</v>
      </c>
      <c r="C396" s="186" t="s">
        <v>4048</v>
      </c>
      <c r="D396" s="186" t="s">
        <v>3540</v>
      </c>
      <c r="E396" s="186" t="s">
        <v>3632</v>
      </c>
      <c r="F396" s="186" t="s">
        <v>4049</v>
      </c>
    </row>
    <row r="397" spans="1:6" ht="12.75">
      <c r="A397" s="186" t="s">
        <v>4050</v>
      </c>
      <c r="B397" s="186" t="s">
        <v>4047</v>
      </c>
      <c r="C397" s="186" t="s">
        <v>4048</v>
      </c>
      <c r="D397" s="186" t="s">
        <v>3540</v>
      </c>
      <c r="E397" s="186" t="s">
        <v>3632</v>
      </c>
      <c r="F397" s="186" t="s">
        <v>4049</v>
      </c>
    </row>
    <row r="398" spans="1:6" ht="12.75">
      <c r="A398" s="186" t="s">
        <v>4051</v>
      </c>
      <c r="B398" s="186" t="s">
        <v>4047</v>
      </c>
      <c r="C398" s="186" t="s">
        <v>4048</v>
      </c>
      <c r="D398" s="186" t="s">
        <v>3540</v>
      </c>
      <c r="E398" s="186" t="s">
        <v>3632</v>
      </c>
      <c r="F398" s="186" t="s">
        <v>4049</v>
      </c>
    </row>
    <row r="399" spans="1:6" ht="12.75">
      <c r="A399" s="186" t="s">
        <v>4052</v>
      </c>
      <c r="B399" s="186" t="s">
        <v>3588</v>
      </c>
      <c r="C399" s="186" t="s">
        <v>3543</v>
      </c>
      <c r="D399" s="186" t="s">
        <v>3540</v>
      </c>
      <c r="E399" s="186" t="s">
        <v>3540</v>
      </c>
      <c r="F399" s="186" t="s">
        <v>4053</v>
      </c>
    </row>
    <row r="400" spans="1:6" ht="12.75">
      <c r="A400" s="186" t="s">
        <v>4054</v>
      </c>
      <c r="B400" s="186" t="s">
        <v>4055</v>
      </c>
      <c r="C400" s="186" t="s">
        <v>3549</v>
      </c>
      <c r="D400" s="186" t="s">
        <v>3540</v>
      </c>
      <c r="E400" s="186" t="s">
        <v>3550</v>
      </c>
      <c r="F400" s="186" t="s">
        <v>4056</v>
      </c>
    </row>
    <row r="401" spans="1:6" ht="12.75">
      <c r="A401" s="186" t="s">
        <v>4057</v>
      </c>
      <c r="B401" s="186" t="s">
        <v>4055</v>
      </c>
      <c r="C401" s="186" t="s">
        <v>3556</v>
      </c>
      <c r="D401" s="186" t="s">
        <v>3540</v>
      </c>
      <c r="E401" s="186" t="s">
        <v>3557</v>
      </c>
      <c r="F401" s="186" t="s">
        <v>4056</v>
      </c>
    </row>
    <row r="402" spans="1:6" ht="12.75">
      <c r="A402" s="186" t="s">
        <v>4058</v>
      </c>
      <c r="B402" s="186" t="s">
        <v>4055</v>
      </c>
      <c r="C402" s="186" t="s">
        <v>3602</v>
      </c>
      <c r="D402" s="186" t="s">
        <v>3540</v>
      </c>
      <c r="E402" s="186" t="s">
        <v>3603</v>
      </c>
      <c r="F402" s="186" t="s">
        <v>4056</v>
      </c>
    </row>
    <row r="403" spans="1:6" ht="12.75">
      <c r="A403" s="186" t="s">
        <v>4059</v>
      </c>
      <c r="B403" s="186" t="s">
        <v>4055</v>
      </c>
      <c r="C403" s="186" t="s">
        <v>4060</v>
      </c>
      <c r="D403" s="186" t="s">
        <v>3583</v>
      </c>
      <c r="E403" s="186" t="s">
        <v>3583</v>
      </c>
      <c r="F403" s="186" t="s">
        <v>4056</v>
      </c>
    </row>
    <row r="404" spans="1:6" ht="12.75">
      <c r="A404" s="186" t="s">
        <v>4061</v>
      </c>
      <c r="B404" s="186" t="s">
        <v>4055</v>
      </c>
      <c r="C404" s="186" t="s">
        <v>3582</v>
      </c>
      <c r="D404" s="186" t="s">
        <v>3550</v>
      </c>
      <c r="E404" s="186" t="s">
        <v>3583</v>
      </c>
      <c r="F404" s="186" t="s">
        <v>4056</v>
      </c>
    </row>
    <row r="405" spans="1:6" ht="12.75">
      <c r="A405" s="186" t="s">
        <v>4062</v>
      </c>
      <c r="B405" s="186" t="s">
        <v>4055</v>
      </c>
      <c r="C405" s="186" t="s">
        <v>4063</v>
      </c>
      <c r="D405" s="186" t="s">
        <v>3550</v>
      </c>
      <c r="E405" s="186" t="s">
        <v>3583</v>
      </c>
      <c r="F405" s="186" t="s">
        <v>4056</v>
      </c>
    </row>
    <row r="406" spans="1:6" ht="12.75">
      <c r="A406" s="186" t="s">
        <v>4064</v>
      </c>
      <c r="B406" s="186" t="s">
        <v>4055</v>
      </c>
      <c r="C406" s="186" t="s">
        <v>4065</v>
      </c>
      <c r="D406" s="186"/>
      <c r="E406" s="186" t="s">
        <v>3554</v>
      </c>
      <c r="F406" s="186" t="s">
        <v>4056</v>
      </c>
    </row>
    <row r="407" spans="1:6" ht="12.75">
      <c r="A407" s="186" t="s">
        <v>4066</v>
      </c>
      <c r="B407" s="186" t="s">
        <v>4055</v>
      </c>
      <c r="C407" s="186" t="s">
        <v>4067</v>
      </c>
      <c r="D407" s="186"/>
      <c r="E407" s="186" t="s">
        <v>3557</v>
      </c>
      <c r="F407" s="186" t="s">
        <v>4056</v>
      </c>
    </row>
    <row r="408" spans="1:6" ht="12.75">
      <c r="A408" s="186" t="s">
        <v>4068</v>
      </c>
      <c r="B408" s="186" t="s">
        <v>4055</v>
      </c>
      <c r="C408" s="186" t="s">
        <v>3586</v>
      </c>
      <c r="D408" s="186" t="s">
        <v>3557</v>
      </c>
      <c r="E408" s="186" t="s">
        <v>3583</v>
      </c>
      <c r="F408" s="186" t="s">
        <v>4056</v>
      </c>
    </row>
    <row r="409" spans="1:6" ht="12.75">
      <c r="A409" s="186" t="s">
        <v>4069</v>
      </c>
      <c r="B409" s="186" t="s">
        <v>4055</v>
      </c>
      <c r="C409" s="186" t="s">
        <v>4070</v>
      </c>
      <c r="D409" s="186"/>
      <c r="E409" s="186" t="s">
        <v>1028</v>
      </c>
      <c r="F409" s="186" t="s">
        <v>4056</v>
      </c>
    </row>
    <row r="410" spans="1:6" ht="12.75">
      <c r="A410" s="186" t="s">
        <v>4071</v>
      </c>
      <c r="B410" s="186" t="s">
        <v>4055</v>
      </c>
      <c r="C410" s="186" t="s">
        <v>3617</v>
      </c>
      <c r="D410" s="186" t="s">
        <v>3564</v>
      </c>
      <c r="E410" s="186" t="s">
        <v>1028</v>
      </c>
      <c r="F410" s="186" t="s">
        <v>4056</v>
      </c>
    </row>
    <row r="411" spans="1:6" ht="12.75">
      <c r="A411" s="186" t="s">
        <v>4072</v>
      </c>
      <c r="B411" s="186" t="s">
        <v>4055</v>
      </c>
      <c r="C411" s="186" t="s">
        <v>4073</v>
      </c>
      <c r="D411" s="186" t="s">
        <v>3564</v>
      </c>
      <c r="E411" s="186" t="s">
        <v>3546</v>
      </c>
      <c r="F411" s="186" t="s">
        <v>4056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outlinePr summaryBelow="0" summaryRight="0"/>
  </sheetPr>
  <dimension ref="A1:F1000"/>
  <sheetViews>
    <sheetView workbookViewId="0"/>
  </sheetViews>
  <sheetFormatPr defaultColWidth="14.3984375" defaultRowHeight="15.75" customHeight="1"/>
  <cols>
    <col min="1" max="1" width="15.265625" customWidth="1"/>
    <col min="2" max="2" width="50.73046875" customWidth="1"/>
    <col min="3" max="3" width="29.59765625" customWidth="1"/>
    <col min="4" max="5" width="27.1328125" customWidth="1"/>
    <col min="6" max="6" width="32" customWidth="1"/>
  </cols>
  <sheetData>
    <row r="1" spans="1:6" ht="15.75" customHeight="1">
      <c r="A1" s="186" t="s">
        <v>3532</v>
      </c>
      <c r="B1" s="186" t="s">
        <v>30</v>
      </c>
      <c r="C1" s="186" t="s">
        <v>3533</v>
      </c>
      <c r="D1" s="186" t="s">
        <v>3534</v>
      </c>
      <c r="E1" s="186" t="s">
        <v>3535</v>
      </c>
      <c r="F1" s="189" t="s">
        <v>1518</v>
      </c>
    </row>
    <row r="2" spans="1:6" ht="15.75" customHeight="1">
      <c r="A2" s="186" t="s">
        <v>4074</v>
      </c>
      <c r="B2" s="186" t="s">
        <v>4075</v>
      </c>
      <c r="C2" s="186" t="s">
        <v>4076</v>
      </c>
      <c r="D2" s="186" t="s">
        <v>3539</v>
      </c>
      <c r="E2" s="186" t="s">
        <v>3540</v>
      </c>
      <c r="F2" s="189">
        <v>1026513</v>
      </c>
    </row>
    <row r="3" spans="1:6" ht="15.75" customHeight="1">
      <c r="A3" s="186" t="s">
        <v>4054</v>
      </c>
      <c r="B3" s="186" t="s">
        <v>4075</v>
      </c>
      <c r="C3" s="186" t="s">
        <v>3634</v>
      </c>
      <c r="D3" s="186" t="s">
        <v>3550</v>
      </c>
      <c r="E3" s="186" t="s">
        <v>3550</v>
      </c>
      <c r="F3" s="189">
        <v>1026513</v>
      </c>
    </row>
    <row r="4" spans="1:6" ht="15.75" customHeight="1">
      <c r="A4" s="186" t="s">
        <v>4057</v>
      </c>
      <c r="B4" s="186" t="s">
        <v>4075</v>
      </c>
      <c r="C4" s="186" t="s">
        <v>3556</v>
      </c>
      <c r="D4" s="186" t="s">
        <v>3540</v>
      </c>
      <c r="E4" s="186" t="s">
        <v>3557</v>
      </c>
      <c r="F4" s="189">
        <v>1026513</v>
      </c>
    </row>
    <row r="5" spans="1:6" ht="15.75" customHeight="1">
      <c r="A5" s="186" t="s">
        <v>4058</v>
      </c>
      <c r="B5" s="186" t="s">
        <v>4075</v>
      </c>
      <c r="C5" s="186" t="s">
        <v>4077</v>
      </c>
      <c r="D5" s="186" t="s">
        <v>3540</v>
      </c>
      <c r="E5" s="186" t="s">
        <v>4078</v>
      </c>
      <c r="F5" s="189">
        <v>1026513</v>
      </c>
    </row>
    <row r="6" spans="1:6" ht="15.75" customHeight="1">
      <c r="A6" s="186" t="s">
        <v>4062</v>
      </c>
      <c r="B6" s="186" t="s">
        <v>4075</v>
      </c>
      <c r="C6" s="186" t="s">
        <v>4063</v>
      </c>
      <c r="D6" s="186" t="s">
        <v>3550</v>
      </c>
      <c r="E6" s="186" t="s">
        <v>4079</v>
      </c>
      <c r="F6" s="189">
        <v>1026513</v>
      </c>
    </row>
    <row r="7" spans="1:6" ht="15.75" customHeight="1">
      <c r="A7" s="186" t="s">
        <v>4061</v>
      </c>
      <c r="B7" s="186" t="s">
        <v>4075</v>
      </c>
      <c r="C7" s="186" t="s">
        <v>3582</v>
      </c>
      <c r="D7" s="186" t="s">
        <v>3550</v>
      </c>
      <c r="E7" s="186" t="s">
        <v>4080</v>
      </c>
      <c r="F7" s="189">
        <v>1026513</v>
      </c>
    </row>
    <row r="8" spans="1:6" ht="15.75" customHeight="1">
      <c r="A8" s="186" t="s">
        <v>4068</v>
      </c>
      <c r="B8" s="186" t="s">
        <v>4075</v>
      </c>
      <c r="C8" s="186" t="s">
        <v>3586</v>
      </c>
      <c r="D8" s="186" t="s">
        <v>3557</v>
      </c>
      <c r="E8" s="186" t="s">
        <v>4081</v>
      </c>
      <c r="F8" s="189">
        <v>1026513</v>
      </c>
    </row>
    <row r="9" spans="1:6" ht="15.75" customHeight="1">
      <c r="A9" s="186" t="s">
        <v>4068</v>
      </c>
      <c r="B9" s="186" t="s">
        <v>4075</v>
      </c>
      <c r="C9" s="186" t="s">
        <v>4082</v>
      </c>
      <c r="D9" s="186" t="s">
        <v>4081</v>
      </c>
      <c r="E9" s="186" t="s">
        <v>3557</v>
      </c>
      <c r="F9" s="189">
        <v>1026513</v>
      </c>
    </row>
    <row r="10" spans="1:6" ht="15.75" customHeight="1">
      <c r="A10" s="186" t="s">
        <v>4072</v>
      </c>
      <c r="B10" s="186" t="s">
        <v>4075</v>
      </c>
      <c r="C10" s="186" t="s">
        <v>4073</v>
      </c>
      <c r="D10" s="186" t="s">
        <v>3564</v>
      </c>
      <c r="E10" s="186" t="s">
        <v>3546</v>
      </c>
      <c r="F10" s="189">
        <v>1026513</v>
      </c>
    </row>
    <row r="11" spans="1:6" ht="15.75" customHeight="1">
      <c r="A11" s="186" t="s">
        <v>4071</v>
      </c>
      <c r="B11" s="186" t="s">
        <v>4075</v>
      </c>
      <c r="C11" s="186" t="s">
        <v>3617</v>
      </c>
      <c r="D11" s="186" t="s">
        <v>3564</v>
      </c>
      <c r="E11" s="186" t="s">
        <v>4083</v>
      </c>
      <c r="F11" s="189">
        <v>1026513</v>
      </c>
    </row>
    <row r="12" spans="1:6" ht="15.75" customHeight="1">
      <c r="A12" s="186" t="s">
        <v>4066</v>
      </c>
      <c r="B12" s="186" t="s">
        <v>4075</v>
      </c>
      <c r="C12" s="186" t="s">
        <v>4067</v>
      </c>
      <c r="D12" s="186" t="s">
        <v>4079</v>
      </c>
      <c r="E12" s="186" t="s">
        <v>3557</v>
      </c>
      <c r="F12" s="189">
        <v>1026513</v>
      </c>
    </row>
    <row r="13" spans="1:6" ht="15.75" customHeight="1">
      <c r="A13" s="186" t="s">
        <v>4064</v>
      </c>
      <c r="B13" s="186" t="s">
        <v>4075</v>
      </c>
      <c r="C13" s="186" t="s">
        <v>4084</v>
      </c>
      <c r="D13" s="186" t="s">
        <v>4080</v>
      </c>
      <c r="E13" s="186" t="s">
        <v>3554</v>
      </c>
      <c r="F13" s="189">
        <v>1026513</v>
      </c>
    </row>
    <row r="14" spans="1:6" ht="15.75" customHeight="1">
      <c r="A14" s="186" t="s">
        <v>4059</v>
      </c>
      <c r="B14" s="186" t="s">
        <v>4075</v>
      </c>
      <c r="C14" s="186" t="s">
        <v>4060</v>
      </c>
      <c r="D14" s="186" t="s">
        <v>4080</v>
      </c>
      <c r="E14" s="186" t="s">
        <v>4081</v>
      </c>
      <c r="F14" s="189">
        <v>1026513</v>
      </c>
    </row>
    <row r="15" spans="1:6" ht="15.75" customHeight="1">
      <c r="A15" s="186" t="s">
        <v>4069</v>
      </c>
      <c r="B15" s="186" t="s">
        <v>4075</v>
      </c>
      <c r="C15" s="186" t="s">
        <v>4085</v>
      </c>
      <c r="D15" s="186" t="s">
        <v>4086</v>
      </c>
      <c r="E15" s="186" t="s">
        <v>4083</v>
      </c>
      <c r="F15" s="189">
        <v>1026513</v>
      </c>
    </row>
    <row r="16" spans="1:6" ht="15.75" customHeight="1">
      <c r="A16" s="186" t="s">
        <v>3595</v>
      </c>
      <c r="B16" s="186" t="s">
        <v>3588</v>
      </c>
      <c r="C16" s="186" t="s">
        <v>3549</v>
      </c>
      <c r="D16" s="186" t="s">
        <v>3540</v>
      </c>
      <c r="E16" s="186" t="s">
        <v>3550</v>
      </c>
      <c r="F16" s="189" t="s">
        <v>3591</v>
      </c>
    </row>
    <row r="17" spans="1:6" ht="15.75" customHeight="1">
      <c r="A17" s="186" t="s">
        <v>3596</v>
      </c>
      <c r="B17" s="186" t="s">
        <v>3588</v>
      </c>
      <c r="C17" s="186" t="s">
        <v>3549</v>
      </c>
      <c r="D17" s="186" t="s">
        <v>3540</v>
      </c>
      <c r="E17" s="186" t="s">
        <v>3550</v>
      </c>
      <c r="F17" s="189" t="s">
        <v>3591</v>
      </c>
    </row>
    <row r="18" spans="1:6" ht="15.75" customHeight="1">
      <c r="A18" s="186" t="s">
        <v>3597</v>
      </c>
      <c r="B18" s="186" t="s">
        <v>3588</v>
      </c>
      <c r="C18" s="186" t="s">
        <v>3556</v>
      </c>
      <c r="D18" s="186" t="s">
        <v>3540</v>
      </c>
      <c r="E18" s="186" t="s">
        <v>3557</v>
      </c>
      <c r="F18" s="189" t="s">
        <v>3591</v>
      </c>
    </row>
    <row r="19" spans="1:6" ht="15.75" customHeight="1">
      <c r="A19" s="186" t="s">
        <v>4087</v>
      </c>
      <c r="B19" s="186" t="s">
        <v>3588</v>
      </c>
      <c r="C19" s="186" t="s">
        <v>3556</v>
      </c>
      <c r="D19" s="186" t="s">
        <v>3540</v>
      </c>
      <c r="E19" s="186" t="s">
        <v>3557</v>
      </c>
      <c r="F19" s="189" t="s">
        <v>3591</v>
      </c>
    </row>
    <row r="20" spans="1:6" ht="15.75" customHeight="1">
      <c r="A20" s="186" t="s">
        <v>3598</v>
      </c>
      <c r="B20" s="186" t="s">
        <v>3588</v>
      </c>
      <c r="C20" s="186" t="s">
        <v>4088</v>
      </c>
      <c r="D20" s="186" t="s">
        <v>3540</v>
      </c>
      <c r="E20" s="186" t="s">
        <v>3554</v>
      </c>
      <c r="F20" s="189" t="s">
        <v>3591</v>
      </c>
    </row>
    <row r="21" spans="1:6" ht="15.75" customHeight="1">
      <c r="A21" s="186" t="s">
        <v>3599</v>
      </c>
      <c r="B21" s="186" t="s">
        <v>3588</v>
      </c>
      <c r="C21" s="186" t="s">
        <v>3600</v>
      </c>
      <c r="D21" s="186" t="s">
        <v>3540</v>
      </c>
      <c r="E21" s="186" t="s">
        <v>4079</v>
      </c>
      <c r="F21" s="189" t="s">
        <v>3591</v>
      </c>
    </row>
    <row r="22" spans="1:6" ht="15.75" customHeight="1">
      <c r="A22" s="186" t="s">
        <v>3601</v>
      </c>
      <c r="B22" s="186" t="s">
        <v>3588</v>
      </c>
      <c r="C22" s="186" t="s">
        <v>4077</v>
      </c>
      <c r="D22" s="186" t="s">
        <v>3540</v>
      </c>
      <c r="E22" s="186" t="s">
        <v>4078</v>
      </c>
      <c r="F22" s="189" t="s">
        <v>3591</v>
      </c>
    </row>
    <row r="23" spans="1:6" ht="15.75" customHeight="1">
      <c r="A23" s="186" t="s">
        <v>3604</v>
      </c>
      <c r="B23" s="186" t="s">
        <v>3588</v>
      </c>
      <c r="C23" s="186" t="s">
        <v>3605</v>
      </c>
      <c r="D23" s="186" t="s">
        <v>3540</v>
      </c>
      <c r="E23" s="186" t="s">
        <v>4080</v>
      </c>
      <c r="F23" s="189" t="s">
        <v>3591</v>
      </c>
    </row>
    <row r="24" spans="1:6" ht="15.75" customHeight="1">
      <c r="A24" s="186" t="s">
        <v>3606</v>
      </c>
      <c r="B24" s="186" t="s">
        <v>3588</v>
      </c>
      <c r="C24" s="186" t="s">
        <v>3605</v>
      </c>
      <c r="D24" s="186" t="s">
        <v>3540</v>
      </c>
      <c r="E24" s="186" t="s">
        <v>4080</v>
      </c>
      <c r="F24" s="189" t="s">
        <v>3591</v>
      </c>
    </row>
    <row r="25" spans="1:6" ht="15.75" customHeight="1">
      <c r="A25" s="186" t="s">
        <v>4089</v>
      </c>
      <c r="B25" s="186" t="s">
        <v>3588</v>
      </c>
      <c r="C25" s="186" t="s">
        <v>3605</v>
      </c>
      <c r="D25" s="186" t="s">
        <v>3540</v>
      </c>
      <c r="E25" s="186" t="s">
        <v>4080</v>
      </c>
      <c r="F25" s="189" t="s">
        <v>3591</v>
      </c>
    </row>
    <row r="26" spans="1:6" ht="15.75" customHeight="1">
      <c r="A26" s="186" t="s">
        <v>3607</v>
      </c>
      <c r="B26" s="186" t="s">
        <v>3588</v>
      </c>
      <c r="C26" s="186" t="s">
        <v>3608</v>
      </c>
      <c r="D26" s="186" t="s">
        <v>3540</v>
      </c>
      <c r="E26" s="186" t="s">
        <v>4081</v>
      </c>
      <c r="F26" s="189" t="s">
        <v>3591</v>
      </c>
    </row>
    <row r="27" spans="1:6" ht="15.75" customHeight="1">
      <c r="A27" s="186" t="s">
        <v>4090</v>
      </c>
      <c r="B27" s="186" t="s">
        <v>3588</v>
      </c>
      <c r="C27" s="186" t="s">
        <v>4091</v>
      </c>
      <c r="D27" s="186" t="s">
        <v>3540</v>
      </c>
      <c r="E27" s="186" t="s">
        <v>4092</v>
      </c>
      <c r="F27" s="189" t="s">
        <v>3591</v>
      </c>
    </row>
    <row r="28" spans="1:6" ht="15.75" customHeight="1">
      <c r="A28" s="186" t="s">
        <v>3609</v>
      </c>
      <c r="B28" s="186" t="s">
        <v>3588</v>
      </c>
      <c r="C28" s="186" t="s">
        <v>4093</v>
      </c>
      <c r="D28" s="186" t="s">
        <v>3539</v>
      </c>
      <c r="E28" s="186" t="s">
        <v>4078</v>
      </c>
      <c r="F28" s="189" t="s">
        <v>3591</v>
      </c>
    </row>
    <row r="29" spans="1:6" ht="15.75" customHeight="1">
      <c r="A29" s="186" t="s">
        <v>3611</v>
      </c>
      <c r="B29" s="186" t="s">
        <v>3588</v>
      </c>
      <c r="C29" s="186" t="s">
        <v>4093</v>
      </c>
      <c r="D29" s="186" t="s">
        <v>3539</v>
      </c>
      <c r="E29" s="186" t="s">
        <v>4078</v>
      </c>
      <c r="F29" s="189" t="s">
        <v>3591</v>
      </c>
    </row>
    <row r="30" spans="1:6" ht="15.75" customHeight="1">
      <c r="A30" s="186" t="s">
        <v>3612</v>
      </c>
      <c r="B30" s="186" t="s">
        <v>3588</v>
      </c>
      <c r="C30" s="186" t="s">
        <v>3582</v>
      </c>
      <c r="D30" s="186" t="s">
        <v>3550</v>
      </c>
      <c r="E30" s="186" t="s">
        <v>4080</v>
      </c>
      <c r="F30" s="189" t="s">
        <v>3591</v>
      </c>
    </row>
    <row r="31" spans="1:6" ht="15.75" customHeight="1">
      <c r="A31" s="186" t="s">
        <v>3613</v>
      </c>
      <c r="B31" s="186" t="s">
        <v>3588</v>
      </c>
      <c r="C31" s="186" t="s">
        <v>3582</v>
      </c>
      <c r="D31" s="186" t="s">
        <v>3550</v>
      </c>
      <c r="E31" s="186" t="s">
        <v>4080</v>
      </c>
      <c r="F31" s="189" t="s">
        <v>3591</v>
      </c>
    </row>
    <row r="32" spans="1:6" ht="15.75" customHeight="1">
      <c r="A32" s="186" t="s">
        <v>3615</v>
      </c>
      <c r="B32" s="186" t="s">
        <v>3588</v>
      </c>
      <c r="C32" s="186" t="s">
        <v>3586</v>
      </c>
      <c r="D32" s="186" t="s">
        <v>3557</v>
      </c>
      <c r="E32" s="186" t="s">
        <v>4081</v>
      </c>
      <c r="F32" s="189" t="s">
        <v>3591</v>
      </c>
    </row>
    <row r="33" spans="1:6" ht="15.75" customHeight="1">
      <c r="A33" s="186" t="s">
        <v>4094</v>
      </c>
      <c r="B33" s="186" t="s">
        <v>3588</v>
      </c>
      <c r="C33" s="186" t="s">
        <v>4095</v>
      </c>
      <c r="D33" s="186" t="s">
        <v>3554</v>
      </c>
      <c r="E33" s="186" t="s">
        <v>4092</v>
      </c>
      <c r="F33" s="189" t="s">
        <v>3591</v>
      </c>
    </row>
    <row r="34" spans="1:6" ht="15.75" customHeight="1">
      <c r="A34" s="186" t="s">
        <v>3616</v>
      </c>
      <c r="B34" s="186" t="s">
        <v>3588</v>
      </c>
      <c r="C34" s="186" t="s">
        <v>3617</v>
      </c>
      <c r="D34" s="186" t="s">
        <v>3564</v>
      </c>
      <c r="E34" s="186" t="s">
        <v>4083</v>
      </c>
      <c r="F34" s="189" t="s">
        <v>3591</v>
      </c>
    </row>
    <row r="35" spans="1:6" ht="15.75" customHeight="1">
      <c r="A35" s="186" t="s">
        <v>4037</v>
      </c>
      <c r="B35" s="186" t="s">
        <v>4035</v>
      </c>
      <c r="C35" s="186" t="s">
        <v>4038</v>
      </c>
      <c r="D35" s="186" t="s">
        <v>3540</v>
      </c>
      <c r="E35" s="186" t="s">
        <v>4039</v>
      </c>
      <c r="F35" s="189" t="s">
        <v>3591</v>
      </c>
    </row>
    <row r="36" spans="1:6" ht="15.75" customHeight="1">
      <c r="A36" s="186" t="s">
        <v>4036</v>
      </c>
      <c r="B36" s="186" t="s">
        <v>4035</v>
      </c>
      <c r="C36" s="186" t="s">
        <v>4088</v>
      </c>
      <c r="D36" s="186" t="s">
        <v>3540</v>
      </c>
      <c r="E36" s="186" t="s">
        <v>3554</v>
      </c>
      <c r="F36" s="189" t="s">
        <v>3591</v>
      </c>
    </row>
    <row r="37" spans="1:6" ht="15.75" customHeight="1">
      <c r="A37" s="186" t="s">
        <v>4040</v>
      </c>
      <c r="B37" s="186" t="s">
        <v>4035</v>
      </c>
      <c r="C37" s="186" t="s">
        <v>4038</v>
      </c>
      <c r="D37" s="186" t="s">
        <v>3540</v>
      </c>
      <c r="E37" s="186" t="s">
        <v>4039</v>
      </c>
      <c r="F37" s="189" t="s">
        <v>3591</v>
      </c>
    </row>
    <row r="38" spans="1:6" ht="15.75" customHeight="1">
      <c r="A38" s="186" t="s">
        <v>4052</v>
      </c>
      <c r="B38" s="186" t="s">
        <v>4096</v>
      </c>
      <c r="C38" s="186" t="s">
        <v>3543</v>
      </c>
      <c r="D38" s="186" t="s">
        <v>3540</v>
      </c>
      <c r="E38" s="186" t="s">
        <v>3540</v>
      </c>
      <c r="F38" s="189" t="s">
        <v>4053</v>
      </c>
    </row>
    <row r="39" spans="1:6" ht="15.75" customHeight="1">
      <c r="A39" s="186" t="s">
        <v>3626</v>
      </c>
      <c r="B39" s="186" t="s">
        <v>3619</v>
      </c>
      <c r="C39" s="186" t="s">
        <v>4097</v>
      </c>
      <c r="D39" s="186" t="s">
        <v>3628</v>
      </c>
      <c r="E39" s="186" t="s">
        <v>4078</v>
      </c>
      <c r="F39" s="189" t="s">
        <v>3629</v>
      </c>
    </row>
    <row r="40" spans="1:6" ht="12.75">
      <c r="A40" s="186" t="s">
        <v>3630</v>
      </c>
      <c r="B40" s="186" t="s">
        <v>3619</v>
      </c>
      <c r="C40" s="186" t="s">
        <v>4098</v>
      </c>
      <c r="D40" s="186" t="s">
        <v>3632</v>
      </c>
      <c r="E40" s="186" t="s">
        <v>4078</v>
      </c>
      <c r="F40" s="189" t="s">
        <v>3629</v>
      </c>
    </row>
    <row r="41" spans="1:6" ht="12.75">
      <c r="A41" s="186" t="s">
        <v>3637</v>
      </c>
      <c r="B41" s="186" t="s">
        <v>3619</v>
      </c>
      <c r="C41" s="186" t="s">
        <v>3638</v>
      </c>
      <c r="D41" s="186" t="s">
        <v>3632</v>
      </c>
      <c r="E41" s="186" t="s">
        <v>3550</v>
      </c>
      <c r="F41" s="189" t="s">
        <v>3629</v>
      </c>
    </row>
    <row r="42" spans="1:6" ht="12.75">
      <c r="A42" s="186" t="s">
        <v>3649</v>
      </c>
      <c r="B42" s="186" t="s">
        <v>3619</v>
      </c>
      <c r="C42" s="186" t="s">
        <v>4098</v>
      </c>
      <c r="D42" s="186" t="s">
        <v>3632</v>
      </c>
      <c r="E42" s="186" t="s">
        <v>4078</v>
      </c>
      <c r="F42" s="189" t="s">
        <v>3629</v>
      </c>
    </row>
    <row r="43" spans="1:6" ht="12.75">
      <c r="A43" s="186" t="s">
        <v>3659</v>
      </c>
      <c r="B43" s="186" t="s">
        <v>3619</v>
      </c>
      <c r="C43" s="186" t="s">
        <v>4098</v>
      </c>
      <c r="D43" s="186" t="s">
        <v>3632</v>
      </c>
      <c r="E43" s="186" t="s">
        <v>4078</v>
      </c>
      <c r="F43" s="189" t="s">
        <v>3629</v>
      </c>
    </row>
    <row r="44" spans="1:6" ht="12.75">
      <c r="A44" s="186" t="s">
        <v>3660</v>
      </c>
      <c r="B44" s="186" t="s">
        <v>3619</v>
      </c>
      <c r="C44" s="186" t="s">
        <v>4098</v>
      </c>
      <c r="D44" s="186" t="s">
        <v>3632</v>
      </c>
      <c r="E44" s="186" t="s">
        <v>4078</v>
      </c>
      <c r="F44" s="189" t="s">
        <v>3629</v>
      </c>
    </row>
    <row r="45" spans="1:6" ht="12.75">
      <c r="A45" s="186" t="s">
        <v>3650</v>
      </c>
      <c r="B45" s="186" t="s">
        <v>3619</v>
      </c>
      <c r="C45" s="186" t="s">
        <v>3651</v>
      </c>
      <c r="D45" s="186" t="s">
        <v>3632</v>
      </c>
      <c r="E45" s="186" t="s">
        <v>3632</v>
      </c>
      <c r="F45" s="189" t="s">
        <v>3629</v>
      </c>
    </row>
    <row r="46" spans="1:6" ht="12.75">
      <c r="A46" s="186" t="s">
        <v>3652</v>
      </c>
      <c r="B46" s="186" t="s">
        <v>3619</v>
      </c>
      <c r="C46" s="186" t="s">
        <v>3651</v>
      </c>
      <c r="D46" s="186" t="s">
        <v>3632</v>
      </c>
      <c r="E46" s="186" t="s">
        <v>3632</v>
      </c>
      <c r="F46" s="189" t="s">
        <v>3629</v>
      </c>
    </row>
    <row r="47" spans="1:6" ht="12.75">
      <c r="A47" s="186" t="s">
        <v>3653</v>
      </c>
      <c r="B47" s="186" t="s">
        <v>3619</v>
      </c>
      <c r="C47" s="186" t="s">
        <v>3651</v>
      </c>
      <c r="D47" s="186" t="s">
        <v>3632</v>
      </c>
      <c r="E47" s="186" t="s">
        <v>3632</v>
      </c>
      <c r="F47" s="189" t="s">
        <v>3629</v>
      </c>
    </row>
    <row r="48" spans="1:6" ht="12.75">
      <c r="A48" s="186" t="s">
        <v>3654</v>
      </c>
      <c r="B48" s="186" t="s">
        <v>3619</v>
      </c>
      <c r="C48" s="186" t="s">
        <v>4099</v>
      </c>
      <c r="D48" s="186" t="s">
        <v>4078</v>
      </c>
      <c r="E48" s="186" t="s">
        <v>4078</v>
      </c>
      <c r="F48" s="189" t="s">
        <v>3629</v>
      </c>
    </row>
    <row r="49" spans="1:6" ht="12.75">
      <c r="A49" s="186" t="s">
        <v>3656</v>
      </c>
      <c r="B49" s="186" t="s">
        <v>3619</v>
      </c>
      <c r="C49" s="186" t="s">
        <v>4100</v>
      </c>
      <c r="D49" s="186" t="s">
        <v>4078</v>
      </c>
      <c r="E49" s="186" t="s">
        <v>3632</v>
      </c>
      <c r="F49" s="189" t="s">
        <v>3629</v>
      </c>
    </row>
    <row r="50" spans="1:6" ht="12.75">
      <c r="A50" s="186" t="s">
        <v>3661</v>
      </c>
      <c r="B50" s="186" t="s">
        <v>3619</v>
      </c>
      <c r="C50" s="186" t="s">
        <v>3662</v>
      </c>
      <c r="D50" s="186" t="s">
        <v>4083</v>
      </c>
      <c r="E50" s="186" t="s">
        <v>4083</v>
      </c>
      <c r="F50" s="189" t="s">
        <v>3629</v>
      </c>
    </row>
    <row r="51" spans="1:6" ht="12.75">
      <c r="A51" s="186" t="s">
        <v>3663</v>
      </c>
      <c r="B51" s="186" t="s">
        <v>3619</v>
      </c>
      <c r="C51" s="186" t="s">
        <v>3662</v>
      </c>
      <c r="D51" s="186" t="s">
        <v>4083</v>
      </c>
      <c r="E51" s="186" t="s">
        <v>4083</v>
      </c>
      <c r="F51" s="189" t="s">
        <v>3629</v>
      </c>
    </row>
    <row r="52" spans="1:6" ht="12.75">
      <c r="A52" s="186" t="s">
        <v>3664</v>
      </c>
      <c r="B52" s="186" t="s">
        <v>3619</v>
      </c>
      <c r="C52" s="186" t="s">
        <v>3662</v>
      </c>
      <c r="D52" s="186" t="s">
        <v>4083</v>
      </c>
      <c r="E52" s="186" t="s">
        <v>4083</v>
      </c>
      <c r="F52" s="189" t="s">
        <v>3629</v>
      </c>
    </row>
    <row r="53" spans="1:6" ht="12.75">
      <c r="A53" s="186" t="s">
        <v>3665</v>
      </c>
      <c r="B53" s="186" t="s">
        <v>3619</v>
      </c>
      <c r="C53" s="186" t="s">
        <v>3662</v>
      </c>
      <c r="D53" s="186" t="s">
        <v>4083</v>
      </c>
      <c r="E53" s="186" t="s">
        <v>4083</v>
      </c>
      <c r="F53" s="189" t="s">
        <v>3629</v>
      </c>
    </row>
    <row r="54" spans="1:6" ht="12.75">
      <c r="A54" s="186" t="s">
        <v>3667</v>
      </c>
      <c r="B54" s="186" t="s">
        <v>3619</v>
      </c>
      <c r="C54" s="186" t="s">
        <v>3662</v>
      </c>
      <c r="D54" s="186" t="s">
        <v>4083</v>
      </c>
      <c r="E54" s="186" t="s">
        <v>4083</v>
      </c>
      <c r="F54" s="189" t="s">
        <v>3629</v>
      </c>
    </row>
    <row r="55" spans="1:6" ht="12.75">
      <c r="A55" s="186" t="s">
        <v>3669</v>
      </c>
      <c r="B55" s="186" t="s">
        <v>3619</v>
      </c>
      <c r="C55" s="186" t="s">
        <v>4099</v>
      </c>
      <c r="D55" s="186" t="s">
        <v>4078</v>
      </c>
      <c r="E55" s="186" t="s">
        <v>4078</v>
      </c>
      <c r="F55" s="189" t="s">
        <v>3629</v>
      </c>
    </row>
    <row r="56" spans="1:6" ht="12.75">
      <c r="A56" s="186" t="s">
        <v>3682</v>
      </c>
      <c r="B56" s="186" t="s">
        <v>3619</v>
      </c>
      <c r="C56" s="186" t="s">
        <v>4100</v>
      </c>
      <c r="D56" s="186" t="s">
        <v>4078</v>
      </c>
      <c r="E56" s="186" t="s">
        <v>3632</v>
      </c>
      <c r="F56" s="189" t="s">
        <v>3629</v>
      </c>
    </row>
    <row r="57" spans="1:6" ht="12.75">
      <c r="A57" s="186" t="s">
        <v>3683</v>
      </c>
      <c r="B57" s="186" t="s">
        <v>3619</v>
      </c>
      <c r="C57" s="186" t="s">
        <v>4100</v>
      </c>
      <c r="D57" s="186" t="s">
        <v>4078</v>
      </c>
      <c r="E57" s="186" t="s">
        <v>3632</v>
      </c>
      <c r="F57" s="189" t="s">
        <v>3629</v>
      </c>
    </row>
    <row r="58" spans="1:6" ht="12.75">
      <c r="A58" s="186" t="s">
        <v>3674</v>
      </c>
      <c r="B58" s="186" t="s">
        <v>3619</v>
      </c>
      <c r="C58" s="186" t="s">
        <v>4098</v>
      </c>
      <c r="D58" s="186" t="s">
        <v>3632</v>
      </c>
      <c r="E58" s="186" t="s">
        <v>4078</v>
      </c>
      <c r="F58" s="189" t="s">
        <v>3629</v>
      </c>
    </row>
    <row r="59" spans="1:6" ht="12.75">
      <c r="A59" s="186" t="s">
        <v>3675</v>
      </c>
      <c r="B59" s="186" t="s">
        <v>3619</v>
      </c>
      <c r="C59" s="186" t="s">
        <v>4098</v>
      </c>
      <c r="D59" s="186" t="s">
        <v>3632</v>
      </c>
      <c r="E59" s="186" t="s">
        <v>4078</v>
      </c>
      <c r="F59" s="189" t="s">
        <v>3629</v>
      </c>
    </row>
    <row r="60" spans="1:6" ht="12.75">
      <c r="A60" s="186" t="s">
        <v>3686</v>
      </c>
      <c r="B60" s="186" t="s">
        <v>3619</v>
      </c>
      <c r="C60" s="186" t="s">
        <v>3685</v>
      </c>
      <c r="D60" s="186" t="s">
        <v>3590</v>
      </c>
      <c r="E60" s="186" t="s">
        <v>3540</v>
      </c>
      <c r="F60" s="189" t="s">
        <v>3629</v>
      </c>
    </row>
    <row r="61" spans="1:6" ht="12.75">
      <c r="A61" s="186" t="s">
        <v>3709</v>
      </c>
      <c r="B61" s="186" t="s">
        <v>3619</v>
      </c>
      <c r="C61" s="186" t="s">
        <v>4101</v>
      </c>
      <c r="D61" s="186" t="s">
        <v>3539</v>
      </c>
      <c r="E61" s="186" t="s">
        <v>3539</v>
      </c>
      <c r="F61" s="189" t="s">
        <v>3629</v>
      </c>
    </row>
    <row r="62" spans="1:6" ht="12.75">
      <c r="A62" s="186" t="s">
        <v>3710</v>
      </c>
      <c r="B62" s="186" t="s">
        <v>3619</v>
      </c>
      <c r="C62" s="186" t="s">
        <v>4102</v>
      </c>
      <c r="D62" s="186" t="s">
        <v>3539</v>
      </c>
      <c r="E62" s="186" t="s">
        <v>4103</v>
      </c>
      <c r="F62" s="189" t="s">
        <v>3629</v>
      </c>
    </row>
    <row r="63" spans="1:6" ht="12.75">
      <c r="A63" s="186" t="s">
        <v>3711</v>
      </c>
      <c r="B63" s="186" t="s">
        <v>3619</v>
      </c>
      <c r="C63" s="186" t="s">
        <v>4102</v>
      </c>
      <c r="D63" s="186" t="s">
        <v>3539</v>
      </c>
      <c r="E63" s="186" t="s">
        <v>4103</v>
      </c>
      <c r="F63" s="189" t="s">
        <v>3629</v>
      </c>
    </row>
    <row r="64" spans="1:6" ht="12.75">
      <c r="A64" s="186" t="s">
        <v>3712</v>
      </c>
      <c r="B64" s="186" t="s">
        <v>3619</v>
      </c>
      <c r="C64" s="186" t="s">
        <v>4102</v>
      </c>
      <c r="D64" s="186" t="s">
        <v>3539</v>
      </c>
      <c r="E64" s="186" t="s">
        <v>4103</v>
      </c>
      <c r="F64" s="189" t="s">
        <v>3629</v>
      </c>
    </row>
    <row r="65" spans="1:6" ht="12.75">
      <c r="A65" s="186" t="s">
        <v>3713</v>
      </c>
      <c r="B65" s="186" t="s">
        <v>3619</v>
      </c>
      <c r="C65" s="186" t="s">
        <v>4104</v>
      </c>
      <c r="D65" s="186" t="s">
        <v>3539</v>
      </c>
      <c r="E65" s="186" t="s">
        <v>3632</v>
      </c>
      <c r="F65" s="189" t="s">
        <v>3629</v>
      </c>
    </row>
    <row r="66" spans="1:6" ht="12.75">
      <c r="A66" s="186" t="s">
        <v>3714</v>
      </c>
      <c r="B66" s="186" t="s">
        <v>3619</v>
      </c>
      <c r="C66" s="186" t="s">
        <v>4101</v>
      </c>
      <c r="D66" s="186" t="s">
        <v>3539</v>
      </c>
      <c r="E66" s="186" t="s">
        <v>3539</v>
      </c>
      <c r="F66" s="189" t="s">
        <v>3629</v>
      </c>
    </row>
    <row r="67" spans="1:6" ht="12.75">
      <c r="A67" s="186" t="s">
        <v>3715</v>
      </c>
      <c r="B67" s="186" t="s">
        <v>3619</v>
      </c>
      <c r="C67" s="186" t="s">
        <v>4105</v>
      </c>
      <c r="D67" s="186" t="s">
        <v>4103</v>
      </c>
      <c r="E67" s="186" t="s">
        <v>3539</v>
      </c>
      <c r="F67" s="189" t="s">
        <v>3629</v>
      </c>
    </row>
    <row r="68" spans="1:6" ht="12.75">
      <c r="A68" s="186" t="s">
        <v>3717</v>
      </c>
      <c r="B68" s="186" t="s">
        <v>3619</v>
      </c>
      <c r="C68" s="186" t="s">
        <v>4106</v>
      </c>
      <c r="D68" s="186" t="s">
        <v>3583</v>
      </c>
      <c r="E68" s="186" t="s">
        <v>3539</v>
      </c>
      <c r="F68" s="189" t="s">
        <v>3629</v>
      </c>
    </row>
    <row r="69" spans="1:6" ht="12.75">
      <c r="A69" s="186" t="s">
        <v>3718</v>
      </c>
      <c r="B69" s="186" t="s">
        <v>3619</v>
      </c>
      <c r="C69" s="186" t="s">
        <v>4106</v>
      </c>
      <c r="D69" s="186" t="s">
        <v>3583</v>
      </c>
      <c r="E69" s="186" t="s">
        <v>3539</v>
      </c>
      <c r="F69" s="189" t="s">
        <v>3629</v>
      </c>
    </row>
    <row r="70" spans="1:6" ht="12.75">
      <c r="A70" s="186" t="s">
        <v>3719</v>
      </c>
      <c r="B70" s="186" t="s">
        <v>3619</v>
      </c>
      <c r="C70" s="186" t="s">
        <v>4106</v>
      </c>
      <c r="D70" s="186" t="s">
        <v>3583</v>
      </c>
      <c r="E70" s="186" t="s">
        <v>3539</v>
      </c>
      <c r="F70" s="189" t="s">
        <v>3629</v>
      </c>
    </row>
    <row r="71" spans="1:6" ht="12.75">
      <c r="A71" s="186" t="s">
        <v>3720</v>
      </c>
      <c r="B71" s="186" t="s">
        <v>3619</v>
      </c>
      <c r="C71" s="186" t="s">
        <v>4106</v>
      </c>
      <c r="D71" s="186" t="s">
        <v>3583</v>
      </c>
      <c r="E71" s="186" t="s">
        <v>3539</v>
      </c>
      <c r="F71" s="189" t="s">
        <v>3629</v>
      </c>
    </row>
    <row r="72" spans="1:6" ht="12.75">
      <c r="A72" s="186" t="s">
        <v>4107</v>
      </c>
      <c r="B72" s="186" t="s">
        <v>3619</v>
      </c>
      <c r="C72" s="186" t="s">
        <v>4105</v>
      </c>
      <c r="D72" s="186" t="s">
        <v>4103</v>
      </c>
      <c r="E72" s="186" t="s">
        <v>3539</v>
      </c>
      <c r="F72" s="189" t="s">
        <v>3629</v>
      </c>
    </row>
    <row r="73" spans="1:6" ht="12.75">
      <c r="A73" s="186" t="s">
        <v>4108</v>
      </c>
      <c r="B73" s="186" t="s">
        <v>3619</v>
      </c>
      <c r="C73" s="186" t="s">
        <v>4105</v>
      </c>
      <c r="D73" s="186" t="s">
        <v>4103</v>
      </c>
      <c r="E73" s="186" t="s">
        <v>3539</v>
      </c>
      <c r="F73" s="189" t="s">
        <v>3629</v>
      </c>
    </row>
    <row r="74" spans="1:6" ht="12.75">
      <c r="A74" s="186" t="s">
        <v>4109</v>
      </c>
      <c r="B74" s="186" t="s">
        <v>3619</v>
      </c>
      <c r="C74" s="186" t="s">
        <v>4105</v>
      </c>
      <c r="D74" s="186" t="s">
        <v>4103</v>
      </c>
      <c r="E74" s="186" t="s">
        <v>3539</v>
      </c>
      <c r="F74" s="189" t="s">
        <v>3629</v>
      </c>
    </row>
    <row r="75" spans="1:6" ht="12.75">
      <c r="A75" s="186" t="s">
        <v>3708</v>
      </c>
      <c r="B75" s="186" t="s">
        <v>3619</v>
      </c>
      <c r="C75" s="186" t="s">
        <v>4101</v>
      </c>
      <c r="D75" s="186" t="s">
        <v>3539</v>
      </c>
      <c r="E75" s="186" t="s">
        <v>3539</v>
      </c>
      <c r="F75" s="189" t="s">
        <v>3629</v>
      </c>
    </row>
    <row r="76" spans="1:6" ht="12.75">
      <c r="A76" s="186" t="s">
        <v>4110</v>
      </c>
      <c r="B76" s="186" t="s">
        <v>3619</v>
      </c>
      <c r="C76" s="186" t="s">
        <v>4111</v>
      </c>
      <c r="D76" s="186" t="s">
        <v>3594</v>
      </c>
      <c r="E76" s="186" t="s">
        <v>3594</v>
      </c>
      <c r="F76" s="189" t="s">
        <v>3629</v>
      </c>
    </row>
    <row r="77" spans="1:6" ht="12.75">
      <c r="A77" s="186" t="s">
        <v>3723</v>
      </c>
      <c r="B77" s="186" t="s">
        <v>3619</v>
      </c>
      <c r="C77" s="186" t="s">
        <v>3724</v>
      </c>
      <c r="D77" s="186" t="s">
        <v>3583</v>
      </c>
      <c r="E77" s="186" t="s">
        <v>3550</v>
      </c>
      <c r="F77" s="189" t="s">
        <v>3629</v>
      </c>
    </row>
    <row r="78" spans="1:6" ht="12.75">
      <c r="A78" s="186" t="s">
        <v>3736</v>
      </c>
      <c r="B78" s="186" t="s">
        <v>3619</v>
      </c>
      <c r="C78" s="186" t="s">
        <v>3636</v>
      </c>
      <c r="D78" s="186" t="s">
        <v>3550</v>
      </c>
      <c r="E78" s="186" t="s">
        <v>3583</v>
      </c>
      <c r="F78" s="189" t="s">
        <v>3629</v>
      </c>
    </row>
    <row r="79" spans="1:6" ht="12.75">
      <c r="A79" s="186" t="s">
        <v>3737</v>
      </c>
      <c r="B79" s="186" t="s">
        <v>3619</v>
      </c>
      <c r="C79" s="186" t="s">
        <v>3634</v>
      </c>
      <c r="D79" s="186" t="s">
        <v>3550</v>
      </c>
      <c r="E79" s="186" t="s">
        <v>3550</v>
      </c>
      <c r="F79" s="189" t="s">
        <v>3629</v>
      </c>
    </row>
    <row r="80" spans="1:6" ht="12.75">
      <c r="A80" s="186" t="s">
        <v>3738</v>
      </c>
      <c r="B80" s="186" t="s">
        <v>3619</v>
      </c>
      <c r="C80" s="186" t="s">
        <v>3724</v>
      </c>
      <c r="D80" s="186" t="s">
        <v>3583</v>
      </c>
      <c r="E80" s="186" t="s">
        <v>3550</v>
      </c>
      <c r="F80" s="189" t="s">
        <v>3629</v>
      </c>
    </row>
    <row r="81" spans="1:6" ht="12.75">
      <c r="A81" s="186" t="s">
        <v>3739</v>
      </c>
      <c r="B81" s="186" t="s">
        <v>3619</v>
      </c>
      <c r="C81" s="186" t="s">
        <v>3724</v>
      </c>
      <c r="D81" s="186" t="s">
        <v>3583</v>
      </c>
      <c r="E81" s="186" t="s">
        <v>3550</v>
      </c>
      <c r="F81" s="189" t="s">
        <v>3629</v>
      </c>
    </row>
    <row r="82" spans="1:6" ht="12.75">
      <c r="A82" s="186" t="s">
        <v>3740</v>
      </c>
      <c r="B82" s="186" t="s">
        <v>3619</v>
      </c>
      <c r="C82" s="186" t="s">
        <v>3724</v>
      </c>
      <c r="D82" s="186" t="s">
        <v>3583</v>
      </c>
      <c r="E82" s="186" t="s">
        <v>3550</v>
      </c>
      <c r="F82" s="189" t="s">
        <v>3629</v>
      </c>
    </row>
    <row r="83" spans="1:6" ht="12.75">
      <c r="A83" s="186" t="s">
        <v>3741</v>
      </c>
      <c r="B83" s="186" t="s">
        <v>3619</v>
      </c>
      <c r="C83" s="186" t="s">
        <v>3724</v>
      </c>
      <c r="D83" s="186" t="s">
        <v>3583</v>
      </c>
      <c r="E83" s="186" t="s">
        <v>3550</v>
      </c>
      <c r="F83" s="189" t="s">
        <v>3629</v>
      </c>
    </row>
    <row r="84" spans="1:6" ht="12.75">
      <c r="A84" s="186" t="s">
        <v>3742</v>
      </c>
      <c r="B84" s="186" t="s">
        <v>3619</v>
      </c>
      <c r="C84" s="186" t="s">
        <v>3724</v>
      </c>
      <c r="D84" s="186" t="s">
        <v>3583</v>
      </c>
      <c r="E84" s="186" t="s">
        <v>3550</v>
      </c>
      <c r="F84" s="189" t="s">
        <v>3629</v>
      </c>
    </row>
    <row r="85" spans="1:6" ht="12.75">
      <c r="A85" s="186" t="s">
        <v>3743</v>
      </c>
      <c r="B85" s="186" t="s">
        <v>3619</v>
      </c>
      <c r="C85" s="186" t="s">
        <v>3724</v>
      </c>
      <c r="D85" s="186" t="s">
        <v>3583</v>
      </c>
      <c r="E85" s="186" t="s">
        <v>3550</v>
      </c>
      <c r="F85" s="189" t="s">
        <v>3629</v>
      </c>
    </row>
    <row r="86" spans="1:6" ht="12.75">
      <c r="A86" s="186" t="s">
        <v>3744</v>
      </c>
      <c r="B86" s="186" t="s">
        <v>3619</v>
      </c>
      <c r="C86" s="186" t="s">
        <v>3634</v>
      </c>
      <c r="D86" s="186" t="s">
        <v>3550</v>
      </c>
      <c r="E86" s="186" t="s">
        <v>3550</v>
      </c>
      <c r="F86" s="189" t="s">
        <v>3629</v>
      </c>
    </row>
    <row r="87" spans="1:6" ht="12.75">
      <c r="A87" s="186" t="s">
        <v>3745</v>
      </c>
      <c r="B87" s="186" t="s">
        <v>3619</v>
      </c>
      <c r="C87" s="186" t="s">
        <v>3636</v>
      </c>
      <c r="D87" s="186" t="s">
        <v>3550</v>
      </c>
      <c r="E87" s="186" t="s">
        <v>3583</v>
      </c>
      <c r="F87" s="189" t="s">
        <v>3629</v>
      </c>
    </row>
    <row r="88" spans="1:6" ht="12.75">
      <c r="A88" s="186" t="s">
        <v>3725</v>
      </c>
      <c r="B88" s="186" t="s">
        <v>3619</v>
      </c>
      <c r="C88" s="186" t="s">
        <v>3726</v>
      </c>
      <c r="D88" s="186" t="s">
        <v>3727</v>
      </c>
      <c r="E88" s="186" t="s">
        <v>3550</v>
      </c>
      <c r="F88" s="189" t="s">
        <v>3629</v>
      </c>
    </row>
    <row r="89" spans="1:6" ht="12.75">
      <c r="A89" s="186" t="s">
        <v>3746</v>
      </c>
      <c r="B89" s="186" t="s">
        <v>3619</v>
      </c>
      <c r="C89" s="186" t="s">
        <v>4112</v>
      </c>
      <c r="D89" s="186" t="s">
        <v>3550</v>
      </c>
      <c r="E89" s="186" t="s">
        <v>3554</v>
      </c>
      <c r="F89" s="189" t="s">
        <v>3629</v>
      </c>
    </row>
    <row r="90" spans="1:6" ht="12.75">
      <c r="A90" s="186" t="s">
        <v>3747</v>
      </c>
      <c r="B90" s="186" t="s">
        <v>3619</v>
      </c>
      <c r="C90" s="186" t="s">
        <v>3634</v>
      </c>
      <c r="D90" s="186" t="s">
        <v>3550</v>
      </c>
      <c r="E90" s="186" t="s">
        <v>3550</v>
      </c>
      <c r="F90" s="189" t="s">
        <v>3629</v>
      </c>
    </row>
    <row r="91" spans="1:6" ht="12.75">
      <c r="A91" s="186" t="s">
        <v>3749</v>
      </c>
      <c r="B91" s="186" t="s">
        <v>3619</v>
      </c>
      <c r="C91" s="186" t="s">
        <v>3724</v>
      </c>
      <c r="D91" s="186" t="s">
        <v>3583</v>
      </c>
      <c r="E91" s="186" t="s">
        <v>3550</v>
      </c>
      <c r="F91" s="189" t="s">
        <v>3629</v>
      </c>
    </row>
    <row r="92" spans="1:6" ht="12.75">
      <c r="A92" s="186" t="s">
        <v>3750</v>
      </c>
      <c r="B92" s="186" t="s">
        <v>3619</v>
      </c>
      <c r="C92" s="186" t="s">
        <v>3751</v>
      </c>
      <c r="D92" s="186" t="s">
        <v>3583</v>
      </c>
      <c r="E92" s="186" t="s">
        <v>3564</v>
      </c>
      <c r="F92" s="189" t="s">
        <v>3629</v>
      </c>
    </row>
    <row r="93" spans="1:6" ht="12.75">
      <c r="A93" s="186" t="s">
        <v>3752</v>
      </c>
      <c r="B93" s="186" t="s">
        <v>3619</v>
      </c>
      <c r="C93" s="186" t="s">
        <v>3751</v>
      </c>
      <c r="D93" s="186" t="s">
        <v>3583</v>
      </c>
      <c r="E93" s="186" t="s">
        <v>3564</v>
      </c>
      <c r="F93" s="189" t="s">
        <v>3629</v>
      </c>
    </row>
    <row r="94" spans="1:6" ht="12.75">
      <c r="A94" s="186" t="s">
        <v>3753</v>
      </c>
      <c r="B94" s="186" t="s">
        <v>3619</v>
      </c>
      <c r="C94" s="186" t="s">
        <v>3924</v>
      </c>
      <c r="D94" s="186" t="s">
        <v>4080</v>
      </c>
      <c r="E94" s="186" t="s">
        <v>4080</v>
      </c>
      <c r="F94" s="189" t="s">
        <v>3629</v>
      </c>
    </row>
    <row r="95" spans="1:6" ht="12.75">
      <c r="A95" s="186" t="s">
        <v>3755</v>
      </c>
      <c r="B95" s="186" t="s">
        <v>3619</v>
      </c>
      <c r="C95" s="186" t="s">
        <v>3634</v>
      </c>
      <c r="D95" s="186" t="s">
        <v>3550</v>
      </c>
      <c r="E95" s="186" t="s">
        <v>3550</v>
      </c>
      <c r="F95" s="189" t="s">
        <v>3629</v>
      </c>
    </row>
    <row r="96" spans="1:6" ht="12.75">
      <c r="A96" s="186" t="s">
        <v>3756</v>
      </c>
      <c r="B96" s="186" t="s">
        <v>3619</v>
      </c>
      <c r="C96" s="186" t="s">
        <v>3634</v>
      </c>
      <c r="D96" s="186" t="s">
        <v>3550</v>
      </c>
      <c r="E96" s="186" t="s">
        <v>3550</v>
      </c>
      <c r="F96" s="189" t="s">
        <v>3629</v>
      </c>
    </row>
    <row r="97" spans="1:6" ht="12.75">
      <c r="A97" s="186" t="s">
        <v>3728</v>
      </c>
      <c r="B97" s="186" t="s">
        <v>3619</v>
      </c>
      <c r="C97" s="186" t="s">
        <v>3724</v>
      </c>
      <c r="D97" s="186" t="s">
        <v>3583</v>
      </c>
      <c r="E97" s="186" t="s">
        <v>3550</v>
      </c>
      <c r="F97" s="189" t="s">
        <v>3629</v>
      </c>
    </row>
    <row r="98" spans="1:6" ht="12.75">
      <c r="A98" s="186" t="s">
        <v>3573</v>
      </c>
      <c r="B98" s="186" t="s">
        <v>3619</v>
      </c>
      <c r="C98" s="186" t="s">
        <v>3634</v>
      </c>
      <c r="D98" s="186" t="s">
        <v>3550</v>
      </c>
      <c r="E98" s="186" t="s">
        <v>3550</v>
      </c>
      <c r="F98" s="189" t="s">
        <v>3629</v>
      </c>
    </row>
    <row r="99" spans="1:6" ht="12.75">
      <c r="A99" s="186" t="s">
        <v>3757</v>
      </c>
      <c r="B99" s="186" t="s">
        <v>3619</v>
      </c>
      <c r="C99" s="186" t="s">
        <v>3634</v>
      </c>
      <c r="D99" s="186" t="s">
        <v>3550</v>
      </c>
      <c r="E99" s="186" t="s">
        <v>3550</v>
      </c>
      <c r="F99" s="189" t="s">
        <v>3629</v>
      </c>
    </row>
    <row r="100" spans="1:6" ht="12.75">
      <c r="A100" s="186" t="s">
        <v>3758</v>
      </c>
      <c r="B100" s="186" t="s">
        <v>3619</v>
      </c>
      <c r="C100" s="186" t="s">
        <v>3570</v>
      </c>
      <c r="D100" s="186" t="s">
        <v>3571</v>
      </c>
      <c r="E100" s="186" t="s">
        <v>3571</v>
      </c>
      <c r="F100" s="189" t="s">
        <v>3629</v>
      </c>
    </row>
    <row r="101" spans="1:6" ht="12.75">
      <c r="A101" s="186" t="s">
        <v>3759</v>
      </c>
      <c r="B101" s="186" t="s">
        <v>3619</v>
      </c>
      <c r="C101" s="186" t="s">
        <v>3724</v>
      </c>
      <c r="D101" s="186" t="s">
        <v>3583</v>
      </c>
      <c r="E101" s="186" t="s">
        <v>3550</v>
      </c>
      <c r="F101" s="189" t="s">
        <v>3629</v>
      </c>
    </row>
    <row r="102" spans="1:6" ht="12.75">
      <c r="A102" s="186" t="s">
        <v>3760</v>
      </c>
      <c r="B102" s="186" t="s">
        <v>3619</v>
      </c>
      <c r="C102" s="186" t="s">
        <v>3636</v>
      </c>
      <c r="D102" s="186" t="s">
        <v>3550</v>
      </c>
      <c r="E102" s="186" t="s">
        <v>3583</v>
      </c>
      <c r="F102" s="189" t="s">
        <v>3629</v>
      </c>
    </row>
    <row r="103" spans="1:6" ht="12.75">
      <c r="A103" s="186" t="s">
        <v>3762</v>
      </c>
      <c r="B103" s="186" t="s">
        <v>3619</v>
      </c>
      <c r="C103" s="186" t="s">
        <v>3724</v>
      </c>
      <c r="D103" s="186" t="s">
        <v>3583</v>
      </c>
      <c r="E103" s="186" t="s">
        <v>3550</v>
      </c>
      <c r="F103" s="189" t="s">
        <v>3629</v>
      </c>
    </row>
    <row r="104" spans="1:6" ht="12.75">
      <c r="A104" s="186" t="s">
        <v>3763</v>
      </c>
      <c r="B104" s="186" t="s">
        <v>3619</v>
      </c>
      <c r="C104" s="186" t="s">
        <v>3570</v>
      </c>
      <c r="D104" s="186" t="s">
        <v>3571</v>
      </c>
      <c r="E104" s="186" t="s">
        <v>3571</v>
      </c>
      <c r="F104" s="189" t="s">
        <v>3629</v>
      </c>
    </row>
    <row r="105" spans="1:6" ht="12.75">
      <c r="A105" s="186" t="s">
        <v>3729</v>
      </c>
      <c r="B105" s="186" t="s">
        <v>3619</v>
      </c>
      <c r="C105" s="186" t="s">
        <v>3634</v>
      </c>
      <c r="D105" s="186" t="s">
        <v>3550</v>
      </c>
      <c r="E105" s="186" t="s">
        <v>3550</v>
      </c>
      <c r="F105" s="189" t="s">
        <v>3629</v>
      </c>
    </row>
    <row r="106" spans="1:6" ht="12.75">
      <c r="A106" s="186" t="s">
        <v>3764</v>
      </c>
      <c r="B106" s="186" t="s">
        <v>3619</v>
      </c>
      <c r="C106" s="186" t="s">
        <v>3634</v>
      </c>
      <c r="D106" s="186" t="s">
        <v>3550</v>
      </c>
      <c r="E106" s="186" t="s">
        <v>3550</v>
      </c>
      <c r="F106" s="189" t="s">
        <v>3629</v>
      </c>
    </row>
    <row r="107" spans="1:6" ht="12.75">
      <c r="A107" s="186" t="s">
        <v>3765</v>
      </c>
      <c r="B107" s="186" t="s">
        <v>3619</v>
      </c>
      <c r="C107" s="186" t="s">
        <v>3634</v>
      </c>
      <c r="D107" s="186" t="s">
        <v>3550</v>
      </c>
      <c r="E107" s="186" t="s">
        <v>3550</v>
      </c>
      <c r="F107" s="189" t="s">
        <v>3629</v>
      </c>
    </row>
    <row r="108" spans="1:6" ht="12.75">
      <c r="A108" s="186" t="s">
        <v>3766</v>
      </c>
      <c r="B108" s="186" t="s">
        <v>3619</v>
      </c>
      <c r="C108" s="186" t="s">
        <v>3634</v>
      </c>
      <c r="D108" s="186" t="s">
        <v>3550</v>
      </c>
      <c r="E108" s="186" t="s">
        <v>3550</v>
      </c>
      <c r="F108" s="189" t="s">
        <v>3629</v>
      </c>
    </row>
    <row r="109" spans="1:6" ht="12.75">
      <c r="A109" s="186" t="s">
        <v>3767</v>
      </c>
      <c r="B109" s="186" t="s">
        <v>3619</v>
      </c>
      <c r="C109" s="186" t="s">
        <v>3634</v>
      </c>
      <c r="D109" s="186" t="s">
        <v>3550</v>
      </c>
      <c r="E109" s="186" t="s">
        <v>3550</v>
      </c>
      <c r="F109" s="189" t="s">
        <v>3629</v>
      </c>
    </row>
    <row r="110" spans="1:6" ht="12.75">
      <c r="A110" s="186" t="s">
        <v>3768</v>
      </c>
      <c r="B110" s="186" t="s">
        <v>3619</v>
      </c>
      <c r="C110" s="186" t="s">
        <v>3636</v>
      </c>
      <c r="D110" s="186" t="s">
        <v>3550</v>
      </c>
      <c r="E110" s="186" t="s">
        <v>3583</v>
      </c>
      <c r="F110" s="189" t="s">
        <v>3629</v>
      </c>
    </row>
    <row r="111" spans="1:6" ht="12.75">
      <c r="A111" s="186" t="s">
        <v>3769</v>
      </c>
      <c r="B111" s="186" t="s">
        <v>3619</v>
      </c>
      <c r="C111" s="186" t="s">
        <v>3634</v>
      </c>
      <c r="D111" s="186" t="s">
        <v>3550</v>
      </c>
      <c r="E111" s="186" t="s">
        <v>3550</v>
      </c>
      <c r="F111" s="189" t="s">
        <v>3629</v>
      </c>
    </row>
    <row r="112" spans="1:6" ht="12.75">
      <c r="A112" s="186" t="s">
        <v>3770</v>
      </c>
      <c r="B112" s="186" t="s">
        <v>3619</v>
      </c>
      <c r="C112" s="186" t="s">
        <v>3636</v>
      </c>
      <c r="D112" s="186" t="s">
        <v>3550</v>
      </c>
      <c r="E112" s="186" t="s">
        <v>3583</v>
      </c>
      <c r="F112" s="189" t="s">
        <v>3629</v>
      </c>
    </row>
    <row r="113" spans="1:6" ht="12.75">
      <c r="A113" s="186" t="s">
        <v>3771</v>
      </c>
      <c r="B113" s="186" t="s">
        <v>3619</v>
      </c>
      <c r="C113" s="186" t="s">
        <v>3724</v>
      </c>
      <c r="D113" s="186" t="s">
        <v>3583</v>
      </c>
      <c r="E113" s="186" t="s">
        <v>3550</v>
      </c>
      <c r="F113" s="189" t="s">
        <v>3629</v>
      </c>
    </row>
    <row r="114" spans="1:6" ht="12.75">
      <c r="A114" s="186" t="s">
        <v>3772</v>
      </c>
      <c r="B114" s="186" t="s">
        <v>3619</v>
      </c>
      <c r="C114" s="186" t="s">
        <v>3634</v>
      </c>
      <c r="D114" s="186" t="s">
        <v>3550</v>
      </c>
      <c r="E114" s="186" t="s">
        <v>3550</v>
      </c>
      <c r="F114" s="189" t="s">
        <v>3629</v>
      </c>
    </row>
    <row r="115" spans="1:6" ht="12.75">
      <c r="A115" s="186" t="s">
        <v>3773</v>
      </c>
      <c r="B115" s="186" t="s">
        <v>3619</v>
      </c>
      <c r="C115" s="186" t="s">
        <v>3634</v>
      </c>
      <c r="D115" s="186" t="s">
        <v>3550</v>
      </c>
      <c r="E115" s="186" t="s">
        <v>3550</v>
      </c>
      <c r="F115" s="189" t="s">
        <v>3629</v>
      </c>
    </row>
    <row r="116" spans="1:6" ht="12.75">
      <c r="A116" s="186" t="s">
        <v>3730</v>
      </c>
      <c r="B116" s="186" t="s">
        <v>3619</v>
      </c>
      <c r="C116" s="186" t="s">
        <v>3614</v>
      </c>
      <c r="D116" s="186" t="s">
        <v>4080</v>
      </c>
      <c r="E116" s="186" t="s">
        <v>3550</v>
      </c>
      <c r="F116" s="189" t="s">
        <v>3629</v>
      </c>
    </row>
    <row r="117" spans="1:6" ht="12.75">
      <c r="A117" s="186" t="s">
        <v>4113</v>
      </c>
      <c r="B117" s="186" t="s">
        <v>3619</v>
      </c>
      <c r="C117" s="186" t="s">
        <v>3582</v>
      </c>
      <c r="D117" s="186" t="s">
        <v>3550</v>
      </c>
      <c r="E117" s="186" t="s">
        <v>4080</v>
      </c>
      <c r="F117" s="189" t="s">
        <v>4114</v>
      </c>
    </row>
    <row r="118" spans="1:6" ht="12.75">
      <c r="A118" s="186" t="s">
        <v>4115</v>
      </c>
      <c r="B118" s="186" t="s">
        <v>3619</v>
      </c>
      <c r="C118" s="186" t="s">
        <v>3636</v>
      </c>
      <c r="D118" s="186" t="s">
        <v>3550</v>
      </c>
      <c r="E118" s="186" t="s">
        <v>3583</v>
      </c>
      <c r="F118" s="189" t="s">
        <v>3629</v>
      </c>
    </row>
    <row r="119" spans="1:6" ht="12.75">
      <c r="A119" s="186" t="s">
        <v>4116</v>
      </c>
      <c r="B119" s="186" t="s">
        <v>3619</v>
      </c>
      <c r="C119" s="186" t="s">
        <v>3634</v>
      </c>
      <c r="D119" s="186" t="s">
        <v>3550</v>
      </c>
      <c r="E119" s="186" t="s">
        <v>3550</v>
      </c>
      <c r="F119" s="189" t="s">
        <v>3629</v>
      </c>
    </row>
    <row r="120" spans="1:6" ht="12.75">
      <c r="A120" s="186" t="s">
        <v>4117</v>
      </c>
      <c r="B120" s="186" t="s">
        <v>3619</v>
      </c>
      <c r="C120" s="186" t="s">
        <v>3636</v>
      </c>
      <c r="D120" s="186" t="s">
        <v>3550</v>
      </c>
      <c r="E120" s="186" t="s">
        <v>3583</v>
      </c>
      <c r="F120" s="189" t="s">
        <v>3629</v>
      </c>
    </row>
    <row r="121" spans="1:6" ht="12.75">
      <c r="A121" s="186" t="s">
        <v>4118</v>
      </c>
      <c r="B121" s="186" t="s">
        <v>3619</v>
      </c>
      <c r="C121" s="186" t="s">
        <v>3636</v>
      </c>
      <c r="D121" s="186" t="s">
        <v>3550</v>
      </c>
      <c r="E121" s="186" t="s">
        <v>3583</v>
      </c>
      <c r="F121" s="189" t="s">
        <v>3629</v>
      </c>
    </row>
    <row r="122" spans="1:6" ht="12.75">
      <c r="A122" s="186" t="s">
        <v>4119</v>
      </c>
      <c r="B122" s="186" t="s">
        <v>3619</v>
      </c>
      <c r="C122" s="186" t="s">
        <v>3636</v>
      </c>
      <c r="D122" s="186" t="s">
        <v>3550</v>
      </c>
      <c r="E122" s="186" t="s">
        <v>3583</v>
      </c>
      <c r="F122" s="189" t="s">
        <v>3629</v>
      </c>
    </row>
    <row r="123" spans="1:6" ht="12.75">
      <c r="A123" s="186" t="s">
        <v>4120</v>
      </c>
      <c r="B123" s="186" t="s">
        <v>3619</v>
      </c>
      <c r="C123" s="186" t="s">
        <v>3636</v>
      </c>
      <c r="D123" s="186" t="s">
        <v>3550</v>
      </c>
      <c r="E123" s="186" t="s">
        <v>3583</v>
      </c>
      <c r="F123" s="189" t="s">
        <v>3629</v>
      </c>
    </row>
    <row r="124" spans="1:6" ht="12.75">
      <c r="A124" s="186" t="s">
        <v>4121</v>
      </c>
      <c r="B124" s="186" t="s">
        <v>3619</v>
      </c>
      <c r="C124" s="186" t="s">
        <v>3636</v>
      </c>
      <c r="D124" s="186" t="s">
        <v>3550</v>
      </c>
      <c r="E124" s="186" t="s">
        <v>3583</v>
      </c>
      <c r="F124" s="189" t="s">
        <v>3629</v>
      </c>
    </row>
    <row r="125" spans="1:6" ht="12.75">
      <c r="A125" s="186" t="s">
        <v>3732</v>
      </c>
      <c r="B125" s="186" t="s">
        <v>3619</v>
      </c>
      <c r="C125" s="186" t="s">
        <v>3731</v>
      </c>
      <c r="D125" s="186" t="s">
        <v>3628</v>
      </c>
      <c r="E125" s="186" t="s">
        <v>3550</v>
      </c>
      <c r="F125" s="189" t="s">
        <v>3629</v>
      </c>
    </row>
    <row r="126" spans="1:6" ht="12.75">
      <c r="A126" s="186" t="s">
        <v>4122</v>
      </c>
      <c r="B126" s="186" t="s">
        <v>3619</v>
      </c>
      <c r="C126" s="186" t="s">
        <v>3636</v>
      </c>
      <c r="D126" s="186" t="s">
        <v>3550</v>
      </c>
      <c r="E126" s="186" t="s">
        <v>3583</v>
      </c>
      <c r="F126" s="189" t="s">
        <v>3629</v>
      </c>
    </row>
    <row r="127" spans="1:6" ht="12.75">
      <c r="A127" s="186" t="s">
        <v>4123</v>
      </c>
      <c r="B127" s="186" t="s">
        <v>3619</v>
      </c>
      <c r="C127" s="186" t="s">
        <v>3636</v>
      </c>
      <c r="D127" s="186" t="s">
        <v>3550</v>
      </c>
      <c r="E127" s="186" t="s">
        <v>3583</v>
      </c>
      <c r="F127" s="189" t="s">
        <v>3629</v>
      </c>
    </row>
    <row r="128" spans="1:6" ht="12.75">
      <c r="A128" s="186" t="s">
        <v>4124</v>
      </c>
      <c r="B128" s="186" t="s">
        <v>3619</v>
      </c>
      <c r="C128" s="186" t="s">
        <v>3636</v>
      </c>
      <c r="D128" s="186" t="s">
        <v>3550</v>
      </c>
      <c r="E128" s="186" t="s">
        <v>3583</v>
      </c>
      <c r="F128" s="189" t="s">
        <v>3629</v>
      </c>
    </row>
    <row r="129" spans="1:6" ht="12.75">
      <c r="A129" s="186" t="s">
        <v>3733</v>
      </c>
      <c r="B129" s="186" t="s">
        <v>3619</v>
      </c>
      <c r="C129" s="186" t="s">
        <v>3731</v>
      </c>
      <c r="D129" s="186" t="s">
        <v>3628</v>
      </c>
      <c r="E129" s="186" t="s">
        <v>3550</v>
      </c>
      <c r="F129" s="189" t="s">
        <v>3629</v>
      </c>
    </row>
    <row r="130" spans="1:6" ht="12.75">
      <c r="A130" s="186" t="s">
        <v>3734</v>
      </c>
      <c r="B130" s="186" t="s">
        <v>3619</v>
      </c>
      <c r="C130" s="186" t="s">
        <v>3731</v>
      </c>
      <c r="D130" s="186" t="s">
        <v>3628</v>
      </c>
      <c r="E130" s="186" t="s">
        <v>3550</v>
      </c>
      <c r="F130" s="189" t="s">
        <v>3629</v>
      </c>
    </row>
    <row r="131" spans="1:6" ht="12.75">
      <c r="A131" s="186" t="s">
        <v>3735</v>
      </c>
      <c r="B131" s="186" t="s">
        <v>3619</v>
      </c>
      <c r="C131" s="186" t="s">
        <v>3634</v>
      </c>
      <c r="D131" s="186" t="s">
        <v>3550</v>
      </c>
      <c r="E131" s="186" t="s">
        <v>3550</v>
      </c>
      <c r="F131" s="189" t="s">
        <v>3629</v>
      </c>
    </row>
    <row r="132" spans="1:6" ht="12.75">
      <c r="A132" s="186" t="s">
        <v>3776</v>
      </c>
      <c r="B132" s="186" t="s">
        <v>3619</v>
      </c>
      <c r="C132" s="186" t="s">
        <v>3777</v>
      </c>
      <c r="D132" s="186" t="s">
        <v>3583</v>
      </c>
      <c r="E132" s="186" t="s">
        <v>3557</v>
      </c>
      <c r="F132" s="189" t="s">
        <v>3629</v>
      </c>
    </row>
    <row r="133" spans="1:6" ht="12.75">
      <c r="A133" s="186" t="s">
        <v>3788</v>
      </c>
      <c r="B133" s="186" t="s">
        <v>3619</v>
      </c>
      <c r="C133" s="186" t="s">
        <v>3777</v>
      </c>
      <c r="D133" s="186" t="s">
        <v>3583</v>
      </c>
      <c r="E133" s="186" t="s">
        <v>3557</v>
      </c>
      <c r="F133" s="189" t="s">
        <v>3629</v>
      </c>
    </row>
    <row r="134" spans="1:6" ht="12.75">
      <c r="A134" s="186" t="s">
        <v>3789</v>
      </c>
      <c r="B134" s="186" t="s">
        <v>3619</v>
      </c>
      <c r="C134" s="186" t="s">
        <v>3790</v>
      </c>
      <c r="D134" s="186" t="s">
        <v>3557</v>
      </c>
      <c r="E134" s="186" t="s">
        <v>3557</v>
      </c>
      <c r="F134" s="189" t="s">
        <v>3629</v>
      </c>
    </row>
    <row r="135" spans="1:6" ht="12.75">
      <c r="A135" s="186" t="s">
        <v>3791</v>
      </c>
      <c r="B135" s="186" t="s">
        <v>3619</v>
      </c>
      <c r="C135" s="186" t="s">
        <v>3790</v>
      </c>
      <c r="D135" s="186" t="s">
        <v>3557</v>
      </c>
      <c r="E135" s="186" t="s">
        <v>3557</v>
      </c>
      <c r="F135" s="189" t="s">
        <v>3629</v>
      </c>
    </row>
    <row r="136" spans="1:6" ht="12.75">
      <c r="A136" s="186" t="s">
        <v>3792</v>
      </c>
      <c r="B136" s="186" t="s">
        <v>3619</v>
      </c>
      <c r="C136" s="186" t="s">
        <v>4125</v>
      </c>
      <c r="D136" s="186" t="s">
        <v>3583</v>
      </c>
      <c r="E136" s="186" t="s">
        <v>3583</v>
      </c>
      <c r="F136" s="189" t="s">
        <v>3629</v>
      </c>
    </row>
    <row r="137" spans="1:6" ht="12.75">
      <c r="A137" s="186" t="s">
        <v>3793</v>
      </c>
      <c r="B137" s="186" t="s">
        <v>3619</v>
      </c>
      <c r="C137" s="186" t="s">
        <v>3781</v>
      </c>
      <c r="D137" s="186" t="s">
        <v>3628</v>
      </c>
      <c r="E137" s="186" t="s">
        <v>3557</v>
      </c>
      <c r="F137" s="189" t="s">
        <v>3629</v>
      </c>
    </row>
    <row r="138" spans="1:6" ht="12.75">
      <c r="A138" s="186" t="s">
        <v>3796</v>
      </c>
      <c r="B138" s="186" t="s">
        <v>3619</v>
      </c>
      <c r="C138" s="186" t="s">
        <v>3790</v>
      </c>
      <c r="D138" s="186" t="s">
        <v>3557</v>
      </c>
      <c r="E138" s="186" t="s">
        <v>3557</v>
      </c>
      <c r="F138" s="189" t="s">
        <v>3629</v>
      </c>
    </row>
    <row r="139" spans="1:6" ht="12.75">
      <c r="A139" s="186" t="s">
        <v>3797</v>
      </c>
      <c r="B139" s="186" t="s">
        <v>3619</v>
      </c>
      <c r="C139" s="186" t="s">
        <v>3777</v>
      </c>
      <c r="D139" s="186" t="s">
        <v>3583</v>
      </c>
      <c r="E139" s="186" t="s">
        <v>3557</v>
      </c>
      <c r="F139" s="189" t="s">
        <v>3629</v>
      </c>
    </row>
    <row r="140" spans="1:6" ht="12.75">
      <c r="A140" s="186" t="s">
        <v>3798</v>
      </c>
      <c r="B140" s="186" t="s">
        <v>3619</v>
      </c>
      <c r="C140" s="186" t="s">
        <v>3777</v>
      </c>
      <c r="D140" s="186" t="s">
        <v>3583</v>
      </c>
      <c r="E140" s="186" t="s">
        <v>3557</v>
      </c>
      <c r="F140" s="189" t="s">
        <v>3629</v>
      </c>
    </row>
    <row r="141" spans="1:6" ht="12.75">
      <c r="A141" s="186" t="s">
        <v>3778</v>
      </c>
      <c r="B141" s="186" t="s">
        <v>3619</v>
      </c>
      <c r="C141" s="186" t="s">
        <v>3777</v>
      </c>
      <c r="D141" s="186" t="s">
        <v>3583</v>
      </c>
      <c r="E141" s="186" t="s">
        <v>3557</v>
      </c>
      <c r="F141" s="189" t="s">
        <v>3629</v>
      </c>
    </row>
    <row r="142" spans="1:6" ht="12.75">
      <c r="A142" s="186" t="s">
        <v>3799</v>
      </c>
      <c r="B142" s="186" t="s">
        <v>3619</v>
      </c>
      <c r="C142" s="186" t="s">
        <v>3777</v>
      </c>
      <c r="D142" s="186" t="s">
        <v>3583</v>
      </c>
      <c r="E142" s="186" t="s">
        <v>3557</v>
      </c>
      <c r="F142" s="189" t="s">
        <v>3629</v>
      </c>
    </row>
    <row r="143" spans="1:6" ht="12.75">
      <c r="A143" s="186" t="s">
        <v>3800</v>
      </c>
      <c r="B143" s="186" t="s">
        <v>3619</v>
      </c>
      <c r="C143" s="186" t="s">
        <v>3790</v>
      </c>
      <c r="D143" s="186" t="s">
        <v>3557</v>
      </c>
      <c r="E143" s="186" t="s">
        <v>3557</v>
      </c>
      <c r="F143" s="189" t="s">
        <v>3629</v>
      </c>
    </row>
    <row r="144" spans="1:6" ht="12.75">
      <c r="A144" s="186" t="s">
        <v>3801</v>
      </c>
      <c r="B144" s="186" t="s">
        <v>3619</v>
      </c>
      <c r="C144" s="186" t="s">
        <v>3790</v>
      </c>
      <c r="D144" s="186" t="s">
        <v>3557</v>
      </c>
      <c r="E144" s="186" t="s">
        <v>3557</v>
      </c>
      <c r="F144" s="189" t="s">
        <v>3629</v>
      </c>
    </row>
    <row r="145" spans="1:6" ht="12.75">
      <c r="A145" s="186" t="s">
        <v>3802</v>
      </c>
      <c r="B145" s="186" t="s">
        <v>3619</v>
      </c>
      <c r="C145" s="186" t="s">
        <v>3790</v>
      </c>
      <c r="D145" s="186" t="s">
        <v>3557</v>
      </c>
      <c r="E145" s="186" t="s">
        <v>3557</v>
      </c>
      <c r="F145" s="189" t="s">
        <v>3629</v>
      </c>
    </row>
    <row r="146" spans="1:6" ht="12.75">
      <c r="A146" s="186" t="s">
        <v>3806</v>
      </c>
      <c r="B146" s="186" t="s">
        <v>3619</v>
      </c>
      <c r="C146" s="186" t="s">
        <v>4126</v>
      </c>
      <c r="D146" s="186" t="s">
        <v>3727</v>
      </c>
      <c r="E146" s="186" t="s">
        <v>3557</v>
      </c>
      <c r="F146" s="189" t="s">
        <v>3629</v>
      </c>
    </row>
    <row r="147" spans="1:6" ht="12.75">
      <c r="A147" s="186" t="s">
        <v>3807</v>
      </c>
      <c r="B147" s="186" t="s">
        <v>3619</v>
      </c>
      <c r="C147" s="186" t="s">
        <v>3790</v>
      </c>
      <c r="D147" s="186" t="s">
        <v>3557</v>
      </c>
      <c r="E147" s="186" t="s">
        <v>3557</v>
      </c>
      <c r="F147" s="189" t="s">
        <v>3629</v>
      </c>
    </row>
    <row r="148" spans="1:6" ht="12.75">
      <c r="A148" s="186" t="s">
        <v>3809</v>
      </c>
      <c r="B148" s="186" t="s">
        <v>3619</v>
      </c>
      <c r="C148" s="186" t="s">
        <v>3790</v>
      </c>
      <c r="D148" s="186" t="s">
        <v>3557</v>
      </c>
      <c r="E148" s="186" t="s">
        <v>3557</v>
      </c>
      <c r="F148" s="189" t="s">
        <v>3629</v>
      </c>
    </row>
    <row r="149" spans="1:6" ht="12.75">
      <c r="A149" s="186" t="s">
        <v>4127</v>
      </c>
      <c r="B149" s="186" t="s">
        <v>3619</v>
      </c>
      <c r="C149" s="186" t="s">
        <v>3960</v>
      </c>
      <c r="D149" s="186" t="s">
        <v>4081</v>
      </c>
      <c r="E149" s="186" t="s">
        <v>4081</v>
      </c>
      <c r="F149" s="189" t="s">
        <v>3629</v>
      </c>
    </row>
    <row r="150" spans="1:6" ht="12.75">
      <c r="A150" s="186" t="s">
        <v>3780</v>
      </c>
      <c r="B150" s="186" t="s">
        <v>3619</v>
      </c>
      <c r="C150" s="186" t="s">
        <v>3777</v>
      </c>
      <c r="D150" s="186" t="s">
        <v>3583</v>
      </c>
      <c r="E150" s="186" t="s">
        <v>3557</v>
      </c>
      <c r="F150" s="189" t="s">
        <v>3629</v>
      </c>
    </row>
    <row r="151" spans="1:6" ht="12.75">
      <c r="A151" s="186" t="s">
        <v>3810</v>
      </c>
      <c r="B151" s="186" t="s">
        <v>3619</v>
      </c>
      <c r="C151" s="186" t="s">
        <v>3777</v>
      </c>
      <c r="D151" s="186" t="s">
        <v>3583</v>
      </c>
      <c r="E151" s="186" t="s">
        <v>3557</v>
      </c>
      <c r="F151" s="189" t="s">
        <v>3629</v>
      </c>
    </row>
    <row r="152" spans="1:6" ht="12.75">
      <c r="A152" s="186" t="s">
        <v>3811</v>
      </c>
      <c r="B152" s="186" t="s">
        <v>3619</v>
      </c>
      <c r="C152" s="186" t="s">
        <v>3777</v>
      </c>
      <c r="D152" s="186" t="s">
        <v>3583</v>
      </c>
      <c r="E152" s="186" t="s">
        <v>3557</v>
      </c>
      <c r="F152" s="189" t="s">
        <v>3629</v>
      </c>
    </row>
    <row r="153" spans="1:6" ht="12.75">
      <c r="A153" s="186" t="s">
        <v>3812</v>
      </c>
      <c r="B153" s="186" t="s">
        <v>3619</v>
      </c>
      <c r="C153" s="186" t="s">
        <v>3777</v>
      </c>
      <c r="D153" s="186" t="s">
        <v>3583</v>
      </c>
      <c r="E153" s="186" t="s">
        <v>3557</v>
      </c>
      <c r="F153" s="189" t="s">
        <v>3629</v>
      </c>
    </row>
    <row r="154" spans="1:6" ht="12.75">
      <c r="A154" s="186" t="s">
        <v>3813</v>
      </c>
      <c r="B154" s="186" t="s">
        <v>3619</v>
      </c>
      <c r="C154" s="186" t="s">
        <v>3777</v>
      </c>
      <c r="D154" s="186" t="s">
        <v>3583</v>
      </c>
      <c r="E154" s="186" t="s">
        <v>3557</v>
      </c>
      <c r="F154" s="189" t="s">
        <v>3629</v>
      </c>
    </row>
    <row r="155" spans="1:6" ht="12.75">
      <c r="A155" s="186" t="s">
        <v>3814</v>
      </c>
      <c r="B155" s="186" t="s">
        <v>3619</v>
      </c>
      <c r="C155" s="186" t="s">
        <v>3777</v>
      </c>
      <c r="D155" s="186" t="s">
        <v>3583</v>
      </c>
      <c r="E155" s="186" t="s">
        <v>3557</v>
      </c>
      <c r="F155" s="189" t="s">
        <v>3629</v>
      </c>
    </row>
    <row r="156" spans="1:6" ht="12.75">
      <c r="A156" s="186" t="s">
        <v>3815</v>
      </c>
      <c r="B156" s="186" t="s">
        <v>3619</v>
      </c>
      <c r="C156" s="186" t="s">
        <v>3777</v>
      </c>
      <c r="D156" s="186" t="s">
        <v>3583</v>
      </c>
      <c r="E156" s="186" t="s">
        <v>3557</v>
      </c>
      <c r="F156" s="189" t="s">
        <v>3629</v>
      </c>
    </row>
    <row r="157" spans="1:6" ht="12.75">
      <c r="A157" s="186" t="s">
        <v>3816</v>
      </c>
      <c r="B157" s="186" t="s">
        <v>3619</v>
      </c>
      <c r="C157" s="186" t="s">
        <v>3777</v>
      </c>
      <c r="D157" s="186" t="s">
        <v>3583</v>
      </c>
      <c r="E157" s="186" t="s">
        <v>3557</v>
      </c>
      <c r="F157" s="189" t="s">
        <v>3629</v>
      </c>
    </row>
    <row r="158" spans="1:6" ht="12.75">
      <c r="A158" s="186" t="s">
        <v>3817</v>
      </c>
      <c r="B158" s="186" t="s">
        <v>3619</v>
      </c>
      <c r="C158" s="186" t="s">
        <v>3777</v>
      </c>
      <c r="D158" s="186" t="s">
        <v>3583</v>
      </c>
      <c r="E158" s="186" t="s">
        <v>3557</v>
      </c>
      <c r="F158" s="189" t="s">
        <v>3629</v>
      </c>
    </row>
    <row r="159" spans="1:6" ht="12.75">
      <c r="A159" s="186" t="s">
        <v>3818</v>
      </c>
      <c r="B159" s="186" t="s">
        <v>3619</v>
      </c>
      <c r="C159" s="186" t="s">
        <v>3777</v>
      </c>
      <c r="D159" s="186" t="s">
        <v>3583</v>
      </c>
      <c r="E159" s="186" t="s">
        <v>3557</v>
      </c>
      <c r="F159" s="189" t="s">
        <v>3629</v>
      </c>
    </row>
    <row r="160" spans="1:6" ht="12.75">
      <c r="A160" s="186" t="s">
        <v>3782</v>
      </c>
      <c r="B160" s="186" t="s">
        <v>3619</v>
      </c>
      <c r="C160" s="186" t="s">
        <v>3777</v>
      </c>
      <c r="D160" s="186" t="s">
        <v>3583</v>
      </c>
      <c r="E160" s="186" t="s">
        <v>3557</v>
      </c>
      <c r="F160" s="189" t="s">
        <v>3629</v>
      </c>
    </row>
    <row r="161" spans="1:6" ht="12.75">
      <c r="A161" s="186" t="s">
        <v>4128</v>
      </c>
      <c r="B161" s="186" t="s">
        <v>3619</v>
      </c>
      <c r="C161" s="186" t="s">
        <v>3777</v>
      </c>
      <c r="D161" s="186" t="s">
        <v>3583</v>
      </c>
      <c r="E161" s="186" t="s">
        <v>3557</v>
      </c>
      <c r="F161" s="189" t="s">
        <v>3629</v>
      </c>
    </row>
    <row r="162" spans="1:6" ht="12.75">
      <c r="A162" s="186" t="s">
        <v>4129</v>
      </c>
      <c r="B162" s="186" t="s">
        <v>3619</v>
      </c>
      <c r="C162" s="186" t="s">
        <v>3777</v>
      </c>
      <c r="D162" s="186" t="s">
        <v>3583</v>
      </c>
      <c r="E162" s="186" t="s">
        <v>3557</v>
      </c>
      <c r="F162" s="189" t="s">
        <v>3629</v>
      </c>
    </row>
    <row r="163" spans="1:6" ht="12.75">
      <c r="A163" s="186" t="s">
        <v>3819</v>
      </c>
      <c r="B163" s="186" t="s">
        <v>3619</v>
      </c>
      <c r="C163" s="186" t="s">
        <v>3790</v>
      </c>
      <c r="D163" s="186" t="s">
        <v>3557</v>
      </c>
      <c r="E163" s="186" t="s">
        <v>3557</v>
      </c>
      <c r="F163" s="189" t="s">
        <v>3629</v>
      </c>
    </row>
    <row r="164" spans="1:6" ht="12.75">
      <c r="A164" s="186" t="s">
        <v>3783</v>
      </c>
      <c r="B164" s="186" t="s">
        <v>3619</v>
      </c>
      <c r="C164" s="186" t="s">
        <v>3777</v>
      </c>
      <c r="D164" s="186" t="s">
        <v>3583</v>
      </c>
      <c r="E164" s="186" t="s">
        <v>3557</v>
      </c>
      <c r="F164" s="189" t="s">
        <v>3629</v>
      </c>
    </row>
    <row r="165" spans="1:6" ht="12.75">
      <c r="A165" s="186" t="s">
        <v>3820</v>
      </c>
      <c r="B165" s="186" t="s">
        <v>3619</v>
      </c>
      <c r="C165" s="186" t="s">
        <v>3790</v>
      </c>
      <c r="D165" s="186" t="s">
        <v>3557</v>
      </c>
      <c r="E165" s="186" t="s">
        <v>3557</v>
      </c>
      <c r="F165" s="189" t="s">
        <v>3629</v>
      </c>
    </row>
    <row r="166" spans="1:6" ht="12.75">
      <c r="A166" s="186" t="s">
        <v>3821</v>
      </c>
      <c r="B166" s="186" t="s">
        <v>3619</v>
      </c>
      <c r="C166" s="186" t="s">
        <v>3790</v>
      </c>
      <c r="D166" s="186" t="s">
        <v>3557</v>
      </c>
      <c r="E166" s="186" t="s">
        <v>3557</v>
      </c>
      <c r="F166" s="189" t="s">
        <v>3629</v>
      </c>
    </row>
    <row r="167" spans="1:6" ht="12.75">
      <c r="A167" s="186" t="s">
        <v>3784</v>
      </c>
      <c r="B167" s="186" t="s">
        <v>3619</v>
      </c>
      <c r="C167" s="186" t="s">
        <v>3777</v>
      </c>
      <c r="D167" s="186" t="s">
        <v>3583</v>
      </c>
      <c r="E167" s="186" t="s">
        <v>3557</v>
      </c>
      <c r="F167" s="189" t="s">
        <v>3629</v>
      </c>
    </row>
    <row r="168" spans="1:6" ht="12.75">
      <c r="A168" s="186" t="s">
        <v>3785</v>
      </c>
      <c r="B168" s="186" t="s">
        <v>3619</v>
      </c>
      <c r="C168" s="186" t="s">
        <v>3777</v>
      </c>
      <c r="D168" s="186" t="s">
        <v>3583</v>
      </c>
      <c r="E168" s="186" t="s">
        <v>3557</v>
      </c>
      <c r="F168" s="189" t="s">
        <v>3629</v>
      </c>
    </row>
    <row r="169" spans="1:6" ht="12.75">
      <c r="A169" s="186" t="s">
        <v>3786</v>
      </c>
      <c r="B169" s="186" t="s">
        <v>3619</v>
      </c>
      <c r="C169" s="186" t="s">
        <v>3777</v>
      </c>
      <c r="D169" s="186" t="s">
        <v>3583</v>
      </c>
      <c r="E169" s="186" t="s">
        <v>3557</v>
      </c>
      <c r="F169" s="189" t="s">
        <v>3629</v>
      </c>
    </row>
    <row r="170" spans="1:6" ht="12.75">
      <c r="A170" s="186" t="s">
        <v>3787</v>
      </c>
      <c r="B170" s="186" t="s">
        <v>3619</v>
      </c>
      <c r="C170" s="186" t="s">
        <v>3777</v>
      </c>
      <c r="D170" s="186" t="s">
        <v>3583</v>
      </c>
      <c r="E170" s="186" t="s">
        <v>3557</v>
      </c>
      <c r="F170" s="189" t="s">
        <v>3629</v>
      </c>
    </row>
    <row r="171" spans="1:6" ht="12.75">
      <c r="A171" s="186" t="s">
        <v>3822</v>
      </c>
      <c r="B171" s="186" t="s">
        <v>3619</v>
      </c>
      <c r="C171" s="186" t="s">
        <v>4130</v>
      </c>
      <c r="D171" s="186" t="s">
        <v>3554</v>
      </c>
      <c r="E171" s="186" t="s">
        <v>3554</v>
      </c>
      <c r="F171" s="189" t="s">
        <v>3629</v>
      </c>
    </row>
    <row r="172" spans="1:6" ht="12.75">
      <c r="A172" s="186" t="s">
        <v>3835</v>
      </c>
      <c r="B172" s="186" t="s">
        <v>3619</v>
      </c>
      <c r="C172" s="186" t="s">
        <v>4131</v>
      </c>
      <c r="D172" s="186" t="s">
        <v>3554</v>
      </c>
      <c r="E172" s="186" t="s">
        <v>3554</v>
      </c>
      <c r="F172" s="189" t="s">
        <v>3629</v>
      </c>
    </row>
    <row r="173" spans="1:6" ht="12.75">
      <c r="A173" s="186" t="s">
        <v>3836</v>
      </c>
      <c r="B173" s="186" t="s">
        <v>3619</v>
      </c>
      <c r="C173" s="186" t="s">
        <v>4131</v>
      </c>
      <c r="D173" s="186" t="s">
        <v>3554</v>
      </c>
      <c r="E173" s="186" t="s">
        <v>3554</v>
      </c>
      <c r="F173" s="189" t="s">
        <v>3629</v>
      </c>
    </row>
    <row r="174" spans="1:6" ht="12.75">
      <c r="A174" s="186" t="s">
        <v>3837</v>
      </c>
      <c r="B174" s="186" t="s">
        <v>3619</v>
      </c>
      <c r="C174" s="186" t="s">
        <v>4131</v>
      </c>
      <c r="D174" s="186" t="s">
        <v>3554</v>
      </c>
      <c r="E174" s="186" t="s">
        <v>3554</v>
      </c>
      <c r="F174" s="189" t="s">
        <v>3629</v>
      </c>
    </row>
    <row r="175" spans="1:6" ht="12.75">
      <c r="A175" s="186" t="s">
        <v>3838</v>
      </c>
      <c r="B175" s="186" t="s">
        <v>3619</v>
      </c>
      <c r="C175" s="186" t="s">
        <v>4131</v>
      </c>
      <c r="D175" s="186" t="s">
        <v>3554</v>
      </c>
      <c r="E175" s="186" t="s">
        <v>3554</v>
      </c>
      <c r="F175" s="189" t="s">
        <v>3629</v>
      </c>
    </row>
    <row r="176" spans="1:6" ht="12.75">
      <c r="A176" s="186" t="s">
        <v>3824</v>
      </c>
      <c r="B176" s="186" t="s">
        <v>3619</v>
      </c>
      <c r="C176" s="186" t="s">
        <v>4130</v>
      </c>
      <c r="D176" s="186" t="s">
        <v>3554</v>
      </c>
      <c r="E176" s="186" t="s">
        <v>3554</v>
      </c>
      <c r="F176" s="189" t="s">
        <v>3629</v>
      </c>
    </row>
    <row r="177" spans="1:6" ht="12.75">
      <c r="A177" s="186" t="s">
        <v>3844</v>
      </c>
      <c r="B177" s="186" t="s">
        <v>3619</v>
      </c>
      <c r="C177" s="186" t="s">
        <v>4131</v>
      </c>
      <c r="D177" s="186" t="s">
        <v>3554</v>
      </c>
      <c r="E177" s="186" t="s">
        <v>3554</v>
      </c>
      <c r="F177" s="189" t="s">
        <v>3629</v>
      </c>
    </row>
    <row r="178" spans="1:6" ht="12.75">
      <c r="A178" s="186" t="s">
        <v>3845</v>
      </c>
      <c r="B178" s="186" t="s">
        <v>3619</v>
      </c>
      <c r="C178" s="186" t="s">
        <v>4132</v>
      </c>
      <c r="D178" s="186" t="s">
        <v>3571</v>
      </c>
      <c r="E178" s="186" t="s">
        <v>3554</v>
      </c>
      <c r="F178" s="189" t="s">
        <v>3629</v>
      </c>
    </row>
    <row r="179" spans="1:6" ht="12.75">
      <c r="A179" s="186" t="s">
        <v>3847</v>
      </c>
      <c r="B179" s="186" t="s">
        <v>3619</v>
      </c>
      <c r="C179" s="186" t="s">
        <v>3828</v>
      </c>
      <c r="D179" s="186" t="s">
        <v>3554</v>
      </c>
      <c r="E179" s="186" t="s">
        <v>3554</v>
      </c>
      <c r="F179" s="189" t="s">
        <v>3629</v>
      </c>
    </row>
    <row r="180" spans="1:6" ht="12.75">
      <c r="A180" s="186" t="s">
        <v>4133</v>
      </c>
      <c r="B180" s="186" t="s">
        <v>3619</v>
      </c>
      <c r="C180" s="186" t="s">
        <v>4134</v>
      </c>
      <c r="D180" s="186" t="s">
        <v>3554</v>
      </c>
      <c r="E180" s="186" t="s">
        <v>3554</v>
      </c>
      <c r="F180" s="189" t="s">
        <v>3629</v>
      </c>
    </row>
    <row r="181" spans="1:6" ht="12.75">
      <c r="A181" s="186" t="s">
        <v>4135</v>
      </c>
      <c r="B181" s="186" t="s">
        <v>3619</v>
      </c>
      <c r="C181" s="186" t="s">
        <v>4134</v>
      </c>
      <c r="D181" s="186" t="s">
        <v>3554</v>
      </c>
      <c r="E181" s="186" t="s">
        <v>3554</v>
      </c>
      <c r="F181" s="189" t="s">
        <v>3629</v>
      </c>
    </row>
    <row r="182" spans="1:6" ht="12.75">
      <c r="A182" s="186" t="s">
        <v>4136</v>
      </c>
      <c r="B182" s="186" t="s">
        <v>3619</v>
      </c>
      <c r="C182" s="186" t="s">
        <v>4134</v>
      </c>
      <c r="D182" s="186" t="s">
        <v>3554</v>
      </c>
      <c r="E182" s="186" t="s">
        <v>3554</v>
      </c>
      <c r="F182" s="189" t="s">
        <v>3629</v>
      </c>
    </row>
    <row r="183" spans="1:6" ht="12.75">
      <c r="A183" s="186" t="s">
        <v>4137</v>
      </c>
      <c r="B183" s="186" t="s">
        <v>3619</v>
      </c>
      <c r="C183" s="186" t="s">
        <v>4131</v>
      </c>
      <c r="D183" s="186" t="s">
        <v>3554</v>
      </c>
      <c r="E183" s="186" t="s">
        <v>3554</v>
      </c>
      <c r="F183" s="189" t="s">
        <v>3629</v>
      </c>
    </row>
    <row r="184" spans="1:6" ht="12.75">
      <c r="A184" s="186" t="s">
        <v>4138</v>
      </c>
      <c r="B184" s="186" t="s">
        <v>3619</v>
      </c>
      <c r="C184" s="186" t="s">
        <v>4131</v>
      </c>
      <c r="D184" s="186" t="s">
        <v>3554</v>
      </c>
      <c r="E184" s="186" t="s">
        <v>3554</v>
      </c>
      <c r="F184" s="189" t="s">
        <v>3629</v>
      </c>
    </row>
    <row r="185" spans="1:6" ht="12.75">
      <c r="A185" s="186" t="s">
        <v>4139</v>
      </c>
      <c r="B185" s="186" t="s">
        <v>3619</v>
      </c>
      <c r="C185" s="186" t="s">
        <v>4131</v>
      </c>
      <c r="D185" s="186" t="s">
        <v>3554</v>
      </c>
      <c r="E185" s="186" t="s">
        <v>3554</v>
      </c>
      <c r="F185" s="189" t="s">
        <v>3629</v>
      </c>
    </row>
    <row r="186" spans="1:6" ht="12.75">
      <c r="A186" s="186" t="s">
        <v>3825</v>
      </c>
      <c r="B186" s="186" t="s">
        <v>3619</v>
      </c>
      <c r="C186" s="186" t="s">
        <v>4130</v>
      </c>
      <c r="D186" s="186" t="s">
        <v>3554</v>
      </c>
      <c r="E186" s="186" t="s">
        <v>3554</v>
      </c>
      <c r="F186" s="189" t="s">
        <v>3629</v>
      </c>
    </row>
    <row r="187" spans="1:6" ht="12.75">
      <c r="A187" s="186" t="s">
        <v>4140</v>
      </c>
      <c r="B187" s="186" t="s">
        <v>3619</v>
      </c>
      <c r="C187" s="186" t="s">
        <v>4134</v>
      </c>
      <c r="D187" s="186" t="s">
        <v>3554</v>
      </c>
      <c r="E187" s="186" t="s">
        <v>3554</v>
      </c>
      <c r="F187" s="189" t="s">
        <v>3629</v>
      </c>
    </row>
    <row r="188" spans="1:6" ht="12.75">
      <c r="A188" s="186" t="s">
        <v>4141</v>
      </c>
      <c r="B188" s="186" t="s">
        <v>3619</v>
      </c>
      <c r="C188" s="186" t="s">
        <v>4131</v>
      </c>
      <c r="D188" s="186" t="s">
        <v>3554</v>
      </c>
      <c r="E188" s="186" t="s">
        <v>3554</v>
      </c>
      <c r="F188" s="189" t="s">
        <v>3629</v>
      </c>
    </row>
    <row r="189" spans="1:6" ht="12.75">
      <c r="A189" s="186" t="s">
        <v>4142</v>
      </c>
      <c r="B189" s="186" t="s">
        <v>3619</v>
      </c>
      <c r="C189" s="186" t="s">
        <v>4131</v>
      </c>
      <c r="D189" s="186" t="s">
        <v>3554</v>
      </c>
      <c r="E189" s="186" t="s">
        <v>3554</v>
      </c>
      <c r="F189" s="189" t="s">
        <v>3629</v>
      </c>
    </row>
    <row r="190" spans="1:6" ht="12.75">
      <c r="A190" s="186" t="s">
        <v>4143</v>
      </c>
      <c r="B190" s="186" t="s">
        <v>3619</v>
      </c>
      <c r="C190" s="186" t="s">
        <v>4131</v>
      </c>
      <c r="D190" s="186" t="s">
        <v>3554</v>
      </c>
      <c r="E190" s="186" t="s">
        <v>3554</v>
      </c>
      <c r="F190" s="189" t="s">
        <v>3629</v>
      </c>
    </row>
    <row r="191" spans="1:6" ht="12.75">
      <c r="A191" s="186" t="s">
        <v>4144</v>
      </c>
      <c r="B191" s="186" t="s">
        <v>3619</v>
      </c>
      <c r="C191" s="186" t="s">
        <v>4131</v>
      </c>
      <c r="D191" s="186" t="s">
        <v>3554</v>
      </c>
      <c r="E191" s="186" t="s">
        <v>3554</v>
      </c>
      <c r="F191" s="189" t="s">
        <v>3629</v>
      </c>
    </row>
    <row r="192" spans="1:6" ht="12.75">
      <c r="A192" s="186" t="s">
        <v>4145</v>
      </c>
      <c r="B192" s="186" t="s">
        <v>3619</v>
      </c>
      <c r="C192" s="186" t="s">
        <v>4131</v>
      </c>
      <c r="D192" s="186" t="s">
        <v>3554</v>
      </c>
      <c r="E192" s="186" t="s">
        <v>3554</v>
      </c>
      <c r="F192" s="189" t="s">
        <v>3629</v>
      </c>
    </row>
    <row r="193" spans="1:6" ht="12.75">
      <c r="A193" s="186" t="s">
        <v>4146</v>
      </c>
      <c r="B193" s="186" t="s">
        <v>3619</v>
      </c>
      <c r="C193" s="186" t="s">
        <v>4134</v>
      </c>
      <c r="D193" s="186" t="s">
        <v>3554</v>
      </c>
      <c r="E193" s="186" t="s">
        <v>3554</v>
      </c>
      <c r="F193" s="189" t="s">
        <v>3629</v>
      </c>
    </row>
    <row r="194" spans="1:6" ht="12.75">
      <c r="A194" s="186" t="s">
        <v>4147</v>
      </c>
      <c r="B194" s="186" t="s">
        <v>3619</v>
      </c>
      <c r="C194" s="186" t="s">
        <v>4134</v>
      </c>
      <c r="D194" s="186" t="s">
        <v>3554</v>
      </c>
      <c r="E194" s="186" t="s">
        <v>3554</v>
      </c>
      <c r="F194" s="189" t="s">
        <v>3629</v>
      </c>
    </row>
    <row r="195" spans="1:6" ht="12.75">
      <c r="A195" s="186" t="s">
        <v>3826</v>
      </c>
      <c r="B195" s="186" t="s">
        <v>3619</v>
      </c>
      <c r="C195" s="186" t="s">
        <v>4130</v>
      </c>
      <c r="D195" s="186" t="s">
        <v>3554</v>
      </c>
      <c r="E195" s="186" t="s">
        <v>3554</v>
      </c>
      <c r="F195" s="189" t="s">
        <v>3629</v>
      </c>
    </row>
    <row r="196" spans="1:6" ht="12.75">
      <c r="A196" s="186" t="s">
        <v>4148</v>
      </c>
      <c r="B196" s="186" t="s">
        <v>3619</v>
      </c>
      <c r="C196" s="186" t="s">
        <v>4131</v>
      </c>
      <c r="D196" s="186" t="s">
        <v>3554</v>
      </c>
      <c r="E196" s="186" t="s">
        <v>3554</v>
      </c>
      <c r="F196" s="189" t="s">
        <v>3629</v>
      </c>
    </row>
    <row r="197" spans="1:6" ht="12.75">
      <c r="A197" s="186" t="s">
        <v>4149</v>
      </c>
      <c r="B197" s="186" t="s">
        <v>3619</v>
      </c>
      <c r="C197" s="186" t="s">
        <v>4131</v>
      </c>
      <c r="D197" s="186" t="s">
        <v>3554</v>
      </c>
      <c r="E197" s="186" t="s">
        <v>3554</v>
      </c>
      <c r="F197" s="189" t="s">
        <v>3629</v>
      </c>
    </row>
    <row r="198" spans="1:6" ht="12.75">
      <c r="A198" s="186" t="s">
        <v>4150</v>
      </c>
      <c r="B198" s="186" t="s">
        <v>3619</v>
      </c>
      <c r="C198" s="186" t="s">
        <v>4134</v>
      </c>
      <c r="D198" s="186" t="s">
        <v>3554</v>
      </c>
      <c r="E198" s="186" t="s">
        <v>3554</v>
      </c>
      <c r="F198" s="189" t="s">
        <v>3629</v>
      </c>
    </row>
    <row r="199" spans="1:6" ht="12.75">
      <c r="A199" s="186" t="s">
        <v>4151</v>
      </c>
      <c r="B199" s="186" t="s">
        <v>3619</v>
      </c>
      <c r="C199" s="186" t="s">
        <v>4134</v>
      </c>
      <c r="D199" s="186" t="s">
        <v>3554</v>
      </c>
      <c r="E199" s="186" t="s">
        <v>3554</v>
      </c>
      <c r="F199" s="189" t="s">
        <v>3629</v>
      </c>
    </row>
    <row r="200" spans="1:6" ht="12.75">
      <c r="A200" s="186" t="s">
        <v>4152</v>
      </c>
      <c r="B200" s="186" t="s">
        <v>3619</v>
      </c>
      <c r="C200" s="186" t="s">
        <v>4134</v>
      </c>
      <c r="D200" s="186" t="s">
        <v>3554</v>
      </c>
      <c r="E200" s="186" t="s">
        <v>3554</v>
      </c>
      <c r="F200" s="189" t="s">
        <v>3629</v>
      </c>
    </row>
    <row r="201" spans="1:6" ht="12.75">
      <c r="A201" s="186" t="s">
        <v>4153</v>
      </c>
      <c r="B201" s="186" t="s">
        <v>3619</v>
      </c>
      <c r="C201" s="186" t="s">
        <v>4134</v>
      </c>
      <c r="D201" s="186" t="s">
        <v>3554</v>
      </c>
      <c r="E201" s="186" t="s">
        <v>3554</v>
      </c>
      <c r="F201" s="189" t="s">
        <v>3629</v>
      </c>
    </row>
    <row r="202" spans="1:6" ht="12.75">
      <c r="A202" s="186" t="s">
        <v>4154</v>
      </c>
      <c r="B202" s="186" t="s">
        <v>3619</v>
      </c>
      <c r="C202" s="186" t="s">
        <v>4134</v>
      </c>
      <c r="D202" s="186" t="s">
        <v>3554</v>
      </c>
      <c r="E202" s="186" t="s">
        <v>3554</v>
      </c>
      <c r="F202" s="189" t="s">
        <v>3629</v>
      </c>
    </row>
    <row r="203" spans="1:6" ht="12.75">
      <c r="A203" s="186" t="s">
        <v>4155</v>
      </c>
      <c r="B203" s="186" t="s">
        <v>3619</v>
      </c>
      <c r="C203" s="186" t="s">
        <v>4134</v>
      </c>
      <c r="D203" s="186" t="s">
        <v>3554</v>
      </c>
      <c r="E203" s="186" t="s">
        <v>3554</v>
      </c>
      <c r="F203" s="189" t="s">
        <v>3629</v>
      </c>
    </row>
    <row r="204" spans="1:6" ht="12.75">
      <c r="A204" s="186" t="s">
        <v>3827</v>
      </c>
      <c r="B204" s="186" t="s">
        <v>3619</v>
      </c>
      <c r="C204" s="186" t="s">
        <v>4130</v>
      </c>
      <c r="D204" s="186" t="s">
        <v>3554</v>
      </c>
      <c r="E204" s="186" t="s">
        <v>3554</v>
      </c>
      <c r="F204" s="189" t="s">
        <v>3629</v>
      </c>
    </row>
    <row r="205" spans="1:6" ht="12.75">
      <c r="A205" s="186" t="s">
        <v>4156</v>
      </c>
      <c r="B205" s="186" t="s">
        <v>3619</v>
      </c>
      <c r="C205" s="186" t="s">
        <v>4134</v>
      </c>
      <c r="D205" s="186" t="s">
        <v>3554</v>
      </c>
      <c r="E205" s="186" t="s">
        <v>3554</v>
      </c>
      <c r="F205" s="189" t="s">
        <v>3629</v>
      </c>
    </row>
    <row r="206" spans="1:6" ht="12.75">
      <c r="A206" s="186" t="s">
        <v>4157</v>
      </c>
      <c r="B206" s="186" t="s">
        <v>3619</v>
      </c>
      <c r="C206" s="186" t="s">
        <v>4134</v>
      </c>
      <c r="D206" s="186" t="s">
        <v>3554</v>
      </c>
      <c r="E206" s="186" t="s">
        <v>3554</v>
      </c>
      <c r="F206" s="189" t="s">
        <v>3629</v>
      </c>
    </row>
    <row r="207" spans="1:6" ht="12.75">
      <c r="A207" s="186" t="s">
        <v>4158</v>
      </c>
      <c r="B207" s="186" t="s">
        <v>3619</v>
      </c>
      <c r="C207" s="186" t="s">
        <v>4134</v>
      </c>
      <c r="D207" s="186" t="s">
        <v>3554</v>
      </c>
      <c r="E207" s="186" t="s">
        <v>3554</v>
      </c>
      <c r="F207" s="189" t="s">
        <v>3629</v>
      </c>
    </row>
    <row r="208" spans="1:6" ht="12.75">
      <c r="A208" s="186" t="s">
        <v>4159</v>
      </c>
      <c r="B208" s="186" t="s">
        <v>3619</v>
      </c>
      <c r="C208" s="186" t="s">
        <v>4131</v>
      </c>
      <c r="D208" s="186" t="s">
        <v>3554</v>
      </c>
      <c r="E208" s="186" t="s">
        <v>3554</v>
      </c>
      <c r="F208" s="189" t="s">
        <v>3629</v>
      </c>
    </row>
    <row r="209" spans="1:6" ht="12.75">
      <c r="A209" s="186" t="s">
        <v>4160</v>
      </c>
      <c r="B209" s="186" t="s">
        <v>3619</v>
      </c>
      <c r="C209" s="186" t="s">
        <v>4131</v>
      </c>
      <c r="D209" s="186" t="s">
        <v>3554</v>
      </c>
      <c r="E209" s="186" t="s">
        <v>3554</v>
      </c>
      <c r="F209" s="189" t="s">
        <v>3629</v>
      </c>
    </row>
    <row r="210" spans="1:6" ht="12.75">
      <c r="A210" s="186" t="s">
        <v>4161</v>
      </c>
      <c r="B210" s="186" t="s">
        <v>3619</v>
      </c>
      <c r="C210" s="186" t="s">
        <v>4131</v>
      </c>
      <c r="D210" s="186" t="s">
        <v>3554</v>
      </c>
      <c r="E210" s="186" t="s">
        <v>3554</v>
      </c>
      <c r="F210" s="189" t="s">
        <v>3629</v>
      </c>
    </row>
    <row r="211" spans="1:6" ht="12.75">
      <c r="A211" s="186" t="s">
        <v>4162</v>
      </c>
      <c r="B211" s="186" t="s">
        <v>3619</v>
      </c>
      <c r="C211" s="186" t="s">
        <v>4131</v>
      </c>
      <c r="D211" s="186" t="s">
        <v>3554</v>
      </c>
      <c r="E211" s="186" t="s">
        <v>3554</v>
      </c>
      <c r="F211" s="189" t="s">
        <v>3629</v>
      </c>
    </row>
    <row r="212" spans="1:6" ht="12.75">
      <c r="A212" s="186" t="s">
        <v>4163</v>
      </c>
      <c r="B212" s="186" t="s">
        <v>3619</v>
      </c>
      <c r="C212" s="186" t="s">
        <v>4131</v>
      </c>
      <c r="D212" s="186" t="s">
        <v>3554</v>
      </c>
      <c r="E212" s="186" t="s">
        <v>3554</v>
      </c>
      <c r="F212" s="189" t="s">
        <v>3629</v>
      </c>
    </row>
    <row r="213" spans="1:6" ht="12.75">
      <c r="A213" s="186" t="s">
        <v>3829</v>
      </c>
      <c r="B213" s="186" t="s">
        <v>3619</v>
      </c>
      <c r="C213" s="186" t="s">
        <v>4130</v>
      </c>
      <c r="D213" s="186" t="s">
        <v>3554</v>
      </c>
      <c r="E213" s="186" t="s">
        <v>3554</v>
      </c>
      <c r="F213" s="189" t="s">
        <v>3629</v>
      </c>
    </row>
    <row r="214" spans="1:6" ht="12.75">
      <c r="A214" s="186" t="s">
        <v>3830</v>
      </c>
      <c r="B214" s="186" t="s">
        <v>3619</v>
      </c>
      <c r="C214" s="186" t="s">
        <v>4131</v>
      </c>
      <c r="D214" s="186" t="s">
        <v>3554</v>
      </c>
      <c r="E214" s="186" t="s">
        <v>3554</v>
      </c>
      <c r="F214" s="189" t="s">
        <v>3629</v>
      </c>
    </row>
    <row r="215" spans="1:6" ht="12.75">
      <c r="A215" s="186" t="s">
        <v>3832</v>
      </c>
      <c r="B215" s="186" t="s">
        <v>3619</v>
      </c>
      <c r="C215" s="186" t="s">
        <v>4134</v>
      </c>
      <c r="D215" s="186" t="s">
        <v>3554</v>
      </c>
      <c r="E215" s="186" t="s">
        <v>3554</v>
      </c>
      <c r="F215" s="189" t="s">
        <v>3629</v>
      </c>
    </row>
    <row r="216" spans="1:6" ht="12.75">
      <c r="A216" s="186" t="s">
        <v>3834</v>
      </c>
      <c r="B216" s="186" t="s">
        <v>3619</v>
      </c>
      <c r="C216" s="186" t="s">
        <v>4164</v>
      </c>
      <c r="D216" s="186" t="s">
        <v>3583</v>
      </c>
      <c r="E216" s="186" t="s">
        <v>3554</v>
      </c>
      <c r="F216" s="189" t="s">
        <v>3629</v>
      </c>
    </row>
    <row r="217" spans="1:6" ht="12.75">
      <c r="A217" s="186" t="s">
        <v>3850</v>
      </c>
      <c r="B217" s="186" t="s">
        <v>3619</v>
      </c>
      <c r="C217" s="186" t="s">
        <v>3851</v>
      </c>
      <c r="D217" s="186" t="s">
        <v>3727</v>
      </c>
      <c r="E217" s="186" t="s">
        <v>3564</v>
      </c>
      <c r="F217" s="189" t="s">
        <v>3629</v>
      </c>
    </row>
    <row r="218" spans="1:6" ht="12.75">
      <c r="A218" s="186" t="s">
        <v>3861</v>
      </c>
      <c r="B218" s="186" t="s">
        <v>3619</v>
      </c>
      <c r="C218" s="186" t="s">
        <v>3855</v>
      </c>
      <c r="D218" s="186" t="s">
        <v>3564</v>
      </c>
      <c r="E218" s="186" t="s">
        <v>3564</v>
      </c>
      <c r="F218" s="189" t="s">
        <v>3629</v>
      </c>
    </row>
    <row r="219" spans="1:6" ht="12.75">
      <c r="A219" s="186" t="s">
        <v>3862</v>
      </c>
      <c r="B219" s="186" t="s">
        <v>3619</v>
      </c>
      <c r="C219" s="186" t="s">
        <v>3855</v>
      </c>
      <c r="D219" s="186" t="s">
        <v>3564</v>
      </c>
      <c r="E219" s="186" t="s">
        <v>3564</v>
      </c>
      <c r="F219" s="189" t="s">
        <v>3629</v>
      </c>
    </row>
    <row r="220" spans="1:6" ht="12.75">
      <c r="A220" s="186" t="s">
        <v>3863</v>
      </c>
      <c r="B220" s="186" t="s">
        <v>3619</v>
      </c>
      <c r="C220" s="186" t="s">
        <v>3855</v>
      </c>
      <c r="D220" s="186" t="s">
        <v>3564</v>
      </c>
      <c r="E220" s="186" t="s">
        <v>3564</v>
      </c>
      <c r="F220" s="189" t="s">
        <v>4033</v>
      </c>
    </row>
    <row r="221" spans="1:6" ht="12.75">
      <c r="A221" s="186" t="s">
        <v>3866</v>
      </c>
      <c r="B221" s="186" t="s">
        <v>3619</v>
      </c>
      <c r="C221" s="186" t="s">
        <v>3855</v>
      </c>
      <c r="D221" s="186" t="s">
        <v>3564</v>
      </c>
      <c r="E221" s="186" t="s">
        <v>3564</v>
      </c>
      <c r="F221" s="189" t="s">
        <v>3629</v>
      </c>
    </row>
    <row r="222" spans="1:6" ht="12.75">
      <c r="A222" s="186" t="s">
        <v>3867</v>
      </c>
      <c r="B222" s="186" t="s">
        <v>3619</v>
      </c>
      <c r="C222" s="186" t="s">
        <v>3855</v>
      </c>
      <c r="D222" s="186" t="s">
        <v>3564</v>
      </c>
      <c r="E222" s="186" t="s">
        <v>3564</v>
      </c>
      <c r="F222" s="189" t="s">
        <v>3629</v>
      </c>
    </row>
    <row r="223" spans="1:6" ht="12.75">
      <c r="A223" s="186" t="s">
        <v>3868</v>
      </c>
      <c r="B223" s="186" t="s">
        <v>3619</v>
      </c>
      <c r="C223" s="186" t="s">
        <v>3855</v>
      </c>
      <c r="D223" s="186" t="s">
        <v>3564</v>
      </c>
      <c r="E223" s="186" t="s">
        <v>3564</v>
      </c>
      <c r="F223" s="189" t="s">
        <v>3629</v>
      </c>
    </row>
    <row r="224" spans="1:6" ht="12.75">
      <c r="A224" s="186" t="s">
        <v>3869</v>
      </c>
      <c r="B224" s="186" t="s">
        <v>3619</v>
      </c>
      <c r="C224" s="186" t="s">
        <v>3870</v>
      </c>
      <c r="D224" s="186" t="s">
        <v>3564</v>
      </c>
      <c r="E224" s="186" t="s">
        <v>3583</v>
      </c>
      <c r="F224" s="189" t="s">
        <v>3629</v>
      </c>
    </row>
    <row r="225" spans="1:6" ht="12.75">
      <c r="A225" s="186" t="s">
        <v>3871</v>
      </c>
      <c r="B225" s="186" t="s">
        <v>3619</v>
      </c>
      <c r="C225" s="186" t="s">
        <v>3870</v>
      </c>
      <c r="D225" s="186" t="s">
        <v>3564</v>
      </c>
      <c r="E225" s="186" t="s">
        <v>3583</v>
      </c>
      <c r="F225" s="189" t="s">
        <v>3629</v>
      </c>
    </row>
    <row r="226" spans="1:6" ht="12.75">
      <c r="A226" s="186" t="s">
        <v>3872</v>
      </c>
      <c r="B226" s="186" t="s">
        <v>3619</v>
      </c>
      <c r="C226" s="186" t="s">
        <v>3855</v>
      </c>
      <c r="D226" s="186" t="s">
        <v>3564</v>
      </c>
      <c r="E226" s="186" t="s">
        <v>3564</v>
      </c>
      <c r="F226" s="189" t="s">
        <v>3629</v>
      </c>
    </row>
    <row r="227" spans="1:6" ht="12.75">
      <c r="A227" s="186" t="s">
        <v>3852</v>
      </c>
      <c r="B227" s="186" t="s">
        <v>3619</v>
      </c>
      <c r="C227" s="186" t="s">
        <v>3851</v>
      </c>
      <c r="D227" s="186" t="s">
        <v>3727</v>
      </c>
      <c r="E227" s="186" t="s">
        <v>3564</v>
      </c>
      <c r="F227" s="189" t="s">
        <v>3629</v>
      </c>
    </row>
    <row r="228" spans="1:6" ht="12.75">
      <c r="A228" s="186" t="s">
        <v>3853</v>
      </c>
      <c r="B228" s="186" t="s">
        <v>3619</v>
      </c>
      <c r="C228" s="186" t="s">
        <v>3851</v>
      </c>
      <c r="D228" s="186" t="s">
        <v>3727</v>
      </c>
      <c r="E228" s="186" t="s">
        <v>3564</v>
      </c>
      <c r="F228" s="189" t="s">
        <v>3629</v>
      </c>
    </row>
    <row r="229" spans="1:6" ht="12.75">
      <c r="A229" s="186" t="s">
        <v>3854</v>
      </c>
      <c r="B229" s="186" t="s">
        <v>3619</v>
      </c>
      <c r="C229" s="186" t="s">
        <v>3855</v>
      </c>
      <c r="D229" s="186" t="s">
        <v>3564</v>
      </c>
      <c r="E229" s="186" t="s">
        <v>3564</v>
      </c>
      <c r="F229" s="189" t="s">
        <v>3629</v>
      </c>
    </row>
    <row r="230" spans="1:6" ht="12.75">
      <c r="A230" s="186" t="s">
        <v>3856</v>
      </c>
      <c r="B230" s="186" t="s">
        <v>3619</v>
      </c>
      <c r="C230" s="186" t="s">
        <v>3855</v>
      </c>
      <c r="D230" s="186" t="s">
        <v>3564</v>
      </c>
      <c r="E230" s="186" t="s">
        <v>3564</v>
      </c>
      <c r="F230" s="189" t="s">
        <v>3629</v>
      </c>
    </row>
    <row r="231" spans="1:6" ht="12.75">
      <c r="A231" s="186" t="s">
        <v>3857</v>
      </c>
      <c r="B231" s="186" t="s">
        <v>3619</v>
      </c>
      <c r="C231" s="186" t="s">
        <v>3855</v>
      </c>
      <c r="D231" s="186" t="s">
        <v>3564</v>
      </c>
      <c r="E231" s="186" t="s">
        <v>3564</v>
      </c>
      <c r="F231" s="189" t="s">
        <v>3629</v>
      </c>
    </row>
    <row r="232" spans="1:6" ht="12.75">
      <c r="A232" s="186" t="s">
        <v>3858</v>
      </c>
      <c r="B232" s="186" t="s">
        <v>3619</v>
      </c>
      <c r="C232" s="186" t="s">
        <v>3855</v>
      </c>
      <c r="D232" s="186" t="s">
        <v>3564</v>
      </c>
      <c r="E232" s="186" t="s">
        <v>3564</v>
      </c>
      <c r="F232" s="189" t="s">
        <v>3629</v>
      </c>
    </row>
    <row r="233" spans="1:6" ht="12.75">
      <c r="A233" s="186" t="s">
        <v>3859</v>
      </c>
      <c r="B233" s="186" t="s">
        <v>3619</v>
      </c>
      <c r="C233" s="186" t="s">
        <v>3855</v>
      </c>
      <c r="D233" s="186" t="s">
        <v>3564</v>
      </c>
      <c r="E233" s="186" t="s">
        <v>3564</v>
      </c>
      <c r="F233" s="189" t="s">
        <v>3629</v>
      </c>
    </row>
    <row r="234" spans="1:6" ht="12.75">
      <c r="A234" s="186" t="s">
        <v>3860</v>
      </c>
      <c r="B234" s="186" t="s">
        <v>3619</v>
      </c>
      <c r="C234" s="186" t="s">
        <v>3855</v>
      </c>
      <c r="D234" s="186" t="s">
        <v>3564</v>
      </c>
      <c r="E234" s="186" t="s">
        <v>3564</v>
      </c>
      <c r="F234" s="189" t="s">
        <v>3629</v>
      </c>
    </row>
    <row r="235" spans="1:6" ht="12.75">
      <c r="A235" s="186" t="s">
        <v>3875</v>
      </c>
      <c r="B235" s="186" t="s">
        <v>3619</v>
      </c>
      <c r="C235" s="186" t="s">
        <v>3876</v>
      </c>
      <c r="D235" s="186" t="s">
        <v>3877</v>
      </c>
      <c r="E235" s="186" t="s">
        <v>3877</v>
      </c>
      <c r="F235" s="189" t="s">
        <v>3629</v>
      </c>
    </row>
    <row r="236" spans="1:6" ht="12.75">
      <c r="A236" s="186" t="s">
        <v>3879</v>
      </c>
      <c r="B236" s="186" t="s">
        <v>3619</v>
      </c>
      <c r="C236" s="186" t="s">
        <v>3876</v>
      </c>
      <c r="D236" s="186" t="s">
        <v>3877</v>
      </c>
      <c r="E236" s="186" t="s">
        <v>3877</v>
      </c>
      <c r="F236" s="189" t="s">
        <v>3629</v>
      </c>
    </row>
    <row r="237" spans="1:6" ht="12.75">
      <c r="A237" s="186" t="s">
        <v>3873</v>
      </c>
      <c r="B237" s="186" t="s">
        <v>3619</v>
      </c>
      <c r="C237" s="186" t="s">
        <v>3876</v>
      </c>
      <c r="D237" s="186" t="s">
        <v>3877</v>
      </c>
      <c r="E237" s="186" t="s">
        <v>3877</v>
      </c>
      <c r="F237" s="189" t="s">
        <v>3629</v>
      </c>
    </row>
    <row r="238" spans="1:6" ht="12.75">
      <c r="A238" s="186" t="s">
        <v>3885</v>
      </c>
      <c r="B238" s="186" t="s">
        <v>3619</v>
      </c>
      <c r="C238" s="186" t="s">
        <v>3886</v>
      </c>
      <c r="D238" s="186" t="s">
        <v>3571</v>
      </c>
      <c r="E238" s="186" t="s">
        <v>4165</v>
      </c>
      <c r="F238" s="189" t="s">
        <v>3629</v>
      </c>
    </row>
    <row r="239" spans="1:6" ht="12.75">
      <c r="A239" s="186" t="s">
        <v>3887</v>
      </c>
      <c r="B239" s="186" t="s">
        <v>3619</v>
      </c>
      <c r="C239" s="186" t="s">
        <v>3570</v>
      </c>
      <c r="D239" s="186" t="s">
        <v>3571</v>
      </c>
      <c r="E239" s="186" t="s">
        <v>3571</v>
      </c>
      <c r="F239" s="189" t="s">
        <v>3629</v>
      </c>
    </row>
    <row r="240" spans="1:6" ht="12.75">
      <c r="A240" s="186" t="s">
        <v>3888</v>
      </c>
      <c r="B240" s="186" t="s">
        <v>3619</v>
      </c>
      <c r="C240" s="186" t="s">
        <v>3886</v>
      </c>
      <c r="D240" s="186" t="s">
        <v>3571</v>
      </c>
      <c r="E240" s="186" t="s">
        <v>4165</v>
      </c>
      <c r="F240" s="189" t="s">
        <v>3629</v>
      </c>
    </row>
    <row r="241" spans="1:6" ht="12.75">
      <c r="A241" s="186" t="s">
        <v>3891</v>
      </c>
      <c r="B241" s="186" t="s">
        <v>3619</v>
      </c>
      <c r="C241" s="186" t="s">
        <v>3570</v>
      </c>
      <c r="D241" s="186" t="s">
        <v>3571</v>
      </c>
      <c r="E241" s="186" t="s">
        <v>3571</v>
      </c>
      <c r="F241" s="189" t="s">
        <v>3629</v>
      </c>
    </row>
    <row r="242" spans="1:6" ht="12.75">
      <c r="A242" s="186" t="s">
        <v>3892</v>
      </c>
      <c r="B242" s="186" t="s">
        <v>3619</v>
      </c>
      <c r="C242" s="186" t="s">
        <v>3570</v>
      </c>
      <c r="D242" s="186" t="s">
        <v>3571</v>
      </c>
      <c r="E242" s="186" t="s">
        <v>3571</v>
      </c>
      <c r="F242" s="189" t="s">
        <v>3629</v>
      </c>
    </row>
    <row r="243" spans="1:6" ht="12.75">
      <c r="A243" s="186" t="s">
        <v>3893</v>
      </c>
      <c r="B243" s="186" t="s">
        <v>3619</v>
      </c>
      <c r="C243" s="186" t="s">
        <v>3570</v>
      </c>
      <c r="D243" s="186" t="s">
        <v>3571</v>
      </c>
      <c r="E243" s="186" t="s">
        <v>3571</v>
      </c>
      <c r="F243" s="189" t="s">
        <v>3629</v>
      </c>
    </row>
    <row r="244" spans="1:6" ht="12.75">
      <c r="A244" s="186" t="s">
        <v>3896</v>
      </c>
      <c r="B244" s="186" t="s">
        <v>3619</v>
      </c>
      <c r="C244" s="186" t="s">
        <v>3886</v>
      </c>
      <c r="D244" s="186" t="s">
        <v>3571</v>
      </c>
      <c r="E244" s="186" t="s">
        <v>4165</v>
      </c>
      <c r="F244" s="189" t="s">
        <v>3629</v>
      </c>
    </row>
    <row r="245" spans="1:6" ht="12.75">
      <c r="A245" s="186" t="s">
        <v>3889</v>
      </c>
      <c r="B245" s="186" t="s">
        <v>3619</v>
      </c>
      <c r="C245" s="186" t="s">
        <v>3570</v>
      </c>
      <c r="D245" s="186" t="s">
        <v>3571</v>
      </c>
      <c r="E245" s="186" t="s">
        <v>3571</v>
      </c>
      <c r="F245" s="189" t="s">
        <v>3629</v>
      </c>
    </row>
    <row r="246" spans="1:6" ht="12.75">
      <c r="A246" s="186" t="s">
        <v>3897</v>
      </c>
      <c r="B246" s="186" t="s">
        <v>3619</v>
      </c>
      <c r="C246" s="186" t="s">
        <v>3886</v>
      </c>
      <c r="D246" s="186" t="s">
        <v>3571</v>
      </c>
      <c r="E246" s="186" t="s">
        <v>4165</v>
      </c>
      <c r="F246" s="189" t="s">
        <v>3629</v>
      </c>
    </row>
    <row r="247" spans="1:6" ht="12.75">
      <c r="A247" s="186" t="s">
        <v>3898</v>
      </c>
      <c r="B247" s="186" t="s">
        <v>3619</v>
      </c>
      <c r="C247" s="186" t="s">
        <v>3899</v>
      </c>
      <c r="D247" s="186" t="s">
        <v>4165</v>
      </c>
      <c r="E247" s="186" t="s">
        <v>4165</v>
      </c>
      <c r="F247" s="189" t="s">
        <v>3629</v>
      </c>
    </row>
    <row r="248" spans="1:6" ht="12.75">
      <c r="A248" s="186" t="s">
        <v>3900</v>
      </c>
      <c r="B248" s="186" t="s">
        <v>3619</v>
      </c>
      <c r="C248" s="186" t="s">
        <v>3899</v>
      </c>
      <c r="D248" s="186" t="s">
        <v>4165</v>
      </c>
      <c r="E248" s="186" t="s">
        <v>4165</v>
      </c>
      <c r="F248" s="189" t="s">
        <v>3629</v>
      </c>
    </row>
    <row r="249" spans="1:6" ht="12.75">
      <c r="A249" s="186" t="s">
        <v>3901</v>
      </c>
      <c r="B249" s="186" t="s">
        <v>3619</v>
      </c>
      <c r="C249" s="186" t="s">
        <v>3570</v>
      </c>
      <c r="D249" s="186" t="s">
        <v>3571</v>
      </c>
      <c r="E249" s="186" t="s">
        <v>3571</v>
      </c>
      <c r="F249" s="189" t="s">
        <v>3629</v>
      </c>
    </row>
    <row r="250" spans="1:6" ht="12.75">
      <c r="A250" s="186" t="s">
        <v>3902</v>
      </c>
      <c r="B250" s="186" t="s">
        <v>3619</v>
      </c>
      <c r="C250" s="186" t="s">
        <v>3570</v>
      </c>
      <c r="D250" s="186" t="s">
        <v>3571</v>
      </c>
      <c r="E250" s="186" t="s">
        <v>3571</v>
      </c>
      <c r="F250" s="189" t="s">
        <v>3629</v>
      </c>
    </row>
    <row r="251" spans="1:6" ht="12.75">
      <c r="A251" s="186" t="s">
        <v>3903</v>
      </c>
      <c r="B251" s="186" t="s">
        <v>3619</v>
      </c>
      <c r="C251" s="186" t="s">
        <v>3570</v>
      </c>
      <c r="D251" s="186" t="s">
        <v>3571</v>
      </c>
      <c r="E251" s="186" t="s">
        <v>3571</v>
      </c>
      <c r="F251" s="189" t="s">
        <v>3629</v>
      </c>
    </row>
    <row r="252" spans="1:6" ht="12.75">
      <c r="A252" s="186" t="s">
        <v>3904</v>
      </c>
      <c r="B252" s="186" t="s">
        <v>3619</v>
      </c>
      <c r="C252" s="186" t="s">
        <v>3570</v>
      </c>
      <c r="D252" s="186" t="s">
        <v>3571</v>
      </c>
      <c r="E252" s="186" t="s">
        <v>3571</v>
      </c>
      <c r="F252" s="189" t="s">
        <v>3629</v>
      </c>
    </row>
    <row r="253" spans="1:6" ht="12.75">
      <c r="A253" s="186" t="s">
        <v>3905</v>
      </c>
      <c r="B253" s="186" t="s">
        <v>3619</v>
      </c>
      <c r="C253" s="186" t="s">
        <v>3570</v>
      </c>
      <c r="D253" s="186" t="s">
        <v>3571</v>
      </c>
      <c r="E253" s="186" t="s">
        <v>3571</v>
      </c>
      <c r="F253" s="189" t="s">
        <v>3629</v>
      </c>
    </row>
    <row r="254" spans="1:6" ht="12.75">
      <c r="A254" s="186" t="s">
        <v>3906</v>
      </c>
      <c r="B254" s="186" t="s">
        <v>3619</v>
      </c>
      <c r="C254" s="186" t="s">
        <v>3570</v>
      </c>
      <c r="D254" s="186" t="s">
        <v>3571</v>
      </c>
      <c r="E254" s="186" t="s">
        <v>3571</v>
      </c>
      <c r="F254" s="189" t="s">
        <v>3629</v>
      </c>
    </row>
    <row r="255" spans="1:6" ht="12.75">
      <c r="A255" s="186" t="s">
        <v>3907</v>
      </c>
      <c r="B255" s="186" t="s">
        <v>3619</v>
      </c>
      <c r="C255" s="186" t="s">
        <v>3899</v>
      </c>
      <c r="D255" s="186" t="s">
        <v>4165</v>
      </c>
      <c r="E255" s="186" t="s">
        <v>4165</v>
      </c>
      <c r="F255" s="189" t="s">
        <v>3629</v>
      </c>
    </row>
    <row r="256" spans="1:6" ht="12.75">
      <c r="A256" s="186" t="s">
        <v>3890</v>
      </c>
      <c r="B256" s="186" t="s">
        <v>3619</v>
      </c>
      <c r="C256" s="186" t="s">
        <v>3886</v>
      </c>
      <c r="D256" s="186" t="s">
        <v>3571</v>
      </c>
      <c r="E256" s="186" t="s">
        <v>4165</v>
      </c>
      <c r="F256" s="189" t="s">
        <v>3629</v>
      </c>
    </row>
    <row r="257" spans="1:6" ht="12.75">
      <c r="A257" s="186" t="s">
        <v>4166</v>
      </c>
      <c r="B257" s="186" t="s">
        <v>3619</v>
      </c>
      <c r="C257" s="186" t="s">
        <v>3886</v>
      </c>
      <c r="D257" s="186" t="s">
        <v>3571</v>
      </c>
      <c r="E257" s="186" t="s">
        <v>4165</v>
      </c>
      <c r="F257" s="189" t="s">
        <v>3629</v>
      </c>
    </row>
    <row r="258" spans="1:6" ht="12.75">
      <c r="A258" s="186" t="s">
        <v>4167</v>
      </c>
      <c r="B258" s="186" t="s">
        <v>3619</v>
      </c>
      <c r="C258" s="186" t="s">
        <v>4168</v>
      </c>
      <c r="D258" s="186" t="s">
        <v>4165</v>
      </c>
      <c r="E258" s="186" t="s">
        <v>3571</v>
      </c>
      <c r="F258" s="189" t="s">
        <v>3629</v>
      </c>
    </row>
    <row r="259" spans="1:6" ht="12.75">
      <c r="A259" s="186" t="s">
        <v>4169</v>
      </c>
      <c r="B259" s="186" t="s">
        <v>3619</v>
      </c>
      <c r="C259" s="186" t="s">
        <v>4168</v>
      </c>
      <c r="D259" s="186" t="s">
        <v>4165</v>
      </c>
      <c r="E259" s="186" t="s">
        <v>3571</v>
      </c>
      <c r="F259" s="189" t="s">
        <v>3629</v>
      </c>
    </row>
    <row r="260" spans="1:6" ht="12.75">
      <c r="A260" s="186" t="s">
        <v>4170</v>
      </c>
      <c r="B260" s="186" t="s">
        <v>3619</v>
      </c>
      <c r="C260" s="186" t="s">
        <v>4168</v>
      </c>
      <c r="D260" s="186" t="s">
        <v>4165</v>
      </c>
      <c r="E260" s="186" t="s">
        <v>3571</v>
      </c>
      <c r="F260" s="189" t="s">
        <v>3629</v>
      </c>
    </row>
    <row r="261" spans="1:6" ht="12.75">
      <c r="A261" s="186" t="s">
        <v>3908</v>
      </c>
      <c r="B261" s="186" t="s">
        <v>3619</v>
      </c>
      <c r="C261" s="186" t="s">
        <v>3909</v>
      </c>
      <c r="D261" s="186" t="s">
        <v>3583</v>
      </c>
      <c r="E261" s="186" t="s">
        <v>4080</v>
      </c>
      <c r="F261" s="189" t="s">
        <v>3629</v>
      </c>
    </row>
    <row r="262" spans="1:6" ht="12.75">
      <c r="A262" s="186" t="s">
        <v>3920</v>
      </c>
      <c r="B262" s="186" t="s">
        <v>3619</v>
      </c>
      <c r="C262" s="186" t="s">
        <v>3909</v>
      </c>
      <c r="D262" s="186" t="s">
        <v>3583</v>
      </c>
      <c r="E262" s="186" t="s">
        <v>4080</v>
      </c>
      <c r="F262" s="189" t="s">
        <v>3629</v>
      </c>
    </row>
    <row r="263" spans="1:6" ht="12.75">
      <c r="A263" s="186" t="s">
        <v>3922</v>
      </c>
      <c r="B263" s="186" t="s">
        <v>3619</v>
      </c>
      <c r="C263" s="186" t="s">
        <v>3909</v>
      </c>
      <c r="D263" s="186" t="s">
        <v>3583</v>
      </c>
      <c r="E263" s="186" t="s">
        <v>4080</v>
      </c>
      <c r="F263" s="189" t="s">
        <v>3629</v>
      </c>
    </row>
    <row r="264" spans="1:6" ht="12.75">
      <c r="A264" s="186" t="s">
        <v>3923</v>
      </c>
      <c r="B264" s="186" t="s">
        <v>3619</v>
      </c>
      <c r="C264" s="186" t="s">
        <v>3924</v>
      </c>
      <c r="D264" s="186" t="s">
        <v>4080</v>
      </c>
      <c r="E264" s="186" t="s">
        <v>4080</v>
      </c>
      <c r="F264" s="189" t="s">
        <v>3629</v>
      </c>
    </row>
    <row r="265" spans="1:6" ht="12.75">
      <c r="A265" s="186" t="s">
        <v>3925</v>
      </c>
      <c r="B265" s="186" t="s">
        <v>3619</v>
      </c>
      <c r="C265" s="186" t="s">
        <v>3909</v>
      </c>
      <c r="D265" s="186" t="s">
        <v>3583</v>
      </c>
      <c r="E265" s="186" t="s">
        <v>4080</v>
      </c>
      <c r="F265" s="189" t="s">
        <v>3629</v>
      </c>
    </row>
    <row r="266" spans="1:6" ht="12.75">
      <c r="A266" s="186" t="s">
        <v>3926</v>
      </c>
      <c r="B266" s="186" t="s">
        <v>3619</v>
      </c>
      <c r="C266" s="186" t="s">
        <v>3916</v>
      </c>
      <c r="D266" s="186" t="s">
        <v>3628</v>
      </c>
      <c r="E266" s="186" t="s">
        <v>4080</v>
      </c>
      <c r="F266" s="189" t="s">
        <v>3629</v>
      </c>
    </row>
    <row r="267" spans="1:6" ht="12.75">
      <c r="A267" s="186" t="s">
        <v>3927</v>
      </c>
      <c r="B267" s="186" t="s">
        <v>3619</v>
      </c>
      <c r="C267" s="186" t="s">
        <v>3912</v>
      </c>
      <c r="D267" s="186" t="s">
        <v>4080</v>
      </c>
      <c r="E267" s="186" t="s">
        <v>3583</v>
      </c>
      <c r="F267" s="189" t="s">
        <v>3629</v>
      </c>
    </row>
    <row r="268" spans="1:6" ht="12.75">
      <c r="A268" s="186" t="s">
        <v>3929</v>
      </c>
      <c r="B268" s="186" t="s">
        <v>3619</v>
      </c>
      <c r="C268" s="186" t="s">
        <v>3909</v>
      </c>
      <c r="D268" s="186" t="s">
        <v>3583</v>
      </c>
      <c r="E268" s="186" t="s">
        <v>4080</v>
      </c>
      <c r="F268" s="189" t="s">
        <v>3629</v>
      </c>
    </row>
    <row r="269" spans="1:6" ht="12.75">
      <c r="A269" s="186" t="s">
        <v>3930</v>
      </c>
      <c r="B269" s="186" t="s">
        <v>3619</v>
      </c>
      <c r="C269" s="186" t="s">
        <v>3909</v>
      </c>
      <c r="D269" s="186" t="s">
        <v>3583</v>
      </c>
      <c r="E269" s="186" t="s">
        <v>4080</v>
      </c>
      <c r="F269" s="189" t="s">
        <v>3629</v>
      </c>
    </row>
    <row r="270" spans="1:6" ht="12.75">
      <c r="A270" s="186" t="s">
        <v>3931</v>
      </c>
      <c r="B270" s="186" t="s">
        <v>3619</v>
      </c>
      <c r="C270" s="186" t="s">
        <v>3909</v>
      </c>
      <c r="D270" s="186" t="s">
        <v>3583</v>
      </c>
      <c r="E270" s="186" t="s">
        <v>4080</v>
      </c>
      <c r="F270" s="189" t="s">
        <v>3629</v>
      </c>
    </row>
    <row r="271" spans="1:6" ht="12.75">
      <c r="A271" s="186" t="s">
        <v>3932</v>
      </c>
      <c r="B271" s="186" t="s">
        <v>3619</v>
      </c>
      <c r="C271" s="186" t="s">
        <v>3909</v>
      </c>
      <c r="D271" s="186" t="s">
        <v>3583</v>
      </c>
      <c r="E271" s="186" t="s">
        <v>4080</v>
      </c>
      <c r="F271" s="189" t="s">
        <v>3629</v>
      </c>
    </row>
    <row r="272" spans="1:6" ht="12.75">
      <c r="A272" s="186" t="s">
        <v>3910</v>
      </c>
      <c r="B272" s="186" t="s">
        <v>3619</v>
      </c>
      <c r="C272" s="186" t="s">
        <v>3909</v>
      </c>
      <c r="D272" s="186" t="s">
        <v>3583</v>
      </c>
      <c r="E272" s="186" t="s">
        <v>4080</v>
      </c>
      <c r="F272" s="189" t="s">
        <v>3629</v>
      </c>
    </row>
    <row r="273" spans="1:6" ht="12.75">
      <c r="A273" s="186" t="s">
        <v>3933</v>
      </c>
      <c r="B273" s="186" t="s">
        <v>3619</v>
      </c>
      <c r="C273" s="186" t="s">
        <v>3924</v>
      </c>
      <c r="D273" s="186" t="s">
        <v>4080</v>
      </c>
      <c r="E273" s="186" t="s">
        <v>4080</v>
      </c>
      <c r="F273" s="189" t="s">
        <v>3629</v>
      </c>
    </row>
    <row r="274" spans="1:6" ht="12.75">
      <c r="A274" s="186" t="s">
        <v>3934</v>
      </c>
      <c r="B274" s="186" t="s">
        <v>3619</v>
      </c>
      <c r="C274" s="186" t="s">
        <v>3909</v>
      </c>
      <c r="D274" s="186" t="s">
        <v>3583</v>
      </c>
      <c r="E274" s="186" t="s">
        <v>4080</v>
      </c>
      <c r="F274" s="189" t="s">
        <v>3629</v>
      </c>
    </row>
    <row r="275" spans="1:6" ht="12.75">
      <c r="A275" s="186" t="s">
        <v>3935</v>
      </c>
      <c r="B275" s="186" t="s">
        <v>3619</v>
      </c>
      <c r="C275" s="186" t="s">
        <v>3909</v>
      </c>
      <c r="D275" s="186" t="s">
        <v>3583</v>
      </c>
      <c r="E275" s="186" t="s">
        <v>4080</v>
      </c>
      <c r="F275" s="189" t="s">
        <v>3629</v>
      </c>
    </row>
    <row r="276" spans="1:6" ht="12.75">
      <c r="A276" s="186" t="s">
        <v>3936</v>
      </c>
      <c r="B276" s="186" t="s">
        <v>3619</v>
      </c>
      <c r="C276" s="186" t="s">
        <v>3909</v>
      </c>
      <c r="D276" s="186" t="s">
        <v>3583</v>
      </c>
      <c r="E276" s="186" t="s">
        <v>4080</v>
      </c>
      <c r="F276" s="189" t="s">
        <v>3629</v>
      </c>
    </row>
    <row r="277" spans="1:6" ht="12.75">
      <c r="A277" s="186" t="s">
        <v>3937</v>
      </c>
      <c r="B277" s="186" t="s">
        <v>3619</v>
      </c>
      <c r="C277" s="186" t="s">
        <v>3909</v>
      </c>
      <c r="D277" s="186" t="s">
        <v>3583</v>
      </c>
      <c r="E277" s="186" t="s">
        <v>4080</v>
      </c>
      <c r="F277" s="189" t="s">
        <v>3629</v>
      </c>
    </row>
    <row r="278" spans="1:6" ht="12.75">
      <c r="A278" s="186" t="s">
        <v>3938</v>
      </c>
      <c r="B278" s="186" t="s">
        <v>3619</v>
      </c>
      <c r="C278" s="186" t="s">
        <v>3909</v>
      </c>
      <c r="D278" s="186" t="s">
        <v>3583</v>
      </c>
      <c r="E278" s="186" t="s">
        <v>4080</v>
      </c>
      <c r="F278" s="189" t="s">
        <v>3629</v>
      </c>
    </row>
    <row r="279" spans="1:6" ht="12.75">
      <c r="A279" s="186" t="s">
        <v>3939</v>
      </c>
      <c r="B279" s="186" t="s">
        <v>3619</v>
      </c>
      <c r="C279" s="186" t="s">
        <v>3909</v>
      </c>
      <c r="D279" s="186" t="s">
        <v>3583</v>
      </c>
      <c r="E279" s="186" t="s">
        <v>4080</v>
      </c>
      <c r="F279" s="189" t="s">
        <v>3629</v>
      </c>
    </row>
    <row r="280" spans="1:6" ht="12.75">
      <c r="A280" s="186" t="s">
        <v>3940</v>
      </c>
      <c r="B280" s="186" t="s">
        <v>3619</v>
      </c>
      <c r="C280" s="186" t="s">
        <v>3909</v>
      </c>
      <c r="D280" s="186" t="s">
        <v>3583</v>
      </c>
      <c r="E280" s="186" t="s">
        <v>4080</v>
      </c>
      <c r="F280" s="189" t="s">
        <v>3629</v>
      </c>
    </row>
    <row r="281" spans="1:6" ht="12.75">
      <c r="A281" s="186" t="s">
        <v>3941</v>
      </c>
      <c r="B281" s="186" t="s">
        <v>3619</v>
      </c>
      <c r="C281" s="186" t="s">
        <v>3909</v>
      </c>
      <c r="D281" s="186" t="s">
        <v>3583</v>
      </c>
      <c r="E281" s="186" t="s">
        <v>4080</v>
      </c>
      <c r="F281" s="189" t="s">
        <v>3629</v>
      </c>
    </row>
    <row r="282" spans="1:6" ht="12.75">
      <c r="A282" s="186" t="s">
        <v>3942</v>
      </c>
      <c r="B282" s="186" t="s">
        <v>3619</v>
      </c>
      <c r="C282" s="186" t="s">
        <v>3909</v>
      </c>
      <c r="D282" s="186" t="s">
        <v>3583</v>
      </c>
      <c r="E282" s="186" t="s">
        <v>4080</v>
      </c>
      <c r="F282" s="189" t="s">
        <v>3629</v>
      </c>
    </row>
    <row r="283" spans="1:6" ht="12.75">
      <c r="A283" s="186" t="s">
        <v>3911</v>
      </c>
      <c r="B283" s="186" t="s">
        <v>3619</v>
      </c>
      <c r="C283" s="186" t="s">
        <v>4171</v>
      </c>
      <c r="D283" s="186" t="s">
        <v>4080</v>
      </c>
      <c r="E283" s="186" t="s">
        <v>4172</v>
      </c>
      <c r="F283" s="189" t="s">
        <v>3629</v>
      </c>
    </row>
    <row r="284" spans="1:6" ht="12.75">
      <c r="A284" s="186" t="s">
        <v>3943</v>
      </c>
      <c r="B284" s="186" t="s">
        <v>3619</v>
      </c>
      <c r="C284" s="186" t="s">
        <v>3909</v>
      </c>
      <c r="D284" s="186" t="s">
        <v>3583</v>
      </c>
      <c r="E284" s="186" t="s">
        <v>4080</v>
      </c>
      <c r="F284" s="189" t="s">
        <v>3629</v>
      </c>
    </row>
    <row r="285" spans="1:6" ht="12.75">
      <c r="A285" s="186" t="s">
        <v>4173</v>
      </c>
      <c r="B285" s="186" t="s">
        <v>3619</v>
      </c>
      <c r="C285" s="186" t="s">
        <v>3924</v>
      </c>
      <c r="D285" s="186" t="s">
        <v>4080</v>
      </c>
      <c r="E285" s="186" t="s">
        <v>4080</v>
      </c>
      <c r="F285" s="189" t="s">
        <v>3629</v>
      </c>
    </row>
    <row r="286" spans="1:6" ht="12.75">
      <c r="A286" s="186" t="s">
        <v>3944</v>
      </c>
      <c r="B286" s="186" t="s">
        <v>3619</v>
      </c>
      <c r="C286" s="186" t="s">
        <v>3909</v>
      </c>
      <c r="D286" s="186" t="s">
        <v>3583</v>
      </c>
      <c r="E286" s="186" t="s">
        <v>4080</v>
      </c>
      <c r="F286" s="189" t="s">
        <v>3629</v>
      </c>
    </row>
    <row r="287" spans="1:6" ht="12.75">
      <c r="A287" s="186" t="s">
        <v>3945</v>
      </c>
      <c r="B287" s="186" t="s">
        <v>3619</v>
      </c>
      <c r="C287" s="186" t="s">
        <v>3924</v>
      </c>
      <c r="D287" s="186" t="s">
        <v>4080</v>
      </c>
      <c r="E287" s="186" t="s">
        <v>4080</v>
      </c>
      <c r="F287" s="189" t="s">
        <v>3629</v>
      </c>
    </row>
    <row r="288" spans="1:6" ht="12.75">
      <c r="A288" s="186" t="s">
        <v>4174</v>
      </c>
      <c r="B288" s="186" t="s">
        <v>3619</v>
      </c>
      <c r="C288" s="186" t="s">
        <v>3909</v>
      </c>
      <c r="D288" s="186" t="s">
        <v>3583</v>
      </c>
      <c r="E288" s="186" t="s">
        <v>4080</v>
      </c>
      <c r="F288" s="189" t="s">
        <v>3629</v>
      </c>
    </row>
    <row r="289" spans="1:6" ht="12.75">
      <c r="A289" s="186" t="s">
        <v>3947</v>
      </c>
      <c r="B289" s="186" t="s">
        <v>3619</v>
      </c>
      <c r="C289" s="186" t="s">
        <v>3924</v>
      </c>
      <c r="D289" s="186" t="s">
        <v>4080</v>
      </c>
      <c r="E289" s="186" t="s">
        <v>4080</v>
      </c>
      <c r="F289" s="189" t="s">
        <v>3629</v>
      </c>
    </row>
    <row r="290" spans="1:6" ht="12.75">
      <c r="A290" s="186" t="s">
        <v>4175</v>
      </c>
      <c r="B290" s="186" t="s">
        <v>3619</v>
      </c>
      <c r="C290" s="186" t="s">
        <v>3909</v>
      </c>
      <c r="D290" s="186" t="s">
        <v>3583</v>
      </c>
      <c r="E290" s="186" t="s">
        <v>4080</v>
      </c>
      <c r="F290" s="189" t="s">
        <v>3629</v>
      </c>
    </row>
    <row r="291" spans="1:6" ht="12.75">
      <c r="A291" s="186" t="s">
        <v>4176</v>
      </c>
      <c r="B291" s="186" t="s">
        <v>3619</v>
      </c>
      <c r="C291" s="186" t="s">
        <v>3924</v>
      </c>
      <c r="D291" s="186" t="s">
        <v>4080</v>
      </c>
      <c r="E291" s="186" t="s">
        <v>4080</v>
      </c>
      <c r="F291" s="189" t="s">
        <v>3629</v>
      </c>
    </row>
    <row r="292" spans="1:6" ht="12.75">
      <c r="A292" s="186" t="s">
        <v>4177</v>
      </c>
      <c r="B292" s="186" t="s">
        <v>3619</v>
      </c>
      <c r="C292" s="186" t="s">
        <v>3924</v>
      </c>
      <c r="D292" s="186" t="s">
        <v>4080</v>
      </c>
      <c r="E292" s="186" t="s">
        <v>4080</v>
      </c>
      <c r="F292" s="189" t="s">
        <v>3629</v>
      </c>
    </row>
    <row r="293" spans="1:6" ht="12.75">
      <c r="A293" s="186" t="s">
        <v>4178</v>
      </c>
      <c r="B293" s="186" t="s">
        <v>3619</v>
      </c>
      <c r="C293" s="186" t="s">
        <v>3924</v>
      </c>
      <c r="D293" s="186" t="s">
        <v>4080</v>
      </c>
      <c r="E293" s="186" t="s">
        <v>4080</v>
      </c>
      <c r="F293" s="189" t="s">
        <v>3629</v>
      </c>
    </row>
    <row r="294" spans="1:6" ht="12.75">
      <c r="A294" s="186" t="s">
        <v>3913</v>
      </c>
      <c r="B294" s="186" t="s">
        <v>3619</v>
      </c>
      <c r="C294" s="186" t="s">
        <v>3909</v>
      </c>
      <c r="D294" s="186" t="s">
        <v>3583</v>
      </c>
      <c r="E294" s="186" t="s">
        <v>4080</v>
      </c>
      <c r="F294" s="189" t="s">
        <v>3629</v>
      </c>
    </row>
    <row r="295" spans="1:6" ht="12.75">
      <c r="A295" s="186" t="s">
        <v>4179</v>
      </c>
      <c r="B295" s="186" t="s">
        <v>3619</v>
      </c>
      <c r="C295" s="186" t="s">
        <v>3924</v>
      </c>
      <c r="D295" s="186" t="s">
        <v>4080</v>
      </c>
      <c r="E295" s="186" t="s">
        <v>4080</v>
      </c>
      <c r="F295" s="189" t="s">
        <v>3629</v>
      </c>
    </row>
    <row r="296" spans="1:6" ht="12.75">
      <c r="A296" s="186" t="s">
        <v>4180</v>
      </c>
      <c r="B296" s="186" t="s">
        <v>3619</v>
      </c>
      <c r="C296" s="186" t="s">
        <v>3924</v>
      </c>
      <c r="D296" s="186" t="s">
        <v>4080</v>
      </c>
      <c r="E296" s="186" t="s">
        <v>4080</v>
      </c>
      <c r="F296" s="189" t="s">
        <v>3629</v>
      </c>
    </row>
    <row r="297" spans="1:6" ht="12.75">
      <c r="A297" s="186" t="s">
        <v>4181</v>
      </c>
      <c r="B297" s="186" t="s">
        <v>3619</v>
      </c>
      <c r="C297" s="186" t="s">
        <v>3924</v>
      </c>
      <c r="D297" s="186" t="s">
        <v>4080</v>
      </c>
      <c r="E297" s="186" t="s">
        <v>4080</v>
      </c>
      <c r="F297" s="189" t="s">
        <v>3629</v>
      </c>
    </row>
    <row r="298" spans="1:6" ht="12.75">
      <c r="A298" s="186" t="s">
        <v>4182</v>
      </c>
      <c r="B298" s="186" t="s">
        <v>3619</v>
      </c>
      <c r="C298" s="186" t="s">
        <v>3924</v>
      </c>
      <c r="D298" s="186" t="s">
        <v>4080</v>
      </c>
      <c r="E298" s="186" t="s">
        <v>4080</v>
      </c>
      <c r="F298" s="189" t="s">
        <v>3629</v>
      </c>
    </row>
    <row r="299" spans="1:6" ht="12.75">
      <c r="A299" s="186" t="s">
        <v>3914</v>
      </c>
      <c r="B299" s="186" t="s">
        <v>3619</v>
      </c>
      <c r="C299" s="186" t="s">
        <v>3909</v>
      </c>
      <c r="D299" s="186" t="s">
        <v>3583</v>
      </c>
      <c r="E299" s="186" t="s">
        <v>4080</v>
      </c>
      <c r="F299" s="189" t="s">
        <v>3629</v>
      </c>
    </row>
    <row r="300" spans="1:6" ht="12.75">
      <c r="A300" s="186" t="s">
        <v>3915</v>
      </c>
      <c r="B300" s="186" t="s">
        <v>3619</v>
      </c>
      <c r="C300" s="186" t="s">
        <v>3916</v>
      </c>
      <c r="D300" s="186" t="s">
        <v>3628</v>
      </c>
      <c r="E300" s="186" t="s">
        <v>4080</v>
      </c>
      <c r="F300" s="189" t="s">
        <v>3629</v>
      </c>
    </row>
    <row r="301" spans="1:6" ht="12.75">
      <c r="A301" s="186" t="s">
        <v>3917</v>
      </c>
      <c r="B301" s="186" t="s">
        <v>3619</v>
      </c>
      <c r="C301" s="186" t="s">
        <v>3916</v>
      </c>
      <c r="D301" s="186" t="s">
        <v>3628</v>
      </c>
      <c r="E301" s="186" t="s">
        <v>4080</v>
      </c>
      <c r="F301" s="189" t="s">
        <v>3629</v>
      </c>
    </row>
    <row r="302" spans="1:6" ht="12.75">
      <c r="A302" s="186" t="s">
        <v>3918</v>
      </c>
      <c r="B302" s="186" t="s">
        <v>3619</v>
      </c>
      <c r="C302" s="186" t="s">
        <v>3916</v>
      </c>
      <c r="D302" s="186" t="s">
        <v>3628</v>
      </c>
      <c r="E302" s="186" t="s">
        <v>4080</v>
      </c>
      <c r="F302" s="189" t="s">
        <v>3629</v>
      </c>
    </row>
    <row r="303" spans="1:6" ht="12.75">
      <c r="A303" s="186" t="s">
        <v>3919</v>
      </c>
      <c r="B303" s="186" t="s">
        <v>3619</v>
      </c>
      <c r="C303" s="186" t="s">
        <v>4171</v>
      </c>
      <c r="D303" s="186" t="s">
        <v>4080</v>
      </c>
      <c r="E303" s="186" t="s">
        <v>4172</v>
      </c>
      <c r="F303" s="189" t="s">
        <v>3629</v>
      </c>
    </row>
    <row r="304" spans="1:6" ht="12.75">
      <c r="A304" s="186" t="s">
        <v>3957</v>
      </c>
      <c r="B304" s="186" t="s">
        <v>3619</v>
      </c>
      <c r="C304" s="186" t="s">
        <v>3958</v>
      </c>
      <c r="D304" s="186" t="s">
        <v>3583</v>
      </c>
      <c r="E304" s="186" t="s">
        <v>4081</v>
      </c>
      <c r="F304" s="189" t="s">
        <v>3629</v>
      </c>
    </row>
    <row r="305" spans="1:6" ht="12.75">
      <c r="A305" s="186" t="s">
        <v>3968</v>
      </c>
      <c r="B305" s="186" t="s">
        <v>3619</v>
      </c>
      <c r="C305" s="186" t="s">
        <v>3960</v>
      </c>
      <c r="D305" s="186" t="s">
        <v>4081</v>
      </c>
      <c r="E305" s="186" t="s">
        <v>4081</v>
      </c>
      <c r="F305" s="189" t="s">
        <v>3629</v>
      </c>
    </row>
    <row r="306" spans="1:6" ht="12.75">
      <c r="A306" s="186" t="s">
        <v>3969</v>
      </c>
      <c r="B306" s="186" t="s">
        <v>3619</v>
      </c>
      <c r="C306" s="186" t="s">
        <v>3960</v>
      </c>
      <c r="D306" s="186" t="s">
        <v>4081</v>
      </c>
      <c r="E306" s="186" t="s">
        <v>4081</v>
      </c>
      <c r="F306" s="189" t="s">
        <v>3629</v>
      </c>
    </row>
    <row r="307" spans="1:6" ht="12.75">
      <c r="A307" s="186" t="s">
        <v>4183</v>
      </c>
      <c r="B307" s="186" t="s">
        <v>3619</v>
      </c>
      <c r="C307" s="186" t="s">
        <v>3960</v>
      </c>
      <c r="D307" s="186" t="s">
        <v>4081</v>
      </c>
      <c r="E307" s="186" t="s">
        <v>4081</v>
      </c>
      <c r="F307" s="189" t="s">
        <v>3629</v>
      </c>
    </row>
    <row r="308" spans="1:6" ht="12.75">
      <c r="A308" s="186" t="s">
        <v>3970</v>
      </c>
      <c r="B308" s="186" t="s">
        <v>3619</v>
      </c>
      <c r="C308" s="186" t="s">
        <v>3958</v>
      </c>
      <c r="D308" s="186" t="s">
        <v>3583</v>
      </c>
      <c r="E308" s="186" t="s">
        <v>4081</v>
      </c>
      <c r="F308" s="189" t="s">
        <v>3629</v>
      </c>
    </row>
    <row r="309" spans="1:6" ht="12.75">
      <c r="A309" s="186" t="s">
        <v>4184</v>
      </c>
      <c r="B309" s="186" t="s">
        <v>3619</v>
      </c>
      <c r="C309" s="186" t="s">
        <v>3960</v>
      </c>
      <c r="D309" s="186" t="s">
        <v>4081</v>
      </c>
      <c r="E309" s="186" t="s">
        <v>4081</v>
      </c>
      <c r="F309" s="189" t="s">
        <v>3629</v>
      </c>
    </row>
    <row r="310" spans="1:6" ht="12.75">
      <c r="A310" s="186" t="s">
        <v>4185</v>
      </c>
      <c r="B310" s="186" t="s">
        <v>3619</v>
      </c>
      <c r="C310" s="186" t="s">
        <v>3960</v>
      </c>
      <c r="D310" s="186" t="s">
        <v>4081</v>
      </c>
      <c r="E310" s="186" t="s">
        <v>4081</v>
      </c>
      <c r="F310" s="189" t="s">
        <v>3629</v>
      </c>
    </row>
    <row r="311" spans="1:6" ht="12.75">
      <c r="A311" s="186" t="s">
        <v>4186</v>
      </c>
      <c r="B311" s="186" t="s">
        <v>3619</v>
      </c>
      <c r="C311" s="186" t="s">
        <v>3960</v>
      </c>
      <c r="D311" s="186" t="s">
        <v>4081</v>
      </c>
      <c r="E311" s="186" t="s">
        <v>4081</v>
      </c>
      <c r="F311" s="189" t="s">
        <v>3629</v>
      </c>
    </row>
    <row r="312" spans="1:6" ht="12.75">
      <c r="A312" s="186" t="s">
        <v>4187</v>
      </c>
      <c r="B312" s="186" t="s">
        <v>3619</v>
      </c>
      <c r="C312" s="186" t="s">
        <v>3960</v>
      </c>
      <c r="D312" s="186" t="s">
        <v>4081</v>
      </c>
      <c r="E312" s="186" t="s">
        <v>4081</v>
      </c>
      <c r="F312" s="189" t="s">
        <v>3629</v>
      </c>
    </row>
    <row r="313" spans="1:6" ht="12.75">
      <c r="A313" s="186" t="s">
        <v>4188</v>
      </c>
      <c r="B313" s="186" t="s">
        <v>3619</v>
      </c>
      <c r="C313" s="186" t="s">
        <v>3958</v>
      </c>
      <c r="D313" s="186" t="s">
        <v>3583</v>
      </c>
      <c r="E313" s="186" t="s">
        <v>4081</v>
      </c>
      <c r="F313" s="189" t="s">
        <v>3629</v>
      </c>
    </row>
    <row r="314" spans="1:6" ht="12.75">
      <c r="A314" s="186" t="s">
        <v>4189</v>
      </c>
      <c r="B314" s="186" t="s">
        <v>3619</v>
      </c>
      <c r="C314" s="186" t="s">
        <v>4190</v>
      </c>
      <c r="D314" s="186" t="s">
        <v>4081</v>
      </c>
      <c r="E314" s="186" t="s">
        <v>3583</v>
      </c>
      <c r="F314" s="189" t="s">
        <v>3629</v>
      </c>
    </row>
    <row r="315" spans="1:6" ht="12.75">
      <c r="A315" s="186" t="s">
        <v>3959</v>
      </c>
      <c r="B315" s="186" t="s">
        <v>3619</v>
      </c>
      <c r="C315" s="186" t="s">
        <v>3960</v>
      </c>
      <c r="D315" s="186" t="s">
        <v>4081</v>
      </c>
      <c r="E315" s="186" t="s">
        <v>4081</v>
      </c>
      <c r="F315" s="189" t="s">
        <v>3629</v>
      </c>
    </row>
    <row r="316" spans="1:6" ht="12.75">
      <c r="A316" s="186" t="s">
        <v>4191</v>
      </c>
      <c r="B316" s="186" t="s">
        <v>3619</v>
      </c>
      <c r="C316" s="186" t="s">
        <v>4190</v>
      </c>
      <c r="D316" s="186" t="s">
        <v>4081</v>
      </c>
      <c r="E316" s="186" t="s">
        <v>3583</v>
      </c>
      <c r="F316" s="189" t="s">
        <v>3629</v>
      </c>
    </row>
    <row r="317" spans="1:6" ht="12.75">
      <c r="A317" s="186" t="s">
        <v>3971</v>
      </c>
      <c r="B317" s="186" t="s">
        <v>3619</v>
      </c>
      <c r="C317" s="186" t="s">
        <v>3960</v>
      </c>
      <c r="D317" s="186" t="s">
        <v>4081</v>
      </c>
      <c r="E317" s="186" t="s">
        <v>4081</v>
      </c>
      <c r="F317" s="189" t="s">
        <v>3629</v>
      </c>
    </row>
    <row r="318" spans="1:6" ht="12.75">
      <c r="A318" s="186" t="s">
        <v>3961</v>
      </c>
      <c r="B318" s="186" t="s">
        <v>3619</v>
      </c>
      <c r="C318" s="186" t="s">
        <v>3960</v>
      </c>
      <c r="D318" s="186" t="s">
        <v>4081</v>
      </c>
      <c r="E318" s="186" t="s">
        <v>4081</v>
      </c>
      <c r="F318" s="189" t="s">
        <v>3629</v>
      </c>
    </row>
    <row r="319" spans="1:6" ht="12.75">
      <c r="A319" s="186" t="s">
        <v>3962</v>
      </c>
      <c r="B319" s="186" t="s">
        <v>3619</v>
      </c>
      <c r="C319" s="186" t="s">
        <v>3960</v>
      </c>
      <c r="D319" s="186" t="s">
        <v>4081</v>
      </c>
      <c r="E319" s="186" t="s">
        <v>4081</v>
      </c>
      <c r="F319" s="189" t="s">
        <v>3629</v>
      </c>
    </row>
    <row r="320" spans="1:6" ht="12.75">
      <c r="A320" s="186" t="s">
        <v>3963</v>
      </c>
      <c r="B320" s="186" t="s">
        <v>3619</v>
      </c>
      <c r="C320" s="186" t="s">
        <v>3960</v>
      </c>
      <c r="D320" s="186" t="s">
        <v>4081</v>
      </c>
      <c r="E320" s="186" t="s">
        <v>4081</v>
      </c>
      <c r="F320" s="189" t="s">
        <v>3629</v>
      </c>
    </row>
    <row r="321" spans="1:6" ht="12.75">
      <c r="A321" s="186" t="s">
        <v>3964</v>
      </c>
      <c r="B321" s="186" t="s">
        <v>3619</v>
      </c>
      <c r="C321" s="186" t="s">
        <v>3958</v>
      </c>
      <c r="D321" s="186" t="s">
        <v>3583</v>
      </c>
      <c r="E321" s="186" t="s">
        <v>4081</v>
      </c>
      <c r="F321" s="189" t="s">
        <v>3629</v>
      </c>
    </row>
    <row r="322" spans="1:6" ht="12.75">
      <c r="A322" s="186" t="s">
        <v>3965</v>
      </c>
      <c r="B322" s="186" t="s">
        <v>3619</v>
      </c>
      <c r="C322" s="186" t="s">
        <v>3958</v>
      </c>
      <c r="D322" s="186" t="s">
        <v>3583</v>
      </c>
      <c r="E322" s="186" t="s">
        <v>4081</v>
      </c>
      <c r="F322" s="189" t="s">
        <v>3629</v>
      </c>
    </row>
    <row r="323" spans="1:6" ht="12.75">
      <c r="A323" s="186" t="s">
        <v>3966</v>
      </c>
      <c r="B323" s="186" t="s">
        <v>3619</v>
      </c>
      <c r="C323" s="186" t="s">
        <v>3958</v>
      </c>
      <c r="D323" s="186" t="s">
        <v>3583</v>
      </c>
      <c r="E323" s="186" t="s">
        <v>4081</v>
      </c>
      <c r="F323" s="189" t="s">
        <v>3629</v>
      </c>
    </row>
    <row r="324" spans="1:6" ht="12.75">
      <c r="A324" s="186" t="s">
        <v>3967</v>
      </c>
      <c r="B324" s="186" t="s">
        <v>3619</v>
      </c>
      <c r="C324" s="186" t="s">
        <v>3958</v>
      </c>
      <c r="D324" s="186" t="s">
        <v>3583</v>
      </c>
      <c r="E324" s="186" t="s">
        <v>4081</v>
      </c>
      <c r="F324" s="189" t="s">
        <v>3629</v>
      </c>
    </row>
    <row r="325" spans="1:6" ht="12.75">
      <c r="A325" s="186" t="s">
        <v>4192</v>
      </c>
      <c r="B325" s="186" t="s">
        <v>3619</v>
      </c>
      <c r="C325" s="186" t="s">
        <v>3924</v>
      </c>
      <c r="D325" s="186" t="s">
        <v>4080</v>
      </c>
      <c r="E325" s="186" t="s">
        <v>4080</v>
      </c>
      <c r="F325" s="189" t="s">
        <v>3629</v>
      </c>
    </row>
    <row r="326" spans="1:6" ht="12.75">
      <c r="A326" s="186" t="s">
        <v>4193</v>
      </c>
      <c r="B326" s="186" t="s">
        <v>3619</v>
      </c>
      <c r="C326" s="186" t="s">
        <v>3924</v>
      </c>
      <c r="D326" s="186" t="s">
        <v>4080</v>
      </c>
      <c r="E326" s="186" t="s">
        <v>4080</v>
      </c>
      <c r="F326" s="189" t="s">
        <v>3629</v>
      </c>
    </row>
    <row r="327" spans="1:6" ht="12.75">
      <c r="A327" s="186" t="s">
        <v>4194</v>
      </c>
      <c r="B327" s="186" t="s">
        <v>3619</v>
      </c>
      <c r="C327" s="186" t="s">
        <v>4195</v>
      </c>
      <c r="D327" s="186" t="s">
        <v>4092</v>
      </c>
      <c r="E327" s="186" t="s">
        <v>4196</v>
      </c>
      <c r="F327" s="189" t="s">
        <v>3629</v>
      </c>
    </row>
    <row r="328" spans="1:6" ht="12.75">
      <c r="A328" s="186" t="s">
        <v>4197</v>
      </c>
      <c r="B328" s="186" t="s">
        <v>3619</v>
      </c>
      <c r="C328" s="186" t="s">
        <v>4195</v>
      </c>
      <c r="D328" s="186" t="s">
        <v>4092</v>
      </c>
      <c r="E328" s="186" t="s">
        <v>4196</v>
      </c>
      <c r="F328" s="189" t="s">
        <v>3629</v>
      </c>
    </row>
    <row r="329" spans="1:6" ht="12.75">
      <c r="A329" s="186" t="s">
        <v>4198</v>
      </c>
      <c r="B329" s="186" t="s">
        <v>3619</v>
      </c>
      <c r="C329" s="186" t="s">
        <v>4199</v>
      </c>
      <c r="D329" s="186" t="s">
        <v>4092</v>
      </c>
      <c r="E329" s="186" t="s">
        <v>4092</v>
      </c>
      <c r="F329" s="189" t="s">
        <v>3629</v>
      </c>
    </row>
    <row r="330" spans="1:6" ht="12.75">
      <c r="A330" s="186" t="s">
        <v>4200</v>
      </c>
      <c r="B330" s="186" t="s">
        <v>3619</v>
      </c>
      <c r="C330" s="186" t="s">
        <v>4199</v>
      </c>
      <c r="D330" s="186" t="s">
        <v>4092</v>
      </c>
      <c r="E330" s="186" t="s">
        <v>4092</v>
      </c>
      <c r="F330" s="189" t="s">
        <v>3629</v>
      </c>
    </row>
    <row r="331" spans="1:6" ht="12.75">
      <c r="A331" s="186" t="s">
        <v>4201</v>
      </c>
      <c r="B331" s="186" t="s">
        <v>3581</v>
      </c>
      <c r="C331" s="186" t="s">
        <v>4199</v>
      </c>
      <c r="D331" s="186" t="s">
        <v>4092</v>
      </c>
      <c r="E331" s="186" t="s">
        <v>4092</v>
      </c>
      <c r="F331" s="189" t="s">
        <v>3584</v>
      </c>
    </row>
    <row r="332" spans="1:6" ht="12.75">
      <c r="A332" s="186" t="s">
        <v>4202</v>
      </c>
      <c r="B332" s="186" t="s">
        <v>3581</v>
      </c>
      <c r="C332" s="186" t="s">
        <v>4203</v>
      </c>
      <c r="D332" s="186" t="s">
        <v>4204</v>
      </c>
      <c r="E332" s="186" t="s">
        <v>3546</v>
      </c>
      <c r="F332" s="189" t="s">
        <v>3584</v>
      </c>
    </row>
    <row r="333" spans="1:6" ht="12.75">
      <c r="A333" s="186" t="s">
        <v>4041</v>
      </c>
      <c r="B333" s="186" t="s">
        <v>3581</v>
      </c>
      <c r="C333" s="186" t="s">
        <v>3549</v>
      </c>
      <c r="D333" s="186" t="s">
        <v>3540</v>
      </c>
      <c r="E333" s="186" t="s">
        <v>3550</v>
      </c>
      <c r="F333" s="189" t="s">
        <v>3584</v>
      </c>
    </row>
    <row r="334" spans="1:6" ht="12.75">
      <c r="A334" s="186" t="s">
        <v>4042</v>
      </c>
      <c r="B334" s="186" t="s">
        <v>3581</v>
      </c>
      <c r="C334" s="186" t="s">
        <v>3556</v>
      </c>
      <c r="D334" s="186" t="s">
        <v>3540</v>
      </c>
      <c r="E334" s="186" t="s">
        <v>3557</v>
      </c>
      <c r="F334" s="189" t="s">
        <v>3584</v>
      </c>
    </row>
    <row r="335" spans="1:6" ht="12.75">
      <c r="A335" s="186" t="s">
        <v>4043</v>
      </c>
      <c r="B335" s="186" t="s">
        <v>3581</v>
      </c>
      <c r="C335" s="186" t="s">
        <v>4088</v>
      </c>
      <c r="D335" s="186" t="s">
        <v>3540</v>
      </c>
      <c r="E335" s="186" t="s">
        <v>3554</v>
      </c>
      <c r="F335" s="189" t="s">
        <v>3584</v>
      </c>
    </row>
    <row r="336" spans="1:6" ht="12.75">
      <c r="A336" s="186" t="s">
        <v>4205</v>
      </c>
      <c r="B336" s="186" t="s">
        <v>3581</v>
      </c>
      <c r="C336" s="186" t="s">
        <v>3775</v>
      </c>
      <c r="D336" s="186" t="s">
        <v>3550</v>
      </c>
      <c r="E336" s="186" t="s">
        <v>3594</v>
      </c>
      <c r="F336" s="189" t="s">
        <v>3584</v>
      </c>
    </row>
    <row r="337" spans="1:6" ht="12.75">
      <c r="A337" s="186" t="s">
        <v>4206</v>
      </c>
      <c r="B337" s="186" t="s">
        <v>3581</v>
      </c>
      <c r="C337" s="186" t="s">
        <v>4199</v>
      </c>
      <c r="D337" s="186" t="s">
        <v>4092</v>
      </c>
      <c r="E337" s="186" t="s">
        <v>4092</v>
      </c>
      <c r="F337" s="189" t="s">
        <v>3584</v>
      </c>
    </row>
    <row r="338" spans="1:6" ht="12.75">
      <c r="A338" s="186" t="s">
        <v>4207</v>
      </c>
      <c r="B338" s="186" t="s">
        <v>3581</v>
      </c>
      <c r="C338" s="186" t="s">
        <v>4208</v>
      </c>
      <c r="D338" s="186" t="s">
        <v>3540</v>
      </c>
      <c r="E338" s="186" t="s">
        <v>4204</v>
      </c>
      <c r="F338" s="189" t="s">
        <v>3584</v>
      </c>
    </row>
    <row r="339" spans="1:6" ht="12.75">
      <c r="A339" s="186" t="s">
        <v>4209</v>
      </c>
      <c r="B339" s="186" t="s">
        <v>3581</v>
      </c>
      <c r="C339" s="186" t="s">
        <v>4208</v>
      </c>
      <c r="D339" s="186" t="s">
        <v>3540</v>
      </c>
      <c r="E339" s="186" t="s">
        <v>4204</v>
      </c>
      <c r="F339" s="189" t="s">
        <v>3584</v>
      </c>
    </row>
    <row r="340" spans="1:6" ht="12.75">
      <c r="A340" s="186" t="s">
        <v>4210</v>
      </c>
      <c r="B340" s="186" t="s">
        <v>3581</v>
      </c>
      <c r="C340" s="186" t="s">
        <v>4211</v>
      </c>
      <c r="D340" s="186" t="s">
        <v>4204</v>
      </c>
      <c r="E340" s="186" t="s">
        <v>3564</v>
      </c>
      <c r="F340" s="189" t="s">
        <v>3584</v>
      </c>
    </row>
    <row r="341" spans="1:6" ht="12.75">
      <c r="A341" s="186" t="s">
        <v>4212</v>
      </c>
      <c r="B341" s="186" t="s">
        <v>3581</v>
      </c>
      <c r="C341" s="186" t="s">
        <v>4211</v>
      </c>
      <c r="D341" s="186" t="s">
        <v>4204</v>
      </c>
      <c r="E341" s="186" t="s">
        <v>3564</v>
      </c>
      <c r="F341" s="189" t="s">
        <v>3584</v>
      </c>
    </row>
    <row r="342" spans="1:6" ht="12.75">
      <c r="A342" s="186" t="s">
        <v>4213</v>
      </c>
      <c r="B342" s="186" t="s">
        <v>3581</v>
      </c>
      <c r="C342" s="186" t="s">
        <v>4214</v>
      </c>
      <c r="D342" s="186" t="s">
        <v>4204</v>
      </c>
      <c r="E342" s="186" t="s">
        <v>4165</v>
      </c>
      <c r="F342" s="189" t="s">
        <v>3584</v>
      </c>
    </row>
    <row r="343" spans="1:6" ht="12.75">
      <c r="A343" s="186" t="s">
        <v>3568</v>
      </c>
      <c r="B343" s="186" t="s">
        <v>3569</v>
      </c>
      <c r="C343" s="186" t="s">
        <v>4125</v>
      </c>
      <c r="D343" s="186" t="s">
        <v>3583</v>
      </c>
      <c r="E343" s="186" t="s">
        <v>3583</v>
      </c>
      <c r="F343" s="189" t="s">
        <v>3572</v>
      </c>
    </row>
    <row r="344" spans="1:6" ht="12.75">
      <c r="A344" s="186" t="s">
        <v>4215</v>
      </c>
      <c r="B344" s="186" t="s">
        <v>4216</v>
      </c>
      <c r="C344" s="186" t="s">
        <v>4199</v>
      </c>
      <c r="D344" s="186" t="s">
        <v>4092</v>
      </c>
      <c r="E344" s="186" t="s">
        <v>4092</v>
      </c>
      <c r="F344" s="189" t="s">
        <v>4217</v>
      </c>
    </row>
    <row r="345" spans="1:6" ht="12.75">
      <c r="A345" s="186" t="s">
        <v>4044</v>
      </c>
      <c r="B345" s="186" t="s">
        <v>4218</v>
      </c>
      <c r="C345" s="186" t="s">
        <v>4073</v>
      </c>
      <c r="D345" s="186" t="s">
        <v>3564</v>
      </c>
      <c r="E345" s="186" t="s">
        <v>3546</v>
      </c>
      <c r="F345" s="189" t="s">
        <v>4219</v>
      </c>
    </row>
    <row r="346" spans="1:6" ht="12.75">
      <c r="A346" s="186" t="s">
        <v>3974</v>
      </c>
      <c r="B346" s="186" t="s">
        <v>3975</v>
      </c>
      <c r="C346" s="186" t="s">
        <v>4098</v>
      </c>
      <c r="D346" s="186" t="s">
        <v>3632</v>
      </c>
      <c r="E346" s="186" t="s">
        <v>4078</v>
      </c>
      <c r="F346" s="189" t="s">
        <v>3976</v>
      </c>
    </row>
    <row r="347" spans="1:6" ht="12.75">
      <c r="A347" s="186" t="s">
        <v>3977</v>
      </c>
      <c r="B347" s="186" t="s">
        <v>3975</v>
      </c>
      <c r="C347" s="186" t="s">
        <v>4099</v>
      </c>
      <c r="D347" s="186" t="s">
        <v>4078</v>
      </c>
      <c r="E347" s="186" t="s">
        <v>4078</v>
      </c>
      <c r="F347" s="189" t="s">
        <v>3976</v>
      </c>
    </row>
    <row r="348" spans="1:6" ht="12.75">
      <c r="A348" s="186" t="s">
        <v>4220</v>
      </c>
      <c r="B348" s="186" t="s">
        <v>3975</v>
      </c>
      <c r="C348" s="186" t="s">
        <v>3634</v>
      </c>
      <c r="D348" s="186" t="s">
        <v>3550</v>
      </c>
      <c r="E348" s="186" t="s">
        <v>3550</v>
      </c>
      <c r="F348" s="189" t="s">
        <v>3976</v>
      </c>
    </row>
    <row r="349" spans="1:6" ht="12.75">
      <c r="A349" s="186" t="s">
        <v>3668</v>
      </c>
      <c r="B349" s="186" t="s">
        <v>3975</v>
      </c>
      <c r="C349" s="186" t="s">
        <v>4099</v>
      </c>
      <c r="D349" s="186" t="s">
        <v>4078</v>
      </c>
      <c r="E349" s="186" t="s">
        <v>4078</v>
      </c>
      <c r="F349" s="189" t="s">
        <v>3976</v>
      </c>
    </row>
    <row r="350" spans="1:6" ht="12.75">
      <c r="A350" s="186" t="s">
        <v>3978</v>
      </c>
      <c r="B350" s="186" t="s">
        <v>3975</v>
      </c>
      <c r="C350" s="186" t="s">
        <v>4098</v>
      </c>
      <c r="D350" s="186" t="s">
        <v>3632</v>
      </c>
      <c r="E350" s="186" t="s">
        <v>4078</v>
      </c>
      <c r="F350" s="189" t="s">
        <v>3976</v>
      </c>
    </row>
    <row r="351" spans="1:6" ht="12.75">
      <c r="A351" s="186" t="s">
        <v>3984</v>
      </c>
      <c r="B351" s="186" t="s">
        <v>3975</v>
      </c>
      <c r="C351" s="186" t="s">
        <v>4221</v>
      </c>
      <c r="D351" s="186" t="s">
        <v>4103</v>
      </c>
      <c r="E351" s="186" t="s">
        <v>3540</v>
      </c>
      <c r="F351" s="189" t="s">
        <v>3976</v>
      </c>
    </row>
    <row r="352" spans="1:6" ht="12.75">
      <c r="A352" s="186" t="s">
        <v>3986</v>
      </c>
      <c r="B352" s="186" t="s">
        <v>3975</v>
      </c>
      <c r="C352" s="186" t="s">
        <v>3543</v>
      </c>
      <c r="D352" s="186" t="s">
        <v>3540</v>
      </c>
      <c r="E352" s="186" t="s">
        <v>3540</v>
      </c>
      <c r="F352" s="189" t="s">
        <v>3976</v>
      </c>
    </row>
    <row r="353" spans="1:6" ht="12.75">
      <c r="A353" s="186" t="s">
        <v>3699</v>
      </c>
      <c r="B353" s="186" t="s">
        <v>3975</v>
      </c>
      <c r="C353" s="186" t="s">
        <v>4102</v>
      </c>
      <c r="D353" s="186" t="s">
        <v>3539</v>
      </c>
      <c r="E353" s="186" t="s">
        <v>4103</v>
      </c>
      <c r="F353" s="189" t="s">
        <v>3976</v>
      </c>
    </row>
    <row r="354" spans="1:6" ht="12.75">
      <c r="A354" s="186" t="s">
        <v>3701</v>
      </c>
      <c r="B354" s="186" t="s">
        <v>3975</v>
      </c>
      <c r="C354" s="186" t="s">
        <v>4101</v>
      </c>
      <c r="D354" s="186" t="s">
        <v>3539</v>
      </c>
      <c r="E354" s="186" t="s">
        <v>3539</v>
      </c>
      <c r="F354" s="189" t="s">
        <v>3976</v>
      </c>
    </row>
    <row r="355" spans="1:6" ht="12.75">
      <c r="A355" s="186" t="s">
        <v>3702</v>
      </c>
      <c r="B355" s="186" t="s">
        <v>3975</v>
      </c>
      <c r="C355" s="186" t="s">
        <v>4222</v>
      </c>
      <c r="D355" s="186" t="s">
        <v>4103</v>
      </c>
      <c r="E355" s="186" t="s">
        <v>4103</v>
      </c>
      <c r="F355" s="189" t="s">
        <v>3976</v>
      </c>
    </row>
    <row r="356" spans="1:6" ht="12.75">
      <c r="A356" s="186" t="s">
        <v>3703</v>
      </c>
      <c r="B356" s="186" t="s">
        <v>3975</v>
      </c>
      <c r="C356" s="186" t="s">
        <v>4101</v>
      </c>
      <c r="D356" s="186" t="s">
        <v>3539</v>
      </c>
      <c r="E356" s="186" t="s">
        <v>3539</v>
      </c>
      <c r="F356" s="189" t="s">
        <v>3976</v>
      </c>
    </row>
    <row r="357" spans="1:6" ht="12.75">
      <c r="A357" s="186" t="s">
        <v>3704</v>
      </c>
      <c r="B357" s="186" t="s">
        <v>3975</v>
      </c>
      <c r="C357" s="186" t="s">
        <v>4101</v>
      </c>
      <c r="D357" s="186" t="s">
        <v>3539</v>
      </c>
      <c r="E357" s="186" t="s">
        <v>3539</v>
      </c>
      <c r="F357" s="189" t="s">
        <v>3976</v>
      </c>
    </row>
    <row r="358" spans="1:6" ht="12.75">
      <c r="A358" s="186" t="s">
        <v>3705</v>
      </c>
      <c r="B358" s="186" t="s">
        <v>3975</v>
      </c>
      <c r="C358" s="186" t="s">
        <v>4101</v>
      </c>
      <c r="D358" s="186" t="s">
        <v>3539</v>
      </c>
      <c r="E358" s="186" t="s">
        <v>3539</v>
      </c>
      <c r="F358" s="189" t="s">
        <v>3976</v>
      </c>
    </row>
    <row r="359" spans="1:6" ht="12.75">
      <c r="A359" s="186" t="s">
        <v>3706</v>
      </c>
      <c r="B359" s="186" t="s">
        <v>3975</v>
      </c>
      <c r="C359" s="186" t="s">
        <v>4101</v>
      </c>
      <c r="D359" s="186" t="s">
        <v>3539</v>
      </c>
      <c r="E359" s="186" t="s">
        <v>3539</v>
      </c>
      <c r="F359" s="189" t="s">
        <v>3976</v>
      </c>
    </row>
    <row r="360" spans="1:6" ht="12.75">
      <c r="A360" s="186" t="s">
        <v>3707</v>
      </c>
      <c r="B360" s="186" t="s">
        <v>3975</v>
      </c>
      <c r="C360" s="186" t="s">
        <v>4101</v>
      </c>
      <c r="D360" s="186" t="s">
        <v>3539</v>
      </c>
      <c r="E360" s="186" t="s">
        <v>3539</v>
      </c>
      <c r="F360" s="189" t="s">
        <v>3976</v>
      </c>
    </row>
    <row r="361" spans="1:6" ht="12.75">
      <c r="A361" s="186" t="s">
        <v>3748</v>
      </c>
      <c r="B361" s="186" t="s">
        <v>3975</v>
      </c>
      <c r="C361" s="186" t="s">
        <v>3634</v>
      </c>
      <c r="D361" s="186" t="s">
        <v>3550</v>
      </c>
      <c r="E361" s="186" t="s">
        <v>3550</v>
      </c>
      <c r="F361" s="189" t="s">
        <v>3976</v>
      </c>
    </row>
    <row r="362" spans="1:6" ht="12.75">
      <c r="A362" s="186" t="s">
        <v>3987</v>
      </c>
      <c r="B362" s="186" t="s">
        <v>3975</v>
      </c>
      <c r="C362" s="186" t="s">
        <v>3724</v>
      </c>
      <c r="D362" s="186" t="s">
        <v>3583</v>
      </c>
      <c r="E362" s="186" t="s">
        <v>3550</v>
      </c>
      <c r="F362" s="189" t="s">
        <v>3976</v>
      </c>
    </row>
    <row r="363" spans="1:6" ht="12.75">
      <c r="A363" s="186" t="s">
        <v>3988</v>
      </c>
      <c r="B363" s="186" t="s">
        <v>3975</v>
      </c>
      <c r="C363" s="186" t="s">
        <v>4223</v>
      </c>
      <c r="D363" s="186" t="s">
        <v>4172</v>
      </c>
      <c r="E363" s="186" t="s">
        <v>3550</v>
      </c>
      <c r="F363" s="189" t="s">
        <v>3976</v>
      </c>
    </row>
    <row r="364" spans="1:6" ht="12.75">
      <c r="A364" s="186" t="s">
        <v>3989</v>
      </c>
      <c r="B364" s="186" t="s">
        <v>3975</v>
      </c>
      <c r="C364" s="186" t="s">
        <v>4223</v>
      </c>
      <c r="D364" s="186" t="s">
        <v>4172</v>
      </c>
      <c r="E364" s="186" t="s">
        <v>3550</v>
      </c>
      <c r="F364" s="189" t="s">
        <v>3976</v>
      </c>
    </row>
    <row r="365" spans="1:6" ht="12.75">
      <c r="A365" s="186" t="s">
        <v>4224</v>
      </c>
      <c r="B365" s="186" t="s">
        <v>3975</v>
      </c>
      <c r="C365" s="186" t="s">
        <v>4225</v>
      </c>
      <c r="D365" s="186" t="s">
        <v>3550</v>
      </c>
      <c r="E365" s="186" t="s">
        <v>4172</v>
      </c>
      <c r="F365" s="189" t="s">
        <v>3976</v>
      </c>
    </row>
    <row r="366" spans="1:6" ht="12.75">
      <c r="A366" s="186" t="s">
        <v>4226</v>
      </c>
      <c r="B366" s="186" t="s">
        <v>3975</v>
      </c>
      <c r="C366" s="186" t="s">
        <v>3634</v>
      </c>
      <c r="D366" s="186" t="s">
        <v>3550</v>
      </c>
      <c r="E366" s="186" t="s">
        <v>3550</v>
      </c>
      <c r="F366" s="189" t="s">
        <v>3976</v>
      </c>
    </row>
    <row r="367" spans="1:6" ht="12.75">
      <c r="A367" s="186" t="s">
        <v>4227</v>
      </c>
      <c r="B367" s="186" t="s">
        <v>3975</v>
      </c>
      <c r="C367" s="186" t="s">
        <v>3647</v>
      </c>
      <c r="D367" s="186" t="s">
        <v>3550</v>
      </c>
      <c r="E367" s="186" t="s">
        <v>3628</v>
      </c>
      <c r="F367" s="189" t="s">
        <v>3976</v>
      </c>
    </row>
    <row r="368" spans="1:6" ht="12.75">
      <c r="A368" s="186" t="s">
        <v>4228</v>
      </c>
      <c r="B368" s="186" t="s">
        <v>3975</v>
      </c>
      <c r="C368" s="186" t="s">
        <v>3724</v>
      </c>
      <c r="D368" s="186" t="s">
        <v>3583</v>
      </c>
      <c r="E368" s="186" t="s">
        <v>3550</v>
      </c>
      <c r="F368" s="189" t="s">
        <v>3976</v>
      </c>
    </row>
    <row r="369" spans="1:6" ht="12.75">
      <c r="A369" s="186" t="s">
        <v>4229</v>
      </c>
      <c r="B369" s="186" t="s">
        <v>3975</v>
      </c>
      <c r="C369" s="186" t="s">
        <v>3634</v>
      </c>
      <c r="D369" s="186" t="s">
        <v>3550</v>
      </c>
      <c r="E369" s="186" t="s">
        <v>3550</v>
      </c>
      <c r="F369" s="189" t="s">
        <v>3976</v>
      </c>
    </row>
    <row r="370" spans="1:6" ht="12.75">
      <c r="A370" s="186" t="s">
        <v>4230</v>
      </c>
      <c r="B370" s="186" t="s">
        <v>3975</v>
      </c>
      <c r="C370" s="186" t="s">
        <v>4231</v>
      </c>
      <c r="D370" s="186" t="s">
        <v>4172</v>
      </c>
      <c r="E370" s="186" t="s">
        <v>3557</v>
      </c>
      <c r="F370" s="189" t="s">
        <v>3976</v>
      </c>
    </row>
    <row r="371" spans="1:6" ht="12.75">
      <c r="A371" s="186" t="s">
        <v>3990</v>
      </c>
      <c r="B371" s="186" t="s">
        <v>3975</v>
      </c>
      <c r="C371" s="186" t="s">
        <v>4131</v>
      </c>
      <c r="D371" s="186" t="s">
        <v>3554</v>
      </c>
      <c r="E371" s="186" t="s">
        <v>3554</v>
      </c>
      <c r="F371" s="189" t="s">
        <v>3976</v>
      </c>
    </row>
    <row r="372" spans="1:6" ht="12.75">
      <c r="A372" s="186" t="s">
        <v>3991</v>
      </c>
      <c r="B372" s="186" t="s">
        <v>3975</v>
      </c>
      <c r="C372" s="186" t="s">
        <v>4131</v>
      </c>
      <c r="D372" s="186" t="s">
        <v>3554</v>
      </c>
      <c r="E372" s="186" t="s">
        <v>3554</v>
      </c>
      <c r="F372" s="189" t="s">
        <v>3976</v>
      </c>
    </row>
    <row r="373" spans="1:6" ht="12.75">
      <c r="A373" s="186" t="s">
        <v>3992</v>
      </c>
      <c r="B373" s="186" t="s">
        <v>3975</v>
      </c>
      <c r="C373" s="186" t="s">
        <v>4131</v>
      </c>
      <c r="D373" s="186" t="s">
        <v>3554</v>
      </c>
      <c r="E373" s="186" t="s">
        <v>3554</v>
      </c>
      <c r="F373" s="189" t="s">
        <v>3976</v>
      </c>
    </row>
    <row r="374" spans="1:6" ht="12.75">
      <c r="A374" s="186" t="s">
        <v>4232</v>
      </c>
      <c r="B374" s="186" t="s">
        <v>3975</v>
      </c>
      <c r="C374" s="186" t="s">
        <v>3828</v>
      </c>
      <c r="D374" s="186" t="s">
        <v>3554</v>
      </c>
      <c r="E374" s="186" t="s">
        <v>3554</v>
      </c>
      <c r="F374" s="189" t="s">
        <v>3976</v>
      </c>
    </row>
    <row r="375" spans="1:6" ht="12.75">
      <c r="A375" s="186" t="s">
        <v>4233</v>
      </c>
      <c r="B375" s="186" t="s">
        <v>3975</v>
      </c>
      <c r="C375" s="186" t="s">
        <v>4134</v>
      </c>
      <c r="D375" s="186" t="s">
        <v>3554</v>
      </c>
      <c r="E375" s="186" t="s">
        <v>3554</v>
      </c>
      <c r="F375" s="189" t="s">
        <v>3976</v>
      </c>
    </row>
    <row r="376" spans="1:6" ht="12.75">
      <c r="A376" s="186" t="s">
        <v>3993</v>
      </c>
      <c r="B376" s="186" t="s">
        <v>3975</v>
      </c>
      <c r="C376" s="186" t="s">
        <v>3876</v>
      </c>
      <c r="D376" s="186" t="s">
        <v>3877</v>
      </c>
      <c r="E376" s="186" t="s">
        <v>3877</v>
      </c>
      <c r="F376" s="189" t="s">
        <v>3976</v>
      </c>
    </row>
    <row r="377" spans="1:6" ht="12.75">
      <c r="A377" s="186" t="s">
        <v>4002</v>
      </c>
      <c r="B377" s="186" t="s">
        <v>3975</v>
      </c>
      <c r="C377" s="186" t="s">
        <v>3876</v>
      </c>
      <c r="D377" s="186" t="s">
        <v>3877</v>
      </c>
      <c r="E377" s="186" t="s">
        <v>3877</v>
      </c>
      <c r="F377" s="189" t="s">
        <v>3976</v>
      </c>
    </row>
    <row r="378" spans="1:6" ht="12.75">
      <c r="A378" s="186" t="s">
        <v>3994</v>
      </c>
      <c r="B378" s="186" t="s">
        <v>3975</v>
      </c>
      <c r="C378" s="186" t="s">
        <v>3876</v>
      </c>
      <c r="D378" s="186" t="s">
        <v>3877</v>
      </c>
      <c r="E378" s="186" t="s">
        <v>3877</v>
      </c>
      <c r="F378" s="189" t="s">
        <v>3976</v>
      </c>
    </row>
    <row r="379" spans="1:6" ht="12.75">
      <c r="A379" s="186" t="s">
        <v>3996</v>
      </c>
      <c r="B379" s="186" t="s">
        <v>3975</v>
      </c>
      <c r="C379" s="186" t="s">
        <v>3876</v>
      </c>
      <c r="D379" s="186" t="s">
        <v>3877</v>
      </c>
      <c r="E379" s="186" t="s">
        <v>3877</v>
      </c>
      <c r="F379" s="189" t="s">
        <v>3976</v>
      </c>
    </row>
    <row r="380" spans="1:6" ht="12.75">
      <c r="A380" s="186" t="s">
        <v>3997</v>
      </c>
      <c r="B380" s="186" t="s">
        <v>3975</v>
      </c>
      <c r="C380" s="186" t="s">
        <v>3876</v>
      </c>
      <c r="D380" s="186" t="s">
        <v>3877</v>
      </c>
      <c r="E380" s="186" t="s">
        <v>3877</v>
      </c>
      <c r="F380" s="189" t="s">
        <v>3976</v>
      </c>
    </row>
    <row r="381" spans="1:6" ht="12.75">
      <c r="A381" s="186" t="s">
        <v>3998</v>
      </c>
      <c r="B381" s="186" t="s">
        <v>3975</v>
      </c>
      <c r="C381" s="186" t="s">
        <v>3876</v>
      </c>
      <c r="D381" s="186" t="s">
        <v>3877</v>
      </c>
      <c r="E381" s="186" t="s">
        <v>3877</v>
      </c>
      <c r="F381" s="189" t="s">
        <v>3976</v>
      </c>
    </row>
    <row r="382" spans="1:6" ht="12.75">
      <c r="A382" s="186" t="s">
        <v>3999</v>
      </c>
      <c r="B382" s="186" t="s">
        <v>3975</v>
      </c>
      <c r="C382" s="186" t="s">
        <v>3876</v>
      </c>
      <c r="D382" s="186" t="s">
        <v>3877</v>
      </c>
      <c r="E382" s="186" t="s">
        <v>3877</v>
      </c>
      <c r="F382" s="189" t="s">
        <v>3976</v>
      </c>
    </row>
    <row r="383" spans="1:6" ht="12.75">
      <c r="A383" s="186" t="s">
        <v>4000</v>
      </c>
      <c r="B383" s="186" t="s">
        <v>3975</v>
      </c>
      <c r="C383" s="186" t="s">
        <v>3876</v>
      </c>
      <c r="D383" s="186" t="s">
        <v>3877</v>
      </c>
      <c r="E383" s="186" t="s">
        <v>3877</v>
      </c>
      <c r="F383" s="189" t="s">
        <v>3976</v>
      </c>
    </row>
    <row r="384" spans="1:6" ht="12.75">
      <c r="A384" s="186" t="s">
        <v>4001</v>
      </c>
      <c r="B384" s="186" t="s">
        <v>3975</v>
      </c>
      <c r="C384" s="186" t="s">
        <v>3876</v>
      </c>
      <c r="D384" s="186" t="s">
        <v>3877</v>
      </c>
      <c r="E384" s="186" t="s">
        <v>3877</v>
      </c>
      <c r="F384" s="189" t="s">
        <v>3976</v>
      </c>
    </row>
    <row r="385" spans="1:6" ht="12.75">
      <c r="A385" s="186" t="s">
        <v>4007</v>
      </c>
      <c r="B385" s="186" t="s">
        <v>3975</v>
      </c>
      <c r="C385" s="186" t="s">
        <v>3886</v>
      </c>
      <c r="D385" s="186" t="s">
        <v>3571</v>
      </c>
      <c r="E385" s="186" t="s">
        <v>4165</v>
      </c>
      <c r="F385" s="189" t="s">
        <v>3976</v>
      </c>
    </row>
    <row r="386" spans="1:6" ht="12.75">
      <c r="A386" s="186" t="s">
        <v>4008</v>
      </c>
      <c r="B386" s="186" t="s">
        <v>3975</v>
      </c>
      <c r="C386" s="186" t="s">
        <v>3886</v>
      </c>
      <c r="D386" s="186" t="s">
        <v>3571</v>
      </c>
      <c r="E386" s="186" t="s">
        <v>4165</v>
      </c>
      <c r="F386" s="189" t="s">
        <v>3976</v>
      </c>
    </row>
    <row r="387" spans="1:6" ht="12.75">
      <c r="A387" s="186" t="s">
        <v>4009</v>
      </c>
      <c r="B387" s="186" t="s">
        <v>3975</v>
      </c>
      <c r="C387" s="186" t="s">
        <v>3886</v>
      </c>
      <c r="D387" s="186" t="s">
        <v>3571</v>
      </c>
      <c r="E387" s="186" t="s">
        <v>4165</v>
      </c>
      <c r="F387" s="189" t="s">
        <v>3976</v>
      </c>
    </row>
    <row r="388" spans="1:6" ht="12.75">
      <c r="A388" s="186" t="s">
        <v>4010</v>
      </c>
      <c r="B388" s="186" t="s">
        <v>3975</v>
      </c>
      <c r="C388" s="186" t="s">
        <v>3886</v>
      </c>
      <c r="D388" s="186" t="s">
        <v>3571</v>
      </c>
      <c r="E388" s="186" t="s">
        <v>4165</v>
      </c>
      <c r="F388" s="189" t="s">
        <v>3976</v>
      </c>
    </row>
    <row r="389" spans="1:6" ht="12.75">
      <c r="A389" s="186" t="s">
        <v>4011</v>
      </c>
      <c r="B389" s="186" t="s">
        <v>3975</v>
      </c>
      <c r="C389" s="186" t="s">
        <v>3886</v>
      </c>
      <c r="D389" s="186" t="s">
        <v>3571</v>
      </c>
      <c r="E389" s="186" t="s">
        <v>4165</v>
      </c>
      <c r="F389" s="189" t="s">
        <v>3976</v>
      </c>
    </row>
    <row r="390" spans="1:6" ht="12.75">
      <c r="A390" s="186" t="s">
        <v>4012</v>
      </c>
      <c r="B390" s="186" t="s">
        <v>3975</v>
      </c>
      <c r="C390" s="186" t="s">
        <v>3886</v>
      </c>
      <c r="D390" s="186" t="s">
        <v>3571</v>
      </c>
      <c r="E390" s="186" t="s">
        <v>4165</v>
      </c>
      <c r="F390" s="189" t="s">
        <v>3976</v>
      </c>
    </row>
    <row r="391" spans="1:6" ht="12.75">
      <c r="A391" s="186" t="s">
        <v>4013</v>
      </c>
      <c r="B391" s="186" t="s">
        <v>3975</v>
      </c>
      <c r="C391" s="186" t="s">
        <v>3886</v>
      </c>
      <c r="D391" s="186" t="s">
        <v>3571</v>
      </c>
      <c r="E391" s="186" t="s">
        <v>4165</v>
      </c>
      <c r="F391" s="189" t="s">
        <v>3976</v>
      </c>
    </row>
    <row r="392" spans="1:6" ht="12.75">
      <c r="A392" s="186" t="s">
        <v>4014</v>
      </c>
      <c r="B392" s="186" t="s">
        <v>3975</v>
      </c>
      <c r="C392" s="186" t="s">
        <v>3886</v>
      </c>
      <c r="D392" s="186" t="s">
        <v>3571</v>
      </c>
      <c r="E392" s="186" t="s">
        <v>4165</v>
      </c>
      <c r="F392" s="189" t="s">
        <v>3976</v>
      </c>
    </row>
    <row r="393" spans="1:6" ht="12.75">
      <c r="A393" s="186" t="s">
        <v>4015</v>
      </c>
      <c r="B393" s="186" t="s">
        <v>3975</v>
      </c>
      <c r="C393" s="186" t="s">
        <v>3899</v>
      </c>
      <c r="D393" s="186" t="s">
        <v>4165</v>
      </c>
      <c r="E393" s="186" t="s">
        <v>4165</v>
      </c>
      <c r="F393" s="189" t="s">
        <v>3976</v>
      </c>
    </row>
    <row r="394" spans="1:6" ht="12.75">
      <c r="A394" s="186" t="s">
        <v>4016</v>
      </c>
      <c r="B394" s="186" t="s">
        <v>3975</v>
      </c>
      <c r="C394" s="186" t="s">
        <v>3899</v>
      </c>
      <c r="D394" s="186" t="s">
        <v>4165</v>
      </c>
      <c r="E394" s="186" t="s">
        <v>4165</v>
      </c>
      <c r="F394" s="189" t="s">
        <v>3976</v>
      </c>
    </row>
    <row r="395" spans="1:6" ht="12.75">
      <c r="A395" s="186" t="s">
        <v>4017</v>
      </c>
      <c r="B395" s="186" t="s">
        <v>3975</v>
      </c>
      <c r="C395" s="186" t="s">
        <v>3899</v>
      </c>
      <c r="D395" s="186" t="s">
        <v>4165</v>
      </c>
      <c r="E395" s="186" t="s">
        <v>4165</v>
      </c>
      <c r="F395" s="189" t="s">
        <v>3976</v>
      </c>
    </row>
    <row r="396" spans="1:6" ht="12.75">
      <c r="A396" s="186" t="s">
        <v>4018</v>
      </c>
      <c r="B396" s="186" t="s">
        <v>3975</v>
      </c>
      <c r="C396" s="186" t="s">
        <v>3899</v>
      </c>
      <c r="D396" s="186" t="s">
        <v>4165</v>
      </c>
      <c r="E396" s="186" t="s">
        <v>4165</v>
      </c>
      <c r="F396" s="189" t="s">
        <v>3976</v>
      </c>
    </row>
    <row r="397" spans="1:6" ht="12.75">
      <c r="A397" s="186" t="s">
        <v>4020</v>
      </c>
      <c r="B397" s="186" t="s">
        <v>3975</v>
      </c>
      <c r="C397" s="186" t="s">
        <v>3899</v>
      </c>
      <c r="D397" s="186" t="s">
        <v>4165</v>
      </c>
      <c r="E397" s="186" t="s">
        <v>4165</v>
      </c>
      <c r="F397" s="189" t="s">
        <v>3976</v>
      </c>
    </row>
    <row r="398" spans="1:6" ht="12.75">
      <c r="A398" s="186" t="s">
        <v>4021</v>
      </c>
      <c r="B398" s="186" t="s">
        <v>3975</v>
      </c>
      <c r="C398" s="186" t="s">
        <v>3899</v>
      </c>
      <c r="D398" s="186" t="s">
        <v>4165</v>
      </c>
      <c r="E398" s="186" t="s">
        <v>4165</v>
      </c>
      <c r="F398" s="189" t="s">
        <v>3976</v>
      </c>
    </row>
    <row r="399" spans="1:6" ht="12.75">
      <c r="A399" s="186" t="s">
        <v>4022</v>
      </c>
      <c r="B399" s="186" t="s">
        <v>3975</v>
      </c>
      <c r="C399" s="186" t="s">
        <v>3899</v>
      </c>
      <c r="D399" s="186" t="s">
        <v>4165</v>
      </c>
      <c r="E399" s="186" t="s">
        <v>4165</v>
      </c>
      <c r="F399" s="189" t="s">
        <v>3976</v>
      </c>
    </row>
    <row r="400" spans="1:6" ht="12.75">
      <c r="A400" s="186" t="s">
        <v>4023</v>
      </c>
      <c r="B400" s="186" t="s">
        <v>3975</v>
      </c>
      <c r="C400" s="186" t="s">
        <v>3899</v>
      </c>
      <c r="D400" s="186" t="s">
        <v>4165</v>
      </c>
      <c r="E400" s="186" t="s">
        <v>4165</v>
      </c>
      <c r="F400" s="189" t="s">
        <v>3976</v>
      </c>
    </row>
    <row r="401" spans="1:6" ht="12.75">
      <c r="A401" s="186" t="s">
        <v>4024</v>
      </c>
      <c r="B401" s="186" t="s">
        <v>3975</v>
      </c>
      <c r="C401" s="186" t="s">
        <v>3899</v>
      </c>
      <c r="D401" s="186" t="s">
        <v>4165</v>
      </c>
      <c r="E401" s="186" t="s">
        <v>4165</v>
      </c>
      <c r="F401" s="189" t="s">
        <v>3976</v>
      </c>
    </row>
    <row r="402" spans="1:6" ht="12.75">
      <c r="A402" s="186" t="s">
        <v>4027</v>
      </c>
      <c r="B402" s="186" t="s">
        <v>3975</v>
      </c>
      <c r="C402" s="186" t="s">
        <v>3886</v>
      </c>
      <c r="D402" s="186" t="s">
        <v>3571</v>
      </c>
      <c r="E402" s="186" t="s">
        <v>4165</v>
      </c>
      <c r="F402" s="189" t="s">
        <v>3976</v>
      </c>
    </row>
    <row r="403" spans="1:6" ht="12.75">
      <c r="A403" s="186" t="s">
        <v>4028</v>
      </c>
      <c r="B403" s="186" t="s">
        <v>3975</v>
      </c>
      <c r="C403" s="186" t="s">
        <v>3886</v>
      </c>
      <c r="D403" s="186" t="s">
        <v>3571</v>
      </c>
      <c r="E403" s="186" t="s">
        <v>4165</v>
      </c>
      <c r="F403" s="189" t="s">
        <v>3976</v>
      </c>
    </row>
    <row r="404" spans="1:6" ht="12.75">
      <c r="A404" s="186" t="s">
        <v>4029</v>
      </c>
      <c r="B404" s="186" t="s">
        <v>3975</v>
      </c>
      <c r="C404" s="186" t="s">
        <v>3886</v>
      </c>
      <c r="D404" s="186" t="s">
        <v>3571</v>
      </c>
      <c r="E404" s="186" t="s">
        <v>4165</v>
      </c>
      <c r="F404" s="189" t="s">
        <v>3976</v>
      </c>
    </row>
    <row r="405" spans="1:6" ht="12.75">
      <c r="A405" s="186" t="s">
        <v>4030</v>
      </c>
      <c r="B405" s="186" t="s">
        <v>3975</v>
      </c>
      <c r="C405" s="186" t="s">
        <v>3886</v>
      </c>
      <c r="D405" s="186" t="s">
        <v>3571</v>
      </c>
      <c r="E405" s="186" t="s">
        <v>4165</v>
      </c>
      <c r="F405" s="189" t="s">
        <v>3976</v>
      </c>
    </row>
    <row r="406" spans="1:6" ht="12.75">
      <c r="A406" s="186" t="s">
        <v>4003</v>
      </c>
      <c r="B406" s="186" t="s">
        <v>3975</v>
      </c>
      <c r="C406" s="186" t="s">
        <v>3886</v>
      </c>
      <c r="D406" s="186" t="s">
        <v>3571</v>
      </c>
      <c r="E406" s="186" t="s">
        <v>4165</v>
      </c>
      <c r="F406" s="189" t="s">
        <v>3976</v>
      </c>
    </row>
    <row r="407" spans="1:6" ht="12.75">
      <c r="A407" s="186" t="s">
        <v>4004</v>
      </c>
      <c r="B407" s="186" t="s">
        <v>3975</v>
      </c>
      <c r="C407" s="186" t="s">
        <v>3886</v>
      </c>
      <c r="D407" s="186" t="s">
        <v>3571</v>
      </c>
      <c r="E407" s="186" t="s">
        <v>4165</v>
      </c>
      <c r="F407" s="189" t="s">
        <v>3976</v>
      </c>
    </row>
    <row r="408" spans="1:6" ht="12.75">
      <c r="A408" s="186" t="s">
        <v>4005</v>
      </c>
      <c r="B408" s="186" t="s">
        <v>3975</v>
      </c>
      <c r="C408" s="186" t="s">
        <v>3886</v>
      </c>
      <c r="D408" s="186" t="s">
        <v>3571</v>
      </c>
      <c r="E408" s="186" t="s">
        <v>4165</v>
      </c>
      <c r="F408" s="189" t="s">
        <v>3976</v>
      </c>
    </row>
    <row r="409" spans="1:6" ht="12.75">
      <c r="A409" s="186" t="s">
        <v>4006</v>
      </c>
      <c r="B409" s="186" t="s">
        <v>3975</v>
      </c>
      <c r="C409" s="186" t="s">
        <v>3886</v>
      </c>
      <c r="D409" s="186" t="s">
        <v>3571</v>
      </c>
      <c r="E409" s="186" t="s">
        <v>4165</v>
      </c>
      <c r="F409" s="189" t="s">
        <v>3976</v>
      </c>
    </row>
    <row r="410" spans="1:6" ht="12.75">
      <c r="A410" s="186" t="s">
        <v>3948</v>
      </c>
      <c r="B410" s="186" t="s">
        <v>3975</v>
      </c>
      <c r="C410" s="186" t="s">
        <v>3924</v>
      </c>
      <c r="D410" s="186" t="s">
        <v>4080</v>
      </c>
      <c r="E410" s="186" t="s">
        <v>4080</v>
      </c>
      <c r="F410" s="189" t="s">
        <v>3976</v>
      </c>
    </row>
    <row r="411" spans="1:6" ht="12.75">
      <c r="A411" s="186" t="s">
        <v>4234</v>
      </c>
      <c r="B411" s="186" t="s">
        <v>3975</v>
      </c>
      <c r="C411" s="186" t="s">
        <v>3924</v>
      </c>
      <c r="D411" s="186" t="s">
        <v>4080</v>
      </c>
      <c r="E411" s="186" t="s">
        <v>4080</v>
      </c>
      <c r="F411" s="189" t="s">
        <v>3976</v>
      </c>
    </row>
    <row r="412" spans="1:6" ht="12.75">
      <c r="A412" s="186" t="s">
        <v>4235</v>
      </c>
      <c r="B412" s="186" t="s">
        <v>3975</v>
      </c>
      <c r="C412" s="186" t="s">
        <v>4236</v>
      </c>
      <c r="D412" s="186" t="s">
        <v>4172</v>
      </c>
      <c r="E412" s="186" t="s">
        <v>4080</v>
      </c>
      <c r="F412" s="189" t="s">
        <v>3976</v>
      </c>
    </row>
    <row r="413" spans="1:6" ht="12.75">
      <c r="A413" s="186" t="s">
        <v>3618</v>
      </c>
      <c r="B413" s="186" t="s">
        <v>4237</v>
      </c>
      <c r="C413" s="186" t="s">
        <v>4238</v>
      </c>
      <c r="D413" s="186" t="s">
        <v>3590</v>
      </c>
      <c r="E413" s="186" t="s">
        <v>4092</v>
      </c>
      <c r="F413" s="189" t="s">
        <v>4239</v>
      </c>
    </row>
    <row r="414" spans="1:6" ht="12.75">
      <c r="A414" s="186" t="s">
        <v>3592</v>
      </c>
      <c r="B414" s="186" t="s">
        <v>4237</v>
      </c>
      <c r="C414" s="186" t="s">
        <v>3593</v>
      </c>
      <c r="D414" s="186" t="s">
        <v>3590</v>
      </c>
      <c r="E414" s="186" t="s">
        <v>3594</v>
      </c>
      <c r="F414" s="189" t="s">
        <v>4239</v>
      </c>
    </row>
    <row r="415" spans="1:6" ht="12.75">
      <c r="A415" s="186" t="s">
        <v>4032</v>
      </c>
      <c r="B415" s="186" t="s">
        <v>4240</v>
      </c>
      <c r="C415" s="186" t="s">
        <v>4241</v>
      </c>
      <c r="D415" s="186" t="s">
        <v>3577</v>
      </c>
      <c r="E415" s="186" t="s">
        <v>3578</v>
      </c>
      <c r="F415" s="189" t="s">
        <v>4242</v>
      </c>
    </row>
    <row r="416" spans="1:6" ht="12.75">
      <c r="A416" s="186" t="s">
        <v>4034</v>
      </c>
      <c r="B416" s="186" t="s">
        <v>4240</v>
      </c>
      <c r="C416" s="186" t="s">
        <v>4241</v>
      </c>
      <c r="D416" s="186" t="s">
        <v>3577</v>
      </c>
      <c r="E416" s="186" t="s">
        <v>3578</v>
      </c>
      <c r="F416" s="189" t="s">
        <v>4242</v>
      </c>
    </row>
    <row r="417" spans="1:6" ht="12.75">
      <c r="A417" s="186" t="s">
        <v>3574</v>
      </c>
      <c r="B417" s="186" t="s">
        <v>4243</v>
      </c>
      <c r="C417" s="186" t="s">
        <v>4241</v>
      </c>
      <c r="D417" s="186" t="s">
        <v>3577</v>
      </c>
      <c r="E417" s="186" t="s">
        <v>3578</v>
      </c>
      <c r="F417" s="189" t="s">
        <v>4244</v>
      </c>
    </row>
    <row r="418" spans="1:6" ht="12.75">
      <c r="A418" s="186" t="s">
        <v>3579</v>
      </c>
      <c r="B418" s="186" t="s">
        <v>4243</v>
      </c>
      <c r="C418" s="186" t="s">
        <v>4241</v>
      </c>
      <c r="D418" s="186" t="s">
        <v>3577</v>
      </c>
      <c r="E418" s="186" t="s">
        <v>3578</v>
      </c>
      <c r="F418" s="189" t="s">
        <v>4244</v>
      </c>
    </row>
    <row r="419" spans="1:6" ht="12.75">
      <c r="A419" s="186" t="s">
        <v>4245</v>
      </c>
      <c r="B419" s="186" t="s">
        <v>4246</v>
      </c>
      <c r="C419" s="186" t="s">
        <v>3543</v>
      </c>
      <c r="D419" s="186" t="s">
        <v>3540</v>
      </c>
      <c r="E419" s="186" t="s">
        <v>3540</v>
      </c>
      <c r="F419" s="189" t="s">
        <v>4247</v>
      </c>
    </row>
    <row r="420" spans="1:6" ht="12.75">
      <c r="A420" s="186" t="s">
        <v>4248</v>
      </c>
      <c r="B420" s="186" t="s">
        <v>4246</v>
      </c>
      <c r="C420" s="186" t="s">
        <v>4076</v>
      </c>
      <c r="D420" s="186" t="s">
        <v>3539</v>
      </c>
      <c r="E420" s="186" t="s">
        <v>3540</v>
      </c>
      <c r="F420" s="189" t="s">
        <v>4247</v>
      </c>
    </row>
    <row r="421" spans="1:6" ht="12.75">
      <c r="A421" s="186" t="s">
        <v>4249</v>
      </c>
      <c r="B421" s="186" t="s">
        <v>4246</v>
      </c>
      <c r="C421" s="186" t="s">
        <v>4076</v>
      </c>
      <c r="D421" s="186" t="s">
        <v>3539</v>
      </c>
      <c r="E421" s="186" t="s">
        <v>3540</v>
      </c>
      <c r="F421" s="189" t="s">
        <v>4247</v>
      </c>
    </row>
    <row r="422" spans="1:6" ht="12.75">
      <c r="A422" s="186" t="s">
        <v>4250</v>
      </c>
      <c r="B422" s="186" t="s">
        <v>4246</v>
      </c>
      <c r="C422" s="186" t="s">
        <v>3549</v>
      </c>
      <c r="D422" s="186" t="s">
        <v>3540</v>
      </c>
      <c r="E422" s="186" t="s">
        <v>3550</v>
      </c>
      <c r="F422" s="189" t="s">
        <v>4247</v>
      </c>
    </row>
    <row r="423" spans="1:6" ht="12.75">
      <c r="A423" s="186" t="s">
        <v>4251</v>
      </c>
      <c r="B423" s="186" t="s">
        <v>4246</v>
      </c>
      <c r="C423" s="186" t="s">
        <v>3549</v>
      </c>
      <c r="D423" s="186" t="s">
        <v>3540</v>
      </c>
      <c r="E423" s="186" t="s">
        <v>3550</v>
      </c>
      <c r="F423" s="189" t="s">
        <v>4247</v>
      </c>
    </row>
    <row r="424" spans="1:6" ht="12.75">
      <c r="A424" s="186" t="s">
        <v>4252</v>
      </c>
      <c r="B424" s="186" t="s">
        <v>4246</v>
      </c>
      <c r="C424" s="186" t="s">
        <v>3556</v>
      </c>
      <c r="D424" s="186" t="s">
        <v>3540</v>
      </c>
      <c r="E424" s="186" t="s">
        <v>3557</v>
      </c>
      <c r="F424" s="189" t="s">
        <v>4247</v>
      </c>
    </row>
    <row r="425" spans="1:6" ht="12.75">
      <c r="A425" s="186" t="s">
        <v>4253</v>
      </c>
      <c r="B425" s="186" t="s">
        <v>4246</v>
      </c>
      <c r="C425" s="186" t="s">
        <v>3556</v>
      </c>
      <c r="D425" s="186" t="s">
        <v>3540</v>
      </c>
      <c r="E425" s="186" t="s">
        <v>3557</v>
      </c>
      <c r="F425" s="189" t="s">
        <v>4247</v>
      </c>
    </row>
    <row r="426" spans="1:6" ht="12.75">
      <c r="A426" s="186" t="s">
        <v>4254</v>
      </c>
      <c r="B426" s="186" t="s">
        <v>4246</v>
      </c>
      <c r="C426" s="186" t="s">
        <v>4088</v>
      </c>
      <c r="D426" s="186" t="s">
        <v>3540</v>
      </c>
      <c r="E426" s="186" t="s">
        <v>3554</v>
      </c>
      <c r="F426" s="189" t="s">
        <v>4247</v>
      </c>
    </row>
    <row r="427" spans="1:6" ht="12.75">
      <c r="A427" s="186" t="s">
        <v>4255</v>
      </c>
      <c r="B427" s="186" t="s">
        <v>4246</v>
      </c>
      <c r="C427" s="186" t="s">
        <v>4088</v>
      </c>
      <c r="D427" s="186" t="s">
        <v>3540</v>
      </c>
      <c r="E427" s="186" t="s">
        <v>3554</v>
      </c>
      <c r="F427" s="189" t="s">
        <v>4247</v>
      </c>
    </row>
    <row r="428" spans="1:6" ht="12.75">
      <c r="A428" s="186" t="s">
        <v>4256</v>
      </c>
      <c r="B428" s="186" t="s">
        <v>4246</v>
      </c>
      <c r="C428" s="186" t="s">
        <v>3563</v>
      </c>
      <c r="D428" s="186" t="s">
        <v>3540</v>
      </c>
      <c r="E428" s="186" t="s">
        <v>3564</v>
      </c>
      <c r="F428" s="189" t="s">
        <v>4247</v>
      </c>
    </row>
    <row r="429" spans="1:6" ht="12.75">
      <c r="A429" s="186" t="s">
        <v>4257</v>
      </c>
      <c r="B429" s="186" t="s">
        <v>4246</v>
      </c>
      <c r="C429" s="186" t="s">
        <v>3563</v>
      </c>
      <c r="D429" s="186" t="s">
        <v>3540</v>
      </c>
      <c r="E429" s="186" t="s">
        <v>3564</v>
      </c>
      <c r="F429" s="189" t="s">
        <v>4247</v>
      </c>
    </row>
    <row r="430" spans="1:6" ht="12.75">
      <c r="A430" s="186" t="s">
        <v>4258</v>
      </c>
      <c r="B430" s="186" t="s">
        <v>4246</v>
      </c>
      <c r="C430" s="186" t="s">
        <v>3545</v>
      </c>
      <c r="D430" s="186" t="s">
        <v>3540</v>
      </c>
      <c r="E430" s="186" t="s">
        <v>3546</v>
      </c>
      <c r="F430" s="189" t="s">
        <v>4247</v>
      </c>
    </row>
    <row r="431" spans="1:6" ht="12.75">
      <c r="A431" s="186" t="s">
        <v>4259</v>
      </c>
      <c r="B431" s="186" t="s">
        <v>4246</v>
      </c>
      <c r="C431" s="186" t="s">
        <v>4260</v>
      </c>
      <c r="D431" s="186" t="s">
        <v>3540</v>
      </c>
      <c r="E431" s="186" t="s">
        <v>4165</v>
      </c>
      <c r="F431" s="189" t="s">
        <v>4247</v>
      </c>
    </row>
    <row r="432" spans="1:6" ht="12.75">
      <c r="A432" s="186" t="s">
        <v>4261</v>
      </c>
      <c r="B432" s="186" t="s">
        <v>4246</v>
      </c>
      <c r="C432" s="186" t="s">
        <v>3600</v>
      </c>
      <c r="D432" s="186" t="s">
        <v>3540</v>
      </c>
      <c r="E432" s="186" t="s">
        <v>4079</v>
      </c>
      <c r="F432" s="189" t="s">
        <v>4247</v>
      </c>
    </row>
    <row r="433" spans="1:6" ht="12.75">
      <c r="A433" s="186" t="s">
        <v>4262</v>
      </c>
      <c r="B433" s="186" t="s">
        <v>4246</v>
      </c>
      <c r="C433" s="186" t="s">
        <v>4263</v>
      </c>
      <c r="D433" s="186" t="s">
        <v>3540</v>
      </c>
      <c r="E433" s="186" t="s">
        <v>3594</v>
      </c>
      <c r="F433" s="189" t="s">
        <v>4247</v>
      </c>
    </row>
    <row r="434" spans="1:6" ht="12.75">
      <c r="A434" s="186" t="s">
        <v>4264</v>
      </c>
      <c r="B434" s="186" t="s">
        <v>4246</v>
      </c>
      <c r="C434" s="186" t="s">
        <v>4091</v>
      </c>
      <c r="D434" s="186" t="s">
        <v>3540</v>
      </c>
      <c r="E434" s="186" t="s">
        <v>4092</v>
      </c>
      <c r="F434" s="189" t="s">
        <v>4247</v>
      </c>
    </row>
    <row r="435" spans="1:6" ht="12.75">
      <c r="A435" s="186" t="s">
        <v>4265</v>
      </c>
      <c r="B435" s="186" t="s">
        <v>4246</v>
      </c>
      <c r="C435" s="186" t="s">
        <v>4266</v>
      </c>
      <c r="D435" s="186" t="s">
        <v>4267</v>
      </c>
      <c r="E435" s="186" t="s">
        <v>3540</v>
      </c>
      <c r="F435" s="189" t="s">
        <v>4247</v>
      </c>
    </row>
    <row r="436" spans="1:6" ht="12.75">
      <c r="A436" s="186" t="s">
        <v>4268</v>
      </c>
      <c r="B436" s="186" t="s">
        <v>4246</v>
      </c>
      <c r="C436" s="186" t="s">
        <v>4266</v>
      </c>
      <c r="D436" s="186" t="s">
        <v>4267</v>
      </c>
      <c r="E436" s="186" t="s">
        <v>3540</v>
      </c>
      <c r="F436" s="189" t="s">
        <v>4247</v>
      </c>
    </row>
    <row r="437" spans="1:6" ht="12.75">
      <c r="A437" s="186" t="s">
        <v>4269</v>
      </c>
      <c r="B437" s="186" t="s">
        <v>4246</v>
      </c>
      <c r="C437" s="186" t="s">
        <v>4266</v>
      </c>
      <c r="D437" s="186" t="s">
        <v>4267</v>
      </c>
      <c r="E437" s="186" t="s">
        <v>3540</v>
      </c>
      <c r="F437" s="189" t="s">
        <v>4247</v>
      </c>
    </row>
    <row r="438" spans="1:6" ht="12.75">
      <c r="A438" s="186" t="s">
        <v>4270</v>
      </c>
      <c r="B438" s="186" t="s">
        <v>4246</v>
      </c>
      <c r="C438" s="186" t="s">
        <v>3543</v>
      </c>
      <c r="D438" s="186" t="s">
        <v>3540</v>
      </c>
      <c r="E438" s="186" t="s">
        <v>3540</v>
      </c>
      <c r="F438" s="189" t="s">
        <v>4247</v>
      </c>
    </row>
    <row r="439" spans="1:6" ht="12.75">
      <c r="A439" s="186" t="s">
        <v>4271</v>
      </c>
      <c r="B439" s="186" t="s">
        <v>4246</v>
      </c>
      <c r="C439" s="186" t="s">
        <v>3543</v>
      </c>
      <c r="D439" s="186" t="s">
        <v>3540</v>
      </c>
      <c r="E439" s="186" t="s">
        <v>3540</v>
      </c>
      <c r="F439" s="189" t="s">
        <v>4247</v>
      </c>
    </row>
    <row r="440" spans="1:6" ht="12.75">
      <c r="A440" s="186" t="s">
        <v>4272</v>
      </c>
      <c r="B440" s="186" t="s">
        <v>4246</v>
      </c>
      <c r="C440" s="186" t="s">
        <v>4076</v>
      </c>
      <c r="D440" s="186" t="s">
        <v>3539</v>
      </c>
      <c r="E440" s="186" t="s">
        <v>3540</v>
      </c>
      <c r="F440" s="189" t="s">
        <v>4247</v>
      </c>
    </row>
    <row r="441" spans="1:6" ht="12.75">
      <c r="A441" s="186" t="s">
        <v>4273</v>
      </c>
      <c r="B441" s="186" t="s">
        <v>4246</v>
      </c>
      <c r="C441" s="186" t="s">
        <v>4076</v>
      </c>
      <c r="D441" s="186" t="s">
        <v>3539</v>
      </c>
      <c r="E441" s="186" t="s">
        <v>3540</v>
      </c>
      <c r="F441" s="189" t="s">
        <v>4247</v>
      </c>
    </row>
    <row r="442" spans="1:6" ht="12.75">
      <c r="A442" s="186" t="s">
        <v>4274</v>
      </c>
      <c r="B442" s="186" t="s">
        <v>4246</v>
      </c>
      <c r="C442" s="186" t="s">
        <v>3549</v>
      </c>
      <c r="D442" s="186" t="s">
        <v>3540</v>
      </c>
      <c r="E442" s="186" t="s">
        <v>3550</v>
      </c>
      <c r="F442" s="189" t="s">
        <v>4247</v>
      </c>
    </row>
    <row r="443" spans="1:6" ht="12.75">
      <c r="A443" s="186" t="s">
        <v>4275</v>
      </c>
      <c r="B443" s="186" t="s">
        <v>4246</v>
      </c>
      <c r="C443" s="186" t="s">
        <v>3559</v>
      </c>
      <c r="D443" s="186" t="s">
        <v>3550</v>
      </c>
      <c r="E443" s="186" t="s">
        <v>3540</v>
      </c>
      <c r="F443" s="189" t="s">
        <v>4247</v>
      </c>
    </row>
    <row r="444" spans="1:6" ht="12.75">
      <c r="A444" s="186" t="s">
        <v>4276</v>
      </c>
      <c r="B444" s="186" t="s">
        <v>4246</v>
      </c>
      <c r="C444" s="186" t="s">
        <v>3556</v>
      </c>
      <c r="D444" s="186" t="s">
        <v>3540</v>
      </c>
      <c r="E444" s="186" t="s">
        <v>3557</v>
      </c>
      <c r="F444" s="189" t="s">
        <v>4247</v>
      </c>
    </row>
    <row r="445" spans="1:6" ht="12.75">
      <c r="A445" s="186" t="s">
        <v>4277</v>
      </c>
      <c r="B445" s="186" t="s">
        <v>4246</v>
      </c>
      <c r="C445" s="186" t="s">
        <v>3567</v>
      </c>
      <c r="D445" s="186" t="s">
        <v>3557</v>
      </c>
      <c r="E445" s="186" t="s">
        <v>3540</v>
      </c>
      <c r="F445" s="189" t="s">
        <v>4247</v>
      </c>
    </row>
    <row r="446" spans="1:6" ht="12.75">
      <c r="A446" s="186" t="s">
        <v>4278</v>
      </c>
      <c r="B446" s="186" t="s">
        <v>4246</v>
      </c>
      <c r="C446" s="186" t="s">
        <v>4088</v>
      </c>
      <c r="D446" s="186" t="s">
        <v>3540</v>
      </c>
      <c r="E446" s="186" t="s">
        <v>3554</v>
      </c>
      <c r="F446" s="189" t="s">
        <v>4247</v>
      </c>
    </row>
    <row r="447" spans="1:6" ht="12.75">
      <c r="A447" s="186" t="s">
        <v>4279</v>
      </c>
      <c r="B447" s="186" t="s">
        <v>4246</v>
      </c>
      <c r="C447" s="186" t="s">
        <v>4280</v>
      </c>
      <c r="D447" s="186" t="s">
        <v>3554</v>
      </c>
      <c r="E447" s="186" t="s">
        <v>3540</v>
      </c>
      <c r="F447" s="189" t="s">
        <v>4247</v>
      </c>
    </row>
    <row r="448" spans="1:6" ht="12.75">
      <c r="A448" s="186" t="s">
        <v>4281</v>
      </c>
      <c r="B448" s="186" t="s">
        <v>4246</v>
      </c>
      <c r="C448" s="186" t="s">
        <v>3563</v>
      </c>
      <c r="D448" s="186" t="s">
        <v>3540</v>
      </c>
      <c r="E448" s="186" t="s">
        <v>3564</v>
      </c>
      <c r="F448" s="189" t="s">
        <v>4247</v>
      </c>
    </row>
    <row r="449" spans="1:6" ht="12.75">
      <c r="A449" s="186" t="s">
        <v>4282</v>
      </c>
      <c r="B449" s="186" t="s">
        <v>4246</v>
      </c>
      <c r="C449" s="186" t="s">
        <v>3563</v>
      </c>
      <c r="D449" s="186" t="s">
        <v>3540</v>
      </c>
      <c r="E449" s="186" t="s">
        <v>3564</v>
      </c>
      <c r="F449" s="189" t="s">
        <v>4247</v>
      </c>
    </row>
    <row r="450" spans="1:6" ht="12.75">
      <c r="A450" s="186" t="s">
        <v>4283</v>
      </c>
      <c r="B450" s="186" t="s">
        <v>4246</v>
      </c>
      <c r="C450" s="186" t="s">
        <v>3545</v>
      </c>
      <c r="D450" s="186" t="s">
        <v>3540</v>
      </c>
      <c r="E450" s="186" t="s">
        <v>3546</v>
      </c>
      <c r="F450" s="189" t="s">
        <v>4247</v>
      </c>
    </row>
    <row r="451" spans="1:6" ht="12.75">
      <c r="A451" s="186" t="s">
        <v>4284</v>
      </c>
      <c r="B451" s="186" t="s">
        <v>4246</v>
      </c>
      <c r="C451" s="186" t="s">
        <v>3545</v>
      </c>
      <c r="D451" s="186" t="s">
        <v>3540</v>
      </c>
      <c r="E451" s="186" t="s">
        <v>3546</v>
      </c>
      <c r="F451" s="189" t="s">
        <v>4247</v>
      </c>
    </row>
    <row r="452" spans="1:6" ht="12.75">
      <c r="A452" s="186" t="s">
        <v>4285</v>
      </c>
      <c r="B452" s="186" t="s">
        <v>4246</v>
      </c>
      <c r="C452" s="186" t="s">
        <v>4260</v>
      </c>
      <c r="D452" s="186" t="s">
        <v>3540</v>
      </c>
      <c r="E452" s="186" t="s">
        <v>4165</v>
      </c>
      <c r="F452" s="189" t="s">
        <v>4247</v>
      </c>
    </row>
    <row r="453" spans="1:6" ht="12.75">
      <c r="A453" s="186" t="s">
        <v>4286</v>
      </c>
      <c r="B453" s="186" t="s">
        <v>4246</v>
      </c>
      <c r="C453" s="186" t="s">
        <v>3600</v>
      </c>
      <c r="D453" s="186" t="s">
        <v>3540</v>
      </c>
      <c r="E453" s="186" t="s">
        <v>4079</v>
      </c>
      <c r="F453" s="189" t="s">
        <v>4247</v>
      </c>
    </row>
    <row r="454" spans="1:6" ht="12.75">
      <c r="A454" s="186" t="s">
        <v>4287</v>
      </c>
      <c r="B454" s="186" t="s">
        <v>4246</v>
      </c>
      <c r="C454" s="186" t="s">
        <v>4263</v>
      </c>
      <c r="D454" s="186" t="s">
        <v>3540</v>
      </c>
      <c r="E454" s="186" t="s">
        <v>3594</v>
      </c>
      <c r="F454" s="189" t="s">
        <v>4247</v>
      </c>
    </row>
    <row r="455" spans="1:6" ht="12.75">
      <c r="A455" s="186" t="s">
        <v>4288</v>
      </c>
      <c r="B455" s="186" t="s">
        <v>4246</v>
      </c>
      <c r="C455" s="186" t="s">
        <v>4091</v>
      </c>
      <c r="D455" s="186" t="s">
        <v>3540</v>
      </c>
      <c r="E455" s="186" t="s">
        <v>4092</v>
      </c>
      <c r="F455" s="189" t="s">
        <v>4247</v>
      </c>
    </row>
    <row r="456" spans="1:6" ht="12.75">
      <c r="A456" s="186" t="s">
        <v>4289</v>
      </c>
      <c r="B456" s="186" t="s">
        <v>4246</v>
      </c>
      <c r="C456" s="186" t="s">
        <v>4266</v>
      </c>
      <c r="D456" s="186" t="s">
        <v>4267</v>
      </c>
      <c r="E456" s="186" t="s">
        <v>3540</v>
      </c>
      <c r="F456" s="189" t="s">
        <v>4247</v>
      </c>
    </row>
    <row r="457" spans="1:6" ht="12.75">
      <c r="A457" s="186" t="s">
        <v>4290</v>
      </c>
      <c r="B457" s="186" t="s">
        <v>4246</v>
      </c>
      <c r="C457" s="186" t="s">
        <v>4266</v>
      </c>
      <c r="D457" s="186" t="s">
        <v>4267</v>
      </c>
      <c r="E457" s="186" t="s">
        <v>3540</v>
      </c>
      <c r="F457" s="189" t="s">
        <v>4247</v>
      </c>
    </row>
    <row r="458" spans="1:6" ht="12.75">
      <c r="A458" s="186" t="s">
        <v>4291</v>
      </c>
      <c r="B458" s="186" t="s">
        <v>4246</v>
      </c>
      <c r="C458" s="186" t="s">
        <v>4266</v>
      </c>
      <c r="D458" s="186" t="s">
        <v>4267</v>
      </c>
      <c r="E458" s="186" t="s">
        <v>3540</v>
      </c>
      <c r="F458" s="189" t="s">
        <v>4247</v>
      </c>
    </row>
    <row r="459" spans="1:6" ht="12.75">
      <c r="A459" s="186" t="s">
        <v>4292</v>
      </c>
      <c r="B459" s="186" t="s">
        <v>4246</v>
      </c>
      <c r="C459" s="186" t="s">
        <v>4091</v>
      </c>
      <c r="D459" s="186" t="s">
        <v>3540</v>
      </c>
      <c r="E459" s="186" t="s">
        <v>4092</v>
      </c>
      <c r="F459" s="189" t="s">
        <v>4247</v>
      </c>
    </row>
    <row r="460" spans="1:6" ht="12.75">
      <c r="A460" s="186" t="s">
        <v>4293</v>
      </c>
      <c r="B460" s="186" t="s">
        <v>4246</v>
      </c>
      <c r="C460" s="186" t="s">
        <v>4091</v>
      </c>
      <c r="D460" s="186" t="s">
        <v>3540</v>
      </c>
      <c r="E460" s="186" t="s">
        <v>4092</v>
      </c>
      <c r="F460" s="189" t="s">
        <v>4247</v>
      </c>
    </row>
    <row r="461" spans="1:6" ht="12.75">
      <c r="A461" s="186" t="s">
        <v>4294</v>
      </c>
      <c r="B461" s="186" t="s">
        <v>4246</v>
      </c>
      <c r="C461" s="186" t="s">
        <v>4091</v>
      </c>
      <c r="D461" s="186" t="s">
        <v>3540</v>
      </c>
      <c r="E461" s="186" t="s">
        <v>4092</v>
      </c>
      <c r="F461" s="189" t="s">
        <v>4247</v>
      </c>
    </row>
    <row r="462" spans="1:6" ht="12.75">
      <c r="A462" s="186" t="s">
        <v>4295</v>
      </c>
      <c r="B462" s="186" t="s">
        <v>4246</v>
      </c>
      <c r="C462" s="186" t="s">
        <v>4091</v>
      </c>
      <c r="D462" s="186" t="s">
        <v>3540</v>
      </c>
      <c r="E462" s="186" t="s">
        <v>4092</v>
      </c>
      <c r="F462" s="189" t="s">
        <v>4247</v>
      </c>
    </row>
    <row r="463" spans="1:6" ht="12.75">
      <c r="A463" s="186" t="s">
        <v>3580</v>
      </c>
      <c r="B463" s="186" t="s">
        <v>4296</v>
      </c>
      <c r="C463" s="186" t="s">
        <v>3582</v>
      </c>
      <c r="D463" s="186" t="s">
        <v>3550</v>
      </c>
      <c r="E463" s="186" t="s">
        <v>4080</v>
      </c>
      <c r="F463" s="189" t="s">
        <v>4297</v>
      </c>
    </row>
    <row r="464" spans="1:6" ht="12.75">
      <c r="A464" s="186" t="s">
        <v>4298</v>
      </c>
      <c r="B464" s="186" t="s">
        <v>4296</v>
      </c>
      <c r="C464" s="186" t="s">
        <v>3586</v>
      </c>
      <c r="D464" s="186" t="s">
        <v>3557</v>
      </c>
      <c r="E464" s="186" t="s">
        <v>4081</v>
      </c>
      <c r="F464" s="189" t="s">
        <v>4297</v>
      </c>
    </row>
    <row r="465" spans="1:6" ht="12.75">
      <c r="A465" s="186" t="s">
        <v>3621</v>
      </c>
      <c r="B465" s="186" t="s">
        <v>1189</v>
      </c>
      <c r="C465" s="186" t="s">
        <v>4238</v>
      </c>
      <c r="D465" s="186" t="s">
        <v>3590</v>
      </c>
      <c r="E465" s="186" t="s">
        <v>4092</v>
      </c>
      <c r="F465" s="189" t="s">
        <v>3620</v>
      </c>
    </row>
    <row r="466" spans="1:6" ht="12.75">
      <c r="A466" s="186" t="s">
        <v>3622</v>
      </c>
      <c r="B466" s="186" t="s">
        <v>1189</v>
      </c>
      <c r="C466" s="186" t="s">
        <v>4238</v>
      </c>
      <c r="D466" s="186" t="s">
        <v>3590</v>
      </c>
      <c r="E466" s="186" t="s">
        <v>4092</v>
      </c>
      <c r="F466" s="189" t="s">
        <v>3620</v>
      </c>
    </row>
    <row r="467" spans="1:6" ht="12.75">
      <c r="A467" s="186" t="s">
        <v>3623</v>
      </c>
      <c r="B467" s="186" t="s">
        <v>1189</v>
      </c>
      <c r="C467" s="186" t="s">
        <v>3593</v>
      </c>
      <c r="D467" s="186" t="s">
        <v>3590</v>
      </c>
      <c r="E467" s="186" t="s">
        <v>3594</v>
      </c>
      <c r="F467" s="189" t="s">
        <v>3620</v>
      </c>
    </row>
    <row r="468" spans="1:6" ht="12.75">
      <c r="A468" s="186" t="s">
        <v>3624</v>
      </c>
      <c r="B468" s="186" t="s">
        <v>1189</v>
      </c>
      <c r="C468" s="186" t="s">
        <v>3593</v>
      </c>
      <c r="D468" s="186" t="s">
        <v>3590</v>
      </c>
      <c r="E468" s="186" t="s">
        <v>3594</v>
      </c>
      <c r="F468" s="189" t="s">
        <v>3620</v>
      </c>
    </row>
    <row r="469" spans="1:6" ht="12.75">
      <c r="A469" s="186" t="s">
        <v>3625</v>
      </c>
      <c r="B469" s="186" t="s">
        <v>1189</v>
      </c>
      <c r="C469" s="186" t="s">
        <v>3593</v>
      </c>
      <c r="D469" s="186" t="s">
        <v>3590</v>
      </c>
      <c r="E469" s="186" t="s">
        <v>3594</v>
      </c>
      <c r="F469" s="189" t="s">
        <v>3620</v>
      </c>
    </row>
    <row r="470" spans="1:6" ht="12.75">
      <c r="A470" s="184"/>
      <c r="B470" s="184"/>
      <c r="C470" s="184"/>
      <c r="D470" s="184"/>
      <c r="E470" s="184"/>
      <c r="F470" s="189"/>
    </row>
    <row r="471" spans="1:6" ht="12.75">
      <c r="A471" s="184"/>
      <c r="B471" s="184"/>
      <c r="C471" s="184"/>
      <c r="D471" s="184"/>
      <c r="E471" s="184"/>
      <c r="F471" s="189"/>
    </row>
    <row r="472" spans="1:6" ht="12.75">
      <c r="A472" s="184"/>
      <c r="B472" s="184"/>
      <c r="C472" s="184"/>
      <c r="D472" s="184"/>
      <c r="E472" s="184"/>
      <c r="F472" s="189"/>
    </row>
    <row r="473" spans="1:6" ht="12.75">
      <c r="A473" s="184"/>
      <c r="B473" s="184"/>
      <c r="C473" s="184"/>
      <c r="D473" s="184"/>
      <c r="E473" s="184"/>
      <c r="F473" s="189"/>
    </row>
    <row r="474" spans="1:6" ht="12.75">
      <c r="A474" s="184"/>
      <c r="B474" s="184"/>
      <c r="C474" s="184"/>
      <c r="D474" s="184"/>
      <c r="E474" s="184"/>
      <c r="F474" s="189"/>
    </row>
    <row r="475" spans="1:6" ht="12.75">
      <c r="A475" s="184"/>
      <c r="B475" s="184"/>
      <c r="C475" s="184"/>
      <c r="D475" s="184"/>
      <c r="E475" s="184"/>
      <c r="F475" s="189"/>
    </row>
    <row r="476" spans="1:6" ht="12.75">
      <c r="A476" s="184"/>
      <c r="B476" s="184"/>
      <c r="C476" s="184"/>
      <c r="D476" s="184"/>
      <c r="E476" s="184"/>
      <c r="F476" s="189"/>
    </row>
    <row r="477" spans="1:6" ht="12.75">
      <c r="A477" s="184"/>
      <c r="B477" s="184"/>
      <c r="C477" s="184"/>
      <c r="D477" s="184"/>
      <c r="E477" s="184"/>
      <c r="F477" s="189"/>
    </row>
    <row r="478" spans="1:6" ht="12.75">
      <c r="A478" s="184"/>
      <c r="B478" s="184"/>
      <c r="C478" s="184"/>
      <c r="D478" s="184"/>
      <c r="E478" s="184"/>
      <c r="F478" s="189"/>
    </row>
    <row r="479" spans="1:6" ht="12.75">
      <c r="A479" s="184"/>
      <c r="B479" s="184"/>
      <c r="C479" s="184"/>
      <c r="D479" s="184"/>
      <c r="E479" s="184"/>
      <c r="F479" s="189"/>
    </row>
    <row r="480" spans="1:6" ht="12.75">
      <c r="A480" s="184"/>
      <c r="B480" s="184"/>
      <c r="C480" s="184"/>
      <c r="D480" s="184"/>
      <c r="E480" s="184"/>
      <c r="F480" s="189"/>
    </row>
    <row r="481" spans="6:6" ht="12.75">
      <c r="F481" s="189"/>
    </row>
    <row r="482" spans="6:6" ht="12.75">
      <c r="F482" s="189"/>
    </row>
    <row r="483" spans="6:6" ht="12.75">
      <c r="F483" s="189"/>
    </row>
    <row r="484" spans="6:6" ht="12.75">
      <c r="F484" s="189"/>
    </row>
    <row r="485" spans="6:6" ht="12.75">
      <c r="F485" s="189"/>
    </row>
    <row r="486" spans="6:6" ht="12.75">
      <c r="F486" s="189"/>
    </row>
    <row r="487" spans="6:6" ht="12.75">
      <c r="F487" s="189"/>
    </row>
    <row r="488" spans="6:6" ht="12.75">
      <c r="F488" s="189"/>
    </row>
    <row r="489" spans="6:6" ht="12.75">
      <c r="F489" s="189"/>
    </row>
    <row r="490" spans="6:6" ht="12.75">
      <c r="F490" s="189"/>
    </row>
    <row r="491" spans="6:6" ht="12.75">
      <c r="F491" s="189"/>
    </row>
    <row r="492" spans="6:6" ht="12.75">
      <c r="F492" s="189"/>
    </row>
    <row r="493" spans="6:6" ht="12.75">
      <c r="F493" s="189"/>
    </row>
    <row r="494" spans="6:6" ht="12.75">
      <c r="F494" s="189"/>
    </row>
    <row r="495" spans="6:6" ht="12.75">
      <c r="F495" s="189"/>
    </row>
    <row r="496" spans="6:6" ht="12.75">
      <c r="F496" s="189"/>
    </row>
    <row r="497" spans="6:6" ht="12.75">
      <c r="F497" s="189"/>
    </row>
    <row r="498" spans="6:6" ht="12.75">
      <c r="F498" s="189"/>
    </row>
    <row r="499" spans="6:6" ht="12.75">
      <c r="F499" s="189"/>
    </row>
    <row r="500" spans="6:6" ht="12.75">
      <c r="F500" s="189"/>
    </row>
    <row r="501" spans="6:6" ht="12.75">
      <c r="F501" s="189"/>
    </row>
    <row r="502" spans="6:6" ht="12.75">
      <c r="F502" s="189"/>
    </row>
    <row r="503" spans="6:6" ht="12.75">
      <c r="F503" s="189"/>
    </row>
    <row r="504" spans="6:6" ht="12.75">
      <c r="F504" s="189"/>
    </row>
    <row r="505" spans="6:6" ht="12.75">
      <c r="F505" s="189"/>
    </row>
    <row r="506" spans="6:6" ht="12.75">
      <c r="F506" s="189"/>
    </row>
    <row r="507" spans="6:6" ht="12.75">
      <c r="F507" s="189"/>
    </row>
    <row r="508" spans="6:6" ht="12.75">
      <c r="F508" s="189"/>
    </row>
    <row r="509" spans="6:6" ht="12.75">
      <c r="F509" s="189"/>
    </row>
    <row r="510" spans="6:6" ht="12.75">
      <c r="F510" s="189"/>
    </row>
    <row r="511" spans="6:6" ht="12.75">
      <c r="F511" s="189"/>
    </row>
    <row r="512" spans="6:6" ht="12.75">
      <c r="F512" s="189"/>
    </row>
    <row r="513" spans="6:6" ht="12.75">
      <c r="F513" s="189"/>
    </row>
    <row r="514" spans="6:6" ht="12.75">
      <c r="F514" s="189"/>
    </row>
    <row r="515" spans="6:6" ht="12.75">
      <c r="F515" s="189"/>
    </row>
    <row r="516" spans="6:6" ht="12.75">
      <c r="F516" s="189"/>
    </row>
    <row r="517" spans="6:6" ht="12.75">
      <c r="F517" s="189"/>
    </row>
    <row r="518" spans="6:6" ht="12.75">
      <c r="F518" s="189"/>
    </row>
    <row r="519" spans="6:6" ht="12.75">
      <c r="F519" s="189"/>
    </row>
    <row r="520" spans="6:6" ht="12.75">
      <c r="F520" s="189"/>
    </row>
    <row r="521" spans="6:6" ht="12.75">
      <c r="F521" s="189"/>
    </row>
    <row r="522" spans="6:6" ht="12.75">
      <c r="F522" s="189"/>
    </row>
    <row r="523" spans="6:6" ht="12.75">
      <c r="F523" s="189"/>
    </row>
    <row r="524" spans="6:6" ht="12.75">
      <c r="F524" s="189"/>
    </row>
    <row r="525" spans="6:6" ht="12.75">
      <c r="F525" s="189"/>
    </row>
    <row r="526" spans="6:6" ht="12.75">
      <c r="F526" s="189"/>
    </row>
    <row r="527" spans="6:6" ht="12.75">
      <c r="F527" s="189"/>
    </row>
    <row r="528" spans="6:6" ht="12.75">
      <c r="F528" s="189"/>
    </row>
    <row r="529" spans="6:6" ht="12.75">
      <c r="F529" s="189"/>
    </row>
    <row r="530" spans="6:6" ht="12.75">
      <c r="F530" s="189"/>
    </row>
    <row r="531" spans="6:6" ht="12.75">
      <c r="F531" s="189"/>
    </row>
    <row r="532" spans="6:6" ht="12.75">
      <c r="F532" s="189"/>
    </row>
    <row r="533" spans="6:6" ht="12.75">
      <c r="F533" s="189"/>
    </row>
    <row r="534" spans="6:6" ht="12.75">
      <c r="F534" s="189"/>
    </row>
    <row r="535" spans="6:6" ht="12.75">
      <c r="F535" s="189"/>
    </row>
    <row r="536" spans="6:6" ht="12.75">
      <c r="F536" s="189"/>
    </row>
    <row r="537" spans="6:6" ht="12.75">
      <c r="F537" s="189"/>
    </row>
    <row r="538" spans="6:6" ht="12.75">
      <c r="F538" s="189"/>
    </row>
    <row r="539" spans="6:6" ht="12.75">
      <c r="F539" s="189"/>
    </row>
    <row r="540" spans="6:6" ht="12.75">
      <c r="F540" s="189"/>
    </row>
    <row r="541" spans="6:6" ht="12.75">
      <c r="F541" s="189"/>
    </row>
    <row r="542" spans="6:6" ht="12.75">
      <c r="F542" s="189"/>
    </row>
    <row r="543" spans="6:6" ht="12.75">
      <c r="F543" s="189"/>
    </row>
    <row r="544" spans="6:6" ht="12.75">
      <c r="F544" s="189"/>
    </row>
    <row r="545" spans="6:6" ht="12.75">
      <c r="F545" s="189"/>
    </row>
    <row r="546" spans="6:6" ht="12.75">
      <c r="F546" s="189"/>
    </row>
    <row r="547" spans="6:6" ht="12.75">
      <c r="F547" s="189"/>
    </row>
    <row r="548" spans="6:6" ht="12.75">
      <c r="F548" s="189"/>
    </row>
    <row r="549" spans="6:6" ht="12.75">
      <c r="F549" s="189"/>
    </row>
    <row r="550" spans="6:6" ht="12.75">
      <c r="F550" s="189"/>
    </row>
    <row r="551" spans="6:6" ht="12.75">
      <c r="F551" s="189"/>
    </row>
    <row r="552" spans="6:6" ht="12.75">
      <c r="F552" s="189"/>
    </row>
    <row r="553" spans="6:6" ht="12.75">
      <c r="F553" s="189"/>
    </row>
    <row r="554" spans="6:6" ht="12.75">
      <c r="F554" s="189"/>
    </row>
    <row r="555" spans="6:6" ht="12.75">
      <c r="F555" s="189"/>
    </row>
    <row r="556" spans="6:6" ht="12.75">
      <c r="F556" s="189"/>
    </row>
    <row r="557" spans="6:6" ht="12.75">
      <c r="F557" s="189"/>
    </row>
    <row r="558" spans="6:6" ht="12.75">
      <c r="F558" s="189"/>
    </row>
    <row r="559" spans="6:6" ht="12.75">
      <c r="F559" s="189"/>
    </row>
    <row r="560" spans="6:6" ht="12.75">
      <c r="F560" s="189"/>
    </row>
    <row r="561" spans="6:6" ht="12.75">
      <c r="F561" s="189"/>
    </row>
    <row r="562" spans="6:6" ht="12.75">
      <c r="F562" s="189"/>
    </row>
    <row r="563" spans="6:6" ht="12.75">
      <c r="F563" s="189"/>
    </row>
    <row r="564" spans="6:6" ht="12.75">
      <c r="F564" s="189"/>
    </row>
    <row r="565" spans="6:6" ht="12.75">
      <c r="F565" s="189"/>
    </row>
    <row r="566" spans="6:6" ht="12.75">
      <c r="F566" s="189"/>
    </row>
    <row r="567" spans="6:6" ht="12.75">
      <c r="F567" s="189"/>
    </row>
    <row r="568" spans="6:6" ht="12.75">
      <c r="F568" s="189"/>
    </row>
    <row r="569" spans="6:6" ht="12.75">
      <c r="F569" s="189"/>
    </row>
    <row r="570" spans="6:6" ht="12.75">
      <c r="F570" s="189"/>
    </row>
    <row r="571" spans="6:6" ht="12.75">
      <c r="F571" s="189"/>
    </row>
    <row r="572" spans="6:6" ht="12.75">
      <c r="F572" s="189"/>
    </row>
    <row r="573" spans="6:6" ht="12.75">
      <c r="F573" s="189"/>
    </row>
    <row r="574" spans="6:6" ht="12.75">
      <c r="F574" s="189"/>
    </row>
    <row r="575" spans="6:6" ht="12.75">
      <c r="F575" s="189"/>
    </row>
    <row r="576" spans="6:6" ht="12.75">
      <c r="F576" s="189"/>
    </row>
    <row r="577" spans="6:6" ht="12.75">
      <c r="F577" s="189"/>
    </row>
    <row r="578" spans="6:6" ht="12.75">
      <c r="F578" s="189"/>
    </row>
    <row r="579" spans="6:6" ht="12.75">
      <c r="F579" s="189"/>
    </row>
    <row r="580" spans="6:6" ht="12.75">
      <c r="F580" s="189"/>
    </row>
    <row r="581" spans="6:6" ht="12.75">
      <c r="F581" s="189"/>
    </row>
    <row r="582" spans="6:6" ht="12.75">
      <c r="F582" s="189"/>
    </row>
    <row r="583" spans="6:6" ht="12.75">
      <c r="F583" s="189"/>
    </row>
    <row r="584" spans="6:6" ht="12.75">
      <c r="F584" s="189"/>
    </row>
    <row r="585" spans="6:6" ht="12.75">
      <c r="F585" s="189"/>
    </row>
    <row r="586" spans="6:6" ht="12.75">
      <c r="F586" s="189"/>
    </row>
    <row r="587" spans="6:6" ht="12.75">
      <c r="F587" s="189"/>
    </row>
    <row r="588" spans="6:6" ht="12.75">
      <c r="F588" s="189"/>
    </row>
    <row r="589" spans="6:6" ht="12.75">
      <c r="F589" s="189"/>
    </row>
    <row r="590" spans="6:6" ht="12.75">
      <c r="F590" s="189"/>
    </row>
    <row r="591" spans="6:6" ht="12.75">
      <c r="F591" s="189"/>
    </row>
    <row r="592" spans="6:6" ht="12.75">
      <c r="F592" s="189"/>
    </row>
    <row r="593" spans="6:6" ht="12.75">
      <c r="F593" s="189"/>
    </row>
    <row r="594" spans="6:6" ht="12.75">
      <c r="F594" s="189"/>
    </row>
    <row r="595" spans="6:6" ht="12.75">
      <c r="F595" s="189"/>
    </row>
    <row r="596" spans="6:6" ht="12.75">
      <c r="F596" s="189"/>
    </row>
    <row r="597" spans="6:6" ht="12.75">
      <c r="F597" s="189"/>
    </row>
    <row r="598" spans="6:6" ht="12.75">
      <c r="F598" s="189"/>
    </row>
    <row r="599" spans="6:6" ht="12.75">
      <c r="F599" s="189"/>
    </row>
    <row r="600" spans="6:6" ht="12.75">
      <c r="F600" s="189"/>
    </row>
    <row r="601" spans="6:6" ht="12.75">
      <c r="F601" s="189"/>
    </row>
    <row r="602" spans="6:6" ht="12.75">
      <c r="F602" s="189"/>
    </row>
    <row r="603" spans="6:6" ht="12.75">
      <c r="F603" s="189"/>
    </row>
    <row r="604" spans="6:6" ht="12.75">
      <c r="F604" s="189"/>
    </row>
    <row r="605" spans="6:6" ht="12.75">
      <c r="F605" s="189"/>
    </row>
    <row r="606" spans="6:6" ht="12.75">
      <c r="F606" s="189"/>
    </row>
    <row r="607" spans="6:6" ht="12.75">
      <c r="F607" s="189"/>
    </row>
    <row r="608" spans="6:6" ht="12.75">
      <c r="F608" s="189"/>
    </row>
    <row r="609" spans="6:6" ht="12.75">
      <c r="F609" s="189"/>
    </row>
    <row r="610" spans="6:6" ht="12.75">
      <c r="F610" s="189"/>
    </row>
    <row r="611" spans="6:6" ht="12.75">
      <c r="F611" s="189"/>
    </row>
    <row r="612" spans="6:6" ht="12.75">
      <c r="F612" s="189"/>
    </row>
    <row r="613" spans="6:6" ht="12.75">
      <c r="F613" s="189"/>
    </row>
    <row r="614" spans="6:6" ht="12.75">
      <c r="F614" s="189"/>
    </row>
    <row r="615" spans="6:6" ht="12.75">
      <c r="F615" s="189"/>
    </row>
    <row r="616" spans="6:6" ht="12.75">
      <c r="F616" s="189"/>
    </row>
    <row r="617" spans="6:6" ht="12.75">
      <c r="F617" s="189"/>
    </row>
    <row r="618" spans="6:6" ht="12.75">
      <c r="F618" s="189"/>
    </row>
    <row r="619" spans="6:6" ht="12.75">
      <c r="F619" s="189"/>
    </row>
    <row r="620" spans="6:6" ht="12.75">
      <c r="F620" s="189"/>
    </row>
    <row r="621" spans="6:6" ht="12.75">
      <c r="F621" s="189"/>
    </row>
    <row r="622" spans="6:6" ht="12.75">
      <c r="F622" s="189"/>
    </row>
    <row r="623" spans="6:6" ht="12.75">
      <c r="F623" s="189"/>
    </row>
    <row r="624" spans="6:6" ht="12.75">
      <c r="F624" s="189"/>
    </row>
    <row r="625" spans="6:6" ht="12.75">
      <c r="F625" s="189"/>
    </row>
    <row r="626" spans="6:6" ht="12.75">
      <c r="F626" s="189"/>
    </row>
    <row r="627" spans="6:6" ht="12.75">
      <c r="F627" s="189"/>
    </row>
    <row r="628" spans="6:6" ht="12.75">
      <c r="F628" s="189"/>
    </row>
    <row r="629" spans="6:6" ht="12.75">
      <c r="F629" s="189"/>
    </row>
    <row r="630" spans="6:6" ht="12.75">
      <c r="F630" s="189"/>
    </row>
    <row r="631" spans="6:6" ht="12.75">
      <c r="F631" s="189"/>
    </row>
    <row r="632" spans="6:6" ht="12.75">
      <c r="F632" s="189"/>
    </row>
    <row r="633" spans="6:6" ht="12.75">
      <c r="F633" s="189"/>
    </row>
    <row r="634" spans="6:6" ht="12.75">
      <c r="F634" s="189"/>
    </row>
    <row r="635" spans="6:6" ht="12.75">
      <c r="F635" s="189"/>
    </row>
    <row r="636" spans="6:6" ht="12.75">
      <c r="F636" s="189"/>
    </row>
    <row r="637" spans="6:6" ht="12.75">
      <c r="F637" s="189"/>
    </row>
    <row r="638" spans="6:6" ht="12.75">
      <c r="F638" s="189"/>
    </row>
    <row r="639" spans="6:6" ht="12.75">
      <c r="F639" s="189"/>
    </row>
    <row r="640" spans="6:6" ht="12.75">
      <c r="F640" s="189"/>
    </row>
    <row r="641" spans="6:6" ht="12.75">
      <c r="F641" s="189"/>
    </row>
    <row r="642" spans="6:6" ht="12.75">
      <c r="F642" s="189"/>
    </row>
    <row r="643" spans="6:6" ht="12.75">
      <c r="F643" s="189"/>
    </row>
    <row r="644" spans="6:6" ht="12.75">
      <c r="F644" s="189"/>
    </row>
    <row r="645" spans="6:6" ht="12.75">
      <c r="F645" s="189"/>
    </row>
    <row r="646" spans="6:6" ht="12.75">
      <c r="F646" s="189"/>
    </row>
    <row r="647" spans="6:6" ht="12.75">
      <c r="F647" s="189"/>
    </row>
    <row r="648" spans="6:6" ht="12.75">
      <c r="F648" s="189"/>
    </row>
    <row r="649" spans="6:6" ht="12.75">
      <c r="F649" s="189"/>
    </row>
    <row r="650" spans="6:6" ht="12.75">
      <c r="F650" s="189"/>
    </row>
    <row r="651" spans="6:6" ht="12.75">
      <c r="F651" s="189"/>
    </row>
    <row r="652" spans="6:6" ht="12.75">
      <c r="F652" s="189"/>
    </row>
    <row r="653" spans="6:6" ht="12.75">
      <c r="F653" s="189"/>
    </row>
    <row r="654" spans="6:6" ht="12.75">
      <c r="F654" s="189"/>
    </row>
    <row r="655" spans="6:6" ht="12.75">
      <c r="F655" s="189"/>
    </row>
    <row r="656" spans="6:6" ht="12.75">
      <c r="F656" s="189"/>
    </row>
    <row r="657" spans="6:6" ht="12.75">
      <c r="F657" s="189"/>
    </row>
    <row r="658" spans="6:6" ht="12.75">
      <c r="F658" s="189"/>
    </row>
    <row r="659" spans="6:6" ht="12.75">
      <c r="F659" s="189"/>
    </row>
    <row r="660" spans="6:6" ht="12.75">
      <c r="F660" s="189"/>
    </row>
    <row r="661" spans="6:6" ht="12.75">
      <c r="F661" s="189"/>
    </row>
    <row r="662" spans="6:6" ht="12.75">
      <c r="F662" s="189"/>
    </row>
    <row r="663" spans="6:6" ht="12.75">
      <c r="F663" s="189"/>
    </row>
    <row r="664" spans="6:6" ht="12.75">
      <c r="F664" s="189"/>
    </row>
    <row r="665" spans="6:6" ht="12.75">
      <c r="F665" s="189"/>
    </row>
    <row r="666" spans="6:6" ht="12.75">
      <c r="F666" s="189"/>
    </row>
    <row r="667" spans="6:6" ht="12.75">
      <c r="F667" s="189"/>
    </row>
    <row r="668" spans="6:6" ht="12.75">
      <c r="F668" s="189"/>
    </row>
    <row r="669" spans="6:6" ht="12.75">
      <c r="F669" s="189"/>
    </row>
    <row r="670" spans="6:6" ht="12.75">
      <c r="F670" s="189"/>
    </row>
    <row r="671" spans="6:6" ht="12.75">
      <c r="F671" s="189"/>
    </row>
    <row r="672" spans="6:6" ht="12.75">
      <c r="F672" s="189"/>
    </row>
    <row r="673" spans="6:6" ht="12.75">
      <c r="F673" s="189"/>
    </row>
    <row r="674" spans="6:6" ht="12.75">
      <c r="F674" s="189"/>
    </row>
    <row r="675" spans="6:6" ht="12.75">
      <c r="F675" s="189"/>
    </row>
    <row r="676" spans="6:6" ht="12.75">
      <c r="F676" s="189"/>
    </row>
    <row r="677" spans="6:6" ht="12.75">
      <c r="F677" s="189"/>
    </row>
    <row r="678" spans="6:6" ht="12.75">
      <c r="F678" s="189"/>
    </row>
    <row r="679" spans="6:6" ht="12.75">
      <c r="F679" s="189"/>
    </row>
    <row r="680" spans="6:6" ht="12.75">
      <c r="F680" s="189"/>
    </row>
    <row r="681" spans="6:6" ht="12.75">
      <c r="F681" s="189"/>
    </row>
    <row r="682" spans="6:6" ht="12.75">
      <c r="F682" s="189"/>
    </row>
    <row r="683" spans="6:6" ht="12.75">
      <c r="F683" s="189"/>
    </row>
    <row r="684" spans="6:6" ht="12.75">
      <c r="F684" s="189"/>
    </row>
    <row r="685" spans="6:6" ht="12.75">
      <c r="F685" s="189"/>
    </row>
    <row r="686" spans="6:6" ht="12.75">
      <c r="F686" s="189"/>
    </row>
    <row r="687" spans="6:6" ht="12.75">
      <c r="F687" s="189"/>
    </row>
    <row r="688" spans="6:6" ht="12.75">
      <c r="F688" s="189"/>
    </row>
    <row r="689" spans="6:6" ht="12.75">
      <c r="F689" s="189"/>
    </row>
    <row r="690" spans="6:6" ht="12.75">
      <c r="F690" s="189"/>
    </row>
    <row r="691" spans="6:6" ht="12.75">
      <c r="F691" s="189"/>
    </row>
    <row r="692" spans="6:6" ht="12.75">
      <c r="F692" s="189"/>
    </row>
    <row r="693" spans="6:6" ht="12.75">
      <c r="F693" s="189"/>
    </row>
    <row r="694" spans="6:6" ht="12.75">
      <c r="F694" s="189"/>
    </row>
    <row r="695" spans="6:6" ht="12.75">
      <c r="F695" s="189"/>
    </row>
    <row r="696" spans="6:6" ht="12.75">
      <c r="F696" s="189"/>
    </row>
    <row r="697" spans="6:6" ht="12.75">
      <c r="F697" s="189"/>
    </row>
    <row r="698" spans="6:6" ht="12.75">
      <c r="F698" s="189"/>
    </row>
    <row r="699" spans="6:6" ht="12.75">
      <c r="F699" s="189"/>
    </row>
    <row r="700" spans="6:6" ht="12.75">
      <c r="F700" s="189"/>
    </row>
    <row r="701" spans="6:6" ht="12.75">
      <c r="F701" s="189"/>
    </row>
    <row r="702" spans="6:6" ht="12.75">
      <c r="F702" s="189"/>
    </row>
    <row r="703" spans="6:6" ht="12.75">
      <c r="F703" s="189"/>
    </row>
    <row r="704" spans="6:6" ht="12.75">
      <c r="F704" s="189"/>
    </row>
    <row r="705" spans="6:6" ht="12.75">
      <c r="F705" s="189"/>
    </row>
    <row r="706" spans="6:6" ht="12.75">
      <c r="F706" s="189"/>
    </row>
    <row r="707" spans="6:6" ht="12.75">
      <c r="F707" s="189"/>
    </row>
    <row r="708" spans="6:6" ht="12.75">
      <c r="F708" s="189"/>
    </row>
    <row r="709" spans="6:6" ht="12.75">
      <c r="F709" s="189"/>
    </row>
    <row r="710" spans="6:6" ht="12.75">
      <c r="F710" s="189"/>
    </row>
    <row r="711" spans="6:6" ht="12.75">
      <c r="F711" s="189"/>
    </row>
    <row r="712" spans="6:6" ht="12.75">
      <c r="F712" s="189"/>
    </row>
    <row r="713" spans="6:6" ht="12.75">
      <c r="F713" s="189"/>
    </row>
    <row r="714" spans="6:6" ht="12.75">
      <c r="F714" s="189"/>
    </row>
    <row r="715" spans="6:6" ht="12.75">
      <c r="F715" s="189"/>
    </row>
    <row r="716" spans="6:6" ht="12.75">
      <c r="F716" s="189"/>
    </row>
    <row r="717" spans="6:6" ht="12.75">
      <c r="F717" s="189"/>
    </row>
    <row r="718" spans="6:6" ht="12.75">
      <c r="F718" s="189"/>
    </row>
    <row r="719" spans="6:6" ht="12.75">
      <c r="F719" s="189"/>
    </row>
    <row r="720" spans="6:6" ht="12.75">
      <c r="F720" s="189"/>
    </row>
    <row r="721" spans="6:6" ht="12.75">
      <c r="F721" s="189"/>
    </row>
    <row r="722" spans="6:6" ht="12.75">
      <c r="F722" s="189"/>
    </row>
    <row r="723" spans="6:6" ht="12.75">
      <c r="F723" s="189"/>
    </row>
    <row r="724" spans="6:6" ht="12.75">
      <c r="F724" s="189"/>
    </row>
    <row r="725" spans="6:6" ht="12.75">
      <c r="F725" s="189"/>
    </row>
    <row r="726" spans="6:6" ht="12.75">
      <c r="F726" s="189"/>
    </row>
    <row r="727" spans="6:6" ht="12.75">
      <c r="F727" s="189"/>
    </row>
    <row r="728" spans="6:6" ht="12.75">
      <c r="F728" s="189"/>
    </row>
    <row r="729" spans="6:6" ht="12.75">
      <c r="F729" s="189"/>
    </row>
    <row r="730" spans="6:6" ht="12.75">
      <c r="F730" s="189"/>
    </row>
    <row r="731" spans="6:6" ht="12.75">
      <c r="F731" s="189"/>
    </row>
    <row r="732" spans="6:6" ht="12.75">
      <c r="F732" s="189"/>
    </row>
    <row r="733" spans="6:6" ht="12.75">
      <c r="F733" s="189"/>
    </row>
    <row r="734" spans="6:6" ht="12.75">
      <c r="F734" s="189"/>
    </row>
    <row r="735" spans="6:6" ht="12.75">
      <c r="F735" s="189"/>
    </row>
    <row r="736" spans="6:6" ht="12.75">
      <c r="F736" s="189"/>
    </row>
    <row r="737" spans="6:6" ht="12.75">
      <c r="F737" s="189"/>
    </row>
    <row r="738" spans="6:6" ht="12.75">
      <c r="F738" s="189"/>
    </row>
    <row r="739" spans="6:6" ht="12.75">
      <c r="F739" s="189"/>
    </row>
    <row r="740" spans="6:6" ht="12.75">
      <c r="F740" s="189"/>
    </row>
    <row r="741" spans="6:6" ht="12.75">
      <c r="F741" s="189"/>
    </row>
    <row r="742" spans="6:6" ht="12.75">
      <c r="F742" s="189"/>
    </row>
    <row r="743" spans="6:6" ht="12.75">
      <c r="F743" s="189"/>
    </row>
    <row r="744" spans="6:6" ht="12.75">
      <c r="F744" s="189"/>
    </row>
    <row r="745" spans="6:6" ht="12.75">
      <c r="F745" s="189"/>
    </row>
    <row r="746" spans="6:6" ht="12.75">
      <c r="F746" s="189"/>
    </row>
    <row r="747" spans="6:6" ht="12.75">
      <c r="F747" s="189"/>
    </row>
    <row r="748" spans="6:6" ht="12.75">
      <c r="F748" s="189"/>
    </row>
    <row r="749" spans="6:6" ht="12.75">
      <c r="F749" s="189"/>
    </row>
    <row r="750" spans="6:6" ht="12.75">
      <c r="F750" s="189"/>
    </row>
    <row r="751" spans="6:6" ht="12.75">
      <c r="F751" s="189"/>
    </row>
    <row r="752" spans="6:6" ht="12.75">
      <c r="F752" s="189"/>
    </row>
    <row r="753" spans="6:6" ht="12.75">
      <c r="F753" s="189"/>
    </row>
    <row r="754" spans="6:6" ht="12.75">
      <c r="F754" s="189"/>
    </row>
    <row r="755" spans="6:6" ht="12.75">
      <c r="F755" s="189"/>
    </row>
    <row r="756" spans="6:6" ht="12.75">
      <c r="F756" s="189"/>
    </row>
    <row r="757" spans="6:6" ht="12.75">
      <c r="F757" s="189"/>
    </row>
    <row r="758" spans="6:6" ht="12.75">
      <c r="F758" s="189"/>
    </row>
    <row r="759" spans="6:6" ht="12.75">
      <c r="F759" s="189"/>
    </row>
    <row r="760" spans="6:6" ht="12.75">
      <c r="F760" s="189"/>
    </row>
    <row r="761" spans="6:6" ht="12.75">
      <c r="F761" s="189"/>
    </row>
    <row r="762" spans="6:6" ht="12.75">
      <c r="F762" s="189"/>
    </row>
    <row r="763" spans="6:6" ht="12.75">
      <c r="F763" s="189"/>
    </row>
    <row r="764" spans="6:6" ht="12.75">
      <c r="F764" s="189"/>
    </row>
    <row r="765" spans="6:6" ht="12.75">
      <c r="F765" s="189"/>
    </row>
    <row r="766" spans="6:6" ht="12.75">
      <c r="F766" s="189"/>
    </row>
    <row r="767" spans="6:6" ht="12.75">
      <c r="F767" s="189"/>
    </row>
    <row r="768" spans="6:6" ht="12.75">
      <c r="F768" s="189"/>
    </row>
    <row r="769" spans="6:6" ht="12.75">
      <c r="F769" s="189"/>
    </row>
    <row r="770" spans="6:6" ht="12.75">
      <c r="F770" s="189"/>
    </row>
    <row r="771" spans="6:6" ht="12.75">
      <c r="F771" s="189"/>
    </row>
    <row r="772" spans="6:6" ht="12.75">
      <c r="F772" s="189"/>
    </row>
    <row r="773" spans="6:6" ht="12.75">
      <c r="F773" s="189"/>
    </row>
    <row r="774" spans="6:6" ht="12.75">
      <c r="F774" s="189"/>
    </row>
    <row r="775" spans="6:6" ht="12.75">
      <c r="F775" s="189"/>
    </row>
    <row r="776" spans="6:6" ht="12.75">
      <c r="F776" s="189"/>
    </row>
    <row r="777" spans="6:6" ht="12.75">
      <c r="F777" s="189"/>
    </row>
    <row r="778" spans="6:6" ht="12.75">
      <c r="F778" s="189"/>
    </row>
    <row r="779" spans="6:6" ht="12.75">
      <c r="F779" s="189"/>
    </row>
    <row r="780" spans="6:6" ht="12.75">
      <c r="F780" s="189"/>
    </row>
    <row r="781" spans="6:6" ht="12.75">
      <c r="F781" s="189"/>
    </row>
    <row r="782" spans="6:6" ht="12.75">
      <c r="F782" s="189"/>
    </row>
    <row r="783" spans="6:6" ht="12.75">
      <c r="F783" s="189"/>
    </row>
    <row r="784" spans="6:6" ht="12.75">
      <c r="F784" s="189"/>
    </row>
    <row r="785" spans="6:6" ht="12.75">
      <c r="F785" s="189"/>
    </row>
    <row r="786" spans="6:6" ht="12.75">
      <c r="F786" s="189"/>
    </row>
    <row r="787" spans="6:6" ht="12.75">
      <c r="F787" s="189"/>
    </row>
    <row r="788" spans="6:6" ht="12.75">
      <c r="F788" s="189"/>
    </row>
    <row r="789" spans="6:6" ht="12.75">
      <c r="F789" s="189"/>
    </row>
    <row r="790" spans="6:6" ht="12.75">
      <c r="F790" s="189"/>
    </row>
    <row r="791" spans="6:6" ht="12.75">
      <c r="F791" s="189"/>
    </row>
    <row r="792" spans="6:6" ht="12.75">
      <c r="F792" s="189"/>
    </row>
    <row r="793" spans="6:6" ht="12.75">
      <c r="F793" s="189"/>
    </row>
    <row r="794" spans="6:6" ht="12.75">
      <c r="F794" s="189"/>
    </row>
    <row r="795" spans="6:6" ht="12.75">
      <c r="F795" s="189"/>
    </row>
    <row r="796" spans="6:6" ht="12.75">
      <c r="F796" s="189"/>
    </row>
    <row r="797" spans="6:6" ht="12.75">
      <c r="F797" s="189"/>
    </row>
    <row r="798" spans="6:6" ht="12.75">
      <c r="F798" s="189"/>
    </row>
    <row r="799" spans="6:6" ht="12.75">
      <c r="F799" s="189"/>
    </row>
    <row r="800" spans="6:6" ht="12.75">
      <c r="F800" s="189"/>
    </row>
    <row r="801" spans="6:6" ht="12.75">
      <c r="F801" s="189"/>
    </row>
    <row r="802" spans="6:6" ht="12.75">
      <c r="F802" s="189"/>
    </row>
    <row r="803" spans="6:6" ht="12.75">
      <c r="F803" s="189"/>
    </row>
    <row r="804" spans="6:6" ht="12.75">
      <c r="F804" s="189"/>
    </row>
    <row r="805" spans="6:6" ht="12.75">
      <c r="F805" s="189"/>
    </row>
    <row r="806" spans="6:6" ht="12.75">
      <c r="F806" s="189"/>
    </row>
    <row r="807" spans="6:6" ht="12.75">
      <c r="F807" s="189"/>
    </row>
    <row r="808" spans="6:6" ht="12.75">
      <c r="F808" s="189"/>
    </row>
    <row r="809" spans="6:6" ht="12.75">
      <c r="F809" s="189"/>
    </row>
    <row r="810" spans="6:6" ht="12.75">
      <c r="F810" s="189"/>
    </row>
    <row r="811" spans="6:6" ht="12.75">
      <c r="F811" s="189"/>
    </row>
    <row r="812" spans="6:6" ht="12.75">
      <c r="F812" s="189"/>
    </row>
    <row r="813" spans="6:6" ht="12.75">
      <c r="F813" s="189"/>
    </row>
    <row r="814" spans="6:6" ht="12.75">
      <c r="F814" s="189"/>
    </row>
    <row r="815" spans="6:6" ht="12.75">
      <c r="F815" s="189"/>
    </row>
    <row r="816" spans="6:6" ht="12.75">
      <c r="F816" s="189"/>
    </row>
    <row r="817" spans="6:6" ht="12.75">
      <c r="F817" s="189"/>
    </row>
    <row r="818" spans="6:6" ht="12.75">
      <c r="F818" s="189"/>
    </row>
    <row r="819" spans="6:6" ht="12.75">
      <c r="F819" s="189"/>
    </row>
    <row r="820" spans="6:6" ht="12.75">
      <c r="F820" s="189"/>
    </row>
    <row r="821" spans="6:6" ht="12.75">
      <c r="F821" s="189"/>
    </row>
    <row r="822" spans="6:6" ht="12.75">
      <c r="F822" s="189"/>
    </row>
    <row r="823" spans="6:6" ht="12.75">
      <c r="F823" s="189"/>
    </row>
    <row r="824" spans="6:6" ht="12.75">
      <c r="F824" s="189"/>
    </row>
    <row r="825" spans="6:6" ht="12.75">
      <c r="F825" s="189"/>
    </row>
    <row r="826" spans="6:6" ht="12.75">
      <c r="F826" s="189"/>
    </row>
    <row r="827" spans="6:6" ht="12.75">
      <c r="F827" s="189"/>
    </row>
    <row r="828" spans="6:6" ht="12.75">
      <c r="F828" s="189"/>
    </row>
    <row r="829" spans="6:6" ht="12.75">
      <c r="F829" s="189"/>
    </row>
    <row r="830" spans="6:6" ht="12.75">
      <c r="F830" s="189"/>
    </row>
    <row r="831" spans="6:6" ht="12.75">
      <c r="F831" s="189"/>
    </row>
    <row r="832" spans="6:6" ht="12.75">
      <c r="F832" s="189"/>
    </row>
    <row r="833" spans="6:6" ht="12.75">
      <c r="F833" s="189"/>
    </row>
    <row r="834" spans="6:6" ht="12.75">
      <c r="F834" s="189"/>
    </row>
    <row r="835" spans="6:6" ht="12.75">
      <c r="F835" s="189"/>
    </row>
    <row r="836" spans="6:6" ht="12.75">
      <c r="F836" s="189"/>
    </row>
    <row r="837" spans="6:6" ht="12.75">
      <c r="F837" s="189"/>
    </row>
    <row r="838" spans="6:6" ht="12.75">
      <c r="F838" s="189"/>
    </row>
    <row r="839" spans="6:6" ht="12.75">
      <c r="F839" s="189"/>
    </row>
    <row r="840" spans="6:6" ht="12.75">
      <c r="F840" s="189"/>
    </row>
    <row r="841" spans="6:6" ht="12.75">
      <c r="F841" s="189"/>
    </row>
    <row r="842" spans="6:6" ht="12.75">
      <c r="F842" s="189"/>
    </row>
    <row r="843" spans="6:6" ht="12.75">
      <c r="F843" s="189"/>
    </row>
    <row r="844" spans="6:6" ht="12.75">
      <c r="F844" s="189"/>
    </row>
    <row r="845" spans="6:6" ht="12.75">
      <c r="F845" s="189"/>
    </row>
    <row r="846" spans="6:6" ht="12.75">
      <c r="F846" s="189"/>
    </row>
    <row r="847" spans="6:6" ht="12.75">
      <c r="F847" s="189"/>
    </row>
    <row r="848" spans="6:6" ht="12.75">
      <c r="F848" s="189"/>
    </row>
    <row r="849" spans="6:6" ht="12.75">
      <c r="F849" s="189"/>
    </row>
    <row r="850" spans="6:6" ht="12.75">
      <c r="F850" s="189"/>
    </row>
    <row r="851" spans="6:6" ht="12.75">
      <c r="F851" s="189"/>
    </row>
    <row r="852" spans="6:6" ht="12.75">
      <c r="F852" s="189"/>
    </row>
    <row r="853" spans="6:6" ht="12.75">
      <c r="F853" s="189"/>
    </row>
    <row r="854" spans="6:6" ht="12.75">
      <c r="F854" s="189"/>
    </row>
    <row r="855" spans="6:6" ht="12.75">
      <c r="F855" s="189"/>
    </row>
    <row r="856" spans="6:6" ht="12.75">
      <c r="F856" s="189"/>
    </row>
    <row r="857" spans="6:6" ht="12.75">
      <c r="F857" s="189"/>
    </row>
    <row r="858" spans="6:6" ht="12.75">
      <c r="F858" s="189"/>
    </row>
    <row r="859" spans="6:6" ht="12.75">
      <c r="F859" s="189"/>
    </row>
    <row r="860" spans="6:6" ht="12.75">
      <c r="F860" s="189"/>
    </row>
    <row r="861" spans="6:6" ht="12.75">
      <c r="F861" s="189"/>
    </row>
    <row r="862" spans="6:6" ht="12.75">
      <c r="F862" s="189"/>
    </row>
    <row r="863" spans="6:6" ht="12.75">
      <c r="F863" s="189"/>
    </row>
    <row r="864" spans="6:6" ht="12.75">
      <c r="F864" s="189"/>
    </row>
    <row r="865" spans="6:6" ht="12.75">
      <c r="F865" s="189"/>
    </row>
    <row r="866" spans="6:6" ht="12.75">
      <c r="F866" s="189"/>
    </row>
    <row r="867" spans="6:6" ht="12.75">
      <c r="F867" s="189"/>
    </row>
    <row r="868" spans="6:6" ht="12.75">
      <c r="F868" s="189"/>
    </row>
    <row r="869" spans="6:6" ht="12.75">
      <c r="F869" s="189"/>
    </row>
    <row r="870" spans="6:6" ht="12.75">
      <c r="F870" s="189"/>
    </row>
    <row r="871" spans="6:6" ht="12.75">
      <c r="F871" s="189"/>
    </row>
    <row r="872" spans="6:6" ht="12.75">
      <c r="F872" s="189"/>
    </row>
    <row r="873" spans="6:6" ht="12.75">
      <c r="F873" s="189"/>
    </row>
    <row r="874" spans="6:6" ht="12.75">
      <c r="F874" s="189"/>
    </row>
    <row r="875" spans="6:6" ht="12.75">
      <c r="F875" s="189"/>
    </row>
    <row r="876" spans="6:6" ht="12.75">
      <c r="F876" s="189"/>
    </row>
    <row r="877" spans="6:6" ht="12.75">
      <c r="F877" s="189"/>
    </row>
    <row r="878" spans="6:6" ht="12.75">
      <c r="F878" s="189"/>
    </row>
    <row r="879" spans="6:6" ht="12.75">
      <c r="F879" s="189"/>
    </row>
    <row r="880" spans="6:6" ht="12.75">
      <c r="F880" s="189"/>
    </row>
    <row r="881" spans="6:6" ht="12.75">
      <c r="F881" s="189"/>
    </row>
    <row r="882" spans="6:6" ht="12.75">
      <c r="F882" s="189"/>
    </row>
    <row r="883" spans="6:6" ht="12.75">
      <c r="F883" s="189"/>
    </row>
    <row r="884" spans="6:6" ht="12.75">
      <c r="F884" s="189"/>
    </row>
    <row r="885" spans="6:6" ht="12.75">
      <c r="F885" s="189"/>
    </row>
    <row r="886" spans="6:6" ht="12.75">
      <c r="F886" s="189"/>
    </row>
    <row r="887" spans="6:6" ht="12.75">
      <c r="F887" s="189"/>
    </row>
    <row r="888" spans="6:6" ht="12.75">
      <c r="F888" s="189"/>
    </row>
    <row r="889" spans="6:6" ht="12.75">
      <c r="F889" s="189"/>
    </row>
    <row r="890" spans="6:6" ht="12.75">
      <c r="F890" s="189"/>
    </row>
    <row r="891" spans="6:6" ht="12.75">
      <c r="F891" s="189"/>
    </row>
    <row r="892" spans="6:6" ht="12.75">
      <c r="F892" s="189"/>
    </row>
    <row r="893" spans="6:6" ht="12.75">
      <c r="F893" s="189"/>
    </row>
    <row r="894" spans="6:6" ht="12.75">
      <c r="F894" s="189"/>
    </row>
    <row r="895" spans="6:6" ht="12.75">
      <c r="F895" s="189"/>
    </row>
    <row r="896" spans="6:6" ht="12.75">
      <c r="F896" s="189"/>
    </row>
    <row r="897" spans="6:6" ht="12.75">
      <c r="F897" s="189"/>
    </row>
    <row r="898" spans="6:6" ht="12.75">
      <c r="F898" s="189"/>
    </row>
    <row r="899" spans="6:6" ht="12.75">
      <c r="F899" s="189"/>
    </row>
    <row r="900" spans="6:6" ht="12.75">
      <c r="F900" s="189"/>
    </row>
    <row r="901" spans="6:6" ht="12.75">
      <c r="F901" s="189"/>
    </row>
    <row r="902" spans="6:6" ht="12.75">
      <c r="F902" s="189"/>
    </row>
    <row r="903" spans="6:6" ht="12.75">
      <c r="F903" s="189"/>
    </row>
    <row r="904" spans="6:6" ht="12.75">
      <c r="F904" s="189"/>
    </row>
    <row r="905" spans="6:6" ht="12.75">
      <c r="F905" s="189"/>
    </row>
    <row r="906" spans="6:6" ht="12.75">
      <c r="F906" s="189"/>
    </row>
    <row r="907" spans="6:6" ht="12.75">
      <c r="F907" s="189"/>
    </row>
    <row r="908" spans="6:6" ht="12.75">
      <c r="F908" s="189"/>
    </row>
    <row r="909" spans="6:6" ht="12.75">
      <c r="F909" s="189"/>
    </row>
    <row r="910" spans="6:6" ht="12.75">
      <c r="F910" s="189"/>
    </row>
    <row r="911" spans="6:6" ht="12.75">
      <c r="F911" s="189"/>
    </row>
    <row r="912" spans="6:6" ht="12.75">
      <c r="F912" s="189"/>
    </row>
    <row r="913" spans="6:6" ht="12.75">
      <c r="F913" s="189"/>
    </row>
    <row r="914" spans="6:6" ht="12.75">
      <c r="F914" s="189"/>
    </row>
    <row r="915" spans="6:6" ht="12.75">
      <c r="F915" s="189"/>
    </row>
    <row r="916" spans="6:6" ht="12.75">
      <c r="F916" s="189"/>
    </row>
    <row r="917" spans="6:6" ht="12.75">
      <c r="F917" s="189"/>
    </row>
    <row r="918" spans="6:6" ht="12.75">
      <c r="F918" s="189"/>
    </row>
    <row r="919" spans="6:6" ht="12.75">
      <c r="F919" s="189"/>
    </row>
    <row r="920" spans="6:6" ht="12.75">
      <c r="F920" s="189"/>
    </row>
    <row r="921" spans="6:6" ht="12.75">
      <c r="F921" s="189"/>
    </row>
    <row r="922" spans="6:6" ht="12.75">
      <c r="F922" s="189"/>
    </row>
    <row r="923" spans="6:6" ht="12.75">
      <c r="F923" s="189"/>
    </row>
    <row r="924" spans="6:6" ht="12.75">
      <c r="F924" s="189"/>
    </row>
    <row r="925" spans="6:6" ht="12.75">
      <c r="F925" s="189"/>
    </row>
    <row r="926" spans="6:6" ht="12.75">
      <c r="F926" s="189"/>
    </row>
    <row r="927" spans="6:6" ht="12.75">
      <c r="F927" s="189"/>
    </row>
    <row r="928" spans="6:6" ht="12.75">
      <c r="F928" s="189"/>
    </row>
    <row r="929" spans="6:6" ht="12.75">
      <c r="F929" s="189"/>
    </row>
    <row r="930" spans="6:6" ht="12.75">
      <c r="F930" s="189"/>
    </row>
    <row r="931" spans="6:6" ht="12.75">
      <c r="F931" s="189"/>
    </row>
    <row r="932" spans="6:6" ht="12.75">
      <c r="F932" s="189"/>
    </row>
    <row r="933" spans="6:6" ht="12.75">
      <c r="F933" s="189"/>
    </row>
    <row r="934" spans="6:6" ht="12.75">
      <c r="F934" s="189"/>
    </row>
    <row r="935" spans="6:6" ht="12.75">
      <c r="F935" s="189"/>
    </row>
    <row r="936" spans="6:6" ht="12.75">
      <c r="F936" s="189"/>
    </row>
    <row r="937" spans="6:6" ht="12.75">
      <c r="F937" s="189"/>
    </row>
    <row r="938" spans="6:6" ht="12.75">
      <c r="F938" s="189"/>
    </row>
    <row r="939" spans="6:6" ht="12.75">
      <c r="F939" s="189"/>
    </row>
    <row r="940" spans="6:6" ht="12.75">
      <c r="F940" s="189"/>
    </row>
    <row r="941" spans="6:6" ht="12.75">
      <c r="F941" s="189"/>
    </row>
    <row r="942" spans="6:6" ht="12.75">
      <c r="F942" s="189"/>
    </row>
    <row r="943" spans="6:6" ht="12.75">
      <c r="F943" s="189"/>
    </row>
    <row r="944" spans="6:6" ht="12.75">
      <c r="F944" s="189"/>
    </row>
    <row r="945" spans="6:6" ht="12.75">
      <c r="F945" s="189"/>
    </row>
    <row r="946" spans="6:6" ht="12.75">
      <c r="F946" s="189"/>
    </row>
    <row r="947" spans="6:6" ht="12.75">
      <c r="F947" s="189"/>
    </row>
    <row r="948" spans="6:6" ht="12.75">
      <c r="F948" s="189"/>
    </row>
    <row r="949" spans="6:6" ht="12.75">
      <c r="F949" s="189"/>
    </row>
    <row r="950" spans="6:6" ht="12.75">
      <c r="F950" s="189"/>
    </row>
    <row r="951" spans="6:6" ht="12.75">
      <c r="F951" s="189"/>
    </row>
    <row r="952" spans="6:6" ht="12.75">
      <c r="F952" s="189"/>
    </row>
    <row r="953" spans="6:6" ht="12.75">
      <c r="F953" s="189"/>
    </row>
    <row r="954" spans="6:6" ht="12.75">
      <c r="F954" s="189"/>
    </row>
    <row r="955" spans="6:6" ht="12.75">
      <c r="F955" s="189"/>
    </row>
    <row r="956" spans="6:6" ht="12.75">
      <c r="F956" s="189"/>
    </row>
    <row r="957" spans="6:6" ht="12.75">
      <c r="F957" s="189"/>
    </row>
    <row r="958" spans="6:6" ht="12.75">
      <c r="F958" s="189"/>
    </row>
    <row r="959" spans="6:6" ht="12.75">
      <c r="F959" s="189"/>
    </row>
    <row r="960" spans="6:6" ht="12.75">
      <c r="F960" s="189"/>
    </row>
    <row r="961" spans="6:6" ht="12.75">
      <c r="F961" s="189"/>
    </row>
    <row r="962" spans="6:6" ht="12.75">
      <c r="F962" s="189"/>
    </row>
    <row r="963" spans="6:6" ht="12.75">
      <c r="F963" s="189"/>
    </row>
    <row r="964" spans="6:6" ht="12.75">
      <c r="F964" s="189"/>
    </row>
    <row r="965" spans="6:6" ht="12.75">
      <c r="F965" s="189"/>
    </row>
    <row r="966" spans="6:6" ht="12.75">
      <c r="F966" s="189"/>
    </row>
    <row r="967" spans="6:6" ht="12.75">
      <c r="F967" s="189"/>
    </row>
    <row r="968" spans="6:6" ht="12.75">
      <c r="F968" s="189"/>
    </row>
    <row r="969" spans="6:6" ht="12.75">
      <c r="F969" s="189"/>
    </row>
    <row r="970" spans="6:6" ht="12.75">
      <c r="F970" s="189"/>
    </row>
    <row r="971" spans="6:6" ht="12.75">
      <c r="F971" s="189"/>
    </row>
    <row r="972" spans="6:6" ht="12.75">
      <c r="F972" s="189"/>
    </row>
    <row r="973" spans="6:6" ht="12.75">
      <c r="F973" s="189"/>
    </row>
    <row r="974" spans="6:6" ht="12.75">
      <c r="F974" s="189"/>
    </row>
    <row r="975" spans="6:6" ht="12.75">
      <c r="F975" s="189"/>
    </row>
    <row r="976" spans="6:6" ht="12.75">
      <c r="F976" s="189"/>
    </row>
    <row r="977" spans="6:6" ht="12.75">
      <c r="F977" s="189"/>
    </row>
    <row r="978" spans="6:6" ht="12.75">
      <c r="F978" s="189"/>
    </row>
    <row r="979" spans="6:6" ht="12.75">
      <c r="F979" s="189"/>
    </row>
    <row r="980" spans="6:6" ht="12.75">
      <c r="F980" s="189"/>
    </row>
    <row r="981" spans="6:6" ht="12.75">
      <c r="F981" s="189"/>
    </row>
    <row r="982" spans="6:6" ht="12.75">
      <c r="F982" s="189"/>
    </row>
    <row r="983" spans="6:6" ht="12.75">
      <c r="F983" s="189"/>
    </row>
    <row r="984" spans="6:6" ht="12.75">
      <c r="F984" s="189"/>
    </row>
    <row r="985" spans="6:6" ht="12.75">
      <c r="F985" s="189"/>
    </row>
    <row r="986" spans="6:6" ht="12.75">
      <c r="F986" s="189"/>
    </row>
    <row r="987" spans="6:6" ht="12.75">
      <c r="F987" s="189"/>
    </row>
    <row r="988" spans="6:6" ht="12.75">
      <c r="F988" s="189"/>
    </row>
    <row r="989" spans="6:6" ht="12.75">
      <c r="F989" s="189"/>
    </row>
    <row r="990" spans="6:6" ht="12.75">
      <c r="F990" s="189"/>
    </row>
    <row r="991" spans="6:6" ht="12.75">
      <c r="F991" s="189"/>
    </row>
    <row r="992" spans="6:6" ht="12.75">
      <c r="F992" s="189"/>
    </row>
    <row r="993" spans="6:6" ht="12.75">
      <c r="F993" s="189"/>
    </row>
    <row r="994" spans="6:6" ht="12.75">
      <c r="F994" s="189"/>
    </row>
    <row r="995" spans="6:6" ht="12.75">
      <c r="F995" s="189"/>
    </row>
    <row r="996" spans="6:6" ht="12.75">
      <c r="F996" s="189"/>
    </row>
    <row r="997" spans="6:6" ht="12.75">
      <c r="F997" s="189"/>
    </row>
    <row r="998" spans="6:6" ht="12.75">
      <c r="F998" s="189"/>
    </row>
    <row r="999" spans="6:6" ht="12.75">
      <c r="F999" s="189"/>
    </row>
    <row r="1000" spans="6:6" ht="12.75">
      <c r="F1000" s="18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ummaryRight="0"/>
  </sheetPr>
  <dimension ref="A1:K1002"/>
  <sheetViews>
    <sheetView workbookViewId="0">
      <selection activeCell="A8" sqref="A8"/>
    </sheetView>
  </sheetViews>
  <sheetFormatPr defaultColWidth="14.3984375" defaultRowHeight="15.75" customHeight="1"/>
  <cols>
    <col min="1" max="1" width="42.1328125" customWidth="1"/>
    <col min="3" max="4" width="21.73046875" customWidth="1"/>
    <col min="5" max="5" width="14.1328125" customWidth="1"/>
    <col min="6" max="6" width="23.73046875" customWidth="1"/>
    <col min="7" max="7" width="17.1328125" customWidth="1"/>
    <col min="8" max="8" width="19.86328125" customWidth="1"/>
    <col min="9" max="9" width="16.3984375" customWidth="1"/>
    <col min="10" max="11" width="18.59765625" customWidth="1"/>
  </cols>
  <sheetData>
    <row r="1" spans="1:11" ht="15.75" customHeight="1">
      <c r="A1" s="233" t="s">
        <v>32</v>
      </c>
      <c r="B1" s="234"/>
      <c r="C1" s="235" t="s">
        <v>4299</v>
      </c>
      <c r="D1" s="235" t="s">
        <v>4300</v>
      </c>
      <c r="E1" s="235" t="s">
        <v>2907</v>
      </c>
      <c r="F1" s="237" t="s">
        <v>4301</v>
      </c>
      <c r="G1" s="234"/>
      <c r="H1" s="235" t="s">
        <v>4302</v>
      </c>
      <c r="I1" s="235" t="s">
        <v>4303</v>
      </c>
      <c r="J1" s="229" t="s">
        <v>4304</v>
      </c>
      <c r="K1" s="231" t="s">
        <v>4305</v>
      </c>
    </row>
    <row r="2" spans="1:11" ht="15.75" customHeight="1">
      <c r="A2" s="60" t="s">
        <v>30</v>
      </c>
      <c r="B2" s="61" t="s">
        <v>4306</v>
      </c>
      <c r="C2" s="236"/>
      <c r="D2" s="236"/>
      <c r="E2" s="236"/>
      <c r="F2" s="61" t="s">
        <v>4307</v>
      </c>
      <c r="G2" s="61" t="s">
        <v>4308</v>
      </c>
      <c r="H2" s="236"/>
      <c r="I2" s="236"/>
      <c r="J2" s="230"/>
      <c r="K2" s="232"/>
    </row>
    <row r="3" spans="1:11" ht="15.75" customHeight="1">
      <c r="A3" s="62" t="s">
        <v>3004</v>
      </c>
      <c r="B3" s="181" t="s">
        <v>4309</v>
      </c>
      <c r="C3" s="181" t="s">
        <v>4310</v>
      </c>
      <c r="D3" s="181" t="s">
        <v>4310</v>
      </c>
      <c r="E3" s="63">
        <v>43559</v>
      </c>
      <c r="F3" s="181" t="s">
        <v>4310</v>
      </c>
      <c r="G3" s="181" t="s">
        <v>11</v>
      </c>
      <c r="H3" s="181" t="s">
        <v>4310</v>
      </c>
      <c r="I3" s="181"/>
      <c r="J3" s="181"/>
      <c r="K3" s="181"/>
    </row>
    <row r="4" spans="1:11" ht="15.75" customHeight="1">
      <c r="A4" s="64" t="s">
        <v>4311</v>
      </c>
      <c r="B4" s="81" t="s">
        <v>4312</v>
      </c>
      <c r="C4" s="81" t="s">
        <v>4310</v>
      </c>
      <c r="D4" s="81" t="s">
        <v>4310</v>
      </c>
      <c r="E4" s="65">
        <v>43559</v>
      </c>
      <c r="F4" s="81" t="s">
        <v>4310</v>
      </c>
      <c r="G4" s="81" t="s">
        <v>11</v>
      </c>
      <c r="H4" s="81" t="s">
        <v>4310</v>
      </c>
      <c r="I4" s="17"/>
      <c r="J4" s="17"/>
      <c r="K4" s="17"/>
    </row>
    <row r="5" spans="1:11" ht="15.75" customHeight="1">
      <c r="A5" s="64" t="s">
        <v>4313</v>
      </c>
      <c r="B5" s="81" t="s">
        <v>4314</v>
      </c>
      <c r="C5" s="81" t="s">
        <v>4310</v>
      </c>
      <c r="D5" s="81" t="s">
        <v>4310</v>
      </c>
      <c r="E5" s="65">
        <v>43559</v>
      </c>
      <c r="F5" s="81" t="s">
        <v>4310</v>
      </c>
      <c r="G5" s="81" t="s">
        <v>11</v>
      </c>
      <c r="H5" s="81" t="s">
        <v>4315</v>
      </c>
      <c r="I5" s="17"/>
      <c r="J5" s="17"/>
      <c r="K5" s="17"/>
    </row>
    <row r="6" spans="1:11" ht="15.75" customHeight="1">
      <c r="A6" s="64" t="s">
        <v>4316</v>
      </c>
      <c r="B6" s="81" t="s">
        <v>4317</v>
      </c>
      <c r="C6" s="81" t="s">
        <v>4310</v>
      </c>
      <c r="D6" s="81" t="s">
        <v>4310</v>
      </c>
      <c r="E6" s="65">
        <v>43559</v>
      </c>
      <c r="F6" s="81" t="s">
        <v>4310</v>
      </c>
      <c r="G6" s="81" t="s">
        <v>4318</v>
      </c>
      <c r="H6" s="81" t="s">
        <v>4310</v>
      </c>
      <c r="I6" s="17"/>
      <c r="J6" s="17"/>
      <c r="K6" s="17"/>
    </row>
    <row r="7" spans="1:11" ht="15.75" customHeight="1">
      <c r="A7" s="64" t="s">
        <v>4319</v>
      </c>
      <c r="B7" s="81" t="s">
        <v>4320</v>
      </c>
      <c r="C7" s="81" t="s">
        <v>4310</v>
      </c>
      <c r="D7" s="81" t="s">
        <v>4310</v>
      </c>
      <c r="E7" s="65">
        <v>43559</v>
      </c>
      <c r="F7" s="81" t="s">
        <v>4310</v>
      </c>
      <c r="G7" s="81" t="s">
        <v>4318</v>
      </c>
      <c r="H7" s="81" t="s">
        <v>4310</v>
      </c>
      <c r="I7" s="17"/>
      <c r="J7" s="17"/>
      <c r="K7" s="17"/>
    </row>
    <row r="8" spans="1:11" ht="15.75" customHeight="1">
      <c r="A8" s="64" t="s">
        <v>4321</v>
      </c>
      <c r="B8" s="81" t="s">
        <v>4322</v>
      </c>
      <c r="C8" s="81" t="s">
        <v>4310</v>
      </c>
      <c r="D8" s="81" t="s">
        <v>4310</v>
      </c>
      <c r="E8" s="65">
        <v>43557</v>
      </c>
      <c r="F8" s="81" t="s">
        <v>4310</v>
      </c>
      <c r="G8" s="81" t="s">
        <v>11</v>
      </c>
      <c r="H8" s="81" t="s">
        <v>4310</v>
      </c>
      <c r="I8" s="81"/>
      <c r="J8" s="81"/>
      <c r="K8" s="81"/>
    </row>
    <row r="9" spans="1:11" ht="15.75" customHeight="1">
      <c r="A9" s="64" t="s">
        <v>4323</v>
      </c>
      <c r="B9" s="81" t="s">
        <v>4324</v>
      </c>
      <c r="C9" s="81" t="s">
        <v>4310</v>
      </c>
      <c r="D9" s="81" t="s">
        <v>4310</v>
      </c>
      <c r="E9" s="65">
        <v>43557</v>
      </c>
      <c r="F9" s="81" t="s">
        <v>4310</v>
      </c>
      <c r="G9" s="81" t="s">
        <v>11</v>
      </c>
      <c r="H9" s="81" t="s">
        <v>4310</v>
      </c>
      <c r="I9" s="81"/>
      <c r="J9" s="81"/>
      <c r="K9" s="81"/>
    </row>
    <row r="10" spans="1:11" ht="15.75" customHeight="1">
      <c r="A10" s="64" t="s">
        <v>4325</v>
      </c>
      <c r="B10" s="81" t="s">
        <v>4326</v>
      </c>
      <c r="C10" s="81" t="s">
        <v>4310</v>
      </c>
      <c r="D10" s="81" t="s">
        <v>4310</v>
      </c>
      <c r="E10" s="65">
        <v>43557</v>
      </c>
      <c r="F10" s="81" t="s">
        <v>4310</v>
      </c>
      <c r="G10" s="81" t="s">
        <v>11</v>
      </c>
      <c r="H10" s="81" t="s">
        <v>4310</v>
      </c>
      <c r="I10" s="81"/>
      <c r="J10" s="81"/>
      <c r="K10" s="81"/>
    </row>
    <row r="11" spans="1:11" ht="15.75" customHeight="1">
      <c r="A11" s="64" t="s">
        <v>4327</v>
      </c>
      <c r="B11" s="81" t="s">
        <v>4328</v>
      </c>
      <c r="C11" s="81" t="s">
        <v>4310</v>
      </c>
      <c r="D11" s="81" t="s">
        <v>4310</v>
      </c>
      <c r="E11" s="65">
        <v>43566</v>
      </c>
      <c r="F11" s="81" t="s">
        <v>4310</v>
      </c>
      <c r="G11" s="81" t="s">
        <v>11</v>
      </c>
      <c r="H11" s="81" t="s">
        <v>4329</v>
      </c>
      <c r="I11" s="17"/>
      <c r="J11" s="17"/>
      <c r="K11" s="17"/>
    </row>
    <row r="12" spans="1:11" ht="15.75" customHeight="1">
      <c r="A12" s="64" t="s">
        <v>4330</v>
      </c>
      <c r="B12" s="81" t="s">
        <v>4331</v>
      </c>
      <c r="C12" s="81" t="s">
        <v>4310</v>
      </c>
      <c r="D12" s="81" t="s">
        <v>4310</v>
      </c>
      <c r="E12" s="65">
        <v>43557</v>
      </c>
      <c r="F12" s="81" t="s">
        <v>4310</v>
      </c>
      <c r="G12" s="81" t="s">
        <v>11</v>
      </c>
      <c r="H12" s="81" t="s">
        <v>4310</v>
      </c>
      <c r="I12" s="81"/>
      <c r="J12" s="81"/>
      <c r="K12" s="81"/>
    </row>
    <row r="13" spans="1:11" ht="15.75" customHeight="1">
      <c r="A13" s="64" t="s">
        <v>3087</v>
      </c>
      <c r="B13" s="81" t="s">
        <v>4332</v>
      </c>
      <c r="C13" s="81" t="s">
        <v>4310</v>
      </c>
      <c r="D13" s="81" t="s">
        <v>4310</v>
      </c>
      <c r="E13" s="65">
        <v>43557</v>
      </c>
      <c r="F13" s="81" t="s">
        <v>4310</v>
      </c>
      <c r="G13" s="81" t="s">
        <v>11</v>
      </c>
      <c r="H13" s="81" t="s">
        <v>4310</v>
      </c>
      <c r="I13" s="81"/>
      <c r="J13" s="81"/>
      <c r="K13" s="81"/>
    </row>
    <row r="14" spans="1:11" ht="15.75" customHeight="1">
      <c r="A14" s="64" t="s">
        <v>4333</v>
      </c>
      <c r="B14" s="81" t="s">
        <v>4334</v>
      </c>
      <c r="C14" s="81" t="s">
        <v>4310</v>
      </c>
      <c r="D14" s="81" t="s">
        <v>4310</v>
      </c>
      <c r="E14" s="65">
        <v>43557</v>
      </c>
      <c r="F14" s="81" t="s">
        <v>4310</v>
      </c>
      <c r="G14" s="81" t="s">
        <v>11</v>
      </c>
      <c r="H14" s="81" t="s">
        <v>4310</v>
      </c>
      <c r="I14" s="81"/>
      <c r="J14" s="81"/>
      <c r="K14" s="81"/>
    </row>
    <row r="15" spans="1:11" ht="15.75" customHeight="1">
      <c r="A15" s="64" t="s">
        <v>4335</v>
      </c>
      <c r="B15" s="81" t="s">
        <v>4336</v>
      </c>
      <c r="C15" s="81" t="s">
        <v>4310</v>
      </c>
      <c r="D15" s="81" t="s">
        <v>4310</v>
      </c>
      <c r="E15" s="65">
        <v>43572</v>
      </c>
      <c r="F15" s="81" t="s">
        <v>4310</v>
      </c>
      <c r="G15" s="81" t="s">
        <v>4318</v>
      </c>
      <c r="H15" s="81" t="s">
        <v>4329</v>
      </c>
      <c r="I15" s="17"/>
      <c r="J15" s="17"/>
      <c r="K15" s="17"/>
    </row>
    <row r="16" spans="1:11" ht="15.75" customHeight="1">
      <c r="A16" s="66" t="s">
        <v>3066</v>
      </c>
      <c r="B16" s="67" t="s">
        <v>4337</v>
      </c>
      <c r="C16" s="67" t="s">
        <v>4310</v>
      </c>
      <c r="D16" s="67" t="s">
        <v>4310</v>
      </c>
      <c r="E16" s="68">
        <v>43572</v>
      </c>
      <c r="F16" s="67" t="s">
        <v>4329</v>
      </c>
      <c r="G16" s="67"/>
      <c r="H16" s="81" t="s">
        <v>4329</v>
      </c>
      <c r="I16" s="17"/>
      <c r="J16" s="17"/>
      <c r="K16" s="17"/>
    </row>
    <row r="17" spans="1:11" ht="15.75" customHeight="1">
      <c r="A17" s="64" t="s">
        <v>3091</v>
      </c>
      <c r="B17" s="81" t="s">
        <v>4338</v>
      </c>
      <c r="C17" s="81" t="s">
        <v>4310</v>
      </c>
      <c r="D17" s="81" t="s">
        <v>4310</v>
      </c>
      <c r="E17" s="65">
        <v>43572</v>
      </c>
      <c r="F17" s="81" t="s">
        <v>4310</v>
      </c>
      <c r="G17" s="81" t="s">
        <v>4339</v>
      </c>
      <c r="H17" s="81" t="s">
        <v>4329</v>
      </c>
      <c r="I17" s="17"/>
      <c r="J17" s="17"/>
      <c r="K17" s="17"/>
    </row>
    <row r="18" spans="1:11" ht="15.75" customHeight="1">
      <c r="A18" s="64" t="s">
        <v>3094</v>
      </c>
      <c r="B18" s="81" t="s">
        <v>4340</v>
      </c>
      <c r="C18" s="81" t="s">
        <v>4310</v>
      </c>
      <c r="D18" s="81" t="s">
        <v>4310</v>
      </c>
      <c r="E18" s="65">
        <v>43584</v>
      </c>
      <c r="F18" s="81" t="s">
        <v>4310</v>
      </c>
      <c r="G18" s="81" t="s">
        <v>12</v>
      </c>
      <c r="H18" s="81" t="s">
        <v>4329</v>
      </c>
      <c r="I18" s="17"/>
      <c r="J18" s="17"/>
      <c r="K18" s="17"/>
    </row>
    <row r="19" spans="1:11" ht="15.75" customHeight="1">
      <c r="A19" s="66" t="s">
        <v>4341</v>
      </c>
      <c r="B19" s="67" t="s">
        <v>4342</v>
      </c>
      <c r="C19" s="67" t="s">
        <v>4310</v>
      </c>
      <c r="D19" s="67" t="s">
        <v>4310</v>
      </c>
      <c r="E19" s="68">
        <v>43572</v>
      </c>
      <c r="F19" s="67" t="s">
        <v>4329</v>
      </c>
      <c r="G19" s="67"/>
      <c r="H19" s="81" t="s">
        <v>4329</v>
      </c>
      <c r="I19" s="17"/>
      <c r="J19" s="17"/>
      <c r="K19" s="17"/>
    </row>
    <row r="20" spans="1:11" ht="15.75" customHeight="1">
      <c r="A20" s="66" t="s">
        <v>4343</v>
      </c>
      <c r="B20" s="67" t="s">
        <v>4344</v>
      </c>
      <c r="C20" s="67" t="s">
        <v>4310</v>
      </c>
      <c r="D20" s="67" t="s">
        <v>4310</v>
      </c>
      <c r="E20" s="68">
        <v>43572</v>
      </c>
      <c r="F20" s="67" t="s">
        <v>4329</v>
      </c>
      <c r="G20" s="67"/>
      <c r="H20" s="81" t="s">
        <v>4329</v>
      </c>
      <c r="I20" s="17"/>
      <c r="J20" s="17"/>
      <c r="K20" s="17"/>
    </row>
    <row r="21" spans="1:11" ht="15.75" customHeight="1">
      <c r="A21" s="64" t="s">
        <v>4345</v>
      </c>
      <c r="B21" s="81" t="s">
        <v>4346</v>
      </c>
      <c r="C21" s="81" t="s">
        <v>4310</v>
      </c>
      <c r="D21" s="81" t="s">
        <v>4310</v>
      </c>
      <c r="E21" s="65">
        <v>43572</v>
      </c>
      <c r="F21" s="81" t="s">
        <v>4315</v>
      </c>
      <c r="G21" s="81" t="s">
        <v>12</v>
      </c>
      <c r="H21" s="81" t="s">
        <v>4329</v>
      </c>
      <c r="I21" s="17"/>
      <c r="J21" s="17"/>
      <c r="K21" s="17"/>
    </row>
    <row r="22" spans="1:11" ht="15.75" customHeight="1">
      <c r="A22" s="64" t="s">
        <v>4347</v>
      </c>
      <c r="B22" s="81" t="s">
        <v>4348</v>
      </c>
      <c r="C22" s="81" t="s">
        <v>4310</v>
      </c>
      <c r="D22" s="81" t="s">
        <v>4310</v>
      </c>
      <c r="E22" s="65">
        <v>43572</v>
      </c>
      <c r="F22" s="81" t="s">
        <v>4329</v>
      </c>
      <c r="G22" s="81"/>
      <c r="H22" s="81" t="s">
        <v>4329</v>
      </c>
      <c r="I22" s="17"/>
      <c r="J22" s="17"/>
      <c r="K22" s="17"/>
    </row>
    <row r="23" spans="1:11" ht="15.75" customHeight="1">
      <c r="A23" s="69" t="s">
        <v>4349</v>
      </c>
      <c r="B23" s="70" t="s">
        <v>4350</v>
      </c>
      <c r="C23" s="70" t="s">
        <v>4310</v>
      </c>
      <c r="D23" s="81" t="s">
        <v>4310</v>
      </c>
      <c r="E23" s="65">
        <v>43572</v>
      </c>
      <c r="F23" s="81" t="s">
        <v>4310</v>
      </c>
      <c r="G23" s="81" t="s">
        <v>12</v>
      </c>
      <c r="H23" s="81" t="s">
        <v>4329</v>
      </c>
      <c r="I23" s="71"/>
      <c r="J23" s="71"/>
      <c r="K23" s="71"/>
    </row>
    <row r="24" spans="1:11" ht="15.75" customHeight="1">
      <c r="A24" s="81" t="s">
        <v>318</v>
      </c>
      <c r="B24" s="81" t="s">
        <v>4351</v>
      </c>
      <c r="C24" s="81" t="s">
        <v>4310</v>
      </c>
      <c r="D24" s="81" t="s">
        <v>4310</v>
      </c>
      <c r="E24" s="65">
        <v>43556</v>
      </c>
      <c r="F24" s="81" t="s">
        <v>4310</v>
      </c>
      <c r="G24" s="81" t="s">
        <v>12</v>
      </c>
      <c r="H24" s="81" t="s">
        <v>4310</v>
      </c>
      <c r="I24" s="17"/>
      <c r="J24" s="17"/>
      <c r="K24" s="17"/>
    </row>
    <row r="25" spans="1:11" ht="15.75" customHeight="1">
      <c r="A25" s="81" t="s">
        <v>4352</v>
      </c>
      <c r="B25" s="17"/>
      <c r="C25" s="81" t="s">
        <v>4310</v>
      </c>
      <c r="D25" s="81" t="s">
        <v>4329</v>
      </c>
      <c r="E25" s="72"/>
      <c r="F25" s="81" t="s">
        <v>4329</v>
      </c>
      <c r="G25" s="81" t="s">
        <v>12</v>
      </c>
      <c r="H25" s="81" t="s">
        <v>4329</v>
      </c>
      <c r="I25" s="17"/>
      <c r="J25" s="17"/>
      <c r="K25" s="17"/>
    </row>
    <row r="26" spans="1:11" ht="15.75" customHeight="1">
      <c r="A26" s="184"/>
      <c r="B26" s="184"/>
      <c r="C26" s="184"/>
      <c r="D26" s="184"/>
      <c r="E26" s="120"/>
      <c r="F26" s="184"/>
      <c r="G26" s="184"/>
      <c r="H26" s="184"/>
      <c r="I26" s="184"/>
      <c r="J26" s="184"/>
      <c r="K26" s="184"/>
    </row>
    <row r="27" spans="1:11" ht="15.75" customHeight="1">
      <c r="A27" s="184"/>
      <c r="B27" s="184"/>
      <c r="C27" s="184"/>
      <c r="D27" s="184"/>
      <c r="E27" s="120"/>
      <c r="F27" s="184"/>
      <c r="G27" s="184"/>
      <c r="H27" s="184"/>
      <c r="I27" s="184"/>
      <c r="J27" s="184"/>
      <c r="K27" s="184"/>
    </row>
    <row r="28" spans="1:11" ht="15.75" customHeight="1">
      <c r="A28" s="184"/>
      <c r="B28" s="184"/>
      <c r="C28" s="184"/>
      <c r="D28" s="184"/>
      <c r="E28" s="120"/>
      <c r="F28" s="184"/>
      <c r="G28" s="184"/>
      <c r="H28" s="184"/>
      <c r="I28" s="184"/>
      <c r="J28" s="184"/>
      <c r="K28" s="184"/>
    </row>
    <row r="29" spans="1:11" ht="15.75" customHeight="1">
      <c r="A29" s="184"/>
      <c r="B29" s="184"/>
      <c r="C29" s="184"/>
      <c r="D29" s="184"/>
      <c r="E29" s="120"/>
      <c r="F29" s="184"/>
      <c r="G29" s="184"/>
      <c r="H29" s="184"/>
      <c r="I29" s="184"/>
      <c r="J29" s="184"/>
      <c r="K29" s="184"/>
    </row>
    <row r="30" spans="1:11" ht="15.75" customHeight="1">
      <c r="A30" s="184"/>
      <c r="B30" s="184"/>
      <c r="C30" s="184"/>
      <c r="D30" s="184"/>
      <c r="E30" s="120"/>
      <c r="F30" s="184"/>
      <c r="G30" s="184"/>
      <c r="H30" s="184"/>
      <c r="I30" s="184"/>
      <c r="J30" s="184"/>
      <c r="K30" s="184"/>
    </row>
    <row r="31" spans="1:11" ht="15.75" customHeight="1">
      <c r="A31" s="184"/>
      <c r="B31" s="184"/>
      <c r="C31" s="184"/>
      <c r="D31" s="184"/>
      <c r="E31" s="120"/>
      <c r="F31" s="184"/>
      <c r="G31" s="184"/>
      <c r="H31" s="184"/>
      <c r="I31" s="184"/>
      <c r="J31" s="184"/>
      <c r="K31" s="184"/>
    </row>
    <row r="32" spans="1:11" ht="15.75" customHeight="1">
      <c r="A32" s="184"/>
      <c r="B32" s="184"/>
      <c r="C32" s="184"/>
      <c r="D32" s="184"/>
      <c r="E32" s="120"/>
      <c r="F32" s="184"/>
      <c r="G32" s="184"/>
      <c r="H32" s="184"/>
      <c r="I32" s="184"/>
      <c r="J32" s="184"/>
      <c r="K32" s="184"/>
    </row>
    <row r="33" spans="5:5" ht="15.75" customHeight="1">
      <c r="E33" s="120"/>
    </row>
    <row r="34" spans="5:5" ht="15.75" customHeight="1">
      <c r="E34" s="120"/>
    </row>
    <row r="35" spans="5:5" ht="15.75" customHeight="1">
      <c r="E35" s="120"/>
    </row>
    <row r="36" spans="5:5" ht="15.75" customHeight="1">
      <c r="E36" s="120"/>
    </row>
    <row r="37" spans="5:5" ht="15.75" customHeight="1">
      <c r="E37" s="120"/>
    </row>
    <row r="38" spans="5:5" ht="15.75" customHeight="1">
      <c r="E38" s="120"/>
    </row>
    <row r="39" spans="5:5" ht="15.75" customHeight="1">
      <c r="E39" s="120"/>
    </row>
    <row r="40" spans="5:5" ht="12.75">
      <c r="E40" s="120"/>
    </row>
    <row r="41" spans="5:5" ht="12.75">
      <c r="E41" s="120"/>
    </row>
    <row r="42" spans="5:5" ht="12.75">
      <c r="E42" s="120"/>
    </row>
    <row r="43" spans="5:5" ht="12.75">
      <c r="E43" s="120"/>
    </row>
    <row r="44" spans="5:5" ht="12.75">
      <c r="E44" s="120"/>
    </row>
    <row r="45" spans="5:5" ht="12.75">
      <c r="E45" s="120"/>
    </row>
    <row r="46" spans="5:5" ht="12.75">
      <c r="E46" s="120"/>
    </row>
    <row r="47" spans="5:5" ht="12.75">
      <c r="E47" s="120"/>
    </row>
    <row r="48" spans="5:5" ht="12.75">
      <c r="E48" s="120"/>
    </row>
    <row r="49" spans="5:5" ht="12.75">
      <c r="E49" s="120"/>
    </row>
    <row r="50" spans="5:5" ht="12.75">
      <c r="E50" s="120"/>
    </row>
    <row r="51" spans="5:5" ht="12.75">
      <c r="E51" s="120"/>
    </row>
    <row r="52" spans="5:5" ht="12.75">
      <c r="E52" s="120"/>
    </row>
    <row r="53" spans="5:5" ht="12.75">
      <c r="E53" s="120"/>
    </row>
    <row r="54" spans="5:5" ht="12.75">
      <c r="E54" s="120"/>
    </row>
    <row r="55" spans="5:5" ht="12.75">
      <c r="E55" s="120"/>
    </row>
    <row r="56" spans="5:5" ht="12.75">
      <c r="E56" s="120"/>
    </row>
    <row r="57" spans="5:5" ht="12.75">
      <c r="E57" s="120"/>
    </row>
    <row r="58" spans="5:5" ht="12.75">
      <c r="E58" s="120"/>
    </row>
    <row r="59" spans="5:5" ht="12.75">
      <c r="E59" s="120"/>
    </row>
    <row r="60" spans="5:5" ht="12.75">
      <c r="E60" s="120"/>
    </row>
    <row r="61" spans="5:5" ht="12.75">
      <c r="E61" s="120"/>
    </row>
    <row r="62" spans="5:5" ht="12.75">
      <c r="E62" s="120"/>
    </row>
    <row r="63" spans="5:5" ht="12.75">
      <c r="E63" s="120"/>
    </row>
    <row r="64" spans="5:5" ht="12.75">
      <c r="E64" s="120"/>
    </row>
    <row r="65" spans="5:5" ht="12.75">
      <c r="E65" s="120"/>
    </row>
    <row r="66" spans="5:5" ht="12.75">
      <c r="E66" s="120"/>
    </row>
    <row r="67" spans="5:5" ht="12.75">
      <c r="E67" s="120"/>
    </row>
    <row r="68" spans="5:5" ht="12.75">
      <c r="E68" s="120"/>
    </row>
    <row r="69" spans="5:5" ht="12.75">
      <c r="E69" s="120"/>
    </row>
    <row r="70" spans="5:5" ht="12.75">
      <c r="E70" s="120"/>
    </row>
    <row r="71" spans="5:5" ht="12.75">
      <c r="E71" s="120"/>
    </row>
    <row r="72" spans="5:5" ht="12.75">
      <c r="E72" s="120"/>
    </row>
    <row r="73" spans="5:5" ht="12.75">
      <c r="E73" s="120"/>
    </row>
    <row r="74" spans="5:5" ht="12.75">
      <c r="E74" s="120"/>
    </row>
    <row r="75" spans="5:5" ht="12.75">
      <c r="E75" s="120"/>
    </row>
    <row r="76" spans="5:5" ht="12.75">
      <c r="E76" s="120"/>
    </row>
    <row r="77" spans="5:5" ht="12.75">
      <c r="E77" s="120"/>
    </row>
    <row r="78" spans="5:5" ht="12.75">
      <c r="E78" s="120"/>
    </row>
    <row r="79" spans="5:5" ht="12.75">
      <c r="E79" s="120"/>
    </row>
    <row r="80" spans="5:5" ht="12.75">
      <c r="E80" s="120"/>
    </row>
    <row r="81" spans="5:5" ht="12.75">
      <c r="E81" s="120"/>
    </row>
    <row r="82" spans="5:5" ht="12.75">
      <c r="E82" s="120"/>
    </row>
    <row r="83" spans="5:5" ht="12.75">
      <c r="E83" s="120"/>
    </row>
    <row r="84" spans="5:5" ht="12.75">
      <c r="E84" s="120"/>
    </row>
    <row r="85" spans="5:5" ht="12.75">
      <c r="E85" s="120"/>
    </row>
    <row r="86" spans="5:5" ht="12.75">
      <c r="E86" s="120"/>
    </row>
    <row r="87" spans="5:5" ht="12.75">
      <c r="E87" s="120"/>
    </row>
    <row r="88" spans="5:5" ht="12.75">
      <c r="E88" s="120"/>
    </row>
    <row r="89" spans="5:5" ht="12.75">
      <c r="E89" s="120"/>
    </row>
    <row r="90" spans="5:5" ht="12.75">
      <c r="E90" s="120"/>
    </row>
    <row r="91" spans="5:5" ht="12.75">
      <c r="E91" s="120"/>
    </row>
    <row r="92" spans="5:5" ht="12.75">
      <c r="E92" s="120"/>
    </row>
    <row r="93" spans="5:5" ht="12.75">
      <c r="E93" s="120"/>
    </row>
    <row r="94" spans="5:5" ht="12.75">
      <c r="E94" s="120"/>
    </row>
    <row r="95" spans="5:5" ht="12.75">
      <c r="E95" s="120"/>
    </row>
    <row r="96" spans="5:5" ht="12.75">
      <c r="E96" s="120"/>
    </row>
    <row r="97" spans="5:5" ht="12.75">
      <c r="E97" s="120"/>
    </row>
    <row r="98" spans="5:5" ht="12.75">
      <c r="E98" s="120"/>
    </row>
    <row r="99" spans="5:5" ht="12.75">
      <c r="E99" s="120"/>
    </row>
    <row r="100" spans="5:5" ht="12.75">
      <c r="E100" s="120"/>
    </row>
    <row r="101" spans="5:5" ht="12.75">
      <c r="E101" s="120"/>
    </row>
    <row r="102" spans="5:5" ht="12.75">
      <c r="E102" s="120"/>
    </row>
    <row r="103" spans="5:5" ht="12.75">
      <c r="E103" s="120"/>
    </row>
    <row r="104" spans="5:5" ht="12.75">
      <c r="E104" s="120"/>
    </row>
    <row r="105" spans="5:5" ht="12.75">
      <c r="E105" s="120"/>
    </row>
    <row r="106" spans="5:5" ht="12.75">
      <c r="E106" s="120"/>
    </row>
    <row r="107" spans="5:5" ht="12.75">
      <c r="E107" s="120"/>
    </row>
    <row r="108" spans="5:5" ht="12.75">
      <c r="E108" s="120"/>
    </row>
    <row r="109" spans="5:5" ht="12.75">
      <c r="E109" s="120"/>
    </row>
    <row r="110" spans="5:5" ht="12.75">
      <c r="E110" s="120"/>
    </row>
    <row r="111" spans="5:5" ht="12.75">
      <c r="E111" s="120"/>
    </row>
    <row r="112" spans="5:5" ht="12.75">
      <c r="E112" s="120"/>
    </row>
    <row r="113" spans="5:5" ht="12.75">
      <c r="E113" s="120"/>
    </row>
    <row r="114" spans="5:5" ht="12.75">
      <c r="E114" s="120"/>
    </row>
    <row r="115" spans="5:5" ht="12.75">
      <c r="E115" s="120"/>
    </row>
    <row r="116" spans="5:5" ht="12.75">
      <c r="E116" s="120"/>
    </row>
    <row r="117" spans="5:5" ht="12.75">
      <c r="E117" s="120"/>
    </row>
    <row r="118" spans="5:5" ht="12.75">
      <c r="E118" s="120"/>
    </row>
    <row r="119" spans="5:5" ht="12.75">
      <c r="E119" s="120"/>
    </row>
    <row r="120" spans="5:5" ht="12.75">
      <c r="E120" s="120"/>
    </row>
    <row r="121" spans="5:5" ht="12.75">
      <c r="E121" s="120"/>
    </row>
    <row r="122" spans="5:5" ht="12.75">
      <c r="E122" s="120"/>
    </row>
    <row r="123" spans="5:5" ht="12.75">
      <c r="E123" s="120"/>
    </row>
    <row r="124" spans="5:5" ht="12.75">
      <c r="E124" s="120"/>
    </row>
    <row r="125" spans="5:5" ht="12.75">
      <c r="E125" s="120"/>
    </row>
    <row r="126" spans="5:5" ht="12.75">
      <c r="E126" s="120"/>
    </row>
    <row r="127" spans="5:5" ht="12.75">
      <c r="E127" s="120"/>
    </row>
    <row r="128" spans="5:5" ht="12.75">
      <c r="E128" s="120"/>
    </row>
    <row r="129" spans="5:5" ht="12.75">
      <c r="E129" s="120"/>
    </row>
    <row r="130" spans="5:5" ht="12.75">
      <c r="E130" s="120"/>
    </row>
    <row r="131" spans="5:5" ht="12.75">
      <c r="E131" s="120"/>
    </row>
    <row r="132" spans="5:5" ht="12.75">
      <c r="E132" s="120"/>
    </row>
    <row r="133" spans="5:5" ht="12.75">
      <c r="E133" s="120"/>
    </row>
    <row r="134" spans="5:5" ht="12.75">
      <c r="E134" s="120"/>
    </row>
    <row r="135" spans="5:5" ht="12.75">
      <c r="E135" s="120"/>
    </row>
    <row r="136" spans="5:5" ht="12.75">
      <c r="E136" s="120"/>
    </row>
    <row r="137" spans="5:5" ht="12.75">
      <c r="E137" s="120"/>
    </row>
    <row r="138" spans="5:5" ht="12.75">
      <c r="E138" s="120"/>
    </row>
    <row r="139" spans="5:5" ht="12.75">
      <c r="E139" s="120"/>
    </row>
    <row r="140" spans="5:5" ht="12.75">
      <c r="E140" s="120"/>
    </row>
    <row r="141" spans="5:5" ht="12.75">
      <c r="E141" s="120"/>
    </row>
    <row r="142" spans="5:5" ht="12.75">
      <c r="E142" s="120"/>
    </row>
    <row r="143" spans="5:5" ht="12.75">
      <c r="E143" s="120"/>
    </row>
    <row r="144" spans="5:5" ht="12.75">
      <c r="E144" s="120"/>
    </row>
    <row r="145" spans="5:5" ht="12.75">
      <c r="E145" s="120"/>
    </row>
    <row r="146" spans="5:5" ht="12.75">
      <c r="E146" s="120"/>
    </row>
    <row r="147" spans="5:5" ht="12.75">
      <c r="E147" s="120"/>
    </row>
    <row r="148" spans="5:5" ht="12.75">
      <c r="E148" s="120"/>
    </row>
    <row r="149" spans="5:5" ht="12.75">
      <c r="E149" s="120"/>
    </row>
    <row r="150" spans="5:5" ht="12.75">
      <c r="E150" s="120"/>
    </row>
    <row r="151" spans="5:5" ht="12.75">
      <c r="E151" s="120"/>
    </row>
    <row r="152" spans="5:5" ht="12.75">
      <c r="E152" s="120"/>
    </row>
    <row r="153" spans="5:5" ht="12.75">
      <c r="E153" s="120"/>
    </row>
    <row r="154" spans="5:5" ht="12.75">
      <c r="E154" s="120"/>
    </row>
    <row r="155" spans="5:5" ht="12.75">
      <c r="E155" s="120"/>
    </row>
    <row r="156" spans="5:5" ht="12.75">
      <c r="E156" s="120"/>
    </row>
    <row r="157" spans="5:5" ht="12.75">
      <c r="E157" s="120"/>
    </row>
    <row r="158" spans="5:5" ht="12.75">
      <c r="E158" s="120"/>
    </row>
    <row r="159" spans="5:5" ht="12.75">
      <c r="E159" s="120"/>
    </row>
    <row r="160" spans="5:5" ht="12.75">
      <c r="E160" s="120"/>
    </row>
    <row r="161" spans="5:5" ht="12.75">
      <c r="E161" s="120"/>
    </row>
    <row r="162" spans="5:5" ht="12.75">
      <c r="E162" s="120"/>
    </row>
    <row r="163" spans="5:5" ht="12.75">
      <c r="E163" s="120"/>
    </row>
    <row r="164" spans="5:5" ht="12.75">
      <c r="E164" s="120"/>
    </row>
    <row r="165" spans="5:5" ht="12.75">
      <c r="E165" s="120"/>
    </row>
    <row r="166" spans="5:5" ht="12.75">
      <c r="E166" s="120"/>
    </row>
    <row r="167" spans="5:5" ht="12.75">
      <c r="E167" s="120"/>
    </row>
    <row r="168" spans="5:5" ht="12.75">
      <c r="E168" s="120"/>
    </row>
    <row r="169" spans="5:5" ht="12.75">
      <c r="E169" s="120"/>
    </row>
    <row r="170" spans="5:5" ht="12.75">
      <c r="E170" s="120"/>
    </row>
    <row r="171" spans="5:5" ht="12.75">
      <c r="E171" s="120"/>
    </row>
    <row r="172" spans="5:5" ht="12.75">
      <c r="E172" s="120"/>
    </row>
    <row r="173" spans="5:5" ht="12.75">
      <c r="E173" s="120"/>
    </row>
    <row r="174" spans="5:5" ht="12.75">
      <c r="E174" s="120"/>
    </row>
    <row r="175" spans="5:5" ht="12.75">
      <c r="E175" s="120"/>
    </row>
    <row r="176" spans="5:5" ht="12.75">
      <c r="E176" s="120"/>
    </row>
    <row r="177" spans="5:5" ht="12.75">
      <c r="E177" s="120"/>
    </row>
    <row r="178" spans="5:5" ht="12.75">
      <c r="E178" s="120"/>
    </row>
    <row r="179" spans="5:5" ht="12.75">
      <c r="E179" s="120"/>
    </row>
    <row r="180" spans="5:5" ht="12.75">
      <c r="E180" s="120"/>
    </row>
    <row r="181" spans="5:5" ht="12.75">
      <c r="E181" s="120"/>
    </row>
    <row r="182" spans="5:5" ht="12.75">
      <c r="E182" s="120"/>
    </row>
    <row r="183" spans="5:5" ht="12.75">
      <c r="E183" s="120"/>
    </row>
    <row r="184" spans="5:5" ht="12.75">
      <c r="E184" s="120"/>
    </row>
    <row r="185" spans="5:5" ht="12.75">
      <c r="E185" s="120"/>
    </row>
    <row r="186" spans="5:5" ht="12.75">
      <c r="E186" s="120"/>
    </row>
    <row r="187" spans="5:5" ht="12.75">
      <c r="E187" s="120"/>
    </row>
    <row r="188" spans="5:5" ht="12.75">
      <c r="E188" s="120"/>
    </row>
    <row r="189" spans="5:5" ht="12.75">
      <c r="E189" s="120"/>
    </row>
    <row r="190" spans="5:5" ht="12.75">
      <c r="E190" s="120"/>
    </row>
    <row r="191" spans="5:5" ht="12.75">
      <c r="E191" s="120"/>
    </row>
    <row r="192" spans="5:5" ht="12.75">
      <c r="E192" s="120"/>
    </row>
    <row r="193" spans="5:5" ht="12.75">
      <c r="E193" s="120"/>
    </row>
    <row r="194" spans="5:5" ht="12.75">
      <c r="E194" s="120"/>
    </row>
    <row r="195" spans="5:5" ht="12.75">
      <c r="E195" s="120"/>
    </row>
    <row r="196" spans="5:5" ht="12.75">
      <c r="E196" s="120"/>
    </row>
    <row r="197" spans="5:5" ht="12.75">
      <c r="E197" s="120"/>
    </row>
    <row r="198" spans="5:5" ht="12.75">
      <c r="E198" s="120"/>
    </row>
    <row r="199" spans="5:5" ht="12.75">
      <c r="E199" s="120"/>
    </row>
    <row r="200" spans="5:5" ht="12.75">
      <c r="E200" s="120"/>
    </row>
    <row r="201" spans="5:5" ht="12.75">
      <c r="E201" s="120"/>
    </row>
    <row r="202" spans="5:5" ht="12.75">
      <c r="E202" s="120"/>
    </row>
    <row r="203" spans="5:5" ht="12.75">
      <c r="E203" s="120"/>
    </row>
    <row r="204" spans="5:5" ht="12.75">
      <c r="E204" s="120"/>
    </row>
    <row r="205" spans="5:5" ht="12.75">
      <c r="E205" s="120"/>
    </row>
    <row r="206" spans="5:5" ht="12.75">
      <c r="E206" s="120"/>
    </row>
    <row r="207" spans="5:5" ht="12.75">
      <c r="E207" s="120"/>
    </row>
    <row r="208" spans="5:5" ht="12.75">
      <c r="E208" s="120"/>
    </row>
    <row r="209" spans="5:5" ht="12.75">
      <c r="E209" s="120"/>
    </row>
    <row r="210" spans="5:5" ht="12.75">
      <c r="E210" s="120"/>
    </row>
    <row r="211" spans="5:5" ht="12.75">
      <c r="E211" s="120"/>
    </row>
    <row r="212" spans="5:5" ht="12.75">
      <c r="E212" s="120"/>
    </row>
    <row r="213" spans="5:5" ht="12.75">
      <c r="E213" s="120"/>
    </row>
    <row r="214" spans="5:5" ht="12.75">
      <c r="E214" s="120"/>
    </row>
    <row r="215" spans="5:5" ht="12.75">
      <c r="E215" s="120"/>
    </row>
    <row r="216" spans="5:5" ht="12.75">
      <c r="E216" s="120"/>
    </row>
    <row r="217" spans="5:5" ht="12.75">
      <c r="E217" s="120"/>
    </row>
    <row r="218" spans="5:5" ht="12.75">
      <c r="E218" s="120"/>
    </row>
    <row r="219" spans="5:5" ht="12.75">
      <c r="E219" s="120"/>
    </row>
    <row r="220" spans="5:5" ht="12.75">
      <c r="E220" s="120"/>
    </row>
    <row r="221" spans="5:5" ht="12.75">
      <c r="E221" s="120"/>
    </row>
    <row r="222" spans="5:5" ht="12.75">
      <c r="E222" s="120"/>
    </row>
    <row r="223" spans="5:5" ht="12.75">
      <c r="E223" s="120"/>
    </row>
    <row r="224" spans="5:5" ht="12.75">
      <c r="E224" s="120"/>
    </row>
    <row r="225" spans="5:5" ht="12.75">
      <c r="E225" s="120"/>
    </row>
    <row r="226" spans="5:5" ht="12.75">
      <c r="E226" s="120"/>
    </row>
    <row r="227" spans="5:5" ht="12.75">
      <c r="E227" s="120"/>
    </row>
    <row r="228" spans="5:5" ht="12.75">
      <c r="E228" s="120"/>
    </row>
    <row r="229" spans="5:5" ht="12.75">
      <c r="E229" s="120"/>
    </row>
    <row r="230" spans="5:5" ht="12.75">
      <c r="E230" s="120"/>
    </row>
    <row r="231" spans="5:5" ht="12.75">
      <c r="E231" s="120"/>
    </row>
    <row r="232" spans="5:5" ht="12.75">
      <c r="E232" s="120"/>
    </row>
    <row r="233" spans="5:5" ht="12.75">
      <c r="E233" s="120"/>
    </row>
    <row r="234" spans="5:5" ht="12.75">
      <c r="E234" s="120"/>
    </row>
    <row r="235" spans="5:5" ht="12.75">
      <c r="E235" s="120"/>
    </row>
    <row r="236" spans="5:5" ht="12.75">
      <c r="E236" s="120"/>
    </row>
    <row r="237" spans="5:5" ht="12.75">
      <c r="E237" s="120"/>
    </row>
    <row r="238" spans="5:5" ht="12.75">
      <c r="E238" s="120"/>
    </row>
    <row r="239" spans="5:5" ht="12.75">
      <c r="E239" s="120"/>
    </row>
    <row r="240" spans="5:5" ht="12.75">
      <c r="E240" s="120"/>
    </row>
    <row r="241" spans="5:5" ht="12.75">
      <c r="E241" s="120"/>
    </row>
    <row r="242" spans="5:5" ht="12.75">
      <c r="E242" s="120"/>
    </row>
    <row r="243" spans="5:5" ht="12.75">
      <c r="E243" s="120"/>
    </row>
    <row r="244" spans="5:5" ht="12.75">
      <c r="E244" s="120"/>
    </row>
    <row r="245" spans="5:5" ht="12.75">
      <c r="E245" s="120"/>
    </row>
    <row r="246" spans="5:5" ht="12.75">
      <c r="E246" s="120"/>
    </row>
    <row r="247" spans="5:5" ht="12.75">
      <c r="E247" s="120"/>
    </row>
    <row r="248" spans="5:5" ht="12.75">
      <c r="E248" s="120"/>
    </row>
    <row r="249" spans="5:5" ht="12.75">
      <c r="E249" s="120"/>
    </row>
    <row r="250" spans="5:5" ht="12.75">
      <c r="E250" s="120"/>
    </row>
    <row r="251" spans="5:5" ht="12.75">
      <c r="E251" s="120"/>
    </row>
    <row r="252" spans="5:5" ht="12.75">
      <c r="E252" s="120"/>
    </row>
    <row r="253" spans="5:5" ht="12.75">
      <c r="E253" s="120"/>
    </row>
    <row r="254" spans="5:5" ht="12.75">
      <c r="E254" s="120"/>
    </row>
    <row r="255" spans="5:5" ht="12.75">
      <c r="E255" s="120"/>
    </row>
    <row r="256" spans="5:5" ht="12.75">
      <c r="E256" s="120"/>
    </row>
    <row r="257" spans="5:5" ht="12.75">
      <c r="E257" s="120"/>
    </row>
    <row r="258" spans="5:5" ht="12.75">
      <c r="E258" s="120"/>
    </row>
    <row r="259" spans="5:5" ht="12.75">
      <c r="E259" s="120"/>
    </row>
    <row r="260" spans="5:5" ht="12.75">
      <c r="E260" s="120"/>
    </row>
    <row r="261" spans="5:5" ht="12.75">
      <c r="E261" s="120"/>
    </row>
    <row r="262" spans="5:5" ht="12.75">
      <c r="E262" s="120"/>
    </row>
    <row r="263" spans="5:5" ht="12.75">
      <c r="E263" s="120"/>
    </row>
    <row r="264" spans="5:5" ht="12.75">
      <c r="E264" s="120"/>
    </row>
    <row r="265" spans="5:5" ht="12.75">
      <c r="E265" s="120"/>
    </row>
    <row r="266" spans="5:5" ht="12.75">
      <c r="E266" s="120"/>
    </row>
    <row r="267" spans="5:5" ht="12.75">
      <c r="E267" s="120"/>
    </row>
    <row r="268" spans="5:5" ht="12.75">
      <c r="E268" s="120"/>
    </row>
    <row r="269" spans="5:5" ht="12.75">
      <c r="E269" s="120"/>
    </row>
    <row r="270" spans="5:5" ht="12.75">
      <c r="E270" s="120"/>
    </row>
    <row r="271" spans="5:5" ht="12.75">
      <c r="E271" s="120"/>
    </row>
    <row r="272" spans="5:5" ht="12.75">
      <c r="E272" s="120"/>
    </row>
    <row r="273" spans="5:5" ht="12.75">
      <c r="E273" s="120"/>
    </row>
    <row r="274" spans="5:5" ht="12.75">
      <c r="E274" s="120"/>
    </row>
    <row r="275" spans="5:5" ht="12.75">
      <c r="E275" s="120"/>
    </row>
    <row r="276" spans="5:5" ht="12.75">
      <c r="E276" s="120"/>
    </row>
    <row r="277" spans="5:5" ht="12.75">
      <c r="E277" s="120"/>
    </row>
    <row r="278" spans="5:5" ht="12.75">
      <c r="E278" s="120"/>
    </row>
    <row r="279" spans="5:5" ht="12.75">
      <c r="E279" s="120"/>
    </row>
    <row r="280" spans="5:5" ht="12.75">
      <c r="E280" s="120"/>
    </row>
    <row r="281" spans="5:5" ht="12.75">
      <c r="E281" s="120"/>
    </row>
    <row r="282" spans="5:5" ht="12.75">
      <c r="E282" s="120"/>
    </row>
    <row r="283" spans="5:5" ht="12.75">
      <c r="E283" s="120"/>
    </row>
    <row r="284" spans="5:5" ht="12.75">
      <c r="E284" s="120"/>
    </row>
    <row r="285" spans="5:5" ht="12.75">
      <c r="E285" s="120"/>
    </row>
    <row r="286" spans="5:5" ht="12.75">
      <c r="E286" s="120"/>
    </row>
    <row r="287" spans="5:5" ht="12.75">
      <c r="E287" s="120"/>
    </row>
    <row r="288" spans="5:5" ht="12.75">
      <c r="E288" s="120"/>
    </row>
    <row r="289" spans="5:5" ht="12.75">
      <c r="E289" s="120"/>
    </row>
    <row r="290" spans="5:5" ht="12.75">
      <c r="E290" s="120"/>
    </row>
    <row r="291" spans="5:5" ht="12.75">
      <c r="E291" s="120"/>
    </row>
    <row r="292" spans="5:5" ht="12.75">
      <c r="E292" s="120"/>
    </row>
    <row r="293" spans="5:5" ht="12.75">
      <c r="E293" s="120"/>
    </row>
    <row r="294" spans="5:5" ht="12.75">
      <c r="E294" s="120"/>
    </row>
    <row r="295" spans="5:5" ht="12.75">
      <c r="E295" s="120"/>
    </row>
    <row r="296" spans="5:5" ht="12.75">
      <c r="E296" s="120"/>
    </row>
    <row r="297" spans="5:5" ht="12.75">
      <c r="E297" s="120"/>
    </row>
    <row r="298" spans="5:5" ht="12.75">
      <c r="E298" s="120"/>
    </row>
    <row r="299" spans="5:5" ht="12.75">
      <c r="E299" s="120"/>
    </row>
    <row r="300" spans="5:5" ht="12.75">
      <c r="E300" s="120"/>
    </row>
    <row r="301" spans="5:5" ht="12.75">
      <c r="E301" s="120"/>
    </row>
    <row r="302" spans="5:5" ht="12.75">
      <c r="E302" s="120"/>
    </row>
    <row r="303" spans="5:5" ht="12.75">
      <c r="E303" s="120"/>
    </row>
    <row r="304" spans="5:5" ht="12.75">
      <c r="E304" s="120"/>
    </row>
    <row r="305" spans="5:5" ht="12.75">
      <c r="E305" s="120"/>
    </row>
    <row r="306" spans="5:5" ht="12.75">
      <c r="E306" s="120"/>
    </row>
    <row r="307" spans="5:5" ht="12.75">
      <c r="E307" s="120"/>
    </row>
    <row r="308" spans="5:5" ht="12.75">
      <c r="E308" s="120"/>
    </row>
    <row r="309" spans="5:5" ht="12.75">
      <c r="E309" s="120"/>
    </row>
    <row r="310" spans="5:5" ht="12.75">
      <c r="E310" s="120"/>
    </row>
    <row r="311" spans="5:5" ht="12.75">
      <c r="E311" s="120"/>
    </row>
    <row r="312" spans="5:5" ht="12.75">
      <c r="E312" s="120"/>
    </row>
    <row r="313" spans="5:5" ht="12.75">
      <c r="E313" s="120"/>
    </row>
    <row r="314" spans="5:5" ht="12.75">
      <c r="E314" s="120"/>
    </row>
    <row r="315" spans="5:5" ht="12.75">
      <c r="E315" s="120"/>
    </row>
    <row r="316" spans="5:5" ht="12.75">
      <c r="E316" s="120"/>
    </row>
    <row r="317" spans="5:5" ht="12.75">
      <c r="E317" s="120"/>
    </row>
    <row r="318" spans="5:5" ht="12.75">
      <c r="E318" s="120"/>
    </row>
    <row r="319" spans="5:5" ht="12.75">
      <c r="E319" s="120"/>
    </row>
    <row r="320" spans="5:5" ht="12.75">
      <c r="E320" s="120"/>
    </row>
    <row r="321" spans="5:5" ht="12.75">
      <c r="E321" s="120"/>
    </row>
    <row r="322" spans="5:5" ht="12.75">
      <c r="E322" s="120"/>
    </row>
    <row r="323" spans="5:5" ht="12.75">
      <c r="E323" s="120"/>
    </row>
    <row r="324" spans="5:5" ht="12.75">
      <c r="E324" s="120"/>
    </row>
    <row r="325" spans="5:5" ht="12.75">
      <c r="E325" s="120"/>
    </row>
    <row r="326" spans="5:5" ht="12.75">
      <c r="E326" s="120"/>
    </row>
    <row r="327" spans="5:5" ht="12.75">
      <c r="E327" s="120"/>
    </row>
    <row r="328" spans="5:5" ht="12.75">
      <c r="E328" s="120"/>
    </row>
    <row r="329" spans="5:5" ht="12.75">
      <c r="E329" s="120"/>
    </row>
    <row r="330" spans="5:5" ht="12.75">
      <c r="E330" s="120"/>
    </row>
    <row r="331" spans="5:5" ht="12.75">
      <c r="E331" s="120"/>
    </row>
    <row r="332" spans="5:5" ht="12.75">
      <c r="E332" s="120"/>
    </row>
    <row r="333" spans="5:5" ht="12.75">
      <c r="E333" s="120"/>
    </row>
    <row r="334" spans="5:5" ht="12.75">
      <c r="E334" s="120"/>
    </row>
    <row r="335" spans="5:5" ht="12.75">
      <c r="E335" s="120"/>
    </row>
    <row r="336" spans="5:5" ht="12.75">
      <c r="E336" s="120"/>
    </row>
    <row r="337" spans="5:5" ht="12.75">
      <c r="E337" s="120"/>
    </row>
    <row r="338" spans="5:5" ht="12.75">
      <c r="E338" s="120"/>
    </row>
    <row r="339" spans="5:5" ht="12.75">
      <c r="E339" s="120"/>
    </row>
    <row r="340" spans="5:5" ht="12.75">
      <c r="E340" s="120"/>
    </row>
    <row r="341" spans="5:5" ht="12.75">
      <c r="E341" s="120"/>
    </row>
    <row r="342" spans="5:5" ht="12.75">
      <c r="E342" s="120"/>
    </row>
    <row r="343" spans="5:5" ht="12.75">
      <c r="E343" s="120"/>
    </row>
    <row r="344" spans="5:5" ht="12.75">
      <c r="E344" s="120"/>
    </row>
    <row r="345" spans="5:5" ht="12.75">
      <c r="E345" s="120"/>
    </row>
    <row r="346" spans="5:5" ht="12.75">
      <c r="E346" s="120"/>
    </row>
    <row r="347" spans="5:5" ht="12.75">
      <c r="E347" s="120"/>
    </row>
    <row r="348" spans="5:5" ht="12.75">
      <c r="E348" s="120"/>
    </row>
    <row r="349" spans="5:5" ht="12.75">
      <c r="E349" s="120"/>
    </row>
    <row r="350" spans="5:5" ht="12.75">
      <c r="E350" s="120"/>
    </row>
    <row r="351" spans="5:5" ht="12.75">
      <c r="E351" s="120"/>
    </row>
    <row r="352" spans="5:5" ht="12.75">
      <c r="E352" s="120"/>
    </row>
    <row r="353" spans="5:5" ht="12.75">
      <c r="E353" s="120"/>
    </row>
    <row r="354" spans="5:5" ht="12.75">
      <c r="E354" s="120"/>
    </row>
    <row r="355" spans="5:5" ht="12.75">
      <c r="E355" s="120"/>
    </row>
    <row r="356" spans="5:5" ht="12.75">
      <c r="E356" s="120"/>
    </row>
    <row r="357" spans="5:5" ht="12.75">
      <c r="E357" s="120"/>
    </row>
    <row r="358" spans="5:5" ht="12.75">
      <c r="E358" s="120"/>
    </row>
    <row r="359" spans="5:5" ht="12.75">
      <c r="E359" s="120"/>
    </row>
    <row r="360" spans="5:5" ht="12.75">
      <c r="E360" s="120"/>
    </row>
    <row r="361" spans="5:5" ht="12.75">
      <c r="E361" s="120"/>
    </row>
    <row r="362" spans="5:5" ht="12.75">
      <c r="E362" s="120"/>
    </row>
    <row r="363" spans="5:5" ht="12.75">
      <c r="E363" s="120"/>
    </row>
    <row r="364" spans="5:5" ht="12.75">
      <c r="E364" s="120"/>
    </row>
    <row r="365" spans="5:5" ht="12.75">
      <c r="E365" s="120"/>
    </row>
    <row r="366" spans="5:5" ht="12.75">
      <c r="E366" s="120"/>
    </row>
    <row r="367" spans="5:5" ht="12.75">
      <c r="E367" s="120"/>
    </row>
    <row r="368" spans="5:5" ht="12.75">
      <c r="E368" s="120"/>
    </row>
    <row r="369" spans="5:5" ht="12.75">
      <c r="E369" s="120"/>
    </row>
    <row r="370" spans="5:5" ht="12.75">
      <c r="E370" s="120"/>
    </row>
    <row r="371" spans="5:5" ht="12.75">
      <c r="E371" s="120"/>
    </row>
    <row r="372" spans="5:5" ht="12.75">
      <c r="E372" s="120"/>
    </row>
    <row r="373" spans="5:5" ht="12.75">
      <c r="E373" s="120"/>
    </row>
    <row r="374" spans="5:5" ht="12.75">
      <c r="E374" s="120"/>
    </row>
    <row r="375" spans="5:5" ht="12.75">
      <c r="E375" s="120"/>
    </row>
    <row r="376" spans="5:5" ht="12.75">
      <c r="E376" s="120"/>
    </row>
    <row r="377" spans="5:5" ht="12.75">
      <c r="E377" s="120"/>
    </row>
    <row r="378" spans="5:5" ht="12.75">
      <c r="E378" s="120"/>
    </row>
    <row r="379" spans="5:5" ht="12.75">
      <c r="E379" s="120"/>
    </row>
    <row r="380" spans="5:5" ht="12.75">
      <c r="E380" s="120"/>
    </row>
    <row r="381" spans="5:5" ht="12.75">
      <c r="E381" s="120"/>
    </row>
    <row r="382" spans="5:5" ht="12.75">
      <c r="E382" s="120"/>
    </row>
    <row r="383" spans="5:5" ht="12.75">
      <c r="E383" s="120"/>
    </row>
    <row r="384" spans="5:5" ht="12.75">
      <c r="E384" s="120"/>
    </row>
    <row r="385" spans="5:5" ht="12.75">
      <c r="E385" s="120"/>
    </row>
    <row r="386" spans="5:5" ht="12.75">
      <c r="E386" s="120"/>
    </row>
    <row r="387" spans="5:5" ht="12.75">
      <c r="E387" s="120"/>
    </row>
    <row r="388" spans="5:5" ht="12.75">
      <c r="E388" s="120"/>
    </row>
    <row r="389" spans="5:5" ht="12.75">
      <c r="E389" s="120"/>
    </row>
    <row r="390" spans="5:5" ht="12.75">
      <c r="E390" s="120"/>
    </row>
    <row r="391" spans="5:5" ht="12.75">
      <c r="E391" s="120"/>
    </row>
    <row r="392" spans="5:5" ht="12.75">
      <c r="E392" s="120"/>
    </row>
    <row r="393" spans="5:5" ht="12.75">
      <c r="E393" s="120"/>
    </row>
    <row r="394" spans="5:5" ht="12.75">
      <c r="E394" s="120"/>
    </row>
    <row r="395" spans="5:5" ht="12.75">
      <c r="E395" s="120"/>
    </row>
    <row r="396" spans="5:5" ht="12.75">
      <c r="E396" s="120"/>
    </row>
    <row r="397" spans="5:5" ht="12.75">
      <c r="E397" s="120"/>
    </row>
    <row r="398" spans="5:5" ht="12.75">
      <c r="E398" s="120"/>
    </row>
    <row r="399" spans="5:5" ht="12.75">
      <c r="E399" s="120"/>
    </row>
    <row r="400" spans="5:5" ht="12.75">
      <c r="E400" s="120"/>
    </row>
    <row r="401" spans="5:5" ht="12.75">
      <c r="E401" s="120"/>
    </row>
    <row r="402" spans="5:5" ht="12.75">
      <c r="E402" s="120"/>
    </row>
    <row r="403" spans="5:5" ht="12.75">
      <c r="E403" s="120"/>
    </row>
    <row r="404" spans="5:5" ht="12.75">
      <c r="E404" s="120"/>
    </row>
    <row r="405" spans="5:5" ht="12.75">
      <c r="E405" s="120"/>
    </row>
    <row r="406" spans="5:5" ht="12.75">
      <c r="E406" s="120"/>
    </row>
    <row r="407" spans="5:5" ht="12.75">
      <c r="E407" s="120"/>
    </row>
    <row r="408" spans="5:5" ht="12.75">
      <c r="E408" s="120"/>
    </row>
    <row r="409" spans="5:5" ht="12.75">
      <c r="E409" s="120"/>
    </row>
    <row r="410" spans="5:5" ht="12.75">
      <c r="E410" s="120"/>
    </row>
    <row r="411" spans="5:5" ht="12.75">
      <c r="E411" s="120"/>
    </row>
    <row r="412" spans="5:5" ht="12.75">
      <c r="E412" s="120"/>
    </row>
    <row r="413" spans="5:5" ht="12.75">
      <c r="E413" s="120"/>
    </row>
    <row r="414" spans="5:5" ht="12.75">
      <c r="E414" s="120"/>
    </row>
    <row r="415" spans="5:5" ht="12.75">
      <c r="E415" s="120"/>
    </row>
    <row r="416" spans="5:5" ht="12.75">
      <c r="E416" s="120"/>
    </row>
    <row r="417" spans="5:5" ht="12.75">
      <c r="E417" s="120"/>
    </row>
    <row r="418" spans="5:5" ht="12.75">
      <c r="E418" s="120"/>
    </row>
    <row r="419" spans="5:5" ht="12.75">
      <c r="E419" s="120"/>
    </row>
    <row r="420" spans="5:5" ht="12.75">
      <c r="E420" s="120"/>
    </row>
    <row r="421" spans="5:5" ht="12.75">
      <c r="E421" s="120"/>
    </row>
    <row r="422" spans="5:5" ht="12.75">
      <c r="E422" s="120"/>
    </row>
    <row r="423" spans="5:5" ht="12.75">
      <c r="E423" s="120"/>
    </row>
    <row r="424" spans="5:5" ht="12.75">
      <c r="E424" s="120"/>
    </row>
    <row r="425" spans="5:5" ht="12.75">
      <c r="E425" s="120"/>
    </row>
    <row r="426" spans="5:5" ht="12.75">
      <c r="E426" s="120"/>
    </row>
    <row r="427" spans="5:5" ht="12.75">
      <c r="E427" s="120"/>
    </row>
    <row r="428" spans="5:5" ht="12.75">
      <c r="E428" s="120"/>
    </row>
    <row r="429" spans="5:5" ht="12.75">
      <c r="E429" s="120"/>
    </row>
    <row r="430" spans="5:5" ht="12.75">
      <c r="E430" s="120"/>
    </row>
    <row r="431" spans="5:5" ht="12.75">
      <c r="E431" s="120"/>
    </row>
    <row r="432" spans="5:5" ht="12.75">
      <c r="E432" s="120"/>
    </row>
    <row r="433" spans="5:5" ht="12.75">
      <c r="E433" s="120"/>
    </row>
    <row r="434" spans="5:5" ht="12.75">
      <c r="E434" s="120"/>
    </row>
    <row r="435" spans="5:5" ht="12.75">
      <c r="E435" s="120"/>
    </row>
    <row r="436" spans="5:5" ht="12.75">
      <c r="E436" s="120"/>
    </row>
    <row r="437" spans="5:5" ht="12.75">
      <c r="E437" s="120"/>
    </row>
    <row r="438" spans="5:5" ht="12.75">
      <c r="E438" s="120"/>
    </row>
    <row r="439" spans="5:5" ht="12.75">
      <c r="E439" s="120"/>
    </row>
    <row r="440" spans="5:5" ht="12.75">
      <c r="E440" s="120"/>
    </row>
    <row r="441" spans="5:5" ht="12.75">
      <c r="E441" s="120"/>
    </row>
    <row r="442" spans="5:5" ht="12.75">
      <c r="E442" s="120"/>
    </row>
    <row r="443" spans="5:5" ht="12.75">
      <c r="E443" s="120"/>
    </row>
    <row r="444" spans="5:5" ht="12.75">
      <c r="E444" s="120"/>
    </row>
    <row r="445" spans="5:5" ht="12.75">
      <c r="E445" s="120"/>
    </row>
    <row r="446" spans="5:5" ht="12.75">
      <c r="E446" s="120"/>
    </row>
    <row r="447" spans="5:5" ht="12.75">
      <c r="E447" s="120"/>
    </row>
    <row r="448" spans="5:5" ht="12.75">
      <c r="E448" s="120"/>
    </row>
    <row r="449" spans="5:5" ht="12.75">
      <c r="E449" s="120"/>
    </row>
    <row r="450" spans="5:5" ht="12.75">
      <c r="E450" s="120"/>
    </row>
    <row r="451" spans="5:5" ht="12.75">
      <c r="E451" s="120"/>
    </row>
    <row r="452" spans="5:5" ht="12.75">
      <c r="E452" s="120"/>
    </row>
    <row r="453" spans="5:5" ht="12.75">
      <c r="E453" s="120"/>
    </row>
    <row r="454" spans="5:5" ht="12.75">
      <c r="E454" s="120"/>
    </row>
    <row r="455" spans="5:5" ht="12.75">
      <c r="E455" s="120"/>
    </row>
    <row r="456" spans="5:5" ht="12.75">
      <c r="E456" s="120"/>
    </row>
    <row r="457" spans="5:5" ht="12.75">
      <c r="E457" s="120"/>
    </row>
    <row r="458" spans="5:5" ht="12.75">
      <c r="E458" s="120"/>
    </row>
    <row r="459" spans="5:5" ht="12.75">
      <c r="E459" s="120"/>
    </row>
    <row r="460" spans="5:5" ht="12.75">
      <c r="E460" s="120"/>
    </row>
    <row r="461" spans="5:5" ht="12.75">
      <c r="E461" s="120"/>
    </row>
    <row r="462" spans="5:5" ht="12.75">
      <c r="E462" s="120"/>
    </row>
    <row r="463" spans="5:5" ht="12.75">
      <c r="E463" s="120"/>
    </row>
    <row r="464" spans="5:5" ht="12.75">
      <c r="E464" s="120"/>
    </row>
    <row r="465" spans="5:5" ht="12.75">
      <c r="E465" s="120"/>
    </row>
    <row r="466" spans="5:5" ht="12.75">
      <c r="E466" s="120"/>
    </row>
    <row r="467" spans="5:5" ht="12.75">
      <c r="E467" s="120"/>
    </row>
    <row r="468" spans="5:5" ht="12.75">
      <c r="E468" s="120"/>
    </row>
    <row r="469" spans="5:5" ht="12.75">
      <c r="E469" s="120"/>
    </row>
    <row r="470" spans="5:5" ht="12.75">
      <c r="E470" s="120"/>
    </row>
    <row r="471" spans="5:5" ht="12.75">
      <c r="E471" s="120"/>
    </row>
    <row r="472" spans="5:5" ht="12.75">
      <c r="E472" s="120"/>
    </row>
    <row r="473" spans="5:5" ht="12.75">
      <c r="E473" s="120"/>
    </row>
    <row r="474" spans="5:5" ht="12.75">
      <c r="E474" s="120"/>
    </row>
    <row r="475" spans="5:5" ht="12.75">
      <c r="E475" s="120"/>
    </row>
    <row r="476" spans="5:5" ht="12.75">
      <c r="E476" s="120"/>
    </row>
    <row r="477" spans="5:5" ht="12.75">
      <c r="E477" s="120"/>
    </row>
    <row r="478" spans="5:5" ht="12.75">
      <c r="E478" s="120"/>
    </row>
    <row r="479" spans="5:5" ht="12.75">
      <c r="E479" s="120"/>
    </row>
    <row r="480" spans="5:5" ht="12.75">
      <c r="E480" s="120"/>
    </row>
    <row r="481" spans="5:5" ht="12.75">
      <c r="E481" s="120"/>
    </row>
    <row r="482" spans="5:5" ht="12.75">
      <c r="E482" s="120"/>
    </row>
    <row r="483" spans="5:5" ht="12.75">
      <c r="E483" s="120"/>
    </row>
    <row r="484" spans="5:5" ht="12.75">
      <c r="E484" s="120"/>
    </row>
    <row r="485" spans="5:5" ht="12.75">
      <c r="E485" s="120"/>
    </row>
    <row r="486" spans="5:5" ht="12.75">
      <c r="E486" s="120"/>
    </row>
    <row r="487" spans="5:5" ht="12.75">
      <c r="E487" s="120"/>
    </row>
    <row r="488" spans="5:5" ht="12.75">
      <c r="E488" s="120"/>
    </row>
    <row r="489" spans="5:5" ht="12.75">
      <c r="E489" s="120"/>
    </row>
    <row r="490" spans="5:5" ht="12.75">
      <c r="E490" s="120"/>
    </row>
    <row r="491" spans="5:5" ht="12.75">
      <c r="E491" s="120"/>
    </row>
    <row r="492" spans="5:5" ht="12.75">
      <c r="E492" s="120"/>
    </row>
    <row r="493" spans="5:5" ht="12.75">
      <c r="E493" s="120"/>
    </row>
    <row r="494" spans="5:5" ht="12.75">
      <c r="E494" s="120"/>
    </row>
    <row r="495" spans="5:5" ht="12.75">
      <c r="E495" s="120"/>
    </row>
    <row r="496" spans="5:5" ht="12.75">
      <c r="E496" s="120"/>
    </row>
    <row r="497" spans="5:5" ht="12.75">
      <c r="E497" s="120"/>
    </row>
    <row r="498" spans="5:5" ht="12.75">
      <c r="E498" s="120"/>
    </row>
    <row r="499" spans="5:5" ht="12.75">
      <c r="E499" s="120"/>
    </row>
    <row r="500" spans="5:5" ht="12.75">
      <c r="E500" s="120"/>
    </row>
    <row r="501" spans="5:5" ht="12.75">
      <c r="E501" s="120"/>
    </row>
    <row r="502" spans="5:5" ht="12.75">
      <c r="E502" s="120"/>
    </row>
    <row r="503" spans="5:5" ht="12.75">
      <c r="E503" s="120"/>
    </row>
    <row r="504" spans="5:5" ht="12.75">
      <c r="E504" s="120"/>
    </row>
    <row r="505" spans="5:5" ht="12.75">
      <c r="E505" s="120"/>
    </row>
    <row r="506" spans="5:5" ht="12.75">
      <c r="E506" s="120"/>
    </row>
    <row r="507" spans="5:5" ht="12.75">
      <c r="E507" s="120"/>
    </row>
    <row r="508" spans="5:5" ht="12.75">
      <c r="E508" s="120"/>
    </row>
    <row r="509" spans="5:5" ht="12.75">
      <c r="E509" s="120"/>
    </row>
    <row r="510" spans="5:5" ht="12.75">
      <c r="E510" s="120"/>
    </row>
    <row r="511" spans="5:5" ht="12.75">
      <c r="E511" s="120"/>
    </row>
    <row r="512" spans="5:5" ht="12.75">
      <c r="E512" s="120"/>
    </row>
    <row r="513" spans="5:5" ht="12.75">
      <c r="E513" s="120"/>
    </row>
    <row r="514" spans="5:5" ht="12.75">
      <c r="E514" s="120"/>
    </row>
    <row r="515" spans="5:5" ht="12.75">
      <c r="E515" s="120"/>
    </row>
    <row r="516" spans="5:5" ht="12.75">
      <c r="E516" s="120"/>
    </row>
    <row r="517" spans="5:5" ht="12.75">
      <c r="E517" s="120"/>
    </row>
    <row r="518" spans="5:5" ht="12.75">
      <c r="E518" s="120"/>
    </row>
    <row r="519" spans="5:5" ht="12.75">
      <c r="E519" s="120"/>
    </row>
    <row r="520" spans="5:5" ht="12.75">
      <c r="E520" s="120"/>
    </row>
    <row r="521" spans="5:5" ht="12.75">
      <c r="E521" s="120"/>
    </row>
    <row r="522" spans="5:5" ht="12.75">
      <c r="E522" s="120"/>
    </row>
    <row r="523" spans="5:5" ht="12.75">
      <c r="E523" s="120"/>
    </row>
    <row r="524" spans="5:5" ht="12.75">
      <c r="E524" s="120"/>
    </row>
    <row r="525" spans="5:5" ht="12.75">
      <c r="E525" s="120"/>
    </row>
    <row r="526" spans="5:5" ht="12.75">
      <c r="E526" s="120"/>
    </row>
    <row r="527" spans="5:5" ht="12.75">
      <c r="E527" s="120"/>
    </row>
    <row r="528" spans="5:5" ht="12.75">
      <c r="E528" s="120"/>
    </row>
    <row r="529" spans="5:5" ht="12.75">
      <c r="E529" s="120"/>
    </row>
    <row r="530" spans="5:5" ht="12.75">
      <c r="E530" s="120"/>
    </row>
    <row r="531" spans="5:5" ht="12.75">
      <c r="E531" s="120"/>
    </row>
    <row r="532" spans="5:5" ht="12.75">
      <c r="E532" s="120"/>
    </row>
    <row r="533" spans="5:5" ht="12.75">
      <c r="E533" s="120"/>
    </row>
    <row r="534" spans="5:5" ht="12.75">
      <c r="E534" s="120"/>
    </row>
    <row r="535" spans="5:5" ht="12.75">
      <c r="E535" s="120"/>
    </row>
    <row r="536" spans="5:5" ht="12.75">
      <c r="E536" s="120"/>
    </row>
    <row r="537" spans="5:5" ht="12.75">
      <c r="E537" s="120"/>
    </row>
    <row r="538" spans="5:5" ht="12.75">
      <c r="E538" s="120"/>
    </row>
    <row r="539" spans="5:5" ht="12.75">
      <c r="E539" s="120"/>
    </row>
    <row r="540" spans="5:5" ht="12.75">
      <c r="E540" s="120"/>
    </row>
    <row r="541" spans="5:5" ht="12.75">
      <c r="E541" s="120"/>
    </row>
    <row r="542" spans="5:5" ht="12.75">
      <c r="E542" s="120"/>
    </row>
    <row r="543" spans="5:5" ht="12.75">
      <c r="E543" s="120"/>
    </row>
    <row r="544" spans="5:5" ht="12.75">
      <c r="E544" s="120"/>
    </row>
    <row r="545" spans="5:5" ht="12.75">
      <c r="E545" s="120"/>
    </row>
    <row r="546" spans="5:5" ht="12.75">
      <c r="E546" s="120"/>
    </row>
    <row r="547" spans="5:5" ht="12.75">
      <c r="E547" s="120"/>
    </row>
    <row r="548" spans="5:5" ht="12.75">
      <c r="E548" s="120"/>
    </row>
    <row r="549" spans="5:5" ht="12.75">
      <c r="E549" s="120"/>
    </row>
    <row r="550" spans="5:5" ht="12.75">
      <c r="E550" s="120"/>
    </row>
    <row r="551" spans="5:5" ht="12.75">
      <c r="E551" s="120"/>
    </row>
    <row r="552" spans="5:5" ht="12.75">
      <c r="E552" s="120"/>
    </row>
    <row r="553" spans="5:5" ht="12.75">
      <c r="E553" s="120"/>
    </row>
    <row r="554" spans="5:5" ht="12.75">
      <c r="E554" s="120"/>
    </row>
    <row r="555" spans="5:5" ht="12.75">
      <c r="E555" s="120"/>
    </row>
    <row r="556" spans="5:5" ht="12.75">
      <c r="E556" s="120"/>
    </row>
    <row r="557" spans="5:5" ht="12.75">
      <c r="E557" s="120"/>
    </row>
    <row r="558" spans="5:5" ht="12.75">
      <c r="E558" s="120"/>
    </row>
    <row r="559" spans="5:5" ht="12.75">
      <c r="E559" s="120"/>
    </row>
    <row r="560" spans="5:5" ht="12.75">
      <c r="E560" s="120"/>
    </row>
    <row r="561" spans="5:5" ht="12.75">
      <c r="E561" s="120"/>
    </row>
    <row r="562" spans="5:5" ht="12.75">
      <c r="E562" s="120"/>
    </row>
    <row r="563" spans="5:5" ht="12.75">
      <c r="E563" s="120"/>
    </row>
    <row r="564" spans="5:5" ht="12.75">
      <c r="E564" s="120"/>
    </row>
    <row r="565" spans="5:5" ht="12.75">
      <c r="E565" s="120"/>
    </row>
    <row r="566" spans="5:5" ht="12.75">
      <c r="E566" s="120"/>
    </row>
    <row r="567" spans="5:5" ht="12.75">
      <c r="E567" s="120"/>
    </row>
    <row r="568" spans="5:5" ht="12.75">
      <c r="E568" s="120"/>
    </row>
    <row r="569" spans="5:5" ht="12.75">
      <c r="E569" s="120"/>
    </row>
    <row r="570" spans="5:5" ht="12.75">
      <c r="E570" s="120"/>
    </row>
    <row r="571" spans="5:5" ht="12.75">
      <c r="E571" s="120"/>
    </row>
    <row r="572" spans="5:5" ht="12.75">
      <c r="E572" s="120"/>
    </row>
    <row r="573" spans="5:5" ht="12.75">
      <c r="E573" s="120"/>
    </row>
    <row r="574" spans="5:5" ht="12.75">
      <c r="E574" s="120"/>
    </row>
    <row r="575" spans="5:5" ht="12.75">
      <c r="E575" s="120"/>
    </row>
    <row r="576" spans="5:5" ht="12.75">
      <c r="E576" s="120"/>
    </row>
    <row r="577" spans="5:5" ht="12.75">
      <c r="E577" s="120"/>
    </row>
    <row r="578" spans="5:5" ht="12.75">
      <c r="E578" s="120"/>
    </row>
    <row r="579" spans="5:5" ht="12.75">
      <c r="E579" s="120"/>
    </row>
    <row r="580" spans="5:5" ht="12.75">
      <c r="E580" s="120"/>
    </row>
    <row r="581" spans="5:5" ht="12.75">
      <c r="E581" s="120"/>
    </row>
    <row r="582" spans="5:5" ht="12.75">
      <c r="E582" s="120"/>
    </row>
    <row r="583" spans="5:5" ht="12.75">
      <c r="E583" s="120"/>
    </row>
    <row r="584" spans="5:5" ht="12.75">
      <c r="E584" s="120"/>
    </row>
    <row r="585" spans="5:5" ht="12.75">
      <c r="E585" s="120"/>
    </row>
    <row r="586" spans="5:5" ht="12.75">
      <c r="E586" s="120"/>
    </row>
    <row r="587" spans="5:5" ht="12.75">
      <c r="E587" s="120"/>
    </row>
    <row r="588" spans="5:5" ht="12.75">
      <c r="E588" s="120"/>
    </row>
    <row r="589" spans="5:5" ht="12.75">
      <c r="E589" s="120"/>
    </row>
    <row r="590" spans="5:5" ht="12.75">
      <c r="E590" s="120"/>
    </row>
    <row r="591" spans="5:5" ht="12.75">
      <c r="E591" s="120"/>
    </row>
    <row r="592" spans="5:5" ht="12.75">
      <c r="E592" s="120"/>
    </row>
    <row r="593" spans="5:5" ht="12.75">
      <c r="E593" s="120"/>
    </row>
    <row r="594" spans="5:5" ht="12.75">
      <c r="E594" s="120"/>
    </row>
    <row r="595" spans="5:5" ht="12.75">
      <c r="E595" s="120"/>
    </row>
    <row r="596" spans="5:5" ht="12.75">
      <c r="E596" s="120"/>
    </row>
    <row r="597" spans="5:5" ht="12.75">
      <c r="E597" s="120"/>
    </row>
    <row r="598" spans="5:5" ht="12.75">
      <c r="E598" s="120"/>
    </row>
    <row r="599" spans="5:5" ht="12.75">
      <c r="E599" s="120"/>
    </row>
    <row r="600" spans="5:5" ht="12.75">
      <c r="E600" s="120"/>
    </row>
    <row r="601" spans="5:5" ht="12.75">
      <c r="E601" s="120"/>
    </row>
    <row r="602" spans="5:5" ht="12.75">
      <c r="E602" s="120"/>
    </row>
    <row r="603" spans="5:5" ht="12.75">
      <c r="E603" s="120"/>
    </row>
    <row r="604" spans="5:5" ht="12.75">
      <c r="E604" s="120"/>
    </row>
    <row r="605" spans="5:5" ht="12.75">
      <c r="E605" s="120"/>
    </row>
    <row r="606" spans="5:5" ht="12.75">
      <c r="E606" s="120"/>
    </row>
    <row r="607" spans="5:5" ht="12.75">
      <c r="E607" s="120"/>
    </row>
    <row r="608" spans="5:5" ht="12.75">
      <c r="E608" s="120"/>
    </row>
    <row r="609" spans="5:5" ht="12.75">
      <c r="E609" s="120"/>
    </row>
    <row r="610" spans="5:5" ht="12.75">
      <c r="E610" s="120"/>
    </row>
    <row r="611" spans="5:5" ht="12.75">
      <c r="E611" s="120"/>
    </row>
    <row r="612" spans="5:5" ht="12.75">
      <c r="E612" s="120"/>
    </row>
    <row r="613" spans="5:5" ht="12.75">
      <c r="E613" s="120"/>
    </row>
    <row r="614" spans="5:5" ht="12.75">
      <c r="E614" s="120"/>
    </row>
    <row r="615" spans="5:5" ht="12.75">
      <c r="E615" s="120"/>
    </row>
    <row r="616" spans="5:5" ht="12.75">
      <c r="E616" s="120"/>
    </row>
    <row r="617" spans="5:5" ht="12.75">
      <c r="E617" s="120"/>
    </row>
    <row r="618" spans="5:5" ht="12.75">
      <c r="E618" s="120"/>
    </row>
    <row r="619" spans="5:5" ht="12.75">
      <c r="E619" s="120"/>
    </row>
    <row r="620" spans="5:5" ht="12.75">
      <c r="E620" s="120"/>
    </row>
    <row r="621" spans="5:5" ht="12.75">
      <c r="E621" s="120"/>
    </row>
    <row r="622" spans="5:5" ht="12.75">
      <c r="E622" s="120"/>
    </row>
    <row r="623" spans="5:5" ht="12.75">
      <c r="E623" s="120"/>
    </row>
    <row r="624" spans="5:5" ht="12.75">
      <c r="E624" s="120"/>
    </row>
    <row r="625" spans="5:5" ht="12.75">
      <c r="E625" s="120"/>
    </row>
    <row r="626" spans="5:5" ht="12.75">
      <c r="E626" s="120"/>
    </row>
    <row r="627" spans="5:5" ht="12.75">
      <c r="E627" s="120"/>
    </row>
    <row r="628" spans="5:5" ht="12.75">
      <c r="E628" s="120"/>
    </row>
    <row r="629" spans="5:5" ht="12.75">
      <c r="E629" s="120"/>
    </row>
    <row r="630" spans="5:5" ht="12.75">
      <c r="E630" s="120"/>
    </row>
    <row r="631" spans="5:5" ht="12.75">
      <c r="E631" s="120"/>
    </row>
    <row r="632" spans="5:5" ht="12.75">
      <c r="E632" s="120"/>
    </row>
    <row r="633" spans="5:5" ht="12.75">
      <c r="E633" s="120"/>
    </row>
    <row r="634" spans="5:5" ht="12.75">
      <c r="E634" s="120"/>
    </row>
    <row r="635" spans="5:5" ht="12.75">
      <c r="E635" s="120"/>
    </row>
    <row r="636" spans="5:5" ht="12.75">
      <c r="E636" s="120"/>
    </row>
    <row r="637" spans="5:5" ht="12.75">
      <c r="E637" s="120"/>
    </row>
    <row r="638" spans="5:5" ht="12.75">
      <c r="E638" s="120"/>
    </row>
    <row r="639" spans="5:5" ht="12.75">
      <c r="E639" s="120"/>
    </row>
    <row r="640" spans="5:5" ht="12.75">
      <c r="E640" s="120"/>
    </row>
    <row r="641" spans="5:5" ht="12.75">
      <c r="E641" s="120"/>
    </row>
    <row r="642" spans="5:5" ht="12.75">
      <c r="E642" s="120"/>
    </row>
    <row r="643" spans="5:5" ht="12.75">
      <c r="E643" s="120"/>
    </row>
    <row r="644" spans="5:5" ht="12.75">
      <c r="E644" s="120"/>
    </row>
    <row r="645" spans="5:5" ht="12.75">
      <c r="E645" s="120"/>
    </row>
    <row r="646" spans="5:5" ht="12.75">
      <c r="E646" s="120"/>
    </row>
    <row r="647" spans="5:5" ht="12.75">
      <c r="E647" s="120"/>
    </row>
    <row r="648" spans="5:5" ht="12.75">
      <c r="E648" s="120"/>
    </row>
    <row r="649" spans="5:5" ht="12.75">
      <c r="E649" s="120"/>
    </row>
    <row r="650" spans="5:5" ht="12.75">
      <c r="E650" s="120"/>
    </row>
    <row r="651" spans="5:5" ht="12.75">
      <c r="E651" s="120"/>
    </row>
    <row r="652" spans="5:5" ht="12.75">
      <c r="E652" s="120"/>
    </row>
    <row r="653" spans="5:5" ht="12.75">
      <c r="E653" s="120"/>
    </row>
    <row r="654" spans="5:5" ht="12.75">
      <c r="E654" s="120"/>
    </row>
    <row r="655" spans="5:5" ht="12.75">
      <c r="E655" s="120"/>
    </row>
    <row r="656" spans="5:5" ht="12.75">
      <c r="E656" s="120"/>
    </row>
    <row r="657" spans="5:5" ht="12.75">
      <c r="E657" s="120"/>
    </row>
    <row r="658" spans="5:5" ht="12.75">
      <c r="E658" s="120"/>
    </row>
    <row r="659" spans="5:5" ht="12.75">
      <c r="E659" s="120"/>
    </row>
    <row r="660" spans="5:5" ht="12.75">
      <c r="E660" s="120"/>
    </row>
    <row r="661" spans="5:5" ht="12.75">
      <c r="E661" s="120"/>
    </row>
    <row r="662" spans="5:5" ht="12.75">
      <c r="E662" s="120"/>
    </row>
    <row r="663" spans="5:5" ht="12.75">
      <c r="E663" s="120"/>
    </row>
    <row r="664" spans="5:5" ht="12.75">
      <c r="E664" s="120"/>
    </row>
    <row r="665" spans="5:5" ht="12.75">
      <c r="E665" s="120"/>
    </row>
    <row r="666" spans="5:5" ht="12.75">
      <c r="E666" s="120"/>
    </row>
    <row r="667" spans="5:5" ht="12.75">
      <c r="E667" s="120"/>
    </row>
    <row r="668" spans="5:5" ht="12.75">
      <c r="E668" s="120"/>
    </row>
    <row r="669" spans="5:5" ht="12.75">
      <c r="E669" s="120"/>
    </row>
    <row r="670" spans="5:5" ht="12.75">
      <c r="E670" s="120"/>
    </row>
    <row r="671" spans="5:5" ht="12.75">
      <c r="E671" s="120"/>
    </row>
    <row r="672" spans="5:5" ht="12.75">
      <c r="E672" s="120"/>
    </row>
    <row r="673" spans="5:5" ht="12.75">
      <c r="E673" s="120"/>
    </row>
    <row r="674" spans="5:5" ht="12.75">
      <c r="E674" s="120"/>
    </row>
    <row r="675" spans="5:5" ht="12.75">
      <c r="E675" s="120"/>
    </row>
    <row r="676" spans="5:5" ht="12.75">
      <c r="E676" s="120"/>
    </row>
    <row r="677" spans="5:5" ht="12.75">
      <c r="E677" s="120"/>
    </row>
    <row r="678" spans="5:5" ht="12.75">
      <c r="E678" s="120"/>
    </row>
    <row r="679" spans="5:5" ht="12.75">
      <c r="E679" s="120"/>
    </row>
    <row r="680" spans="5:5" ht="12.75">
      <c r="E680" s="120"/>
    </row>
    <row r="681" spans="5:5" ht="12.75">
      <c r="E681" s="120"/>
    </row>
    <row r="682" spans="5:5" ht="12.75">
      <c r="E682" s="120"/>
    </row>
    <row r="683" spans="5:5" ht="12.75">
      <c r="E683" s="120"/>
    </row>
    <row r="684" spans="5:5" ht="12.75">
      <c r="E684" s="120"/>
    </row>
    <row r="685" spans="5:5" ht="12.75">
      <c r="E685" s="120"/>
    </row>
    <row r="686" spans="5:5" ht="12.75">
      <c r="E686" s="120"/>
    </row>
    <row r="687" spans="5:5" ht="12.75">
      <c r="E687" s="120"/>
    </row>
    <row r="688" spans="5:5" ht="12.75">
      <c r="E688" s="120"/>
    </row>
    <row r="689" spans="5:5" ht="12.75">
      <c r="E689" s="120"/>
    </row>
    <row r="690" spans="5:5" ht="12.75">
      <c r="E690" s="120"/>
    </row>
    <row r="691" spans="5:5" ht="12.75">
      <c r="E691" s="120"/>
    </row>
    <row r="692" spans="5:5" ht="12.75">
      <c r="E692" s="120"/>
    </row>
    <row r="693" spans="5:5" ht="12.75">
      <c r="E693" s="120"/>
    </row>
    <row r="694" spans="5:5" ht="12.75">
      <c r="E694" s="120"/>
    </row>
    <row r="695" spans="5:5" ht="12.75">
      <c r="E695" s="120"/>
    </row>
    <row r="696" spans="5:5" ht="12.75">
      <c r="E696" s="120"/>
    </row>
    <row r="697" spans="5:5" ht="12.75">
      <c r="E697" s="120"/>
    </row>
    <row r="698" spans="5:5" ht="12.75">
      <c r="E698" s="120"/>
    </row>
    <row r="699" spans="5:5" ht="12.75">
      <c r="E699" s="120"/>
    </row>
    <row r="700" spans="5:5" ht="12.75">
      <c r="E700" s="120"/>
    </row>
    <row r="701" spans="5:5" ht="12.75">
      <c r="E701" s="120"/>
    </row>
    <row r="702" spans="5:5" ht="12.75">
      <c r="E702" s="120"/>
    </row>
    <row r="703" spans="5:5" ht="12.75">
      <c r="E703" s="120"/>
    </row>
    <row r="704" spans="5:5" ht="12.75">
      <c r="E704" s="120"/>
    </row>
    <row r="705" spans="5:5" ht="12.75">
      <c r="E705" s="120"/>
    </row>
    <row r="706" spans="5:5" ht="12.75">
      <c r="E706" s="120"/>
    </row>
    <row r="707" spans="5:5" ht="12.75">
      <c r="E707" s="120"/>
    </row>
    <row r="708" spans="5:5" ht="12.75">
      <c r="E708" s="120"/>
    </row>
    <row r="709" spans="5:5" ht="12.75">
      <c r="E709" s="120"/>
    </row>
    <row r="710" spans="5:5" ht="12.75">
      <c r="E710" s="120"/>
    </row>
    <row r="711" spans="5:5" ht="12.75">
      <c r="E711" s="120"/>
    </row>
    <row r="712" spans="5:5" ht="12.75">
      <c r="E712" s="120"/>
    </row>
    <row r="713" spans="5:5" ht="12.75">
      <c r="E713" s="120"/>
    </row>
    <row r="714" spans="5:5" ht="12.75">
      <c r="E714" s="120"/>
    </row>
    <row r="715" spans="5:5" ht="12.75">
      <c r="E715" s="120"/>
    </row>
    <row r="716" spans="5:5" ht="12.75">
      <c r="E716" s="120"/>
    </row>
    <row r="717" spans="5:5" ht="12.75">
      <c r="E717" s="120"/>
    </row>
    <row r="718" spans="5:5" ht="12.75">
      <c r="E718" s="120"/>
    </row>
    <row r="719" spans="5:5" ht="12.75">
      <c r="E719" s="120"/>
    </row>
    <row r="720" spans="5:5" ht="12.75">
      <c r="E720" s="120"/>
    </row>
    <row r="721" spans="5:5" ht="12.75">
      <c r="E721" s="120"/>
    </row>
    <row r="722" spans="5:5" ht="12.75">
      <c r="E722" s="120"/>
    </row>
    <row r="723" spans="5:5" ht="12.75">
      <c r="E723" s="120"/>
    </row>
    <row r="724" spans="5:5" ht="12.75">
      <c r="E724" s="120"/>
    </row>
    <row r="725" spans="5:5" ht="12.75">
      <c r="E725" s="120"/>
    </row>
    <row r="726" spans="5:5" ht="12.75">
      <c r="E726" s="120"/>
    </row>
    <row r="727" spans="5:5" ht="12.75">
      <c r="E727" s="120"/>
    </row>
    <row r="728" spans="5:5" ht="12.75">
      <c r="E728" s="120"/>
    </row>
    <row r="729" spans="5:5" ht="12.75">
      <c r="E729" s="120"/>
    </row>
    <row r="730" spans="5:5" ht="12.75">
      <c r="E730" s="120"/>
    </row>
    <row r="731" spans="5:5" ht="12.75">
      <c r="E731" s="120"/>
    </row>
    <row r="732" spans="5:5" ht="12.75">
      <c r="E732" s="120"/>
    </row>
    <row r="733" spans="5:5" ht="12.75">
      <c r="E733" s="120"/>
    </row>
    <row r="734" spans="5:5" ht="12.75">
      <c r="E734" s="120"/>
    </row>
    <row r="735" spans="5:5" ht="12.75">
      <c r="E735" s="120"/>
    </row>
    <row r="736" spans="5:5" ht="12.75">
      <c r="E736" s="120"/>
    </row>
    <row r="737" spans="5:5" ht="12.75">
      <c r="E737" s="120"/>
    </row>
    <row r="738" spans="5:5" ht="12.75">
      <c r="E738" s="120"/>
    </row>
    <row r="739" spans="5:5" ht="12.75">
      <c r="E739" s="120"/>
    </row>
    <row r="740" spans="5:5" ht="12.75">
      <c r="E740" s="120"/>
    </row>
    <row r="741" spans="5:5" ht="12.75">
      <c r="E741" s="120"/>
    </row>
    <row r="742" spans="5:5" ht="12.75">
      <c r="E742" s="120"/>
    </row>
    <row r="743" spans="5:5" ht="12.75">
      <c r="E743" s="120"/>
    </row>
    <row r="744" spans="5:5" ht="12.75">
      <c r="E744" s="120"/>
    </row>
    <row r="745" spans="5:5" ht="12.75">
      <c r="E745" s="120"/>
    </row>
    <row r="746" spans="5:5" ht="12.75">
      <c r="E746" s="120"/>
    </row>
    <row r="747" spans="5:5" ht="12.75">
      <c r="E747" s="120"/>
    </row>
    <row r="748" spans="5:5" ht="12.75">
      <c r="E748" s="120"/>
    </row>
    <row r="749" spans="5:5" ht="12.75">
      <c r="E749" s="120"/>
    </row>
    <row r="750" spans="5:5" ht="12.75">
      <c r="E750" s="120"/>
    </row>
    <row r="751" spans="5:5" ht="12.75">
      <c r="E751" s="120"/>
    </row>
    <row r="752" spans="5:5" ht="12.75">
      <c r="E752" s="120"/>
    </row>
    <row r="753" spans="5:5" ht="12.75">
      <c r="E753" s="120"/>
    </row>
    <row r="754" spans="5:5" ht="12.75">
      <c r="E754" s="120"/>
    </row>
    <row r="755" spans="5:5" ht="12.75">
      <c r="E755" s="120"/>
    </row>
    <row r="756" spans="5:5" ht="12.75">
      <c r="E756" s="120"/>
    </row>
    <row r="757" spans="5:5" ht="12.75">
      <c r="E757" s="120"/>
    </row>
    <row r="758" spans="5:5" ht="12.75">
      <c r="E758" s="120"/>
    </row>
    <row r="759" spans="5:5" ht="12.75">
      <c r="E759" s="120"/>
    </row>
    <row r="760" spans="5:5" ht="12.75">
      <c r="E760" s="120"/>
    </row>
    <row r="761" spans="5:5" ht="12.75">
      <c r="E761" s="120"/>
    </row>
    <row r="762" spans="5:5" ht="12.75">
      <c r="E762" s="120"/>
    </row>
    <row r="763" spans="5:5" ht="12.75">
      <c r="E763" s="120"/>
    </row>
    <row r="764" spans="5:5" ht="12.75">
      <c r="E764" s="120"/>
    </row>
    <row r="765" spans="5:5" ht="12.75">
      <c r="E765" s="120"/>
    </row>
    <row r="766" spans="5:5" ht="12.75">
      <c r="E766" s="120"/>
    </row>
    <row r="767" spans="5:5" ht="12.75">
      <c r="E767" s="120"/>
    </row>
    <row r="768" spans="5:5" ht="12.75">
      <c r="E768" s="120"/>
    </row>
    <row r="769" spans="5:5" ht="12.75">
      <c r="E769" s="120"/>
    </row>
    <row r="770" spans="5:5" ht="12.75">
      <c r="E770" s="120"/>
    </row>
    <row r="771" spans="5:5" ht="12.75">
      <c r="E771" s="120"/>
    </row>
    <row r="772" spans="5:5" ht="12.75">
      <c r="E772" s="120"/>
    </row>
    <row r="773" spans="5:5" ht="12.75">
      <c r="E773" s="120"/>
    </row>
    <row r="774" spans="5:5" ht="12.75">
      <c r="E774" s="120"/>
    </row>
    <row r="775" spans="5:5" ht="12.75">
      <c r="E775" s="120"/>
    </row>
    <row r="776" spans="5:5" ht="12.75">
      <c r="E776" s="120"/>
    </row>
    <row r="777" spans="5:5" ht="12.75">
      <c r="E777" s="120"/>
    </row>
    <row r="778" spans="5:5" ht="12.75">
      <c r="E778" s="120"/>
    </row>
    <row r="779" spans="5:5" ht="12.75">
      <c r="E779" s="120"/>
    </row>
    <row r="780" spans="5:5" ht="12.75">
      <c r="E780" s="120"/>
    </row>
    <row r="781" spans="5:5" ht="12.75">
      <c r="E781" s="120"/>
    </row>
    <row r="782" spans="5:5" ht="12.75">
      <c r="E782" s="120"/>
    </row>
    <row r="783" spans="5:5" ht="12.75">
      <c r="E783" s="120"/>
    </row>
    <row r="784" spans="5:5" ht="12.75">
      <c r="E784" s="120"/>
    </row>
    <row r="785" spans="5:5" ht="12.75">
      <c r="E785" s="120"/>
    </row>
    <row r="786" spans="5:5" ht="12.75">
      <c r="E786" s="120"/>
    </row>
    <row r="787" spans="5:5" ht="12.75">
      <c r="E787" s="120"/>
    </row>
    <row r="788" spans="5:5" ht="12.75">
      <c r="E788" s="120"/>
    </row>
    <row r="789" spans="5:5" ht="12.75">
      <c r="E789" s="120"/>
    </row>
    <row r="790" spans="5:5" ht="12.75">
      <c r="E790" s="120"/>
    </row>
    <row r="791" spans="5:5" ht="12.75">
      <c r="E791" s="120"/>
    </row>
    <row r="792" spans="5:5" ht="12.75">
      <c r="E792" s="120"/>
    </row>
    <row r="793" spans="5:5" ht="12.75">
      <c r="E793" s="120"/>
    </row>
    <row r="794" spans="5:5" ht="12.75">
      <c r="E794" s="120"/>
    </row>
    <row r="795" spans="5:5" ht="12.75">
      <c r="E795" s="120"/>
    </row>
    <row r="796" spans="5:5" ht="12.75">
      <c r="E796" s="120"/>
    </row>
    <row r="797" spans="5:5" ht="12.75">
      <c r="E797" s="120"/>
    </row>
    <row r="798" spans="5:5" ht="12.75">
      <c r="E798" s="120"/>
    </row>
    <row r="799" spans="5:5" ht="12.75">
      <c r="E799" s="120"/>
    </row>
    <row r="800" spans="5:5" ht="12.75">
      <c r="E800" s="120"/>
    </row>
    <row r="801" spans="5:5" ht="12.75">
      <c r="E801" s="120"/>
    </row>
    <row r="802" spans="5:5" ht="12.75">
      <c r="E802" s="120"/>
    </row>
    <row r="803" spans="5:5" ht="12.75">
      <c r="E803" s="120"/>
    </row>
    <row r="804" spans="5:5" ht="12.75">
      <c r="E804" s="120"/>
    </row>
    <row r="805" spans="5:5" ht="12.75">
      <c r="E805" s="120"/>
    </row>
    <row r="806" spans="5:5" ht="12.75">
      <c r="E806" s="120"/>
    </row>
    <row r="807" spans="5:5" ht="12.75">
      <c r="E807" s="120"/>
    </row>
    <row r="808" spans="5:5" ht="12.75">
      <c r="E808" s="120"/>
    </row>
    <row r="809" spans="5:5" ht="12.75">
      <c r="E809" s="120"/>
    </row>
    <row r="810" spans="5:5" ht="12.75">
      <c r="E810" s="120"/>
    </row>
    <row r="811" spans="5:5" ht="12.75">
      <c r="E811" s="120"/>
    </row>
    <row r="812" spans="5:5" ht="12.75">
      <c r="E812" s="120"/>
    </row>
    <row r="813" spans="5:5" ht="12.75">
      <c r="E813" s="120"/>
    </row>
    <row r="814" spans="5:5" ht="12.75">
      <c r="E814" s="120"/>
    </row>
    <row r="815" spans="5:5" ht="12.75">
      <c r="E815" s="120"/>
    </row>
    <row r="816" spans="5:5" ht="12.75">
      <c r="E816" s="120"/>
    </row>
    <row r="817" spans="5:5" ht="12.75">
      <c r="E817" s="120"/>
    </row>
    <row r="818" spans="5:5" ht="12.75">
      <c r="E818" s="120"/>
    </row>
    <row r="819" spans="5:5" ht="12.75">
      <c r="E819" s="120"/>
    </row>
    <row r="820" spans="5:5" ht="12.75">
      <c r="E820" s="120"/>
    </row>
    <row r="821" spans="5:5" ht="12.75">
      <c r="E821" s="120"/>
    </row>
    <row r="822" spans="5:5" ht="12.75">
      <c r="E822" s="120"/>
    </row>
    <row r="823" spans="5:5" ht="12.75">
      <c r="E823" s="120"/>
    </row>
    <row r="824" spans="5:5" ht="12.75">
      <c r="E824" s="120"/>
    </row>
    <row r="825" spans="5:5" ht="12.75">
      <c r="E825" s="120"/>
    </row>
    <row r="826" spans="5:5" ht="12.75">
      <c r="E826" s="120"/>
    </row>
    <row r="827" spans="5:5" ht="12.75">
      <c r="E827" s="120"/>
    </row>
    <row r="828" spans="5:5" ht="12.75">
      <c r="E828" s="120"/>
    </row>
    <row r="829" spans="5:5" ht="12.75">
      <c r="E829" s="120"/>
    </row>
    <row r="830" spans="5:5" ht="12.75">
      <c r="E830" s="120"/>
    </row>
    <row r="831" spans="5:5" ht="12.75">
      <c r="E831" s="120"/>
    </row>
    <row r="832" spans="5:5" ht="12.75">
      <c r="E832" s="120"/>
    </row>
    <row r="833" spans="5:5" ht="12.75">
      <c r="E833" s="120"/>
    </row>
    <row r="834" spans="5:5" ht="12.75">
      <c r="E834" s="120"/>
    </row>
    <row r="835" spans="5:5" ht="12.75">
      <c r="E835" s="120"/>
    </row>
    <row r="836" spans="5:5" ht="12.75">
      <c r="E836" s="120"/>
    </row>
    <row r="837" spans="5:5" ht="12.75">
      <c r="E837" s="120"/>
    </row>
    <row r="838" spans="5:5" ht="12.75">
      <c r="E838" s="120"/>
    </row>
    <row r="839" spans="5:5" ht="12.75">
      <c r="E839" s="120"/>
    </row>
    <row r="840" spans="5:5" ht="12.75">
      <c r="E840" s="120"/>
    </row>
    <row r="841" spans="5:5" ht="12.75">
      <c r="E841" s="120"/>
    </row>
    <row r="842" spans="5:5" ht="12.75">
      <c r="E842" s="120"/>
    </row>
    <row r="843" spans="5:5" ht="12.75">
      <c r="E843" s="120"/>
    </row>
    <row r="844" spans="5:5" ht="12.75">
      <c r="E844" s="120"/>
    </row>
    <row r="845" spans="5:5" ht="12.75">
      <c r="E845" s="120"/>
    </row>
    <row r="846" spans="5:5" ht="12.75">
      <c r="E846" s="120"/>
    </row>
    <row r="847" spans="5:5" ht="12.75">
      <c r="E847" s="120"/>
    </row>
    <row r="848" spans="5:5" ht="12.75">
      <c r="E848" s="120"/>
    </row>
    <row r="849" spans="5:5" ht="12.75">
      <c r="E849" s="120"/>
    </row>
    <row r="850" spans="5:5" ht="12.75">
      <c r="E850" s="120"/>
    </row>
    <row r="851" spans="5:5" ht="12.75">
      <c r="E851" s="120"/>
    </row>
    <row r="852" spans="5:5" ht="12.75">
      <c r="E852" s="120"/>
    </row>
    <row r="853" spans="5:5" ht="12.75">
      <c r="E853" s="120"/>
    </row>
    <row r="854" spans="5:5" ht="12.75">
      <c r="E854" s="120"/>
    </row>
    <row r="855" spans="5:5" ht="12.75">
      <c r="E855" s="120"/>
    </row>
    <row r="856" spans="5:5" ht="12.75">
      <c r="E856" s="120"/>
    </row>
    <row r="857" spans="5:5" ht="12.75">
      <c r="E857" s="120"/>
    </row>
    <row r="858" spans="5:5" ht="12.75">
      <c r="E858" s="120"/>
    </row>
    <row r="859" spans="5:5" ht="12.75">
      <c r="E859" s="120"/>
    </row>
    <row r="860" spans="5:5" ht="12.75">
      <c r="E860" s="120"/>
    </row>
    <row r="861" spans="5:5" ht="12.75">
      <c r="E861" s="120"/>
    </row>
    <row r="862" spans="5:5" ht="12.75">
      <c r="E862" s="120"/>
    </row>
    <row r="863" spans="5:5" ht="12.75">
      <c r="E863" s="120"/>
    </row>
    <row r="864" spans="5:5" ht="12.75">
      <c r="E864" s="120"/>
    </row>
    <row r="865" spans="5:5" ht="12.75">
      <c r="E865" s="120"/>
    </row>
    <row r="866" spans="5:5" ht="12.75">
      <c r="E866" s="120"/>
    </row>
    <row r="867" spans="5:5" ht="12.75">
      <c r="E867" s="120"/>
    </row>
    <row r="868" spans="5:5" ht="12.75">
      <c r="E868" s="120"/>
    </row>
    <row r="869" spans="5:5" ht="12.75">
      <c r="E869" s="120"/>
    </row>
    <row r="870" spans="5:5" ht="12.75">
      <c r="E870" s="120"/>
    </row>
    <row r="871" spans="5:5" ht="12.75">
      <c r="E871" s="120"/>
    </row>
    <row r="872" spans="5:5" ht="12.75">
      <c r="E872" s="120"/>
    </row>
    <row r="873" spans="5:5" ht="12.75">
      <c r="E873" s="120"/>
    </row>
    <row r="874" spans="5:5" ht="12.75">
      <c r="E874" s="120"/>
    </row>
    <row r="875" spans="5:5" ht="12.75">
      <c r="E875" s="120"/>
    </row>
    <row r="876" spans="5:5" ht="12.75">
      <c r="E876" s="120"/>
    </row>
    <row r="877" spans="5:5" ht="12.75">
      <c r="E877" s="120"/>
    </row>
    <row r="878" spans="5:5" ht="12.75">
      <c r="E878" s="120"/>
    </row>
    <row r="879" spans="5:5" ht="12.75">
      <c r="E879" s="120"/>
    </row>
    <row r="880" spans="5:5" ht="12.75">
      <c r="E880" s="120"/>
    </row>
    <row r="881" spans="5:5" ht="12.75">
      <c r="E881" s="120"/>
    </row>
    <row r="882" spans="5:5" ht="12.75">
      <c r="E882" s="120"/>
    </row>
    <row r="883" spans="5:5" ht="12.75">
      <c r="E883" s="120"/>
    </row>
    <row r="884" spans="5:5" ht="12.75">
      <c r="E884" s="120"/>
    </row>
    <row r="885" spans="5:5" ht="12.75">
      <c r="E885" s="120"/>
    </row>
    <row r="886" spans="5:5" ht="12.75">
      <c r="E886" s="120"/>
    </row>
    <row r="887" spans="5:5" ht="12.75">
      <c r="E887" s="120"/>
    </row>
    <row r="888" spans="5:5" ht="12.75">
      <c r="E888" s="120"/>
    </row>
    <row r="889" spans="5:5" ht="12.75">
      <c r="E889" s="120"/>
    </row>
    <row r="890" spans="5:5" ht="12.75">
      <c r="E890" s="120"/>
    </row>
    <row r="891" spans="5:5" ht="12.75">
      <c r="E891" s="120"/>
    </row>
    <row r="892" spans="5:5" ht="12.75">
      <c r="E892" s="120"/>
    </row>
    <row r="893" spans="5:5" ht="12.75">
      <c r="E893" s="120"/>
    </row>
    <row r="894" spans="5:5" ht="12.75">
      <c r="E894" s="120"/>
    </row>
    <row r="895" spans="5:5" ht="12.75">
      <c r="E895" s="120"/>
    </row>
    <row r="896" spans="5:5" ht="12.75">
      <c r="E896" s="120"/>
    </row>
    <row r="897" spans="5:5" ht="12.75">
      <c r="E897" s="120"/>
    </row>
    <row r="898" spans="5:5" ht="12.75">
      <c r="E898" s="120"/>
    </row>
    <row r="899" spans="5:5" ht="12.75">
      <c r="E899" s="120"/>
    </row>
    <row r="900" spans="5:5" ht="12.75">
      <c r="E900" s="120"/>
    </row>
    <row r="901" spans="5:5" ht="12.75">
      <c r="E901" s="120"/>
    </row>
    <row r="902" spans="5:5" ht="12.75">
      <c r="E902" s="120"/>
    </row>
    <row r="903" spans="5:5" ht="12.75">
      <c r="E903" s="120"/>
    </row>
    <row r="904" spans="5:5" ht="12.75">
      <c r="E904" s="120"/>
    </row>
    <row r="905" spans="5:5" ht="12.75">
      <c r="E905" s="120"/>
    </row>
    <row r="906" spans="5:5" ht="12.75">
      <c r="E906" s="120"/>
    </row>
    <row r="907" spans="5:5" ht="12.75">
      <c r="E907" s="120"/>
    </row>
    <row r="908" spans="5:5" ht="12.75">
      <c r="E908" s="120"/>
    </row>
    <row r="909" spans="5:5" ht="12.75">
      <c r="E909" s="120"/>
    </row>
    <row r="910" spans="5:5" ht="12.75">
      <c r="E910" s="120"/>
    </row>
    <row r="911" spans="5:5" ht="12.75">
      <c r="E911" s="120"/>
    </row>
    <row r="912" spans="5:5" ht="12.75">
      <c r="E912" s="120"/>
    </row>
    <row r="913" spans="5:5" ht="12.75">
      <c r="E913" s="120"/>
    </row>
    <row r="914" spans="5:5" ht="12.75">
      <c r="E914" s="120"/>
    </row>
    <row r="915" spans="5:5" ht="12.75">
      <c r="E915" s="120"/>
    </row>
    <row r="916" spans="5:5" ht="12.75">
      <c r="E916" s="120"/>
    </row>
    <row r="917" spans="5:5" ht="12.75">
      <c r="E917" s="120"/>
    </row>
    <row r="918" spans="5:5" ht="12.75">
      <c r="E918" s="120"/>
    </row>
    <row r="919" spans="5:5" ht="12.75">
      <c r="E919" s="120"/>
    </row>
    <row r="920" spans="5:5" ht="12.75">
      <c r="E920" s="120"/>
    </row>
    <row r="921" spans="5:5" ht="12.75">
      <c r="E921" s="120"/>
    </row>
    <row r="922" spans="5:5" ht="12.75">
      <c r="E922" s="120"/>
    </row>
    <row r="923" spans="5:5" ht="12.75">
      <c r="E923" s="120"/>
    </row>
    <row r="924" spans="5:5" ht="12.75">
      <c r="E924" s="120"/>
    </row>
    <row r="925" spans="5:5" ht="12.75">
      <c r="E925" s="120"/>
    </row>
    <row r="926" spans="5:5" ht="12.75">
      <c r="E926" s="120"/>
    </row>
    <row r="927" spans="5:5" ht="12.75">
      <c r="E927" s="120"/>
    </row>
    <row r="928" spans="5:5" ht="12.75">
      <c r="E928" s="120"/>
    </row>
    <row r="929" spans="5:5" ht="12.75">
      <c r="E929" s="120"/>
    </row>
    <row r="930" spans="5:5" ht="12.75">
      <c r="E930" s="120"/>
    </row>
    <row r="931" spans="5:5" ht="12.75">
      <c r="E931" s="120"/>
    </row>
    <row r="932" spans="5:5" ht="12.75">
      <c r="E932" s="120"/>
    </row>
    <row r="933" spans="5:5" ht="12.75">
      <c r="E933" s="120"/>
    </row>
    <row r="934" spans="5:5" ht="12.75">
      <c r="E934" s="120"/>
    </row>
    <row r="935" spans="5:5" ht="12.75">
      <c r="E935" s="120"/>
    </row>
    <row r="936" spans="5:5" ht="12.75">
      <c r="E936" s="120"/>
    </row>
    <row r="937" spans="5:5" ht="12.75">
      <c r="E937" s="120"/>
    </row>
    <row r="938" spans="5:5" ht="12.75">
      <c r="E938" s="120"/>
    </row>
    <row r="939" spans="5:5" ht="12.75">
      <c r="E939" s="120"/>
    </row>
    <row r="940" spans="5:5" ht="12.75">
      <c r="E940" s="120"/>
    </row>
    <row r="941" spans="5:5" ht="12.75">
      <c r="E941" s="120"/>
    </row>
    <row r="942" spans="5:5" ht="12.75">
      <c r="E942" s="120"/>
    </row>
    <row r="943" spans="5:5" ht="12.75">
      <c r="E943" s="120"/>
    </row>
    <row r="944" spans="5:5" ht="12.75">
      <c r="E944" s="120"/>
    </row>
    <row r="945" spans="5:5" ht="12.75">
      <c r="E945" s="120"/>
    </row>
    <row r="946" spans="5:5" ht="12.75">
      <c r="E946" s="120"/>
    </row>
    <row r="947" spans="5:5" ht="12.75">
      <c r="E947" s="120"/>
    </row>
    <row r="948" spans="5:5" ht="12.75">
      <c r="E948" s="120"/>
    </row>
    <row r="949" spans="5:5" ht="12.75">
      <c r="E949" s="120"/>
    </row>
    <row r="950" spans="5:5" ht="12.75">
      <c r="E950" s="120"/>
    </row>
    <row r="951" spans="5:5" ht="12.75">
      <c r="E951" s="120"/>
    </row>
    <row r="952" spans="5:5" ht="12.75">
      <c r="E952" s="120"/>
    </row>
    <row r="953" spans="5:5" ht="12.75">
      <c r="E953" s="120"/>
    </row>
    <row r="954" spans="5:5" ht="12.75">
      <c r="E954" s="120"/>
    </row>
    <row r="955" spans="5:5" ht="12.75">
      <c r="E955" s="120"/>
    </row>
    <row r="956" spans="5:5" ht="12.75">
      <c r="E956" s="120"/>
    </row>
    <row r="957" spans="5:5" ht="12.75">
      <c r="E957" s="120"/>
    </row>
    <row r="958" spans="5:5" ht="12.75">
      <c r="E958" s="120"/>
    </row>
    <row r="959" spans="5:5" ht="12.75">
      <c r="E959" s="120"/>
    </row>
    <row r="960" spans="5:5" ht="12.75">
      <c r="E960" s="120"/>
    </row>
    <row r="961" spans="5:5" ht="12.75">
      <c r="E961" s="120"/>
    </row>
    <row r="962" spans="5:5" ht="12.75">
      <c r="E962" s="120"/>
    </row>
    <row r="963" spans="5:5" ht="12.75">
      <c r="E963" s="120"/>
    </row>
    <row r="964" spans="5:5" ht="12.75">
      <c r="E964" s="120"/>
    </row>
    <row r="965" spans="5:5" ht="12.75">
      <c r="E965" s="120"/>
    </row>
    <row r="966" spans="5:5" ht="12.75">
      <c r="E966" s="120"/>
    </row>
    <row r="967" spans="5:5" ht="12.75">
      <c r="E967" s="120"/>
    </row>
    <row r="968" spans="5:5" ht="12.75">
      <c r="E968" s="120"/>
    </row>
    <row r="969" spans="5:5" ht="12.75">
      <c r="E969" s="120"/>
    </row>
    <row r="970" spans="5:5" ht="12.75">
      <c r="E970" s="120"/>
    </row>
    <row r="971" spans="5:5" ht="12.75">
      <c r="E971" s="120"/>
    </row>
    <row r="972" spans="5:5" ht="12.75">
      <c r="E972" s="120"/>
    </row>
    <row r="973" spans="5:5" ht="12.75">
      <c r="E973" s="120"/>
    </row>
    <row r="974" spans="5:5" ht="12.75">
      <c r="E974" s="120"/>
    </row>
    <row r="975" spans="5:5" ht="12.75">
      <c r="E975" s="120"/>
    </row>
    <row r="976" spans="5:5" ht="12.75">
      <c r="E976" s="120"/>
    </row>
    <row r="977" spans="5:5" ht="12.75">
      <c r="E977" s="120"/>
    </row>
    <row r="978" spans="5:5" ht="12.75">
      <c r="E978" s="120"/>
    </row>
    <row r="979" spans="5:5" ht="12.75">
      <c r="E979" s="120"/>
    </row>
    <row r="980" spans="5:5" ht="12.75">
      <c r="E980" s="120"/>
    </row>
    <row r="981" spans="5:5" ht="12.75">
      <c r="E981" s="120"/>
    </row>
    <row r="982" spans="5:5" ht="12.75">
      <c r="E982" s="120"/>
    </row>
    <row r="983" spans="5:5" ht="12.75">
      <c r="E983" s="120"/>
    </row>
    <row r="984" spans="5:5" ht="12.75">
      <c r="E984" s="120"/>
    </row>
    <row r="985" spans="5:5" ht="12.75">
      <c r="E985" s="120"/>
    </row>
    <row r="986" spans="5:5" ht="12.75">
      <c r="E986" s="120"/>
    </row>
    <row r="987" spans="5:5" ht="12.75">
      <c r="E987" s="120"/>
    </row>
    <row r="988" spans="5:5" ht="12.75">
      <c r="E988" s="120"/>
    </row>
    <row r="989" spans="5:5" ht="12.75">
      <c r="E989" s="120"/>
    </row>
    <row r="990" spans="5:5" ht="12.75">
      <c r="E990" s="120"/>
    </row>
    <row r="991" spans="5:5" ht="12.75">
      <c r="E991" s="120"/>
    </row>
    <row r="992" spans="5:5" ht="12.75">
      <c r="E992" s="120"/>
    </row>
    <row r="993" spans="5:5" ht="12.75">
      <c r="E993" s="120"/>
    </row>
    <row r="994" spans="5:5" ht="12.75">
      <c r="E994" s="120"/>
    </row>
    <row r="995" spans="5:5" ht="12.75">
      <c r="E995" s="120"/>
    </row>
    <row r="996" spans="5:5" ht="12.75">
      <c r="E996" s="120"/>
    </row>
    <row r="997" spans="5:5" ht="12.75">
      <c r="E997" s="120"/>
    </row>
    <row r="998" spans="5:5" ht="12.75">
      <c r="E998" s="120"/>
    </row>
    <row r="999" spans="5:5" ht="12.75">
      <c r="E999" s="120"/>
    </row>
    <row r="1000" spans="5:5" ht="12.75">
      <c r="E1000" s="120"/>
    </row>
    <row r="1001" spans="5:5" ht="12.75">
      <c r="E1001" s="120"/>
    </row>
    <row r="1002" spans="5:5" ht="12.75">
      <c r="E1002" s="120"/>
    </row>
  </sheetData>
  <mergeCells count="9">
    <mergeCell ref="J1:J2"/>
    <mergeCell ref="K1:K2"/>
    <mergeCell ref="A1:B1"/>
    <mergeCell ref="C1:C2"/>
    <mergeCell ref="D1:D2"/>
    <mergeCell ref="E1:E2"/>
    <mergeCell ref="F1:G1"/>
    <mergeCell ref="H1:H2"/>
    <mergeCell ref="I1:I2"/>
  </mergeCells>
  <conditionalFormatting sqref="C3:K25">
    <cfRule type="cellIs" dxfId="16" priority="1" operator="equal">
      <formula>"YES"</formula>
    </cfRule>
    <cfRule type="cellIs" dxfId="15" priority="2" operator="equal">
      <formula>"NO"</formula>
    </cfRule>
    <cfRule type="cellIs" dxfId="14" priority="3" operator="equal">
      <formula>"N/A Covered Elsewhere"</formula>
    </cfRule>
  </conditionalFormatting>
  <dataValidations count="3">
    <dataValidation type="list" allowBlank="1" showErrorMessage="1" sqref="G3:G25" xr:uid="{00000000-0002-0000-0700-000000000000}">
      <formula1>"DS,JO,SP,TS,GK,JP,IC"</formula1>
    </dataValidation>
    <dataValidation type="custom" allowBlank="1" showDropDown="1" showErrorMessage="1" sqref="E3:E25" xr:uid="{00000000-0002-0000-0700-000001000000}">
      <formula1>OR(NOT(ISERROR(DATEVALUE(E3))), AND(ISNUMBER(E3), LEFT(CELL("format", E3))="D"))</formula1>
    </dataValidation>
    <dataValidation type="list" allowBlank="1" showErrorMessage="1" sqref="C3:D25 F3:F25 H3:K25" xr:uid="{00000000-0002-0000-0700-000002000000}">
      <formula1>"YES,NO,N/A Covered Elsewhere"</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ummaryRight="0"/>
  </sheetPr>
  <dimension ref="A2:G18"/>
  <sheetViews>
    <sheetView workbookViewId="0"/>
  </sheetViews>
  <sheetFormatPr defaultColWidth="14.3984375" defaultRowHeight="15.75" customHeight="1"/>
  <cols>
    <col min="1" max="1" width="55" customWidth="1"/>
    <col min="2" max="2" width="29.265625" customWidth="1"/>
    <col min="3" max="3" width="41" customWidth="1"/>
    <col min="4" max="4" width="13.3984375" customWidth="1"/>
    <col min="5" max="5" width="15.1328125" customWidth="1"/>
    <col min="6" max="26" width="31.86328125" customWidth="1"/>
  </cols>
  <sheetData>
    <row r="2" spans="1:7" ht="12.75">
      <c r="A2" s="186" t="s">
        <v>4353</v>
      </c>
      <c r="B2" s="186" t="s">
        <v>1516</v>
      </c>
      <c r="C2" s="186" t="s">
        <v>4354</v>
      </c>
      <c r="D2" s="184"/>
      <c r="E2" s="184"/>
      <c r="F2" s="184"/>
      <c r="G2" s="184"/>
    </row>
    <row r="3" spans="1:7" ht="12.75">
      <c r="A3" s="186" t="s">
        <v>4355</v>
      </c>
      <c r="B3" s="186" t="s">
        <v>48</v>
      </c>
      <c r="C3" s="186" t="s">
        <v>4356</v>
      </c>
      <c r="D3" s="184"/>
      <c r="E3" s="184"/>
      <c r="F3" s="184"/>
      <c r="G3" s="186" t="s">
        <v>4357</v>
      </c>
    </row>
    <row r="4" spans="1:7" ht="12.75">
      <c r="A4" s="186" t="s">
        <v>4358</v>
      </c>
      <c r="B4" s="186" t="s">
        <v>48</v>
      </c>
      <c r="C4" s="186" t="s">
        <v>4359</v>
      </c>
      <c r="D4" s="184"/>
      <c r="E4" s="184"/>
      <c r="F4" s="184"/>
      <c r="G4" s="186" t="s">
        <v>4360</v>
      </c>
    </row>
    <row r="5" spans="1:7" ht="12.75">
      <c r="A5" s="186" t="s">
        <v>4361</v>
      </c>
      <c r="B5" s="186" t="s">
        <v>48</v>
      </c>
      <c r="C5" s="186" t="s">
        <v>4362</v>
      </c>
      <c r="D5" s="184"/>
      <c r="E5" s="184"/>
      <c r="F5" s="184"/>
      <c r="G5" s="186" t="s">
        <v>4363</v>
      </c>
    </row>
    <row r="6" spans="1:7" ht="12.75">
      <c r="A6" s="186" t="s">
        <v>4364</v>
      </c>
      <c r="B6" s="186" t="s">
        <v>247</v>
      </c>
      <c r="C6" s="186" t="s">
        <v>4365</v>
      </c>
      <c r="D6" s="184"/>
      <c r="E6" s="184"/>
      <c r="F6" s="184"/>
      <c r="G6" s="186" t="s">
        <v>4366</v>
      </c>
    </row>
    <row r="7" spans="1:7" ht="12.75">
      <c r="A7" s="186" t="s">
        <v>4367</v>
      </c>
      <c r="B7" s="186" t="s">
        <v>55</v>
      </c>
      <c r="C7" s="186" t="s">
        <v>4362</v>
      </c>
      <c r="D7" s="184"/>
      <c r="E7" s="184"/>
      <c r="F7" s="184"/>
      <c r="G7" s="184"/>
    </row>
    <row r="8" spans="1:7" ht="12.75">
      <c r="A8" s="186" t="s">
        <v>988</v>
      </c>
      <c r="B8" s="186" t="s">
        <v>73</v>
      </c>
      <c r="C8" s="186" t="s">
        <v>4368</v>
      </c>
      <c r="D8" s="184"/>
      <c r="E8" s="184"/>
      <c r="F8" s="184"/>
      <c r="G8" s="186" t="s">
        <v>4366</v>
      </c>
    </row>
    <row r="10" spans="1:7" ht="22.5" customHeight="1">
      <c r="A10" s="184"/>
      <c r="B10" s="184"/>
      <c r="C10" s="184"/>
      <c r="D10" s="184"/>
      <c r="E10" s="184"/>
      <c r="F10" s="184"/>
      <c r="G10" s="184"/>
    </row>
    <row r="13" spans="1:7" ht="89.25">
      <c r="A13" s="184"/>
      <c r="B13" s="184"/>
      <c r="C13" s="184"/>
      <c r="D13" s="184"/>
      <c r="E13" s="184"/>
      <c r="F13" s="184"/>
      <c r="G13" s="142" t="s">
        <v>4369</v>
      </c>
    </row>
    <row r="15" spans="1:7" ht="12.75">
      <c r="A15" s="186" t="s">
        <v>4370</v>
      </c>
      <c r="B15" s="184"/>
      <c r="C15" s="184"/>
      <c r="D15" s="184"/>
      <c r="E15" s="186" t="s">
        <v>4371</v>
      </c>
      <c r="F15" s="186" t="s">
        <v>30</v>
      </c>
      <c r="G15" s="186" t="s">
        <v>4372</v>
      </c>
    </row>
    <row r="16" spans="1:7" ht="12.75">
      <c r="A16" s="186" t="s">
        <v>4373</v>
      </c>
      <c r="B16" s="184"/>
      <c r="C16" s="184"/>
      <c r="D16" s="184"/>
      <c r="E16" s="186" t="s">
        <v>4374</v>
      </c>
      <c r="F16" s="186" t="s">
        <v>4375</v>
      </c>
      <c r="G16" s="51" t="str">
        <f>HYPERLINK("http://www.chromalox.com/catalog/resources/IM-PK508.pdf","4040-ARA110")</f>
        <v>4040-ARA110</v>
      </c>
    </row>
    <row r="17" spans="5:7" ht="12.75">
      <c r="E17" s="186" t="s">
        <v>4376</v>
      </c>
      <c r="F17" s="186" t="s">
        <v>4377</v>
      </c>
      <c r="G17" s="51" t="str">
        <f>HYPERLINK("http://www.chromalox.com/catalog/resources/MOD-6050-4050.pdf","6050-1RA10")</f>
        <v>6050-1RA10</v>
      </c>
    </row>
    <row r="18" spans="5:7" ht="12.75">
      <c r="E18" s="186" t="s">
        <v>4378</v>
      </c>
      <c r="F18" s="186" t="s">
        <v>4378</v>
      </c>
      <c r="G18" s="186" t="s">
        <v>4379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ummaryRight="0"/>
  </sheetPr>
  <dimension ref="A1:J51"/>
  <sheetViews>
    <sheetView workbookViewId="0"/>
  </sheetViews>
  <sheetFormatPr defaultColWidth="14.3984375" defaultRowHeight="15.75" customHeight="1"/>
  <cols>
    <col min="1" max="2" width="13.59765625" customWidth="1"/>
    <col min="3" max="4" width="25" customWidth="1"/>
    <col min="5" max="5" width="19.73046875" customWidth="1"/>
  </cols>
  <sheetData>
    <row r="1" spans="1:10" ht="15.75" customHeight="1">
      <c r="A1" s="161" t="s">
        <v>4380</v>
      </c>
      <c r="B1" s="161" t="s">
        <v>4381</v>
      </c>
      <c r="C1" s="161" t="s">
        <v>4382</v>
      </c>
      <c r="D1" s="161" t="s">
        <v>4383</v>
      </c>
      <c r="E1" s="161" t="s">
        <v>4384</v>
      </c>
      <c r="F1" s="184"/>
      <c r="G1" s="186" t="s">
        <v>4385</v>
      </c>
      <c r="H1" s="184"/>
      <c r="I1" s="184"/>
      <c r="J1" s="184"/>
    </row>
    <row r="2" spans="1:10" ht="15.75" customHeight="1">
      <c r="A2" s="184" t="str">
        <f t="shared" ref="A2:A41" si="0">CONCATENATE("F",B2)</f>
        <v>F1.1</v>
      </c>
      <c r="B2" s="186">
        <v>1.1000000000000001</v>
      </c>
      <c r="C2" s="186" t="s">
        <v>4386</v>
      </c>
      <c r="D2" s="186" t="s">
        <v>4387</v>
      </c>
      <c r="E2" s="186" t="s">
        <v>4388</v>
      </c>
      <c r="F2" s="184"/>
      <c r="G2" s="186" t="s">
        <v>4388</v>
      </c>
      <c r="H2" s="186" t="s">
        <v>4389</v>
      </c>
      <c r="I2" s="186" t="s">
        <v>4390</v>
      </c>
      <c r="J2" s="186" t="s">
        <v>4391</v>
      </c>
    </row>
    <row r="3" spans="1:10" ht="15.75" customHeight="1">
      <c r="A3" s="184" t="str">
        <f t="shared" si="0"/>
        <v>F1.2</v>
      </c>
      <c r="B3" s="186">
        <v>1.2</v>
      </c>
      <c r="C3" s="73" t="s">
        <v>4392</v>
      </c>
      <c r="D3" s="186" t="s">
        <v>4393</v>
      </c>
      <c r="E3" s="186" t="s">
        <v>4388</v>
      </c>
      <c r="F3" s="184"/>
      <c r="G3" s="184">
        <f t="shared" ref="G3:J3" si="1">ROUNDUP(COUNTIF($E:$E,G2)/4,1)</f>
        <v>7.8</v>
      </c>
      <c r="H3" s="184">
        <f t="shared" si="1"/>
        <v>1</v>
      </c>
      <c r="I3" s="184">
        <f t="shared" si="1"/>
        <v>1</v>
      </c>
      <c r="J3" s="184">
        <f t="shared" si="1"/>
        <v>1</v>
      </c>
    </row>
    <row r="4" spans="1:10" ht="15.75" customHeight="1">
      <c r="A4" s="184" t="str">
        <f t="shared" si="0"/>
        <v>F1.3</v>
      </c>
      <c r="B4" s="186">
        <v>1.3</v>
      </c>
      <c r="C4" s="73" t="s">
        <v>4394</v>
      </c>
      <c r="D4" s="186" t="s">
        <v>4395</v>
      </c>
      <c r="E4" s="186" t="s">
        <v>4388</v>
      </c>
      <c r="F4" s="184"/>
      <c r="G4" s="184"/>
      <c r="H4" s="184"/>
      <c r="I4" s="184"/>
      <c r="J4" s="184"/>
    </row>
    <row r="5" spans="1:10" ht="15.75" customHeight="1">
      <c r="A5" s="184" t="str">
        <f t="shared" si="0"/>
        <v>F1.4</v>
      </c>
      <c r="B5" s="186">
        <v>1.4</v>
      </c>
      <c r="C5" s="186" t="s">
        <v>4396</v>
      </c>
      <c r="D5" s="186" t="s">
        <v>4397</v>
      </c>
      <c r="E5" s="186" t="s">
        <v>4388</v>
      </c>
      <c r="F5" s="184"/>
      <c r="G5" s="184"/>
      <c r="H5" s="184"/>
      <c r="I5" s="184"/>
      <c r="J5" s="184"/>
    </row>
    <row r="6" spans="1:10" ht="15.75" customHeight="1">
      <c r="A6" s="184" t="str">
        <f t="shared" si="0"/>
        <v>F2.1</v>
      </c>
      <c r="B6" s="186">
        <v>2.1</v>
      </c>
      <c r="C6" s="186" t="s">
        <v>4398</v>
      </c>
      <c r="D6" s="186" t="s">
        <v>4399</v>
      </c>
      <c r="E6" s="186" t="s">
        <v>4388</v>
      </c>
      <c r="F6" s="184"/>
      <c r="G6" s="184"/>
      <c r="H6" s="184"/>
      <c r="I6" s="184"/>
      <c r="J6" s="184"/>
    </row>
    <row r="7" spans="1:10" ht="15.75" customHeight="1">
      <c r="A7" s="184" t="str">
        <f t="shared" si="0"/>
        <v>F2.2</v>
      </c>
      <c r="B7" s="186">
        <v>2.2000000000000002</v>
      </c>
      <c r="C7" s="186" t="s">
        <v>4400</v>
      </c>
      <c r="D7" s="186" t="s">
        <v>4401</v>
      </c>
      <c r="E7" s="186" t="s">
        <v>4388</v>
      </c>
      <c r="F7" s="184"/>
      <c r="G7" s="184"/>
      <c r="H7" s="184"/>
      <c r="I7" s="184"/>
      <c r="J7" s="184"/>
    </row>
    <row r="8" spans="1:10" ht="15.75" customHeight="1">
      <c r="A8" s="184" t="str">
        <f t="shared" si="0"/>
        <v>F2.3</v>
      </c>
      <c r="B8" s="186">
        <v>2.2999999999999998</v>
      </c>
      <c r="C8" s="186" t="s">
        <v>4402</v>
      </c>
      <c r="D8" s="186" t="s">
        <v>587</v>
      </c>
      <c r="E8" s="186" t="s">
        <v>4388</v>
      </c>
      <c r="F8" s="184"/>
      <c r="G8" s="184"/>
      <c r="H8" s="184"/>
      <c r="I8" s="184"/>
      <c r="J8" s="184"/>
    </row>
    <row r="9" spans="1:10" ht="15.75" customHeight="1">
      <c r="A9" s="184" t="str">
        <f t="shared" si="0"/>
        <v>F2.4</v>
      </c>
      <c r="B9" s="186">
        <v>2.4</v>
      </c>
      <c r="C9" s="186" t="s">
        <v>4403</v>
      </c>
      <c r="D9" s="186" t="s">
        <v>4404</v>
      </c>
      <c r="E9" s="186" t="s">
        <v>4388</v>
      </c>
      <c r="F9" s="184"/>
      <c r="G9" s="184"/>
      <c r="H9" s="184"/>
      <c r="I9" s="184"/>
      <c r="J9" s="184"/>
    </row>
    <row r="10" spans="1:10" ht="15.75" customHeight="1">
      <c r="A10" s="184" t="str">
        <f t="shared" si="0"/>
        <v>F3.1</v>
      </c>
      <c r="B10" s="186">
        <v>3.1</v>
      </c>
      <c r="C10" s="186" t="s">
        <v>4405</v>
      </c>
      <c r="D10" s="186" t="s">
        <v>3537</v>
      </c>
      <c r="E10" s="186" t="s">
        <v>4388</v>
      </c>
      <c r="F10" s="184"/>
      <c r="G10" s="184"/>
      <c r="H10" s="184"/>
      <c r="I10" s="184"/>
      <c r="J10" s="184"/>
    </row>
    <row r="11" spans="1:10" ht="15.75" customHeight="1">
      <c r="A11" s="184" t="str">
        <f t="shared" si="0"/>
        <v>F3.2</v>
      </c>
      <c r="B11" s="186">
        <v>3.2</v>
      </c>
      <c r="C11" s="186" t="s">
        <v>4406</v>
      </c>
      <c r="D11" s="186" t="s">
        <v>282</v>
      </c>
      <c r="E11" s="186" t="s">
        <v>4388</v>
      </c>
      <c r="F11" s="184"/>
      <c r="G11" s="184"/>
      <c r="H11" s="184"/>
      <c r="I11" s="184"/>
      <c r="J11" s="184"/>
    </row>
    <row r="12" spans="1:10" ht="15.75" customHeight="1">
      <c r="A12" s="184" t="str">
        <f t="shared" si="0"/>
        <v>F3.3</v>
      </c>
      <c r="B12" s="186">
        <v>3.3</v>
      </c>
      <c r="C12" s="186" t="s">
        <v>4407</v>
      </c>
      <c r="D12" s="187" t="s">
        <v>4408</v>
      </c>
      <c r="E12" s="186" t="s">
        <v>4388</v>
      </c>
      <c r="F12" s="184"/>
      <c r="G12" s="184"/>
      <c r="H12" s="184"/>
      <c r="I12" s="184"/>
      <c r="J12" s="184"/>
    </row>
    <row r="13" spans="1:10" ht="15.75" customHeight="1">
      <c r="A13" s="184" t="str">
        <f t="shared" si="0"/>
        <v>F3.4</v>
      </c>
      <c r="B13" s="186">
        <v>3.4</v>
      </c>
      <c r="C13" s="186" t="s">
        <v>4409</v>
      </c>
      <c r="D13" s="187" t="s">
        <v>4410</v>
      </c>
      <c r="E13" s="186" t="s">
        <v>4388</v>
      </c>
      <c r="F13" s="184"/>
      <c r="G13" s="184"/>
      <c r="H13" s="184"/>
      <c r="I13" s="184"/>
      <c r="J13" s="184"/>
    </row>
    <row r="14" spans="1:10" ht="15.75" customHeight="1">
      <c r="A14" s="184" t="str">
        <f t="shared" si="0"/>
        <v>F4.1</v>
      </c>
      <c r="B14" s="186">
        <v>4.0999999999999996</v>
      </c>
      <c r="C14" s="186" t="s">
        <v>4411</v>
      </c>
      <c r="D14" s="186" t="s">
        <v>4412</v>
      </c>
      <c r="E14" s="186" t="s">
        <v>4388</v>
      </c>
      <c r="F14" s="184"/>
      <c r="G14" s="184"/>
      <c r="H14" s="184"/>
      <c r="I14" s="184"/>
      <c r="J14" s="184"/>
    </row>
    <row r="15" spans="1:10" ht="15.75" customHeight="1">
      <c r="A15" s="184" t="str">
        <f t="shared" si="0"/>
        <v>F4.2</v>
      </c>
      <c r="B15" s="186">
        <v>4.2</v>
      </c>
      <c r="C15" s="186" t="s">
        <v>4413</v>
      </c>
      <c r="D15" s="186" t="s">
        <v>4414</v>
      </c>
      <c r="E15" s="186" t="s">
        <v>4388</v>
      </c>
      <c r="F15" s="184"/>
      <c r="G15" s="184"/>
      <c r="H15" s="184"/>
      <c r="I15" s="184"/>
      <c r="J15" s="184"/>
    </row>
    <row r="16" spans="1:10" ht="15.75" customHeight="1">
      <c r="A16" s="184" t="str">
        <f t="shared" si="0"/>
        <v>F4.3</v>
      </c>
      <c r="B16" s="186">
        <v>4.3</v>
      </c>
      <c r="C16" s="186" t="s">
        <v>4415</v>
      </c>
      <c r="D16" s="186" t="s">
        <v>4416</v>
      </c>
      <c r="E16" s="186" t="s">
        <v>4388</v>
      </c>
      <c r="F16" s="184"/>
      <c r="G16" s="184"/>
      <c r="H16" s="184"/>
      <c r="I16" s="184"/>
      <c r="J16" s="184"/>
    </row>
    <row r="17" spans="1:6" ht="15.75" customHeight="1">
      <c r="A17" s="184" t="str">
        <f t="shared" si="0"/>
        <v>F4.4</v>
      </c>
      <c r="B17" s="186">
        <v>4.4000000000000004</v>
      </c>
      <c r="C17" s="186" t="s">
        <v>4417</v>
      </c>
      <c r="D17" s="186" t="s">
        <v>4418</v>
      </c>
      <c r="E17" s="186" t="s">
        <v>4388</v>
      </c>
      <c r="F17" s="184"/>
    </row>
    <row r="18" spans="1:6" ht="15.75" customHeight="1">
      <c r="A18" s="184" t="str">
        <f t="shared" si="0"/>
        <v>F5.1</v>
      </c>
      <c r="B18" s="186">
        <v>5.0999999999999996</v>
      </c>
      <c r="C18" s="186" t="s">
        <v>4419</v>
      </c>
      <c r="D18" s="186" t="s">
        <v>4420</v>
      </c>
      <c r="E18" s="186" t="s">
        <v>4388</v>
      </c>
      <c r="F18" s="184"/>
    </row>
    <row r="19" spans="1:6" ht="15.75" customHeight="1">
      <c r="A19" s="184" t="str">
        <f t="shared" si="0"/>
        <v>F5.2</v>
      </c>
      <c r="B19" s="186">
        <v>5.2</v>
      </c>
      <c r="C19" s="186" t="s">
        <v>4421</v>
      </c>
      <c r="D19" s="186" t="s">
        <v>4422</v>
      </c>
      <c r="E19" s="186" t="s">
        <v>4388</v>
      </c>
      <c r="F19" s="184"/>
    </row>
    <row r="20" spans="1:6" ht="15.75" customHeight="1">
      <c r="A20" s="184" t="str">
        <f t="shared" si="0"/>
        <v>F5.3</v>
      </c>
      <c r="B20" s="186">
        <v>5.3</v>
      </c>
      <c r="C20" s="186" t="s">
        <v>4423</v>
      </c>
      <c r="D20" s="186" t="s">
        <v>4424</v>
      </c>
      <c r="E20" s="186" t="s">
        <v>4388</v>
      </c>
      <c r="F20" s="184"/>
    </row>
    <row r="21" spans="1:6" ht="15.75" customHeight="1">
      <c r="A21" s="184" t="str">
        <f t="shared" si="0"/>
        <v>F5.4</v>
      </c>
      <c r="B21" s="186">
        <v>5.4</v>
      </c>
      <c r="C21" s="186" t="s">
        <v>4425</v>
      </c>
      <c r="D21" s="186" t="s">
        <v>4426</v>
      </c>
      <c r="E21" s="186" t="s">
        <v>4388</v>
      </c>
      <c r="F21" s="184"/>
    </row>
    <row r="22" spans="1:6" ht="15.75" customHeight="1">
      <c r="A22" s="184" t="str">
        <f t="shared" si="0"/>
        <v>F6.1</v>
      </c>
      <c r="B22" s="186">
        <v>6.1</v>
      </c>
      <c r="C22" s="186" t="s">
        <v>4427</v>
      </c>
      <c r="D22" s="186" t="s">
        <v>4428</v>
      </c>
      <c r="E22" s="186" t="s">
        <v>4388</v>
      </c>
      <c r="F22" s="184"/>
    </row>
    <row r="23" spans="1:6" ht="15.75" customHeight="1">
      <c r="A23" s="184" t="str">
        <f t="shared" si="0"/>
        <v>F6.2</v>
      </c>
      <c r="B23" s="186">
        <v>6.2</v>
      </c>
      <c r="C23" s="186" t="s">
        <v>4429</v>
      </c>
      <c r="D23" s="186" t="s">
        <v>4430</v>
      </c>
      <c r="E23" s="186" t="s">
        <v>4388</v>
      </c>
      <c r="F23" s="184"/>
    </row>
    <row r="24" spans="1:6" ht="15.75" customHeight="1">
      <c r="A24" s="184" t="str">
        <f t="shared" si="0"/>
        <v>F6.3</v>
      </c>
      <c r="B24" s="186">
        <v>6.3</v>
      </c>
      <c r="C24" s="186" t="s">
        <v>4431</v>
      </c>
      <c r="D24" s="186" t="s">
        <v>4432</v>
      </c>
      <c r="E24" s="186" t="s">
        <v>4388</v>
      </c>
      <c r="F24" s="184"/>
    </row>
    <row r="25" spans="1:6" ht="15.75" customHeight="1">
      <c r="A25" s="184" t="str">
        <f t="shared" si="0"/>
        <v>F6.4</v>
      </c>
      <c r="B25" s="186">
        <v>6.4</v>
      </c>
      <c r="C25" s="186" t="s">
        <v>4433</v>
      </c>
      <c r="D25" s="186" t="s">
        <v>4434</v>
      </c>
      <c r="E25" s="186" t="s">
        <v>4388</v>
      </c>
      <c r="F25" s="184"/>
    </row>
    <row r="26" spans="1:6" ht="15.75" customHeight="1">
      <c r="A26" s="184" t="str">
        <f t="shared" si="0"/>
        <v>F7.1</v>
      </c>
      <c r="B26" s="186">
        <v>7.1</v>
      </c>
      <c r="C26" s="186" t="s">
        <v>4435</v>
      </c>
      <c r="D26" s="186" t="s">
        <v>4436</v>
      </c>
      <c r="E26" s="186" t="s">
        <v>4388</v>
      </c>
      <c r="F26" s="184"/>
    </row>
    <row r="27" spans="1:6" ht="15.75" customHeight="1">
      <c r="A27" s="184" t="str">
        <f t="shared" si="0"/>
        <v>F7.2</v>
      </c>
      <c r="B27" s="186">
        <v>7.2</v>
      </c>
      <c r="C27" s="186" t="s">
        <v>4437</v>
      </c>
      <c r="D27" s="186" t="s">
        <v>4438</v>
      </c>
      <c r="E27" s="186" t="s">
        <v>4388</v>
      </c>
      <c r="F27" s="184"/>
    </row>
    <row r="28" spans="1:6" ht="15.75" customHeight="1">
      <c r="A28" s="184" t="str">
        <f t="shared" si="0"/>
        <v>F7.3</v>
      </c>
      <c r="B28" s="186">
        <v>7.3</v>
      </c>
      <c r="C28" s="186" t="s">
        <v>4439</v>
      </c>
      <c r="D28" s="186" t="s">
        <v>4440</v>
      </c>
      <c r="E28" s="186" t="s">
        <v>4388</v>
      </c>
      <c r="F28" s="184"/>
    </row>
    <row r="29" spans="1:6" ht="15.75" customHeight="1">
      <c r="A29" s="184" t="str">
        <f t="shared" si="0"/>
        <v>F7.4</v>
      </c>
      <c r="B29" s="186">
        <v>7.4</v>
      </c>
      <c r="C29" s="186" t="s">
        <v>4441</v>
      </c>
      <c r="D29" s="186" t="s">
        <v>4442</v>
      </c>
      <c r="E29" s="186" t="s">
        <v>4388</v>
      </c>
      <c r="F29" s="184"/>
    </row>
    <row r="30" spans="1:6" ht="15.75" customHeight="1">
      <c r="A30" s="184" t="str">
        <f t="shared" si="0"/>
        <v>F8.1</v>
      </c>
      <c r="B30" s="186">
        <v>8.1</v>
      </c>
      <c r="C30" s="186" t="s">
        <v>4443</v>
      </c>
      <c r="D30" s="186" t="s">
        <v>4444</v>
      </c>
      <c r="E30" s="186" t="s">
        <v>4390</v>
      </c>
      <c r="F30" s="186" t="s">
        <v>4445</v>
      </c>
    </row>
    <row r="31" spans="1:6" ht="15.75" customHeight="1">
      <c r="A31" s="184" t="str">
        <f t="shared" si="0"/>
        <v>F8.2</v>
      </c>
      <c r="B31" s="186">
        <v>8.1999999999999993</v>
      </c>
      <c r="C31" s="186" t="s">
        <v>4446</v>
      </c>
      <c r="D31" s="186" t="s">
        <v>4444</v>
      </c>
      <c r="E31" s="186" t="s">
        <v>4390</v>
      </c>
      <c r="F31" s="186" t="s">
        <v>4445</v>
      </c>
    </row>
    <row r="32" spans="1:6" ht="15.75" customHeight="1">
      <c r="A32" s="184" t="str">
        <f t="shared" si="0"/>
        <v>F8.3</v>
      </c>
      <c r="B32" s="186">
        <v>8.3000000000000007</v>
      </c>
      <c r="C32" s="186" t="s">
        <v>4447</v>
      </c>
      <c r="D32" s="186" t="s">
        <v>4444</v>
      </c>
      <c r="E32" s="186" t="s">
        <v>4390</v>
      </c>
      <c r="F32" s="186" t="s">
        <v>4445</v>
      </c>
    </row>
    <row r="33" spans="1:7" ht="15.75" customHeight="1">
      <c r="A33" s="184" t="str">
        <f t="shared" si="0"/>
        <v>F8.4</v>
      </c>
      <c r="B33" s="186">
        <v>8.4</v>
      </c>
      <c r="C33" s="186" t="s">
        <v>4448</v>
      </c>
      <c r="D33" s="186" t="s">
        <v>4444</v>
      </c>
      <c r="E33" s="186" t="s">
        <v>4390</v>
      </c>
      <c r="F33" s="186" t="s">
        <v>4445</v>
      </c>
      <c r="G33" s="184"/>
    </row>
    <row r="34" spans="1:7" ht="15.75" customHeight="1">
      <c r="A34" s="184" t="str">
        <f t="shared" si="0"/>
        <v>F9.1</v>
      </c>
      <c r="B34" s="186">
        <v>9.1</v>
      </c>
      <c r="C34" s="186" t="s">
        <v>4449</v>
      </c>
      <c r="D34" s="186" t="s">
        <v>4450</v>
      </c>
      <c r="E34" s="184"/>
      <c r="F34" s="184"/>
      <c r="G34" s="184"/>
    </row>
    <row r="35" spans="1:7" ht="15.75" customHeight="1">
      <c r="A35" s="184" t="str">
        <f t="shared" si="0"/>
        <v>F9.2</v>
      </c>
      <c r="B35" s="186">
        <v>9.1999999999999993</v>
      </c>
      <c r="C35" s="186" t="s">
        <v>4451</v>
      </c>
      <c r="D35" s="186" t="s">
        <v>4452</v>
      </c>
      <c r="E35" s="184"/>
      <c r="F35" s="184"/>
      <c r="G35" s="184"/>
    </row>
    <row r="36" spans="1:7" ht="15.75" customHeight="1">
      <c r="A36" s="184" t="str">
        <f t="shared" si="0"/>
        <v>F9.3</v>
      </c>
      <c r="B36" s="186">
        <v>9.3000000000000007</v>
      </c>
      <c r="C36" s="186" t="s">
        <v>4453</v>
      </c>
      <c r="D36" s="186" t="s">
        <v>4454</v>
      </c>
      <c r="E36" s="186" t="s">
        <v>4388</v>
      </c>
      <c r="F36" s="184"/>
      <c r="G36" s="184"/>
    </row>
    <row r="37" spans="1:7" ht="15.75" customHeight="1">
      <c r="A37" s="184" t="str">
        <f t="shared" si="0"/>
        <v>F9.4</v>
      </c>
      <c r="B37" s="186">
        <v>9.4</v>
      </c>
      <c r="C37" s="186" t="s">
        <v>4455</v>
      </c>
      <c r="D37" s="186" t="s">
        <v>1700</v>
      </c>
      <c r="E37" s="184"/>
      <c r="F37" s="184"/>
      <c r="G37" s="184"/>
    </row>
    <row r="38" spans="1:7" ht="15.75" customHeight="1">
      <c r="A38" s="184" t="str">
        <f t="shared" si="0"/>
        <v>F10.1</v>
      </c>
      <c r="B38" s="186">
        <v>10.1</v>
      </c>
      <c r="C38" s="186" t="s">
        <v>4456</v>
      </c>
      <c r="D38" s="186" t="s">
        <v>4457</v>
      </c>
      <c r="E38" s="186" t="s">
        <v>4391</v>
      </c>
      <c r="F38" s="186" t="s">
        <v>3228</v>
      </c>
      <c r="G38" s="184"/>
    </row>
    <row r="39" spans="1:7" ht="15.75" customHeight="1">
      <c r="A39" s="184" t="str">
        <f t="shared" si="0"/>
        <v>F10.2</v>
      </c>
      <c r="B39" s="186">
        <v>10.199999999999999</v>
      </c>
      <c r="C39" s="186" t="s">
        <v>4458</v>
      </c>
      <c r="D39" s="186" t="s">
        <v>4459</v>
      </c>
      <c r="E39" s="186" t="s">
        <v>4391</v>
      </c>
      <c r="F39" s="186" t="s">
        <v>3228</v>
      </c>
      <c r="G39" s="184"/>
    </row>
    <row r="40" spans="1:7" ht="12.75">
      <c r="A40" s="184" t="str">
        <f t="shared" si="0"/>
        <v>F10.3</v>
      </c>
      <c r="B40" s="186">
        <v>10.3</v>
      </c>
      <c r="C40" s="186" t="s">
        <v>4460</v>
      </c>
      <c r="D40" s="186" t="s">
        <v>4461</v>
      </c>
      <c r="E40" s="186" t="s">
        <v>4391</v>
      </c>
      <c r="F40" s="186" t="s">
        <v>3228</v>
      </c>
      <c r="G40" s="184"/>
    </row>
    <row r="41" spans="1:7" ht="12.75">
      <c r="A41" s="184" t="str">
        <f t="shared" si="0"/>
        <v>F10.4</v>
      </c>
      <c r="B41" s="186">
        <v>10.4</v>
      </c>
      <c r="C41" s="186" t="s">
        <v>4462</v>
      </c>
      <c r="D41" s="186" t="s">
        <v>4463</v>
      </c>
      <c r="E41" s="186" t="s">
        <v>4391</v>
      </c>
      <c r="F41" s="186" t="s">
        <v>3228</v>
      </c>
      <c r="G41" s="184"/>
    </row>
    <row r="42" spans="1:7" ht="12.75">
      <c r="A42" s="186" t="s">
        <v>4464</v>
      </c>
      <c r="B42" s="186">
        <v>11.1</v>
      </c>
      <c r="C42" s="186" t="s">
        <v>4465</v>
      </c>
      <c r="D42" s="186" t="s">
        <v>4466</v>
      </c>
      <c r="E42" s="186" t="s">
        <v>4389</v>
      </c>
      <c r="F42" s="186" t="s">
        <v>4467</v>
      </c>
      <c r="G42" s="184"/>
    </row>
    <row r="43" spans="1:7" ht="12.75">
      <c r="A43" s="186" t="s">
        <v>4468</v>
      </c>
      <c r="B43" s="186">
        <v>11.2</v>
      </c>
      <c r="C43" s="186" t="s">
        <v>4469</v>
      </c>
      <c r="D43" s="186" t="s">
        <v>4470</v>
      </c>
      <c r="E43" s="186" t="s">
        <v>4389</v>
      </c>
      <c r="F43" s="186" t="s">
        <v>4467</v>
      </c>
      <c r="G43" s="184"/>
    </row>
    <row r="44" spans="1:7" ht="12.75">
      <c r="A44" s="186" t="s">
        <v>4471</v>
      </c>
      <c r="B44" s="186">
        <v>11.3</v>
      </c>
      <c r="C44" s="186" t="s">
        <v>4472</v>
      </c>
      <c r="D44" s="186" t="s">
        <v>4473</v>
      </c>
      <c r="E44" s="186" t="s">
        <v>4389</v>
      </c>
      <c r="F44" s="186" t="s">
        <v>4467</v>
      </c>
      <c r="G44" s="184"/>
    </row>
    <row r="45" spans="1:7" ht="12.75">
      <c r="A45" s="186" t="s">
        <v>4474</v>
      </c>
      <c r="B45" s="186">
        <v>11.4</v>
      </c>
      <c r="C45" s="186" t="s">
        <v>4475</v>
      </c>
      <c r="D45" s="186" t="s">
        <v>4476</v>
      </c>
      <c r="E45" s="186" t="s">
        <v>4389</v>
      </c>
      <c r="F45" s="186" t="s">
        <v>4467</v>
      </c>
      <c r="G45" s="184"/>
    </row>
    <row r="46" spans="1:7" ht="12.75">
      <c r="A46" s="186" t="s">
        <v>4477</v>
      </c>
      <c r="B46" s="186">
        <v>11.1</v>
      </c>
      <c r="C46" s="186" t="s">
        <v>4478</v>
      </c>
      <c r="D46" s="186" t="s">
        <v>4479</v>
      </c>
      <c r="E46" s="186" t="s">
        <v>4480</v>
      </c>
      <c r="F46" s="186" t="s">
        <v>3223</v>
      </c>
      <c r="G46" s="186" t="s">
        <v>4481</v>
      </c>
    </row>
    <row r="47" spans="1:7" ht="12.75">
      <c r="A47" s="186" t="s">
        <v>4482</v>
      </c>
      <c r="B47" s="186">
        <v>11.2</v>
      </c>
      <c r="C47" s="186" t="s">
        <v>4483</v>
      </c>
      <c r="D47" s="186" t="s">
        <v>4484</v>
      </c>
      <c r="E47" s="186" t="s">
        <v>4480</v>
      </c>
      <c r="F47" s="186" t="s">
        <v>3223</v>
      </c>
      <c r="G47" s="184"/>
    </row>
    <row r="48" spans="1:7" ht="12.75">
      <c r="A48" s="186" t="s">
        <v>4485</v>
      </c>
      <c r="B48" s="186">
        <v>11.3</v>
      </c>
      <c r="C48" s="186" t="s">
        <v>4486</v>
      </c>
      <c r="D48" s="74" t="s">
        <v>4487</v>
      </c>
      <c r="E48" s="186" t="s">
        <v>4480</v>
      </c>
      <c r="F48" s="186" t="s">
        <v>3223</v>
      </c>
      <c r="G48" s="184"/>
    </row>
    <row r="49" spans="1:6" ht="12.75">
      <c r="A49" s="186" t="s">
        <v>4488</v>
      </c>
      <c r="B49" s="186">
        <v>11.4</v>
      </c>
      <c r="C49" s="186" t="s">
        <v>4489</v>
      </c>
      <c r="D49" s="186" t="s">
        <v>4490</v>
      </c>
      <c r="E49" s="186" t="s">
        <v>4480</v>
      </c>
      <c r="F49" s="186" t="s">
        <v>3223</v>
      </c>
    </row>
    <row r="50" spans="1:6" ht="12.75">
      <c r="A50" s="186" t="s">
        <v>4491</v>
      </c>
      <c r="B50" s="186">
        <v>11.4</v>
      </c>
      <c r="C50" s="186" t="s">
        <v>4492</v>
      </c>
      <c r="D50" s="186" t="s">
        <v>4493</v>
      </c>
      <c r="E50" s="186" t="s">
        <v>4388</v>
      </c>
      <c r="F50" s="186" t="s">
        <v>3216</v>
      </c>
    </row>
    <row r="51" spans="1:6" ht="12.75">
      <c r="A51" s="186" t="s">
        <v>4494</v>
      </c>
      <c r="B51" s="186">
        <v>11.4</v>
      </c>
      <c r="C51" s="186" t="s">
        <v>4495</v>
      </c>
      <c r="D51" s="186" t="s">
        <v>4493</v>
      </c>
      <c r="E51" s="186" t="s">
        <v>4388</v>
      </c>
      <c r="F51" s="186" t="s">
        <v>3216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outlinePr summaryBelow="0" summaryRight="0"/>
  </sheetPr>
  <dimension ref="A1:F167"/>
  <sheetViews>
    <sheetView workbookViewId="0"/>
  </sheetViews>
  <sheetFormatPr defaultColWidth="14.3984375" defaultRowHeight="15.75" customHeight="1"/>
  <cols>
    <col min="1" max="1" width="24.265625" customWidth="1"/>
    <col min="2" max="2" width="53.265625" customWidth="1"/>
    <col min="3" max="3" width="40.73046875" customWidth="1"/>
  </cols>
  <sheetData>
    <row r="1" spans="1:6" ht="15.75" customHeight="1">
      <c r="A1" s="140" t="s">
        <v>4496</v>
      </c>
      <c r="B1" s="186" t="s">
        <v>4497</v>
      </c>
      <c r="C1" s="184"/>
      <c r="D1" s="184"/>
      <c r="E1" s="184"/>
      <c r="F1" s="184"/>
    </row>
    <row r="2" spans="1:6" ht="15.75" customHeight="1">
      <c r="A2" s="186" t="s">
        <v>3216</v>
      </c>
      <c r="B2" s="186" t="s">
        <v>4498</v>
      </c>
      <c r="C2" s="184"/>
      <c r="D2" s="184"/>
      <c r="E2" s="184"/>
      <c r="F2" s="184"/>
    </row>
    <row r="3" spans="1:6" ht="15.75" customHeight="1">
      <c r="A3" s="186" t="s">
        <v>4499</v>
      </c>
      <c r="B3" s="186" t="s">
        <v>4498</v>
      </c>
      <c r="C3" s="184"/>
      <c r="D3" s="184"/>
      <c r="E3" s="184"/>
      <c r="F3" s="184"/>
    </row>
    <row r="4" spans="1:6" ht="14.25">
      <c r="A4" s="75" t="s">
        <v>4500</v>
      </c>
      <c r="B4" s="75" t="s">
        <v>4501</v>
      </c>
      <c r="C4" s="75"/>
      <c r="D4" s="75"/>
      <c r="E4" s="75"/>
      <c r="F4" s="75"/>
    </row>
    <row r="5" spans="1:6" ht="14.25">
      <c r="A5" s="75" t="s">
        <v>4502</v>
      </c>
      <c r="B5" s="75" t="s">
        <v>4503</v>
      </c>
      <c r="C5" s="75"/>
      <c r="D5" s="75"/>
      <c r="E5" s="75"/>
      <c r="F5" s="75"/>
    </row>
    <row r="6" spans="1:6" ht="14.25">
      <c r="A6" s="75" t="s">
        <v>4500</v>
      </c>
      <c r="B6" s="75" t="s">
        <v>4500</v>
      </c>
      <c r="C6" s="75" t="s">
        <v>4501</v>
      </c>
      <c r="D6" s="184"/>
      <c r="E6" s="184"/>
      <c r="F6" s="184"/>
    </row>
    <row r="7" spans="1:6" ht="14.25">
      <c r="A7" s="75" t="s">
        <v>4502</v>
      </c>
      <c r="B7" s="75" t="s">
        <v>4502</v>
      </c>
      <c r="C7" s="75" t="s">
        <v>4503</v>
      </c>
      <c r="D7" s="184"/>
      <c r="E7" s="184"/>
      <c r="F7" s="184"/>
    </row>
    <row r="8" spans="1:6" ht="14.25">
      <c r="A8" s="75" t="s">
        <v>4504</v>
      </c>
      <c r="B8" s="75" t="s">
        <v>4505</v>
      </c>
      <c r="C8" s="75" t="s">
        <v>4506</v>
      </c>
      <c r="D8" s="184"/>
      <c r="E8" s="184"/>
      <c r="F8" s="184"/>
    </row>
    <row r="9" spans="1:6" ht="14.25">
      <c r="A9" s="75" t="s">
        <v>4507</v>
      </c>
      <c r="B9" s="75" t="s">
        <v>4505</v>
      </c>
      <c r="C9" s="75" t="s">
        <v>4508</v>
      </c>
      <c r="D9" s="184"/>
      <c r="E9" s="184"/>
      <c r="F9" s="184"/>
    </row>
    <row r="10" spans="1:6" ht="14.25">
      <c r="A10" s="75" t="s">
        <v>4509</v>
      </c>
      <c r="B10" s="75" t="s">
        <v>4505</v>
      </c>
      <c r="C10" s="75" t="s">
        <v>4510</v>
      </c>
      <c r="D10" s="184"/>
      <c r="E10" s="184"/>
      <c r="F10" s="184"/>
    </row>
    <row r="11" spans="1:6" ht="14.25">
      <c r="A11" s="75" t="s">
        <v>4511</v>
      </c>
      <c r="B11" s="75" t="s">
        <v>4505</v>
      </c>
      <c r="C11" s="75" t="s">
        <v>4512</v>
      </c>
      <c r="D11" s="184"/>
      <c r="E11" s="184"/>
      <c r="F11" s="184"/>
    </row>
    <row r="12" spans="1:6" ht="14.25">
      <c r="A12" s="75" t="s">
        <v>4511</v>
      </c>
      <c r="B12" s="75" t="s">
        <v>4505</v>
      </c>
      <c r="C12" s="75" t="s">
        <v>4510</v>
      </c>
      <c r="D12" s="184"/>
      <c r="E12" s="184"/>
      <c r="F12" s="184"/>
    </row>
    <row r="13" spans="1:6" ht="14.25">
      <c r="A13" s="75" t="s">
        <v>4513</v>
      </c>
      <c r="B13" s="75" t="s">
        <v>4513</v>
      </c>
      <c r="C13" s="75" t="s">
        <v>4514</v>
      </c>
      <c r="D13" s="184"/>
      <c r="E13" s="184"/>
      <c r="F13" s="184"/>
    </row>
    <row r="14" spans="1:6" ht="14.25">
      <c r="A14" s="75" t="s">
        <v>3415</v>
      </c>
      <c r="B14" s="75" t="s">
        <v>3415</v>
      </c>
      <c r="C14" s="75"/>
      <c r="D14" s="184"/>
      <c r="E14" s="184"/>
      <c r="F14" s="184"/>
    </row>
    <row r="15" spans="1:6" ht="14.25">
      <c r="A15" s="75" t="s">
        <v>4515</v>
      </c>
      <c r="B15" s="75" t="s">
        <v>4516</v>
      </c>
      <c r="C15" s="75" t="s">
        <v>4517</v>
      </c>
      <c r="D15" s="184"/>
      <c r="E15" s="184"/>
      <c r="F15" s="184"/>
    </row>
    <row r="16" spans="1:6" ht="14.25">
      <c r="A16" s="75" t="s">
        <v>4518</v>
      </c>
      <c r="B16" s="75" t="s">
        <v>4516</v>
      </c>
      <c r="C16" s="75" t="s">
        <v>4517</v>
      </c>
      <c r="D16" s="184"/>
      <c r="E16" s="184"/>
      <c r="F16" s="184"/>
    </row>
    <row r="17" spans="1:3" ht="14.25">
      <c r="A17" s="75" t="s">
        <v>4519</v>
      </c>
      <c r="B17" s="75" t="s">
        <v>4516</v>
      </c>
      <c r="C17" s="75" t="s">
        <v>4520</v>
      </c>
    </row>
    <row r="18" spans="1:3" ht="14.25">
      <c r="A18" s="75" t="s">
        <v>4521</v>
      </c>
      <c r="B18" s="75" t="s">
        <v>4516</v>
      </c>
      <c r="C18" s="75" t="s">
        <v>4522</v>
      </c>
    </row>
    <row r="19" spans="1:3" ht="14.25">
      <c r="A19" s="75" t="s">
        <v>4523</v>
      </c>
      <c r="B19" s="75" t="s">
        <v>4524</v>
      </c>
      <c r="C19" s="75" t="s">
        <v>4510</v>
      </c>
    </row>
    <row r="20" spans="1:3" ht="14.25">
      <c r="A20" s="75" t="s">
        <v>4525</v>
      </c>
      <c r="B20" s="75" t="s">
        <v>4525</v>
      </c>
      <c r="C20" s="75" t="s">
        <v>4526</v>
      </c>
    </row>
    <row r="21" spans="1:3" ht="14.25">
      <c r="A21" s="75" t="s">
        <v>4527</v>
      </c>
      <c r="B21" s="75" t="s">
        <v>4528</v>
      </c>
      <c r="C21" s="75" t="s">
        <v>4529</v>
      </c>
    </row>
    <row r="22" spans="1:3" ht="14.25">
      <c r="A22" s="75" t="s">
        <v>4530</v>
      </c>
      <c r="B22" s="75" t="s">
        <v>4528</v>
      </c>
      <c r="C22" s="75" t="s">
        <v>4531</v>
      </c>
    </row>
    <row r="23" spans="1:3" ht="14.25">
      <c r="A23" s="75" t="s">
        <v>4532</v>
      </c>
      <c r="B23" s="75" t="s">
        <v>4528</v>
      </c>
      <c r="C23" s="75" t="s">
        <v>4510</v>
      </c>
    </row>
    <row r="24" spans="1:3" ht="14.25">
      <c r="A24" s="75" t="s">
        <v>4533</v>
      </c>
      <c r="B24" s="75" t="s">
        <v>4534</v>
      </c>
      <c r="C24" s="75" t="s">
        <v>4535</v>
      </c>
    </row>
    <row r="25" spans="1:3" ht="14.25">
      <c r="A25" s="75" t="s">
        <v>4536</v>
      </c>
      <c r="B25" s="75" t="s">
        <v>4537</v>
      </c>
      <c r="C25" s="75" t="s">
        <v>4538</v>
      </c>
    </row>
    <row r="26" spans="1:3" ht="14.25">
      <c r="A26" s="75" t="s">
        <v>4539</v>
      </c>
      <c r="B26" s="75" t="s">
        <v>4540</v>
      </c>
      <c r="C26" s="75" t="s">
        <v>4541</v>
      </c>
    </row>
    <row r="27" spans="1:3" ht="14.25">
      <c r="A27" s="75" t="s">
        <v>4542</v>
      </c>
      <c r="B27" s="75" t="s">
        <v>4543</v>
      </c>
      <c r="C27" s="75" t="s">
        <v>4526</v>
      </c>
    </row>
    <row r="28" spans="1:3" ht="14.25">
      <c r="A28" s="75" t="s">
        <v>4544</v>
      </c>
      <c r="B28" s="75" t="s">
        <v>4545</v>
      </c>
      <c r="C28" s="75" t="s">
        <v>4546</v>
      </c>
    </row>
    <row r="29" spans="1:3" ht="14.25">
      <c r="A29" s="75" t="s">
        <v>4547</v>
      </c>
      <c r="B29" s="75" t="s">
        <v>4548</v>
      </c>
      <c r="C29" s="75" t="s">
        <v>4549</v>
      </c>
    </row>
    <row r="30" spans="1:3" ht="14.25">
      <c r="A30" s="75" t="s">
        <v>4550</v>
      </c>
      <c r="B30" s="75" t="s">
        <v>4548</v>
      </c>
      <c r="C30" s="75" t="s">
        <v>4551</v>
      </c>
    </row>
    <row r="31" spans="1:3" ht="14.25">
      <c r="A31" s="75" t="s">
        <v>4552</v>
      </c>
      <c r="B31" s="75" t="s">
        <v>4553</v>
      </c>
      <c r="C31" s="75" t="s">
        <v>4512</v>
      </c>
    </row>
    <row r="32" spans="1:3" ht="14.25">
      <c r="A32" s="75" t="s">
        <v>4554</v>
      </c>
      <c r="B32" s="75" t="s">
        <v>4555</v>
      </c>
      <c r="C32" s="75" t="s">
        <v>4556</v>
      </c>
    </row>
    <row r="33" spans="1:3" ht="14.25">
      <c r="A33" s="75" t="s">
        <v>4557</v>
      </c>
      <c r="B33" s="75" t="s">
        <v>4558</v>
      </c>
      <c r="C33" s="75" t="s">
        <v>4559</v>
      </c>
    </row>
    <row r="34" spans="1:3" ht="14.25">
      <c r="A34" s="75" t="s">
        <v>4560</v>
      </c>
      <c r="B34" s="75" t="s">
        <v>4561</v>
      </c>
      <c r="C34" s="75" t="s">
        <v>4508</v>
      </c>
    </row>
    <row r="35" spans="1:3" ht="14.25">
      <c r="A35" s="75" t="s">
        <v>4562</v>
      </c>
      <c r="B35" s="75" t="s">
        <v>4563</v>
      </c>
      <c r="C35" s="75" t="s">
        <v>4522</v>
      </c>
    </row>
    <row r="36" spans="1:3" ht="14.25">
      <c r="A36" s="75" t="s">
        <v>4564</v>
      </c>
      <c r="B36" s="75" t="s">
        <v>4565</v>
      </c>
      <c r="C36" s="75" t="s">
        <v>4566</v>
      </c>
    </row>
    <row r="37" spans="1:3" ht="14.25">
      <c r="A37" s="75" t="s">
        <v>4567</v>
      </c>
      <c r="B37" s="75" t="s">
        <v>4565</v>
      </c>
      <c r="C37" s="75" t="s">
        <v>4568</v>
      </c>
    </row>
    <row r="38" spans="1:3" ht="14.25">
      <c r="A38" s="75" t="s">
        <v>4569</v>
      </c>
      <c r="B38" s="75" t="s">
        <v>4570</v>
      </c>
      <c r="C38" s="75" t="s">
        <v>4566</v>
      </c>
    </row>
    <row r="39" spans="1:3" ht="14.25">
      <c r="A39" s="75" t="s">
        <v>4571</v>
      </c>
      <c r="B39" s="75" t="s">
        <v>4570</v>
      </c>
      <c r="C39" s="75" t="s">
        <v>4572</v>
      </c>
    </row>
    <row r="40" spans="1:3" ht="14.25">
      <c r="A40" s="75" t="s">
        <v>4573</v>
      </c>
      <c r="B40" s="75" t="s">
        <v>4573</v>
      </c>
      <c r="C40" s="75"/>
    </row>
    <row r="41" spans="1:3" ht="14.25">
      <c r="A41" s="75" t="s">
        <v>4574</v>
      </c>
      <c r="B41" s="75" t="s">
        <v>4573</v>
      </c>
      <c r="C41" s="75" t="s">
        <v>4575</v>
      </c>
    </row>
    <row r="42" spans="1:3" ht="14.25">
      <c r="A42" s="75" t="s">
        <v>4576</v>
      </c>
      <c r="B42" s="75" t="s">
        <v>4573</v>
      </c>
      <c r="C42" s="75" t="s">
        <v>4566</v>
      </c>
    </row>
    <row r="43" spans="1:3" ht="14.25">
      <c r="A43" s="75" t="s">
        <v>4577</v>
      </c>
      <c r="B43" s="75" t="s">
        <v>4573</v>
      </c>
      <c r="C43" s="75" t="s">
        <v>4572</v>
      </c>
    </row>
    <row r="44" spans="1:3" ht="14.25">
      <c r="A44" s="75" t="s">
        <v>4578</v>
      </c>
      <c r="B44" s="75" t="s">
        <v>4579</v>
      </c>
      <c r="C44" s="75" t="s">
        <v>4580</v>
      </c>
    </row>
    <row r="45" spans="1:3" ht="14.25">
      <c r="A45" s="75" t="s">
        <v>4581</v>
      </c>
      <c r="B45" s="75" t="s">
        <v>4579</v>
      </c>
      <c r="C45" s="75" t="s">
        <v>4580</v>
      </c>
    </row>
    <row r="46" spans="1:3" ht="14.25">
      <c r="A46" s="75" t="s">
        <v>4582</v>
      </c>
      <c r="B46" s="75" t="s">
        <v>4583</v>
      </c>
      <c r="C46" s="75" t="s">
        <v>4584</v>
      </c>
    </row>
    <row r="47" spans="1:3" ht="14.25">
      <c r="A47" s="75" t="s">
        <v>4585</v>
      </c>
      <c r="B47" s="75" t="s">
        <v>4583</v>
      </c>
      <c r="C47" s="75" t="s">
        <v>4586</v>
      </c>
    </row>
    <row r="48" spans="1:3" ht="14.25">
      <c r="A48" s="75" t="s">
        <v>4587</v>
      </c>
      <c r="B48" s="75" t="s">
        <v>4588</v>
      </c>
      <c r="C48" s="75" t="s">
        <v>4589</v>
      </c>
    </row>
    <row r="49" spans="1:3" ht="14.25">
      <c r="A49" s="75" t="s">
        <v>4590</v>
      </c>
      <c r="B49" s="75" t="s">
        <v>4588</v>
      </c>
      <c r="C49" s="75" t="s">
        <v>4591</v>
      </c>
    </row>
    <row r="50" spans="1:3" ht="14.25">
      <c r="A50" s="75" t="s">
        <v>4592</v>
      </c>
      <c r="B50" s="75" t="s">
        <v>4593</v>
      </c>
      <c r="C50" s="75" t="s">
        <v>4594</v>
      </c>
    </row>
    <row r="51" spans="1:3" ht="14.25">
      <c r="A51" s="75" t="s">
        <v>4595</v>
      </c>
      <c r="B51" s="75" t="s">
        <v>4593</v>
      </c>
      <c r="C51" s="75" t="s">
        <v>4596</v>
      </c>
    </row>
    <row r="52" spans="1:3" ht="14.25">
      <c r="A52" s="75" t="s">
        <v>4597</v>
      </c>
      <c r="B52" s="75" t="s">
        <v>4598</v>
      </c>
      <c r="C52" s="75" t="s">
        <v>4599</v>
      </c>
    </row>
    <row r="53" spans="1:3" ht="14.25">
      <c r="A53" s="75" t="s">
        <v>4600</v>
      </c>
      <c r="B53" s="75" t="s">
        <v>4598</v>
      </c>
      <c r="C53" s="75" t="s">
        <v>4556</v>
      </c>
    </row>
    <row r="54" spans="1:3" ht="14.25">
      <c r="A54" s="75" t="s">
        <v>4601</v>
      </c>
      <c r="B54" s="75" t="s">
        <v>4602</v>
      </c>
      <c r="C54" s="75" t="s">
        <v>4556</v>
      </c>
    </row>
    <row r="55" spans="1:3" ht="14.25">
      <c r="A55" s="75" t="s">
        <v>4603</v>
      </c>
      <c r="B55" s="75" t="s">
        <v>4604</v>
      </c>
      <c r="C55" s="75" t="s">
        <v>4605</v>
      </c>
    </row>
    <row r="56" spans="1:3" ht="14.25">
      <c r="A56" s="75" t="s">
        <v>4606</v>
      </c>
      <c r="B56" s="75" t="s">
        <v>4607</v>
      </c>
      <c r="C56" s="75" t="s">
        <v>4512</v>
      </c>
    </row>
    <row r="57" spans="1:3" ht="14.25">
      <c r="A57" s="75" t="s">
        <v>4608</v>
      </c>
      <c r="B57" s="75" t="s">
        <v>4607</v>
      </c>
      <c r="C57" s="75" t="s">
        <v>4609</v>
      </c>
    </row>
    <row r="58" spans="1:3" ht="14.25">
      <c r="A58" s="75" t="s">
        <v>4610</v>
      </c>
      <c r="B58" s="75" t="s">
        <v>4611</v>
      </c>
      <c r="C58" s="75" t="s">
        <v>4609</v>
      </c>
    </row>
    <row r="59" spans="1:3" ht="14.25">
      <c r="A59" s="75" t="s">
        <v>4612</v>
      </c>
      <c r="B59" s="75" t="s">
        <v>4611</v>
      </c>
      <c r="C59" s="75" t="s">
        <v>4613</v>
      </c>
    </row>
    <row r="60" spans="1:3" ht="14.25">
      <c r="A60" s="75" t="s">
        <v>4610</v>
      </c>
      <c r="B60" s="75" t="s">
        <v>4611</v>
      </c>
      <c r="C60" s="75" t="s">
        <v>4614</v>
      </c>
    </row>
    <row r="61" spans="1:3" ht="14.25">
      <c r="A61" s="75" t="s">
        <v>4615</v>
      </c>
      <c r="B61" s="75" t="s">
        <v>4611</v>
      </c>
      <c r="C61" s="75" t="s">
        <v>4613</v>
      </c>
    </row>
    <row r="62" spans="1:3" ht="14.25">
      <c r="A62" s="75" t="s">
        <v>4610</v>
      </c>
      <c r="B62" s="75" t="s">
        <v>4611</v>
      </c>
      <c r="C62" s="75" t="s">
        <v>4616</v>
      </c>
    </row>
    <row r="63" spans="1:3" ht="14.25">
      <c r="A63" s="75" t="s">
        <v>4617</v>
      </c>
      <c r="B63" s="75" t="s">
        <v>4611</v>
      </c>
      <c r="C63" s="75" t="s">
        <v>4618</v>
      </c>
    </row>
    <row r="64" spans="1:3" ht="14.25">
      <c r="A64" s="75" t="s">
        <v>4619</v>
      </c>
      <c r="B64" s="75" t="s">
        <v>4620</v>
      </c>
      <c r="C64" s="75" t="s">
        <v>4613</v>
      </c>
    </row>
    <row r="65" spans="1:3" ht="14.25">
      <c r="A65" s="75" t="s">
        <v>4621</v>
      </c>
      <c r="B65" s="75" t="s">
        <v>4620</v>
      </c>
      <c r="C65" s="75" t="s">
        <v>4622</v>
      </c>
    </row>
    <row r="66" spans="1:3" ht="14.25">
      <c r="A66" s="75" t="s">
        <v>4619</v>
      </c>
      <c r="B66" s="75" t="s">
        <v>4620</v>
      </c>
      <c r="C66" s="75" t="s">
        <v>4613</v>
      </c>
    </row>
    <row r="67" spans="1:3" ht="14.25">
      <c r="A67" s="75" t="s">
        <v>4621</v>
      </c>
      <c r="B67" s="75" t="s">
        <v>4620</v>
      </c>
      <c r="C67" s="75" t="s">
        <v>4623</v>
      </c>
    </row>
    <row r="68" spans="1:3" ht="14.25">
      <c r="A68" s="75" t="s">
        <v>4624</v>
      </c>
      <c r="B68" s="75" t="s">
        <v>4625</v>
      </c>
      <c r="C68" s="75" t="s">
        <v>4626</v>
      </c>
    </row>
    <row r="69" spans="1:3" ht="14.25">
      <c r="A69" s="75" t="s">
        <v>4627</v>
      </c>
      <c r="B69" s="75" t="s">
        <v>4628</v>
      </c>
      <c r="C69" s="75" t="s">
        <v>4629</v>
      </c>
    </row>
    <row r="70" spans="1:3" ht="14.25">
      <c r="A70" s="75" t="s">
        <v>4630</v>
      </c>
      <c r="B70" s="75" t="s">
        <v>4628</v>
      </c>
      <c r="C70" s="75" t="s">
        <v>4631</v>
      </c>
    </row>
    <row r="71" spans="1:3" ht="14.25">
      <c r="A71" s="75" t="s">
        <v>4632</v>
      </c>
      <c r="B71" s="75" t="s">
        <v>3455</v>
      </c>
      <c r="C71" s="75" t="s">
        <v>4522</v>
      </c>
    </row>
    <row r="72" spans="1:3" ht="14.25">
      <c r="A72" s="75" t="s">
        <v>4633</v>
      </c>
      <c r="B72" s="75" t="s">
        <v>3455</v>
      </c>
      <c r="C72" s="75" t="s">
        <v>4520</v>
      </c>
    </row>
    <row r="73" spans="1:3" ht="14.25">
      <c r="A73" s="75" t="s">
        <v>4634</v>
      </c>
      <c r="B73" s="75" t="s">
        <v>4635</v>
      </c>
      <c r="C73" s="75" t="s">
        <v>4636</v>
      </c>
    </row>
    <row r="74" spans="1:3" ht="14.25">
      <c r="A74" s="75" t="s">
        <v>4637</v>
      </c>
      <c r="B74" s="75" t="s">
        <v>4635</v>
      </c>
      <c r="C74" s="75" t="s">
        <v>4638</v>
      </c>
    </row>
    <row r="75" spans="1:3" ht="14.25">
      <c r="A75" s="75" t="s">
        <v>4634</v>
      </c>
      <c r="B75" s="75" t="s">
        <v>4635</v>
      </c>
      <c r="C75" s="75" t="s">
        <v>4636</v>
      </c>
    </row>
    <row r="76" spans="1:3" ht="14.25">
      <c r="A76" s="75" t="s">
        <v>4639</v>
      </c>
      <c r="B76" s="75" t="s">
        <v>4635</v>
      </c>
      <c r="C76" s="75" t="s">
        <v>4640</v>
      </c>
    </row>
    <row r="77" spans="1:3" ht="14.25">
      <c r="A77" s="75" t="s">
        <v>4641</v>
      </c>
      <c r="B77" s="75" t="s">
        <v>4635</v>
      </c>
      <c r="C77" s="75" t="s">
        <v>4640</v>
      </c>
    </row>
    <row r="78" spans="1:3" ht="14.25">
      <c r="A78" s="75" t="s">
        <v>4639</v>
      </c>
      <c r="B78" s="75" t="s">
        <v>4635</v>
      </c>
      <c r="C78" s="75" t="s">
        <v>4640</v>
      </c>
    </row>
    <row r="79" spans="1:3" ht="14.25">
      <c r="A79" s="75" t="s">
        <v>4637</v>
      </c>
      <c r="B79" s="75" t="s">
        <v>4635</v>
      </c>
      <c r="C79" s="75" t="s">
        <v>4638</v>
      </c>
    </row>
    <row r="80" spans="1:3" ht="14.25">
      <c r="A80" s="75" t="s">
        <v>4642</v>
      </c>
      <c r="B80" s="75" t="s">
        <v>4635</v>
      </c>
      <c r="C80" s="75" t="s">
        <v>4640</v>
      </c>
    </row>
    <row r="81" spans="1:3" ht="14.25">
      <c r="A81" s="75" t="s">
        <v>4639</v>
      </c>
      <c r="B81" s="75" t="s">
        <v>4635</v>
      </c>
      <c r="C81" s="75" t="s">
        <v>4640</v>
      </c>
    </row>
    <row r="82" spans="1:3" ht="14.25">
      <c r="A82" s="75" t="s">
        <v>4643</v>
      </c>
      <c r="B82" s="75" t="s">
        <v>4644</v>
      </c>
      <c r="C82" s="75" t="s">
        <v>4605</v>
      </c>
    </row>
    <row r="83" spans="1:3" ht="14.25">
      <c r="A83" s="75" t="s">
        <v>4645</v>
      </c>
      <c r="B83" s="75" t="s">
        <v>4644</v>
      </c>
      <c r="C83" s="75" t="s">
        <v>4605</v>
      </c>
    </row>
    <row r="84" spans="1:3" ht="14.25">
      <c r="A84" s="75" t="s">
        <v>4646</v>
      </c>
      <c r="B84" s="75" t="s">
        <v>4647</v>
      </c>
      <c r="C84" s="75" t="s">
        <v>4648</v>
      </c>
    </row>
    <row r="85" spans="1:3" ht="14.25">
      <c r="A85" s="75" t="s">
        <v>4649</v>
      </c>
      <c r="B85" s="75" t="s">
        <v>4650</v>
      </c>
      <c r="C85" s="75" t="s">
        <v>4651</v>
      </c>
    </row>
    <row r="86" spans="1:3" ht="14.25">
      <c r="A86" s="75" t="s">
        <v>4652</v>
      </c>
      <c r="B86" s="75" t="s">
        <v>4653</v>
      </c>
      <c r="C86" s="75" t="s">
        <v>4556</v>
      </c>
    </row>
    <row r="87" spans="1:3" ht="14.25">
      <c r="A87" s="75" t="s">
        <v>4654</v>
      </c>
      <c r="B87" s="75" t="s">
        <v>4655</v>
      </c>
      <c r="C87" s="75" t="s">
        <v>4508</v>
      </c>
    </row>
    <row r="88" spans="1:3" ht="14.25">
      <c r="A88" s="75" t="s">
        <v>4656</v>
      </c>
      <c r="B88" s="75" t="s">
        <v>4657</v>
      </c>
      <c r="C88" s="75" t="s">
        <v>4658</v>
      </c>
    </row>
    <row r="89" spans="1:3" ht="14.25">
      <c r="A89" s="75" t="s">
        <v>4659</v>
      </c>
      <c r="B89" s="75" t="s">
        <v>4660</v>
      </c>
      <c r="C89" s="75" t="s">
        <v>4661</v>
      </c>
    </row>
    <row r="90" spans="1:3" ht="14.25">
      <c r="A90" s="75" t="s">
        <v>4662</v>
      </c>
      <c r="B90" s="75" t="s">
        <v>4663</v>
      </c>
      <c r="C90" s="75" t="s">
        <v>4510</v>
      </c>
    </row>
    <row r="91" spans="1:3" ht="14.25">
      <c r="A91" s="75" t="s">
        <v>4664</v>
      </c>
      <c r="B91" s="75" t="s">
        <v>4665</v>
      </c>
      <c r="C91" s="75" t="s">
        <v>4666</v>
      </c>
    </row>
    <row r="92" spans="1:3" ht="14.25">
      <c r="A92" s="75" t="s">
        <v>4664</v>
      </c>
      <c r="B92" s="75" t="s">
        <v>4665</v>
      </c>
      <c r="C92" s="75" t="s">
        <v>4666</v>
      </c>
    </row>
    <row r="93" spans="1:3" ht="14.25">
      <c r="A93" s="75" t="s">
        <v>4667</v>
      </c>
      <c r="B93" s="75" t="s">
        <v>4665</v>
      </c>
      <c r="C93" s="75" t="s">
        <v>4666</v>
      </c>
    </row>
    <row r="94" spans="1:3" ht="14.25">
      <c r="A94" s="75" t="s">
        <v>4667</v>
      </c>
      <c r="B94" s="75" t="s">
        <v>4665</v>
      </c>
      <c r="C94" s="75" t="s">
        <v>4666</v>
      </c>
    </row>
    <row r="95" spans="1:3" ht="14.25">
      <c r="A95" s="75" t="s">
        <v>4667</v>
      </c>
      <c r="B95" s="75" t="s">
        <v>4665</v>
      </c>
      <c r="C95" s="75" t="s">
        <v>4666</v>
      </c>
    </row>
    <row r="96" spans="1:3" ht="14.25">
      <c r="A96" s="75" t="s">
        <v>4668</v>
      </c>
      <c r="B96" s="75" t="s">
        <v>4669</v>
      </c>
      <c r="C96" s="75" t="s">
        <v>4670</v>
      </c>
    </row>
    <row r="97" spans="1:3" ht="14.25">
      <c r="A97" s="75" t="s">
        <v>4671</v>
      </c>
      <c r="B97" s="75" t="s">
        <v>4669</v>
      </c>
      <c r="C97" s="75"/>
    </row>
    <row r="98" spans="1:3" ht="14.25">
      <c r="A98" s="75" t="s">
        <v>4672</v>
      </c>
      <c r="B98" s="75" t="s">
        <v>4673</v>
      </c>
      <c r="C98" s="75" t="s">
        <v>4674</v>
      </c>
    </row>
    <row r="99" spans="1:3" ht="14.25">
      <c r="A99" s="75" t="s">
        <v>4675</v>
      </c>
      <c r="B99" s="75" t="s">
        <v>4676</v>
      </c>
      <c r="C99" s="75" t="s">
        <v>4677</v>
      </c>
    </row>
    <row r="100" spans="1:3" ht="14.25">
      <c r="A100" s="75" t="s">
        <v>4386</v>
      </c>
      <c r="B100" s="75" t="s">
        <v>4386</v>
      </c>
      <c r="C100" s="75" t="s">
        <v>4678</v>
      </c>
    </row>
    <row r="101" spans="1:3" ht="14.25">
      <c r="A101" s="75" t="s">
        <v>4392</v>
      </c>
      <c r="B101" s="75" t="s">
        <v>4392</v>
      </c>
      <c r="C101" s="75" t="s">
        <v>4679</v>
      </c>
    </row>
    <row r="102" spans="1:3" ht="14.25">
      <c r="A102" s="75" t="s">
        <v>4394</v>
      </c>
      <c r="B102" s="75" t="s">
        <v>4394</v>
      </c>
      <c r="C102" s="75" t="s">
        <v>4680</v>
      </c>
    </row>
    <row r="103" spans="1:3" ht="14.25">
      <c r="A103" s="75" t="s">
        <v>4681</v>
      </c>
      <c r="B103" s="75" t="s">
        <v>4681</v>
      </c>
      <c r="C103" s="75" t="s">
        <v>4682</v>
      </c>
    </row>
    <row r="104" spans="1:3" ht="14.25">
      <c r="A104" s="75" t="s">
        <v>4396</v>
      </c>
      <c r="B104" s="75" t="s">
        <v>4396</v>
      </c>
      <c r="C104" s="75" t="s">
        <v>4683</v>
      </c>
    </row>
    <row r="105" spans="1:3" ht="14.25">
      <c r="A105" s="75" t="s">
        <v>4398</v>
      </c>
      <c r="B105" s="75" t="s">
        <v>4398</v>
      </c>
      <c r="C105" s="75" t="s">
        <v>4684</v>
      </c>
    </row>
    <row r="106" spans="1:3" ht="14.25">
      <c r="A106" s="75" t="s">
        <v>4400</v>
      </c>
      <c r="B106" s="75" t="s">
        <v>4400</v>
      </c>
      <c r="C106" s="75" t="s">
        <v>4685</v>
      </c>
    </row>
    <row r="107" spans="1:3" ht="14.25">
      <c r="A107" s="75" t="s">
        <v>4402</v>
      </c>
      <c r="B107" s="75" t="s">
        <v>4402</v>
      </c>
      <c r="C107" s="75" t="s">
        <v>4686</v>
      </c>
    </row>
    <row r="108" spans="1:3" ht="14.25">
      <c r="A108" s="75" t="s">
        <v>4403</v>
      </c>
      <c r="B108" s="75" t="s">
        <v>4403</v>
      </c>
      <c r="C108" s="75" t="s">
        <v>4687</v>
      </c>
    </row>
    <row r="109" spans="1:3" ht="14.25">
      <c r="A109" s="75" t="s">
        <v>4405</v>
      </c>
      <c r="B109" s="75" t="s">
        <v>4405</v>
      </c>
      <c r="C109" s="75" t="s">
        <v>4688</v>
      </c>
    </row>
    <row r="110" spans="1:3" ht="14.25">
      <c r="A110" s="75" t="s">
        <v>4689</v>
      </c>
      <c r="B110" s="75" t="s">
        <v>4690</v>
      </c>
      <c r="C110" s="75" t="s">
        <v>4691</v>
      </c>
    </row>
    <row r="111" spans="1:3" ht="14.25">
      <c r="A111" s="75" t="s">
        <v>4406</v>
      </c>
      <c r="B111" s="75" t="s">
        <v>4406</v>
      </c>
      <c r="C111" s="75" t="s">
        <v>4692</v>
      </c>
    </row>
    <row r="112" spans="1:3" ht="14.25">
      <c r="A112" s="75" t="s">
        <v>4407</v>
      </c>
      <c r="B112" s="75" t="s">
        <v>4407</v>
      </c>
      <c r="C112" s="75" t="s">
        <v>4693</v>
      </c>
    </row>
    <row r="113" spans="1:3" ht="14.25">
      <c r="A113" s="75" t="s">
        <v>4694</v>
      </c>
      <c r="B113" s="75" t="s">
        <v>4694</v>
      </c>
      <c r="C113" s="75" t="s">
        <v>4695</v>
      </c>
    </row>
    <row r="114" spans="1:3" ht="14.25">
      <c r="A114" s="75" t="s">
        <v>4409</v>
      </c>
      <c r="B114" s="75" t="s">
        <v>4409</v>
      </c>
      <c r="C114" s="75" t="s">
        <v>4696</v>
      </c>
    </row>
    <row r="115" spans="1:3" ht="14.25">
      <c r="A115" s="75" t="s">
        <v>4697</v>
      </c>
      <c r="B115" s="75" t="s">
        <v>4697</v>
      </c>
      <c r="C115" s="75" t="s">
        <v>4698</v>
      </c>
    </row>
    <row r="116" spans="1:3" ht="14.25">
      <c r="A116" s="75" t="s">
        <v>4697</v>
      </c>
      <c r="B116" s="75" t="s">
        <v>4697</v>
      </c>
      <c r="C116" s="75" t="s">
        <v>4699</v>
      </c>
    </row>
    <row r="117" spans="1:3" ht="14.25">
      <c r="A117" s="75" t="s">
        <v>4411</v>
      </c>
      <c r="B117" s="75" t="s">
        <v>4411</v>
      </c>
      <c r="C117" s="75" t="s">
        <v>4700</v>
      </c>
    </row>
    <row r="118" spans="1:3" ht="14.25">
      <c r="A118" s="75" t="s">
        <v>4413</v>
      </c>
      <c r="B118" s="75" t="s">
        <v>4413</v>
      </c>
      <c r="C118" s="75" t="s">
        <v>4701</v>
      </c>
    </row>
    <row r="119" spans="1:3" ht="14.25">
      <c r="A119" s="75" t="s">
        <v>4415</v>
      </c>
      <c r="B119" s="75" t="s">
        <v>4415</v>
      </c>
      <c r="C119" s="75" t="s">
        <v>4702</v>
      </c>
    </row>
    <row r="120" spans="1:3" ht="14.25">
      <c r="A120" s="75" t="s">
        <v>4417</v>
      </c>
      <c r="B120" s="75" t="s">
        <v>4417</v>
      </c>
      <c r="C120" s="75" t="s">
        <v>4703</v>
      </c>
    </row>
    <row r="121" spans="1:3" ht="14.25">
      <c r="A121" s="75" t="s">
        <v>4419</v>
      </c>
      <c r="B121" s="75" t="s">
        <v>4419</v>
      </c>
      <c r="C121" s="75" t="s">
        <v>4704</v>
      </c>
    </row>
    <row r="122" spans="1:3" ht="14.25">
      <c r="A122" s="75" t="s">
        <v>4705</v>
      </c>
      <c r="B122" s="75" t="s">
        <v>4706</v>
      </c>
      <c r="C122" s="75" t="s">
        <v>4707</v>
      </c>
    </row>
    <row r="123" spans="1:3" ht="14.25">
      <c r="A123" s="75" t="s">
        <v>4708</v>
      </c>
      <c r="B123" s="75" t="s">
        <v>4708</v>
      </c>
      <c r="C123" s="75" t="s">
        <v>4709</v>
      </c>
    </row>
    <row r="124" spans="1:3" ht="14.25">
      <c r="A124" s="75" t="s">
        <v>4421</v>
      </c>
      <c r="B124" s="75" t="s">
        <v>4421</v>
      </c>
      <c r="C124" s="75" t="s">
        <v>4710</v>
      </c>
    </row>
    <row r="125" spans="1:3" ht="14.25">
      <c r="A125" s="75" t="s">
        <v>4711</v>
      </c>
      <c r="B125" s="75" t="s">
        <v>4711</v>
      </c>
      <c r="C125" s="75" t="s">
        <v>4712</v>
      </c>
    </row>
    <row r="126" spans="1:3" ht="14.25">
      <c r="A126" s="75" t="s">
        <v>4713</v>
      </c>
      <c r="B126" s="75" t="s">
        <v>4713</v>
      </c>
      <c r="C126" s="75" t="s">
        <v>4714</v>
      </c>
    </row>
    <row r="127" spans="1:3" ht="14.25">
      <c r="A127" s="75" t="s">
        <v>4423</v>
      </c>
      <c r="B127" s="75" t="s">
        <v>4423</v>
      </c>
      <c r="C127" s="75" t="s">
        <v>4715</v>
      </c>
    </row>
    <row r="128" spans="1:3" ht="14.25">
      <c r="A128" s="75" t="s">
        <v>4716</v>
      </c>
      <c r="B128" s="75" t="s">
        <v>4716</v>
      </c>
      <c r="C128" s="75" t="s">
        <v>4717</v>
      </c>
    </row>
    <row r="129" spans="1:3" ht="14.25">
      <c r="A129" s="75" t="s">
        <v>4718</v>
      </c>
      <c r="B129" s="75" t="s">
        <v>4718</v>
      </c>
      <c r="C129" s="75" t="s">
        <v>4714</v>
      </c>
    </row>
    <row r="130" spans="1:3" ht="14.25">
      <c r="A130" s="75" t="s">
        <v>4719</v>
      </c>
      <c r="B130" s="75" t="s">
        <v>4720</v>
      </c>
      <c r="C130" s="75" t="s">
        <v>4721</v>
      </c>
    </row>
    <row r="131" spans="1:3" ht="14.25">
      <c r="A131" s="75" t="s">
        <v>4425</v>
      </c>
      <c r="B131" s="75" t="s">
        <v>4425</v>
      </c>
      <c r="C131" s="75" t="s">
        <v>4722</v>
      </c>
    </row>
    <row r="132" spans="1:3" ht="14.25">
      <c r="A132" s="75" t="s">
        <v>4723</v>
      </c>
      <c r="B132" s="75" t="s">
        <v>4723</v>
      </c>
      <c r="C132" s="75" t="s">
        <v>4724</v>
      </c>
    </row>
    <row r="133" spans="1:3" ht="14.25">
      <c r="A133" s="75" t="s">
        <v>4725</v>
      </c>
      <c r="B133" s="75" t="s">
        <v>4725</v>
      </c>
      <c r="C133" s="75" t="s">
        <v>4726</v>
      </c>
    </row>
    <row r="134" spans="1:3" ht="14.25">
      <c r="A134" s="75" t="s">
        <v>4427</v>
      </c>
      <c r="B134" s="75" t="s">
        <v>4427</v>
      </c>
      <c r="C134" s="75" t="s">
        <v>4727</v>
      </c>
    </row>
    <row r="135" spans="1:3" ht="14.25">
      <c r="A135" s="75" t="s">
        <v>4728</v>
      </c>
      <c r="B135" s="75" t="s">
        <v>4728</v>
      </c>
      <c r="C135" s="75" t="s">
        <v>4729</v>
      </c>
    </row>
    <row r="136" spans="1:3" ht="14.25">
      <c r="A136" s="75" t="s">
        <v>4730</v>
      </c>
      <c r="B136" s="75" t="s">
        <v>4730</v>
      </c>
      <c r="C136" s="75" t="s">
        <v>4731</v>
      </c>
    </row>
    <row r="137" spans="1:3" ht="14.25">
      <c r="A137" s="75" t="s">
        <v>4429</v>
      </c>
      <c r="B137" s="75" t="s">
        <v>4429</v>
      </c>
      <c r="C137" s="75" t="s">
        <v>4732</v>
      </c>
    </row>
    <row r="138" spans="1:3" ht="14.25">
      <c r="A138" s="75" t="s">
        <v>4733</v>
      </c>
      <c r="B138" s="75" t="s">
        <v>4733</v>
      </c>
      <c r="C138" s="75" t="s">
        <v>4734</v>
      </c>
    </row>
    <row r="139" spans="1:3" ht="14.25">
      <c r="A139" s="75" t="s">
        <v>4735</v>
      </c>
      <c r="B139" s="75" t="s">
        <v>4735</v>
      </c>
      <c r="C139" s="75" t="s">
        <v>4736</v>
      </c>
    </row>
    <row r="140" spans="1:3" ht="14.25">
      <c r="A140" s="75" t="s">
        <v>4431</v>
      </c>
      <c r="B140" s="75" t="s">
        <v>4431</v>
      </c>
      <c r="C140" s="75" t="s">
        <v>4737</v>
      </c>
    </row>
    <row r="141" spans="1:3" ht="14.25">
      <c r="A141" s="75" t="s">
        <v>4738</v>
      </c>
      <c r="B141" s="75" t="s">
        <v>4738</v>
      </c>
      <c r="C141" s="75" t="s">
        <v>4739</v>
      </c>
    </row>
    <row r="142" spans="1:3" ht="14.25">
      <c r="A142" s="75" t="s">
        <v>4740</v>
      </c>
      <c r="B142" s="75" t="s">
        <v>4740</v>
      </c>
      <c r="C142" s="75" t="s">
        <v>4741</v>
      </c>
    </row>
    <row r="143" spans="1:3" ht="14.25">
      <c r="A143" s="75" t="s">
        <v>4433</v>
      </c>
      <c r="B143" s="75" t="s">
        <v>4433</v>
      </c>
      <c r="C143" s="75" t="s">
        <v>4742</v>
      </c>
    </row>
    <row r="144" spans="1:3" ht="14.25">
      <c r="A144" s="75" t="s">
        <v>4743</v>
      </c>
      <c r="B144" s="75" t="s">
        <v>4743</v>
      </c>
      <c r="C144" s="75" t="s">
        <v>4744</v>
      </c>
    </row>
    <row r="145" spans="1:3" ht="14.25">
      <c r="A145" s="75" t="s">
        <v>4745</v>
      </c>
      <c r="B145" s="75" t="s">
        <v>4745</v>
      </c>
      <c r="C145" s="75" t="s">
        <v>4746</v>
      </c>
    </row>
    <row r="146" spans="1:3" ht="14.25">
      <c r="A146" s="75" t="s">
        <v>4435</v>
      </c>
      <c r="B146" s="75" t="s">
        <v>4435</v>
      </c>
      <c r="C146" s="75" t="s">
        <v>4747</v>
      </c>
    </row>
    <row r="147" spans="1:3" ht="14.25">
      <c r="A147" s="75" t="s">
        <v>4748</v>
      </c>
      <c r="B147" s="75" t="s">
        <v>4748</v>
      </c>
      <c r="C147" s="75" t="s">
        <v>4749</v>
      </c>
    </row>
    <row r="148" spans="1:3" ht="14.25">
      <c r="A148" s="75" t="s">
        <v>4437</v>
      </c>
      <c r="B148" s="75" t="s">
        <v>4437</v>
      </c>
      <c r="C148" s="75" t="s">
        <v>4750</v>
      </c>
    </row>
    <row r="149" spans="1:3" ht="14.25">
      <c r="A149" s="75" t="s">
        <v>4751</v>
      </c>
      <c r="B149" s="75" t="s">
        <v>4751</v>
      </c>
      <c r="C149" s="75" t="s">
        <v>4752</v>
      </c>
    </row>
    <row r="150" spans="1:3" ht="14.25">
      <c r="A150" s="75" t="s">
        <v>4439</v>
      </c>
      <c r="B150" s="75" t="s">
        <v>4439</v>
      </c>
      <c r="C150" s="75" t="s">
        <v>4753</v>
      </c>
    </row>
    <row r="151" spans="1:3" ht="14.25">
      <c r="A151" s="75" t="s">
        <v>4754</v>
      </c>
      <c r="B151" s="75" t="s">
        <v>4754</v>
      </c>
      <c r="C151" s="75" t="s">
        <v>4755</v>
      </c>
    </row>
    <row r="152" spans="1:3" ht="14.25">
      <c r="A152" s="75" t="s">
        <v>4441</v>
      </c>
      <c r="B152" s="75" t="s">
        <v>4441</v>
      </c>
      <c r="C152" s="75" t="s">
        <v>4756</v>
      </c>
    </row>
    <row r="153" spans="1:3" ht="14.25">
      <c r="A153" s="75" t="s">
        <v>4757</v>
      </c>
      <c r="B153" s="75" t="s">
        <v>4757</v>
      </c>
      <c r="C153" s="75" t="s">
        <v>4758</v>
      </c>
    </row>
    <row r="154" spans="1:3" ht="14.25">
      <c r="A154" s="75" t="s">
        <v>4443</v>
      </c>
      <c r="B154" s="75" t="s">
        <v>4443</v>
      </c>
      <c r="C154" s="75" t="s">
        <v>4759</v>
      </c>
    </row>
    <row r="155" spans="1:3" ht="14.25">
      <c r="A155" s="75" t="s">
        <v>4760</v>
      </c>
      <c r="B155" s="75" t="s">
        <v>4761</v>
      </c>
      <c r="C155" s="75" t="s">
        <v>4762</v>
      </c>
    </row>
    <row r="156" spans="1:3" ht="14.25">
      <c r="A156" s="75" t="s">
        <v>4446</v>
      </c>
      <c r="B156" s="75" t="s">
        <v>4446</v>
      </c>
      <c r="C156" s="75" t="s">
        <v>4763</v>
      </c>
    </row>
    <row r="157" spans="1:3" ht="14.25">
      <c r="A157" s="75" t="s">
        <v>4447</v>
      </c>
      <c r="B157" s="75" t="s">
        <v>4447</v>
      </c>
      <c r="C157" s="75" t="s">
        <v>4764</v>
      </c>
    </row>
    <row r="158" spans="1:3" ht="14.25">
      <c r="A158" s="75" t="s">
        <v>4448</v>
      </c>
      <c r="B158" s="75" t="s">
        <v>4448</v>
      </c>
      <c r="C158" s="75" t="s">
        <v>4765</v>
      </c>
    </row>
    <row r="159" spans="1:3" ht="14.25">
      <c r="A159" s="75" t="s">
        <v>4449</v>
      </c>
      <c r="B159" s="75" t="s">
        <v>4449</v>
      </c>
      <c r="C159" s="75" t="s">
        <v>4766</v>
      </c>
    </row>
    <row r="160" spans="1:3" ht="14.25">
      <c r="A160" s="75" t="s">
        <v>4451</v>
      </c>
      <c r="B160" s="75" t="s">
        <v>4451</v>
      </c>
      <c r="C160" s="75" t="s">
        <v>4767</v>
      </c>
    </row>
    <row r="161" spans="1:3" ht="14.25">
      <c r="A161" s="75" t="s">
        <v>4453</v>
      </c>
      <c r="B161" s="75" t="s">
        <v>4453</v>
      </c>
      <c r="C161" s="75" t="s">
        <v>4768</v>
      </c>
    </row>
    <row r="162" spans="1:3" ht="14.25">
      <c r="A162" s="75" t="s">
        <v>4455</v>
      </c>
      <c r="B162" s="75" t="s">
        <v>4455</v>
      </c>
      <c r="C162" s="75" t="s">
        <v>4769</v>
      </c>
    </row>
    <row r="163" spans="1:3" ht="14.25">
      <c r="A163" s="75" t="s">
        <v>4456</v>
      </c>
      <c r="B163" s="75" t="s">
        <v>4456</v>
      </c>
      <c r="C163" s="75" t="s">
        <v>4770</v>
      </c>
    </row>
    <row r="164" spans="1:3" ht="14.25">
      <c r="A164" s="75" t="s">
        <v>4458</v>
      </c>
      <c r="B164" s="75" t="s">
        <v>4458</v>
      </c>
      <c r="C164" s="75" t="s">
        <v>4771</v>
      </c>
    </row>
    <row r="165" spans="1:3" ht="14.25">
      <c r="A165" s="75" t="s">
        <v>4460</v>
      </c>
      <c r="B165" s="75" t="s">
        <v>4460</v>
      </c>
      <c r="C165" s="75" t="s">
        <v>4772</v>
      </c>
    </row>
    <row r="166" spans="1:3" ht="14.25">
      <c r="A166" s="75" t="s">
        <v>4773</v>
      </c>
      <c r="B166" s="75" t="s">
        <v>4774</v>
      </c>
      <c r="C166" s="75" t="s">
        <v>4775</v>
      </c>
    </row>
    <row r="167" spans="1:3" ht="14.25">
      <c r="A167" s="75" t="s">
        <v>4462</v>
      </c>
      <c r="B167" s="75" t="s">
        <v>4462</v>
      </c>
      <c r="C167" s="75" t="s">
        <v>4776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outlinePr summaryBelow="0" summaryRight="0"/>
  </sheetPr>
  <dimension ref="A1:AF1023"/>
  <sheetViews>
    <sheetView workbookViewId="0"/>
  </sheetViews>
  <sheetFormatPr defaultColWidth="14.3984375" defaultRowHeight="15.75" customHeight="1"/>
  <cols>
    <col min="1" max="1" width="3.1328125" customWidth="1"/>
    <col min="10" max="10" width="24" customWidth="1"/>
    <col min="24" max="24" width="23.1328125" customWidth="1"/>
  </cols>
  <sheetData>
    <row r="1" spans="1:32" ht="15.75" customHeight="1">
      <c r="A1" s="84">
        <v>1</v>
      </c>
      <c r="B1" s="162" t="s">
        <v>4777</v>
      </c>
      <c r="C1" s="162" t="s">
        <v>36</v>
      </c>
      <c r="D1" s="162" t="s">
        <v>4778</v>
      </c>
      <c r="E1" s="162" t="s">
        <v>4779</v>
      </c>
      <c r="F1" s="162"/>
      <c r="G1" s="162"/>
      <c r="H1" s="162" t="s">
        <v>36</v>
      </c>
      <c r="I1" s="162" t="s">
        <v>4780</v>
      </c>
      <c r="J1" s="162" t="s">
        <v>4384</v>
      </c>
      <c r="K1" s="162" t="s">
        <v>4781</v>
      </c>
      <c r="L1" s="162" t="s">
        <v>4782</v>
      </c>
      <c r="M1" s="163"/>
      <c r="N1" s="162" t="s">
        <v>4783</v>
      </c>
      <c r="O1" s="163"/>
      <c r="P1" s="162" t="s">
        <v>4784</v>
      </c>
      <c r="Q1" s="163"/>
      <c r="R1" s="162" t="s">
        <v>4785</v>
      </c>
      <c r="S1" s="163"/>
      <c r="T1" s="162" t="s">
        <v>4786</v>
      </c>
      <c r="U1" s="163"/>
      <c r="V1" s="162" t="s">
        <v>2041</v>
      </c>
      <c r="W1" s="163"/>
      <c r="X1" s="162" t="s">
        <v>4787</v>
      </c>
      <c r="Y1" s="163"/>
      <c r="Z1" s="163"/>
      <c r="AA1" s="163"/>
      <c r="AB1" s="163"/>
      <c r="AC1" s="163"/>
      <c r="AD1" s="163"/>
      <c r="AE1" s="163"/>
      <c r="AF1" s="163"/>
    </row>
    <row r="2" spans="1:32" ht="15.75" customHeight="1">
      <c r="A2" s="84">
        <v>2</v>
      </c>
      <c r="B2" s="76" t="s">
        <v>4788</v>
      </c>
      <c r="C2" s="85" t="s">
        <v>1393</v>
      </c>
      <c r="D2" s="77">
        <v>1</v>
      </c>
      <c r="E2" s="86" t="s">
        <v>4789</v>
      </c>
      <c r="F2" s="84"/>
      <c r="G2" s="84"/>
      <c r="H2" s="78" t="s">
        <v>1393</v>
      </c>
      <c r="I2" s="79" t="s">
        <v>3216</v>
      </c>
      <c r="J2" s="79" t="s">
        <v>4790</v>
      </c>
      <c r="K2" s="80" t="s">
        <v>4791</v>
      </c>
      <c r="L2" s="81" t="s">
        <v>4792</v>
      </c>
      <c r="M2" s="186" t="s">
        <v>4793</v>
      </c>
      <c r="N2" s="81" t="s">
        <v>4792</v>
      </c>
      <c r="O2" s="186" t="s">
        <v>4793</v>
      </c>
      <c r="P2" s="81" t="s">
        <v>4792</v>
      </c>
      <c r="Q2" s="186" t="s">
        <v>4793</v>
      </c>
      <c r="R2" s="81" t="s">
        <v>4792</v>
      </c>
      <c r="S2" s="186" t="s">
        <v>4793</v>
      </c>
      <c r="T2" s="81" t="s">
        <v>4792</v>
      </c>
      <c r="U2" s="186" t="s">
        <v>4793</v>
      </c>
      <c r="V2" s="81" t="s">
        <v>4792</v>
      </c>
      <c r="W2" s="186" t="s">
        <v>4793</v>
      </c>
      <c r="X2" s="186" t="s">
        <v>4794</v>
      </c>
      <c r="Y2" s="186" t="s">
        <v>4793</v>
      </c>
      <c r="Z2" s="184"/>
      <c r="AA2" s="184"/>
      <c r="AB2" s="184"/>
      <c r="AC2" s="184"/>
      <c r="AD2" s="184"/>
      <c r="AE2" s="184"/>
      <c r="AF2" s="184"/>
    </row>
    <row r="3" spans="1:32" ht="15.75" customHeight="1">
      <c r="A3" s="84">
        <v>3</v>
      </c>
      <c r="B3" s="82" t="s">
        <v>4795</v>
      </c>
      <c r="C3" s="186" t="s">
        <v>1393</v>
      </c>
      <c r="D3" s="83">
        <v>2</v>
      </c>
      <c r="E3" s="87" t="s">
        <v>4789</v>
      </c>
      <c r="F3" s="84"/>
      <c r="G3" s="84"/>
      <c r="H3" s="108" t="s">
        <v>155</v>
      </c>
      <c r="I3" s="85" t="s">
        <v>3228</v>
      </c>
      <c r="J3" s="85" t="s">
        <v>4796</v>
      </c>
      <c r="K3" s="86" t="s">
        <v>4797</v>
      </c>
      <c r="L3" s="153"/>
      <c r="M3" s="81">
        <v>0</v>
      </c>
      <c r="N3" s="81">
        <v>1</v>
      </c>
      <c r="O3" s="81">
        <v>0</v>
      </c>
      <c r="P3" s="81">
        <v>1</v>
      </c>
      <c r="Q3" s="81" t="s">
        <v>4798</v>
      </c>
      <c r="R3" s="81">
        <v>1</v>
      </c>
      <c r="S3" s="81">
        <v>0</v>
      </c>
      <c r="T3" s="81">
        <v>1</v>
      </c>
      <c r="U3" s="81">
        <v>0</v>
      </c>
      <c r="V3" s="81" t="s">
        <v>4799</v>
      </c>
      <c r="W3" s="81">
        <v>0</v>
      </c>
      <c r="X3" s="81">
        <v>0</v>
      </c>
      <c r="Y3" s="81">
        <v>0</v>
      </c>
      <c r="Z3" s="184"/>
      <c r="AA3" s="184"/>
      <c r="AB3" s="184"/>
      <c r="AC3" s="184"/>
      <c r="AD3" s="184"/>
      <c r="AE3" s="184"/>
      <c r="AF3" s="184"/>
    </row>
    <row r="4" spans="1:32" ht="15.75" customHeight="1">
      <c r="A4" s="84">
        <v>4</v>
      </c>
      <c r="B4" s="82" t="s">
        <v>4800</v>
      </c>
      <c r="C4" s="186" t="s">
        <v>1393</v>
      </c>
      <c r="D4" s="83">
        <v>3</v>
      </c>
      <c r="E4" s="87" t="s">
        <v>4789</v>
      </c>
      <c r="F4" s="84"/>
      <c r="G4" s="84"/>
      <c r="H4" s="91" t="s">
        <v>1398</v>
      </c>
      <c r="I4" s="186" t="s">
        <v>4445</v>
      </c>
      <c r="J4" s="186" t="s">
        <v>4801</v>
      </c>
      <c r="K4" s="87" t="s">
        <v>4802</v>
      </c>
      <c r="L4" s="184"/>
      <c r="M4" s="186">
        <v>1</v>
      </c>
      <c r="N4" s="186">
        <v>2</v>
      </c>
      <c r="O4" s="186">
        <v>1</v>
      </c>
      <c r="P4" s="186">
        <v>2</v>
      </c>
      <c r="Q4" s="186" t="s">
        <v>4803</v>
      </c>
      <c r="R4" s="186">
        <v>2</v>
      </c>
      <c r="S4" s="186">
        <v>1</v>
      </c>
      <c r="T4" s="186">
        <v>2</v>
      </c>
      <c r="U4" s="186">
        <v>1</v>
      </c>
      <c r="V4" s="186" t="s">
        <v>4804</v>
      </c>
      <c r="W4" s="186">
        <v>1</v>
      </c>
      <c r="X4" s="186">
        <v>1</v>
      </c>
      <c r="Y4" s="186">
        <v>1</v>
      </c>
      <c r="Z4" s="184"/>
      <c r="AA4" s="184"/>
      <c r="AB4" s="184"/>
      <c r="AC4" s="184"/>
      <c r="AD4" s="184"/>
      <c r="AE4" s="184"/>
      <c r="AF4" s="184"/>
    </row>
    <row r="5" spans="1:32" ht="15.75" customHeight="1">
      <c r="A5" s="84">
        <v>5</v>
      </c>
      <c r="B5" s="82" t="s">
        <v>4805</v>
      </c>
      <c r="C5" s="186" t="s">
        <v>1393</v>
      </c>
      <c r="D5" s="83">
        <v>4</v>
      </c>
      <c r="E5" s="87" t="s">
        <v>4789</v>
      </c>
      <c r="F5" s="84"/>
      <c r="G5" s="84"/>
      <c r="H5" s="88" t="s">
        <v>1450</v>
      </c>
      <c r="I5" s="73" t="s">
        <v>4499</v>
      </c>
      <c r="J5" s="73" t="s">
        <v>4790</v>
      </c>
      <c r="K5" s="89" t="s">
        <v>4806</v>
      </c>
      <c r="L5" s="184"/>
      <c r="M5" s="186">
        <v>2</v>
      </c>
      <c r="N5" s="186">
        <v>3</v>
      </c>
      <c r="O5" s="186">
        <v>2</v>
      </c>
      <c r="P5" s="186">
        <v>3</v>
      </c>
      <c r="Q5" s="186" t="s">
        <v>4807</v>
      </c>
      <c r="R5" s="186">
        <v>3</v>
      </c>
      <c r="S5" s="186">
        <v>2</v>
      </c>
      <c r="T5" s="186">
        <v>3</v>
      </c>
      <c r="U5" s="186">
        <v>2</v>
      </c>
      <c r="V5" s="186" t="s">
        <v>4808</v>
      </c>
      <c r="W5" s="186">
        <v>2</v>
      </c>
      <c r="X5" s="186">
        <v>2</v>
      </c>
      <c r="Y5" s="186">
        <v>2</v>
      </c>
      <c r="Z5" s="184"/>
      <c r="AA5" s="184"/>
      <c r="AB5" s="184"/>
      <c r="AC5" s="184"/>
      <c r="AD5" s="184"/>
      <c r="AE5" s="184"/>
      <c r="AF5" s="184"/>
    </row>
    <row r="6" spans="1:32" ht="15.75" customHeight="1">
      <c r="A6" s="84">
        <v>6</v>
      </c>
      <c r="B6" s="82" t="s">
        <v>4809</v>
      </c>
      <c r="C6" s="186" t="s">
        <v>1393</v>
      </c>
      <c r="D6" s="83">
        <v>5</v>
      </c>
      <c r="E6" s="87" t="s">
        <v>4789</v>
      </c>
      <c r="F6" s="84"/>
      <c r="G6" s="84"/>
      <c r="H6" s="91" t="s">
        <v>1390</v>
      </c>
      <c r="I6" s="186" t="s">
        <v>3209</v>
      </c>
      <c r="J6" s="186" t="s">
        <v>4810</v>
      </c>
      <c r="K6" s="87" t="s">
        <v>4811</v>
      </c>
      <c r="L6" s="184"/>
      <c r="M6" s="186">
        <v>3</v>
      </c>
      <c r="N6" s="186">
        <v>4</v>
      </c>
      <c r="O6" s="186">
        <v>3</v>
      </c>
      <c r="P6" s="186">
        <v>4</v>
      </c>
      <c r="Q6" s="186" t="s">
        <v>4812</v>
      </c>
      <c r="R6" s="186">
        <v>4</v>
      </c>
      <c r="S6" s="186">
        <v>3</v>
      </c>
      <c r="T6" s="186">
        <v>4</v>
      </c>
      <c r="U6" s="186">
        <v>3</v>
      </c>
      <c r="V6" s="186" t="s">
        <v>4813</v>
      </c>
      <c r="W6" s="186">
        <v>3</v>
      </c>
      <c r="X6" s="186">
        <v>3</v>
      </c>
      <c r="Y6" s="186">
        <v>3</v>
      </c>
      <c r="Z6" s="184"/>
      <c r="AA6" s="184"/>
      <c r="AB6" s="184"/>
      <c r="AC6" s="184"/>
      <c r="AD6" s="184"/>
      <c r="AE6" s="184"/>
      <c r="AF6" s="184"/>
    </row>
    <row r="7" spans="1:32" ht="15.75" customHeight="1">
      <c r="A7" s="84">
        <v>7</v>
      </c>
      <c r="B7" s="90" t="s">
        <v>4814</v>
      </c>
      <c r="C7" s="186" t="s">
        <v>1393</v>
      </c>
      <c r="D7" s="83">
        <v>6</v>
      </c>
      <c r="E7" s="87" t="s">
        <v>4815</v>
      </c>
      <c r="F7" s="84"/>
      <c r="G7" s="84"/>
      <c r="H7" s="91" t="s">
        <v>4816</v>
      </c>
      <c r="I7" s="186" t="s">
        <v>3213</v>
      </c>
      <c r="J7" s="186" t="s">
        <v>4817</v>
      </c>
      <c r="K7" s="87" t="s">
        <v>4818</v>
      </c>
      <c r="L7" s="99"/>
      <c r="M7" s="186">
        <v>4</v>
      </c>
      <c r="N7" s="186">
        <v>5</v>
      </c>
      <c r="O7" s="186">
        <v>4</v>
      </c>
      <c r="P7" s="186">
        <v>5</v>
      </c>
      <c r="Q7" s="186" t="s">
        <v>4819</v>
      </c>
      <c r="R7" s="186">
        <v>5</v>
      </c>
      <c r="S7" s="186">
        <v>4</v>
      </c>
      <c r="T7" s="186">
        <v>5</v>
      </c>
      <c r="U7" s="186">
        <v>4</v>
      </c>
      <c r="V7" s="186" t="s">
        <v>4820</v>
      </c>
      <c r="W7" s="186">
        <v>4</v>
      </c>
      <c r="X7" s="186">
        <v>4</v>
      </c>
      <c r="Y7" s="186">
        <v>4</v>
      </c>
      <c r="Z7" s="184"/>
      <c r="AA7" s="184"/>
      <c r="AB7" s="184"/>
      <c r="AC7" s="184"/>
      <c r="AD7" s="184"/>
      <c r="AE7" s="184"/>
      <c r="AF7" s="184"/>
    </row>
    <row r="8" spans="1:32" ht="15.75" customHeight="1">
      <c r="A8" s="84">
        <v>8</v>
      </c>
      <c r="B8" s="90" t="s">
        <v>4821</v>
      </c>
      <c r="C8" s="186" t="s">
        <v>1393</v>
      </c>
      <c r="D8" s="83">
        <v>7</v>
      </c>
      <c r="E8" s="87" t="s">
        <v>4815</v>
      </c>
      <c r="F8" s="84"/>
      <c r="G8" s="84"/>
      <c r="H8" s="91" t="s">
        <v>1436</v>
      </c>
      <c r="I8" s="186" t="s">
        <v>4822</v>
      </c>
      <c r="J8" s="186" t="s">
        <v>4823</v>
      </c>
      <c r="K8" s="87" t="s">
        <v>4824</v>
      </c>
      <c r="L8" s="184"/>
      <c r="M8" s="186">
        <v>5</v>
      </c>
      <c r="N8" s="186">
        <v>6</v>
      </c>
      <c r="O8" s="186">
        <v>5</v>
      </c>
      <c r="P8" s="186">
        <v>6</v>
      </c>
      <c r="Q8" s="186" t="s">
        <v>4825</v>
      </c>
      <c r="R8" s="186">
        <v>6</v>
      </c>
      <c r="S8" s="186">
        <v>5</v>
      </c>
      <c r="T8" s="186">
        <v>6</v>
      </c>
      <c r="U8" s="186">
        <v>5</v>
      </c>
      <c r="V8" s="186" t="s">
        <v>4826</v>
      </c>
      <c r="W8" s="186">
        <v>5</v>
      </c>
      <c r="X8" s="186">
        <v>5</v>
      </c>
      <c r="Y8" s="186">
        <v>5</v>
      </c>
      <c r="Z8" s="184"/>
      <c r="AA8" s="184"/>
      <c r="AB8" s="184"/>
      <c r="AC8" s="184"/>
      <c r="AD8" s="184"/>
      <c r="AE8" s="184"/>
      <c r="AF8" s="184"/>
    </row>
    <row r="9" spans="1:32" ht="15.75" customHeight="1">
      <c r="A9" s="84">
        <v>9</v>
      </c>
      <c r="B9" s="92" t="s">
        <v>4827</v>
      </c>
      <c r="C9" s="182" t="s">
        <v>1393</v>
      </c>
      <c r="D9" s="164">
        <v>8</v>
      </c>
      <c r="E9" s="180" t="s">
        <v>4815</v>
      </c>
      <c r="F9" s="84"/>
      <c r="G9" s="84"/>
      <c r="H9" s="91" t="s">
        <v>138</v>
      </c>
      <c r="I9" s="186" t="s">
        <v>4467</v>
      </c>
      <c r="J9" s="186" t="s">
        <v>4828</v>
      </c>
      <c r="K9" s="87" t="s">
        <v>4829</v>
      </c>
      <c r="L9" s="184"/>
      <c r="M9" s="186">
        <v>6</v>
      </c>
      <c r="N9" s="186">
        <v>7</v>
      </c>
      <c r="O9" s="186">
        <v>6</v>
      </c>
      <c r="P9" s="186">
        <v>7</v>
      </c>
      <c r="Q9" s="186" t="s">
        <v>4830</v>
      </c>
      <c r="R9" s="186">
        <v>7</v>
      </c>
      <c r="S9" s="186">
        <v>6</v>
      </c>
      <c r="T9" s="186">
        <v>7</v>
      </c>
      <c r="U9" s="186">
        <v>6</v>
      </c>
      <c r="V9" s="186" t="s">
        <v>4831</v>
      </c>
      <c r="W9" s="186">
        <v>6</v>
      </c>
      <c r="X9" s="186">
        <v>6</v>
      </c>
      <c r="Y9" s="186">
        <v>6</v>
      </c>
      <c r="Z9" s="184"/>
      <c r="AA9" s="184"/>
      <c r="AB9" s="184"/>
      <c r="AC9" s="184"/>
      <c r="AD9" s="184"/>
      <c r="AE9" s="184"/>
      <c r="AF9" s="184"/>
    </row>
    <row r="10" spans="1:32" ht="15.75" customHeight="1">
      <c r="A10" s="84">
        <v>10</v>
      </c>
      <c r="B10" s="82" t="s">
        <v>4832</v>
      </c>
      <c r="C10" s="85" t="s">
        <v>155</v>
      </c>
      <c r="D10" s="93">
        <v>1</v>
      </c>
      <c r="E10" s="86" t="s">
        <v>4789</v>
      </c>
      <c r="F10" s="84"/>
      <c r="G10" s="84"/>
      <c r="H10" s="88" t="s">
        <v>4833</v>
      </c>
      <c r="I10" s="73" t="s">
        <v>3223</v>
      </c>
      <c r="J10" s="73" t="s">
        <v>4834</v>
      </c>
      <c r="K10" s="89" t="s">
        <v>4835</v>
      </c>
      <c r="L10" s="94"/>
      <c r="M10" s="186">
        <v>7</v>
      </c>
      <c r="N10" s="186">
        <v>8</v>
      </c>
      <c r="O10" s="186">
        <v>7</v>
      </c>
      <c r="P10" s="186">
        <v>8</v>
      </c>
      <c r="Q10" s="186" t="s">
        <v>4836</v>
      </c>
      <c r="R10" s="186">
        <v>8</v>
      </c>
      <c r="S10" s="186">
        <v>7</v>
      </c>
      <c r="T10" s="186">
        <v>8</v>
      </c>
      <c r="U10" s="186">
        <v>7</v>
      </c>
      <c r="V10" s="186" t="s">
        <v>4837</v>
      </c>
      <c r="W10" s="186">
        <v>7</v>
      </c>
      <c r="X10" s="186">
        <v>7</v>
      </c>
      <c r="Y10" s="186">
        <v>7</v>
      </c>
      <c r="Z10" s="184"/>
      <c r="AA10" s="184"/>
      <c r="AB10" s="184"/>
      <c r="AC10" s="184"/>
      <c r="AD10" s="184"/>
      <c r="AE10" s="184"/>
      <c r="AF10" s="184"/>
    </row>
    <row r="11" spans="1:32" ht="15.75" customHeight="1">
      <c r="A11" s="84">
        <v>11</v>
      </c>
      <c r="B11" s="82" t="s">
        <v>4838</v>
      </c>
      <c r="C11" s="186" t="s">
        <v>155</v>
      </c>
      <c r="D11" s="95">
        <v>2</v>
      </c>
      <c r="E11" s="87" t="s">
        <v>4789</v>
      </c>
      <c r="F11" s="84"/>
      <c r="G11" s="84"/>
      <c r="H11" s="91" t="s">
        <v>4839</v>
      </c>
      <c r="I11" s="186" t="s">
        <v>4840</v>
      </c>
      <c r="J11" s="186" t="s">
        <v>4790</v>
      </c>
      <c r="K11" s="87" t="s">
        <v>2971</v>
      </c>
      <c r="L11" s="184"/>
      <c r="M11" s="184"/>
      <c r="N11" s="186">
        <v>11</v>
      </c>
      <c r="O11" s="186">
        <v>8</v>
      </c>
      <c r="P11" s="186">
        <v>20</v>
      </c>
      <c r="Q11" s="186" t="s">
        <v>4841</v>
      </c>
      <c r="R11" s="186">
        <v>11</v>
      </c>
      <c r="S11" s="186">
        <v>8</v>
      </c>
      <c r="T11" s="186">
        <v>11</v>
      </c>
      <c r="U11" s="186">
        <v>8</v>
      </c>
      <c r="V11" s="184"/>
      <c r="W11" s="184"/>
      <c r="X11" s="186">
        <v>8</v>
      </c>
      <c r="Y11" s="186">
        <v>8</v>
      </c>
      <c r="Z11" s="184"/>
      <c r="AA11" s="184"/>
      <c r="AB11" s="184"/>
      <c r="AC11" s="184"/>
      <c r="AD11" s="184"/>
      <c r="AE11" s="184"/>
      <c r="AF11" s="184"/>
    </row>
    <row r="12" spans="1:32" ht="15.75" customHeight="1">
      <c r="A12" s="84">
        <v>12</v>
      </c>
      <c r="B12" s="82" t="s">
        <v>4842</v>
      </c>
      <c r="C12" s="186" t="s">
        <v>155</v>
      </c>
      <c r="D12" s="95">
        <v>3</v>
      </c>
      <c r="E12" s="87" t="s">
        <v>4789</v>
      </c>
      <c r="F12" s="84"/>
      <c r="G12" s="84"/>
      <c r="H12" s="91" t="s">
        <v>3501</v>
      </c>
      <c r="I12" s="186" t="s">
        <v>340</v>
      </c>
      <c r="J12" s="186" t="s">
        <v>4843</v>
      </c>
      <c r="K12" s="87" t="s">
        <v>4844</v>
      </c>
      <c r="L12" s="184"/>
      <c r="M12" s="184"/>
      <c r="N12" s="186">
        <v>12</v>
      </c>
      <c r="O12" s="186">
        <v>9</v>
      </c>
      <c r="P12" s="186">
        <v>21</v>
      </c>
      <c r="Q12" s="186" t="s">
        <v>4845</v>
      </c>
      <c r="R12" s="186">
        <v>12</v>
      </c>
      <c r="S12" s="186">
        <v>9</v>
      </c>
      <c r="T12" s="186">
        <v>12</v>
      </c>
      <c r="U12" s="186">
        <v>9</v>
      </c>
      <c r="V12" s="184"/>
      <c r="W12" s="184"/>
      <c r="X12" s="186">
        <v>9</v>
      </c>
      <c r="Y12" s="186">
        <v>9</v>
      </c>
      <c r="Z12" s="184"/>
      <c r="AA12" s="184"/>
      <c r="AB12" s="184"/>
      <c r="AC12" s="184"/>
      <c r="AD12" s="184"/>
      <c r="AE12" s="184"/>
      <c r="AF12" s="184"/>
    </row>
    <row r="13" spans="1:32" ht="15.75" customHeight="1">
      <c r="A13" s="84">
        <v>13</v>
      </c>
      <c r="B13" s="82" t="s">
        <v>4846</v>
      </c>
      <c r="C13" s="186" t="s">
        <v>155</v>
      </c>
      <c r="D13" s="95">
        <v>4</v>
      </c>
      <c r="E13" s="87" t="s">
        <v>4789</v>
      </c>
      <c r="F13" s="84"/>
      <c r="G13" s="84"/>
      <c r="H13" s="91" t="s">
        <v>3501</v>
      </c>
      <c r="I13" s="186" t="s">
        <v>343</v>
      </c>
      <c r="J13" s="186" t="s">
        <v>4847</v>
      </c>
      <c r="K13" s="87" t="s">
        <v>4848</v>
      </c>
      <c r="L13" s="99"/>
      <c r="M13" s="184"/>
      <c r="N13" s="186">
        <v>13</v>
      </c>
      <c r="O13" s="186">
        <v>10</v>
      </c>
      <c r="P13" s="186">
        <v>22</v>
      </c>
      <c r="Q13" s="186" t="s">
        <v>4849</v>
      </c>
      <c r="R13" s="186">
        <v>13</v>
      </c>
      <c r="S13" s="186">
        <v>10</v>
      </c>
      <c r="T13" s="186">
        <v>13</v>
      </c>
      <c r="U13" s="186">
        <v>10</v>
      </c>
      <c r="V13" s="184"/>
      <c r="W13" s="184"/>
      <c r="X13" s="186">
        <v>10</v>
      </c>
      <c r="Y13" s="186">
        <v>10</v>
      </c>
      <c r="Z13" s="184"/>
      <c r="AA13" s="184"/>
      <c r="AB13" s="184"/>
      <c r="AC13" s="184"/>
      <c r="AD13" s="184"/>
      <c r="AE13" s="184"/>
      <c r="AF13" s="184"/>
    </row>
    <row r="14" spans="1:32" ht="15.75" customHeight="1">
      <c r="A14" s="84">
        <v>14</v>
      </c>
      <c r="B14" s="76" t="s">
        <v>4850</v>
      </c>
      <c r="C14" s="186" t="s">
        <v>155</v>
      </c>
      <c r="D14" s="95">
        <v>5</v>
      </c>
      <c r="E14" s="87" t="s">
        <v>4789</v>
      </c>
      <c r="F14" s="84"/>
      <c r="G14" s="84"/>
      <c r="H14" s="91" t="s">
        <v>3501</v>
      </c>
      <c r="I14" s="186" t="s">
        <v>345</v>
      </c>
      <c r="J14" s="186" t="s">
        <v>4817</v>
      </c>
      <c r="K14" s="87" t="s">
        <v>4851</v>
      </c>
      <c r="L14" s="184"/>
      <c r="M14" s="184"/>
      <c r="N14" s="186">
        <v>14</v>
      </c>
      <c r="O14" s="186">
        <v>11</v>
      </c>
      <c r="P14" s="186">
        <v>23</v>
      </c>
      <c r="Q14" s="186" t="s">
        <v>4852</v>
      </c>
      <c r="R14" s="186">
        <v>14</v>
      </c>
      <c r="S14" s="186">
        <v>11</v>
      </c>
      <c r="T14" s="186">
        <v>14</v>
      </c>
      <c r="U14" s="186">
        <v>11</v>
      </c>
      <c r="V14" s="184"/>
      <c r="W14" s="184"/>
      <c r="X14" s="186">
        <v>11</v>
      </c>
      <c r="Y14" s="186">
        <v>11</v>
      </c>
      <c r="Z14" s="184"/>
      <c r="AA14" s="184"/>
      <c r="AB14" s="184"/>
      <c r="AC14" s="184"/>
      <c r="AD14" s="184"/>
      <c r="AE14" s="184"/>
      <c r="AF14" s="184"/>
    </row>
    <row r="15" spans="1:32" ht="15.75" customHeight="1">
      <c r="A15" s="84">
        <v>15</v>
      </c>
      <c r="B15" s="82" t="s">
        <v>4853</v>
      </c>
      <c r="C15" s="186" t="s">
        <v>155</v>
      </c>
      <c r="D15" s="95">
        <v>6</v>
      </c>
      <c r="E15" s="87" t="s">
        <v>4789</v>
      </c>
      <c r="F15" s="84"/>
      <c r="G15" s="84"/>
      <c r="H15" s="91" t="s">
        <v>3501</v>
      </c>
      <c r="I15" s="186" t="s">
        <v>347</v>
      </c>
      <c r="J15" s="186" t="s">
        <v>4854</v>
      </c>
      <c r="K15" s="87" t="s">
        <v>4855</v>
      </c>
      <c r="L15" s="184"/>
      <c r="M15" s="184"/>
      <c r="N15" s="186">
        <v>15</v>
      </c>
      <c r="O15" s="186">
        <v>12</v>
      </c>
      <c r="P15" s="186">
        <v>24</v>
      </c>
      <c r="Q15" s="186" t="s">
        <v>4856</v>
      </c>
      <c r="R15" s="186">
        <v>15</v>
      </c>
      <c r="S15" s="186">
        <v>12</v>
      </c>
      <c r="T15" s="186">
        <v>15</v>
      </c>
      <c r="U15" s="186">
        <v>12</v>
      </c>
      <c r="V15" s="184"/>
      <c r="W15" s="184"/>
      <c r="X15" s="186">
        <v>12</v>
      </c>
      <c r="Y15" s="186">
        <v>12</v>
      </c>
      <c r="Z15" s="184"/>
      <c r="AA15" s="184"/>
      <c r="AB15" s="184"/>
      <c r="AC15" s="184"/>
      <c r="AD15" s="184"/>
      <c r="AE15" s="184"/>
      <c r="AF15" s="184"/>
    </row>
    <row r="16" spans="1:32" ht="15.75" customHeight="1">
      <c r="A16" s="84">
        <v>16</v>
      </c>
      <c r="B16" s="82" t="s">
        <v>4857</v>
      </c>
      <c r="C16" s="186" t="s">
        <v>155</v>
      </c>
      <c r="D16" s="95">
        <v>7</v>
      </c>
      <c r="E16" s="87" t="s">
        <v>4789</v>
      </c>
      <c r="F16" s="84"/>
      <c r="G16" s="84"/>
      <c r="H16" s="91" t="s">
        <v>3501</v>
      </c>
      <c r="I16" s="186" t="s">
        <v>556</v>
      </c>
      <c r="J16" s="186" t="s">
        <v>4858</v>
      </c>
      <c r="K16" s="87" t="s">
        <v>4859</v>
      </c>
      <c r="L16" s="184"/>
      <c r="M16" s="184"/>
      <c r="N16" s="186">
        <v>16</v>
      </c>
      <c r="O16" s="186">
        <v>13</v>
      </c>
      <c r="P16" s="186">
        <v>25</v>
      </c>
      <c r="Q16" s="186" t="s">
        <v>4860</v>
      </c>
      <c r="R16" s="186">
        <v>16</v>
      </c>
      <c r="S16" s="186">
        <v>13</v>
      </c>
      <c r="T16" s="186">
        <v>16</v>
      </c>
      <c r="U16" s="186">
        <v>13</v>
      </c>
      <c r="V16" s="184"/>
      <c r="W16" s="184"/>
      <c r="X16" s="186">
        <v>13</v>
      </c>
      <c r="Y16" s="186">
        <v>13</v>
      </c>
      <c r="Z16" s="184"/>
      <c r="AA16" s="184"/>
      <c r="AB16" s="184"/>
      <c r="AC16" s="184"/>
      <c r="AD16" s="184"/>
      <c r="AE16" s="184"/>
      <c r="AF16" s="184"/>
    </row>
    <row r="17" spans="1:25" ht="15.75" customHeight="1">
      <c r="A17" s="84">
        <v>17</v>
      </c>
      <c r="B17" s="92" t="s">
        <v>4861</v>
      </c>
      <c r="C17" s="182" t="s">
        <v>155</v>
      </c>
      <c r="D17" s="164">
        <v>8</v>
      </c>
      <c r="E17" s="180" t="s">
        <v>4789</v>
      </c>
      <c r="F17" s="84"/>
      <c r="G17" s="84"/>
      <c r="H17" s="91" t="s">
        <v>3501</v>
      </c>
      <c r="I17" s="186" t="s">
        <v>367</v>
      </c>
      <c r="J17" s="186" t="s">
        <v>4083</v>
      </c>
      <c r="K17" s="87" t="s">
        <v>4862</v>
      </c>
      <c r="L17" s="184"/>
      <c r="M17" s="184"/>
      <c r="N17" s="186">
        <v>17</v>
      </c>
      <c r="O17" s="186">
        <v>14</v>
      </c>
      <c r="P17" s="186">
        <v>26</v>
      </c>
      <c r="Q17" s="186" t="s">
        <v>4863</v>
      </c>
      <c r="R17" s="186">
        <v>17</v>
      </c>
      <c r="S17" s="186">
        <v>14</v>
      </c>
      <c r="T17" s="186">
        <v>17</v>
      </c>
      <c r="U17" s="186">
        <v>14</v>
      </c>
      <c r="V17" s="184"/>
      <c r="W17" s="184"/>
      <c r="X17" s="186">
        <v>14</v>
      </c>
      <c r="Y17" s="186">
        <v>14</v>
      </c>
    </row>
    <row r="18" spans="1:25" ht="15.75" customHeight="1">
      <c r="A18" s="84">
        <v>18</v>
      </c>
      <c r="B18" s="82" t="s">
        <v>4864</v>
      </c>
      <c r="C18" s="85" t="s">
        <v>1398</v>
      </c>
      <c r="D18" s="93">
        <v>1</v>
      </c>
      <c r="E18" s="86" t="s">
        <v>4789</v>
      </c>
      <c r="F18" s="184"/>
      <c r="G18" s="98"/>
      <c r="H18" s="96"/>
      <c r="I18" s="165"/>
      <c r="J18" s="165"/>
      <c r="K18" s="97"/>
      <c r="L18" s="184"/>
      <c r="M18" s="94"/>
      <c r="N18" s="186">
        <v>18</v>
      </c>
      <c r="O18" s="186">
        <v>15</v>
      </c>
      <c r="P18" s="186">
        <v>27</v>
      </c>
      <c r="Q18" s="186" t="s">
        <v>4865</v>
      </c>
      <c r="R18" s="186">
        <v>18</v>
      </c>
      <c r="S18" s="186">
        <v>15</v>
      </c>
      <c r="T18" s="186">
        <v>18</v>
      </c>
      <c r="U18" s="186">
        <v>15</v>
      </c>
      <c r="V18" s="94"/>
      <c r="W18" s="94"/>
      <c r="X18" s="186">
        <v>15</v>
      </c>
      <c r="Y18" s="186">
        <v>15</v>
      </c>
    </row>
    <row r="19" spans="1:25" ht="15.75" customHeight="1">
      <c r="A19" s="84">
        <v>19</v>
      </c>
      <c r="B19" s="82" t="s">
        <v>4866</v>
      </c>
      <c r="C19" s="186" t="s">
        <v>1398</v>
      </c>
      <c r="D19" s="95">
        <v>2</v>
      </c>
      <c r="E19" s="87" t="s">
        <v>4789</v>
      </c>
      <c r="F19" s="184"/>
      <c r="G19" s="98"/>
      <c r="H19" s="184"/>
      <c r="I19" s="184"/>
      <c r="J19" s="184"/>
      <c r="K19" s="184"/>
      <c r="L19" s="184"/>
      <c r="M19" s="184"/>
      <c r="N19" s="186">
        <v>20</v>
      </c>
      <c r="O19" s="186">
        <v>16</v>
      </c>
      <c r="P19" s="186">
        <v>11</v>
      </c>
      <c r="Q19" s="186" t="s">
        <v>4867</v>
      </c>
      <c r="R19" s="184"/>
      <c r="S19" s="184"/>
      <c r="T19" s="186">
        <v>20</v>
      </c>
      <c r="U19" s="186">
        <v>16</v>
      </c>
      <c r="V19" s="184"/>
      <c r="W19" s="184"/>
      <c r="X19" s="184"/>
      <c r="Y19" s="184"/>
    </row>
    <row r="20" spans="1:25" ht="15.75" customHeight="1">
      <c r="A20" s="84">
        <v>20</v>
      </c>
      <c r="B20" s="76" t="s">
        <v>4868</v>
      </c>
      <c r="C20" s="186" t="s">
        <v>1398</v>
      </c>
      <c r="D20" s="95">
        <v>3</v>
      </c>
      <c r="E20" s="87" t="s">
        <v>4789</v>
      </c>
      <c r="F20" s="184"/>
      <c r="G20" s="98"/>
      <c r="H20" s="94"/>
      <c r="I20" s="94"/>
      <c r="J20" s="94"/>
      <c r="K20" s="94"/>
      <c r="L20" s="184"/>
      <c r="M20" s="184"/>
      <c r="N20" s="186">
        <v>21</v>
      </c>
      <c r="O20" s="186">
        <v>17</v>
      </c>
      <c r="P20" s="186">
        <v>12</v>
      </c>
      <c r="Q20" s="186" t="s">
        <v>4869</v>
      </c>
      <c r="R20" s="94"/>
      <c r="S20" s="94"/>
      <c r="T20" s="186">
        <v>21</v>
      </c>
      <c r="U20" s="186">
        <v>17</v>
      </c>
      <c r="V20" s="184"/>
      <c r="W20" s="184"/>
      <c r="X20" s="94"/>
      <c r="Y20" s="94"/>
    </row>
    <row r="21" spans="1:25" ht="15.75" customHeight="1">
      <c r="A21" s="84">
        <v>21</v>
      </c>
      <c r="B21" s="82" t="s">
        <v>4870</v>
      </c>
      <c r="C21" s="186" t="s">
        <v>1398</v>
      </c>
      <c r="D21" s="95">
        <v>4</v>
      </c>
      <c r="E21" s="87" t="s">
        <v>4789</v>
      </c>
      <c r="F21" s="184"/>
      <c r="G21" s="98"/>
      <c r="H21" s="184"/>
      <c r="I21" s="184"/>
      <c r="J21" s="184"/>
      <c r="K21" s="184"/>
      <c r="L21" s="184"/>
      <c r="M21" s="184"/>
      <c r="N21" s="186">
        <v>22</v>
      </c>
      <c r="O21" s="186">
        <v>18</v>
      </c>
      <c r="P21" s="186">
        <v>13</v>
      </c>
      <c r="Q21" s="186" t="s">
        <v>4871</v>
      </c>
      <c r="R21" s="184"/>
      <c r="S21" s="184"/>
      <c r="T21" s="186">
        <v>22</v>
      </c>
      <c r="U21" s="186">
        <v>18</v>
      </c>
      <c r="V21" s="184"/>
      <c r="W21" s="184"/>
      <c r="X21" s="184"/>
      <c r="Y21" s="184"/>
    </row>
    <row r="22" spans="1:25" ht="15.75" customHeight="1">
      <c r="A22" s="84">
        <v>22</v>
      </c>
      <c r="B22" s="82" t="s">
        <v>1152</v>
      </c>
      <c r="C22" s="186" t="s">
        <v>1398</v>
      </c>
      <c r="D22" s="186">
        <v>5</v>
      </c>
      <c r="E22" s="87" t="s">
        <v>4789</v>
      </c>
      <c r="F22" s="186"/>
      <c r="G22" s="186" t="s">
        <v>4872</v>
      </c>
      <c r="H22" s="186" t="s">
        <v>4873</v>
      </c>
      <c r="I22" s="186" t="s">
        <v>4874</v>
      </c>
      <c r="J22" s="186" t="s">
        <v>4875</v>
      </c>
      <c r="K22" s="186" t="s">
        <v>4876</v>
      </c>
      <c r="L22" s="99" t="s">
        <v>4877</v>
      </c>
      <c r="M22" s="186" t="s">
        <v>4878</v>
      </c>
      <c r="N22" s="186">
        <v>23</v>
      </c>
      <c r="O22" s="186">
        <v>19</v>
      </c>
      <c r="P22" s="186">
        <v>14</v>
      </c>
      <c r="Q22" s="186" t="s">
        <v>4879</v>
      </c>
      <c r="R22" s="184"/>
      <c r="S22" s="184"/>
      <c r="T22" s="186">
        <v>23</v>
      </c>
      <c r="U22" s="186">
        <v>19</v>
      </c>
      <c r="V22" s="184"/>
      <c r="W22" s="184"/>
      <c r="X22" s="184"/>
      <c r="Y22" s="184"/>
    </row>
    <row r="23" spans="1:25" ht="15.75" customHeight="1">
      <c r="A23" s="84">
        <v>23</v>
      </c>
      <c r="B23" s="82" t="s">
        <v>1152</v>
      </c>
      <c r="C23" s="186" t="s">
        <v>1398</v>
      </c>
      <c r="D23" s="186">
        <v>6</v>
      </c>
      <c r="E23" s="87" t="s">
        <v>4789</v>
      </c>
      <c r="F23" s="87"/>
      <c r="G23" s="81" t="s">
        <v>4880</v>
      </c>
      <c r="H23" s="81" t="s">
        <v>4881</v>
      </c>
      <c r="I23" s="67">
        <v>17</v>
      </c>
      <c r="J23" s="81">
        <v>15</v>
      </c>
      <c r="K23" s="81">
        <f t="shared" ref="K23:K24" si="0">I23-J23</f>
        <v>2</v>
      </c>
      <c r="L23" s="81" t="s">
        <v>4882</v>
      </c>
      <c r="M23" s="81" t="s">
        <v>4883</v>
      </c>
      <c r="N23" s="186">
        <v>24</v>
      </c>
      <c r="O23" s="186">
        <v>20</v>
      </c>
      <c r="P23" s="186">
        <v>15</v>
      </c>
      <c r="Q23" s="186" t="s">
        <v>4884</v>
      </c>
      <c r="R23" s="184"/>
      <c r="S23" s="184"/>
      <c r="T23" s="186">
        <v>24</v>
      </c>
      <c r="U23" s="186">
        <v>20</v>
      </c>
      <c r="V23" s="184"/>
      <c r="W23" s="184"/>
      <c r="X23" s="184"/>
      <c r="Y23" s="184"/>
    </row>
    <row r="24" spans="1:25" ht="15.75" customHeight="1">
      <c r="A24" s="84">
        <v>24</v>
      </c>
      <c r="B24" s="82" t="s">
        <v>1152</v>
      </c>
      <c r="C24" s="186" t="s">
        <v>1398</v>
      </c>
      <c r="D24" s="186">
        <v>7</v>
      </c>
      <c r="E24" s="87" t="s">
        <v>4789</v>
      </c>
      <c r="F24" s="87"/>
      <c r="G24" s="81" t="s">
        <v>4880</v>
      </c>
      <c r="H24" s="81" t="s">
        <v>4885</v>
      </c>
      <c r="I24" s="166">
        <v>8</v>
      </c>
      <c r="J24" s="81">
        <v>6</v>
      </c>
      <c r="K24" s="81">
        <f t="shared" si="0"/>
        <v>2</v>
      </c>
      <c r="L24" s="81" t="s">
        <v>4886</v>
      </c>
      <c r="M24" s="186" t="s">
        <v>4887</v>
      </c>
      <c r="N24" s="186">
        <v>25</v>
      </c>
      <c r="O24" s="186">
        <v>21</v>
      </c>
      <c r="P24" s="186">
        <v>16</v>
      </c>
      <c r="Q24" s="186" t="s">
        <v>4888</v>
      </c>
      <c r="R24" s="184"/>
      <c r="S24" s="184"/>
      <c r="T24" s="186">
        <v>25</v>
      </c>
      <c r="U24" s="186">
        <v>21</v>
      </c>
      <c r="V24" s="184"/>
      <c r="W24" s="184"/>
      <c r="X24" s="184"/>
      <c r="Y24" s="184"/>
    </row>
    <row r="25" spans="1:25" ht="15.75" customHeight="1">
      <c r="A25" s="84">
        <v>25</v>
      </c>
      <c r="B25" s="100" t="s">
        <v>1152</v>
      </c>
      <c r="C25" s="182" t="s">
        <v>1398</v>
      </c>
      <c r="D25" s="182">
        <v>8</v>
      </c>
      <c r="E25" s="180" t="s">
        <v>4789</v>
      </c>
      <c r="F25" s="180"/>
      <c r="G25" s="81" t="s">
        <v>4880</v>
      </c>
      <c r="H25" s="81" t="s">
        <v>4889</v>
      </c>
      <c r="I25" s="81">
        <v>10</v>
      </c>
      <c r="J25" s="81">
        <v>10</v>
      </c>
      <c r="K25" s="81">
        <v>1</v>
      </c>
      <c r="L25" s="81" t="s">
        <v>4890</v>
      </c>
      <c r="M25" s="81" t="s">
        <v>4891</v>
      </c>
      <c r="N25" s="186">
        <v>26</v>
      </c>
      <c r="O25" s="186">
        <v>22</v>
      </c>
      <c r="P25" s="186">
        <v>17</v>
      </c>
      <c r="Q25" s="186" t="s">
        <v>4892</v>
      </c>
      <c r="R25" s="184"/>
      <c r="S25" s="184"/>
      <c r="T25" s="186">
        <v>26</v>
      </c>
      <c r="U25" s="186">
        <v>22</v>
      </c>
      <c r="V25" s="184"/>
      <c r="W25" s="184"/>
      <c r="X25" s="184"/>
      <c r="Y25" s="184"/>
    </row>
    <row r="26" spans="1:25" ht="15.75" customHeight="1">
      <c r="A26" s="84">
        <v>26</v>
      </c>
      <c r="B26" s="82" t="s">
        <v>4893</v>
      </c>
      <c r="C26" s="85" t="s">
        <v>1450</v>
      </c>
      <c r="D26" s="93">
        <v>2</v>
      </c>
      <c r="E26" s="86" t="s">
        <v>4789</v>
      </c>
      <c r="F26" s="184"/>
      <c r="G26" s="81" t="s">
        <v>4880</v>
      </c>
      <c r="H26" s="81" t="s">
        <v>4894</v>
      </c>
      <c r="I26" s="81">
        <v>7</v>
      </c>
      <c r="J26" s="81">
        <v>6</v>
      </c>
      <c r="K26" s="81">
        <v>1</v>
      </c>
      <c r="L26" s="81" t="s">
        <v>4895</v>
      </c>
      <c r="M26" s="81" t="s">
        <v>4895</v>
      </c>
      <c r="N26" s="186">
        <v>27</v>
      </c>
      <c r="O26" s="186">
        <v>23</v>
      </c>
      <c r="P26" s="186">
        <v>18</v>
      </c>
      <c r="Q26" s="186" t="s">
        <v>4896</v>
      </c>
      <c r="R26" s="184"/>
      <c r="S26" s="184"/>
      <c r="T26" s="186">
        <v>27</v>
      </c>
      <c r="U26" s="186">
        <v>23</v>
      </c>
      <c r="V26" s="184"/>
      <c r="W26" s="184"/>
      <c r="X26" s="184"/>
      <c r="Y26" s="184"/>
    </row>
    <row r="27" spans="1:25" ht="15.75" customHeight="1">
      <c r="A27" s="84">
        <v>27</v>
      </c>
      <c r="B27" s="76" t="s">
        <v>4897</v>
      </c>
      <c r="C27" s="186" t="s">
        <v>1450</v>
      </c>
      <c r="D27" s="95">
        <v>1</v>
      </c>
      <c r="E27" s="87" t="s">
        <v>4789</v>
      </c>
      <c r="F27" s="184"/>
      <c r="G27" s="81" t="s">
        <v>4880</v>
      </c>
      <c r="H27" s="81" t="s">
        <v>4898</v>
      </c>
      <c r="I27" s="67">
        <v>7</v>
      </c>
      <c r="J27" s="81">
        <v>6</v>
      </c>
      <c r="K27" s="81">
        <v>1</v>
      </c>
      <c r="L27" s="81" t="s">
        <v>4899</v>
      </c>
      <c r="M27" s="81" t="s">
        <v>4900</v>
      </c>
      <c r="N27" s="186">
        <v>30</v>
      </c>
      <c r="O27" s="186">
        <v>24</v>
      </c>
      <c r="P27" s="186">
        <v>30</v>
      </c>
      <c r="Q27" s="186" t="s">
        <v>4901</v>
      </c>
      <c r="R27" s="94"/>
      <c r="S27" s="94"/>
      <c r="T27" s="186">
        <v>30</v>
      </c>
      <c r="U27" s="186">
        <v>24</v>
      </c>
      <c r="V27" s="94"/>
      <c r="W27" s="94"/>
      <c r="X27" s="94"/>
      <c r="Y27" s="94"/>
    </row>
    <row r="28" spans="1:25" ht="15.75" customHeight="1">
      <c r="A28" s="84">
        <v>28</v>
      </c>
      <c r="B28" s="82" t="s">
        <v>4902</v>
      </c>
      <c r="C28" s="186" t="s">
        <v>1450</v>
      </c>
      <c r="D28" s="95">
        <v>3</v>
      </c>
      <c r="E28" s="87" t="s">
        <v>4789</v>
      </c>
      <c r="F28" s="184"/>
      <c r="G28" s="81"/>
      <c r="H28" s="167" t="s">
        <v>4903</v>
      </c>
      <c r="I28" s="167">
        <v>0</v>
      </c>
      <c r="J28" s="167">
        <v>1</v>
      </c>
      <c r="K28" s="167">
        <v>1</v>
      </c>
      <c r="L28" s="167" t="s">
        <v>4904</v>
      </c>
      <c r="M28" s="167" t="s">
        <v>4905</v>
      </c>
      <c r="N28" s="186">
        <v>31</v>
      </c>
      <c r="O28" s="186">
        <v>25</v>
      </c>
      <c r="P28" s="186">
        <v>31</v>
      </c>
      <c r="Q28" s="186" t="s">
        <v>4906</v>
      </c>
      <c r="R28" s="184"/>
      <c r="S28" s="184"/>
      <c r="T28" s="186">
        <v>31</v>
      </c>
      <c r="U28" s="186">
        <v>25</v>
      </c>
      <c r="V28" s="184"/>
      <c r="W28" s="184"/>
      <c r="X28" s="184"/>
      <c r="Y28" s="184"/>
    </row>
    <row r="29" spans="1:25" ht="15.75" customHeight="1">
      <c r="A29" s="84">
        <v>29</v>
      </c>
      <c r="B29" s="101" t="s">
        <v>4907</v>
      </c>
      <c r="C29" s="186" t="s">
        <v>1450</v>
      </c>
      <c r="D29" s="95">
        <v>4</v>
      </c>
      <c r="E29" s="87" t="s">
        <v>4789</v>
      </c>
      <c r="F29" s="184"/>
      <c r="G29" s="81" t="s">
        <v>4880</v>
      </c>
      <c r="H29" s="81" t="s">
        <v>4908</v>
      </c>
      <c r="I29" s="102">
        <v>4</v>
      </c>
      <c r="J29" s="81">
        <v>2</v>
      </c>
      <c r="K29" s="81">
        <v>1</v>
      </c>
      <c r="L29" s="81" t="s">
        <v>4909</v>
      </c>
      <c r="M29" s="81" t="s">
        <v>4910</v>
      </c>
      <c r="N29" s="186">
        <v>32</v>
      </c>
      <c r="O29" s="186">
        <v>26</v>
      </c>
      <c r="P29" s="186">
        <v>32</v>
      </c>
      <c r="Q29" s="186" t="s">
        <v>4911</v>
      </c>
      <c r="R29" s="184"/>
      <c r="S29" s="184"/>
      <c r="T29" s="186">
        <v>32</v>
      </c>
      <c r="U29" s="186">
        <v>26</v>
      </c>
      <c r="V29" s="184"/>
      <c r="W29" s="184"/>
      <c r="X29" s="184"/>
      <c r="Y29" s="184"/>
    </row>
    <row r="30" spans="1:25" ht="15.75" customHeight="1">
      <c r="A30" s="84">
        <v>30</v>
      </c>
      <c r="B30" s="82" t="s">
        <v>4912</v>
      </c>
      <c r="C30" s="186" t="s">
        <v>1450</v>
      </c>
      <c r="D30" s="95">
        <v>5</v>
      </c>
      <c r="E30" s="87" t="s">
        <v>4789</v>
      </c>
      <c r="F30" s="184"/>
      <c r="G30" s="81" t="s">
        <v>4880</v>
      </c>
      <c r="H30" s="103" t="s">
        <v>1995</v>
      </c>
      <c r="I30" s="103">
        <v>1</v>
      </c>
      <c r="J30" s="103"/>
      <c r="K30" s="103"/>
      <c r="L30" s="103"/>
      <c r="M30" s="103"/>
      <c r="N30" s="186">
        <v>33</v>
      </c>
      <c r="O30" s="186">
        <v>27</v>
      </c>
      <c r="P30" s="186">
        <v>33</v>
      </c>
      <c r="Q30" s="186" t="s">
        <v>4913</v>
      </c>
      <c r="R30" s="184"/>
      <c r="S30" s="184"/>
      <c r="T30" s="186">
        <v>33</v>
      </c>
      <c r="U30" s="186">
        <v>27</v>
      </c>
      <c r="V30" s="184"/>
      <c r="W30" s="184"/>
      <c r="X30" s="184"/>
      <c r="Y30" s="184"/>
    </row>
    <row r="31" spans="1:25" ht="15.75" customHeight="1">
      <c r="A31" s="84">
        <v>31</v>
      </c>
      <c r="B31" s="82" t="s">
        <v>4914</v>
      </c>
      <c r="C31" s="186" t="s">
        <v>1450</v>
      </c>
      <c r="D31" s="83">
        <v>6</v>
      </c>
      <c r="E31" s="87" t="s">
        <v>4789</v>
      </c>
      <c r="F31" s="87"/>
      <c r="G31" s="81"/>
      <c r="H31" s="168" t="s">
        <v>4915</v>
      </c>
      <c r="I31" s="169">
        <f>I23+I24+I25+I26+I27+I28+I29+I30</f>
        <v>54</v>
      </c>
      <c r="J31" s="169">
        <f>SUM(J23:J30)</f>
        <v>46</v>
      </c>
      <c r="K31" s="169"/>
      <c r="L31" s="169"/>
      <c r="M31" s="168" t="s">
        <v>4916</v>
      </c>
      <c r="N31" s="186">
        <v>34</v>
      </c>
      <c r="O31" s="186">
        <v>28</v>
      </c>
      <c r="P31" s="186">
        <v>34</v>
      </c>
      <c r="Q31" s="186" t="s">
        <v>4917</v>
      </c>
      <c r="R31" s="94"/>
      <c r="S31" s="94"/>
      <c r="T31" s="186">
        <v>34</v>
      </c>
      <c r="U31" s="186">
        <v>28</v>
      </c>
      <c r="V31" s="94"/>
      <c r="W31" s="94"/>
      <c r="X31" s="94"/>
      <c r="Y31" s="94"/>
    </row>
    <row r="32" spans="1:25" ht="15.75" customHeight="1">
      <c r="A32" s="84">
        <v>32</v>
      </c>
      <c r="B32" s="82" t="s">
        <v>4918</v>
      </c>
      <c r="C32" s="186" t="s">
        <v>1450</v>
      </c>
      <c r="D32" s="83">
        <v>7</v>
      </c>
      <c r="E32" s="87" t="s">
        <v>4789</v>
      </c>
      <c r="F32" s="87"/>
      <c r="G32" s="81"/>
      <c r="H32" s="81" t="s">
        <v>4919</v>
      </c>
      <c r="I32" s="81">
        <f>SUM(I23:I30)</f>
        <v>54</v>
      </c>
      <c r="J32" s="81">
        <v>1</v>
      </c>
      <c r="K32" s="81">
        <v>1</v>
      </c>
      <c r="L32" s="81" t="s">
        <v>4920</v>
      </c>
      <c r="M32" s="81" t="s">
        <v>4910</v>
      </c>
      <c r="N32" s="186">
        <v>35</v>
      </c>
      <c r="O32" s="186">
        <v>29</v>
      </c>
      <c r="P32" s="186">
        <v>35</v>
      </c>
      <c r="Q32" s="186" t="s">
        <v>4921</v>
      </c>
      <c r="R32" s="184"/>
      <c r="S32" s="184"/>
      <c r="T32" s="186">
        <v>35</v>
      </c>
      <c r="U32" s="186">
        <v>29</v>
      </c>
      <c r="V32" s="184"/>
      <c r="W32" s="184"/>
      <c r="X32" s="184"/>
      <c r="Y32" s="184"/>
    </row>
    <row r="33" spans="1:25" ht="15.75" customHeight="1">
      <c r="A33" s="84">
        <v>33</v>
      </c>
      <c r="B33" s="100" t="s">
        <v>4922</v>
      </c>
      <c r="C33" s="182" t="s">
        <v>1450</v>
      </c>
      <c r="D33" s="164">
        <v>8</v>
      </c>
      <c r="E33" s="180" t="s">
        <v>4789</v>
      </c>
      <c r="F33" s="180"/>
      <c r="G33" s="81"/>
      <c r="H33" s="104" t="s">
        <v>4923</v>
      </c>
      <c r="I33" s="104">
        <f>I31</f>
        <v>54</v>
      </c>
      <c r="J33" s="104"/>
      <c r="K33" s="81"/>
      <c r="L33" s="81"/>
      <c r="M33" s="81"/>
      <c r="N33" s="186">
        <v>36</v>
      </c>
      <c r="O33" s="186">
        <v>30</v>
      </c>
      <c r="P33" s="186">
        <v>36</v>
      </c>
      <c r="Q33" s="186" t="s">
        <v>4924</v>
      </c>
      <c r="R33" s="184"/>
      <c r="S33" s="184"/>
      <c r="T33" s="186">
        <v>36</v>
      </c>
      <c r="U33" s="186">
        <v>30</v>
      </c>
      <c r="V33" s="184"/>
      <c r="W33" s="184"/>
      <c r="X33" s="184"/>
      <c r="Y33" s="184"/>
    </row>
    <row r="34" spans="1:25" ht="15.75" customHeight="1">
      <c r="A34" s="84">
        <v>34</v>
      </c>
      <c r="B34" s="76" t="s">
        <v>4925</v>
      </c>
      <c r="C34" s="85" t="s">
        <v>1390</v>
      </c>
      <c r="D34" s="93">
        <v>3</v>
      </c>
      <c r="E34" s="86" t="s">
        <v>4789</v>
      </c>
      <c r="F34" s="86"/>
      <c r="G34" s="81"/>
      <c r="H34" s="104" t="s">
        <v>4926</v>
      </c>
      <c r="I34" s="104"/>
      <c r="J34" s="104"/>
      <c r="K34" s="81">
        <v>1</v>
      </c>
      <c r="L34" s="81" t="s">
        <v>4927</v>
      </c>
      <c r="M34" s="81" t="s">
        <v>4928</v>
      </c>
      <c r="N34" s="186">
        <v>37</v>
      </c>
      <c r="O34" s="186">
        <v>31</v>
      </c>
      <c r="P34" s="186">
        <v>37</v>
      </c>
      <c r="Q34" s="186" t="s">
        <v>4929</v>
      </c>
      <c r="R34" s="94"/>
      <c r="S34" s="94"/>
      <c r="T34" s="186">
        <v>37</v>
      </c>
      <c r="U34" s="186">
        <v>31</v>
      </c>
      <c r="V34" s="184"/>
      <c r="W34" s="184"/>
      <c r="X34" s="94"/>
      <c r="Y34" s="94"/>
    </row>
    <row r="35" spans="1:25" ht="15.75" customHeight="1">
      <c r="A35" s="84">
        <v>35</v>
      </c>
      <c r="B35" s="82" t="s">
        <v>4930</v>
      </c>
      <c r="C35" s="186" t="s">
        <v>1390</v>
      </c>
      <c r="D35" s="95">
        <v>5</v>
      </c>
      <c r="E35" s="87" t="s">
        <v>4789</v>
      </c>
      <c r="F35" s="184"/>
      <c r="G35" s="184"/>
      <c r="H35" s="184"/>
      <c r="I35" s="184"/>
      <c r="J35" s="184"/>
      <c r="K35" s="184"/>
      <c r="L35" s="184"/>
      <c r="M35" s="184"/>
      <c r="N35" s="184"/>
      <c r="O35" s="184"/>
      <c r="P35" s="184"/>
      <c r="Q35" s="184"/>
      <c r="R35" s="184"/>
      <c r="S35" s="184"/>
      <c r="T35" s="184"/>
      <c r="U35" s="184"/>
      <c r="V35" s="184"/>
      <c r="W35" s="184"/>
      <c r="X35" s="184"/>
      <c r="Y35" s="184"/>
    </row>
    <row r="36" spans="1:25" ht="15.75" customHeight="1">
      <c r="A36" s="84">
        <v>36</v>
      </c>
      <c r="B36" s="82" t="s">
        <v>4931</v>
      </c>
      <c r="C36" s="186" t="s">
        <v>1390</v>
      </c>
      <c r="D36" s="95">
        <v>6</v>
      </c>
      <c r="E36" s="87" t="s">
        <v>4789</v>
      </c>
      <c r="F36" s="98"/>
      <c r="G36" s="98"/>
      <c r="H36" s="184"/>
      <c r="I36" s="184"/>
      <c r="J36" s="184"/>
      <c r="K36" s="184"/>
      <c r="L36" s="184"/>
      <c r="M36" s="184"/>
      <c r="N36" s="184"/>
      <c r="O36" s="184"/>
      <c r="P36" s="184"/>
      <c r="Q36" s="184"/>
      <c r="R36" s="184"/>
      <c r="S36" s="184"/>
      <c r="T36" s="184"/>
      <c r="U36" s="184"/>
      <c r="V36" s="184"/>
      <c r="W36" s="184"/>
      <c r="X36" s="184"/>
      <c r="Y36" s="184"/>
    </row>
    <row r="37" spans="1:25" ht="15.75" customHeight="1">
      <c r="A37" s="84">
        <v>37</v>
      </c>
      <c r="B37" s="82" t="s">
        <v>4932</v>
      </c>
      <c r="C37" s="186" t="s">
        <v>1390</v>
      </c>
      <c r="D37" s="95">
        <v>1</v>
      </c>
      <c r="E37" s="87" t="s">
        <v>4789</v>
      </c>
      <c r="F37" s="98"/>
      <c r="G37" s="98"/>
      <c r="H37" s="94"/>
      <c r="I37" s="94"/>
      <c r="J37" s="94"/>
      <c r="K37" s="94"/>
      <c r="L37" s="184"/>
      <c r="M37" s="184"/>
      <c r="N37" s="184"/>
      <c r="O37" s="184"/>
      <c r="P37" s="184"/>
      <c r="Q37" s="184"/>
      <c r="R37" s="184"/>
      <c r="S37" s="184"/>
      <c r="T37" s="184"/>
      <c r="U37" s="184"/>
      <c r="V37" s="184"/>
      <c r="W37" s="184"/>
      <c r="X37" s="184"/>
      <c r="Y37" s="184"/>
    </row>
    <row r="38" spans="1:25" ht="15.75" customHeight="1">
      <c r="A38" s="84">
        <v>38</v>
      </c>
      <c r="B38" s="82" t="s">
        <v>4933</v>
      </c>
      <c r="C38" s="186" t="s">
        <v>1390</v>
      </c>
      <c r="D38" s="95">
        <v>7</v>
      </c>
      <c r="E38" s="87" t="s">
        <v>4789</v>
      </c>
      <c r="F38" s="98"/>
      <c r="G38" s="98"/>
      <c r="H38" s="184"/>
      <c r="I38" s="184"/>
      <c r="J38" s="184"/>
      <c r="K38" s="184"/>
      <c r="L38" s="184"/>
      <c r="M38" s="184"/>
      <c r="N38" s="184"/>
      <c r="O38" s="184"/>
      <c r="P38" s="184"/>
      <c r="Q38" s="184"/>
      <c r="R38" s="184"/>
      <c r="S38" s="184"/>
      <c r="T38" s="184"/>
      <c r="U38" s="184"/>
      <c r="V38" s="184"/>
      <c r="W38" s="184"/>
      <c r="X38" s="184"/>
      <c r="Y38" s="184"/>
    </row>
    <row r="39" spans="1:25" ht="15.75" customHeight="1">
      <c r="A39" s="84">
        <v>39</v>
      </c>
      <c r="B39" s="82" t="s">
        <v>4934</v>
      </c>
      <c r="C39" s="186" t="s">
        <v>1390</v>
      </c>
      <c r="D39" s="95">
        <v>4</v>
      </c>
      <c r="E39" s="87" t="s">
        <v>4789</v>
      </c>
      <c r="F39" s="98"/>
      <c r="G39" s="98"/>
      <c r="H39" s="184"/>
      <c r="I39" s="184"/>
      <c r="J39" s="184"/>
      <c r="K39" s="184"/>
      <c r="L39" s="99"/>
      <c r="M39" s="184"/>
      <c r="N39" s="184"/>
      <c r="O39" s="184"/>
      <c r="P39" s="184"/>
      <c r="Q39" s="184"/>
      <c r="R39" s="184"/>
      <c r="S39" s="184"/>
      <c r="T39" s="184"/>
      <c r="U39" s="184"/>
      <c r="V39" s="184"/>
      <c r="W39" s="184"/>
      <c r="X39" s="184"/>
      <c r="Y39" s="184"/>
    </row>
    <row r="40" spans="1:25" ht="12.75">
      <c r="A40" s="84">
        <v>40</v>
      </c>
      <c r="B40" s="90" t="s">
        <v>3210</v>
      </c>
      <c r="C40" s="186" t="s">
        <v>1390</v>
      </c>
      <c r="D40" s="95">
        <v>8</v>
      </c>
      <c r="E40" s="87" t="s">
        <v>4789</v>
      </c>
      <c r="F40" s="98"/>
      <c r="G40" s="98"/>
      <c r="H40" s="184"/>
      <c r="I40" s="184"/>
      <c r="J40" s="184"/>
      <c r="K40" s="184"/>
      <c r="L40" s="184"/>
      <c r="M40" s="184"/>
      <c r="N40" s="184"/>
      <c r="O40" s="184"/>
      <c r="P40" s="184"/>
      <c r="Q40" s="184"/>
      <c r="R40" s="184"/>
      <c r="S40" s="184"/>
      <c r="T40" s="184"/>
      <c r="U40" s="184"/>
      <c r="V40" s="184"/>
      <c r="W40" s="184"/>
      <c r="X40" s="184"/>
      <c r="Y40" s="184"/>
    </row>
    <row r="41" spans="1:25" ht="12.75">
      <c r="A41" s="84">
        <v>41</v>
      </c>
      <c r="B41" s="92" t="s">
        <v>4935</v>
      </c>
      <c r="C41" s="182" t="s">
        <v>1390</v>
      </c>
      <c r="D41" s="170">
        <v>2</v>
      </c>
      <c r="E41" s="180" t="s">
        <v>4789</v>
      </c>
      <c r="F41" s="98"/>
      <c r="G41" s="98"/>
      <c r="H41" s="184"/>
      <c r="I41" s="184"/>
      <c r="J41" s="184"/>
      <c r="K41" s="184"/>
      <c r="L41" s="184"/>
      <c r="M41" s="105" t="s">
        <v>36</v>
      </c>
      <c r="N41" s="106" t="s">
        <v>4780</v>
      </c>
      <c r="O41" s="106" t="s">
        <v>4384</v>
      </c>
      <c r="P41" s="107" t="s">
        <v>4781</v>
      </c>
      <c r="Q41" s="184"/>
      <c r="R41" s="184"/>
      <c r="S41" s="184"/>
      <c r="T41" s="184"/>
      <c r="U41" s="184"/>
      <c r="V41" s="184"/>
      <c r="W41" s="184"/>
      <c r="X41" s="184"/>
      <c r="Y41" s="184"/>
    </row>
    <row r="42" spans="1:25" ht="12.75">
      <c r="A42" s="84">
        <v>42</v>
      </c>
      <c r="B42" s="82" t="s">
        <v>4936</v>
      </c>
      <c r="C42" s="85" t="s">
        <v>4816</v>
      </c>
      <c r="D42" s="93">
        <v>1</v>
      </c>
      <c r="E42" s="86" t="s">
        <v>4789</v>
      </c>
      <c r="F42" s="98"/>
      <c r="G42" s="98"/>
      <c r="H42" s="184"/>
      <c r="I42" s="184"/>
      <c r="J42" s="184"/>
      <c r="K42" s="184"/>
      <c r="L42" s="184"/>
      <c r="M42" s="108" t="s">
        <v>1393</v>
      </c>
      <c r="N42" s="85" t="s">
        <v>3216</v>
      </c>
      <c r="O42" s="85" t="s">
        <v>4790</v>
      </c>
      <c r="P42" s="86" t="s">
        <v>4791</v>
      </c>
      <c r="Q42" s="184"/>
      <c r="R42" s="184"/>
      <c r="S42" s="184"/>
      <c r="T42" s="184"/>
      <c r="U42" s="184"/>
      <c r="V42" s="184"/>
      <c r="W42" s="184"/>
      <c r="X42" s="184"/>
      <c r="Y42" s="184"/>
    </row>
    <row r="43" spans="1:25" ht="12.75">
      <c r="A43" s="84">
        <v>43</v>
      </c>
      <c r="B43" s="76" t="s">
        <v>4937</v>
      </c>
      <c r="C43" s="186" t="s">
        <v>4816</v>
      </c>
      <c r="D43" s="95">
        <v>2</v>
      </c>
      <c r="E43" s="87" t="s">
        <v>4789</v>
      </c>
      <c r="F43" s="98"/>
      <c r="G43" s="98"/>
      <c r="H43" s="184"/>
      <c r="I43" s="184"/>
      <c r="J43" s="184"/>
      <c r="K43" s="184"/>
      <c r="L43" s="184"/>
      <c r="M43" s="108" t="s">
        <v>155</v>
      </c>
      <c r="N43" s="85" t="s">
        <v>3228</v>
      </c>
      <c r="O43" s="85" t="s">
        <v>4796</v>
      </c>
      <c r="P43" s="86" t="s">
        <v>4797</v>
      </c>
      <c r="Q43" s="184"/>
      <c r="R43" s="184"/>
      <c r="S43" s="184"/>
      <c r="T43" s="184"/>
      <c r="U43" s="184"/>
      <c r="V43" s="184"/>
      <c r="W43" s="184"/>
      <c r="X43" s="184"/>
      <c r="Y43" s="184"/>
    </row>
    <row r="44" spans="1:25" ht="12.75">
      <c r="A44" s="84">
        <v>44</v>
      </c>
      <c r="B44" s="82" t="s">
        <v>4938</v>
      </c>
      <c r="C44" s="186" t="s">
        <v>4816</v>
      </c>
      <c r="D44" s="95">
        <v>3</v>
      </c>
      <c r="E44" s="87" t="s">
        <v>4789</v>
      </c>
      <c r="F44" s="98"/>
      <c r="G44" s="84"/>
      <c r="H44" s="73"/>
      <c r="I44" s="73"/>
      <c r="J44" s="73"/>
      <c r="K44" s="73"/>
      <c r="L44" s="184"/>
      <c r="M44" s="91" t="s">
        <v>1398</v>
      </c>
      <c r="N44" s="186" t="s">
        <v>4445</v>
      </c>
      <c r="O44" s="186" t="s">
        <v>4801</v>
      </c>
      <c r="P44" s="87" t="s">
        <v>4802</v>
      </c>
      <c r="Q44" s="184"/>
      <c r="R44" s="184"/>
      <c r="S44" s="184"/>
      <c r="T44" s="184"/>
      <c r="U44" s="184"/>
      <c r="V44" s="184"/>
      <c r="W44" s="184"/>
      <c r="X44" s="184"/>
      <c r="Y44" s="184"/>
    </row>
    <row r="45" spans="1:25" ht="12.75">
      <c r="A45" s="84">
        <v>45</v>
      </c>
      <c r="B45" s="82" t="s">
        <v>4939</v>
      </c>
      <c r="C45" s="186" t="s">
        <v>4816</v>
      </c>
      <c r="D45" s="95">
        <v>4</v>
      </c>
      <c r="E45" s="87" t="s">
        <v>4789</v>
      </c>
      <c r="F45" s="98"/>
      <c r="G45" s="98"/>
      <c r="H45" s="184"/>
      <c r="I45" s="184"/>
      <c r="J45" s="184"/>
      <c r="K45" s="184"/>
      <c r="L45" s="184"/>
      <c r="M45" s="91" t="s">
        <v>1450</v>
      </c>
      <c r="N45" s="186" t="s">
        <v>4499</v>
      </c>
      <c r="O45" s="186" t="s">
        <v>4790</v>
      </c>
      <c r="P45" s="87" t="s">
        <v>4806</v>
      </c>
      <c r="Q45" s="184"/>
      <c r="R45" s="184"/>
      <c r="S45" s="184"/>
      <c r="T45" s="184"/>
      <c r="U45" s="184"/>
      <c r="V45" s="184"/>
      <c r="W45" s="184"/>
      <c r="X45" s="184"/>
      <c r="Y45" s="184"/>
    </row>
    <row r="46" spans="1:25" ht="12.75">
      <c r="A46" s="84">
        <v>46</v>
      </c>
      <c r="B46" s="82" t="s">
        <v>1152</v>
      </c>
      <c r="C46" s="186" t="s">
        <v>4816</v>
      </c>
      <c r="D46" s="186">
        <v>7</v>
      </c>
      <c r="E46" s="87" t="s">
        <v>4789</v>
      </c>
      <c r="F46" s="98"/>
      <c r="G46" s="98"/>
      <c r="H46" s="184"/>
      <c r="I46" s="184"/>
      <c r="J46" s="184"/>
      <c r="K46" s="184"/>
      <c r="L46" s="184"/>
      <c r="M46" s="91" t="s">
        <v>1390</v>
      </c>
      <c r="N46" s="186" t="s">
        <v>3209</v>
      </c>
      <c r="O46" s="186" t="s">
        <v>4810</v>
      </c>
      <c r="P46" s="87" t="s">
        <v>4811</v>
      </c>
      <c r="Q46" s="184"/>
      <c r="R46" s="184"/>
      <c r="S46" s="184"/>
      <c r="T46" s="184"/>
      <c r="U46" s="184"/>
      <c r="V46" s="184"/>
      <c r="W46" s="184"/>
      <c r="X46" s="184"/>
      <c r="Y46" s="184"/>
    </row>
    <row r="47" spans="1:25" ht="12.75">
      <c r="A47" s="84">
        <v>47</v>
      </c>
      <c r="B47" s="100" t="s">
        <v>1152</v>
      </c>
      <c r="C47" s="182" t="s">
        <v>4816</v>
      </c>
      <c r="D47" s="182">
        <v>8</v>
      </c>
      <c r="E47" s="180" t="s">
        <v>4789</v>
      </c>
      <c r="F47" s="98"/>
      <c r="G47" s="98"/>
      <c r="H47" s="184"/>
      <c r="I47" s="184"/>
      <c r="J47" s="184"/>
      <c r="K47" s="184"/>
      <c r="L47" s="184"/>
      <c r="M47" s="91" t="s">
        <v>4816</v>
      </c>
      <c r="N47" s="186" t="s">
        <v>3213</v>
      </c>
      <c r="O47" s="186" t="s">
        <v>4817</v>
      </c>
      <c r="P47" s="87" t="s">
        <v>4818</v>
      </c>
      <c r="Q47" s="184"/>
      <c r="R47" s="184"/>
      <c r="S47" s="184"/>
      <c r="T47" s="184"/>
      <c r="U47" s="184"/>
      <c r="V47" s="184"/>
      <c r="W47" s="184"/>
      <c r="X47" s="184"/>
      <c r="Y47" s="184"/>
    </row>
    <row r="48" spans="1:25" ht="12.75">
      <c r="A48" s="84">
        <v>48</v>
      </c>
      <c r="B48" s="82" t="s">
        <v>4940</v>
      </c>
      <c r="C48" s="85" t="s">
        <v>1436</v>
      </c>
      <c r="D48" s="93">
        <v>1</v>
      </c>
      <c r="E48" s="86" t="s">
        <v>4789</v>
      </c>
      <c r="F48" s="184"/>
      <c r="G48" s="84"/>
      <c r="H48" s="73"/>
      <c r="I48" s="73"/>
      <c r="J48" s="73"/>
      <c r="K48" s="73"/>
      <c r="L48" s="184"/>
      <c r="M48" s="91" t="s">
        <v>1436</v>
      </c>
      <c r="N48" s="186" t="s">
        <v>4822</v>
      </c>
      <c r="O48" s="186" t="s">
        <v>4823</v>
      </c>
      <c r="P48" s="87" t="s">
        <v>4824</v>
      </c>
      <c r="Q48" s="184"/>
      <c r="R48" s="184"/>
      <c r="S48" s="184"/>
      <c r="T48" s="184"/>
      <c r="U48" s="184"/>
      <c r="V48" s="184"/>
      <c r="W48" s="184"/>
      <c r="X48" s="184"/>
      <c r="Y48" s="184"/>
    </row>
    <row r="49" spans="1:16" ht="12.75">
      <c r="A49" s="84">
        <v>49</v>
      </c>
      <c r="B49" s="82" t="s">
        <v>4941</v>
      </c>
      <c r="C49" s="186" t="s">
        <v>1436</v>
      </c>
      <c r="D49" s="95">
        <v>2</v>
      </c>
      <c r="E49" s="87" t="s">
        <v>4789</v>
      </c>
      <c r="F49" s="184"/>
      <c r="G49" s="98"/>
      <c r="H49" s="184"/>
      <c r="I49" s="186"/>
      <c r="J49" s="184"/>
      <c r="K49" s="184"/>
      <c r="L49" s="184"/>
      <c r="M49" s="91" t="s">
        <v>138</v>
      </c>
      <c r="N49" s="186" t="s">
        <v>4467</v>
      </c>
      <c r="O49" s="186" t="s">
        <v>4828</v>
      </c>
      <c r="P49" s="87" t="s">
        <v>4829</v>
      </c>
    </row>
    <row r="50" spans="1:16" ht="12.75">
      <c r="A50" s="84">
        <v>50</v>
      </c>
      <c r="B50" s="76" t="s">
        <v>4942</v>
      </c>
      <c r="C50" s="186" t="s">
        <v>1436</v>
      </c>
      <c r="D50" s="95">
        <v>3</v>
      </c>
      <c r="E50" s="87" t="s">
        <v>4789</v>
      </c>
      <c r="F50" s="98"/>
      <c r="G50" s="98"/>
      <c r="H50" s="184"/>
      <c r="I50" s="184"/>
      <c r="J50" s="184"/>
      <c r="K50" s="184"/>
      <c r="L50" s="99"/>
      <c r="M50" s="91" t="s">
        <v>4833</v>
      </c>
      <c r="N50" s="186" t="s">
        <v>3223</v>
      </c>
      <c r="O50" s="186" t="s">
        <v>4834</v>
      </c>
      <c r="P50" s="87" t="s">
        <v>4835</v>
      </c>
    </row>
    <row r="51" spans="1:16" ht="12.75">
      <c r="A51" s="84">
        <v>51</v>
      </c>
      <c r="B51" s="82" t="s">
        <v>4943</v>
      </c>
      <c r="C51" s="186" t="s">
        <v>1436</v>
      </c>
      <c r="D51" s="95">
        <v>4</v>
      </c>
      <c r="E51" s="87" t="s">
        <v>4789</v>
      </c>
      <c r="F51" s="98"/>
      <c r="G51" s="98"/>
      <c r="H51" s="184"/>
      <c r="I51" s="184"/>
      <c r="J51" s="184"/>
      <c r="K51" s="184"/>
      <c r="L51" s="184"/>
      <c r="M51" s="91" t="s">
        <v>4839</v>
      </c>
      <c r="N51" s="186" t="s">
        <v>4840</v>
      </c>
      <c r="O51" s="186" t="s">
        <v>4790</v>
      </c>
      <c r="P51" s="87" t="s">
        <v>2971</v>
      </c>
    </row>
    <row r="52" spans="1:16" ht="12.75">
      <c r="A52" s="84">
        <v>52</v>
      </c>
      <c r="B52" s="82" t="s">
        <v>4944</v>
      </c>
      <c r="C52" s="186" t="s">
        <v>1436</v>
      </c>
      <c r="D52" s="95">
        <v>5</v>
      </c>
      <c r="E52" s="87" t="s">
        <v>4789</v>
      </c>
      <c r="F52" s="98"/>
      <c r="G52" s="98"/>
      <c r="H52" s="184"/>
      <c r="I52" s="184"/>
      <c r="J52" s="184"/>
      <c r="K52" s="184"/>
      <c r="L52" s="184"/>
      <c r="M52" s="91" t="s">
        <v>3501</v>
      </c>
      <c r="N52" s="186" t="s">
        <v>340</v>
      </c>
      <c r="O52" s="186" t="s">
        <v>4843</v>
      </c>
      <c r="P52" s="87" t="s">
        <v>4844</v>
      </c>
    </row>
    <row r="53" spans="1:16" ht="12.75">
      <c r="A53" s="84">
        <v>53</v>
      </c>
      <c r="B53" s="82" t="s">
        <v>1152</v>
      </c>
      <c r="C53" s="186" t="s">
        <v>1436</v>
      </c>
      <c r="D53" s="186">
        <v>6</v>
      </c>
      <c r="E53" s="87" t="s">
        <v>4789</v>
      </c>
      <c r="F53" s="98"/>
      <c r="G53" s="98"/>
      <c r="H53" s="184"/>
      <c r="I53" s="184"/>
      <c r="J53" s="184"/>
      <c r="K53" s="184"/>
      <c r="L53" s="184"/>
      <c r="M53" s="91" t="s">
        <v>3501</v>
      </c>
      <c r="N53" s="186" t="s">
        <v>343</v>
      </c>
      <c r="O53" s="186" t="s">
        <v>4847</v>
      </c>
      <c r="P53" s="87" t="s">
        <v>4848</v>
      </c>
    </row>
    <row r="54" spans="1:16" ht="12.75">
      <c r="A54" s="84">
        <v>54</v>
      </c>
      <c r="B54" s="82" t="s">
        <v>1152</v>
      </c>
      <c r="C54" s="186" t="s">
        <v>1436</v>
      </c>
      <c r="D54" s="186">
        <v>7</v>
      </c>
      <c r="E54" s="87" t="s">
        <v>4789</v>
      </c>
      <c r="F54" s="98"/>
      <c r="G54" s="98"/>
      <c r="H54" s="184"/>
      <c r="I54" s="184"/>
      <c r="J54" s="184"/>
      <c r="K54" s="184"/>
      <c r="L54" s="184"/>
      <c r="M54" s="91" t="s">
        <v>3501</v>
      </c>
      <c r="N54" s="186" t="s">
        <v>345</v>
      </c>
      <c r="O54" s="186" t="s">
        <v>4817</v>
      </c>
      <c r="P54" s="87" t="s">
        <v>4851</v>
      </c>
    </row>
    <row r="55" spans="1:16" ht="12.75">
      <c r="A55" s="84">
        <v>55</v>
      </c>
      <c r="B55" s="100" t="s">
        <v>1152</v>
      </c>
      <c r="C55" s="182" t="s">
        <v>1436</v>
      </c>
      <c r="D55" s="182">
        <v>8</v>
      </c>
      <c r="E55" s="180" t="s">
        <v>4789</v>
      </c>
      <c r="F55" s="98"/>
      <c r="G55" s="98"/>
      <c r="H55" s="184"/>
      <c r="I55" s="184"/>
      <c r="J55" s="184"/>
      <c r="K55" s="184"/>
      <c r="L55" s="184"/>
      <c r="M55" s="91" t="s">
        <v>3501</v>
      </c>
      <c r="N55" s="186" t="s">
        <v>347</v>
      </c>
      <c r="O55" s="186" t="s">
        <v>4854</v>
      </c>
      <c r="P55" s="87" t="s">
        <v>4855</v>
      </c>
    </row>
    <row r="56" spans="1:16" ht="12.75">
      <c r="A56" s="109">
        <v>56</v>
      </c>
      <c r="B56" s="101" t="s">
        <v>4945</v>
      </c>
      <c r="C56" s="85" t="s">
        <v>138</v>
      </c>
      <c r="D56" s="93">
        <v>1</v>
      </c>
      <c r="E56" s="86" t="s">
        <v>4789</v>
      </c>
      <c r="F56" s="184"/>
      <c r="G56" s="84"/>
      <c r="H56" s="73"/>
      <c r="I56" s="73"/>
      <c r="J56" s="73"/>
      <c r="K56" s="73"/>
      <c r="L56" s="184"/>
      <c r="M56" s="91" t="s">
        <v>3501</v>
      </c>
      <c r="N56" s="186" t="s">
        <v>556</v>
      </c>
      <c r="O56" s="186" t="s">
        <v>4858</v>
      </c>
      <c r="P56" s="87" t="s">
        <v>4859</v>
      </c>
    </row>
    <row r="57" spans="1:16" ht="12.75">
      <c r="A57" s="110">
        <v>57</v>
      </c>
      <c r="B57" s="111" t="s">
        <v>4946</v>
      </c>
      <c r="C57" s="186" t="s">
        <v>138</v>
      </c>
      <c r="D57" s="95">
        <v>2</v>
      </c>
      <c r="E57" s="87" t="s">
        <v>4789</v>
      </c>
      <c r="F57" s="184"/>
      <c r="G57" s="98"/>
      <c r="H57" s="184"/>
      <c r="I57" s="186"/>
      <c r="J57" s="186"/>
      <c r="K57" s="184"/>
      <c r="L57" s="184"/>
      <c r="M57" s="112" t="s">
        <v>3501</v>
      </c>
      <c r="N57" s="182" t="s">
        <v>367</v>
      </c>
      <c r="O57" s="182" t="s">
        <v>4083</v>
      </c>
      <c r="P57" s="180" t="s">
        <v>4862</v>
      </c>
    </row>
    <row r="58" spans="1:16" ht="12.75">
      <c r="A58" s="110">
        <v>58</v>
      </c>
      <c r="B58" s="101" t="s">
        <v>4947</v>
      </c>
      <c r="C58" s="186" t="s">
        <v>138</v>
      </c>
      <c r="D58" s="83">
        <v>3</v>
      </c>
      <c r="E58" s="87" t="s">
        <v>4789</v>
      </c>
      <c r="F58" s="98"/>
      <c r="G58" s="98"/>
      <c r="H58" s="184"/>
      <c r="I58" s="184"/>
      <c r="J58" s="184"/>
      <c r="K58" s="184"/>
      <c r="L58" s="99"/>
      <c r="M58" s="184"/>
      <c r="N58" s="184"/>
      <c r="O58" s="184"/>
      <c r="P58" s="184"/>
    </row>
    <row r="59" spans="1:16" ht="12.75">
      <c r="A59" s="110">
        <v>59</v>
      </c>
      <c r="B59" s="101" t="s">
        <v>4948</v>
      </c>
      <c r="C59" s="186" t="s">
        <v>138</v>
      </c>
      <c r="D59" s="83">
        <v>4</v>
      </c>
      <c r="E59" s="87" t="s">
        <v>4789</v>
      </c>
      <c r="F59" s="98"/>
      <c r="G59" s="98"/>
      <c r="H59" s="184"/>
      <c r="I59" s="184"/>
      <c r="J59" s="184"/>
      <c r="K59" s="184"/>
      <c r="L59" s="99"/>
      <c r="M59" s="184"/>
      <c r="N59" s="184"/>
      <c r="O59" s="184"/>
      <c r="P59" s="184"/>
    </row>
    <row r="60" spans="1:16" ht="12.75">
      <c r="A60" s="110">
        <v>60</v>
      </c>
      <c r="B60" s="101" t="s">
        <v>4949</v>
      </c>
      <c r="C60" s="186" t="s">
        <v>138</v>
      </c>
      <c r="D60" s="83">
        <v>5</v>
      </c>
      <c r="E60" s="87" t="s">
        <v>4789</v>
      </c>
      <c r="F60" s="98"/>
      <c r="G60" s="98"/>
      <c r="H60" s="184"/>
      <c r="I60" s="184"/>
      <c r="J60" s="184"/>
      <c r="K60" s="184"/>
      <c r="L60" s="184"/>
      <c r="M60" s="184"/>
      <c r="N60" s="184"/>
      <c r="O60" s="184"/>
      <c r="P60" s="184"/>
    </row>
    <row r="61" spans="1:16" ht="12.75">
      <c r="A61" s="110">
        <v>61</v>
      </c>
      <c r="B61" s="95" t="s">
        <v>3282</v>
      </c>
      <c r="C61" s="186" t="s">
        <v>138</v>
      </c>
      <c r="D61" s="83">
        <v>6</v>
      </c>
      <c r="E61" s="87" t="s">
        <v>4789</v>
      </c>
      <c r="F61" s="98"/>
      <c r="G61" s="98"/>
      <c r="H61" s="184"/>
      <c r="I61" s="184"/>
      <c r="J61" s="184"/>
      <c r="K61" s="184"/>
      <c r="L61" s="184"/>
      <c r="M61" s="184"/>
      <c r="N61" s="184"/>
      <c r="O61" s="184"/>
      <c r="P61" s="184"/>
    </row>
    <row r="62" spans="1:16" ht="12.75">
      <c r="A62" s="110">
        <v>62</v>
      </c>
      <c r="B62" s="101" t="s">
        <v>1152</v>
      </c>
      <c r="C62" s="186" t="s">
        <v>138</v>
      </c>
      <c r="D62" s="186">
        <v>7</v>
      </c>
      <c r="E62" s="87" t="s">
        <v>4789</v>
      </c>
      <c r="F62" s="98"/>
      <c r="G62" s="98"/>
      <c r="H62" s="184"/>
      <c r="I62" s="184"/>
      <c r="J62" s="184"/>
      <c r="K62" s="184"/>
      <c r="L62" s="184"/>
      <c r="M62" s="184"/>
      <c r="N62" s="184"/>
      <c r="O62" s="184"/>
      <c r="P62" s="184"/>
    </row>
    <row r="63" spans="1:16" ht="12.75">
      <c r="A63" s="113">
        <v>63</v>
      </c>
      <c r="B63" s="171" t="s">
        <v>1152</v>
      </c>
      <c r="C63" s="182" t="s">
        <v>138</v>
      </c>
      <c r="D63" s="182">
        <v>8</v>
      </c>
      <c r="E63" s="180" t="s">
        <v>4789</v>
      </c>
      <c r="F63" s="84"/>
      <c r="G63" s="84"/>
      <c r="H63" s="73"/>
      <c r="I63" s="73"/>
      <c r="J63" s="73"/>
      <c r="K63" s="73"/>
      <c r="L63" s="184"/>
      <c r="M63" s="184"/>
      <c r="N63" s="184"/>
      <c r="O63" s="184"/>
      <c r="P63" s="184"/>
    </row>
    <row r="64" spans="1:16" ht="12.75">
      <c r="A64" s="84">
        <v>64</v>
      </c>
      <c r="B64" s="76" t="s">
        <v>4950</v>
      </c>
      <c r="C64" s="85" t="s">
        <v>4833</v>
      </c>
      <c r="D64" s="77">
        <v>1</v>
      </c>
      <c r="E64" s="114"/>
      <c r="F64" s="98"/>
      <c r="G64" s="98"/>
      <c r="H64" s="184"/>
      <c r="I64" s="186"/>
      <c r="J64" s="186"/>
      <c r="K64" s="184"/>
      <c r="L64" s="184"/>
      <c r="M64" s="184"/>
      <c r="N64" s="184"/>
      <c r="O64" s="184"/>
      <c r="P64" s="184"/>
    </row>
    <row r="65" spans="1:12" ht="12.75">
      <c r="A65" s="84">
        <v>65</v>
      </c>
      <c r="B65" s="100" t="s">
        <v>4951</v>
      </c>
      <c r="C65" s="186" t="s">
        <v>4833</v>
      </c>
      <c r="D65" s="95">
        <v>2</v>
      </c>
      <c r="E65" s="115"/>
      <c r="F65" s="184"/>
      <c r="G65" s="98"/>
      <c r="H65" s="184"/>
      <c r="I65" s="184"/>
      <c r="J65" s="184"/>
      <c r="K65" s="184"/>
      <c r="L65" s="99"/>
    </row>
    <row r="66" spans="1:12" ht="12.75">
      <c r="A66" s="84">
        <v>66</v>
      </c>
      <c r="B66" s="82" t="s">
        <v>4952</v>
      </c>
      <c r="C66" s="186" t="s">
        <v>4833</v>
      </c>
      <c r="D66" s="95">
        <v>3</v>
      </c>
      <c r="E66" s="115"/>
      <c r="F66" s="184"/>
      <c r="G66" s="98"/>
      <c r="H66" s="184"/>
      <c r="I66" s="184"/>
      <c r="J66" s="184"/>
      <c r="K66" s="184"/>
      <c r="L66" s="99"/>
    </row>
    <row r="67" spans="1:12" ht="12.75">
      <c r="A67" s="84">
        <v>67</v>
      </c>
      <c r="B67" s="82" t="s">
        <v>1152</v>
      </c>
      <c r="C67" s="182" t="s">
        <v>4833</v>
      </c>
      <c r="D67" s="182">
        <v>4</v>
      </c>
      <c r="E67" s="152"/>
      <c r="F67" s="98"/>
      <c r="G67" s="98"/>
      <c r="H67" s="184"/>
      <c r="I67" s="184"/>
      <c r="J67" s="184"/>
      <c r="K67" s="184"/>
      <c r="L67" s="184"/>
    </row>
    <row r="68" spans="1:12" ht="12.75">
      <c r="A68" s="84">
        <v>68</v>
      </c>
      <c r="B68" s="186" t="s">
        <v>4953</v>
      </c>
      <c r="C68" s="186" t="s">
        <v>1398</v>
      </c>
      <c r="D68" s="186" t="s">
        <v>1442</v>
      </c>
      <c r="E68" s="184"/>
      <c r="F68" s="98"/>
      <c r="G68" s="98"/>
      <c r="H68" s="184"/>
      <c r="I68" s="184"/>
      <c r="J68" s="184"/>
      <c r="K68" s="184"/>
      <c r="L68" s="184"/>
    </row>
    <row r="69" spans="1:12" ht="12.75">
      <c r="A69" s="84">
        <v>69</v>
      </c>
      <c r="B69" s="186" t="s">
        <v>4954</v>
      </c>
      <c r="C69" s="186" t="s">
        <v>1393</v>
      </c>
      <c r="D69" s="186" t="s">
        <v>1442</v>
      </c>
      <c r="E69" s="184"/>
      <c r="F69" s="98"/>
      <c r="G69" s="98"/>
      <c r="H69" s="184"/>
      <c r="I69" s="184"/>
      <c r="J69" s="184"/>
      <c r="K69" s="184"/>
      <c r="L69" s="184"/>
    </row>
    <row r="70" spans="1:12" ht="12.75">
      <c r="A70" s="98"/>
      <c r="B70" s="184"/>
      <c r="C70" s="184"/>
      <c r="D70" s="184"/>
      <c r="E70" s="184"/>
      <c r="F70" s="98"/>
      <c r="G70" s="98"/>
      <c r="H70" s="184"/>
      <c r="I70" s="184"/>
      <c r="J70" s="184"/>
      <c r="K70" s="184"/>
      <c r="L70" s="184"/>
    </row>
    <row r="71" spans="1:12" ht="12.75">
      <c r="A71" s="98"/>
      <c r="B71" s="184"/>
      <c r="C71" s="184"/>
      <c r="D71" s="184"/>
      <c r="E71" s="184"/>
      <c r="F71" s="98"/>
      <c r="G71" s="98"/>
      <c r="H71" s="184"/>
      <c r="I71" s="184"/>
      <c r="J71" s="184"/>
      <c r="K71" s="184"/>
      <c r="L71" s="184"/>
    </row>
    <row r="72" spans="1:12" ht="12.75">
      <c r="A72" s="98"/>
      <c r="B72" s="184"/>
      <c r="C72" s="184"/>
      <c r="D72" s="184"/>
      <c r="E72" s="184"/>
      <c r="F72" s="98"/>
      <c r="G72" s="98"/>
      <c r="H72" s="184"/>
      <c r="I72" s="184"/>
      <c r="J72" s="184"/>
      <c r="K72" s="184"/>
      <c r="L72" s="184"/>
    </row>
    <row r="73" spans="1:12" ht="12.75">
      <c r="A73" s="98"/>
      <c r="B73" s="184"/>
      <c r="C73" s="184"/>
      <c r="D73" s="184"/>
      <c r="E73" s="184"/>
      <c r="F73" s="98"/>
      <c r="G73" s="98"/>
      <c r="H73" s="184"/>
      <c r="I73" s="184"/>
      <c r="J73" s="184"/>
      <c r="K73" s="184"/>
      <c r="L73" s="184"/>
    </row>
    <row r="74" spans="1:12" ht="12.75">
      <c r="A74" s="98"/>
      <c r="B74" s="184"/>
      <c r="C74" s="184"/>
      <c r="D74" s="184"/>
      <c r="E74" s="184"/>
      <c r="F74" s="98"/>
      <c r="G74" s="98"/>
      <c r="H74" s="184"/>
      <c r="I74" s="184"/>
      <c r="J74" s="184"/>
      <c r="K74" s="184"/>
      <c r="L74" s="184"/>
    </row>
    <row r="75" spans="1:12" ht="12.75">
      <c r="A75" s="98"/>
      <c r="B75" s="184"/>
      <c r="C75" s="184"/>
      <c r="D75" s="184"/>
      <c r="E75" s="184"/>
      <c r="F75" s="98"/>
      <c r="G75" s="98"/>
      <c r="H75" s="184"/>
      <c r="I75" s="184"/>
      <c r="J75" s="184"/>
      <c r="K75" s="184"/>
      <c r="L75" s="184"/>
    </row>
    <row r="76" spans="1:12" ht="12.75">
      <c r="A76" s="98"/>
      <c r="B76" s="184"/>
      <c r="C76" s="184"/>
      <c r="D76" s="184"/>
      <c r="E76" s="184"/>
      <c r="F76" s="98"/>
      <c r="G76" s="98"/>
      <c r="H76" s="184"/>
      <c r="I76" s="184"/>
      <c r="J76" s="184"/>
      <c r="K76" s="184"/>
      <c r="L76" s="184"/>
    </row>
    <row r="77" spans="1:12" ht="12.75">
      <c r="A77" s="98"/>
      <c r="B77" s="184"/>
      <c r="C77" s="184"/>
      <c r="D77" s="184"/>
      <c r="E77" s="184"/>
      <c r="F77" s="98"/>
      <c r="G77" s="98"/>
      <c r="H77" s="184"/>
      <c r="I77" s="184"/>
      <c r="J77" s="184"/>
      <c r="K77" s="184"/>
      <c r="L77" s="184"/>
    </row>
    <row r="78" spans="1:12" ht="12.75">
      <c r="A78" s="98"/>
      <c r="B78" s="184"/>
      <c r="C78" s="184"/>
      <c r="D78" s="184"/>
      <c r="E78" s="184"/>
      <c r="F78" s="98"/>
      <c r="G78" s="98"/>
      <c r="H78" s="184"/>
      <c r="I78" s="184"/>
      <c r="J78" s="184"/>
      <c r="K78" s="184"/>
      <c r="L78" s="184"/>
    </row>
    <row r="79" spans="1:12" ht="12.75">
      <c r="A79" s="98"/>
      <c r="B79" s="184"/>
      <c r="C79" s="184"/>
      <c r="D79" s="184"/>
      <c r="E79" s="184"/>
      <c r="F79" s="98"/>
      <c r="G79" s="98"/>
      <c r="H79" s="184"/>
      <c r="I79" s="184"/>
      <c r="J79" s="184"/>
      <c r="K79" s="184"/>
      <c r="L79" s="184"/>
    </row>
    <row r="80" spans="1:12" ht="12.75">
      <c r="A80" s="98"/>
      <c r="B80" s="184"/>
      <c r="C80" s="184"/>
      <c r="D80" s="184"/>
      <c r="E80" s="184"/>
      <c r="F80" s="98"/>
      <c r="G80" s="98"/>
      <c r="H80" s="184"/>
      <c r="I80" s="184"/>
      <c r="J80" s="184"/>
      <c r="K80" s="184"/>
      <c r="L80" s="184"/>
    </row>
    <row r="81" spans="1:7" ht="12.75">
      <c r="A81" s="98"/>
      <c r="B81" s="184"/>
      <c r="C81" s="184"/>
      <c r="D81" s="184"/>
      <c r="E81" s="184"/>
      <c r="F81" s="98"/>
      <c r="G81" s="98"/>
    </row>
    <row r="82" spans="1:7" ht="12.75">
      <c r="A82" s="98"/>
      <c r="B82" s="184"/>
      <c r="C82" s="184"/>
      <c r="D82" s="184"/>
      <c r="E82" s="184"/>
      <c r="F82" s="98"/>
      <c r="G82" s="98"/>
    </row>
    <row r="83" spans="1:7" ht="12.75">
      <c r="A83" s="98"/>
      <c r="B83" s="184"/>
      <c r="C83" s="184"/>
      <c r="D83" s="184"/>
      <c r="E83" s="184"/>
      <c r="F83" s="98"/>
      <c r="G83" s="98"/>
    </row>
    <row r="84" spans="1:7" ht="12.75">
      <c r="A84" s="98"/>
      <c r="B84" s="184"/>
      <c r="C84" s="184"/>
      <c r="D84" s="184"/>
      <c r="E84" s="184"/>
      <c r="F84" s="98"/>
      <c r="G84" s="98"/>
    </row>
    <row r="85" spans="1:7" ht="12.75">
      <c r="A85" s="98"/>
      <c r="B85" s="184"/>
      <c r="C85" s="184"/>
      <c r="D85" s="184"/>
      <c r="E85" s="184"/>
      <c r="F85" s="98"/>
      <c r="G85" s="98"/>
    </row>
    <row r="86" spans="1:7" ht="12.75">
      <c r="A86" s="98"/>
      <c r="B86" s="184"/>
      <c r="C86" s="184"/>
      <c r="D86" s="184"/>
      <c r="E86" s="184"/>
      <c r="F86" s="98"/>
      <c r="G86" s="98"/>
    </row>
    <row r="87" spans="1:7" ht="12.75">
      <c r="A87" s="98"/>
      <c r="B87" s="184"/>
      <c r="C87" s="184"/>
      <c r="D87" s="184"/>
      <c r="E87" s="184"/>
      <c r="F87" s="98"/>
      <c r="G87" s="98"/>
    </row>
    <row r="88" spans="1:7" ht="12.75">
      <c r="A88" s="98"/>
      <c r="B88" s="184"/>
      <c r="C88" s="184"/>
      <c r="D88" s="184"/>
      <c r="E88" s="184"/>
      <c r="F88" s="98"/>
      <c r="G88" s="98"/>
    </row>
    <row r="89" spans="1:7" ht="12.75">
      <c r="A89" s="98"/>
      <c r="B89" s="184"/>
      <c r="C89" s="184"/>
      <c r="D89" s="184"/>
      <c r="E89" s="184"/>
      <c r="F89" s="98"/>
      <c r="G89" s="98"/>
    </row>
    <row r="90" spans="1:7" ht="12.75">
      <c r="A90" s="98"/>
      <c r="B90" s="184"/>
      <c r="C90" s="184"/>
      <c r="D90" s="184"/>
      <c r="E90" s="184"/>
      <c r="F90" s="98"/>
      <c r="G90" s="98"/>
    </row>
    <row r="91" spans="1:7" ht="12.75">
      <c r="A91" s="98"/>
      <c r="B91" s="184"/>
      <c r="C91" s="184"/>
      <c r="D91" s="184"/>
      <c r="E91" s="184"/>
      <c r="F91" s="98"/>
      <c r="G91" s="98"/>
    </row>
    <row r="92" spans="1:7" ht="12.75">
      <c r="A92" s="98"/>
      <c r="B92" s="184"/>
      <c r="C92" s="184"/>
      <c r="D92" s="184"/>
      <c r="E92" s="184"/>
      <c r="F92" s="98"/>
      <c r="G92" s="98"/>
    </row>
    <row r="93" spans="1:7" ht="12.75">
      <c r="A93" s="98"/>
      <c r="B93" s="184"/>
      <c r="C93" s="184"/>
      <c r="D93" s="184"/>
      <c r="E93" s="184"/>
      <c r="F93" s="98"/>
      <c r="G93" s="98"/>
    </row>
    <row r="94" spans="1:7" ht="12.75">
      <c r="A94" s="98"/>
      <c r="B94" s="184"/>
      <c r="C94" s="184"/>
      <c r="D94" s="184"/>
      <c r="E94" s="184"/>
      <c r="F94" s="98"/>
      <c r="G94" s="98"/>
    </row>
    <row r="95" spans="1:7" ht="12.75">
      <c r="A95" s="98"/>
      <c r="B95" s="184"/>
      <c r="C95" s="184"/>
      <c r="D95" s="184"/>
      <c r="E95" s="184"/>
      <c r="F95" s="98"/>
      <c r="G95" s="98"/>
    </row>
    <row r="96" spans="1:7" ht="12.75">
      <c r="A96" s="98"/>
      <c r="B96" s="184"/>
      <c r="C96" s="184"/>
      <c r="D96" s="184"/>
      <c r="E96" s="184"/>
      <c r="F96" s="98"/>
      <c r="G96" s="98"/>
    </row>
    <row r="97" spans="1:7" ht="12.75">
      <c r="A97" s="98"/>
      <c r="B97" s="184"/>
      <c r="C97" s="184"/>
      <c r="D97" s="184"/>
      <c r="E97" s="184"/>
      <c r="F97" s="98"/>
      <c r="G97" s="98"/>
    </row>
    <row r="98" spans="1:7" ht="12.75">
      <c r="A98" s="98"/>
      <c r="B98" s="184"/>
      <c r="C98" s="184"/>
      <c r="D98" s="184"/>
      <c r="E98" s="184"/>
      <c r="F98" s="98"/>
      <c r="G98" s="98"/>
    </row>
    <row r="99" spans="1:7" ht="12.75">
      <c r="A99" s="98"/>
      <c r="B99" s="184"/>
      <c r="C99" s="184"/>
      <c r="D99" s="184"/>
      <c r="E99" s="184"/>
      <c r="F99" s="98"/>
      <c r="G99" s="98"/>
    </row>
    <row r="100" spans="1:7" ht="12.75">
      <c r="A100" s="98"/>
      <c r="B100" s="184"/>
      <c r="C100" s="184"/>
      <c r="D100" s="184"/>
      <c r="E100" s="184"/>
      <c r="F100" s="98"/>
      <c r="G100" s="98"/>
    </row>
    <row r="101" spans="1:7" ht="12.75">
      <c r="A101" s="98"/>
      <c r="B101" s="184"/>
      <c r="C101" s="184"/>
      <c r="D101" s="184"/>
      <c r="E101" s="184"/>
      <c r="F101" s="98"/>
      <c r="G101" s="98"/>
    </row>
    <row r="102" spans="1:7" ht="12.75">
      <c r="A102" s="98"/>
      <c r="B102" s="184"/>
      <c r="C102" s="184"/>
      <c r="D102" s="184"/>
      <c r="E102" s="184"/>
      <c r="F102" s="98"/>
      <c r="G102" s="98"/>
    </row>
    <row r="103" spans="1:7" ht="12.75">
      <c r="A103" s="98"/>
      <c r="B103" s="184"/>
      <c r="C103" s="184"/>
      <c r="D103" s="184"/>
      <c r="E103" s="184"/>
      <c r="F103" s="98"/>
      <c r="G103" s="98"/>
    </row>
    <row r="104" spans="1:7" ht="12.75">
      <c r="A104" s="98"/>
      <c r="B104" s="184"/>
      <c r="C104" s="184"/>
      <c r="D104" s="184"/>
      <c r="E104" s="184"/>
      <c r="F104" s="98"/>
      <c r="G104" s="98"/>
    </row>
    <row r="105" spans="1:7" ht="12.75">
      <c r="A105" s="98"/>
      <c r="B105" s="184"/>
      <c r="C105" s="184"/>
      <c r="D105" s="184"/>
      <c r="E105" s="184"/>
      <c r="F105" s="98"/>
      <c r="G105" s="98"/>
    </row>
    <row r="106" spans="1:7" ht="12.75">
      <c r="A106" s="98"/>
      <c r="B106" s="184"/>
      <c r="C106" s="184"/>
      <c r="D106" s="184"/>
      <c r="E106" s="184"/>
      <c r="F106" s="98"/>
      <c r="G106" s="98"/>
    </row>
    <row r="107" spans="1:7" ht="12.75">
      <c r="A107" s="98"/>
      <c r="B107" s="184"/>
      <c r="C107" s="184"/>
      <c r="D107" s="184"/>
      <c r="E107" s="184"/>
      <c r="F107" s="98"/>
      <c r="G107" s="98"/>
    </row>
    <row r="108" spans="1:7" ht="12.75">
      <c r="A108" s="98"/>
      <c r="B108" s="184"/>
      <c r="C108" s="184"/>
      <c r="D108" s="184"/>
      <c r="E108" s="184"/>
      <c r="F108" s="98"/>
      <c r="G108" s="98"/>
    </row>
    <row r="109" spans="1:7" ht="12.75">
      <c r="A109" s="98"/>
      <c r="B109" s="184"/>
      <c r="C109" s="184"/>
      <c r="D109" s="184"/>
      <c r="E109" s="184"/>
      <c r="F109" s="98"/>
      <c r="G109" s="98"/>
    </row>
    <row r="110" spans="1:7" ht="12.75">
      <c r="A110" s="98"/>
      <c r="B110" s="184"/>
      <c r="C110" s="184"/>
      <c r="D110" s="184"/>
      <c r="E110" s="184"/>
      <c r="F110" s="98"/>
      <c r="G110" s="98"/>
    </row>
    <row r="111" spans="1:7" ht="12.75">
      <c r="A111" s="98"/>
      <c r="B111" s="184"/>
      <c r="C111" s="184"/>
      <c r="D111" s="184"/>
      <c r="E111" s="184"/>
      <c r="F111" s="98"/>
      <c r="G111" s="98"/>
    </row>
    <row r="112" spans="1:7" ht="12.75">
      <c r="A112" s="98"/>
      <c r="B112" s="184"/>
      <c r="C112" s="184"/>
      <c r="D112" s="184"/>
      <c r="E112" s="184"/>
      <c r="F112" s="98"/>
      <c r="G112" s="98"/>
    </row>
    <row r="113" spans="1:7" ht="12.75">
      <c r="A113" s="98"/>
      <c r="B113" s="184"/>
      <c r="C113" s="184"/>
      <c r="D113" s="184"/>
      <c r="E113" s="184"/>
      <c r="F113" s="98"/>
      <c r="G113" s="98"/>
    </row>
    <row r="114" spans="1:7" ht="12.75">
      <c r="A114" s="98"/>
      <c r="B114" s="184"/>
      <c r="C114" s="184"/>
      <c r="D114" s="184"/>
      <c r="E114" s="184"/>
      <c r="F114" s="98"/>
      <c r="G114" s="98"/>
    </row>
    <row r="115" spans="1:7" ht="12.75">
      <c r="A115" s="98"/>
      <c r="B115" s="184"/>
      <c r="C115" s="184"/>
      <c r="D115" s="184"/>
      <c r="E115" s="184"/>
      <c r="F115" s="98"/>
      <c r="G115" s="98"/>
    </row>
    <row r="116" spans="1:7" ht="12.75">
      <c r="A116" s="98"/>
      <c r="B116" s="184"/>
      <c r="C116" s="184"/>
      <c r="D116" s="184"/>
      <c r="E116" s="184"/>
      <c r="F116" s="98"/>
      <c r="G116" s="98"/>
    </row>
    <row r="117" spans="1:7" ht="12.75">
      <c r="A117" s="98"/>
      <c r="B117" s="184"/>
      <c r="C117" s="184"/>
      <c r="D117" s="184"/>
      <c r="E117" s="184"/>
      <c r="F117" s="98"/>
      <c r="G117" s="98"/>
    </row>
    <row r="118" spans="1:7" ht="12.75">
      <c r="A118" s="98"/>
      <c r="B118" s="184"/>
      <c r="C118" s="184"/>
      <c r="D118" s="184"/>
      <c r="E118" s="184"/>
      <c r="F118" s="98"/>
      <c r="G118" s="98"/>
    </row>
    <row r="119" spans="1:7" ht="12.75">
      <c r="A119" s="98"/>
      <c r="B119" s="184"/>
      <c r="C119" s="184"/>
      <c r="D119" s="184"/>
      <c r="E119" s="184"/>
      <c r="F119" s="98"/>
      <c r="G119" s="98"/>
    </row>
    <row r="120" spans="1:7" ht="12.75">
      <c r="A120" s="98"/>
      <c r="B120" s="184"/>
      <c r="C120" s="184"/>
      <c r="D120" s="184"/>
      <c r="E120" s="184"/>
      <c r="F120" s="98"/>
      <c r="G120" s="98"/>
    </row>
    <row r="121" spans="1:7" ht="12.75">
      <c r="A121" s="98"/>
      <c r="B121" s="184"/>
      <c r="C121" s="184"/>
      <c r="D121" s="184"/>
      <c r="E121" s="184"/>
      <c r="F121" s="98"/>
      <c r="G121" s="98"/>
    </row>
    <row r="122" spans="1:7" ht="12.75">
      <c r="A122" s="98"/>
      <c r="B122" s="184"/>
      <c r="C122" s="184"/>
      <c r="D122" s="184"/>
      <c r="E122" s="184"/>
      <c r="F122" s="98"/>
      <c r="G122" s="98"/>
    </row>
    <row r="123" spans="1:7" ht="12.75">
      <c r="A123" s="98"/>
      <c r="B123" s="184"/>
      <c r="C123" s="184"/>
      <c r="D123" s="184"/>
      <c r="E123" s="184"/>
      <c r="F123" s="98"/>
      <c r="G123" s="98"/>
    </row>
    <row r="124" spans="1:7" ht="12.75">
      <c r="A124" s="98"/>
      <c r="B124" s="184"/>
      <c r="C124" s="184"/>
      <c r="D124" s="184"/>
      <c r="E124" s="184"/>
      <c r="F124" s="98"/>
      <c r="G124" s="98"/>
    </row>
    <row r="125" spans="1:7" ht="12.75">
      <c r="A125" s="98"/>
      <c r="B125" s="184"/>
      <c r="C125" s="184"/>
      <c r="D125" s="184"/>
      <c r="E125" s="184"/>
      <c r="F125" s="98"/>
      <c r="G125" s="98"/>
    </row>
    <row r="126" spans="1:7" ht="12.75">
      <c r="A126" s="98"/>
      <c r="B126" s="184"/>
      <c r="C126" s="184"/>
      <c r="D126" s="184"/>
      <c r="E126" s="184"/>
      <c r="F126" s="98"/>
      <c r="G126" s="98"/>
    </row>
    <row r="127" spans="1:7" ht="12.75">
      <c r="A127" s="98"/>
      <c r="B127" s="184"/>
      <c r="C127" s="184"/>
      <c r="D127" s="184"/>
      <c r="E127" s="184"/>
      <c r="F127" s="98"/>
      <c r="G127" s="98"/>
    </row>
    <row r="128" spans="1:7" ht="12.75">
      <c r="A128" s="98"/>
      <c r="B128" s="184"/>
      <c r="C128" s="184"/>
      <c r="D128" s="184"/>
      <c r="E128" s="184"/>
      <c r="F128" s="98"/>
      <c r="G128" s="98"/>
    </row>
    <row r="129" spans="1:7" ht="12.75">
      <c r="A129" s="98"/>
      <c r="B129" s="184"/>
      <c r="C129" s="184"/>
      <c r="D129" s="184"/>
      <c r="E129" s="184"/>
      <c r="F129" s="98"/>
      <c r="G129" s="98"/>
    </row>
    <row r="130" spans="1:7" ht="12.75">
      <c r="A130" s="98"/>
      <c r="B130" s="184"/>
      <c r="C130" s="184"/>
      <c r="D130" s="184"/>
      <c r="E130" s="184"/>
      <c r="F130" s="98"/>
      <c r="G130" s="98"/>
    </row>
    <row r="131" spans="1:7" ht="12.75">
      <c r="A131" s="98"/>
      <c r="B131" s="184"/>
      <c r="C131" s="184"/>
      <c r="D131" s="184"/>
      <c r="E131" s="184"/>
      <c r="F131" s="98"/>
      <c r="G131" s="98"/>
    </row>
    <row r="132" spans="1:7" ht="12.75">
      <c r="A132" s="98"/>
      <c r="B132" s="184"/>
      <c r="C132" s="184"/>
      <c r="D132" s="184"/>
      <c r="E132" s="184"/>
      <c r="F132" s="98"/>
      <c r="G132" s="98"/>
    </row>
    <row r="133" spans="1:7" ht="12.75">
      <c r="A133" s="98"/>
      <c r="B133" s="184"/>
      <c r="C133" s="184"/>
      <c r="D133" s="184"/>
      <c r="E133" s="184"/>
      <c r="F133" s="98"/>
      <c r="G133" s="98"/>
    </row>
    <row r="134" spans="1:7" ht="12.75">
      <c r="A134" s="98"/>
      <c r="B134" s="184"/>
      <c r="C134" s="184"/>
      <c r="D134" s="184"/>
      <c r="E134" s="184"/>
      <c r="F134" s="98"/>
      <c r="G134" s="98"/>
    </row>
    <row r="135" spans="1:7" ht="12.75">
      <c r="A135" s="98"/>
      <c r="B135" s="184"/>
      <c r="C135" s="184"/>
      <c r="D135" s="184"/>
      <c r="E135" s="184"/>
      <c r="F135" s="98"/>
      <c r="G135" s="98"/>
    </row>
    <row r="136" spans="1:7" ht="12.75">
      <c r="A136" s="98"/>
      <c r="B136" s="184"/>
      <c r="C136" s="184"/>
      <c r="D136" s="184"/>
      <c r="E136" s="184"/>
      <c r="F136" s="98"/>
      <c r="G136" s="98"/>
    </row>
    <row r="137" spans="1:7" ht="12.75">
      <c r="A137" s="98"/>
      <c r="B137" s="184"/>
      <c r="C137" s="184"/>
      <c r="D137" s="184"/>
      <c r="E137" s="184"/>
      <c r="F137" s="98"/>
      <c r="G137" s="98"/>
    </row>
    <row r="138" spans="1:7" ht="12.75">
      <c r="A138" s="98"/>
      <c r="B138" s="184"/>
      <c r="C138" s="184"/>
      <c r="D138" s="184"/>
      <c r="E138" s="184"/>
      <c r="F138" s="98"/>
      <c r="G138" s="98"/>
    </row>
    <row r="139" spans="1:7" ht="12.75">
      <c r="A139" s="98"/>
      <c r="B139" s="184"/>
      <c r="C139" s="184"/>
      <c r="D139" s="184"/>
      <c r="E139" s="184"/>
      <c r="F139" s="98"/>
      <c r="G139" s="98"/>
    </row>
    <row r="140" spans="1:7" ht="12.75">
      <c r="A140" s="98"/>
      <c r="B140" s="184"/>
      <c r="C140" s="184"/>
      <c r="D140" s="184"/>
      <c r="E140" s="184"/>
      <c r="F140" s="98"/>
      <c r="G140" s="98"/>
    </row>
    <row r="141" spans="1:7" ht="12.75">
      <c r="A141" s="98"/>
      <c r="B141" s="184"/>
      <c r="C141" s="184"/>
      <c r="D141" s="184"/>
      <c r="E141" s="184"/>
      <c r="F141" s="98"/>
      <c r="G141" s="98"/>
    </row>
    <row r="142" spans="1:7" ht="12.75">
      <c r="A142" s="98"/>
      <c r="B142" s="184"/>
      <c r="C142" s="184"/>
      <c r="D142" s="184"/>
      <c r="E142" s="184"/>
      <c r="F142" s="98"/>
      <c r="G142" s="98"/>
    </row>
    <row r="143" spans="1:7" ht="12.75">
      <c r="A143" s="98"/>
      <c r="B143" s="184"/>
      <c r="C143" s="184"/>
      <c r="D143" s="184"/>
      <c r="E143" s="184"/>
      <c r="F143" s="98"/>
      <c r="G143" s="98"/>
    </row>
    <row r="144" spans="1:7" ht="12.75">
      <c r="A144" s="98"/>
      <c r="B144" s="184"/>
      <c r="C144" s="184"/>
      <c r="D144" s="184"/>
      <c r="E144" s="184"/>
      <c r="F144" s="98"/>
      <c r="G144" s="98"/>
    </row>
    <row r="145" spans="1:7" ht="12.75">
      <c r="A145" s="98"/>
      <c r="B145" s="184"/>
      <c r="C145" s="184"/>
      <c r="D145" s="184"/>
      <c r="E145" s="184"/>
      <c r="F145" s="98"/>
      <c r="G145" s="98"/>
    </row>
    <row r="146" spans="1:7" ht="12.75">
      <c r="A146" s="98"/>
      <c r="B146" s="184"/>
      <c r="C146" s="184"/>
      <c r="D146" s="184"/>
      <c r="E146" s="184"/>
      <c r="F146" s="98"/>
      <c r="G146" s="98"/>
    </row>
    <row r="147" spans="1:7" ht="12.75">
      <c r="A147" s="98"/>
      <c r="B147" s="184"/>
      <c r="C147" s="184"/>
      <c r="D147" s="184"/>
      <c r="E147" s="184"/>
      <c r="F147" s="98"/>
      <c r="G147" s="98"/>
    </row>
    <row r="148" spans="1:7" ht="12.75">
      <c r="A148" s="98"/>
      <c r="B148" s="184"/>
      <c r="C148" s="184"/>
      <c r="D148" s="184"/>
      <c r="E148" s="184"/>
      <c r="F148" s="98"/>
      <c r="G148" s="98"/>
    </row>
    <row r="149" spans="1:7" ht="12.75">
      <c r="A149" s="98"/>
      <c r="B149" s="184"/>
      <c r="C149" s="184"/>
      <c r="D149" s="184"/>
      <c r="E149" s="184"/>
      <c r="F149" s="98"/>
      <c r="G149" s="98"/>
    </row>
    <row r="150" spans="1:7" ht="12.75">
      <c r="A150" s="98"/>
      <c r="B150" s="184"/>
      <c r="C150" s="184"/>
      <c r="D150" s="184"/>
      <c r="E150" s="184"/>
      <c r="F150" s="98"/>
      <c r="G150" s="98"/>
    </row>
    <row r="151" spans="1:7" ht="12.75">
      <c r="A151" s="98"/>
      <c r="B151" s="184"/>
      <c r="C151" s="184"/>
      <c r="D151" s="184"/>
      <c r="E151" s="184"/>
      <c r="F151" s="98"/>
      <c r="G151" s="98"/>
    </row>
    <row r="152" spans="1:7" ht="12.75">
      <c r="A152" s="98"/>
      <c r="B152" s="184"/>
      <c r="C152" s="184"/>
      <c r="D152" s="184"/>
      <c r="E152" s="184"/>
      <c r="F152" s="98"/>
      <c r="G152" s="98"/>
    </row>
    <row r="153" spans="1:7" ht="12.75">
      <c r="A153" s="98"/>
      <c r="B153" s="184"/>
      <c r="C153" s="184"/>
      <c r="D153" s="184"/>
      <c r="E153" s="184"/>
      <c r="F153" s="98"/>
      <c r="G153" s="98"/>
    </row>
    <row r="154" spans="1:7" ht="12.75">
      <c r="A154" s="98"/>
      <c r="B154" s="184"/>
      <c r="C154" s="184"/>
      <c r="D154" s="184"/>
      <c r="E154" s="184"/>
      <c r="F154" s="98"/>
      <c r="G154" s="98"/>
    </row>
    <row r="155" spans="1:7" ht="12.75">
      <c r="A155" s="98"/>
      <c r="B155" s="184"/>
      <c r="C155" s="184"/>
      <c r="D155" s="184"/>
      <c r="E155" s="184"/>
      <c r="F155" s="98"/>
      <c r="G155" s="98"/>
    </row>
    <row r="156" spans="1:7" ht="12.75">
      <c r="A156" s="98"/>
      <c r="B156" s="184"/>
      <c r="C156" s="184"/>
      <c r="D156" s="184"/>
      <c r="E156" s="184"/>
      <c r="F156" s="98"/>
      <c r="G156" s="98"/>
    </row>
    <row r="157" spans="1:7" ht="12.75">
      <c r="A157" s="98"/>
      <c r="B157" s="184"/>
      <c r="C157" s="184"/>
      <c r="D157" s="184"/>
      <c r="E157" s="184"/>
      <c r="F157" s="98"/>
      <c r="G157" s="98"/>
    </row>
    <row r="158" spans="1:7" ht="12.75">
      <c r="A158" s="98"/>
      <c r="B158" s="184"/>
      <c r="C158" s="184"/>
      <c r="D158" s="184"/>
      <c r="E158" s="184"/>
      <c r="F158" s="98"/>
      <c r="G158" s="98"/>
    </row>
    <row r="159" spans="1:7" ht="12.75">
      <c r="A159" s="98"/>
      <c r="B159" s="184"/>
      <c r="C159" s="184"/>
      <c r="D159" s="184"/>
      <c r="E159" s="184"/>
      <c r="F159" s="98"/>
      <c r="G159" s="98"/>
    </row>
    <row r="160" spans="1:7" ht="12.75">
      <c r="A160" s="98"/>
      <c r="B160" s="184"/>
      <c r="C160" s="184"/>
      <c r="D160" s="184"/>
      <c r="E160" s="184"/>
      <c r="F160" s="98"/>
      <c r="G160" s="98"/>
    </row>
    <row r="161" spans="1:7" ht="12.75">
      <c r="A161" s="98"/>
      <c r="B161" s="184"/>
      <c r="C161" s="184"/>
      <c r="D161" s="184"/>
      <c r="E161" s="184"/>
      <c r="F161" s="98"/>
      <c r="G161" s="98"/>
    </row>
    <row r="162" spans="1:7" ht="12.75">
      <c r="A162" s="98"/>
      <c r="B162" s="184"/>
      <c r="C162" s="184"/>
      <c r="D162" s="184"/>
      <c r="E162" s="184"/>
      <c r="F162" s="98"/>
      <c r="G162" s="98"/>
    </row>
    <row r="163" spans="1:7" ht="12.75">
      <c r="A163" s="98"/>
      <c r="B163" s="184"/>
      <c r="C163" s="184"/>
      <c r="D163" s="184"/>
      <c r="E163" s="184"/>
      <c r="F163" s="98"/>
      <c r="G163" s="98"/>
    </row>
    <row r="164" spans="1:7" ht="12.75">
      <c r="A164" s="98"/>
      <c r="B164" s="184"/>
      <c r="C164" s="184"/>
      <c r="D164" s="184"/>
      <c r="E164" s="184"/>
      <c r="F164" s="98"/>
      <c r="G164" s="98"/>
    </row>
    <row r="165" spans="1:7" ht="12.75">
      <c r="A165" s="98"/>
      <c r="B165" s="184"/>
      <c r="C165" s="184"/>
      <c r="D165" s="184"/>
      <c r="E165" s="184"/>
      <c r="F165" s="98"/>
      <c r="G165" s="98"/>
    </row>
    <row r="166" spans="1:7" ht="12.75">
      <c r="A166" s="98"/>
      <c r="B166" s="184"/>
      <c r="C166" s="184"/>
      <c r="D166" s="184"/>
      <c r="E166" s="184"/>
      <c r="F166" s="98"/>
      <c r="G166" s="98"/>
    </row>
    <row r="167" spans="1:7" ht="12.75">
      <c r="A167" s="98"/>
      <c r="B167" s="184"/>
      <c r="C167" s="184"/>
      <c r="D167" s="184"/>
      <c r="E167" s="184"/>
      <c r="F167" s="98"/>
      <c r="G167" s="98"/>
    </row>
    <row r="168" spans="1:7" ht="12.75">
      <c r="A168" s="98"/>
      <c r="B168" s="184"/>
      <c r="C168" s="184"/>
      <c r="D168" s="184"/>
      <c r="E168" s="184"/>
      <c r="F168" s="98"/>
      <c r="G168" s="98"/>
    </row>
    <row r="169" spans="1:7" ht="12.75">
      <c r="A169" s="98"/>
      <c r="B169" s="184"/>
      <c r="C169" s="184"/>
      <c r="D169" s="184"/>
      <c r="E169" s="184"/>
      <c r="F169" s="98"/>
      <c r="G169" s="98"/>
    </row>
    <row r="170" spans="1:7" ht="12.75">
      <c r="A170" s="98"/>
      <c r="B170" s="184"/>
      <c r="C170" s="184"/>
      <c r="D170" s="184"/>
      <c r="E170" s="184"/>
      <c r="F170" s="98"/>
      <c r="G170" s="98"/>
    </row>
    <row r="171" spans="1:7" ht="12.75">
      <c r="A171" s="98"/>
      <c r="B171" s="184"/>
      <c r="C171" s="184"/>
      <c r="D171" s="184"/>
      <c r="E171" s="184"/>
      <c r="F171" s="98"/>
      <c r="G171" s="98"/>
    </row>
    <row r="172" spans="1:7" ht="12.75">
      <c r="A172" s="98"/>
      <c r="B172" s="184"/>
      <c r="C172" s="184"/>
      <c r="D172" s="184"/>
      <c r="E172" s="184"/>
      <c r="F172" s="98"/>
      <c r="G172" s="98"/>
    </row>
    <row r="173" spans="1:7" ht="12.75">
      <c r="A173" s="98"/>
      <c r="B173" s="184"/>
      <c r="C173" s="184"/>
      <c r="D173" s="184"/>
      <c r="E173" s="184"/>
      <c r="F173" s="98"/>
      <c r="G173" s="98"/>
    </row>
    <row r="174" spans="1:7" ht="12.75">
      <c r="A174" s="98"/>
      <c r="B174" s="184"/>
      <c r="C174" s="184"/>
      <c r="D174" s="184"/>
      <c r="E174" s="184"/>
      <c r="F174" s="98"/>
      <c r="G174" s="98"/>
    </row>
    <row r="175" spans="1:7" ht="12.75">
      <c r="A175" s="98"/>
      <c r="B175" s="184"/>
      <c r="C175" s="184"/>
      <c r="D175" s="184"/>
      <c r="E175" s="184"/>
      <c r="F175" s="98"/>
      <c r="G175" s="98"/>
    </row>
    <row r="176" spans="1:7" ht="12.75">
      <c r="A176" s="98"/>
      <c r="B176" s="184"/>
      <c r="C176" s="184"/>
      <c r="D176" s="184"/>
      <c r="E176" s="184"/>
      <c r="F176" s="98"/>
      <c r="G176" s="98"/>
    </row>
    <row r="177" spans="1:7" ht="12.75">
      <c r="A177" s="98"/>
      <c r="B177" s="184"/>
      <c r="C177" s="184"/>
      <c r="D177" s="184"/>
      <c r="E177" s="184"/>
      <c r="F177" s="98"/>
      <c r="G177" s="98"/>
    </row>
    <row r="178" spans="1:7" ht="12.75">
      <c r="A178" s="98"/>
      <c r="B178" s="184"/>
      <c r="C178" s="184"/>
      <c r="D178" s="184"/>
      <c r="E178" s="184"/>
      <c r="F178" s="98"/>
      <c r="G178" s="98"/>
    </row>
    <row r="179" spans="1:7" ht="12.75">
      <c r="A179" s="98"/>
      <c r="B179" s="184"/>
      <c r="C179" s="184"/>
      <c r="D179" s="184"/>
      <c r="E179" s="184"/>
      <c r="F179" s="98"/>
      <c r="G179" s="98"/>
    </row>
    <row r="180" spans="1:7" ht="12.75">
      <c r="A180" s="98"/>
      <c r="B180" s="184"/>
      <c r="C180" s="184"/>
      <c r="D180" s="184"/>
      <c r="E180" s="184"/>
      <c r="F180" s="98"/>
      <c r="G180" s="98"/>
    </row>
    <row r="181" spans="1:7" ht="12.75">
      <c r="A181" s="98"/>
      <c r="B181" s="184"/>
      <c r="C181" s="184"/>
      <c r="D181" s="184"/>
      <c r="E181" s="184"/>
      <c r="F181" s="98"/>
      <c r="G181" s="98"/>
    </row>
    <row r="182" spans="1:7" ht="12.75">
      <c r="A182" s="98"/>
      <c r="B182" s="184"/>
      <c r="C182" s="184"/>
      <c r="D182" s="184"/>
      <c r="E182" s="184"/>
      <c r="F182" s="98"/>
      <c r="G182" s="98"/>
    </row>
    <row r="183" spans="1:7" ht="12.75">
      <c r="A183" s="98"/>
      <c r="B183" s="184"/>
      <c r="C183" s="184"/>
      <c r="D183" s="184"/>
      <c r="E183" s="184"/>
      <c r="F183" s="98"/>
      <c r="G183" s="98"/>
    </row>
    <row r="184" spans="1:7" ht="12.75">
      <c r="A184" s="98"/>
      <c r="B184" s="184"/>
      <c r="C184" s="184"/>
      <c r="D184" s="184"/>
      <c r="E184" s="184"/>
      <c r="F184" s="98"/>
      <c r="G184" s="98"/>
    </row>
    <row r="185" spans="1:7" ht="12.75">
      <c r="A185" s="98"/>
      <c r="B185" s="184"/>
      <c r="C185" s="184"/>
      <c r="D185" s="184"/>
      <c r="E185" s="184"/>
      <c r="F185" s="98"/>
      <c r="G185" s="98"/>
    </row>
    <row r="186" spans="1:7" ht="12.75">
      <c r="A186" s="98"/>
      <c r="B186" s="184"/>
      <c r="C186" s="184"/>
      <c r="D186" s="184"/>
      <c r="E186" s="184"/>
      <c r="F186" s="98"/>
      <c r="G186" s="98"/>
    </row>
    <row r="187" spans="1:7" ht="12.75">
      <c r="A187" s="98"/>
      <c r="B187" s="184"/>
      <c r="C187" s="184"/>
      <c r="D187" s="184"/>
      <c r="E187" s="184"/>
      <c r="F187" s="98"/>
      <c r="G187" s="98"/>
    </row>
    <row r="188" spans="1:7" ht="12.75">
      <c r="A188" s="98"/>
      <c r="B188" s="184"/>
      <c r="C188" s="184"/>
      <c r="D188" s="184"/>
      <c r="E188" s="184"/>
      <c r="F188" s="98"/>
      <c r="G188" s="98"/>
    </row>
    <row r="189" spans="1:7" ht="12.75">
      <c r="A189" s="98"/>
      <c r="B189" s="184"/>
      <c r="C189" s="184"/>
      <c r="D189" s="184"/>
      <c r="E189" s="184"/>
      <c r="F189" s="98"/>
      <c r="G189" s="98"/>
    </row>
    <row r="190" spans="1:7" ht="12.75">
      <c r="A190" s="98"/>
      <c r="B190" s="184"/>
      <c r="C190" s="184"/>
      <c r="D190" s="184"/>
      <c r="E190" s="184"/>
      <c r="F190" s="98"/>
      <c r="G190" s="98"/>
    </row>
    <row r="191" spans="1:7" ht="12.75">
      <c r="A191" s="98"/>
      <c r="B191" s="184"/>
      <c r="C191" s="184"/>
      <c r="D191" s="184"/>
      <c r="E191" s="184"/>
      <c r="F191" s="98"/>
      <c r="G191" s="98"/>
    </row>
    <row r="192" spans="1:7" ht="12.75">
      <c r="A192" s="98"/>
      <c r="B192" s="184"/>
      <c r="C192" s="184"/>
      <c r="D192" s="184"/>
      <c r="E192" s="184"/>
      <c r="F192" s="98"/>
      <c r="G192" s="98"/>
    </row>
    <row r="193" spans="1:7" ht="12.75">
      <c r="A193" s="98"/>
      <c r="B193" s="184"/>
      <c r="C193" s="184"/>
      <c r="D193" s="184"/>
      <c r="E193" s="184"/>
      <c r="F193" s="98"/>
      <c r="G193" s="98"/>
    </row>
    <row r="194" spans="1:7" ht="12.75">
      <c r="A194" s="98"/>
      <c r="B194" s="184"/>
      <c r="C194" s="184"/>
      <c r="D194" s="184"/>
      <c r="E194" s="184"/>
      <c r="F194" s="98"/>
      <c r="G194" s="98"/>
    </row>
    <row r="195" spans="1:7" ht="12.75">
      <c r="A195" s="98"/>
      <c r="B195" s="184"/>
      <c r="C195" s="184"/>
      <c r="D195" s="184"/>
      <c r="E195" s="184"/>
      <c r="F195" s="98"/>
      <c r="G195" s="98"/>
    </row>
    <row r="196" spans="1:7" ht="12.75">
      <c r="A196" s="98"/>
      <c r="B196" s="184"/>
      <c r="C196" s="184"/>
      <c r="D196" s="184"/>
      <c r="E196" s="184"/>
      <c r="F196" s="98"/>
      <c r="G196" s="98"/>
    </row>
    <row r="197" spans="1:7" ht="12.75">
      <c r="A197" s="98"/>
      <c r="B197" s="184"/>
      <c r="C197" s="184"/>
      <c r="D197" s="184"/>
      <c r="E197" s="184"/>
      <c r="F197" s="98"/>
      <c r="G197" s="98"/>
    </row>
    <row r="198" spans="1:7" ht="12.75">
      <c r="A198" s="98"/>
      <c r="B198" s="184"/>
      <c r="C198" s="184"/>
      <c r="D198" s="184"/>
      <c r="E198" s="184"/>
      <c r="F198" s="98"/>
      <c r="G198" s="98"/>
    </row>
    <row r="199" spans="1:7" ht="12.75">
      <c r="A199" s="98"/>
      <c r="B199" s="184"/>
      <c r="C199" s="184"/>
      <c r="D199" s="184"/>
      <c r="E199" s="184"/>
      <c r="F199" s="98"/>
      <c r="G199" s="98"/>
    </row>
    <row r="200" spans="1:7" ht="12.75">
      <c r="A200" s="98"/>
      <c r="B200" s="184"/>
      <c r="C200" s="184"/>
      <c r="D200" s="184"/>
      <c r="E200" s="184"/>
      <c r="F200" s="98"/>
      <c r="G200" s="98"/>
    </row>
    <row r="201" spans="1:7" ht="12.75">
      <c r="A201" s="98"/>
      <c r="B201" s="184"/>
      <c r="C201" s="184"/>
      <c r="D201" s="184"/>
      <c r="E201" s="184"/>
      <c r="F201" s="98"/>
      <c r="G201" s="98"/>
    </row>
    <row r="202" spans="1:7" ht="12.75">
      <c r="A202" s="98"/>
      <c r="B202" s="184"/>
      <c r="C202" s="184"/>
      <c r="D202" s="184"/>
      <c r="E202" s="184"/>
      <c r="F202" s="98"/>
      <c r="G202" s="98"/>
    </row>
    <row r="203" spans="1:7" ht="12.75">
      <c r="A203" s="98"/>
      <c r="B203" s="184"/>
      <c r="C203" s="184"/>
      <c r="D203" s="184"/>
      <c r="E203" s="184"/>
      <c r="F203" s="98"/>
      <c r="G203" s="98"/>
    </row>
    <row r="204" spans="1:7" ht="12.75">
      <c r="A204" s="98"/>
      <c r="B204" s="184"/>
      <c r="C204" s="184"/>
      <c r="D204" s="184"/>
      <c r="E204" s="184"/>
      <c r="F204" s="98"/>
      <c r="G204" s="98"/>
    </row>
    <row r="205" spans="1:7" ht="12.75">
      <c r="A205" s="98"/>
      <c r="B205" s="184"/>
      <c r="C205" s="184"/>
      <c r="D205" s="184"/>
      <c r="E205" s="184"/>
      <c r="F205" s="98"/>
      <c r="G205" s="98"/>
    </row>
    <row r="206" spans="1:7" ht="12.75">
      <c r="A206" s="98"/>
      <c r="B206" s="184"/>
      <c r="C206" s="184"/>
      <c r="D206" s="184"/>
      <c r="E206" s="184"/>
      <c r="F206" s="98"/>
      <c r="G206" s="98"/>
    </row>
    <row r="207" spans="1:7" ht="12.75">
      <c r="A207" s="98"/>
      <c r="B207" s="184"/>
      <c r="C207" s="184"/>
      <c r="D207" s="184"/>
      <c r="E207" s="184"/>
      <c r="F207" s="98"/>
      <c r="G207" s="98"/>
    </row>
    <row r="208" spans="1:7" ht="12.75">
      <c r="A208" s="98"/>
      <c r="B208" s="184"/>
      <c r="C208" s="184"/>
      <c r="D208" s="184"/>
      <c r="E208" s="184"/>
      <c r="F208" s="98"/>
      <c r="G208" s="98"/>
    </row>
    <row r="209" spans="1:7" ht="12.75">
      <c r="A209" s="98"/>
      <c r="B209" s="184"/>
      <c r="C209" s="184"/>
      <c r="D209" s="184"/>
      <c r="E209" s="184"/>
      <c r="F209" s="98"/>
      <c r="G209" s="98"/>
    </row>
    <row r="210" spans="1:7" ht="12.75">
      <c r="A210" s="98"/>
      <c r="B210" s="184"/>
      <c r="C210" s="184"/>
      <c r="D210" s="184"/>
      <c r="E210" s="184"/>
      <c r="F210" s="98"/>
      <c r="G210" s="98"/>
    </row>
    <row r="211" spans="1:7" ht="12.75">
      <c r="A211" s="98"/>
      <c r="B211" s="184"/>
      <c r="C211" s="184"/>
      <c r="D211" s="184"/>
      <c r="E211" s="184"/>
      <c r="F211" s="98"/>
      <c r="G211" s="98"/>
    </row>
    <row r="212" spans="1:7" ht="12.75">
      <c r="A212" s="98"/>
      <c r="B212" s="184"/>
      <c r="C212" s="184"/>
      <c r="D212" s="184"/>
      <c r="E212" s="184"/>
      <c r="F212" s="98"/>
      <c r="G212" s="98"/>
    </row>
    <row r="213" spans="1:7" ht="12.75">
      <c r="A213" s="98"/>
      <c r="B213" s="184"/>
      <c r="C213" s="184"/>
      <c r="D213" s="184"/>
      <c r="E213" s="184"/>
      <c r="F213" s="98"/>
      <c r="G213" s="98"/>
    </row>
    <row r="214" spans="1:7" ht="12.75">
      <c r="A214" s="98"/>
      <c r="B214" s="184"/>
      <c r="C214" s="184"/>
      <c r="D214" s="184"/>
      <c r="E214" s="184"/>
      <c r="F214" s="98"/>
      <c r="G214" s="98"/>
    </row>
    <row r="215" spans="1:7" ht="12.75">
      <c r="A215" s="98"/>
      <c r="B215" s="184"/>
      <c r="C215" s="184"/>
      <c r="D215" s="184"/>
      <c r="E215" s="184"/>
      <c r="F215" s="98"/>
      <c r="G215" s="98"/>
    </row>
    <row r="216" spans="1:7" ht="12.75">
      <c r="A216" s="98"/>
      <c r="B216" s="184"/>
      <c r="C216" s="184"/>
      <c r="D216" s="184"/>
      <c r="E216" s="184"/>
      <c r="F216" s="98"/>
      <c r="G216" s="98"/>
    </row>
    <row r="217" spans="1:7" ht="12.75">
      <c r="A217" s="98"/>
      <c r="B217" s="184"/>
      <c r="C217" s="184"/>
      <c r="D217" s="184"/>
      <c r="E217" s="184"/>
      <c r="F217" s="98"/>
      <c r="G217" s="98"/>
    </row>
    <row r="218" spans="1:7" ht="12.75">
      <c r="A218" s="98"/>
      <c r="B218" s="184"/>
      <c r="C218" s="184"/>
      <c r="D218" s="184"/>
      <c r="E218" s="184"/>
      <c r="F218" s="98"/>
      <c r="G218" s="98"/>
    </row>
    <row r="219" spans="1:7" ht="12.75">
      <c r="A219" s="98"/>
      <c r="B219" s="184"/>
      <c r="C219" s="184"/>
      <c r="D219" s="184"/>
      <c r="E219" s="184"/>
      <c r="F219" s="98"/>
      <c r="G219" s="98"/>
    </row>
    <row r="220" spans="1:7" ht="12.75">
      <c r="A220" s="98"/>
      <c r="B220" s="184"/>
      <c r="C220" s="184"/>
      <c r="D220" s="184"/>
      <c r="E220" s="184"/>
      <c r="F220" s="98"/>
      <c r="G220" s="98"/>
    </row>
    <row r="221" spans="1:7" ht="12.75">
      <c r="A221" s="98"/>
      <c r="B221" s="184"/>
      <c r="C221" s="184"/>
      <c r="D221" s="184"/>
      <c r="E221" s="184"/>
      <c r="F221" s="98"/>
      <c r="G221" s="98"/>
    </row>
    <row r="222" spans="1:7" ht="12.75">
      <c r="A222" s="98"/>
      <c r="B222" s="184"/>
      <c r="C222" s="184"/>
      <c r="D222" s="184"/>
      <c r="E222" s="184"/>
      <c r="F222" s="98"/>
      <c r="G222" s="98"/>
    </row>
    <row r="223" spans="1:7" ht="12.75">
      <c r="A223" s="98"/>
      <c r="B223" s="184"/>
      <c r="C223" s="184"/>
      <c r="D223" s="184"/>
      <c r="E223" s="184"/>
      <c r="F223" s="98"/>
      <c r="G223" s="98"/>
    </row>
    <row r="224" spans="1:7" ht="12.75">
      <c r="A224" s="98"/>
      <c r="B224" s="184"/>
      <c r="C224" s="184"/>
      <c r="D224" s="184"/>
      <c r="E224" s="184"/>
      <c r="F224" s="98"/>
      <c r="G224" s="98"/>
    </row>
    <row r="225" spans="1:7" ht="12.75">
      <c r="A225" s="98"/>
      <c r="B225" s="184"/>
      <c r="C225" s="184"/>
      <c r="D225" s="184"/>
      <c r="E225" s="184"/>
      <c r="F225" s="98"/>
      <c r="G225" s="98"/>
    </row>
    <row r="226" spans="1:7" ht="12.75">
      <c r="A226" s="98"/>
      <c r="B226" s="184"/>
      <c r="C226" s="184"/>
      <c r="D226" s="184"/>
      <c r="E226" s="184"/>
      <c r="F226" s="98"/>
      <c r="G226" s="98"/>
    </row>
    <row r="227" spans="1:7" ht="12.75">
      <c r="A227" s="98"/>
      <c r="B227" s="184"/>
      <c r="C227" s="184"/>
      <c r="D227" s="184"/>
      <c r="E227" s="184"/>
      <c r="F227" s="98"/>
      <c r="G227" s="98"/>
    </row>
    <row r="228" spans="1:7" ht="12.75">
      <c r="A228" s="98"/>
      <c r="B228" s="184"/>
      <c r="C228" s="184"/>
      <c r="D228" s="184"/>
      <c r="E228" s="184"/>
      <c r="F228" s="98"/>
      <c r="G228" s="98"/>
    </row>
    <row r="229" spans="1:7" ht="12.75">
      <c r="A229" s="98"/>
      <c r="B229" s="184"/>
      <c r="C229" s="184"/>
      <c r="D229" s="184"/>
      <c r="E229" s="184"/>
      <c r="F229" s="98"/>
      <c r="G229" s="98"/>
    </row>
    <row r="230" spans="1:7" ht="12.75">
      <c r="A230" s="98"/>
      <c r="B230" s="184"/>
      <c r="C230" s="184"/>
      <c r="D230" s="184"/>
      <c r="E230" s="184"/>
      <c r="F230" s="98"/>
      <c r="G230" s="98"/>
    </row>
    <row r="231" spans="1:7" ht="12.75">
      <c r="A231" s="98"/>
      <c r="B231" s="184"/>
      <c r="C231" s="184"/>
      <c r="D231" s="184"/>
      <c r="E231" s="184"/>
      <c r="F231" s="98"/>
      <c r="G231" s="98"/>
    </row>
    <row r="232" spans="1:7" ht="12.75">
      <c r="A232" s="98"/>
      <c r="B232" s="184"/>
      <c r="C232" s="184"/>
      <c r="D232" s="184"/>
      <c r="E232" s="184"/>
      <c r="F232" s="98"/>
      <c r="G232" s="98"/>
    </row>
    <row r="233" spans="1:7" ht="12.75">
      <c r="A233" s="98"/>
      <c r="B233" s="184"/>
      <c r="C233" s="184"/>
      <c r="D233" s="184"/>
      <c r="E233" s="184"/>
      <c r="F233" s="98"/>
      <c r="G233" s="98"/>
    </row>
    <row r="234" spans="1:7" ht="12.75">
      <c r="A234" s="98"/>
      <c r="B234" s="184"/>
      <c r="C234" s="184"/>
      <c r="D234" s="184"/>
      <c r="E234" s="184"/>
      <c r="F234" s="98"/>
      <c r="G234" s="98"/>
    </row>
    <row r="235" spans="1:7" ht="12.75">
      <c r="A235" s="98"/>
      <c r="B235" s="184"/>
      <c r="C235" s="184"/>
      <c r="D235" s="184"/>
      <c r="E235" s="184"/>
      <c r="F235" s="98"/>
      <c r="G235" s="98"/>
    </row>
    <row r="236" spans="1:7" ht="12.75">
      <c r="A236" s="98"/>
      <c r="B236" s="184"/>
      <c r="C236" s="184"/>
      <c r="D236" s="184"/>
      <c r="E236" s="184"/>
      <c r="F236" s="98"/>
      <c r="G236" s="98"/>
    </row>
    <row r="237" spans="1:7" ht="12.75">
      <c r="A237" s="98"/>
      <c r="B237" s="184"/>
      <c r="C237" s="184"/>
      <c r="D237" s="184"/>
      <c r="E237" s="184"/>
      <c r="F237" s="98"/>
      <c r="G237" s="98"/>
    </row>
    <row r="238" spans="1:7" ht="12.75">
      <c r="A238" s="98"/>
      <c r="B238" s="184"/>
      <c r="C238" s="184"/>
      <c r="D238" s="184"/>
      <c r="E238" s="184"/>
      <c r="F238" s="98"/>
      <c r="G238" s="98"/>
    </row>
    <row r="239" spans="1:7" ht="12.75">
      <c r="A239" s="98"/>
      <c r="B239" s="184"/>
      <c r="C239" s="184"/>
      <c r="D239" s="184"/>
      <c r="E239" s="184"/>
      <c r="F239" s="98"/>
      <c r="G239" s="98"/>
    </row>
    <row r="240" spans="1:7" ht="12.75">
      <c r="A240" s="98"/>
      <c r="B240" s="184"/>
      <c r="C240" s="184"/>
      <c r="D240" s="184"/>
      <c r="E240" s="184"/>
      <c r="F240" s="98"/>
      <c r="G240" s="98"/>
    </row>
    <row r="241" spans="1:7" ht="12.75">
      <c r="A241" s="98"/>
      <c r="B241" s="184"/>
      <c r="C241" s="184"/>
      <c r="D241" s="184"/>
      <c r="E241" s="184"/>
      <c r="F241" s="98"/>
      <c r="G241" s="98"/>
    </row>
    <row r="242" spans="1:7" ht="12.75">
      <c r="A242" s="98"/>
      <c r="B242" s="184"/>
      <c r="C242" s="184"/>
      <c r="D242" s="184"/>
      <c r="E242" s="184"/>
      <c r="F242" s="98"/>
      <c r="G242" s="98"/>
    </row>
    <row r="243" spans="1:7" ht="12.75">
      <c r="A243" s="98"/>
      <c r="B243" s="184"/>
      <c r="C243" s="184"/>
      <c r="D243" s="184"/>
      <c r="E243" s="184"/>
      <c r="F243" s="98"/>
      <c r="G243" s="98"/>
    </row>
    <row r="244" spans="1:7" ht="12.75">
      <c r="A244" s="98"/>
      <c r="B244" s="184"/>
      <c r="C244" s="184"/>
      <c r="D244" s="184"/>
      <c r="E244" s="184"/>
      <c r="F244" s="98"/>
      <c r="G244" s="98"/>
    </row>
    <row r="245" spans="1:7" ht="12.75">
      <c r="A245" s="98"/>
      <c r="B245" s="184"/>
      <c r="C245" s="184"/>
      <c r="D245" s="184"/>
      <c r="E245" s="184"/>
      <c r="F245" s="98"/>
      <c r="G245" s="98"/>
    </row>
    <row r="246" spans="1:7" ht="12.75">
      <c r="A246" s="98"/>
      <c r="B246" s="184"/>
      <c r="C246" s="184"/>
      <c r="D246" s="184"/>
      <c r="E246" s="184"/>
      <c r="F246" s="98"/>
      <c r="G246" s="98"/>
    </row>
    <row r="247" spans="1:7" ht="12.75">
      <c r="A247" s="98"/>
      <c r="B247" s="184"/>
      <c r="C247" s="184"/>
      <c r="D247" s="184"/>
      <c r="E247" s="184"/>
      <c r="F247" s="98"/>
      <c r="G247" s="98"/>
    </row>
    <row r="248" spans="1:7" ht="12.75">
      <c r="A248" s="98"/>
      <c r="B248" s="184"/>
      <c r="C248" s="184"/>
      <c r="D248" s="184"/>
      <c r="E248" s="184"/>
      <c r="F248" s="98"/>
      <c r="G248" s="98"/>
    </row>
    <row r="249" spans="1:7" ht="12.75">
      <c r="A249" s="98"/>
      <c r="B249" s="184"/>
      <c r="C249" s="184"/>
      <c r="D249" s="184"/>
      <c r="E249" s="184"/>
      <c r="F249" s="98"/>
      <c r="G249" s="98"/>
    </row>
    <row r="250" spans="1:7" ht="12.75">
      <c r="A250" s="98"/>
      <c r="B250" s="184"/>
      <c r="C250" s="184"/>
      <c r="D250" s="184"/>
      <c r="E250" s="184"/>
      <c r="F250" s="98"/>
      <c r="G250" s="98"/>
    </row>
    <row r="251" spans="1:7" ht="12.75">
      <c r="A251" s="98"/>
      <c r="B251" s="184"/>
      <c r="C251" s="184"/>
      <c r="D251" s="184"/>
      <c r="E251" s="184"/>
      <c r="F251" s="98"/>
      <c r="G251" s="98"/>
    </row>
    <row r="252" spans="1:7" ht="12.75">
      <c r="A252" s="98"/>
      <c r="B252" s="184"/>
      <c r="C252" s="184"/>
      <c r="D252" s="184"/>
      <c r="E252" s="184"/>
      <c r="F252" s="98"/>
      <c r="G252" s="98"/>
    </row>
    <row r="253" spans="1:7" ht="12.75">
      <c r="A253" s="98"/>
      <c r="B253" s="184"/>
      <c r="C253" s="184"/>
      <c r="D253" s="184"/>
      <c r="E253" s="184"/>
      <c r="F253" s="98"/>
      <c r="G253" s="98"/>
    </row>
    <row r="254" spans="1:7" ht="12.75">
      <c r="A254" s="98"/>
      <c r="B254" s="184"/>
      <c r="C254" s="184"/>
      <c r="D254" s="184"/>
      <c r="E254" s="184"/>
      <c r="F254" s="98"/>
      <c r="G254" s="98"/>
    </row>
    <row r="255" spans="1:7" ht="12.75">
      <c r="A255" s="98"/>
      <c r="B255" s="184"/>
      <c r="C255" s="184"/>
      <c r="D255" s="184"/>
      <c r="E255" s="184"/>
      <c r="F255" s="98"/>
      <c r="G255" s="98"/>
    </row>
    <row r="256" spans="1:7" ht="12.75">
      <c r="A256" s="98"/>
      <c r="B256" s="184"/>
      <c r="C256" s="184"/>
      <c r="D256" s="184"/>
      <c r="E256" s="184"/>
      <c r="F256" s="98"/>
      <c r="G256" s="98"/>
    </row>
    <row r="257" spans="1:7" ht="12.75">
      <c r="A257" s="98"/>
      <c r="B257" s="184"/>
      <c r="C257" s="184"/>
      <c r="D257" s="184"/>
      <c r="E257" s="184"/>
      <c r="F257" s="98"/>
      <c r="G257" s="98"/>
    </row>
    <row r="258" spans="1:7" ht="12.75">
      <c r="A258" s="98"/>
      <c r="B258" s="184"/>
      <c r="C258" s="184"/>
      <c r="D258" s="184"/>
      <c r="E258" s="184"/>
      <c r="F258" s="98"/>
      <c r="G258" s="98"/>
    </row>
    <row r="259" spans="1:7" ht="12.75">
      <c r="A259" s="98"/>
      <c r="B259" s="184"/>
      <c r="C259" s="184"/>
      <c r="D259" s="184"/>
      <c r="E259" s="184"/>
      <c r="F259" s="98"/>
      <c r="G259" s="98"/>
    </row>
    <row r="260" spans="1:7" ht="12.75">
      <c r="A260" s="98"/>
      <c r="B260" s="184"/>
      <c r="C260" s="184"/>
      <c r="D260" s="184"/>
      <c r="E260" s="184"/>
      <c r="F260" s="98"/>
      <c r="G260" s="98"/>
    </row>
    <row r="261" spans="1:7" ht="12.75">
      <c r="A261" s="98"/>
      <c r="B261" s="184"/>
      <c r="C261" s="184"/>
      <c r="D261" s="184"/>
      <c r="E261" s="184"/>
      <c r="F261" s="98"/>
      <c r="G261" s="98"/>
    </row>
    <row r="262" spans="1:7" ht="12.75">
      <c r="A262" s="98"/>
      <c r="B262" s="184"/>
      <c r="C262" s="184"/>
      <c r="D262" s="184"/>
      <c r="E262" s="184"/>
      <c r="F262" s="98"/>
      <c r="G262" s="98"/>
    </row>
    <row r="263" spans="1:7" ht="12.75">
      <c r="A263" s="98"/>
      <c r="B263" s="184"/>
      <c r="C263" s="184"/>
      <c r="D263" s="184"/>
      <c r="E263" s="184"/>
      <c r="F263" s="98"/>
      <c r="G263" s="98"/>
    </row>
    <row r="264" spans="1:7" ht="12.75">
      <c r="A264" s="98"/>
      <c r="B264" s="184"/>
      <c r="C264" s="184"/>
      <c r="D264" s="184"/>
      <c r="E264" s="184"/>
      <c r="F264" s="98"/>
      <c r="G264" s="98"/>
    </row>
    <row r="265" spans="1:7" ht="12.75">
      <c r="A265" s="98"/>
      <c r="B265" s="184"/>
      <c r="C265" s="184"/>
      <c r="D265" s="184"/>
      <c r="E265" s="184"/>
      <c r="F265" s="98"/>
      <c r="G265" s="98"/>
    </row>
    <row r="266" spans="1:7" ht="12.75">
      <c r="A266" s="98"/>
      <c r="B266" s="184"/>
      <c r="C266" s="184"/>
      <c r="D266" s="184"/>
      <c r="E266" s="184"/>
      <c r="F266" s="98"/>
      <c r="G266" s="98"/>
    </row>
    <row r="267" spans="1:7" ht="12.75">
      <c r="A267" s="98"/>
      <c r="B267" s="184"/>
      <c r="C267" s="184"/>
      <c r="D267" s="184"/>
      <c r="E267" s="184"/>
      <c r="F267" s="98"/>
      <c r="G267" s="98"/>
    </row>
    <row r="268" spans="1:7" ht="12.75">
      <c r="A268" s="98"/>
      <c r="B268" s="184"/>
      <c r="C268" s="184"/>
      <c r="D268" s="184"/>
      <c r="E268" s="184"/>
      <c r="F268" s="98"/>
      <c r="G268" s="98"/>
    </row>
    <row r="269" spans="1:7" ht="12.75">
      <c r="A269" s="98"/>
      <c r="B269" s="184"/>
      <c r="C269" s="184"/>
      <c r="D269" s="184"/>
      <c r="E269" s="184"/>
      <c r="F269" s="98"/>
      <c r="G269" s="98"/>
    </row>
    <row r="270" spans="1:7" ht="12.75">
      <c r="A270" s="98"/>
      <c r="B270" s="184"/>
      <c r="C270" s="184"/>
      <c r="D270" s="184"/>
      <c r="E270" s="184"/>
      <c r="F270" s="98"/>
      <c r="G270" s="98"/>
    </row>
    <row r="271" spans="1:7" ht="12.75">
      <c r="A271" s="98"/>
      <c r="B271" s="184"/>
      <c r="C271" s="184"/>
      <c r="D271" s="184"/>
      <c r="E271" s="184"/>
      <c r="F271" s="98"/>
      <c r="G271" s="98"/>
    </row>
    <row r="272" spans="1:7" ht="12.75">
      <c r="A272" s="98"/>
      <c r="B272" s="184"/>
      <c r="C272" s="184"/>
      <c r="D272" s="184"/>
      <c r="E272" s="184"/>
      <c r="F272" s="98"/>
      <c r="G272" s="98"/>
    </row>
    <row r="273" spans="1:7" ht="12.75">
      <c r="A273" s="98"/>
      <c r="B273" s="184"/>
      <c r="C273" s="184"/>
      <c r="D273" s="184"/>
      <c r="E273" s="184"/>
      <c r="F273" s="98"/>
      <c r="G273" s="98"/>
    </row>
    <row r="274" spans="1:7" ht="12.75">
      <c r="A274" s="98"/>
      <c r="B274" s="184"/>
      <c r="C274" s="184"/>
      <c r="D274" s="184"/>
      <c r="E274" s="184"/>
      <c r="F274" s="98"/>
      <c r="G274" s="98"/>
    </row>
    <row r="275" spans="1:7" ht="12.75">
      <c r="A275" s="98"/>
      <c r="B275" s="184"/>
      <c r="C275" s="184"/>
      <c r="D275" s="184"/>
      <c r="E275" s="184"/>
      <c r="F275" s="98"/>
      <c r="G275" s="98"/>
    </row>
    <row r="276" spans="1:7" ht="12.75">
      <c r="A276" s="98"/>
      <c r="B276" s="184"/>
      <c r="C276" s="184"/>
      <c r="D276" s="184"/>
      <c r="E276" s="184"/>
      <c r="F276" s="98"/>
      <c r="G276" s="98"/>
    </row>
    <row r="277" spans="1:7" ht="12.75">
      <c r="A277" s="98"/>
      <c r="B277" s="184"/>
      <c r="C277" s="184"/>
      <c r="D277" s="184"/>
      <c r="E277" s="184"/>
      <c r="F277" s="98"/>
      <c r="G277" s="98"/>
    </row>
    <row r="278" spans="1:7" ht="12.75">
      <c r="A278" s="98"/>
      <c r="B278" s="184"/>
      <c r="C278" s="184"/>
      <c r="D278" s="184"/>
      <c r="E278" s="184"/>
      <c r="F278" s="98"/>
      <c r="G278" s="98"/>
    </row>
    <row r="279" spans="1:7" ht="12.75">
      <c r="A279" s="98"/>
      <c r="B279" s="184"/>
      <c r="C279" s="184"/>
      <c r="D279" s="184"/>
      <c r="E279" s="184"/>
      <c r="F279" s="98"/>
      <c r="G279" s="98"/>
    </row>
    <row r="280" spans="1:7" ht="12.75">
      <c r="A280" s="98"/>
      <c r="B280" s="184"/>
      <c r="C280" s="184"/>
      <c r="D280" s="184"/>
      <c r="E280" s="184"/>
      <c r="F280" s="98"/>
      <c r="G280" s="98"/>
    </row>
    <row r="281" spans="1:7" ht="12.75">
      <c r="A281" s="98"/>
      <c r="B281" s="184"/>
      <c r="C281" s="184"/>
      <c r="D281" s="184"/>
      <c r="E281" s="184"/>
      <c r="F281" s="98"/>
      <c r="G281" s="98"/>
    </row>
    <row r="282" spans="1:7" ht="12.75">
      <c r="A282" s="98"/>
      <c r="B282" s="184"/>
      <c r="C282" s="184"/>
      <c r="D282" s="184"/>
      <c r="E282" s="184"/>
      <c r="F282" s="98"/>
      <c r="G282" s="98"/>
    </row>
    <row r="283" spans="1:7" ht="12.75">
      <c r="A283" s="98"/>
      <c r="B283" s="184"/>
      <c r="C283" s="184"/>
      <c r="D283" s="184"/>
      <c r="E283" s="184"/>
      <c r="F283" s="98"/>
      <c r="G283" s="98"/>
    </row>
    <row r="284" spans="1:7" ht="12.75">
      <c r="A284" s="98"/>
      <c r="B284" s="184"/>
      <c r="C284" s="184"/>
      <c r="D284" s="184"/>
      <c r="E284" s="184"/>
      <c r="F284" s="98"/>
      <c r="G284" s="98"/>
    </row>
    <row r="285" spans="1:7" ht="12.75">
      <c r="A285" s="98"/>
      <c r="B285" s="184"/>
      <c r="C285" s="184"/>
      <c r="D285" s="184"/>
      <c r="E285" s="184"/>
      <c r="F285" s="98"/>
      <c r="G285" s="98"/>
    </row>
    <row r="286" spans="1:7" ht="12.75">
      <c r="A286" s="98"/>
      <c r="B286" s="184"/>
      <c r="C286" s="184"/>
      <c r="D286" s="184"/>
      <c r="E286" s="184"/>
      <c r="F286" s="98"/>
      <c r="G286" s="98"/>
    </row>
    <row r="287" spans="1:7" ht="12.75">
      <c r="A287" s="98"/>
      <c r="B287" s="184"/>
      <c r="C287" s="184"/>
      <c r="D287" s="184"/>
      <c r="E287" s="184"/>
      <c r="F287" s="98"/>
      <c r="G287" s="98"/>
    </row>
    <row r="288" spans="1:7" ht="12.75">
      <c r="A288" s="98"/>
      <c r="B288" s="184"/>
      <c r="C288" s="184"/>
      <c r="D288" s="184"/>
      <c r="E288" s="184"/>
      <c r="F288" s="98"/>
      <c r="G288" s="98"/>
    </row>
    <row r="289" spans="1:7" ht="12.75">
      <c r="A289" s="98"/>
      <c r="B289" s="184"/>
      <c r="C289" s="184"/>
      <c r="D289" s="184"/>
      <c r="E289" s="184"/>
      <c r="F289" s="98"/>
      <c r="G289" s="98"/>
    </row>
    <row r="290" spans="1:7" ht="12.75">
      <c r="A290" s="98"/>
      <c r="B290" s="184"/>
      <c r="C290" s="184"/>
      <c r="D290" s="184"/>
      <c r="E290" s="184"/>
      <c r="F290" s="98"/>
      <c r="G290" s="98"/>
    </row>
    <row r="291" spans="1:7" ht="12.75">
      <c r="A291" s="98"/>
      <c r="B291" s="184"/>
      <c r="C291" s="184"/>
      <c r="D291" s="184"/>
      <c r="E291" s="184"/>
      <c r="F291" s="98"/>
      <c r="G291" s="98"/>
    </row>
    <row r="292" spans="1:7" ht="12.75">
      <c r="A292" s="98"/>
      <c r="B292" s="184"/>
      <c r="C292" s="184"/>
      <c r="D292" s="184"/>
      <c r="E292" s="184"/>
      <c r="F292" s="98"/>
      <c r="G292" s="98"/>
    </row>
    <row r="293" spans="1:7" ht="12.75">
      <c r="A293" s="98"/>
      <c r="B293" s="184"/>
      <c r="C293" s="184"/>
      <c r="D293" s="184"/>
      <c r="E293" s="184"/>
      <c r="F293" s="98"/>
      <c r="G293" s="98"/>
    </row>
    <row r="294" spans="1:7" ht="12.75">
      <c r="A294" s="98"/>
      <c r="B294" s="184"/>
      <c r="C294" s="184"/>
      <c r="D294" s="184"/>
      <c r="E294" s="184"/>
      <c r="F294" s="98"/>
      <c r="G294" s="98"/>
    </row>
    <row r="295" spans="1:7" ht="12.75">
      <c r="A295" s="98"/>
      <c r="B295" s="184"/>
      <c r="C295" s="184"/>
      <c r="D295" s="184"/>
      <c r="E295" s="184"/>
      <c r="F295" s="98"/>
      <c r="G295" s="98"/>
    </row>
    <row r="296" spans="1:7" ht="12.75">
      <c r="A296" s="98"/>
      <c r="B296" s="184"/>
      <c r="C296" s="184"/>
      <c r="D296" s="184"/>
      <c r="E296" s="184"/>
      <c r="F296" s="98"/>
      <c r="G296" s="98"/>
    </row>
    <row r="297" spans="1:7" ht="12.75">
      <c r="A297" s="98"/>
      <c r="B297" s="184"/>
      <c r="C297" s="184"/>
      <c r="D297" s="184"/>
      <c r="E297" s="184"/>
      <c r="F297" s="98"/>
      <c r="G297" s="98"/>
    </row>
    <row r="298" spans="1:7" ht="12.75">
      <c r="A298" s="98"/>
      <c r="B298" s="184"/>
      <c r="C298" s="184"/>
      <c r="D298" s="184"/>
      <c r="E298" s="184"/>
      <c r="F298" s="98"/>
      <c r="G298" s="98"/>
    </row>
    <row r="299" spans="1:7" ht="12.75">
      <c r="A299" s="98"/>
      <c r="B299" s="184"/>
      <c r="C299" s="184"/>
      <c r="D299" s="184"/>
      <c r="E299" s="184"/>
      <c r="F299" s="98"/>
      <c r="G299" s="98"/>
    </row>
    <row r="300" spans="1:7" ht="12.75">
      <c r="A300" s="98"/>
      <c r="B300" s="184"/>
      <c r="C300" s="184"/>
      <c r="D300" s="184"/>
      <c r="E300" s="184"/>
      <c r="F300" s="98"/>
      <c r="G300" s="98"/>
    </row>
    <row r="301" spans="1:7" ht="12.75">
      <c r="A301" s="98"/>
      <c r="B301" s="184"/>
      <c r="C301" s="184"/>
      <c r="D301" s="184"/>
      <c r="E301" s="184"/>
      <c r="F301" s="98"/>
      <c r="G301" s="98"/>
    </row>
    <row r="302" spans="1:7" ht="12.75">
      <c r="A302" s="98"/>
      <c r="B302" s="184"/>
      <c r="C302" s="184"/>
      <c r="D302" s="184"/>
      <c r="E302" s="184"/>
      <c r="F302" s="98"/>
      <c r="G302" s="98"/>
    </row>
    <row r="303" spans="1:7" ht="12.75">
      <c r="A303" s="98"/>
      <c r="B303" s="184"/>
      <c r="C303" s="184"/>
      <c r="D303" s="184"/>
      <c r="E303" s="184"/>
      <c r="F303" s="98"/>
      <c r="G303" s="98"/>
    </row>
    <row r="304" spans="1:7" ht="12.75">
      <c r="A304" s="98"/>
      <c r="B304" s="184"/>
      <c r="C304" s="184"/>
      <c r="D304" s="184"/>
      <c r="E304" s="184"/>
      <c r="F304" s="98"/>
      <c r="G304" s="98"/>
    </row>
    <row r="305" spans="1:7" ht="12.75">
      <c r="A305" s="98"/>
      <c r="B305" s="184"/>
      <c r="C305" s="184"/>
      <c r="D305" s="184"/>
      <c r="E305" s="184"/>
      <c r="F305" s="98"/>
      <c r="G305" s="98"/>
    </row>
    <row r="306" spans="1:7" ht="12.75">
      <c r="A306" s="98"/>
      <c r="B306" s="184"/>
      <c r="C306" s="184"/>
      <c r="D306" s="184"/>
      <c r="E306" s="184"/>
      <c r="F306" s="98"/>
      <c r="G306" s="98"/>
    </row>
    <row r="307" spans="1:7" ht="12.75">
      <c r="A307" s="98"/>
      <c r="B307" s="184"/>
      <c r="C307" s="184"/>
      <c r="D307" s="184"/>
      <c r="E307" s="184"/>
      <c r="F307" s="98"/>
      <c r="G307" s="98"/>
    </row>
    <row r="308" spans="1:7" ht="12.75">
      <c r="A308" s="98"/>
      <c r="B308" s="184"/>
      <c r="C308" s="184"/>
      <c r="D308" s="184"/>
      <c r="E308" s="184"/>
      <c r="F308" s="98"/>
      <c r="G308" s="98"/>
    </row>
    <row r="309" spans="1:7" ht="12.75">
      <c r="A309" s="98"/>
      <c r="B309" s="184"/>
      <c r="C309" s="184"/>
      <c r="D309" s="184"/>
      <c r="E309" s="184"/>
      <c r="F309" s="98"/>
      <c r="G309" s="98"/>
    </row>
    <row r="310" spans="1:7" ht="12.75">
      <c r="A310" s="98"/>
      <c r="B310" s="184"/>
      <c r="C310" s="184"/>
      <c r="D310" s="184"/>
      <c r="E310" s="184"/>
      <c r="F310" s="98"/>
      <c r="G310" s="98"/>
    </row>
    <row r="311" spans="1:7" ht="12.75">
      <c r="A311" s="98"/>
      <c r="B311" s="184"/>
      <c r="C311" s="184"/>
      <c r="D311" s="184"/>
      <c r="E311" s="184"/>
      <c r="F311" s="98"/>
      <c r="G311" s="98"/>
    </row>
    <row r="312" spans="1:7" ht="12.75">
      <c r="A312" s="98"/>
      <c r="B312" s="184"/>
      <c r="C312" s="184"/>
      <c r="D312" s="184"/>
      <c r="E312" s="184"/>
      <c r="F312" s="98"/>
      <c r="G312" s="98"/>
    </row>
    <row r="313" spans="1:7" ht="12.75">
      <c r="A313" s="98"/>
      <c r="B313" s="184"/>
      <c r="C313" s="184"/>
      <c r="D313" s="184"/>
      <c r="E313" s="184"/>
      <c r="F313" s="98"/>
      <c r="G313" s="98"/>
    </row>
    <row r="314" spans="1:7" ht="12.75">
      <c r="A314" s="98"/>
      <c r="B314" s="184"/>
      <c r="C314" s="184"/>
      <c r="D314" s="184"/>
      <c r="E314" s="184"/>
      <c r="F314" s="98"/>
      <c r="G314" s="98"/>
    </row>
    <row r="315" spans="1:7" ht="12.75">
      <c r="A315" s="98"/>
      <c r="B315" s="184"/>
      <c r="C315" s="184"/>
      <c r="D315" s="184"/>
      <c r="E315" s="184"/>
      <c r="F315" s="98"/>
      <c r="G315" s="98"/>
    </row>
    <row r="316" spans="1:7" ht="12.75">
      <c r="A316" s="98"/>
      <c r="B316" s="184"/>
      <c r="C316" s="184"/>
      <c r="D316" s="184"/>
      <c r="E316" s="184"/>
      <c r="F316" s="98"/>
      <c r="G316" s="98"/>
    </row>
    <row r="317" spans="1:7" ht="12.75">
      <c r="A317" s="98"/>
      <c r="B317" s="184"/>
      <c r="C317" s="184"/>
      <c r="D317" s="184"/>
      <c r="E317" s="184"/>
      <c r="F317" s="98"/>
      <c r="G317" s="98"/>
    </row>
    <row r="318" spans="1:7" ht="12.75">
      <c r="A318" s="98"/>
      <c r="B318" s="184"/>
      <c r="C318" s="184"/>
      <c r="D318" s="184"/>
      <c r="E318" s="184"/>
      <c r="F318" s="98"/>
      <c r="G318" s="98"/>
    </row>
    <row r="319" spans="1:7" ht="12.75">
      <c r="A319" s="98"/>
      <c r="B319" s="184"/>
      <c r="C319" s="184"/>
      <c r="D319" s="184"/>
      <c r="E319" s="184"/>
      <c r="F319" s="98"/>
      <c r="G319" s="98"/>
    </row>
    <row r="320" spans="1:7" ht="12.75">
      <c r="A320" s="98"/>
      <c r="B320" s="184"/>
      <c r="C320" s="184"/>
      <c r="D320" s="184"/>
      <c r="E320" s="184"/>
      <c r="F320" s="98"/>
      <c r="G320" s="98"/>
    </row>
    <row r="321" spans="1:7" ht="12.75">
      <c r="A321" s="98"/>
      <c r="B321" s="184"/>
      <c r="C321" s="184"/>
      <c r="D321" s="184"/>
      <c r="E321" s="184"/>
      <c r="F321" s="98"/>
      <c r="G321" s="98"/>
    </row>
    <row r="322" spans="1:7" ht="12.75">
      <c r="A322" s="98"/>
      <c r="B322" s="184"/>
      <c r="C322" s="184"/>
      <c r="D322" s="184"/>
      <c r="E322" s="184"/>
      <c r="F322" s="98"/>
      <c r="G322" s="98"/>
    </row>
    <row r="323" spans="1:7" ht="12.75">
      <c r="A323" s="98"/>
      <c r="B323" s="184"/>
      <c r="C323" s="184"/>
      <c r="D323" s="184"/>
      <c r="E323" s="184"/>
      <c r="F323" s="98"/>
      <c r="G323" s="98"/>
    </row>
    <row r="324" spans="1:7" ht="12.75">
      <c r="A324" s="98"/>
      <c r="B324" s="184"/>
      <c r="C324" s="184"/>
      <c r="D324" s="184"/>
      <c r="E324" s="184"/>
      <c r="F324" s="98"/>
      <c r="G324" s="98"/>
    </row>
    <row r="325" spans="1:7" ht="12.75">
      <c r="A325" s="98"/>
      <c r="B325" s="184"/>
      <c r="C325" s="184"/>
      <c r="D325" s="184"/>
      <c r="E325" s="184"/>
      <c r="F325" s="98"/>
      <c r="G325" s="98"/>
    </row>
    <row r="326" spans="1:7" ht="12.75">
      <c r="A326" s="98"/>
      <c r="B326" s="184"/>
      <c r="C326" s="184"/>
      <c r="D326" s="184"/>
      <c r="E326" s="184"/>
      <c r="F326" s="98"/>
      <c r="G326" s="98"/>
    </row>
    <row r="327" spans="1:7" ht="12.75">
      <c r="A327" s="98"/>
      <c r="B327" s="184"/>
      <c r="C327" s="184"/>
      <c r="D327" s="184"/>
      <c r="E327" s="184"/>
      <c r="F327" s="98"/>
      <c r="G327" s="98"/>
    </row>
    <row r="328" spans="1:7" ht="12.75">
      <c r="A328" s="98"/>
      <c r="B328" s="184"/>
      <c r="C328" s="184"/>
      <c r="D328" s="184"/>
      <c r="E328" s="184"/>
      <c r="F328" s="98"/>
      <c r="G328" s="98"/>
    </row>
    <row r="329" spans="1:7" ht="12.75">
      <c r="A329" s="98"/>
      <c r="B329" s="184"/>
      <c r="C329" s="184"/>
      <c r="D329" s="184"/>
      <c r="E329" s="184"/>
      <c r="F329" s="98"/>
      <c r="G329" s="98"/>
    </row>
    <row r="330" spans="1:7" ht="12.75">
      <c r="A330" s="98"/>
      <c r="B330" s="184"/>
      <c r="C330" s="184"/>
      <c r="D330" s="184"/>
      <c r="E330" s="184"/>
      <c r="F330" s="98"/>
      <c r="G330" s="98"/>
    </row>
    <row r="331" spans="1:7" ht="12.75">
      <c r="A331" s="98"/>
      <c r="B331" s="184"/>
      <c r="C331" s="184"/>
      <c r="D331" s="184"/>
      <c r="E331" s="184"/>
      <c r="F331" s="98"/>
      <c r="G331" s="98"/>
    </row>
    <row r="332" spans="1:7" ht="12.75">
      <c r="A332" s="98"/>
      <c r="B332" s="184"/>
      <c r="C332" s="184"/>
      <c r="D332" s="184"/>
      <c r="E332" s="184"/>
      <c r="F332" s="98"/>
      <c r="G332" s="98"/>
    </row>
    <row r="333" spans="1:7" ht="12.75">
      <c r="A333" s="98"/>
      <c r="B333" s="184"/>
      <c r="C333" s="184"/>
      <c r="D333" s="184"/>
      <c r="E333" s="184"/>
      <c r="F333" s="98"/>
      <c r="G333" s="98"/>
    </row>
    <row r="334" spans="1:7" ht="12.75">
      <c r="A334" s="98"/>
      <c r="B334" s="184"/>
      <c r="C334" s="184"/>
      <c r="D334" s="184"/>
      <c r="E334" s="184"/>
      <c r="F334" s="98"/>
      <c r="G334" s="98"/>
    </row>
    <row r="335" spans="1:7" ht="12.75">
      <c r="A335" s="98"/>
      <c r="B335" s="184"/>
      <c r="C335" s="184"/>
      <c r="D335" s="184"/>
      <c r="E335" s="184"/>
      <c r="F335" s="98"/>
      <c r="G335" s="98"/>
    </row>
    <row r="336" spans="1:7" ht="12.75">
      <c r="A336" s="98"/>
      <c r="B336" s="184"/>
      <c r="C336" s="184"/>
      <c r="D336" s="184"/>
      <c r="E336" s="184"/>
      <c r="F336" s="98"/>
      <c r="G336" s="98"/>
    </row>
    <row r="337" spans="1:7" ht="12.75">
      <c r="A337" s="98"/>
      <c r="B337" s="184"/>
      <c r="C337" s="184"/>
      <c r="D337" s="184"/>
      <c r="E337" s="184"/>
      <c r="F337" s="98"/>
      <c r="G337" s="98"/>
    </row>
    <row r="338" spans="1:7" ht="12.75">
      <c r="A338" s="98"/>
      <c r="B338" s="184"/>
      <c r="C338" s="184"/>
      <c r="D338" s="184"/>
      <c r="E338" s="184"/>
      <c r="F338" s="98"/>
      <c r="G338" s="98"/>
    </row>
    <row r="339" spans="1:7" ht="12.75">
      <c r="A339" s="98"/>
      <c r="B339" s="184"/>
      <c r="C339" s="184"/>
      <c r="D339" s="184"/>
      <c r="E339" s="184"/>
      <c r="F339" s="98"/>
      <c r="G339" s="98"/>
    </row>
    <row r="340" spans="1:7" ht="12.75">
      <c r="A340" s="98"/>
      <c r="B340" s="184"/>
      <c r="C340" s="184"/>
      <c r="D340" s="184"/>
      <c r="E340" s="184"/>
      <c r="F340" s="98"/>
      <c r="G340" s="98"/>
    </row>
    <row r="341" spans="1:7" ht="12.75">
      <c r="A341" s="98"/>
      <c r="B341" s="184"/>
      <c r="C341" s="184"/>
      <c r="D341" s="184"/>
      <c r="E341" s="184"/>
      <c r="F341" s="98"/>
      <c r="G341" s="98"/>
    </row>
    <row r="342" spans="1:7" ht="12.75">
      <c r="A342" s="98"/>
      <c r="B342" s="184"/>
      <c r="C342" s="184"/>
      <c r="D342" s="184"/>
      <c r="E342" s="184"/>
      <c r="F342" s="98"/>
      <c r="G342" s="98"/>
    </row>
    <row r="343" spans="1:7" ht="12.75">
      <c r="A343" s="98"/>
      <c r="B343" s="184"/>
      <c r="C343" s="184"/>
      <c r="D343" s="184"/>
      <c r="E343" s="184"/>
      <c r="F343" s="98"/>
      <c r="G343" s="98"/>
    </row>
    <row r="344" spans="1:7" ht="12.75">
      <c r="A344" s="98"/>
      <c r="B344" s="184"/>
      <c r="C344" s="184"/>
      <c r="D344" s="184"/>
      <c r="E344" s="184"/>
      <c r="F344" s="98"/>
      <c r="G344" s="98"/>
    </row>
    <row r="345" spans="1:7" ht="12.75">
      <c r="A345" s="98"/>
      <c r="B345" s="184"/>
      <c r="C345" s="184"/>
      <c r="D345" s="184"/>
      <c r="E345" s="184"/>
      <c r="F345" s="98"/>
      <c r="G345" s="98"/>
    </row>
    <row r="346" spans="1:7" ht="12.75">
      <c r="A346" s="98"/>
      <c r="B346" s="184"/>
      <c r="C346" s="184"/>
      <c r="D346" s="184"/>
      <c r="E346" s="184"/>
      <c r="F346" s="98"/>
      <c r="G346" s="98"/>
    </row>
    <row r="347" spans="1:7" ht="12.75">
      <c r="A347" s="98"/>
      <c r="B347" s="184"/>
      <c r="C347" s="184"/>
      <c r="D347" s="184"/>
      <c r="E347" s="184"/>
      <c r="F347" s="98"/>
      <c r="G347" s="98"/>
    </row>
    <row r="348" spans="1:7" ht="12.75">
      <c r="A348" s="98"/>
      <c r="B348" s="184"/>
      <c r="C348" s="184"/>
      <c r="D348" s="184"/>
      <c r="E348" s="184"/>
      <c r="F348" s="98"/>
      <c r="G348" s="98"/>
    </row>
    <row r="349" spans="1:7" ht="12.75">
      <c r="A349" s="98"/>
      <c r="B349" s="184"/>
      <c r="C349" s="184"/>
      <c r="D349" s="184"/>
      <c r="E349" s="184"/>
      <c r="F349" s="98"/>
      <c r="G349" s="98"/>
    </row>
    <row r="350" spans="1:7" ht="12.75">
      <c r="A350" s="98"/>
      <c r="B350" s="184"/>
      <c r="C350" s="184"/>
      <c r="D350" s="184"/>
      <c r="E350" s="184"/>
      <c r="F350" s="98"/>
      <c r="G350" s="98"/>
    </row>
    <row r="351" spans="1:7" ht="12.75">
      <c r="A351" s="98"/>
      <c r="B351" s="184"/>
      <c r="C351" s="184"/>
      <c r="D351" s="184"/>
      <c r="E351" s="184"/>
      <c r="F351" s="98"/>
      <c r="G351" s="98"/>
    </row>
    <row r="352" spans="1:7" ht="12.75">
      <c r="A352" s="98"/>
      <c r="B352" s="184"/>
      <c r="C352" s="184"/>
      <c r="D352" s="184"/>
      <c r="E352" s="184"/>
      <c r="F352" s="98"/>
      <c r="G352" s="98"/>
    </row>
    <row r="353" spans="1:7" ht="12.75">
      <c r="A353" s="98"/>
      <c r="B353" s="184"/>
      <c r="C353" s="184"/>
      <c r="D353" s="184"/>
      <c r="E353" s="184"/>
      <c r="F353" s="98"/>
      <c r="G353" s="98"/>
    </row>
    <row r="354" spans="1:7" ht="12.75">
      <c r="A354" s="98"/>
      <c r="B354" s="184"/>
      <c r="C354" s="184"/>
      <c r="D354" s="184"/>
      <c r="E354" s="184"/>
      <c r="F354" s="98"/>
      <c r="G354" s="98"/>
    </row>
    <row r="355" spans="1:7" ht="12.75">
      <c r="A355" s="98"/>
      <c r="B355" s="184"/>
      <c r="C355" s="184"/>
      <c r="D355" s="184"/>
      <c r="E355" s="184"/>
      <c r="F355" s="98"/>
      <c r="G355" s="98"/>
    </row>
    <row r="356" spans="1:7" ht="12.75">
      <c r="A356" s="98"/>
      <c r="B356" s="184"/>
      <c r="C356" s="184"/>
      <c r="D356" s="184"/>
      <c r="E356" s="184"/>
      <c r="F356" s="98"/>
      <c r="G356" s="98"/>
    </row>
    <row r="357" spans="1:7" ht="12.75">
      <c r="A357" s="98"/>
      <c r="B357" s="184"/>
      <c r="C357" s="184"/>
      <c r="D357" s="184"/>
      <c r="E357" s="184"/>
      <c r="F357" s="98"/>
      <c r="G357" s="98"/>
    </row>
    <row r="358" spans="1:7" ht="12.75">
      <c r="A358" s="98"/>
      <c r="B358" s="184"/>
      <c r="C358" s="184"/>
      <c r="D358" s="184"/>
      <c r="E358" s="184"/>
      <c r="F358" s="98"/>
      <c r="G358" s="98"/>
    </row>
    <row r="359" spans="1:7" ht="12.75">
      <c r="A359" s="98"/>
      <c r="B359" s="184"/>
      <c r="C359" s="184"/>
      <c r="D359" s="184"/>
      <c r="E359" s="184"/>
      <c r="F359" s="98"/>
      <c r="G359" s="98"/>
    </row>
    <row r="360" spans="1:7" ht="12.75">
      <c r="A360" s="98"/>
      <c r="B360" s="184"/>
      <c r="C360" s="184"/>
      <c r="D360" s="184"/>
      <c r="E360" s="184"/>
      <c r="F360" s="98"/>
      <c r="G360" s="98"/>
    </row>
    <row r="361" spans="1:7" ht="12.75">
      <c r="A361" s="98"/>
      <c r="B361" s="184"/>
      <c r="C361" s="184"/>
      <c r="D361" s="184"/>
      <c r="E361" s="184"/>
      <c r="F361" s="98"/>
      <c r="G361" s="98"/>
    </row>
    <row r="362" spans="1:7" ht="12.75">
      <c r="A362" s="98"/>
      <c r="B362" s="184"/>
      <c r="C362" s="184"/>
      <c r="D362" s="184"/>
      <c r="E362" s="184"/>
      <c r="F362" s="98"/>
      <c r="G362" s="98"/>
    </row>
    <row r="363" spans="1:7" ht="12.75">
      <c r="A363" s="98"/>
      <c r="B363" s="184"/>
      <c r="C363" s="184"/>
      <c r="D363" s="184"/>
      <c r="E363" s="184"/>
      <c r="F363" s="98"/>
      <c r="G363" s="98"/>
    </row>
    <row r="364" spans="1:7" ht="12.75">
      <c r="A364" s="98"/>
      <c r="B364" s="184"/>
      <c r="C364" s="184"/>
      <c r="D364" s="184"/>
      <c r="E364" s="184"/>
      <c r="F364" s="98"/>
      <c r="G364" s="98"/>
    </row>
    <row r="365" spans="1:7" ht="12.75">
      <c r="A365" s="98"/>
      <c r="B365" s="184"/>
      <c r="C365" s="184"/>
      <c r="D365" s="184"/>
      <c r="E365" s="184"/>
      <c r="F365" s="98"/>
      <c r="G365" s="98"/>
    </row>
    <row r="366" spans="1:7" ht="12.75">
      <c r="A366" s="98"/>
      <c r="B366" s="184"/>
      <c r="C366" s="184"/>
      <c r="D366" s="184"/>
      <c r="E366" s="184"/>
      <c r="F366" s="98"/>
      <c r="G366" s="98"/>
    </row>
    <row r="367" spans="1:7" ht="12.75">
      <c r="A367" s="98"/>
      <c r="B367" s="184"/>
      <c r="C367" s="184"/>
      <c r="D367" s="184"/>
      <c r="E367" s="184"/>
      <c r="F367" s="98"/>
      <c r="G367" s="98"/>
    </row>
    <row r="368" spans="1:7" ht="12.75">
      <c r="A368" s="98"/>
      <c r="B368" s="184"/>
      <c r="C368" s="184"/>
      <c r="D368" s="184"/>
      <c r="E368" s="184"/>
      <c r="F368" s="98"/>
      <c r="G368" s="98"/>
    </row>
    <row r="369" spans="1:7" ht="12.75">
      <c r="A369" s="98"/>
      <c r="B369" s="184"/>
      <c r="C369" s="184"/>
      <c r="D369" s="184"/>
      <c r="E369" s="184"/>
      <c r="F369" s="98"/>
      <c r="G369" s="98"/>
    </row>
    <row r="370" spans="1:7" ht="12.75">
      <c r="A370" s="98"/>
      <c r="B370" s="184"/>
      <c r="C370" s="184"/>
      <c r="D370" s="184"/>
      <c r="E370" s="184"/>
      <c r="F370" s="98"/>
      <c r="G370" s="98"/>
    </row>
    <row r="371" spans="1:7" ht="12.75">
      <c r="A371" s="98"/>
      <c r="B371" s="184"/>
      <c r="C371" s="184"/>
      <c r="D371" s="184"/>
      <c r="E371" s="184"/>
      <c r="F371" s="98"/>
      <c r="G371" s="98"/>
    </row>
    <row r="372" spans="1:7" ht="12.75">
      <c r="A372" s="98"/>
      <c r="B372" s="184"/>
      <c r="C372" s="184"/>
      <c r="D372" s="184"/>
      <c r="E372" s="184"/>
      <c r="F372" s="98"/>
      <c r="G372" s="98"/>
    </row>
    <row r="373" spans="1:7" ht="12.75">
      <c r="A373" s="98"/>
      <c r="B373" s="184"/>
      <c r="C373" s="184"/>
      <c r="D373" s="184"/>
      <c r="E373" s="184"/>
      <c r="F373" s="98"/>
      <c r="G373" s="98"/>
    </row>
    <row r="374" spans="1:7" ht="12.75">
      <c r="A374" s="98"/>
      <c r="B374" s="184"/>
      <c r="C374" s="184"/>
      <c r="D374" s="184"/>
      <c r="E374" s="184"/>
      <c r="F374" s="98"/>
      <c r="G374" s="98"/>
    </row>
    <row r="375" spans="1:7" ht="12.75">
      <c r="A375" s="98"/>
      <c r="B375" s="184"/>
      <c r="C375" s="184"/>
      <c r="D375" s="184"/>
      <c r="E375" s="184"/>
      <c r="F375" s="98"/>
      <c r="G375" s="98"/>
    </row>
    <row r="376" spans="1:7" ht="12.75">
      <c r="A376" s="98"/>
      <c r="B376" s="184"/>
      <c r="C376" s="184"/>
      <c r="D376" s="184"/>
      <c r="E376" s="184"/>
      <c r="F376" s="98"/>
      <c r="G376" s="98"/>
    </row>
    <row r="377" spans="1:7" ht="12.75">
      <c r="A377" s="98"/>
      <c r="B377" s="184"/>
      <c r="C377" s="184"/>
      <c r="D377" s="184"/>
      <c r="E377" s="184"/>
      <c r="F377" s="98"/>
      <c r="G377" s="98"/>
    </row>
    <row r="378" spans="1:7" ht="12.75">
      <c r="A378" s="98"/>
      <c r="B378" s="184"/>
      <c r="C378" s="184"/>
      <c r="D378" s="184"/>
      <c r="E378" s="184"/>
      <c r="F378" s="98"/>
      <c r="G378" s="98"/>
    </row>
    <row r="379" spans="1:7" ht="12.75">
      <c r="A379" s="98"/>
      <c r="B379" s="184"/>
      <c r="C379" s="184"/>
      <c r="D379" s="184"/>
      <c r="E379" s="184"/>
      <c r="F379" s="98"/>
      <c r="G379" s="98"/>
    </row>
    <row r="380" spans="1:7" ht="12.75">
      <c r="A380" s="98"/>
      <c r="B380" s="184"/>
      <c r="C380" s="184"/>
      <c r="D380" s="184"/>
      <c r="E380" s="184"/>
      <c r="F380" s="98"/>
      <c r="G380" s="98"/>
    </row>
    <row r="381" spans="1:7" ht="12.75">
      <c r="A381" s="98"/>
      <c r="B381" s="184"/>
      <c r="C381" s="184"/>
      <c r="D381" s="184"/>
      <c r="E381" s="184"/>
      <c r="F381" s="98"/>
      <c r="G381" s="98"/>
    </row>
    <row r="382" spans="1:7" ht="12.75">
      <c r="A382" s="98"/>
      <c r="B382" s="184"/>
      <c r="C382" s="184"/>
      <c r="D382" s="184"/>
      <c r="E382" s="184"/>
      <c r="F382" s="98"/>
      <c r="G382" s="98"/>
    </row>
    <row r="383" spans="1:7" ht="12.75">
      <c r="A383" s="98"/>
      <c r="B383" s="184"/>
      <c r="C383" s="184"/>
      <c r="D383" s="184"/>
      <c r="E383" s="184"/>
      <c r="F383" s="98"/>
      <c r="G383" s="98"/>
    </row>
    <row r="384" spans="1:7" ht="12.75">
      <c r="A384" s="98"/>
      <c r="B384" s="184"/>
      <c r="C384" s="184"/>
      <c r="D384" s="184"/>
      <c r="E384" s="184"/>
      <c r="F384" s="98"/>
      <c r="G384" s="98"/>
    </row>
    <row r="385" spans="1:7" ht="12.75">
      <c r="A385" s="98"/>
      <c r="B385" s="184"/>
      <c r="C385" s="184"/>
      <c r="D385" s="184"/>
      <c r="E385" s="184"/>
      <c r="F385" s="98"/>
      <c r="G385" s="98"/>
    </row>
    <row r="386" spans="1:7" ht="12.75">
      <c r="A386" s="98"/>
      <c r="B386" s="184"/>
      <c r="C386" s="184"/>
      <c r="D386" s="184"/>
      <c r="E386" s="184"/>
      <c r="F386" s="98"/>
      <c r="G386" s="98"/>
    </row>
    <row r="387" spans="1:7" ht="12.75">
      <c r="A387" s="98"/>
      <c r="B387" s="184"/>
      <c r="C387" s="184"/>
      <c r="D387" s="184"/>
      <c r="E387" s="184"/>
      <c r="F387" s="98"/>
      <c r="G387" s="98"/>
    </row>
    <row r="388" spans="1:7" ht="12.75">
      <c r="A388" s="98"/>
      <c r="B388" s="184"/>
      <c r="C388" s="184"/>
      <c r="D388" s="184"/>
      <c r="E388" s="184"/>
      <c r="F388" s="98"/>
      <c r="G388" s="98"/>
    </row>
    <row r="389" spans="1:7" ht="12.75">
      <c r="A389" s="98"/>
      <c r="B389" s="184"/>
      <c r="C389" s="184"/>
      <c r="D389" s="184"/>
      <c r="E389" s="184"/>
      <c r="F389" s="98"/>
      <c r="G389" s="98"/>
    </row>
    <row r="390" spans="1:7" ht="12.75">
      <c r="A390" s="98"/>
      <c r="B390" s="184"/>
      <c r="C390" s="184"/>
      <c r="D390" s="184"/>
      <c r="E390" s="184"/>
      <c r="F390" s="98"/>
      <c r="G390" s="98"/>
    </row>
    <row r="391" spans="1:7" ht="12.75">
      <c r="A391" s="98"/>
      <c r="B391" s="184"/>
      <c r="C391" s="184"/>
      <c r="D391" s="184"/>
      <c r="E391" s="184"/>
      <c r="F391" s="98"/>
      <c r="G391" s="98"/>
    </row>
    <row r="392" spans="1:7" ht="12.75">
      <c r="A392" s="98"/>
      <c r="B392" s="184"/>
      <c r="C392" s="184"/>
      <c r="D392" s="184"/>
      <c r="E392" s="184"/>
      <c r="F392" s="98"/>
      <c r="G392" s="98"/>
    </row>
    <row r="393" spans="1:7" ht="12.75">
      <c r="A393" s="98"/>
      <c r="B393" s="184"/>
      <c r="C393" s="184"/>
      <c r="D393" s="184"/>
      <c r="E393" s="184"/>
      <c r="F393" s="98"/>
      <c r="G393" s="98"/>
    </row>
    <row r="394" spans="1:7" ht="12.75">
      <c r="A394" s="98"/>
      <c r="B394" s="184"/>
      <c r="C394" s="184"/>
      <c r="D394" s="184"/>
      <c r="E394" s="184"/>
      <c r="F394" s="98"/>
      <c r="G394" s="98"/>
    </row>
    <row r="395" spans="1:7" ht="12.75">
      <c r="A395" s="98"/>
      <c r="B395" s="184"/>
      <c r="C395" s="184"/>
      <c r="D395" s="184"/>
      <c r="E395" s="184"/>
      <c r="F395" s="98"/>
      <c r="G395" s="98"/>
    </row>
    <row r="396" spans="1:7" ht="12.75">
      <c r="A396" s="98"/>
      <c r="B396" s="184"/>
      <c r="C396" s="184"/>
      <c r="D396" s="184"/>
      <c r="E396" s="184"/>
      <c r="F396" s="98"/>
      <c r="G396" s="98"/>
    </row>
    <row r="397" spans="1:7" ht="12.75">
      <c r="A397" s="98"/>
      <c r="B397" s="184"/>
      <c r="C397" s="184"/>
      <c r="D397" s="184"/>
      <c r="E397" s="184"/>
      <c r="F397" s="98"/>
      <c r="G397" s="98"/>
    </row>
    <row r="398" spans="1:7" ht="12.75">
      <c r="A398" s="98"/>
      <c r="B398" s="184"/>
      <c r="C398" s="184"/>
      <c r="D398" s="184"/>
      <c r="E398" s="184"/>
      <c r="F398" s="98"/>
      <c r="G398" s="98"/>
    </row>
    <row r="399" spans="1:7" ht="12.75">
      <c r="A399" s="98"/>
      <c r="B399" s="184"/>
      <c r="C399" s="184"/>
      <c r="D399" s="184"/>
      <c r="E399" s="184"/>
      <c r="F399" s="98"/>
      <c r="G399" s="98"/>
    </row>
    <row r="400" spans="1:7" ht="12.75">
      <c r="A400" s="98"/>
      <c r="B400" s="184"/>
      <c r="C400" s="184"/>
      <c r="D400" s="184"/>
      <c r="E400" s="184"/>
      <c r="F400" s="98"/>
      <c r="G400" s="98"/>
    </row>
    <row r="401" spans="1:7" ht="12.75">
      <c r="A401" s="98"/>
      <c r="B401" s="184"/>
      <c r="C401" s="184"/>
      <c r="D401" s="184"/>
      <c r="E401" s="184"/>
      <c r="F401" s="98"/>
      <c r="G401" s="98"/>
    </row>
    <row r="402" spans="1:7" ht="12.75">
      <c r="A402" s="98"/>
      <c r="B402" s="184"/>
      <c r="C402" s="184"/>
      <c r="D402" s="184"/>
      <c r="E402" s="184"/>
      <c r="F402" s="98"/>
      <c r="G402" s="98"/>
    </row>
    <row r="403" spans="1:7" ht="12.75">
      <c r="A403" s="98"/>
      <c r="B403" s="184"/>
      <c r="C403" s="184"/>
      <c r="D403" s="184"/>
      <c r="E403" s="184"/>
      <c r="F403" s="98"/>
      <c r="G403" s="98"/>
    </row>
    <row r="404" spans="1:7" ht="12.75">
      <c r="A404" s="98"/>
      <c r="B404" s="184"/>
      <c r="C404" s="184"/>
      <c r="D404" s="184"/>
      <c r="E404" s="184"/>
      <c r="F404" s="98"/>
      <c r="G404" s="98"/>
    </row>
    <row r="405" spans="1:7" ht="12.75">
      <c r="A405" s="98"/>
      <c r="B405" s="184"/>
      <c r="C405" s="184"/>
      <c r="D405" s="184"/>
      <c r="E405" s="184"/>
      <c r="F405" s="98"/>
      <c r="G405" s="98"/>
    </row>
    <row r="406" spans="1:7" ht="12.75">
      <c r="A406" s="98"/>
      <c r="B406" s="184"/>
      <c r="C406" s="184"/>
      <c r="D406" s="184"/>
      <c r="E406" s="184"/>
      <c r="F406" s="98"/>
      <c r="G406" s="98"/>
    </row>
    <row r="407" spans="1:7" ht="12.75">
      <c r="A407" s="98"/>
      <c r="B407" s="184"/>
      <c r="C407" s="184"/>
      <c r="D407" s="184"/>
      <c r="E407" s="184"/>
      <c r="F407" s="98"/>
      <c r="G407" s="98"/>
    </row>
    <row r="408" spans="1:7" ht="12.75">
      <c r="A408" s="98"/>
      <c r="B408" s="184"/>
      <c r="C408" s="184"/>
      <c r="D408" s="184"/>
      <c r="E408" s="184"/>
      <c r="F408" s="98"/>
      <c r="G408" s="98"/>
    </row>
    <row r="409" spans="1:7" ht="12.75">
      <c r="A409" s="98"/>
      <c r="B409" s="184"/>
      <c r="C409" s="184"/>
      <c r="D409" s="184"/>
      <c r="E409" s="184"/>
      <c r="F409" s="98"/>
      <c r="G409" s="98"/>
    </row>
    <row r="410" spans="1:7" ht="12.75">
      <c r="A410" s="98"/>
      <c r="B410" s="184"/>
      <c r="C410" s="184"/>
      <c r="D410" s="184"/>
      <c r="E410" s="184"/>
      <c r="F410" s="98"/>
      <c r="G410" s="98"/>
    </row>
    <row r="411" spans="1:7" ht="12.75">
      <c r="A411" s="98"/>
      <c r="B411" s="184"/>
      <c r="C411" s="184"/>
      <c r="D411" s="184"/>
      <c r="E411" s="184"/>
      <c r="F411" s="98"/>
      <c r="G411" s="98"/>
    </row>
    <row r="412" spans="1:7" ht="12.75">
      <c r="A412" s="98"/>
      <c r="B412" s="184"/>
      <c r="C412" s="184"/>
      <c r="D412" s="184"/>
      <c r="E412" s="184"/>
      <c r="F412" s="98"/>
      <c r="G412" s="98"/>
    </row>
    <row r="413" spans="1:7" ht="12.75">
      <c r="A413" s="98"/>
      <c r="B413" s="184"/>
      <c r="C413" s="184"/>
      <c r="D413" s="184"/>
      <c r="E413" s="184"/>
      <c r="F413" s="98"/>
      <c r="G413" s="98"/>
    </row>
    <row r="414" spans="1:7" ht="12.75">
      <c r="A414" s="98"/>
      <c r="B414" s="184"/>
      <c r="C414" s="184"/>
      <c r="D414" s="184"/>
      <c r="E414" s="184"/>
      <c r="F414" s="98"/>
      <c r="G414" s="98"/>
    </row>
    <row r="415" spans="1:7" ht="12.75">
      <c r="A415" s="98"/>
      <c r="B415" s="184"/>
      <c r="C415" s="184"/>
      <c r="D415" s="184"/>
      <c r="E415" s="184"/>
      <c r="F415" s="98"/>
      <c r="G415" s="98"/>
    </row>
    <row r="416" spans="1:7" ht="12.75">
      <c r="A416" s="98"/>
      <c r="B416" s="184"/>
      <c r="C416" s="184"/>
      <c r="D416" s="184"/>
      <c r="E416" s="184"/>
      <c r="F416" s="98"/>
      <c r="G416" s="98"/>
    </row>
    <row r="417" spans="1:7" ht="12.75">
      <c r="A417" s="98"/>
      <c r="B417" s="184"/>
      <c r="C417" s="184"/>
      <c r="D417" s="184"/>
      <c r="E417" s="184"/>
      <c r="F417" s="98"/>
      <c r="G417" s="98"/>
    </row>
    <row r="418" spans="1:7" ht="12.75">
      <c r="A418" s="98"/>
      <c r="B418" s="184"/>
      <c r="C418" s="184"/>
      <c r="D418" s="184"/>
      <c r="E418" s="184"/>
      <c r="F418" s="98"/>
      <c r="G418" s="98"/>
    </row>
    <row r="419" spans="1:7" ht="12.75">
      <c r="A419" s="98"/>
      <c r="B419" s="184"/>
      <c r="C419" s="184"/>
      <c r="D419" s="184"/>
      <c r="E419" s="184"/>
      <c r="F419" s="98"/>
      <c r="G419" s="98"/>
    </row>
    <row r="420" spans="1:7" ht="12.75">
      <c r="A420" s="98"/>
      <c r="B420" s="184"/>
      <c r="C420" s="184"/>
      <c r="D420" s="184"/>
      <c r="E420" s="184"/>
      <c r="F420" s="98"/>
      <c r="G420" s="98"/>
    </row>
    <row r="421" spans="1:7" ht="12.75">
      <c r="A421" s="98"/>
      <c r="B421" s="184"/>
      <c r="C421" s="184"/>
      <c r="D421" s="184"/>
      <c r="E421" s="184"/>
      <c r="F421" s="98"/>
      <c r="G421" s="98"/>
    </row>
    <row r="422" spans="1:7" ht="12.75">
      <c r="A422" s="98"/>
      <c r="B422" s="184"/>
      <c r="C422" s="184"/>
      <c r="D422" s="184"/>
      <c r="E422" s="184"/>
      <c r="F422" s="98"/>
      <c r="G422" s="98"/>
    </row>
    <row r="423" spans="1:7" ht="12.75">
      <c r="A423" s="98"/>
      <c r="B423" s="184"/>
      <c r="C423" s="184"/>
      <c r="D423" s="184"/>
      <c r="E423" s="184"/>
      <c r="F423" s="98"/>
      <c r="G423" s="98"/>
    </row>
    <row r="424" spans="1:7" ht="12.75">
      <c r="A424" s="98"/>
      <c r="B424" s="184"/>
      <c r="C424" s="184"/>
      <c r="D424" s="184"/>
      <c r="E424" s="184"/>
      <c r="F424" s="98"/>
      <c r="G424" s="98"/>
    </row>
    <row r="425" spans="1:7" ht="12.75">
      <c r="A425" s="98"/>
      <c r="B425" s="184"/>
      <c r="C425" s="184"/>
      <c r="D425" s="184"/>
      <c r="E425" s="184"/>
      <c r="F425" s="98"/>
      <c r="G425" s="98"/>
    </row>
    <row r="426" spans="1:7" ht="12.75">
      <c r="A426" s="98"/>
      <c r="B426" s="184"/>
      <c r="C426" s="184"/>
      <c r="D426" s="184"/>
      <c r="E426" s="184"/>
      <c r="F426" s="98"/>
      <c r="G426" s="98"/>
    </row>
    <row r="427" spans="1:7" ht="12.75">
      <c r="A427" s="98"/>
      <c r="B427" s="184"/>
      <c r="C427" s="184"/>
      <c r="D427" s="184"/>
      <c r="E427" s="184"/>
      <c r="F427" s="98"/>
      <c r="G427" s="98"/>
    </row>
    <row r="428" spans="1:7" ht="12.75">
      <c r="A428" s="98"/>
      <c r="B428" s="184"/>
      <c r="C428" s="184"/>
      <c r="D428" s="184"/>
      <c r="E428" s="184"/>
      <c r="F428" s="98"/>
      <c r="G428" s="98"/>
    </row>
    <row r="429" spans="1:7" ht="12.75">
      <c r="A429" s="98"/>
      <c r="B429" s="184"/>
      <c r="C429" s="184"/>
      <c r="D429" s="184"/>
      <c r="E429" s="184"/>
      <c r="F429" s="98"/>
      <c r="G429" s="98"/>
    </row>
    <row r="430" spans="1:7" ht="12.75">
      <c r="A430" s="98"/>
      <c r="B430" s="184"/>
      <c r="C430" s="184"/>
      <c r="D430" s="184"/>
      <c r="E430" s="184"/>
      <c r="F430" s="98"/>
      <c r="G430" s="98"/>
    </row>
    <row r="431" spans="1:7" ht="12.75">
      <c r="A431" s="98"/>
      <c r="B431" s="184"/>
      <c r="C431" s="184"/>
      <c r="D431" s="184"/>
      <c r="E431" s="184"/>
      <c r="F431" s="98"/>
      <c r="G431" s="98"/>
    </row>
    <row r="432" spans="1:7" ht="12.75">
      <c r="A432" s="98"/>
      <c r="B432" s="184"/>
      <c r="C432" s="184"/>
      <c r="D432" s="184"/>
      <c r="E432" s="184"/>
      <c r="F432" s="98"/>
      <c r="G432" s="98"/>
    </row>
    <row r="433" spans="1:7" ht="12.75">
      <c r="A433" s="98"/>
      <c r="B433" s="184"/>
      <c r="C433" s="184"/>
      <c r="D433" s="184"/>
      <c r="E433" s="184"/>
      <c r="F433" s="98"/>
      <c r="G433" s="98"/>
    </row>
    <row r="434" spans="1:7" ht="12.75">
      <c r="A434" s="98"/>
      <c r="B434" s="184"/>
      <c r="C434" s="184"/>
      <c r="D434" s="184"/>
      <c r="E434" s="184"/>
      <c r="F434" s="98"/>
      <c r="G434" s="98"/>
    </row>
    <row r="435" spans="1:7" ht="12.75">
      <c r="A435" s="98"/>
      <c r="B435" s="184"/>
      <c r="C435" s="184"/>
      <c r="D435" s="184"/>
      <c r="E435" s="184"/>
      <c r="F435" s="98"/>
      <c r="G435" s="98"/>
    </row>
    <row r="436" spans="1:7" ht="12.75">
      <c r="A436" s="98"/>
      <c r="B436" s="184"/>
      <c r="C436" s="184"/>
      <c r="D436" s="184"/>
      <c r="E436" s="184"/>
      <c r="F436" s="98"/>
      <c r="G436" s="98"/>
    </row>
    <row r="437" spans="1:7" ht="12.75">
      <c r="A437" s="98"/>
      <c r="B437" s="184"/>
      <c r="C437" s="184"/>
      <c r="D437" s="184"/>
      <c r="E437" s="184"/>
      <c r="F437" s="98"/>
      <c r="G437" s="98"/>
    </row>
    <row r="438" spans="1:7" ht="12.75">
      <c r="A438" s="98"/>
      <c r="B438" s="184"/>
      <c r="C438" s="184"/>
      <c r="D438" s="184"/>
      <c r="E438" s="184"/>
      <c r="F438" s="98"/>
      <c r="G438" s="98"/>
    </row>
    <row r="439" spans="1:7" ht="12.75">
      <c r="A439" s="98"/>
      <c r="B439" s="184"/>
      <c r="C439" s="184"/>
      <c r="D439" s="184"/>
      <c r="E439" s="184"/>
      <c r="F439" s="98"/>
      <c r="G439" s="98"/>
    </row>
    <row r="440" spans="1:7" ht="12.75">
      <c r="A440" s="98"/>
      <c r="B440" s="184"/>
      <c r="C440" s="184"/>
      <c r="D440" s="184"/>
      <c r="E440" s="184"/>
      <c r="F440" s="98"/>
      <c r="G440" s="98"/>
    </row>
    <row r="441" spans="1:7" ht="12.75">
      <c r="A441" s="98"/>
      <c r="B441" s="184"/>
      <c r="C441" s="184"/>
      <c r="D441" s="184"/>
      <c r="E441" s="184"/>
      <c r="F441" s="98"/>
      <c r="G441" s="98"/>
    </row>
    <row r="442" spans="1:7" ht="12.75">
      <c r="A442" s="98"/>
      <c r="B442" s="184"/>
      <c r="C442" s="184"/>
      <c r="D442" s="184"/>
      <c r="E442" s="184"/>
      <c r="F442" s="98"/>
      <c r="G442" s="98"/>
    </row>
    <row r="443" spans="1:7" ht="12.75">
      <c r="A443" s="98"/>
      <c r="B443" s="184"/>
      <c r="C443" s="184"/>
      <c r="D443" s="184"/>
      <c r="E443" s="184"/>
      <c r="F443" s="98"/>
      <c r="G443" s="98"/>
    </row>
    <row r="444" spans="1:7" ht="12.75">
      <c r="A444" s="98"/>
      <c r="B444" s="184"/>
      <c r="C444" s="184"/>
      <c r="D444" s="184"/>
      <c r="E444" s="184"/>
      <c r="F444" s="98"/>
      <c r="G444" s="98"/>
    </row>
    <row r="445" spans="1:7" ht="12.75">
      <c r="A445" s="98"/>
      <c r="B445" s="184"/>
      <c r="C445" s="184"/>
      <c r="D445" s="184"/>
      <c r="E445" s="184"/>
      <c r="F445" s="98"/>
      <c r="G445" s="98"/>
    </row>
    <row r="446" spans="1:7" ht="12.75">
      <c r="A446" s="98"/>
      <c r="B446" s="184"/>
      <c r="C446" s="184"/>
      <c r="D446" s="184"/>
      <c r="E446" s="184"/>
      <c r="F446" s="98"/>
      <c r="G446" s="98"/>
    </row>
    <row r="447" spans="1:7" ht="12.75">
      <c r="A447" s="98"/>
      <c r="B447" s="184"/>
      <c r="C447" s="184"/>
      <c r="D447" s="184"/>
      <c r="E447" s="184"/>
      <c r="F447" s="98"/>
      <c r="G447" s="98"/>
    </row>
    <row r="448" spans="1:7" ht="12.75">
      <c r="A448" s="98"/>
      <c r="B448" s="184"/>
      <c r="C448" s="184"/>
      <c r="D448" s="184"/>
      <c r="E448" s="184"/>
      <c r="F448" s="98"/>
      <c r="G448" s="98"/>
    </row>
    <row r="449" spans="1:7" ht="12.75">
      <c r="A449" s="98"/>
      <c r="B449" s="184"/>
      <c r="C449" s="184"/>
      <c r="D449" s="184"/>
      <c r="E449" s="184"/>
      <c r="F449" s="98"/>
      <c r="G449" s="98"/>
    </row>
    <row r="450" spans="1:7" ht="12.75">
      <c r="A450" s="98"/>
      <c r="B450" s="184"/>
      <c r="C450" s="184"/>
      <c r="D450" s="184"/>
      <c r="E450" s="184"/>
      <c r="F450" s="98"/>
      <c r="G450" s="98"/>
    </row>
    <row r="451" spans="1:7" ht="12.75">
      <c r="A451" s="98"/>
      <c r="B451" s="184"/>
      <c r="C451" s="184"/>
      <c r="D451" s="184"/>
      <c r="E451" s="184"/>
      <c r="F451" s="98"/>
      <c r="G451" s="98"/>
    </row>
    <row r="452" spans="1:7" ht="12.75">
      <c r="A452" s="98"/>
      <c r="B452" s="184"/>
      <c r="C452" s="184"/>
      <c r="D452" s="184"/>
      <c r="E452" s="184"/>
      <c r="F452" s="98"/>
      <c r="G452" s="98"/>
    </row>
    <row r="453" spans="1:7" ht="12.75">
      <c r="A453" s="98"/>
      <c r="B453" s="184"/>
      <c r="C453" s="184"/>
      <c r="D453" s="184"/>
      <c r="E453" s="184"/>
      <c r="F453" s="98"/>
      <c r="G453" s="98"/>
    </row>
    <row r="454" spans="1:7" ht="12.75">
      <c r="A454" s="98"/>
      <c r="B454" s="184"/>
      <c r="C454" s="184"/>
      <c r="D454" s="184"/>
      <c r="E454" s="184"/>
      <c r="F454" s="98"/>
      <c r="G454" s="98"/>
    </row>
    <row r="455" spans="1:7" ht="12.75">
      <c r="A455" s="98"/>
      <c r="B455" s="184"/>
      <c r="C455" s="184"/>
      <c r="D455" s="184"/>
      <c r="E455" s="184"/>
      <c r="F455" s="98"/>
      <c r="G455" s="98"/>
    </row>
    <row r="456" spans="1:7" ht="12.75">
      <c r="A456" s="98"/>
      <c r="B456" s="184"/>
      <c r="C456" s="184"/>
      <c r="D456" s="184"/>
      <c r="E456" s="184"/>
      <c r="F456" s="98"/>
      <c r="G456" s="98"/>
    </row>
    <row r="457" spans="1:7" ht="12.75">
      <c r="A457" s="98"/>
      <c r="B457" s="184"/>
      <c r="C457" s="184"/>
      <c r="D457" s="184"/>
      <c r="E457" s="184"/>
      <c r="F457" s="98"/>
      <c r="G457" s="98"/>
    </row>
    <row r="458" spans="1:7" ht="12.75">
      <c r="A458" s="98"/>
      <c r="B458" s="184"/>
      <c r="C458" s="184"/>
      <c r="D458" s="184"/>
      <c r="E458" s="184"/>
      <c r="F458" s="98"/>
      <c r="G458" s="98"/>
    </row>
    <row r="459" spans="1:7" ht="12.75">
      <c r="A459" s="98"/>
      <c r="B459" s="184"/>
      <c r="C459" s="184"/>
      <c r="D459" s="184"/>
      <c r="E459" s="184"/>
      <c r="F459" s="98"/>
      <c r="G459" s="98"/>
    </row>
    <row r="460" spans="1:7" ht="12.75">
      <c r="A460" s="98"/>
      <c r="B460" s="184"/>
      <c r="C460" s="184"/>
      <c r="D460" s="184"/>
      <c r="E460" s="184"/>
      <c r="F460" s="98"/>
      <c r="G460" s="98"/>
    </row>
    <row r="461" spans="1:7" ht="12.75">
      <c r="A461" s="98"/>
      <c r="B461" s="184"/>
      <c r="C461" s="184"/>
      <c r="D461" s="184"/>
      <c r="E461" s="184"/>
      <c r="F461" s="98"/>
      <c r="G461" s="98"/>
    </row>
    <row r="462" spans="1:7" ht="12.75">
      <c r="A462" s="98"/>
      <c r="B462" s="184"/>
      <c r="C462" s="184"/>
      <c r="D462" s="184"/>
      <c r="E462" s="184"/>
      <c r="F462" s="98"/>
      <c r="G462" s="98"/>
    </row>
    <row r="463" spans="1:7" ht="12.75">
      <c r="A463" s="98"/>
      <c r="B463" s="184"/>
      <c r="C463" s="184"/>
      <c r="D463" s="184"/>
      <c r="E463" s="184"/>
      <c r="F463" s="98"/>
      <c r="G463" s="98"/>
    </row>
    <row r="464" spans="1:7" ht="12.75">
      <c r="A464" s="98"/>
      <c r="B464" s="184"/>
      <c r="C464" s="184"/>
      <c r="D464" s="184"/>
      <c r="E464" s="184"/>
      <c r="F464" s="98"/>
      <c r="G464" s="98"/>
    </row>
    <row r="465" spans="1:7" ht="12.75">
      <c r="A465" s="98"/>
      <c r="B465" s="184"/>
      <c r="C465" s="184"/>
      <c r="D465" s="184"/>
      <c r="E465" s="184"/>
      <c r="F465" s="98"/>
      <c r="G465" s="98"/>
    </row>
    <row r="466" spans="1:7" ht="12.75">
      <c r="A466" s="98"/>
      <c r="B466" s="184"/>
      <c r="C466" s="184"/>
      <c r="D466" s="184"/>
      <c r="E466" s="184"/>
      <c r="F466" s="98"/>
      <c r="G466" s="98"/>
    </row>
    <row r="467" spans="1:7" ht="12.75">
      <c r="A467" s="98"/>
      <c r="B467" s="184"/>
      <c r="C467" s="184"/>
      <c r="D467" s="184"/>
      <c r="E467" s="184"/>
      <c r="F467" s="98"/>
      <c r="G467" s="98"/>
    </row>
    <row r="468" spans="1:7" ht="12.75">
      <c r="A468" s="98"/>
      <c r="B468" s="184"/>
      <c r="C468" s="184"/>
      <c r="D468" s="184"/>
      <c r="E468" s="184"/>
      <c r="F468" s="98"/>
      <c r="G468" s="98"/>
    </row>
    <row r="469" spans="1:7" ht="12.75">
      <c r="A469" s="98"/>
      <c r="B469" s="184"/>
      <c r="C469" s="184"/>
      <c r="D469" s="184"/>
      <c r="E469" s="184"/>
      <c r="F469" s="98"/>
      <c r="G469" s="98"/>
    </row>
    <row r="470" spans="1:7" ht="12.75">
      <c r="A470" s="98"/>
      <c r="B470" s="184"/>
      <c r="C470" s="184"/>
      <c r="D470" s="184"/>
      <c r="E470" s="184"/>
      <c r="F470" s="98"/>
      <c r="G470" s="98"/>
    </row>
    <row r="471" spans="1:7" ht="12.75">
      <c r="A471" s="98"/>
      <c r="B471" s="184"/>
      <c r="C471" s="184"/>
      <c r="D471" s="184"/>
      <c r="E471" s="184"/>
      <c r="F471" s="98"/>
      <c r="G471" s="98"/>
    </row>
    <row r="472" spans="1:7" ht="12.75">
      <c r="A472" s="98"/>
      <c r="B472" s="184"/>
      <c r="C472" s="184"/>
      <c r="D472" s="184"/>
      <c r="E472" s="184"/>
      <c r="F472" s="98"/>
      <c r="G472" s="98"/>
    </row>
    <row r="473" spans="1:7" ht="12.75">
      <c r="A473" s="98"/>
      <c r="B473" s="184"/>
      <c r="C473" s="184"/>
      <c r="D473" s="184"/>
      <c r="E473" s="184"/>
      <c r="F473" s="98"/>
      <c r="G473" s="98"/>
    </row>
    <row r="474" spans="1:7" ht="12.75">
      <c r="A474" s="98"/>
      <c r="B474" s="184"/>
      <c r="C474" s="184"/>
      <c r="D474" s="184"/>
      <c r="E474" s="184"/>
      <c r="F474" s="98"/>
      <c r="G474" s="98"/>
    </row>
    <row r="475" spans="1:7" ht="12.75">
      <c r="A475" s="98"/>
      <c r="B475" s="184"/>
      <c r="C475" s="184"/>
      <c r="D475" s="184"/>
      <c r="E475" s="184"/>
      <c r="F475" s="98"/>
      <c r="G475" s="98"/>
    </row>
    <row r="476" spans="1:7" ht="12.75">
      <c r="A476" s="98"/>
      <c r="B476" s="184"/>
      <c r="C476" s="184"/>
      <c r="D476" s="184"/>
      <c r="E476" s="184"/>
      <c r="F476" s="98"/>
      <c r="G476" s="98"/>
    </row>
    <row r="477" spans="1:7" ht="12.75">
      <c r="A477" s="98"/>
      <c r="B477" s="184"/>
      <c r="C477" s="184"/>
      <c r="D477" s="184"/>
      <c r="E477" s="184"/>
      <c r="F477" s="98"/>
      <c r="G477" s="98"/>
    </row>
    <row r="478" spans="1:7" ht="12.75">
      <c r="A478" s="98"/>
      <c r="B478" s="184"/>
      <c r="C478" s="184"/>
      <c r="D478" s="184"/>
      <c r="E478" s="184"/>
      <c r="F478" s="98"/>
      <c r="G478" s="98"/>
    </row>
    <row r="479" spans="1:7" ht="12.75">
      <c r="A479" s="98"/>
      <c r="B479" s="184"/>
      <c r="C479" s="184"/>
      <c r="D479" s="184"/>
      <c r="E479" s="184"/>
      <c r="F479" s="98"/>
      <c r="G479" s="98"/>
    </row>
    <row r="480" spans="1:7" ht="12.75">
      <c r="A480" s="98"/>
      <c r="B480" s="184"/>
      <c r="C480" s="184"/>
      <c r="D480" s="184"/>
      <c r="E480" s="184"/>
      <c r="F480" s="98"/>
      <c r="G480" s="98"/>
    </row>
    <row r="481" spans="1:7" ht="12.75">
      <c r="A481" s="98"/>
      <c r="B481" s="184"/>
      <c r="C481" s="184"/>
      <c r="D481" s="184"/>
      <c r="E481" s="184"/>
      <c r="F481" s="98"/>
      <c r="G481" s="98"/>
    </row>
    <row r="482" spans="1:7" ht="12.75">
      <c r="A482" s="98"/>
      <c r="B482" s="184"/>
      <c r="C482" s="184"/>
      <c r="D482" s="184"/>
      <c r="E482" s="184"/>
      <c r="F482" s="98"/>
      <c r="G482" s="98"/>
    </row>
    <row r="483" spans="1:7" ht="12.75">
      <c r="A483" s="98"/>
      <c r="B483" s="184"/>
      <c r="C483" s="184"/>
      <c r="D483" s="184"/>
      <c r="E483" s="184"/>
      <c r="F483" s="98"/>
      <c r="G483" s="98"/>
    </row>
    <row r="484" spans="1:7" ht="12.75">
      <c r="A484" s="98"/>
      <c r="B484" s="184"/>
      <c r="C484" s="184"/>
      <c r="D484" s="184"/>
      <c r="E484" s="184"/>
      <c r="F484" s="98"/>
      <c r="G484" s="98"/>
    </row>
    <row r="485" spans="1:7" ht="12.75">
      <c r="A485" s="98"/>
      <c r="B485" s="184"/>
      <c r="C485" s="184"/>
      <c r="D485" s="184"/>
      <c r="E485" s="184"/>
      <c r="F485" s="98"/>
      <c r="G485" s="98"/>
    </row>
    <row r="486" spans="1:7" ht="12.75">
      <c r="A486" s="98"/>
      <c r="B486" s="184"/>
      <c r="C486" s="184"/>
      <c r="D486" s="184"/>
      <c r="E486" s="184"/>
      <c r="F486" s="98"/>
      <c r="G486" s="98"/>
    </row>
    <row r="487" spans="1:7" ht="12.75">
      <c r="A487" s="98"/>
      <c r="B487" s="184"/>
      <c r="C487" s="184"/>
      <c r="D487" s="184"/>
      <c r="E487" s="184"/>
      <c r="F487" s="98"/>
      <c r="G487" s="98"/>
    </row>
    <row r="488" spans="1:7" ht="12.75">
      <c r="A488" s="98"/>
      <c r="B488" s="184"/>
      <c r="C488" s="184"/>
      <c r="D488" s="184"/>
      <c r="E488" s="184"/>
      <c r="F488" s="98"/>
      <c r="G488" s="98"/>
    </row>
    <row r="489" spans="1:7" ht="12.75">
      <c r="A489" s="98"/>
      <c r="B489" s="184"/>
      <c r="C489" s="184"/>
      <c r="D489" s="184"/>
      <c r="E489" s="184"/>
      <c r="F489" s="98"/>
      <c r="G489" s="98"/>
    </row>
    <row r="490" spans="1:7" ht="12.75">
      <c r="A490" s="98"/>
      <c r="B490" s="184"/>
      <c r="C490" s="184"/>
      <c r="D490" s="184"/>
      <c r="E490" s="184"/>
      <c r="F490" s="98"/>
      <c r="G490" s="98"/>
    </row>
    <row r="491" spans="1:7" ht="12.75">
      <c r="A491" s="98"/>
      <c r="B491" s="184"/>
      <c r="C491" s="184"/>
      <c r="D491" s="184"/>
      <c r="E491" s="184"/>
      <c r="F491" s="98"/>
      <c r="G491" s="98"/>
    </row>
    <row r="492" spans="1:7" ht="12.75">
      <c r="A492" s="98"/>
      <c r="B492" s="184"/>
      <c r="C492" s="184"/>
      <c r="D492" s="184"/>
      <c r="E492" s="184"/>
      <c r="F492" s="98"/>
      <c r="G492" s="98"/>
    </row>
    <row r="493" spans="1:7" ht="12.75">
      <c r="A493" s="98"/>
      <c r="B493" s="184"/>
      <c r="C493" s="184"/>
      <c r="D493" s="184"/>
      <c r="E493" s="184"/>
      <c r="F493" s="98"/>
      <c r="G493" s="98"/>
    </row>
    <row r="494" spans="1:7" ht="12.75">
      <c r="A494" s="98"/>
      <c r="B494" s="184"/>
      <c r="C494" s="184"/>
      <c r="D494" s="184"/>
      <c r="E494" s="184"/>
      <c r="F494" s="98"/>
      <c r="G494" s="98"/>
    </row>
    <row r="495" spans="1:7" ht="12.75">
      <c r="A495" s="98"/>
      <c r="B495" s="184"/>
      <c r="C495" s="184"/>
      <c r="D495" s="184"/>
      <c r="E495" s="184"/>
      <c r="F495" s="98"/>
      <c r="G495" s="98"/>
    </row>
    <row r="496" spans="1:7" ht="12.75">
      <c r="A496" s="98"/>
      <c r="B496" s="184"/>
      <c r="C496" s="184"/>
      <c r="D496" s="184"/>
      <c r="E496" s="184"/>
      <c r="F496" s="98"/>
      <c r="G496" s="98"/>
    </row>
    <row r="497" spans="1:7" ht="12.75">
      <c r="A497" s="98"/>
      <c r="B497" s="184"/>
      <c r="C497" s="184"/>
      <c r="D497" s="184"/>
      <c r="E497" s="184"/>
      <c r="F497" s="98"/>
      <c r="G497" s="98"/>
    </row>
    <row r="498" spans="1:7" ht="12.75">
      <c r="A498" s="98"/>
      <c r="B498" s="184"/>
      <c r="C498" s="184"/>
      <c r="D498" s="184"/>
      <c r="E498" s="184"/>
      <c r="F498" s="98"/>
      <c r="G498" s="98"/>
    </row>
    <row r="499" spans="1:7" ht="12.75">
      <c r="A499" s="98"/>
      <c r="B499" s="184"/>
      <c r="C499" s="184"/>
      <c r="D499" s="184"/>
      <c r="E499" s="184"/>
      <c r="F499" s="98"/>
      <c r="G499" s="98"/>
    </row>
    <row r="500" spans="1:7" ht="12.75">
      <c r="A500" s="98"/>
      <c r="B500" s="184"/>
      <c r="C500" s="184"/>
      <c r="D500" s="184"/>
      <c r="E500" s="184"/>
      <c r="F500" s="98"/>
      <c r="G500" s="98"/>
    </row>
    <row r="501" spans="1:7" ht="12.75">
      <c r="A501" s="98"/>
      <c r="B501" s="184"/>
      <c r="C501" s="184"/>
      <c r="D501" s="184"/>
      <c r="E501" s="184"/>
      <c r="F501" s="98"/>
      <c r="G501" s="98"/>
    </row>
    <row r="502" spans="1:7" ht="12.75">
      <c r="A502" s="98"/>
      <c r="B502" s="184"/>
      <c r="C502" s="184"/>
      <c r="D502" s="184"/>
      <c r="E502" s="184"/>
      <c r="F502" s="98"/>
      <c r="G502" s="98"/>
    </row>
    <row r="503" spans="1:7" ht="12.75">
      <c r="A503" s="98"/>
      <c r="B503" s="184"/>
      <c r="C503" s="184"/>
      <c r="D503" s="184"/>
      <c r="E503" s="184"/>
      <c r="F503" s="98"/>
      <c r="G503" s="98"/>
    </row>
    <row r="504" spans="1:7" ht="12.75">
      <c r="A504" s="98"/>
      <c r="B504" s="184"/>
      <c r="C504" s="184"/>
      <c r="D504" s="184"/>
      <c r="E504" s="184"/>
      <c r="F504" s="98"/>
      <c r="G504" s="98"/>
    </row>
    <row r="505" spans="1:7" ht="12.75">
      <c r="A505" s="98"/>
      <c r="B505" s="184"/>
      <c r="C505" s="184"/>
      <c r="D505" s="184"/>
      <c r="E505" s="184"/>
      <c r="F505" s="98"/>
      <c r="G505" s="98"/>
    </row>
    <row r="506" spans="1:7" ht="12.75">
      <c r="A506" s="98"/>
      <c r="B506" s="184"/>
      <c r="C506" s="184"/>
      <c r="D506" s="184"/>
      <c r="E506" s="184"/>
      <c r="F506" s="98"/>
      <c r="G506" s="98"/>
    </row>
    <row r="507" spans="1:7" ht="12.75">
      <c r="A507" s="98"/>
      <c r="B507" s="184"/>
      <c r="C507" s="184"/>
      <c r="D507" s="184"/>
      <c r="E507" s="184"/>
      <c r="F507" s="98"/>
      <c r="G507" s="98"/>
    </row>
    <row r="508" spans="1:7" ht="12.75">
      <c r="A508" s="98"/>
      <c r="B508" s="184"/>
      <c r="C508" s="184"/>
      <c r="D508" s="184"/>
      <c r="E508" s="184"/>
      <c r="F508" s="98"/>
      <c r="G508" s="98"/>
    </row>
    <row r="509" spans="1:7" ht="12.75">
      <c r="A509" s="98"/>
      <c r="B509" s="184"/>
      <c r="C509" s="184"/>
      <c r="D509" s="184"/>
      <c r="E509" s="184"/>
      <c r="F509" s="98"/>
      <c r="G509" s="98"/>
    </row>
    <row r="510" spans="1:7" ht="12.75">
      <c r="A510" s="98"/>
      <c r="B510" s="184"/>
      <c r="C510" s="184"/>
      <c r="D510" s="184"/>
      <c r="E510" s="184"/>
      <c r="F510" s="98"/>
      <c r="G510" s="98"/>
    </row>
    <row r="511" spans="1:7" ht="12.75">
      <c r="A511" s="98"/>
      <c r="B511" s="184"/>
      <c r="C511" s="184"/>
      <c r="D511" s="184"/>
      <c r="E511" s="184"/>
      <c r="F511" s="98"/>
      <c r="G511" s="98"/>
    </row>
    <row r="512" spans="1:7" ht="12.75">
      <c r="A512" s="98"/>
      <c r="B512" s="184"/>
      <c r="C512" s="184"/>
      <c r="D512" s="184"/>
      <c r="E512" s="184"/>
      <c r="F512" s="98"/>
      <c r="G512" s="98"/>
    </row>
    <row r="513" spans="1:7" ht="12.75">
      <c r="A513" s="98"/>
      <c r="B513" s="184"/>
      <c r="C513" s="184"/>
      <c r="D513" s="184"/>
      <c r="E513" s="184"/>
      <c r="F513" s="98"/>
      <c r="G513" s="98"/>
    </row>
    <row r="514" spans="1:7" ht="12.75">
      <c r="A514" s="98"/>
      <c r="B514" s="184"/>
      <c r="C514" s="184"/>
      <c r="D514" s="184"/>
      <c r="E514" s="184"/>
      <c r="F514" s="98"/>
      <c r="G514" s="98"/>
    </row>
    <row r="515" spans="1:7" ht="12.75">
      <c r="A515" s="98"/>
      <c r="B515" s="184"/>
      <c r="C515" s="184"/>
      <c r="D515" s="184"/>
      <c r="E515" s="184"/>
      <c r="F515" s="98"/>
      <c r="G515" s="98"/>
    </row>
    <row r="516" spans="1:7" ht="12.75">
      <c r="A516" s="98"/>
      <c r="B516" s="184"/>
      <c r="C516" s="184"/>
      <c r="D516" s="184"/>
      <c r="E516" s="184"/>
      <c r="F516" s="98"/>
      <c r="G516" s="98"/>
    </row>
    <row r="517" spans="1:7" ht="12.75">
      <c r="A517" s="98"/>
      <c r="B517" s="184"/>
      <c r="C517" s="184"/>
      <c r="D517" s="184"/>
      <c r="E517" s="184"/>
      <c r="F517" s="98"/>
      <c r="G517" s="98"/>
    </row>
    <row r="518" spans="1:7" ht="12.75">
      <c r="A518" s="98"/>
      <c r="B518" s="184"/>
      <c r="C518" s="184"/>
      <c r="D518" s="184"/>
      <c r="E518" s="184"/>
      <c r="F518" s="98"/>
      <c r="G518" s="98"/>
    </row>
    <row r="519" spans="1:7" ht="12.75">
      <c r="A519" s="98"/>
      <c r="B519" s="184"/>
      <c r="C519" s="184"/>
      <c r="D519" s="184"/>
      <c r="E519" s="184"/>
      <c r="F519" s="98"/>
      <c r="G519" s="98"/>
    </row>
    <row r="520" spans="1:7" ht="12.75">
      <c r="A520" s="98"/>
      <c r="B520" s="184"/>
      <c r="C520" s="184"/>
      <c r="D520" s="184"/>
      <c r="E520" s="184"/>
      <c r="F520" s="98"/>
      <c r="G520" s="98"/>
    </row>
    <row r="521" spans="1:7" ht="12.75">
      <c r="A521" s="98"/>
      <c r="B521" s="184"/>
      <c r="C521" s="184"/>
      <c r="D521" s="184"/>
      <c r="E521" s="184"/>
      <c r="F521" s="98"/>
      <c r="G521" s="98"/>
    </row>
    <row r="522" spans="1:7" ht="12.75">
      <c r="A522" s="98"/>
      <c r="B522" s="184"/>
      <c r="C522" s="184"/>
      <c r="D522" s="184"/>
      <c r="E522" s="184"/>
      <c r="F522" s="98"/>
      <c r="G522" s="98"/>
    </row>
    <row r="523" spans="1:7" ht="12.75">
      <c r="A523" s="98"/>
      <c r="B523" s="184"/>
      <c r="C523" s="184"/>
      <c r="D523" s="184"/>
      <c r="E523" s="184"/>
      <c r="F523" s="98"/>
      <c r="G523" s="98"/>
    </row>
    <row r="524" spans="1:7" ht="12.75">
      <c r="A524" s="98"/>
      <c r="B524" s="184"/>
      <c r="C524" s="184"/>
      <c r="D524" s="184"/>
      <c r="E524" s="184"/>
      <c r="F524" s="98"/>
      <c r="G524" s="98"/>
    </row>
    <row r="525" spans="1:7" ht="12.75">
      <c r="A525" s="98"/>
      <c r="B525" s="184"/>
      <c r="C525" s="184"/>
      <c r="D525" s="184"/>
      <c r="E525" s="184"/>
      <c r="F525" s="98"/>
      <c r="G525" s="98"/>
    </row>
    <row r="526" spans="1:7" ht="12.75">
      <c r="A526" s="98"/>
      <c r="B526" s="184"/>
      <c r="C526" s="184"/>
      <c r="D526" s="184"/>
      <c r="E526" s="184"/>
      <c r="F526" s="98"/>
      <c r="G526" s="98"/>
    </row>
    <row r="527" spans="1:7" ht="12.75">
      <c r="A527" s="98"/>
      <c r="B527" s="184"/>
      <c r="C527" s="184"/>
      <c r="D527" s="184"/>
      <c r="E527" s="184"/>
      <c r="F527" s="98"/>
      <c r="G527" s="98"/>
    </row>
    <row r="528" spans="1:7" ht="12.75">
      <c r="A528" s="98"/>
      <c r="B528" s="184"/>
      <c r="C528" s="184"/>
      <c r="D528" s="184"/>
      <c r="E528" s="184"/>
      <c r="F528" s="98"/>
      <c r="G528" s="98"/>
    </row>
    <row r="529" spans="1:7" ht="12.75">
      <c r="A529" s="98"/>
      <c r="B529" s="184"/>
      <c r="C529" s="184"/>
      <c r="D529" s="184"/>
      <c r="E529" s="184"/>
      <c r="F529" s="98"/>
      <c r="G529" s="98"/>
    </row>
    <row r="530" spans="1:7" ht="12.75">
      <c r="A530" s="98"/>
      <c r="B530" s="184"/>
      <c r="C530" s="184"/>
      <c r="D530" s="184"/>
      <c r="E530" s="184"/>
      <c r="F530" s="98"/>
      <c r="G530" s="98"/>
    </row>
    <row r="531" spans="1:7" ht="12.75">
      <c r="A531" s="98"/>
      <c r="B531" s="184"/>
      <c r="C531" s="184"/>
      <c r="D531" s="184"/>
      <c r="E531" s="184"/>
      <c r="F531" s="98"/>
      <c r="G531" s="98"/>
    </row>
    <row r="532" spans="1:7" ht="12.75">
      <c r="A532" s="98"/>
      <c r="B532" s="184"/>
      <c r="C532" s="184"/>
      <c r="D532" s="184"/>
      <c r="E532" s="184"/>
      <c r="F532" s="98"/>
      <c r="G532" s="98"/>
    </row>
    <row r="533" spans="1:7" ht="12.75">
      <c r="A533" s="98"/>
      <c r="B533" s="184"/>
      <c r="C533" s="184"/>
      <c r="D533" s="184"/>
      <c r="E533" s="184"/>
      <c r="F533" s="98"/>
      <c r="G533" s="98"/>
    </row>
    <row r="534" spans="1:7" ht="12.75">
      <c r="A534" s="98"/>
      <c r="B534" s="184"/>
      <c r="C534" s="184"/>
      <c r="D534" s="184"/>
      <c r="E534" s="184"/>
      <c r="F534" s="98"/>
      <c r="G534" s="98"/>
    </row>
    <row r="535" spans="1:7" ht="12.75">
      <c r="A535" s="98"/>
      <c r="B535" s="184"/>
      <c r="C535" s="184"/>
      <c r="D535" s="184"/>
      <c r="E535" s="184"/>
      <c r="F535" s="98"/>
      <c r="G535" s="98"/>
    </row>
    <row r="536" spans="1:7" ht="12.75">
      <c r="A536" s="98"/>
      <c r="B536" s="184"/>
      <c r="C536" s="184"/>
      <c r="D536" s="184"/>
      <c r="E536" s="184"/>
      <c r="F536" s="98"/>
      <c r="G536" s="98"/>
    </row>
    <row r="537" spans="1:7" ht="12.75">
      <c r="A537" s="98"/>
      <c r="B537" s="184"/>
      <c r="C537" s="184"/>
      <c r="D537" s="184"/>
      <c r="E537" s="184"/>
      <c r="F537" s="98"/>
      <c r="G537" s="98"/>
    </row>
    <row r="538" spans="1:7" ht="12.75">
      <c r="A538" s="98"/>
      <c r="B538" s="184"/>
      <c r="C538" s="184"/>
      <c r="D538" s="184"/>
      <c r="E538" s="184"/>
      <c r="F538" s="98"/>
      <c r="G538" s="98"/>
    </row>
    <row r="539" spans="1:7" ht="12.75">
      <c r="A539" s="98"/>
      <c r="B539" s="184"/>
      <c r="C539" s="184"/>
      <c r="D539" s="184"/>
      <c r="E539" s="184"/>
      <c r="F539" s="98"/>
      <c r="G539" s="98"/>
    </row>
    <row r="540" spans="1:7" ht="12.75">
      <c r="A540" s="98"/>
      <c r="B540" s="184"/>
      <c r="C540" s="184"/>
      <c r="D540" s="184"/>
      <c r="E540" s="184"/>
      <c r="F540" s="98"/>
      <c r="G540" s="98"/>
    </row>
    <row r="541" spans="1:7" ht="12.75">
      <c r="A541" s="98"/>
      <c r="B541" s="184"/>
      <c r="C541" s="184"/>
      <c r="D541" s="184"/>
      <c r="E541" s="184"/>
      <c r="F541" s="98"/>
      <c r="G541" s="98"/>
    </row>
    <row r="542" spans="1:7" ht="12.75">
      <c r="A542" s="98"/>
      <c r="B542" s="184"/>
      <c r="C542" s="184"/>
      <c r="D542" s="184"/>
      <c r="E542" s="184"/>
      <c r="F542" s="98"/>
      <c r="G542" s="98"/>
    </row>
    <row r="543" spans="1:7" ht="12.75">
      <c r="A543" s="98"/>
      <c r="B543" s="184"/>
      <c r="C543" s="184"/>
      <c r="D543" s="184"/>
      <c r="E543" s="184"/>
      <c r="F543" s="98"/>
      <c r="G543" s="98"/>
    </row>
    <row r="544" spans="1:7" ht="12.75">
      <c r="A544" s="98"/>
      <c r="B544" s="184"/>
      <c r="C544" s="184"/>
      <c r="D544" s="184"/>
      <c r="E544" s="184"/>
      <c r="F544" s="98"/>
      <c r="G544" s="98"/>
    </row>
    <row r="545" spans="1:7" ht="12.75">
      <c r="A545" s="98"/>
      <c r="B545" s="184"/>
      <c r="C545" s="184"/>
      <c r="D545" s="184"/>
      <c r="E545" s="184"/>
      <c r="F545" s="98"/>
      <c r="G545" s="98"/>
    </row>
    <row r="546" spans="1:7" ht="12.75">
      <c r="A546" s="98"/>
      <c r="B546" s="184"/>
      <c r="C546" s="184"/>
      <c r="D546" s="184"/>
      <c r="E546" s="184"/>
      <c r="F546" s="98"/>
      <c r="G546" s="98"/>
    </row>
    <row r="547" spans="1:7" ht="12.75">
      <c r="A547" s="98"/>
      <c r="B547" s="184"/>
      <c r="C547" s="184"/>
      <c r="D547" s="184"/>
      <c r="E547" s="184"/>
      <c r="F547" s="98"/>
      <c r="G547" s="98"/>
    </row>
    <row r="548" spans="1:7" ht="12.75">
      <c r="A548" s="98"/>
      <c r="B548" s="184"/>
      <c r="C548" s="184"/>
      <c r="D548" s="184"/>
      <c r="E548" s="184"/>
      <c r="F548" s="98"/>
      <c r="G548" s="98"/>
    </row>
    <row r="549" spans="1:7" ht="12.75">
      <c r="A549" s="98"/>
      <c r="B549" s="184"/>
      <c r="C549" s="184"/>
      <c r="D549" s="184"/>
      <c r="E549" s="184"/>
      <c r="F549" s="98"/>
      <c r="G549" s="98"/>
    </row>
    <row r="550" spans="1:7" ht="12.75">
      <c r="A550" s="98"/>
      <c r="B550" s="184"/>
      <c r="C550" s="184"/>
      <c r="D550" s="184"/>
      <c r="E550" s="184"/>
      <c r="F550" s="98"/>
      <c r="G550" s="98"/>
    </row>
    <row r="551" spans="1:7" ht="12.75">
      <c r="A551" s="98"/>
      <c r="B551" s="184"/>
      <c r="C551" s="184"/>
      <c r="D551" s="184"/>
      <c r="E551" s="184"/>
      <c r="F551" s="98"/>
      <c r="G551" s="98"/>
    </row>
    <row r="552" spans="1:7" ht="12.75">
      <c r="A552" s="98"/>
      <c r="B552" s="184"/>
      <c r="C552" s="184"/>
      <c r="D552" s="184"/>
      <c r="E552" s="184"/>
      <c r="F552" s="98"/>
      <c r="G552" s="98"/>
    </row>
    <row r="553" spans="1:7" ht="12.75">
      <c r="A553" s="98"/>
      <c r="B553" s="184"/>
      <c r="C553" s="184"/>
      <c r="D553" s="184"/>
      <c r="E553" s="184"/>
      <c r="F553" s="98"/>
      <c r="G553" s="98"/>
    </row>
    <row r="554" spans="1:7" ht="12.75">
      <c r="A554" s="98"/>
      <c r="B554" s="184"/>
      <c r="C554" s="184"/>
      <c r="D554" s="184"/>
      <c r="E554" s="184"/>
      <c r="F554" s="98"/>
      <c r="G554" s="98"/>
    </row>
    <row r="555" spans="1:7" ht="12.75">
      <c r="A555" s="98"/>
      <c r="B555" s="184"/>
      <c r="C555" s="184"/>
      <c r="D555" s="184"/>
      <c r="E555" s="184"/>
      <c r="F555" s="98"/>
      <c r="G555" s="98"/>
    </row>
    <row r="556" spans="1:7" ht="12.75">
      <c r="A556" s="98"/>
      <c r="B556" s="184"/>
      <c r="C556" s="184"/>
      <c r="D556" s="184"/>
      <c r="E556" s="184"/>
      <c r="F556" s="98"/>
      <c r="G556" s="98"/>
    </row>
    <row r="557" spans="1:7" ht="12.75">
      <c r="A557" s="98"/>
      <c r="B557" s="184"/>
      <c r="C557" s="184"/>
      <c r="D557" s="184"/>
      <c r="E557" s="184"/>
      <c r="F557" s="98"/>
      <c r="G557" s="98"/>
    </row>
    <row r="558" spans="1:7" ht="12.75">
      <c r="A558" s="98"/>
      <c r="B558" s="184"/>
      <c r="C558" s="184"/>
      <c r="D558" s="184"/>
      <c r="E558" s="184"/>
      <c r="F558" s="98"/>
      <c r="G558" s="98"/>
    </row>
    <row r="559" spans="1:7" ht="12.75">
      <c r="A559" s="98"/>
      <c r="B559" s="184"/>
      <c r="C559" s="184"/>
      <c r="D559" s="184"/>
      <c r="E559" s="184"/>
      <c r="F559" s="98"/>
      <c r="G559" s="98"/>
    </row>
    <row r="560" spans="1:7" ht="12.75">
      <c r="A560" s="98"/>
      <c r="B560" s="184"/>
      <c r="C560" s="184"/>
      <c r="D560" s="184"/>
      <c r="E560" s="184"/>
      <c r="F560" s="98"/>
      <c r="G560" s="98"/>
    </row>
    <row r="561" spans="1:7" ht="12.75">
      <c r="A561" s="98"/>
      <c r="B561" s="184"/>
      <c r="C561" s="184"/>
      <c r="D561" s="184"/>
      <c r="E561" s="184"/>
      <c r="F561" s="98"/>
      <c r="G561" s="98"/>
    </row>
    <row r="562" spans="1:7" ht="12.75">
      <c r="A562" s="98"/>
      <c r="B562" s="184"/>
      <c r="C562" s="184"/>
      <c r="D562" s="184"/>
      <c r="E562" s="184"/>
      <c r="F562" s="98"/>
      <c r="G562" s="98"/>
    </row>
    <row r="563" spans="1:7" ht="12.75">
      <c r="A563" s="98"/>
      <c r="B563" s="184"/>
      <c r="C563" s="184"/>
      <c r="D563" s="184"/>
      <c r="E563" s="184"/>
      <c r="F563" s="98"/>
      <c r="G563" s="98"/>
    </row>
    <row r="564" spans="1:7" ht="12.75">
      <c r="A564" s="98"/>
      <c r="B564" s="184"/>
      <c r="C564" s="184"/>
      <c r="D564" s="184"/>
      <c r="E564" s="184"/>
      <c r="F564" s="98"/>
      <c r="G564" s="98"/>
    </row>
    <row r="565" spans="1:7" ht="12.75">
      <c r="A565" s="98"/>
      <c r="B565" s="184"/>
      <c r="C565" s="184"/>
      <c r="D565" s="184"/>
      <c r="E565" s="184"/>
      <c r="F565" s="98"/>
      <c r="G565" s="98"/>
    </row>
    <row r="566" spans="1:7" ht="12.75">
      <c r="A566" s="98"/>
      <c r="B566" s="184"/>
      <c r="C566" s="184"/>
      <c r="D566" s="184"/>
      <c r="E566" s="184"/>
      <c r="F566" s="98"/>
      <c r="G566" s="98"/>
    </row>
    <row r="567" spans="1:7" ht="12.75">
      <c r="A567" s="98"/>
      <c r="B567" s="184"/>
      <c r="C567" s="184"/>
      <c r="D567" s="184"/>
      <c r="E567" s="184"/>
      <c r="F567" s="98"/>
      <c r="G567" s="98"/>
    </row>
    <row r="568" spans="1:7" ht="12.75">
      <c r="A568" s="98"/>
      <c r="B568" s="184"/>
      <c r="C568" s="184"/>
      <c r="D568" s="184"/>
      <c r="E568" s="184"/>
      <c r="F568" s="98"/>
      <c r="G568" s="98"/>
    </row>
    <row r="569" spans="1:7" ht="12.75">
      <c r="A569" s="98"/>
      <c r="B569" s="184"/>
      <c r="C569" s="184"/>
      <c r="D569" s="184"/>
      <c r="E569" s="184"/>
      <c r="F569" s="98"/>
      <c r="G569" s="98"/>
    </row>
    <row r="570" spans="1:7" ht="12.75">
      <c r="A570" s="98"/>
      <c r="B570" s="184"/>
      <c r="C570" s="184"/>
      <c r="D570" s="184"/>
      <c r="E570" s="184"/>
      <c r="F570" s="98"/>
      <c r="G570" s="98"/>
    </row>
    <row r="571" spans="1:7" ht="12.75">
      <c r="A571" s="98"/>
      <c r="B571" s="184"/>
      <c r="C571" s="184"/>
      <c r="D571" s="184"/>
      <c r="E571" s="184"/>
      <c r="F571" s="98"/>
      <c r="G571" s="98"/>
    </row>
    <row r="572" spans="1:7" ht="12.75">
      <c r="A572" s="98"/>
      <c r="B572" s="184"/>
      <c r="C572" s="184"/>
      <c r="D572" s="184"/>
      <c r="E572" s="184"/>
      <c r="F572" s="98"/>
      <c r="G572" s="98"/>
    </row>
    <row r="573" spans="1:7" ht="12.75">
      <c r="A573" s="98"/>
      <c r="B573" s="184"/>
      <c r="C573" s="184"/>
      <c r="D573" s="184"/>
      <c r="E573" s="184"/>
      <c r="F573" s="98"/>
      <c r="G573" s="98"/>
    </row>
    <row r="574" spans="1:7" ht="12.75">
      <c r="A574" s="98"/>
      <c r="B574" s="184"/>
      <c r="C574" s="184"/>
      <c r="D574" s="184"/>
      <c r="E574" s="184"/>
      <c r="F574" s="98"/>
      <c r="G574" s="98"/>
    </row>
    <row r="575" spans="1:7" ht="12.75">
      <c r="A575" s="98"/>
      <c r="B575" s="184"/>
      <c r="C575" s="184"/>
      <c r="D575" s="184"/>
      <c r="E575" s="184"/>
      <c r="F575" s="98"/>
      <c r="G575" s="98"/>
    </row>
    <row r="576" spans="1:7" ht="12.75">
      <c r="A576" s="98"/>
      <c r="B576" s="184"/>
      <c r="C576" s="184"/>
      <c r="D576" s="184"/>
      <c r="E576" s="184"/>
      <c r="F576" s="98"/>
      <c r="G576" s="98"/>
    </row>
    <row r="577" spans="1:7" ht="12.75">
      <c r="A577" s="98"/>
      <c r="B577" s="184"/>
      <c r="C577" s="184"/>
      <c r="D577" s="184"/>
      <c r="E577" s="184"/>
      <c r="F577" s="98"/>
      <c r="G577" s="98"/>
    </row>
    <row r="578" spans="1:7" ht="12.75">
      <c r="A578" s="98"/>
      <c r="B578" s="184"/>
      <c r="C578" s="184"/>
      <c r="D578" s="184"/>
      <c r="E578" s="184"/>
      <c r="F578" s="98"/>
      <c r="G578" s="98"/>
    </row>
    <row r="579" spans="1:7" ht="12.75">
      <c r="A579" s="98"/>
      <c r="B579" s="184"/>
      <c r="C579" s="184"/>
      <c r="D579" s="184"/>
      <c r="E579" s="184"/>
      <c r="F579" s="98"/>
      <c r="G579" s="98"/>
    </row>
    <row r="580" spans="1:7" ht="12.75">
      <c r="A580" s="98"/>
      <c r="B580" s="184"/>
      <c r="C580" s="184"/>
      <c r="D580" s="184"/>
      <c r="E580" s="184"/>
      <c r="F580" s="98"/>
      <c r="G580" s="98"/>
    </row>
    <row r="581" spans="1:7" ht="12.75">
      <c r="A581" s="98"/>
      <c r="B581" s="184"/>
      <c r="C581" s="184"/>
      <c r="D581" s="184"/>
      <c r="E581" s="184"/>
      <c r="F581" s="98"/>
      <c r="G581" s="98"/>
    </row>
    <row r="582" spans="1:7" ht="12.75">
      <c r="A582" s="98"/>
      <c r="B582" s="184"/>
      <c r="C582" s="184"/>
      <c r="D582" s="184"/>
      <c r="E582" s="184"/>
      <c r="F582" s="98"/>
      <c r="G582" s="98"/>
    </row>
    <row r="583" spans="1:7" ht="12.75">
      <c r="A583" s="98"/>
      <c r="B583" s="184"/>
      <c r="C583" s="184"/>
      <c r="D583" s="184"/>
      <c r="E583" s="184"/>
      <c r="F583" s="98"/>
      <c r="G583" s="98"/>
    </row>
    <row r="584" spans="1:7" ht="12.75">
      <c r="A584" s="98"/>
      <c r="B584" s="184"/>
      <c r="C584" s="184"/>
      <c r="D584" s="184"/>
      <c r="E584" s="184"/>
      <c r="F584" s="98"/>
      <c r="G584" s="98"/>
    </row>
    <row r="585" spans="1:7" ht="12.75">
      <c r="A585" s="98"/>
      <c r="B585" s="184"/>
      <c r="C585" s="184"/>
      <c r="D585" s="184"/>
      <c r="E585" s="184"/>
      <c r="F585" s="98"/>
      <c r="G585" s="98"/>
    </row>
    <row r="586" spans="1:7" ht="12.75">
      <c r="A586" s="98"/>
      <c r="B586" s="184"/>
      <c r="C586" s="184"/>
      <c r="D586" s="184"/>
      <c r="E586" s="184"/>
      <c r="F586" s="98"/>
      <c r="G586" s="98"/>
    </row>
    <row r="587" spans="1:7" ht="12.75">
      <c r="A587" s="98"/>
      <c r="B587" s="184"/>
      <c r="C587" s="184"/>
      <c r="D587" s="184"/>
      <c r="E587" s="184"/>
      <c r="F587" s="98"/>
      <c r="G587" s="98"/>
    </row>
    <row r="588" spans="1:7" ht="12.75">
      <c r="A588" s="98"/>
      <c r="B588" s="184"/>
      <c r="C588" s="184"/>
      <c r="D588" s="184"/>
      <c r="E588" s="184"/>
      <c r="F588" s="98"/>
      <c r="G588" s="98"/>
    </row>
    <row r="589" spans="1:7" ht="12.75">
      <c r="A589" s="98"/>
      <c r="B589" s="184"/>
      <c r="C589" s="184"/>
      <c r="D589" s="184"/>
      <c r="E589" s="184"/>
      <c r="F589" s="98"/>
      <c r="G589" s="98"/>
    </row>
    <row r="590" spans="1:7" ht="12.75">
      <c r="A590" s="98"/>
      <c r="B590" s="184"/>
      <c r="C590" s="184"/>
      <c r="D590" s="184"/>
      <c r="E590" s="184"/>
      <c r="F590" s="98"/>
      <c r="G590" s="98"/>
    </row>
    <row r="591" spans="1:7" ht="12.75">
      <c r="A591" s="98"/>
      <c r="B591" s="184"/>
      <c r="C591" s="184"/>
      <c r="D591" s="184"/>
      <c r="E591" s="184"/>
      <c r="F591" s="98"/>
      <c r="G591" s="98"/>
    </row>
    <row r="592" spans="1:7" ht="12.75">
      <c r="A592" s="98"/>
      <c r="B592" s="184"/>
      <c r="C592" s="184"/>
      <c r="D592" s="184"/>
      <c r="E592" s="184"/>
      <c r="F592" s="98"/>
      <c r="G592" s="98"/>
    </row>
    <row r="593" spans="1:7" ht="12.75">
      <c r="A593" s="98"/>
      <c r="B593" s="184"/>
      <c r="C593" s="184"/>
      <c r="D593" s="184"/>
      <c r="E593" s="184"/>
      <c r="F593" s="98"/>
      <c r="G593" s="98"/>
    </row>
    <row r="594" spans="1:7" ht="12.75">
      <c r="A594" s="98"/>
      <c r="B594" s="184"/>
      <c r="C594" s="184"/>
      <c r="D594" s="184"/>
      <c r="E594" s="184"/>
      <c r="F594" s="98"/>
      <c r="G594" s="98"/>
    </row>
    <row r="595" spans="1:7" ht="12.75">
      <c r="A595" s="98"/>
      <c r="B595" s="184"/>
      <c r="C595" s="184"/>
      <c r="D595" s="184"/>
      <c r="E595" s="184"/>
      <c r="F595" s="98"/>
      <c r="G595" s="98"/>
    </row>
    <row r="596" spans="1:7" ht="12.75">
      <c r="A596" s="98"/>
      <c r="B596" s="184"/>
      <c r="C596" s="184"/>
      <c r="D596" s="184"/>
      <c r="E596" s="184"/>
      <c r="F596" s="98"/>
      <c r="G596" s="98"/>
    </row>
    <row r="597" spans="1:7" ht="12.75">
      <c r="A597" s="98"/>
      <c r="B597" s="184"/>
      <c r="C597" s="184"/>
      <c r="D597" s="184"/>
      <c r="E597" s="184"/>
      <c r="F597" s="98"/>
      <c r="G597" s="98"/>
    </row>
    <row r="598" spans="1:7" ht="12.75">
      <c r="A598" s="98"/>
      <c r="B598" s="184"/>
      <c r="C598" s="184"/>
      <c r="D598" s="184"/>
      <c r="E598" s="184"/>
      <c r="F598" s="98"/>
      <c r="G598" s="98"/>
    </row>
    <row r="599" spans="1:7" ht="12.75">
      <c r="A599" s="98"/>
      <c r="B599" s="184"/>
      <c r="C599" s="184"/>
      <c r="D599" s="184"/>
      <c r="E599" s="184"/>
      <c r="F599" s="98"/>
      <c r="G599" s="98"/>
    </row>
    <row r="600" spans="1:7" ht="12.75">
      <c r="A600" s="98"/>
      <c r="B600" s="184"/>
      <c r="C600" s="184"/>
      <c r="D600" s="184"/>
      <c r="E600" s="184"/>
      <c r="F600" s="98"/>
      <c r="G600" s="98"/>
    </row>
    <row r="601" spans="1:7" ht="12.75">
      <c r="A601" s="98"/>
      <c r="B601" s="184"/>
      <c r="C601" s="184"/>
      <c r="D601" s="184"/>
      <c r="E601" s="184"/>
      <c r="F601" s="98"/>
      <c r="G601" s="98"/>
    </row>
    <row r="602" spans="1:7" ht="12.75">
      <c r="A602" s="98"/>
      <c r="B602" s="184"/>
      <c r="C602" s="184"/>
      <c r="D602" s="184"/>
      <c r="E602" s="184"/>
      <c r="F602" s="98"/>
      <c r="G602" s="98"/>
    </row>
    <row r="603" spans="1:7" ht="12.75">
      <c r="A603" s="98"/>
      <c r="B603" s="184"/>
      <c r="C603" s="184"/>
      <c r="D603" s="184"/>
      <c r="E603" s="184"/>
      <c r="F603" s="98"/>
      <c r="G603" s="98"/>
    </row>
    <row r="604" spans="1:7" ht="12.75">
      <c r="A604" s="98"/>
      <c r="B604" s="184"/>
      <c r="C604" s="184"/>
      <c r="D604" s="184"/>
      <c r="E604" s="184"/>
      <c r="F604" s="98"/>
      <c r="G604" s="98"/>
    </row>
    <row r="605" spans="1:7" ht="12.75">
      <c r="A605" s="98"/>
      <c r="B605" s="184"/>
      <c r="C605" s="184"/>
      <c r="D605" s="184"/>
      <c r="E605" s="184"/>
      <c r="F605" s="98"/>
      <c r="G605" s="98"/>
    </row>
    <row r="606" spans="1:7" ht="12.75">
      <c r="A606" s="98"/>
      <c r="B606" s="184"/>
      <c r="C606" s="184"/>
      <c r="D606" s="184"/>
      <c r="E606" s="184"/>
      <c r="F606" s="98"/>
      <c r="G606" s="98"/>
    </row>
    <row r="607" spans="1:7" ht="12.75">
      <c r="A607" s="98"/>
      <c r="B607" s="184"/>
      <c r="C607" s="184"/>
      <c r="D607" s="184"/>
      <c r="E607" s="184"/>
      <c r="F607" s="98"/>
      <c r="G607" s="98"/>
    </row>
    <row r="608" spans="1:7" ht="12.75">
      <c r="A608" s="98"/>
      <c r="B608" s="184"/>
      <c r="C608" s="184"/>
      <c r="D608" s="184"/>
      <c r="E608" s="184"/>
      <c r="F608" s="98"/>
      <c r="G608" s="98"/>
    </row>
    <row r="609" spans="1:7" ht="12.75">
      <c r="A609" s="98"/>
      <c r="B609" s="184"/>
      <c r="C609" s="184"/>
      <c r="D609" s="184"/>
      <c r="E609" s="184"/>
      <c r="F609" s="98"/>
      <c r="G609" s="98"/>
    </row>
    <row r="610" spans="1:7" ht="12.75">
      <c r="A610" s="98"/>
      <c r="B610" s="184"/>
      <c r="C610" s="184"/>
      <c r="D610" s="184"/>
      <c r="E610" s="184"/>
      <c r="F610" s="98"/>
      <c r="G610" s="98"/>
    </row>
    <row r="611" spans="1:7" ht="12.75">
      <c r="A611" s="98"/>
      <c r="B611" s="184"/>
      <c r="C611" s="184"/>
      <c r="D611" s="184"/>
      <c r="E611" s="184"/>
      <c r="F611" s="98"/>
      <c r="G611" s="98"/>
    </row>
    <row r="612" spans="1:7" ht="12.75">
      <c r="A612" s="98"/>
      <c r="B612" s="184"/>
      <c r="C612" s="184"/>
      <c r="D612" s="184"/>
      <c r="E612" s="184"/>
      <c r="F612" s="98"/>
      <c r="G612" s="98"/>
    </row>
    <row r="613" spans="1:7" ht="12.75">
      <c r="A613" s="98"/>
      <c r="B613" s="184"/>
      <c r="C613" s="184"/>
      <c r="D613" s="184"/>
      <c r="E613" s="184"/>
      <c r="F613" s="98"/>
      <c r="G613" s="98"/>
    </row>
    <row r="614" spans="1:7" ht="12.75">
      <c r="A614" s="98"/>
      <c r="B614" s="184"/>
      <c r="C614" s="184"/>
      <c r="D614" s="184"/>
      <c r="E614" s="184"/>
      <c r="F614" s="98"/>
      <c r="G614" s="98"/>
    </row>
    <row r="615" spans="1:7" ht="12.75">
      <c r="A615" s="98"/>
      <c r="B615" s="184"/>
      <c r="C615" s="184"/>
      <c r="D615" s="184"/>
      <c r="E615" s="184"/>
      <c r="F615" s="98"/>
      <c r="G615" s="98"/>
    </row>
    <row r="616" spans="1:7" ht="12.75">
      <c r="A616" s="98"/>
      <c r="B616" s="184"/>
      <c r="C616" s="184"/>
      <c r="D616" s="184"/>
      <c r="E616" s="184"/>
      <c r="F616" s="98"/>
      <c r="G616" s="98"/>
    </row>
    <row r="617" spans="1:7" ht="12.75">
      <c r="A617" s="98"/>
      <c r="B617" s="184"/>
      <c r="C617" s="184"/>
      <c r="D617" s="184"/>
      <c r="E617" s="184"/>
      <c r="F617" s="98"/>
      <c r="G617" s="98"/>
    </row>
    <row r="618" spans="1:7" ht="12.75">
      <c r="A618" s="98"/>
      <c r="B618" s="184"/>
      <c r="C618" s="184"/>
      <c r="D618" s="184"/>
      <c r="E618" s="184"/>
      <c r="F618" s="98"/>
      <c r="G618" s="98"/>
    </row>
    <row r="619" spans="1:7" ht="12.75">
      <c r="A619" s="98"/>
      <c r="B619" s="184"/>
      <c r="C619" s="184"/>
      <c r="D619" s="184"/>
      <c r="E619" s="184"/>
      <c r="F619" s="98"/>
      <c r="G619" s="98"/>
    </row>
    <row r="620" spans="1:7" ht="12.75">
      <c r="A620" s="98"/>
      <c r="B620" s="184"/>
      <c r="C620" s="184"/>
      <c r="D620" s="184"/>
      <c r="E620" s="184"/>
      <c r="F620" s="98"/>
      <c r="G620" s="98"/>
    </row>
    <row r="621" spans="1:7" ht="12.75">
      <c r="A621" s="98"/>
      <c r="B621" s="184"/>
      <c r="C621" s="184"/>
      <c r="D621" s="184"/>
      <c r="E621" s="184"/>
      <c r="F621" s="98"/>
      <c r="G621" s="98"/>
    </row>
    <row r="622" spans="1:7" ht="12.75">
      <c r="A622" s="98"/>
      <c r="B622" s="184"/>
      <c r="C622" s="184"/>
      <c r="D622" s="184"/>
      <c r="E622" s="184"/>
      <c r="F622" s="98"/>
      <c r="G622" s="98"/>
    </row>
    <row r="623" spans="1:7" ht="12.75">
      <c r="A623" s="98"/>
      <c r="B623" s="184"/>
      <c r="C623" s="184"/>
      <c r="D623" s="184"/>
      <c r="E623" s="184"/>
      <c r="F623" s="98"/>
      <c r="G623" s="98"/>
    </row>
    <row r="624" spans="1:7" ht="12.75">
      <c r="A624" s="98"/>
      <c r="B624" s="184"/>
      <c r="C624" s="184"/>
      <c r="D624" s="184"/>
      <c r="E624" s="184"/>
      <c r="F624" s="98"/>
      <c r="G624" s="98"/>
    </row>
    <row r="625" spans="1:7" ht="12.75">
      <c r="A625" s="98"/>
      <c r="B625" s="184"/>
      <c r="C625" s="184"/>
      <c r="D625" s="184"/>
      <c r="E625" s="184"/>
      <c r="F625" s="98"/>
      <c r="G625" s="98"/>
    </row>
    <row r="626" spans="1:7" ht="12.75">
      <c r="A626" s="98"/>
      <c r="B626" s="184"/>
      <c r="C626" s="184"/>
      <c r="D626" s="184"/>
      <c r="E626" s="184"/>
      <c r="F626" s="98"/>
      <c r="G626" s="98"/>
    </row>
    <row r="627" spans="1:7" ht="12.75">
      <c r="A627" s="98"/>
      <c r="B627" s="184"/>
      <c r="C627" s="184"/>
      <c r="D627" s="184"/>
      <c r="E627" s="184"/>
      <c r="F627" s="98"/>
      <c r="G627" s="98"/>
    </row>
    <row r="628" spans="1:7" ht="12.75">
      <c r="A628" s="98"/>
      <c r="B628" s="184"/>
      <c r="C628" s="184"/>
      <c r="D628" s="184"/>
      <c r="E628" s="184"/>
      <c r="F628" s="98"/>
      <c r="G628" s="98"/>
    </row>
    <row r="629" spans="1:7" ht="12.75">
      <c r="A629" s="98"/>
      <c r="B629" s="184"/>
      <c r="C629" s="184"/>
      <c r="D629" s="184"/>
      <c r="E629" s="184"/>
      <c r="F629" s="98"/>
      <c r="G629" s="98"/>
    </row>
    <row r="630" spans="1:7" ht="12.75">
      <c r="A630" s="98"/>
      <c r="B630" s="184"/>
      <c r="C630" s="184"/>
      <c r="D630" s="184"/>
      <c r="E630" s="184"/>
      <c r="F630" s="98"/>
      <c r="G630" s="98"/>
    </row>
    <row r="631" spans="1:7" ht="12.75">
      <c r="A631" s="98"/>
      <c r="B631" s="184"/>
      <c r="C631" s="184"/>
      <c r="D631" s="184"/>
      <c r="E631" s="184"/>
      <c r="F631" s="98"/>
      <c r="G631" s="98"/>
    </row>
    <row r="632" spans="1:7" ht="12.75">
      <c r="A632" s="98"/>
      <c r="B632" s="184"/>
      <c r="C632" s="184"/>
      <c r="D632" s="184"/>
      <c r="E632" s="184"/>
      <c r="F632" s="98"/>
      <c r="G632" s="98"/>
    </row>
    <row r="633" spans="1:7" ht="12.75">
      <c r="A633" s="98"/>
      <c r="B633" s="184"/>
      <c r="C633" s="184"/>
      <c r="D633" s="184"/>
      <c r="E633" s="184"/>
      <c r="F633" s="98"/>
      <c r="G633" s="98"/>
    </row>
    <row r="634" spans="1:7" ht="12.75">
      <c r="A634" s="98"/>
      <c r="B634" s="184"/>
      <c r="C634" s="184"/>
      <c r="D634" s="184"/>
      <c r="E634" s="184"/>
      <c r="F634" s="98"/>
      <c r="G634" s="98"/>
    </row>
    <row r="635" spans="1:7" ht="12.75">
      <c r="A635" s="98"/>
      <c r="B635" s="184"/>
      <c r="C635" s="184"/>
      <c r="D635" s="184"/>
      <c r="E635" s="184"/>
      <c r="F635" s="98"/>
      <c r="G635" s="98"/>
    </row>
    <row r="636" spans="1:7" ht="12.75">
      <c r="A636" s="98"/>
      <c r="B636" s="184"/>
      <c r="C636" s="184"/>
      <c r="D636" s="184"/>
      <c r="E636" s="184"/>
      <c r="F636" s="98"/>
      <c r="G636" s="98"/>
    </row>
    <row r="637" spans="1:7" ht="12.75">
      <c r="A637" s="98"/>
      <c r="B637" s="184"/>
      <c r="C637" s="184"/>
      <c r="D637" s="184"/>
      <c r="E637" s="184"/>
      <c r="F637" s="98"/>
      <c r="G637" s="98"/>
    </row>
    <row r="638" spans="1:7" ht="12.75">
      <c r="A638" s="98"/>
      <c r="B638" s="184"/>
      <c r="C638" s="184"/>
      <c r="D638" s="184"/>
      <c r="E638" s="184"/>
      <c r="F638" s="98"/>
      <c r="G638" s="98"/>
    </row>
    <row r="639" spans="1:7" ht="12.75">
      <c r="A639" s="98"/>
      <c r="B639" s="184"/>
      <c r="C639" s="184"/>
      <c r="D639" s="184"/>
      <c r="E639" s="184"/>
      <c r="F639" s="98"/>
      <c r="G639" s="98"/>
    </row>
    <row r="640" spans="1:7" ht="12.75">
      <c r="A640" s="98"/>
      <c r="B640" s="184"/>
      <c r="C640" s="184"/>
      <c r="D640" s="184"/>
      <c r="E640" s="184"/>
      <c r="F640" s="98"/>
      <c r="G640" s="98"/>
    </row>
    <row r="641" spans="1:7" ht="12.75">
      <c r="A641" s="98"/>
      <c r="B641" s="184"/>
      <c r="C641" s="184"/>
      <c r="D641" s="184"/>
      <c r="E641" s="184"/>
      <c r="F641" s="98"/>
      <c r="G641" s="98"/>
    </row>
    <row r="642" spans="1:7" ht="12.75">
      <c r="A642" s="98"/>
      <c r="B642" s="184"/>
      <c r="C642" s="184"/>
      <c r="D642" s="184"/>
      <c r="E642" s="184"/>
      <c r="F642" s="98"/>
      <c r="G642" s="98"/>
    </row>
    <row r="643" spans="1:7" ht="12.75">
      <c r="A643" s="98"/>
      <c r="B643" s="184"/>
      <c r="C643" s="184"/>
      <c r="D643" s="184"/>
      <c r="E643" s="184"/>
      <c r="F643" s="98"/>
      <c r="G643" s="98"/>
    </row>
    <row r="644" spans="1:7" ht="12.75">
      <c r="A644" s="98"/>
      <c r="B644" s="184"/>
      <c r="C644" s="184"/>
      <c r="D644" s="184"/>
      <c r="E644" s="184"/>
      <c r="F644" s="98"/>
      <c r="G644" s="98"/>
    </row>
    <row r="645" spans="1:7" ht="12.75">
      <c r="A645" s="98"/>
      <c r="B645" s="184"/>
      <c r="C645" s="184"/>
      <c r="D645" s="184"/>
      <c r="E645" s="184"/>
      <c r="F645" s="98"/>
      <c r="G645" s="98"/>
    </row>
    <row r="646" spans="1:7" ht="12.75">
      <c r="A646" s="98"/>
      <c r="B646" s="184"/>
      <c r="C646" s="184"/>
      <c r="D646" s="184"/>
      <c r="E646" s="184"/>
      <c r="F646" s="98"/>
      <c r="G646" s="98"/>
    </row>
    <row r="647" spans="1:7" ht="12.75">
      <c r="A647" s="98"/>
      <c r="B647" s="184"/>
      <c r="C647" s="184"/>
      <c r="D647" s="184"/>
      <c r="E647" s="184"/>
      <c r="F647" s="98"/>
      <c r="G647" s="98"/>
    </row>
    <row r="648" spans="1:7" ht="12.75">
      <c r="A648" s="98"/>
      <c r="B648" s="184"/>
      <c r="C648" s="184"/>
      <c r="D648" s="184"/>
      <c r="E648" s="184"/>
      <c r="F648" s="98"/>
      <c r="G648" s="98"/>
    </row>
    <row r="649" spans="1:7" ht="12.75">
      <c r="A649" s="98"/>
      <c r="B649" s="184"/>
      <c r="C649" s="184"/>
      <c r="D649" s="184"/>
      <c r="E649" s="184"/>
      <c r="F649" s="98"/>
      <c r="G649" s="98"/>
    </row>
    <row r="650" spans="1:7" ht="12.75">
      <c r="A650" s="98"/>
      <c r="B650" s="184"/>
      <c r="C650" s="184"/>
      <c r="D650" s="184"/>
      <c r="E650" s="184"/>
      <c r="F650" s="98"/>
      <c r="G650" s="98"/>
    </row>
    <row r="651" spans="1:7" ht="12.75">
      <c r="A651" s="98"/>
      <c r="B651" s="184"/>
      <c r="C651" s="184"/>
      <c r="D651" s="184"/>
      <c r="E651" s="184"/>
      <c r="F651" s="98"/>
      <c r="G651" s="98"/>
    </row>
    <row r="652" spans="1:7" ht="12.75">
      <c r="A652" s="98"/>
      <c r="B652" s="184"/>
      <c r="C652" s="184"/>
      <c r="D652" s="184"/>
      <c r="E652" s="184"/>
      <c r="F652" s="98"/>
      <c r="G652" s="98"/>
    </row>
    <row r="653" spans="1:7" ht="12.75">
      <c r="A653" s="98"/>
      <c r="B653" s="184"/>
      <c r="C653" s="184"/>
      <c r="D653" s="184"/>
      <c r="E653" s="184"/>
      <c r="F653" s="98"/>
      <c r="G653" s="98"/>
    </row>
    <row r="654" spans="1:7" ht="12.75">
      <c r="A654" s="98"/>
      <c r="B654" s="184"/>
      <c r="C654" s="184"/>
      <c r="D654" s="184"/>
      <c r="E654" s="184"/>
      <c r="F654" s="98"/>
      <c r="G654" s="98"/>
    </row>
    <row r="655" spans="1:7" ht="12.75">
      <c r="A655" s="98"/>
      <c r="B655" s="184"/>
      <c r="C655" s="184"/>
      <c r="D655" s="184"/>
      <c r="E655" s="184"/>
      <c r="F655" s="98"/>
      <c r="G655" s="98"/>
    </row>
    <row r="656" spans="1:7" ht="12.75">
      <c r="A656" s="98"/>
      <c r="B656" s="184"/>
      <c r="C656" s="184"/>
      <c r="D656" s="184"/>
      <c r="E656" s="184"/>
      <c r="F656" s="98"/>
      <c r="G656" s="98"/>
    </row>
    <row r="657" spans="1:7" ht="12.75">
      <c r="A657" s="98"/>
      <c r="B657" s="184"/>
      <c r="C657" s="184"/>
      <c r="D657" s="184"/>
      <c r="E657" s="184"/>
      <c r="F657" s="98"/>
      <c r="G657" s="98"/>
    </row>
    <row r="658" spans="1:7" ht="12.75">
      <c r="A658" s="98"/>
      <c r="B658" s="184"/>
      <c r="C658" s="184"/>
      <c r="D658" s="184"/>
      <c r="E658" s="184"/>
      <c r="F658" s="98"/>
      <c r="G658" s="98"/>
    </row>
    <row r="659" spans="1:7" ht="12.75">
      <c r="A659" s="98"/>
      <c r="B659" s="184"/>
      <c r="C659" s="184"/>
      <c r="D659" s="184"/>
      <c r="E659" s="184"/>
      <c r="F659" s="98"/>
      <c r="G659" s="98"/>
    </row>
    <row r="660" spans="1:7" ht="12.75">
      <c r="A660" s="98"/>
      <c r="B660" s="184"/>
      <c r="C660" s="184"/>
      <c r="D660" s="184"/>
      <c r="E660" s="184"/>
      <c r="F660" s="98"/>
      <c r="G660" s="98"/>
    </row>
    <row r="661" spans="1:7" ht="12.75">
      <c r="A661" s="98"/>
      <c r="B661" s="184"/>
      <c r="C661" s="184"/>
      <c r="D661" s="184"/>
      <c r="E661" s="184"/>
      <c r="F661" s="98"/>
      <c r="G661" s="98"/>
    </row>
    <row r="662" spans="1:7" ht="12.75">
      <c r="A662" s="98"/>
      <c r="B662" s="184"/>
      <c r="C662" s="184"/>
      <c r="D662" s="184"/>
      <c r="E662" s="184"/>
      <c r="F662" s="98"/>
      <c r="G662" s="98"/>
    </row>
    <row r="663" spans="1:7" ht="12.75">
      <c r="A663" s="98"/>
      <c r="B663" s="184"/>
      <c r="C663" s="184"/>
      <c r="D663" s="184"/>
      <c r="E663" s="184"/>
      <c r="F663" s="98"/>
      <c r="G663" s="98"/>
    </row>
    <row r="664" spans="1:7" ht="12.75">
      <c r="A664" s="98"/>
      <c r="B664" s="184"/>
      <c r="C664" s="184"/>
      <c r="D664" s="184"/>
      <c r="E664" s="184"/>
      <c r="F664" s="98"/>
      <c r="G664" s="98"/>
    </row>
    <row r="665" spans="1:7" ht="12.75">
      <c r="A665" s="98"/>
      <c r="B665" s="184"/>
      <c r="C665" s="184"/>
      <c r="D665" s="184"/>
      <c r="E665" s="184"/>
      <c r="F665" s="98"/>
      <c r="G665" s="98"/>
    </row>
    <row r="666" spans="1:7" ht="12.75">
      <c r="A666" s="98"/>
      <c r="B666" s="184"/>
      <c r="C666" s="184"/>
      <c r="D666" s="184"/>
      <c r="E666" s="184"/>
      <c r="F666" s="98"/>
      <c r="G666" s="98"/>
    </row>
    <row r="667" spans="1:7" ht="12.75">
      <c r="A667" s="98"/>
      <c r="B667" s="184"/>
      <c r="C667" s="184"/>
      <c r="D667" s="184"/>
      <c r="E667" s="184"/>
      <c r="F667" s="98"/>
      <c r="G667" s="98"/>
    </row>
    <row r="668" spans="1:7" ht="12.75">
      <c r="A668" s="98"/>
      <c r="B668" s="184"/>
      <c r="C668" s="184"/>
      <c r="D668" s="184"/>
      <c r="E668" s="184"/>
      <c r="F668" s="98"/>
      <c r="G668" s="98"/>
    </row>
    <row r="669" spans="1:7" ht="12.75">
      <c r="A669" s="98"/>
      <c r="B669" s="184"/>
      <c r="C669" s="184"/>
      <c r="D669" s="184"/>
      <c r="E669" s="184"/>
      <c r="F669" s="98"/>
      <c r="G669" s="98"/>
    </row>
    <row r="670" spans="1:7" ht="12.75">
      <c r="A670" s="98"/>
      <c r="B670" s="184"/>
      <c r="C670" s="184"/>
      <c r="D670" s="184"/>
      <c r="E670" s="184"/>
      <c r="F670" s="98"/>
      <c r="G670" s="98"/>
    </row>
    <row r="671" spans="1:7" ht="12.75">
      <c r="A671" s="98"/>
      <c r="B671" s="184"/>
      <c r="C671" s="184"/>
      <c r="D671" s="184"/>
      <c r="E671" s="184"/>
      <c r="F671" s="98"/>
      <c r="G671" s="98"/>
    </row>
    <row r="672" spans="1:7" ht="12.75">
      <c r="A672" s="98"/>
      <c r="B672" s="184"/>
      <c r="C672" s="184"/>
      <c r="D672" s="184"/>
      <c r="E672" s="184"/>
      <c r="F672" s="98"/>
      <c r="G672" s="98"/>
    </row>
    <row r="673" spans="1:7" ht="12.75">
      <c r="A673" s="98"/>
      <c r="B673" s="184"/>
      <c r="C673" s="184"/>
      <c r="D673" s="184"/>
      <c r="E673" s="184"/>
      <c r="F673" s="98"/>
      <c r="G673" s="98"/>
    </row>
    <row r="674" spans="1:7" ht="12.75">
      <c r="A674" s="98"/>
      <c r="B674" s="184"/>
      <c r="C674" s="184"/>
      <c r="D674" s="184"/>
      <c r="E674" s="184"/>
      <c r="F674" s="98"/>
      <c r="G674" s="98"/>
    </row>
    <row r="675" spans="1:7" ht="12.75">
      <c r="A675" s="98"/>
      <c r="B675" s="184"/>
      <c r="C675" s="184"/>
      <c r="D675" s="184"/>
      <c r="E675" s="184"/>
      <c r="F675" s="98"/>
      <c r="G675" s="98"/>
    </row>
    <row r="676" spans="1:7" ht="12.75">
      <c r="A676" s="98"/>
      <c r="B676" s="184"/>
      <c r="C676" s="184"/>
      <c r="D676" s="184"/>
      <c r="E676" s="184"/>
      <c r="F676" s="98"/>
      <c r="G676" s="98"/>
    </row>
    <row r="677" spans="1:7" ht="12.75">
      <c r="A677" s="98"/>
      <c r="B677" s="184"/>
      <c r="C677" s="184"/>
      <c r="D677" s="184"/>
      <c r="E677" s="184"/>
      <c r="F677" s="98"/>
      <c r="G677" s="98"/>
    </row>
    <row r="678" spans="1:7" ht="12.75">
      <c r="A678" s="98"/>
      <c r="B678" s="184"/>
      <c r="C678" s="184"/>
      <c r="D678" s="184"/>
      <c r="E678" s="184"/>
      <c r="F678" s="98"/>
      <c r="G678" s="98"/>
    </row>
    <row r="679" spans="1:7" ht="12.75">
      <c r="A679" s="98"/>
      <c r="B679" s="184"/>
      <c r="C679" s="184"/>
      <c r="D679" s="184"/>
      <c r="E679" s="184"/>
      <c r="F679" s="98"/>
      <c r="G679" s="98"/>
    </row>
    <row r="680" spans="1:7" ht="12.75">
      <c r="A680" s="98"/>
      <c r="B680" s="184"/>
      <c r="C680" s="184"/>
      <c r="D680" s="184"/>
      <c r="E680" s="184"/>
      <c r="F680" s="98"/>
      <c r="G680" s="98"/>
    </row>
    <row r="681" spans="1:7" ht="12.75">
      <c r="A681" s="98"/>
      <c r="B681" s="184"/>
      <c r="C681" s="184"/>
      <c r="D681" s="184"/>
      <c r="E681" s="184"/>
      <c r="F681" s="98"/>
      <c r="G681" s="98"/>
    </row>
    <row r="682" spans="1:7" ht="12.75">
      <c r="A682" s="98"/>
      <c r="B682" s="184"/>
      <c r="C682" s="184"/>
      <c r="D682" s="184"/>
      <c r="E682" s="184"/>
      <c r="F682" s="98"/>
      <c r="G682" s="98"/>
    </row>
    <row r="683" spans="1:7" ht="12.75">
      <c r="A683" s="98"/>
      <c r="B683" s="184"/>
      <c r="C683" s="184"/>
      <c r="D683" s="184"/>
      <c r="E683" s="184"/>
      <c r="F683" s="98"/>
      <c r="G683" s="98"/>
    </row>
    <row r="684" spans="1:7" ht="12.75">
      <c r="A684" s="98"/>
      <c r="B684" s="184"/>
      <c r="C684" s="184"/>
      <c r="D684" s="184"/>
      <c r="E684" s="184"/>
      <c r="F684" s="98"/>
      <c r="G684" s="98"/>
    </row>
    <row r="685" spans="1:7" ht="12.75">
      <c r="A685" s="98"/>
      <c r="B685" s="184"/>
      <c r="C685" s="184"/>
      <c r="D685" s="184"/>
      <c r="E685" s="184"/>
      <c r="F685" s="98"/>
      <c r="G685" s="98"/>
    </row>
    <row r="686" spans="1:7" ht="12.75">
      <c r="A686" s="98"/>
      <c r="B686" s="184"/>
      <c r="C686" s="184"/>
      <c r="D686" s="184"/>
      <c r="E686" s="184"/>
      <c r="F686" s="98"/>
      <c r="G686" s="98"/>
    </row>
    <row r="687" spans="1:7" ht="12.75">
      <c r="A687" s="98"/>
      <c r="B687" s="184"/>
      <c r="C687" s="184"/>
      <c r="D687" s="184"/>
      <c r="E687" s="184"/>
      <c r="F687" s="98"/>
      <c r="G687" s="98"/>
    </row>
    <row r="688" spans="1:7" ht="12.75">
      <c r="A688" s="98"/>
      <c r="B688" s="184"/>
      <c r="C688" s="184"/>
      <c r="D688" s="184"/>
      <c r="E688" s="184"/>
      <c r="F688" s="98"/>
      <c r="G688" s="98"/>
    </row>
    <row r="689" spans="1:7" ht="12.75">
      <c r="A689" s="98"/>
      <c r="B689" s="184"/>
      <c r="C689" s="184"/>
      <c r="D689" s="184"/>
      <c r="E689" s="184"/>
      <c r="F689" s="98"/>
      <c r="G689" s="98"/>
    </row>
    <row r="690" spans="1:7" ht="12.75">
      <c r="A690" s="98"/>
      <c r="B690" s="184"/>
      <c r="C690" s="184"/>
      <c r="D690" s="184"/>
      <c r="E690" s="184"/>
      <c r="F690" s="98"/>
      <c r="G690" s="98"/>
    </row>
    <row r="691" spans="1:7" ht="12.75">
      <c r="A691" s="98"/>
      <c r="B691" s="184"/>
      <c r="C691" s="184"/>
      <c r="D691" s="184"/>
      <c r="E691" s="184"/>
      <c r="F691" s="98"/>
      <c r="G691" s="98"/>
    </row>
    <row r="692" spans="1:7" ht="12.75">
      <c r="A692" s="98"/>
      <c r="B692" s="184"/>
      <c r="C692" s="184"/>
      <c r="D692" s="184"/>
      <c r="E692" s="184"/>
      <c r="F692" s="98"/>
      <c r="G692" s="98"/>
    </row>
    <row r="693" spans="1:7" ht="12.75">
      <c r="A693" s="98"/>
      <c r="B693" s="184"/>
      <c r="C693" s="184"/>
      <c r="D693" s="184"/>
      <c r="E693" s="184"/>
      <c r="F693" s="98"/>
      <c r="G693" s="98"/>
    </row>
    <row r="694" spans="1:7" ht="12.75">
      <c r="A694" s="98"/>
      <c r="B694" s="184"/>
      <c r="C694" s="184"/>
      <c r="D694" s="184"/>
      <c r="E694" s="184"/>
      <c r="F694" s="98"/>
      <c r="G694" s="98"/>
    </row>
    <row r="695" spans="1:7" ht="12.75">
      <c r="A695" s="98"/>
      <c r="B695" s="184"/>
      <c r="C695" s="184"/>
      <c r="D695" s="184"/>
      <c r="E695" s="184"/>
      <c r="F695" s="98"/>
      <c r="G695" s="98"/>
    </row>
    <row r="696" spans="1:7" ht="12.75">
      <c r="A696" s="98"/>
      <c r="B696" s="184"/>
      <c r="C696" s="184"/>
      <c r="D696" s="184"/>
      <c r="E696" s="184"/>
      <c r="F696" s="98"/>
      <c r="G696" s="98"/>
    </row>
    <row r="697" spans="1:7" ht="12.75">
      <c r="A697" s="98"/>
      <c r="B697" s="184"/>
      <c r="C697" s="184"/>
      <c r="D697" s="184"/>
      <c r="E697" s="184"/>
      <c r="F697" s="98"/>
      <c r="G697" s="98"/>
    </row>
    <row r="698" spans="1:7" ht="12.75">
      <c r="A698" s="98"/>
      <c r="B698" s="184"/>
      <c r="C698" s="184"/>
      <c r="D698" s="184"/>
      <c r="E698" s="184"/>
      <c r="F698" s="98"/>
      <c r="G698" s="98"/>
    </row>
    <row r="699" spans="1:7" ht="12.75">
      <c r="A699" s="98"/>
      <c r="B699" s="184"/>
      <c r="C699" s="184"/>
      <c r="D699" s="184"/>
      <c r="E699" s="184"/>
      <c r="F699" s="98"/>
      <c r="G699" s="98"/>
    </row>
    <row r="700" spans="1:7" ht="12.75">
      <c r="A700" s="98"/>
      <c r="B700" s="184"/>
      <c r="C700" s="184"/>
      <c r="D700" s="184"/>
      <c r="E700" s="184"/>
      <c r="F700" s="98"/>
      <c r="G700" s="98"/>
    </row>
    <row r="701" spans="1:7" ht="12.75">
      <c r="A701" s="98"/>
      <c r="B701" s="184"/>
      <c r="C701" s="184"/>
      <c r="D701" s="184"/>
      <c r="E701" s="184"/>
      <c r="F701" s="98"/>
      <c r="G701" s="98"/>
    </row>
    <row r="702" spans="1:7" ht="12.75">
      <c r="A702" s="98"/>
      <c r="B702" s="184"/>
      <c r="C702" s="184"/>
      <c r="D702" s="184"/>
      <c r="E702" s="184"/>
      <c r="F702" s="98"/>
      <c r="G702" s="98"/>
    </row>
    <row r="703" spans="1:7" ht="12.75">
      <c r="A703" s="98"/>
      <c r="B703" s="184"/>
      <c r="C703" s="184"/>
      <c r="D703" s="184"/>
      <c r="E703" s="184"/>
      <c r="F703" s="98"/>
      <c r="G703" s="98"/>
    </row>
    <row r="704" spans="1:7" ht="12.75">
      <c r="A704" s="98"/>
      <c r="B704" s="184"/>
      <c r="C704" s="184"/>
      <c r="D704" s="184"/>
      <c r="E704" s="184"/>
      <c r="F704" s="98"/>
      <c r="G704" s="98"/>
    </row>
    <row r="705" spans="1:7" ht="12.75">
      <c r="A705" s="98"/>
      <c r="B705" s="184"/>
      <c r="C705" s="184"/>
      <c r="D705" s="184"/>
      <c r="E705" s="184"/>
      <c r="F705" s="98"/>
      <c r="G705" s="98"/>
    </row>
    <row r="706" spans="1:7" ht="12.75">
      <c r="A706" s="98"/>
      <c r="B706" s="184"/>
      <c r="C706" s="184"/>
      <c r="D706" s="184"/>
      <c r="E706" s="184"/>
      <c r="F706" s="98"/>
      <c r="G706" s="98"/>
    </row>
    <row r="707" spans="1:7" ht="12.75">
      <c r="A707" s="98"/>
      <c r="B707" s="184"/>
      <c r="C707" s="184"/>
      <c r="D707" s="184"/>
      <c r="E707" s="184"/>
      <c r="F707" s="98"/>
      <c r="G707" s="98"/>
    </row>
    <row r="708" spans="1:7" ht="12.75">
      <c r="A708" s="98"/>
      <c r="B708" s="184"/>
      <c r="C708" s="184"/>
      <c r="D708" s="184"/>
      <c r="E708" s="184"/>
      <c r="F708" s="98"/>
      <c r="G708" s="98"/>
    </row>
    <row r="709" spans="1:7" ht="12.75">
      <c r="A709" s="98"/>
      <c r="B709" s="184"/>
      <c r="C709" s="184"/>
      <c r="D709" s="184"/>
      <c r="E709" s="184"/>
      <c r="F709" s="98"/>
      <c r="G709" s="98"/>
    </row>
    <row r="710" spans="1:7" ht="12.75">
      <c r="A710" s="98"/>
      <c r="B710" s="184"/>
      <c r="C710" s="184"/>
      <c r="D710" s="184"/>
      <c r="E710" s="184"/>
      <c r="F710" s="98"/>
      <c r="G710" s="98"/>
    </row>
    <row r="711" spans="1:7" ht="12.75">
      <c r="A711" s="98"/>
      <c r="B711" s="184"/>
      <c r="C711" s="184"/>
      <c r="D711" s="184"/>
      <c r="E711" s="184"/>
      <c r="F711" s="98"/>
      <c r="G711" s="98"/>
    </row>
    <row r="712" spans="1:7" ht="12.75">
      <c r="A712" s="98"/>
      <c r="B712" s="184"/>
      <c r="C712" s="184"/>
      <c r="D712" s="184"/>
      <c r="E712" s="184"/>
      <c r="F712" s="98"/>
      <c r="G712" s="98"/>
    </row>
    <row r="713" spans="1:7" ht="12.75">
      <c r="A713" s="98"/>
      <c r="B713" s="184"/>
      <c r="C713" s="184"/>
      <c r="D713" s="184"/>
      <c r="E713" s="184"/>
      <c r="F713" s="98"/>
      <c r="G713" s="98"/>
    </row>
    <row r="714" spans="1:7" ht="12.75">
      <c r="A714" s="98"/>
      <c r="B714" s="184"/>
      <c r="C714" s="184"/>
      <c r="D714" s="184"/>
      <c r="E714" s="184"/>
      <c r="F714" s="98"/>
      <c r="G714" s="98"/>
    </row>
    <row r="715" spans="1:7" ht="12.75">
      <c r="A715" s="98"/>
      <c r="B715" s="184"/>
      <c r="C715" s="184"/>
      <c r="D715" s="184"/>
      <c r="E715" s="184"/>
      <c r="F715" s="98"/>
      <c r="G715" s="98"/>
    </row>
    <row r="716" spans="1:7" ht="12.75">
      <c r="A716" s="98"/>
      <c r="B716" s="184"/>
      <c r="C716" s="184"/>
      <c r="D716" s="184"/>
      <c r="E716" s="184"/>
      <c r="F716" s="98"/>
      <c r="G716" s="98"/>
    </row>
    <row r="717" spans="1:7" ht="12.75">
      <c r="A717" s="98"/>
      <c r="B717" s="184"/>
      <c r="C717" s="184"/>
      <c r="D717" s="184"/>
      <c r="E717" s="184"/>
      <c r="F717" s="98"/>
      <c r="G717" s="98"/>
    </row>
    <row r="718" spans="1:7" ht="12.75">
      <c r="A718" s="98"/>
      <c r="B718" s="184"/>
      <c r="C718" s="184"/>
      <c r="D718" s="184"/>
      <c r="E718" s="184"/>
      <c r="F718" s="98"/>
      <c r="G718" s="98"/>
    </row>
    <row r="719" spans="1:7" ht="12.75">
      <c r="A719" s="98"/>
      <c r="B719" s="184"/>
      <c r="C719" s="184"/>
      <c r="D719" s="184"/>
      <c r="E719" s="184"/>
      <c r="F719" s="98"/>
      <c r="G719" s="98"/>
    </row>
    <row r="720" spans="1:7" ht="12.75">
      <c r="A720" s="98"/>
      <c r="B720" s="184"/>
      <c r="C720" s="184"/>
      <c r="D720" s="184"/>
      <c r="E720" s="184"/>
      <c r="F720" s="98"/>
      <c r="G720" s="98"/>
    </row>
    <row r="721" spans="1:7" ht="12.75">
      <c r="A721" s="98"/>
      <c r="B721" s="184"/>
      <c r="C721" s="184"/>
      <c r="D721" s="184"/>
      <c r="E721" s="184"/>
      <c r="F721" s="98"/>
      <c r="G721" s="98"/>
    </row>
    <row r="722" spans="1:7" ht="12.75">
      <c r="A722" s="98"/>
      <c r="B722" s="184"/>
      <c r="C722" s="184"/>
      <c r="D722" s="184"/>
      <c r="E722" s="184"/>
      <c r="F722" s="98"/>
      <c r="G722" s="98"/>
    </row>
    <row r="723" spans="1:7" ht="12.75">
      <c r="A723" s="98"/>
      <c r="B723" s="184"/>
      <c r="C723" s="184"/>
      <c r="D723" s="184"/>
      <c r="E723" s="184"/>
      <c r="F723" s="98"/>
      <c r="G723" s="98"/>
    </row>
    <row r="724" spans="1:7" ht="12.75">
      <c r="A724" s="98"/>
      <c r="B724" s="184"/>
      <c r="C724" s="184"/>
      <c r="D724" s="184"/>
      <c r="E724" s="184"/>
      <c r="F724" s="98"/>
      <c r="G724" s="98"/>
    </row>
    <row r="725" spans="1:7" ht="12.75">
      <c r="A725" s="98"/>
      <c r="B725" s="184"/>
      <c r="C725" s="184"/>
      <c r="D725" s="184"/>
      <c r="E725" s="184"/>
      <c r="F725" s="98"/>
      <c r="G725" s="98"/>
    </row>
    <row r="726" spans="1:7" ht="12.75">
      <c r="A726" s="98"/>
      <c r="B726" s="184"/>
      <c r="C726" s="184"/>
      <c r="D726" s="184"/>
      <c r="E726" s="184"/>
      <c r="F726" s="98"/>
      <c r="G726" s="98"/>
    </row>
    <row r="727" spans="1:7" ht="12.75">
      <c r="A727" s="98"/>
      <c r="B727" s="184"/>
      <c r="C727" s="184"/>
      <c r="D727" s="184"/>
      <c r="E727" s="184"/>
      <c r="F727" s="98"/>
      <c r="G727" s="98"/>
    </row>
    <row r="728" spans="1:7" ht="12.75">
      <c r="A728" s="98"/>
      <c r="B728" s="184"/>
      <c r="C728" s="184"/>
      <c r="D728" s="184"/>
      <c r="E728" s="184"/>
      <c r="F728" s="98"/>
      <c r="G728" s="98"/>
    </row>
    <row r="729" spans="1:7" ht="12.75">
      <c r="A729" s="98"/>
      <c r="B729" s="184"/>
      <c r="C729" s="184"/>
      <c r="D729" s="184"/>
      <c r="E729" s="184"/>
      <c r="F729" s="98"/>
      <c r="G729" s="98"/>
    </row>
    <row r="730" spans="1:7" ht="12.75">
      <c r="A730" s="98"/>
      <c r="B730" s="184"/>
      <c r="C730" s="184"/>
      <c r="D730" s="184"/>
      <c r="E730" s="184"/>
      <c r="F730" s="98"/>
      <c r="G730" s="98"/>
    </row>
    <row r="731" spans="1:7" ht="12.75">
      <c r="A731" s="98"/>
      <c r="B731" s="184"/>
      <c r="C731" s="184"/>
      <c r="D731" s="184"/>
      <c r="E731" s="184"/>
      <c r="F731" s="98"/>
      <c r="G731" s="98"/>
    </row>
    <row r="732" spans="1:7" ht="12.75">
      <c r="A732" s="98"/>
      <c r="B732" s="184"/>
      <c r="C732" s="184"/>
      <c r="D732" s="184"/>
      <c r="E732" s="184"/>
      <c r="F732" s="98"/>
      <c r="G732" s="98"/>
    </row>
    <row r="733" spans="1:7" ht="12.75">
      <c r="A733" s="98"/>
      <c r="B733" s="184"/>
      <c r="C733" s="184"/>
      <c r="D733" s="184"/>
      <c r="E733" s="184"/>
      <c r="F733" s="98"/>
      <c r="G733" s="98"/>
    </row>
    <row r="734" spans="1:7" ht="12.75">
      <c r="A734" s="98"/>
      <c r="B734" s="184"/>
      <c r="C734" s="184"/>
      <c r="D734" s="184"/>
      <c r="E734" s="184"/>
      <c r="F734" s="98"/>
      <c r="G734" s="98"/>
    </row>
    <row r="735" spans="1:7" ht="12.75">
      <c r="A735" s="98"/>
      <c r="B735" s="184"/>
      <c r="C735" s="184"/>
      <c r="D735" s="184"/>
      <c r="E735" s="184"/>
      <c r="F735" s="98"/>
      <c r="G735" s="98"/>
    </row>
    <row r="736" spans="1:7" ht="12.75">
      <c r="A736" s="98"/>
      <c r="B736" s="184"/>
      <c r="C736" s="184"/>
      <c r="D736" s="184"/>
      <c r="E736" s="184"/>
      <c r="F736" s="98"/>
      <c r="G736" s="98"/>
    </row>
    <row r="737" spans="1:7" ht="12.75">
      <c r="A737" s="98"/>
      <c r="B737" s="184"/>
      <c r="C737" s="184"/>
      <c r="D737" s="184"/>
      <c r="E737" s="184"/>
      <c r="F737" s="98"/>
      <c r="G737" s="98"/>
    </row>
    <row r="738" spans="1:7" ht="12.75">
      <c r="A738" s="98"/>
      <c r="B738" s="184"/>
      <c r="C738" s="184"/>
      <c r="D738" s="184"/>
      <c r="E738" s="184"/>
      <c r="F738" s="98"/>
      <c r="G738" s="98"/>
    </row>
    <row r="739" spans="1:7" ht="12.75">
      <c r="A739" s="98"/>
      <c r="B739" s="184"/>
      <c r="C739" s="184"/>
      <c r="D739" s="184"/>
      <c r="E739" s="184"/>
      <c r="F739" s="98"/>
      <c r="G739" s="98"/>
    </row>
    <row r="740" spans="1:7" ht="12.75">
      <c r="A740" s="98"/>
      <c r="B740" s="184"/>
      <c r="C740" s="184"/>
      <c r="D740" s="184"/>
      <c r="E740" s="184"/>
      <c r="F740" s="98"/>
      <c r="G740" s="98"/>
    </row>
    <row r="741" spans="1:7" ht="12.75">
      <c r="A741" s="98"/>
      <c r="B741" s="184"/>
      <c r="C741" s="184"/>
      <c r="D741" s="184"/>
      <c r="E741" s="184"/>
      <c r="F741" s="98"/>
      <c r="G741" s="98"/>
    </row>
    <row r="742" spans="1:7" ht="12.75">
      <c r="A742" s="98"/>
      <c r="B742" s="184"/>
      <c r="C742" s="184"/>
      <c r="D742" s="184"/>
      <c r="E742" s="184"/>
      <c r="F742" s="98"/>
      <c r="G742" s="98"/>
    </row>
    <row r="743" spans="1:7" ht="12.75">
      <c r="A743" s="98"/>
      <c r="B743" s="184"/>
      <c r="C743" s="184"/>
      <c r="D743" s="184"/>
      <c r="E743" s="184"/>
      <c r="F743" s="98"/>
      <c r="G743" s="98"/>
    </row>
    <row r="744" spans="1:7" ht="12.75">
      <c r="A744" s="98"/>
      <c r="B744" s="184"/>
      <c r="C744" s="184"/>
      <c r="D744" s="184"/>
      <c r="E744" s="184"/>
      <c r="F744" s="98"/>
      <c r="G744" s="98"/>
    </row>
    <row r="745" spans="1:7" ht="12.75">
      <c r="A745" s="98"/>
      <c r="B745" s="184"/>
      <c r="C745" s="184"/>
      <c r="D745" s="184"/>
      <c r="E745" s="184"/>
      <c r="F745" s="98"/>
      <c r="G745" s="98"/>
    </row>
    <row r="746" spans="1:7" ht="12.75">
      <c r="A746" s="98"/>
      <c r="B746" s="184"/>
      <c r="C746" s="184"/>
      <c r="D746" s="184"/>
      <c r="E746" s="184"/>
      <c r="F746" s="98"/>
      <c r="G746" s="98"/>
    </row>
    <row r="747" spans="1:7" ht="12.75">
      <c r="A747" s="98"/>
      <c r="B747" s="184"/>
      <c r="C747" s="184"/>
      <c r="D747" s="184"/>
      <c r="E747" s="184"/>
      <c r="F747" s="98"/>
      <c r="G747" s="98"/>
    </row>
    <row r="748" spans="1:7" ht="12.75">
      <c r="A748" s="98"/>
      <c r="B748" s="184"/>
      <c r="C748" s="184"/>
      <c r="D748" s="184"/>
      <c r="E748" s="184"/>
      <c r="F748" s="98"/>
      <c r="G748" s="98"/>
    </row>
    <row r="749" spans="1:7" ht="12.75">
      <c r="A749" s="98"/>
      <c r="B749" s="184"/>
      <c r="C749" s="184"/>
      <c r="D749" s="184"/>
      <c r="E749" s="184"/>
      <c r="F749" s="98"/>
      <c r="G749" s="98"/>
    </row>
    <row r="750" spans="1:7" ht="12.75">
      <c r="A750" s="98"/>
      <c r="B750" s="184"/>
      <c r="C750" s="184"/>
      <c r="D750" s="184"/>
      <c r="E750" s="184"/>
      <c r="F750" s="98"/>
      <c r="G750" s="98"/>
    </row>
    <row r="751" spans="1:7" ht="12.75">
      <c r="A751" s="98"/>
      <c r="B751" s="184"/>
      <c r="C751" s="184"/>
      <c r="D751" s="184"/>
      <c r="E751" s="184"/>
      <c r="F751" s="98"/>
      <c r="G751" s="98"/>
    </row>
    <row r="752" spans="1:7" ht="12.75">
      <c r="A752" s="98"/>
      <c r="B752" s="184"/>
      <c r="C752" s="184"/>
      <c r="D752" s="184"/>
      <c r="E752" s="184"/>
      <c r="F752" s="98"/>
      <c r="G752" s="98"/>
    </row>
    <row r="753" spans="1:7" ht="12.75">
      <c r="A753" s="98"/>
      <c r="B753" s="184"/>
      <c r="C753" s="184"/>
      <c r="D753" s="184"/>
      <c r="E753" s="184"/>
      <c r="F753" s="98"/>
      <c r="G753" s="98"/>
    </row>
    <row r="754" spans="1:7" ht="12.75">
      <c r="A754" s="98"/>
      <c r="B754" s="184"/>
      <c r="C754" s="184"/>
      <c r="D754" s="184"/>
      <c r="E754" s="184"/>
      <c r="F754" s="98"/>
      <c r="G754" s="98"/>
    </row>
    <row r="755" spans="1:7" ht="12.75">
      <c r="A755" s="98"/>
      <c r="B755" s="184"/>
      <c r="C755" s="184"/>
      <c r="D755" s="184"/>
      <c r="E755" s="184"/>
      <c r="F755" s="98"/>
      <c r="G755" s="98"/>
    </row>
    <row r="756" spans="1:7" ht="12.75">
      <c r="A756" s="98"/>
      <c r="B756" s="184"/>
      <c r="C756" s="184"/>
      <c r="D756" s="184"/>
      <c r="E756" s="184"/>
      <c r="F756" s="98"/>
      <c r="G756" s="98"/>
    </row>
    <row r="757" spans="1:7" ht="12.75">
      <c r="A757" s="98"/>
      <c r="B757" s="184"/>
      <c r="C757" s="184"/>
      <c r="D757" s="184"/>
      <c r="E757" s="184"/>
      <c r="F757" s="98"/>
      <c r="G757" s="98"/>
    </row>
    <row r="758" spans="1:7" ht="12.75">
      <c r="A758" s="98"/>
      <c r="B758" s="184"/>
      <c r="C758" s="184"/>
      <c r="D758" s="184"/>
      <c r="E758" s="184"/>
      <c r="F758" s="98"/>
      <c r="G758" s="98"/>
    </row>
    <row r="759" spans="1:7" ht="12.75">
      <c r="A759" s="98"/>
      <c r="B759" s="184"/>
      <c r="C759" s="184"/>
      <c r="D759" s="184"/>
      <c r="E759" s="184"/>
      <c r="F759" s="98"/>
      <c r="G759" s="98"/>
    </row>
    <row r="760" spans="1:7" ht="12.75">
      <c r="A760" s="98"/>
      <c r="B760" s="184"/>
      <c r="C760" s="184"/>
      <c r="D760" s="184"/>
      <c r="E760" s="184"/>
      <c r="F760" s="98"/>
      <c r="G760" s="98"/>
    </row>
    <row r="761" spans="1:7" ht="12.75">
      <c r="A761" s="98"/>
      <c r="B761" s="184"/>
      <c r="C761" s="184"/>
      <c r="D761" s="184"/>
      <c r="E761" s="184"/>
      <c r="F761" s="98"/>
      <c r="G761" s="98"/>
    </row>
    <row r="762" spans="1:7" ht="12.75">
      <c r="A762" s="98"/>
      <c r="B762" s="184"/>
      <c r="C762" s="184"/>
      <c r="D762" s="184"/>
      <c r="E762" s="184"/>
      <c r="F762" s="98"/>
      <c r="G762" s="98"/>
    </row>
    <row r="763" spans="1:7" ht="12.75">
      <c r="A763" s="98"/>
      <c r="B763" s="184"/>
      <c r="C763" s="184"/>
      <c r="D763" s="184"/>
      <c r="E763" s="184"/>
      <c r="F763" s="98"/>
      <c r="G763" s="98"/>
    </row>
    <row r="764" spans="1:7" ht="12.75">
      <c r="A764" s="98"/>
      <c r="B764" s="184"/>
      <c r="C764" s="184"/>
      <c r="D764" s="184"/>
      <c r="E764" s="184"/>
      <c r="F764" s="98"/>
      <c r="G764" s="98"/>
    </row>
    <row r="765" spans="1:7" ht="12.75">
      <c r="A765" s="98"/>
      <c r="B765" s="184"/>
      <c r="C765" s="184"/>
      <c r="D765" s="184"/>
      <c r="E765" s="184"/>
      <c r="F765" s="98"/>
      <c r="G765" s="98"/>
    </row>
    <row r="766" spans="1:7" ht="12.75">
      <c r="A766" s="98"/>
      <c r="B766" s="184"/>
      <c r="C766" s="184"/>
      <c r="D766" s="184"/>
      <c r="E766" s="184"/>
      <c r="F766" s="98"/>
      <c r="G766" s="98"/>
    </row>
    <row r="767" spans="1:7" ht="12.75">
      <c r="A767" s="98"/>
      <c r="B767" s="184"/>
      <c r="C767" s="184"/>
      <c r="D767" s="184"/>
      <c r="E767" s="184"/>
      <c r="F767" s="98"/>
      <c r="G767" s="98"/>
    </row>
    <row r="768" spans="1:7" ht="12.75">
      <c r="A768" s="98"/>
      <c r="B768" s="184"/>
      <c r="C768" s="184"/>
      <c r="D768" s="184"/>
      <c r="E768" s="184"/>
      <c r="F768" s="98"/>
      <c r="G768" s="98"/>
    </row>
    <row r="769" spans="1:7" ht="12.75">
      <c r="A769" s="98"/>
      <c r="B769" s="184"/>
      <c r="C769" s="184"/>
      <c r="D769" s="184"/>
      <c r="E769" s="184"/>
      <c r="F769" s="98"/>
      <c r="G769" s="98"/>
    </row>
    <row r="770" spans="1:7" ht="12.75">
      <c r="A770" s="98"/>
      <c r="B770" s="184"/>
      <c r="C770" s="184"/>
      <c r="D770" s="184"/>
      <c r="E770" s="184"/>
      <c r="F770" s="98"/>
      <c r="G770" s="98"/>
    </row>
    <row r="771" spans="1:7" ht="12.75">
      <c r="A771" s="98"/>
      <c r="B771" s="184"/>
      <c r="C771" s="184"/>
      <c r="D771" s="184"/>
      <c r="E771" s="184"/>
      <c r="F771" s="98"/>
      <c r="G771" s="98"/>
    </row>
    <row r="772" spans="1:7" ht="12.75">
      <c r="A772" s="98"/>
      <c r="B772" s="184"/>
      <c r="C772" s="184"/>
      <c r="D772" s="184"/>
      <c r="E772" s="184"/>
      <c r="F772" s="98"/>
      <c r="G772" s="98"/>
    </row>
    <row r="773" spans="1:7" ht="12.75">
      <c r="A773" s="98"/>
      <c r="B773" s="184"/>
      <c r="C773" s="184"/>
      <c r="D773" s="184"/>
      <c r="E773" s="184"/>
      <c r="F773" s="98"/>
      <c r="G773" s="98"/>
    </row>
    <row r="774" spans="1:7" ht="12.75">
      <c r="A774" s="98"/>
      <c r="B774" s="184"/>
      <c r="C774" s="184"/>
      <c r="D774" s="184"/>
      <c r="E774" s="184"/>
      <c r="F774" s="98"/>
      <c r="G774" s="98"/>
    </row>
    <row r="775" spans="1:7" ht="12.75">
      <c r="A775" s="98"/>
      <c r="B775" s="184"/>
      <c r="C775" s="184"/>
      <c r="D775" s="184"/>
      <c r="E775" s="184"/>
      <c r="F775" s="98"/>
      <c r="G775" s="98"/>
    </row>
    <row r="776" spans="1:7" ht="12.75">
      <c r="A776" s="98"/>
      <c r="B776" s="184"/>
      <c r="C776" s="184"/>
      <c r="D776" s="184"/>
      <c r="E776" s="184"/>
      <c r="F776" s="98"/>
      <c r="G776" s="98"/>
    </row>
    <row r="777" spans="1:7" ht="12.75">
      <c r="A777" s="98"/>
      <c r="B777" s="184"/>
      <c r="C777" s="184"/>
      <c r="D777" s="184"/>
      <c r="E777" s="184"/>
      <c r="F777" s="98"/>
      <c r="G777" s="98"/>
    </row>
    <row r="778" spans="1:7" ht="12.75">
      <c r="A778" s="98"/>
      <c r="B778" s="184"/>
      <c r="C778" s="184"/>
      <c r="D778" s="184"/>
      <c r="E778" s="184"/>
      <c r="F778" s="98"/>
      <c r="G778" s="98"/>
    </row>
    <row r="779" spans="1:7" ht="12.75">
      <c r="A779" s="98"/>
      <c r="B779" s="184"/>
      <c r="C779" s="184"/>
      <c r="D779" s="184"/>
      <c r="E779" s="184"/>
      <c r="F779" s="98"/>
      <c r="G779" s="98"/>
    </row>
    <row r="780" spans="1:7" ht="12.75">
      <c r="A780" s="98"/>
      <c r="B780" s="184"/>
      <c r="C780" s="184"/>
      <c r="D780" s="184"/>
      <c r="E780" s="184"/>
      <c r="F780" s="98"/>
      <c r="G780" s="98"/>
    </row>
    <row r="781" spans="1:7" ht="12.75">
      <c r="A781" s="98"/>
      <c r="B781" s="184"/>
      <c r="C781" s="184"/>
      <c r="D781" s="184"/>
      <c r="E781" s="184"/>
      <c r="F781" s="98"/>
      <c r="G781" s="98"/>
    </row>
    <row r="782" spans="1:7" ht="12.75">
      <c r="A782" s="98"/>
      <c r="B782" s="184"/>
      <c r="C782" s="184"/>
      <c r="D782" s="184"/>
      <c r="E782" s="184"/>
      <c r="F782" s="98"/>
      <c r="G782" s="98"/>
    </row>
    <row r="783" spans="1:7" ht="12.75">
      <c r="A783" s="98"/>
      <c r="B783" s="184"/>
      <c r="C783" s="184"/>
      <c r="D783" s="184"/>
      <c r="E783" s="184"/>
      <c r="F783" s="98"/>
      <c r="G783" s="98"/>
    </row>
    <row r="784" spans="1:7" ht="12.75">
      <c r="A784" s="98"/>
      <c r="B784" s="184"/>
      <c r="C784" s="184"/>
      <c r="D784" s="184"/>
      <c r="E784" s="184"/>
      <c r="F784" s="98"/>
      <c r="G784" s="98"/>
    </row>
    <row r="785" spans="1:7" ht="12.75">
      <c r="A785" s="98"/>
      <c r="B785" s="184"/>
      <c r="C785" s="184"/>
      <c r="D785" s="184"/>
      <c r="E785" s="184"/>
      <c r="F785" s="98"/>
      <c r="G785" s="98"/>
    </row>
    <row r="786" spans="1:7" ht="12.75">
      <c r="A786" s="98"/>
      <c r="B786" s="184"/>
      <c r="C786" s="184"/>
      <c r="D786" s="184"/>
      <c r="E786" s="184"/>
      <c r="F786" s="98"/>
      <c r="G786" s="98"/>
    </row>
    <row r="787" spans="1:7" ht="12.75">
      <c r="A787" s="98"/>
      <c r="B787" s="184"/>
      <c r="C787" s="184"/>
      <c r="D787" s="184"/>
      <c r="E787" s="184"/>
      <c r="F787" s="98"/>
      <c r="G787" s="98"/>
    </row>
    <row r="788" spans="1:7" ht="12.75">
      <c r="A788" s="98"/>
      <c r="B788" s="184"/>
      <c r="C788" s="184"/>
      <c r="D788" s="184"/>
      <c r="E788" s="184"/>
      <c r="F788" s="98"/>
      <c r="G788" s="98"/>
    </row>
    <row r="789" spans="1:7" ht="12.75">
      <c r="A789" s="98"/>
      <c r="B789" s="184"/>
      <c r="C789" s="184"/>
      <c r="D789" s="184"/>
      <c r="E789" s="184"/>
      <c r="F789" s="98"/>
      <c r="G789" s="98"/>
    </row>
    <row r="790" spans="1:7" ht="12.75">
      <c r="A790" s="98"/>
      <c r="B790" s="184"/>
      <c r="C790" s="184"/>
      <c r="D790" s="184"/>
      <c r="E790" s="184"/>
      <c r="F790" s="98"/>
      <c r="G790" s="98"/>
    </row>
    <row r="791" spans="1:7" ht="12.75">
      <c r="A791" s="98"/>
      <c r="B791" s="184"/>
      <c r="C791" s="184"/>
      <c r="D791" s="184"/>
      <c r="E791" s="184"/>
      <c r="F791" s="98"/>
      <c r="G791" s="98"/>
    </row>
    <row r="792" spans="1:7" ht="12.75">
      <c r="A792" s="98"/>
      <c r="B792" s="184"/>
      <c r="C792" s="184"/>
      <c r="D792" s="184"/>
      <c r="E792" s="184"/>
      <c r="F792" s="98"/>
      <c r="G792" s="98"/>
    </row>
    <row r="793" spans="1:7" ht="12.75">
      <c r="A793" s="98"/>
      <c r="B793" s="184"/>
      <c r="C793" s="184"/>
      <c r="D793" s="184"/>
      <c r="E793" s="184"/>
      <c r="F793" s="98"/>
      <c r="G793" s="98"/>
    </row>
    <row r="794" spans="1:7" ht="12.75">
      <c r="A794" s="98"/>
      <c r="B794" s="184"/>
      <c r="C794" s="184"/>
      <c r="D794" s="184"/>
      <c r="E794" s="184"/>
      <c r="F794" s="98"/>
      <c r="G794" s="98"/>
    </row>
    <row r="795" spans="1:7" ht="12.75">
      <c r="A795" s="98"/>
      <c r="B795" s="184"/>
      <c r="C795" s="184"/>
      <c r="D795" s="184"/>
      <c r="E795" s="184"/>
      <c r="F795" s="98"/>
      <c r="G795" s="98"/>
    </row>
    <row r="796" spans="1:7" ht="12.75">
      <c r="A796" s="98"/>
      <c r="B796" s="184"/>
      <c r="C796" s="184"/>
      <c r="D796" s="184"/>
      <c r="E796" s="184"/>
      <c r="F796" s="98"/>
      <c r="G796" s="98"/>
    </row>
    <row r="797" spans="1:7" ht="12.75">
      <c r="A797" s="98"/>
      <c r="B797" s="184"/>
      <c r="C797" s="184"/>
      <c r="D797" s="184"/>
      <c r="E797" s="184"/>
      <c r="F797" s="98"/>
      <c r="G797" s="98"/>
    </row>
    <row r="798" spans="1:7" ht="12.75">
      <c r="A798" s="98"/>
      <c r="B798" s="184"/>
      <c r="C798" s="184"/>
      <c r="D798" s="184"/>
      <c r="E798" s="184"/>
      <c r="F798" s="98"/>
      <c r="G798" s="98"/>
    </row>
    <row r="799" spans="1:7" ht="12.75">
      <c r="A799" s="98"/>
      <c r="B799" s="184"/>
      <c r="C799" s="184"/>
      <c r="D799" s="184"/>
      <c r="E799" s="184"/>
      <c r="F799" s="98"/>
      <c r="G799" s="98"/>
    </row>
    <row r="800" spans="1:7" ht="12.75">
      <c r="A800" s="98"/>
      <c r="B800" s="184"/>
      <c r="C800" s="184"/>
      <c r="D800" s="184"/>
      <c r="E800" s="184"/>
      <c r="F800" s="98"/>
      <c r="G800" s="98"/>
    </row>
    <row r="801" spans="1:7" ht="12.75">
      <c r="A801" s="98"/>
      <c r="B801" s="184"/>
      <c r="C801" s="184"/>
      <c r="D801" s="184"/>
      <c r="E801" s="184"/>
      <c r="F801" s="98"/>
      <c r="G801" s="98"/>
    </row>
    <row r="802" spans="1:7" ht="12.75">
      <c r="A802" s="98"/>
      <c r="B802" s="184"/>
      <c r="C802" s="184"/>
      <c r="D802" s="184"/>
      <c r="E802" s="184"/>
      <c r="F802" s="98"/>
      <c r="G802" s="98"/>
    </row>
    <row r="803" spans="1:7" ht="12.75">
      <c r="A803" s="98"/>
      <c r="B803" s="184"/>
      <c r="C803" s="184"/>
      <c r="D803" s="184"/>
      <c r="E803" s="184"/>
      <c r="F803" s="98"/>
      <c r="G803" s="98"/>
    </row>
    <row r="804" spans="1:7" ht="12.75">
      <c r="A804" s="98"/>
      <c r="B804" s="184"/>
      <c r="C804" s="184"/>
      <c r="D804" s="184"/>
      <c r="E804" s="184"/>
      <c r="F804" s="98"/>
      <c r="G804" s="98"/>
    </row>
    <row r="805" spans="1:7" ht="12.75">
      <c r="A805" s="98"/>
      <c r="B805" s="184"/>
      <c r="C805" s="184"/>
      <c r="D805" s="184"/>
      <c r="E805" s="184"/>
      <c r="F805" s="98"/>
      <c r="G805" s="98"/>
    </row>
    <row r="806" spans="1:7" ht="12.75">
      <c r="A806" s="98"/>
      <c r="B806" s="184"/>
      <c r="C806" s="184"/>
      <c r="D806" s="184"/>
      <c r="E806" s="184"/>
      <c r="F806" s="98"/>
      <c r="G806" s="98"/>
    </row>
    <row r="807" spans="1:7" ht="12.75">
      <c r="A807" s="98"/>
      <c r="B807" s="184"/>
      <c r="C807" s="184"/>
      <c r="D807" s="184"/>
      <c r="E807" s="184"/>
      <c r="F807" s="98"/>
      <c r="G807" s="98"/>
    </row>
    <row r="808" spans="1:7" ht="12.75">
      <c r="A808" s="98"/>
      <c r="B808" s="184"/>
      <c r="C808" s="184"/>
      <c r="D808" s="184"/>
      <c r="E808" s="184"/>
      <c r="F808" s="98"/>
      <c r="G808" s="98"/>
    </row>
    <row r="809" spans="1:7" ht="12.75">
      <c r="A809" s="98"/>
      <c r="B809" s="184"/>
      <c r="C809" s="184"/>
      <c r="D809" s="184"/>
      <c r="E809" s="184"/>
      <c r="F809" s="98"/>
      <c r="G809" s="98"/>
    </row>
    <row r="810" spans="1:7" ht="12.75">
      <c r="A810" s="98"/>
      <c r="B810" s="184"/>
      <c r="C810" s="184"/>
      <c r="D810" s="184"/>
      <c r="E810" s="184"/>
      <c r="F810" s="98"/>
      <c r="G810" s="98"/>
    </row>
    <row r="811" spans="1:7" ht="12.75">
      <c r="A811" s="98"/>
      <c r="B811" s="184"/>
      <c r="C811" s="184"/>
      <c r="D811" s="184"/>
      <c r="E811" s="184"/>
      <c r="F811" s="98"/>
      <c r="G811" s="98"/>
    </row>
    <row r="812" spans="1:7" ht="12.75">
      <c r="A812" s="98"/>
      <c r="B812" s="184"/>
      <c r="C812" s="184"/>
      <c r="D812" s="184"/>
      <c r="E812" s="184"/>
      <c r="F812" s="98"/>
      <c r="G812" s="98"/>
    </row>
    <row r="813" spans="1:7" ht="12.75">
      <c r="A813" s="98"/>
      <c r="B813" s="184"/>
      <c r="C813" s="184"/>
      <c r="D813" s="184"/>
      <c r="E813" s="184"/>
      <c r="F813" s="98"/>
      <c r="G813" s="98"/>
    </row>
    <row r="814" spans="1:7" ht="12.75">
      <c r="A814" s="98"/>
      <c r="B814" s="184"/>
      <c r="C814" s="184"/>
      <c r="D814" s="184"/>
      <c r="E814" s="184"/>
      <c r="F814" s="98"/>
      <c r="G814" s="98"/>
    </row>
    <row r="815" spans="1:7" ht="12.75">
      <c r="A815" s="98"/>
      <c r="B815" s="184"/>
      <c r="C815" s="184"/>
      <c r="D815" s="184"/>
      <c r="E815" s="184"/>
      <c r="F815" s="98"/>
      <c r="G815" s="98"/>
    </row>
    <row r="816" spans="1:7" ht="12.75">
      <c r="A816" s="98"/>
      <c r="B816" s="184"/>
      <c r="C816" s="184"/>
      <c r="D816" s="184"/>
      <c r="E816" s="184"/>
      <c r="F816" s="98"/>
      <c r="G816" s="98"/>
    </row>
    <row r="817" spans="1:7" ht="12.75">
      <c r="A817" s="98"/>
      <c r="B817" s="184"/>
      <c r="C817" s="184"/>
      <c r="D817" s="184"/>
      <c r="E817" s="184"/>
      <c r="F817" s="98"/>
      <c r="G817" s="98"/>
    </row>
    <row r="818" spans="1:7" ht="12.75">
      <c r="A818" s="98"/>
      <c r="B818" s="184"/>
      <c r="C818" s="184"/>
      <c r="D818" s="184"/>
      <c r="E818" s="184"/>
      <c r="F818" s="98"/>
      <c r="G818" s="98"/>
    </row>
    <row r="819" spans="1:7" ht="12.75">
      <c r="A819" s="98"/>
      <c r="B819" s="184"/>
      <c r="C819" s="184"/>
      <c r="D819" s="184"/>
      <c r="E819" s="184"/>
      <c r="F819" s="98"/>
      <c r="G819" s="98"/>
    </row>
    <row r="820" spans="1:7" ht="12.75">
      <c r="A820" s="98"/>
      <c r="B820" s="184"/>
      <c r="C820" s="184"/>
      <c r="D820" s="184"/>
      <c r="E820" s="184"/>
      <c r="F820" s="98"/>
      <c r="G820" s="98"/>
    </row>
    <row r="821" spans="1:7" ht="12.75">
      <c r="A821" s="98"/>
      <c r="B821" s="184"/>
      <c r="C821" s="184"/>
      <c r="D821" s="184"/>
      <c r="E821" s="184"/>
      <c r="F821" s="98"/>
      <c r="G821" s="98"/>
    </row>
    <row r="822" spans="1:7" ht="12.75">
      <c r="A822" s="98"/>
      <c r="B822" s="184"/>
      <c r="C822" s="184"/>
      <c r="D822" s="184"/>
      <c r="E822" s="184"/>
      <c r="F822" s="98"/>
      <c r="G822" s="98"/>
    </row>
    <row r="823" spans="1:7" ht="12.75">
      <c r="A823" s="98"/>
      <c r="B823" s="184"/>
      <c r="C823" s="184"/>
      <c r="D823" s="184"/>
      <c r="E823" s="184"/>
      <c r="F823" s="98"/>
      <c r="G823" s="98"/>
    </row>
    <row r="824" spans="1:7" ht="12.75">
      <c r="A824" s="98"/>
      <c r="B824" s="184"/>
      <c r="C824" s="184"/>
      <c r="D824" s="184"/>
      <c r="E824" s="184"/>
      <c r="F824" s="98"/>
      <c r="G824" s="98"/>
    </row>
    <row r="825" spans="1:7" ht="12.75">
      <c r="A825" s="98"/>
      <c r="B825" s="184"/>
      <c r="C825" s="184"/>
      <c r="D825" s="184"/>
      <c r="E825" s="184"/>
      <c r="F825" s="98"/>
      <c r="G825" s="98"/>
    </row>
    <row r="826" spans="1:7" ht="12.75">
      <c r="A826" s="98"/>
      <c r="B826" s="184"/>
      <c r="C826" s="184"/>
      <c r="D826" s="184"/>
      <c r="E826" s="184"/>
      <c r="F826" s="98"/>
      <c r="G826" s="98"/>
    </row>
    <row r="827" spans="1:7" ht="12.75">
      <c r="A827" s="98"/>
      <c r="B827" s="184"/>
      <c r="C827" s="184"/>
      <c r="D827" s="184"/>
      <c r="E827" s="184"/>
      <c r="F827" s="98"/>
      <c r="G827" s="98"/>
    </row>
    <row r="828" spans="1:7" ht="12.75">
      <c r="A828" s="98"/>
      <c r="B828" s="184"/>
      <c r="C828" s="184"/>
      <c r="D828" s="184"/>
      <c r="E828" s="184"/>
      <c r="F828" s="98"/>
      <c r="G828" s="98"/>
    </row>
    <row r="829" spans="1:7" ht="12.75">
      <c r="A829" s="98"/>
      <c r="B829" s="184"/>
      <c r="C829" s="184"/>
      <c r="D829" s="184"/>
      <c r="E829" s="184"/>
      <c r="F829" s="98"/>
      <c r="G829" s="98"/>
    </row>
    <row r="830" spans="1:7" ht="12.75">
      <c r="A830" s="98"/>
      <c r="B830" s="184"/>
      <c r="C830" s="184"/>
      <c r="D830" s="184"/>
      <c r="E830" s="184"/>
      <c r="F830" s="98"/>
      <c r="G830" s="98"/>
    </row>
    <row r="831" spans="1:7" ht="12.75">
      <c r="A831" s="98"/>
      <c r="B831" s="184"/>
      <c r="C831" s="184"/>
      <c r="D831" s="184"/>
      <c r="E831" s="184"/>
      <c r="F831" s="98"/>
      <c r="G831" s="98"/>
    </row>
    <row r="832" spans="1:7" ht="12.75">
      <c r="A832" s="98"/>
      <c r="B832" s="184"/>
      <c r="C832" s="184"/>
      <c r="D832" s="184"/>
      <c r="E832" s="184"/>
      <c r="F832" s="98"/>
      <c r="G832" s="98"/>
    </row>
    <row r="833" spans="1:7" ht="12.75">
      <c r="A833" s="98"/>
      <c r="B833" s="184"/>
      <c r="C833" s="184"/>
      <c r="D833" s="184"/>
      <c r="E833" s="184"/>
      <c r="F833" s="98"/>
      <c r="G833" s="98"/>
    </row>
    <row r="834" spans="1:7" ht="12.75">
      <c r="A834" s="98"/>
      <c r="B834" s="184"/>
      <c r="C834" s="184"/>
      <c r="D834" s="184"/>
      <c r="E834" s="184"/>
      <c r="F834" s="98"/>
      <c r="G834" s="98"/>
    </row>
    <row r="835" spans="1:7" ht="12.75">
      <c r="A835" s="98"/>
      <c r="B835" s="184"/>
      <c r="C835" s="184"/>
      <c r="D835" s="184"/>
      <c r="E835" s="184"/>
      <c r="F835" s="98"/>
      <c r="G835" s="98"/>
    </row>
    <row r="836" spans="1:7" ht="12.75">
      <c r="A836" s="98"/>
      <c r="B836" s="184"/>
      <c r="C836" s="184"/>
      <c r="D836" s="184"/>
      <c r="E836" s="184"/>
      <c r="F836" s="98"/>
      <c r="G836" s="98"/>
    </row>
    <row r="837" spans="1:7" ht="12.75">
      <c r="A837" s="98"/>
      <c r="B837" s="184"/>
      <c r="C837" s="184"/>
      <c r="D837" s="184"/>
      <c r="E837" s="184"/>
      <c r="F837" s="98"/>
      <c r="G837" s="98"/>
    </row>
    <row r="838" spans="1:7" ht="12.75">
      <c r="A838" s="98"/>
      <c r="B838" s="184"/>
      <c r="C838" s="184"/>
      <c r="D838" s="184"/>
      <c r="E838" s="184"/>
      <c r="F838" s="98"/>
      <c r="G838" s="98"/>
    </row>
    <row r="839" spans="1:7" ht="12.75">
      <c r="A839" s="98"/>
      <c r="B839" s="184"/>
      <c r="C839" s="184"/>
      <c r="D839" s="184"/>
      <c r="E839" s="184"/>
      <c r="F839" s="98"/>
      <c r="G839" s="98"/>
    </row>
    <row r="840" spans="1:7" ht="12.75">
      <c r="A840" s="98"/>
      <c r="B840" s="184"/>
      <c r="C840" s="184"/>
      <c r="D840" s="184"/>
      <c r="E840" s="184"/>
      <c r="F840" s="98"/>
      <c r="G840" s="98"/>
    </row>
    <row r="841" spans="1:7" ht="12.75">
      <c r="A841" s="98"/>
      <c r="B841" s="184"/>
      <c r="C841" s="184"/>
      <c r="D841" s="184"/>
      <c r="E841" s="184"/>
      <c r="F841" s="98"/>
      <c r="G841" s="98"/>
    </row>
    <row r="842" spans="1:7" ht="12.75">
      <c r="A842" s="98"/>
      <c r="B842" s="184"/>
      <c r="C842" s="184"/>
      <c r="D842" s="184"/>
      <c r="E842" s="184"/>
      <c r="F842" s="98"/>
      <c r="G842" s="98"/>
    </row>
    <row r="843" spans="1:7" ht="12.75">
      <c r="A843" s="98"/>
      <c r="B843" s="184"/>
      <c r="C843" s="184"/>
      <c r="D843" s="184"/>
      <c r="E843" s="184"/>
      <c r="F843" s="98"/>
      <c r="G843" s="98"/>
    </row>
    <row r="844" spans="1:7" ht="12.75">
      <c r="A844" s="98"/>
      <c r="B844" s="184"/>
      <c r="C844" s="184"/>
      <c r="D844" s="184"/>
      <c r="E844" s="184"/>
      <c r="F844" s="98"/>
      <c r="G844" s="98"/>
    </row>
    <row r="845" spans="1:7" ht="12.75">
      <c r="A845" s="98"/>
      <c r="B845" s="184"/>
      <c r="C845" s="184"/>
      <c r="D845" s="184"/>
      <c r="E845" s="184"/>
      <c r="F845" s="98"/>
      <c r="G845" s="98"/>
    </row>
    <row r="846" spans="1:7" ht="12.75">
      <c r="A846" s="98"/>
      <c r="B846" s="184"/>
      <c r="C846" s="184"/>
      <c r="D846" s="184"/>
      <c r="E846" s="184"/>
      <c r="F846" s="98"/>
      <c r="G846" s="98"/>
    </row>
    <row r="847" spans="1:7" ht="12.75">
      <c r="A847" s="98"/>
      <c r="B847" s="184"/>
      <c r="C847" s="184"/>
      <c r="D847" s="184"/>
      <c r="E847" s="184"/>
      <c r="F847" s="98"/>
      <c r="G847" s="98"/>
    </row>
    <row r="848" spans="1:7" ht="12.75">
      <c r="A848" s="98"/>
      <c r="B848" s="184"/>
      <c r="C848" s="184"/>
      <c r="D848" s="184"/>
      <c r="E848" s="184"/>
      <c r="F848" s="98"/>
      <c r="G848" s="98"/>
    </row>
    <row r="849" spans="1:7" ht="12.75">
      <c r="A849" s="98"/>
      <c r="B849" s="184"/>
      <c r="C849" s="184"/>
      <c r="D849" s="184"/>
      <c r="E849" s="184"/>
      <c r="F849" s="98"/>
      <c r="G849" s="98"/>
    </row>
    <row r="850" spans="1:7" ht="12.75">
      <c r="A850" s="98"/>
      <c r="B850" s="184"/>
      <c r="C850" s="184"/>
      <c r="D850" s="184"/>
      <c r="E850" s="184"/>
      <c r="F850" s="98"/>
      <c r="G850" s="98"/>
    </row>
    <row r="851" spans="1:7" ht="12.75">
      <c r="A851" s="98"/>
      <c r="B851" s="184"/>
      <c r="C851" s="184"/>
      <c r="D851" s="184"/>
      <c r="E851" s="184"/>
      <c r="F851" s="98"/>
      <c r="G851" s="98"/>
    </row>
    <row r="852" spans="1:7" ht="12.75">
      <c r="A852" s="98"/>
      <c r="B852" s="184"/>
      <c r="C852" s="184"/>
      <c r="D852" s="184"/>
      <c r="E852" s="184"/>
      <c r="F852" s="98"/>
      <c r="G852" s="98"/>
    </row>
    <row r="853" spans="1:7" ht="12.75">
      <c r="A853" s="98"/>
      <c r="B853" s="184"/>
      <c r="C853" s="184"/>
      <c r="D853" s="184"/>
      <c r="E853" s="184"/>
      <c r="F853" s="98"/>
      <c r="G853" s="98"/>
    </row>
    <row r="854" spans="1:7" ht="12.75">
      <c r="A854" s="98"/>
      <c r="B854" s="184"/>
      <c r="C854" s="184"/>
      <c r="D854" s="184"/>
      <c r="E854" s="184"/>
      <c r="F854" s="98"/>
      <c r="G854" s="98"/>
    </row>
    <row r="855" spans="1:7" ht="12.75">
      <c r="A855" s="98"/>
      <c r="B855" s="184"/>
      <c r="C855" s="184"/>
      <c r="D855" s="184"/>
      <c r="E855" s="184"/>
      <c r="F855" s="98"/>
      <c r="G855" s="98"/>
    </row>
    <row r="856" spans="1:7" ht="12.75">
      <c r="A856" s="98"/>
      <c r="B856" s="184"/>
      <c r="C856" s="184"/>
      <c r="D856" s="184"/>
      <c r="E856" s="184"/>
      <c r="F856" s="98"/>
      <c r="G856" s="98"/>
    </row>
    <row r="857" spans="1:7" ht="12.75">
      <c r="A857" s="98"/>
      <c r="B857" s="184"/>
      <c r="C857" s="184"/>
      <c r="D857" s="184"/>
      <c r="E857" s="184"/>
      <c r="F857" s="98"/>
      <c r="G857" s="98"/>
    </row>
    <row r="858" spans="1:7" ht="12.75">
      <c r="A858" s="98"/>
      <c r="B858" s="184"/>
      <c r="C858" s="184"/>
      <c r="D858" s="184"/>
      <c r="E858" s="184"/>
      <c r="F858" s="98"/>
      <c r="G858" s="98"/>
    </row>
    <row r="859" spans="1:7" ht="12.75">
      <c r="A859" s="98"/>
      <c r="B859" s="184"/>
      <c r="C859" s="184"/>
      <c r="D859" s="184"/>
      <c r="E859" s="184"/>
      <c r="F859" s="98"/>
      <c r="G859" s="98"/>
    </row>
    <row r="860" spans="1:7" ht="12.75">
      <c r="A860" s="98"/>
      <c r="B860" s="184"/>
      <c r="C860" s="184"/>
      <c r="D860" s="184"/>
      <c r="E860" s="184"/>
      <c r="F860" s="98"/>
      <c r="G860" s="98"/>
    </row>
    <row r="861" spans="1:7" ht="12.75">
      <c r="A861" s="98"/>
      <c r="B861" s="184"/>
      <c r="C861" s="184"/>
      <c r="D861" s="184"/>
      <c r="E861" s="184"/>
      <c r="F861" s="98"/>
      <c r="G861" s="98"/>
    </row>
    <row r="862" spans="1:7" ht="12.75">
      <c r="A862" s="98"/>
      <c r="B862" s="184"/>
      <c r="C862" s="184"/>
      <c r="D862" s="184"/>
      <c r="E862" s="184"/>
      <c r="F862" s="98"/>
      <c r="G862" s="98"/>
    </row>
    <row r="863" spans="1:7" ht="12.75">
      <c r="A863" s="98"/>
      <c r="B863" s="184"/>
      <c r="C863" s="184"/>
      <c r="D863" s="184"/>
      <c r="E863" s="184"/>
      <c r="F863" s="98"/>
      <c r="G863" s="98"/>
    </row>
    <row r="864" spans="1:7" ht="12.75">
      <c r="A864" s="98"/>
      <c r="B864" s="184"/>
      <c r="C864" s="184"/>
      <c r="D864" s="184"/>
      <c r="E864" s="184"/>
      <c r="F864" s="98"/>
      <c r="G864" s="98"/>
    </row>
    <row r="865" spans="1:7" ht="12.75">
      <c r="A865" s="98"/>
      <c r="B865" s="184"/>
      <c r="C865" s="184"/>
      <c r="D865" s="184"/>
      <c r="E865" s="184"/>
      <c r="F865" s="98"/>
      <c r="G865" s="98"/>
    </row>
    <row r="866" spans="1:7" ht="12.75">
      <c r="A866" s="98"/>
      <c r="B866" s="184"/>
      <c r="C866" s="184"/>
      <c r="D866" s="184"/>
      <c r="E866" s="184"/>
      <c r="F866" s="98"/>
      <c r="G866" s="98"/>
    </row>
    <row r="867" spans="1:7" ht="12.75">
      <c r="A867" s="98"/>
      <c r="B867" s="184"/>
      <c r="C867" s="184"/>
      <c r="D867" s="184"/>
      <c r="E867" s="184"/>
      <c r="F867" s="98"/>
      <c r="G867" s="98"/>
    </row>
    <row r="868" spans="1:7" ht="12.75">
      <c r="A868" s="98"/>
      <c r="B868" s="184"/>
      <c r="C868" s="184"/>
      <c r="D868" s="184"/>
      <c r="E868" s="184"/>
      <c r="F868" s="98"/>
      <c r="G868" s="98"/>
    </row>
    <row r="869" spans="1:7" ht="12.75">
      <c r="A869" s="98"/>
      <c r="B869" s="184"/>
      <c r="C869" s="184"/>
      <c r="D869" s="184"/>
      <c r="E869" s="184"/>
      <c r="F869" s="98"/>
      <c r="G869" s="98"/>
    </row>
    <row r="870" spans="1:7" ht="12.75">
      <c r="A870" s="98"/>
      <c r="B870" s="184"/>
      <c r="C870" s="184"/>
      <c r="D870" s="184"/>
      <c r="E870" s="184"/>
      <c r="F870" s="98"/>
      <c r="G870" s="98"/>
    </row>
    <row r="871" spans="1:7" ht="12.75">
      <c r="A871" s="98"/>
      <c r="B871" s="184"/>
      <c r="C871" s="184"/>
      <c r="D871" s="184"/>
      <c r="E871" s="184"/>
      <c r="F871" s="98"/>
      <c r="G871" s="98"/>
    </row>
    <row r="872" spans="1:7" ht="12.75">
      <c r="A872" s="98"/>
      <c r="B872" s="184"/>
      <c r="C872" s="184"/>
      <c r="D872" s="184"/>
      <c r="E872" s="184"/>
      <c r="F872" s="98"/>
      <c r="G872" s="98"/>
    </row>
    <row r="873" spans="1:7" ht="12.75">
      <c r="A873" s="98"/>
      <c r="B873" s="184"/>
      <c r="C873" s="184"/>
      <c r="D873" s="184"/>
      <c r="E873" s="184"/>
      <c r="F873" s="98"/>
      <c r="G873" s="98"/>
    </row>
    <row r="874" spans="1:7" ht="12.75">
      <c r="A874" s="98"/>
      <c r="B874" s="184"/>
      <c r="C874" s="184"/>
      <c r="D874" s="184"/>
      <c r="E874" s="184"/>
      <c r="F874" s="98"/>
      <c r="G874" s="98"/>
    </row>
    <row r="875" spans="1:7" ht="12.75">
      <c r="A875" s="98"/>
      <c r="B875" s="184"/>
      <c r="C875" s="184"/>
      <c r="D875" s="184"/>
      <c r="E875" s="184"/>
      <c r="F875" s="98"/>
      <c r="G875" s="98"/>
    </row>
    <row r="876" spans="1:7" ht="12.75">
      <c r="A876" s="98"/>
      <c r="B876" s="184"/>
      <c r="C876" s="184"/>
      <c r="D876" s="184"/>
      <c r="E876" s="184"/>
      <c r="F876" s="98"/>
      <c r="G876" s="98"/>
    </row>
    <row r="877" spans="1:7" ht="12.75">
      <c r="A877" s="98"/>
      <c r="B877" s="184"/>
      <c r="C877" s="184"/>
      <c r="D877" s="184"/>
      <c r="E877" s="184"/>
      <c r="F877" s="98"/>
      <c r="G877" s="98"/>
    </row>
    <row r="878" spans="1:7" ht="12.75">
      <c r="A878" s="98"/>
      <c r="B878" s="184"/>
      <c r="C878" s="184"/>
      <c r="D878" s="184"/>
      <c r="E878" s="184"/>
      <c r="F878" s="98"/>
      <c r="G878" s="98"/>
    </row>
    <row r="879" spans="1:7" ht="12.75">
      <c r="A879" s="98"/>
      <c r="B879" s="184"/>
      <c r="C879" s="184"/>
      <c r="D879" s="184"/>
      <c r="E879" s="184"/>
      <c r="F879" s="98"/>
      <c r="G879" s="98"/>
    </row>
    <row r="880" spans="1:7" ht="12.75">
      <c r="A880" s="98"/>
      <c r="B880" s="184"/>
      <c r="C880" s="184"/>
      <c r="D880" s="184"/>
      <c r="E880" s="184"/>
      <c r="F880" s="98"/>
      <c r="G880" s="98"/>
    </row>
    <row r="881" spans="1:7" ht="12.75">
      <c r="A881" s="98"/>
      <c r="B881" s="184"/>
      <c r="C881" s="184"/>
      <c r="D881" s="184"/>
      <c r="E881" s="184"/>
      <c r="F881" s="98"/>
      <c r="G881" s="98"/>
    </row>
    <row r="882" spans="1:7" ht="12.75">
      <c r="A882" s="98"/>
      <c r="B882" s="184"/>
      <c r="C882" s="184"/>
      <c r="D882" s="184"/>
      <c r="E882" s="184"/>
      <c r="F882" s="98"/>
      <c r="G882" s="98"/>
    </row>
    <row r="883" spans="1:7" ht="12.75">
      <c r="A883" s="98"/>
      <c r="B883" s="184"/>
      <c r="C883" s="184"/>
      <c r="D883" s="184"/>
      <c r="E883" s="184"/>
      <c r="F883" s="98"/>
      <c r="G883" s="98"/>
    </row>
    <row r="884" spans="1:7" ht="12.75">
      <c r="A884" s="98"/>
      <c r="B884" s="184"/>
      <c r="C884" s="184"/>
      <c r="D884" s="184"/>
      <c r="E884" s="184"/>
      <c r="F884" s="98"/>
      <c r="G884" s="98"/>
    </row>
    <row r="885" spans="1:7" ht="12.75">
      <c r="A885" s="98"/>
      <c r="B885" s="184"/>
      <c r="C885" s="184"/>
      <c r="D885" s="184"/>
      <c r="E885" s="184"/>
      <c r="F885" s="98"/>
      <c r="G885" s="98"/>
    </row>
    <row r="886" spans="1:7" ht="12.75">
      <c r="A886" s="98"/>
      <c r="B886" s="184"/>
      <c r="C886" s="184"/>
      <c r="D886" s="184"/>
      <c r="E886" s="184"/>
      <c r="F886" s="98"/>
      <c r="G886" s="98"/>
    </row>
    <row r="887" spans="1:7" ht="12.75">
      <c r="A887" s="98"/>
      <c r="B887" s="184"/>
      <c r="C887" s="184"/>
      <c r="D887" s="184"/>
      <c r="E887" s="184"/>
      <c r="F887" s="98"/>
      <c r="G887" s="98"/>
    </row>
    <row r="888" spans="1:7" ht="12.75">
      <c r="A888" s="98"/>
      <c r="B888" s="184"/>
      <c r="C888" s="184"/>
      <c r="D888" s="184"/>
      <c r="E888" s="184"/>
      <c r="F888" s="98"/>
      <c r="G888" s="98"/>
    </row>
    <row r="889" spans="1:7" ht="12.75">
      <c r="A889" s="98"/>
      <c r="B889" s="184"/>
      <c r="C889" s="184"/>
      <c r="D889" s="184"/>
      <c r="E889" s="184"/>
      <c r="F889" s="98"/>
      <c r="G889" s="98"/>
    </row>
    <row r="890" spans="1:7" ht="12.75">
      <c r="A890" s="98"/>
      <c r="B890" s="184"/>
      <c r="C890" s="184"/>
      <c r="D890" s="184"/>
      <c r="E890" s="184"/>
      <c r="F890" s="98"/>
      <c r="G890" s="98"/>
    </row>
    <row r="891" spans="1:7" ht="12.75">
      <c r="A891" s="98"/>
      <c r="B891" s="184"/>
      <c r="C891" s="184"/>
      <c r="D891" s="184"/>
      <c r="E891" s="184"/>
      <c r="F891" s="98"/>
      <c r="G891" s="98"/>
    </row>
    <row r="892" spans="1:7" ht="12.75">
      <c r="A892" s="98"/>
      <c r="B892" s="184"/>
      <c r="C892" s="184"/>
      <c r="D892" s="184"/>
      <c r="E892" s="184"/>
      <c r="F892" s="98"/>
      <c r="G892" s="98"/>
    </row>
    <row r="893" spans="1:7" ht="12.75">
      <c r="A893" s="98"/>
      <c r="B893" s="184"/>
      <c r="C893" s="184"/>
      <c r="D893" s="184"/>
      <c r="E893" s="184"/>
      <c r="F893" s="98"/>
      <c r="G893" s="98"/>
    </row>
    <row r="894" spans="1:7" ht="12.75">
      <c r="A894" s="98"/>
      <c r="B894" s="184"/>
      <c r="C894" s="184"/>
      <c r="D894" s="184"/>
      <c r="E894" s="184"/>
      <c r="F894" s="98"/>
      <c r="G894" s="98"/>
    </row>
    <row r="895" spans="1:7" ht="12.75">
      <c r="A895" s="98"/>
      <c r="B895" s="184"/>
      <c r="C895" s="184"/>
      <c r="D895" s="184"/>
      <c r="E895" s="184"/>
      <c r="F895" s="98"/>
      <c r="G895" s="98"/>
    </row>
    <row r="896" spans="1:7" ht="12.75">
      <c r="A896" s="98"/>
      <c r="B896" s="184"/>
      <c r="C896" s="184"/>
      <c r="D896" s="184"/>
      <c r="E896" s="184"/>
      <c r="F896" s="98"/>
      <c r="G896" s="98"/>
    </row>
    <row r="897" spans="1:7" ht="12.75">
      <c r="A897" s="98"/>
      <c r="B897" s="184"/>
      <c r="C897" s="184"/>
      <c r="D897" s="184"/>
      <c r="E897" s="184"/>
      <c r="F897" s="98"/>
      <c r="G897" s="98"/>
    </row>
    <row r="898" spans="1:7" ht="12.75">
      <c r="A898" s="98"/>
      <c r="B898" s="184"/>
      <c r="C898" s="184"/>
      <c r="D898" s="184"/>
      <c r="E898" s="184"/>
      <c r="F898" s="98"/>
      <c r="G898" s="98"/>
    </row>
    <row r="899" spans="1:7" ht="12.75">
      <c r="A899" s="98"/>
      <c r="B899" s="184"/>
      <c r="C899" s="184"/>
      <c r="D899" s="184"/>
      <c r="E899" s="184"/>
      <c r="F899" s="98"/>
      <c r="G899" s="98"/>
    </row>
    <row r="900" spans="1:7" ht="12.75">
      <c r="A900" s="98"/>
      <c r="B900" s="184"/>
      <c r="C900" s="184"/>
      <c r="D900" s="184"/>
      <c r="E900" s="184"/>
      <c r="F900" s="98"/>
      <c r="G900" s="98"/>
    </row>
    <row r="901" spans="1:7" ht="12.75">
      <c r="A901" s="98"/>
      <c r="B901" s="184"/>
      <c r="C901" s="184"/>
      <c r="D901" s="184"/>
      <c r="E901" s="184"/>
      <c r="F901" s="98"/>
      <c r="G901" s="98"/>
    </row>
    <row r="902" spans="1:7" ht="12.75">
      <c r="A902" s="98"/>
      <c r="B902" s="184"/>
      <c r="C902" s="184"/>
      <c r="D902" s="184"/>
      <c r="E902" s="184"/>
      <c r="F902" s="98"/>
      <c r="G902" s="98"/>
    </row>
    <row r="903" spans="1:7" ht="12.75">
      <c r="A903" s="98"/>
      <c r="B903" s="184"/>
      <c r="C903" s="184"/>
      <c r="D903" s="184"/>
      <c r="E903" s="184"/>
      <c r="F903" s="98"/>
      <c r="G903" s="98"/>
    </row>
    <row r="904" spans="1:7" ht="12.75">
      <c r="A904" s="98"/>
      <c r="B904" s="184"/>
      <c r="C904" s="184"/>
      <c r="D904" s="184"/>
      <c r="E904" s="184"/>
      <c r="F904" s="98"/>
      <c r="G904" s="98"/>
    </row>
    <row r="905" spans="1:7" ht="12.75">
      <c r="A905" s="98"/>
      <c r="B905" s="184"/>
      <c r="C905" s="184"/>
      <c r="D905" s="184"/>
      <c r="E905" s="184"/>
      <c r="F905" s="98"/>
      <c r="G905" s="98"/>
    </row>
    <row r="906" spans="1:7" ht="12.75">
      <c r="A906" s="98"/>
      <c r="B906" s="184"/>
      <c r="C906" s="184"/>
      <c r="D906" s="184"/>
      <c r="E906" s="184"/>
      <c r="F906" s="98"/>
      <c r="G906" s="98"/>
    </row>
    <row r="907" spans="1:7" ht="12.75">
      <c r="A907" s="98"/>
      <c r="B907" s="184"/>
      <c r="C907" s="184"/>
      <c r="D907" s="184"/>
      <c r="E907" s="184"/>
      <c r="F907" s="98"/>
      <c r="G907" s="98"/>
    </row>
    <row r="908" spans="1:7" ht="12.75">
      <c r="A908" s="98"/>
      <c r="B908" s="184"/>
      <c r="C908" s="184"/>
      <c r="D908" s="184"/>
      <c r="E908" s="184"/>
      <c r="F908" s="98"/>
      <c r="G908" s="98"/>
    </row>
    <row r="909" spans="1:7" ht="12.75">
      <c r="A909" s="98"/>
      <c r="B909" s="184"/>
      <c r="C909" s="184"/>
      <c r="D909" s="184"/>
      <c r="E909" s="184"/>
      <c r="F909" s="98"/>
      <c r="G909" s="98"/>
    </row>
    <row r="910" spans="1:7" ht="12.75">
      <c r="A910" s="98"/>
      <c r="B910" s="184"/>
      <c r="C910" s="184"/>
      <c r="D910" s="184"/>
      <c r="E910" s="184"/>
      <c r="F910" s="98"/>
      <c r="G910" s="98"/>
    </row>
    <row r="911" spans="1:7" ht="12.75">
      <c r="A911" s="98"/>
      <c r="B911" s="184"/>
      <c r="C911" s="184"/>
      <c r="D911" s="184"/>
      <c r="E911" s="184"/>
      <c r="F911" s="98"/>
      <c r="G911" s="98"/>
    </row>
    <row r="912" spans="1:7" ht="12.75">
      <c r="A912" s="98"/>
      <c r="B912" s="184"/>
      <c r="C912" s="184"/>
      <c r="D912" s="184"/>
      <c r="E912" s="184"/>
      <c r="F912" s="98"/>
      <c r="G912" s="98"/>
    </row>
    <row r="913" spans="1:7" ht="12.75">
      <c r="A913" s="98"/>
      <c r="B913" s="184"/>
      <c r="C913" s="184"/>
      <c r="D913" s="184"/>
      <c r="E913" s="184"/>
      <c r="F913" s="98"/>
      <c r="G913" s="98"/>
    </row>
    <row r="914" spans="1:7" ht="12.75">
      <c r="A914" s="98"/>
      <c r="B914" s="184"/>
      <c r="C914" s="184"/>
      <c r="D914" s="184"/>
      <c r="E914" s="184"/>
      <c r="F914" s="98"/>
      <c r="G914" s="98"/>
    </row>
    <row r="915" spans="1:7" ht="12.75">
      <c r="A915" s="98"/>
      <c r="B915" s="184"/>
      <c r="C915" s="184"/>
      <c r="D915" s="184"/>
      <c r="E915" s="184"/>
      <c r="F915" s="98"/>
      <c r="G915" s="98"/>
    </row>
    <row r="916" spans="1:7" ht="12.75">
      <c r="A916" s="98"/>
      <c r="B916" s="184"/>
      <c r="C916" s="184"/>
      <c r="D916" s="184"/>
      <c r="E916" s="184"/>
      <c r="F916" s="98"/>
      <c r="G916" s="98"/>
    </row>
    <row r="917" spans="1:7" ht="12.75">
      <c r="A917" s="98"/>
      <c r="B917" s="184"/>
      <c r="C917" s="184"/>
      <c r="D917" s="184"/>
      <c r="E917" s="184"/>
      <c r="F917" s="98"/>
      <c r="G917" s="98"/>
    </row>
    <row r="918" spans="1:7" ht="12.75">
      <c r="A918" s="98"/>
      <c r="B918" s="184"/>
      <c r="C918" s="184"/>
      <c r="D918" s="184"/>
      <c r="E918" s="184"/>
      <c r="F918" s="98"/>
      <c r="G918" s="98"/>
    </row>
    <row r="919" spans="1:7" ht="12.75">
      <c r="A919" s="98"/>
      <c r="B919" s="184"/>
      <c r="C919" s="184"/>
      <c r="D919" s="184"/>
      <c r="E919" s="184"/>
      <c r="F919" s="98"/>
      <c r="G919" s="98"/>
    </row>
    <row r="920" spans="1:7" ht="12.75">
      <c r="A920" s="98"/>
      <c r="B920" s="184"/>
      <c r="C920" s="184"/>
      <c r="D920" s="184"/>
      <c r="E920" s="184"/>
      <c r="F920" s="98"/>
      <c r="G920" s="98"/>
    </row>
    <row r="921" spans="1:7" ht="12.75">
      <c r="A921" s="98"/>
      <c r="B921" s="184"/>
      <c r="C921" s="184"/>
      <c r="D921" s="184"/>
      <c r="E921" s="184"/>
      <c r="F921" s="98"/>
      <c r="G921" s="98"/>
    </row>
    <row r="922" spans="1:7" ht="12.75">
      <c r="A922" s="98"/>
      <c r="B922" s="184"/>
      <c r="C922" s="184"/>
      <c r="D922" s="184"/>
      <c r="E922" s="184"/>
      <c r="F922" s="98"/>
      <c r="G922" s="98"/>
    </row>
    <row r="923" spans="1:7" ht="12.75">
      <c r="A923" s="98"/>
      <c r="B923" s="184"/>
      <c r="C923" s="184"/>
      <c r="D923" s="184"/>
      <c r="E923" s="184"/>
      <c r="F923" s="98"/>
      <c r="G923" s="98"/>
    </row>
    <row r="924" spans="1:7" ht="12.75">
      <c r="A924" s="98"/>
      <c r="B924" s="184"/>
      <c r="C924" s="184"/>
      <c r="D924" s="184"/>
      <c r="E924" s="184"/>
      <c r="F924" s="98"/>
      <c r="G924" s="98"/>
    </row>
    <row r="925" spans="1:7" ht="12.75">
      <c r="A925" s="98"/>
      <c r="B925" s="184"/>
      <c r="C925" s="184"/>
      <c r="D925" s="184"/>
      <c r="E925" s="184"/>
      <c r="F925" s="98"/>
      <c r="G925" s="98"/>
    </row>
    <row r="926" spans="1:7" ht="12.75">
      <c r="A926" s="98"/>
      <c r="B926" s="184"/>
      <c r="C926" s="184"/>
      <c r="D926" s="184"/>
      <c r="E926" s="184"/>
      <c r="F926" s="98"/>
      <c r="G926" s="98"/>
    </row>
    <row r="927" spans="1:7" ht="12.75">
      <c r="A927" s="98"/>
      <c r="B927" s="184"/>
      <c r="C927" s="184"/>
      <c r="D927" s="184"/>
      <c r="E927" s="184"/>
      <c r="F927" s="98"/>
      <c r="G927" s="98"/>
    </row>
    <row r="928" spans="1:7" ht="12.75">
      <c r="A928" s="98"/>
      <c r="B928" s="184"/>
      <c r="C928" s="184"/>
      <c r="D928" s="184"/>
      <c r="E928" s="184"/>
      <c r="F928" s="98"/>
      <c r="G928" s="98"/>
    </row>
    <row r="929" spans="1:7" ht="12.75">
      <c r="A929" s="98"/>
      <c r="B929" s="184"/>
      <c r="C929" s="184"/>
      <c r="D929" s="184"/>
      <c r="E929" s="184"/>
      <c r="F929" s="98"/>
      <c r="G929" s="98"/>
    </row>
    <row r="930" spans="1:7" ht="12.75">
      <c r="A930" s="98"/>
      <c r="B930" s="184"/>
      <c r="C930" s="184"/>
      <c r="D930" s="184"/>
      <c r="E930" s="184"/>
      <c r="F930" s="98"/>
      <c r="G930" s="98"/>
    </row>
    <row r="931" spans="1:7" ht="12.75">
      <c r="A931" s="98"/>
      <c r="B931" s="184"/>
      <c r="C931" s="184"/>
      <c r="D931" s="184"/>
      <c r="E931" s="184"/>
      <c r="F931" s="98"/>
      <c r="G931" s="98"/>
    </row>
    <row r="932" spans="1:7" ht="12.75">
      <c r="A932" s="98"/>
      <c r="B932" s="184"/>
      <c r="C932" s="184"/>
      <c r="D932" s="184"/>
      <c r="E932" s="184"/>
      <c r="F932" s="98"/>
      <c r="G932" s="98"/>
    </row>
    <row r="933" spans="1:7" ht="12.75">
      <c r="A933" s="98"/>
      <c r="B933" s="184"/>
      <c r="C933" s="184"/>
      <c r="D933" s="184"/>
      <c r="E933" s="184"/>
      <c r="F933" s="98"/>
      <c r="G933" s="98"/>
    </row>
    <row r="934" spans="1:7" ht="12.75">
      <c r="A934" s="98"/>
      <c r="B934" s="184"/>
      <c r="C934" s="184"/>
      <c r="D934" s="184"/>
      <c r="E934" s="184"/>
      <c r="F934" s="98"/>
      <c r="G934" s="98"/>
    </row>
    <row r="935" spans="1:7" ht="12.75">
      <c r="A935" s="98"/>
      <c r="B935" s="184"/>
      <c r="C935" s="184"/>
      <c r="D935" s="184"/>
      <c r="E935" s="184"/>
      <c r="F935" s="98"/>
      <c r="G935" s="98"/>
    </row>
    <row r="936" spans="1:7" ht="12.75">
      <c r="A936" s="98"/>
      <c r="B936" s="184"/>
      <c r="C936" s="184"/>
      <c r="D936" s="184"/>
      <c r="E936" s="184"/>
      <c r="F936" s="98"/>
      <c r="G936" s="98"/>
    </row>
    <row r="937" spans="1:7" ht="12.75">
      <c r="A937" s="98"/>
      <c r="B937" s="184"/>
      <c r="C937" s="184"/>
      <c r="D937" s="184"/>
      <c r="E937" s="184"/>
      <c r="F937" s="98"/>
      <c r="G937" s="98"/>
    </row>
    <row r="938" spans="1:7" ht="12.75">
      <c r="A938" s="98"/>
      <c r="B938" s="184"/>
      <c r="C938" s="184"/>
      <c r="D938" s="184"/>
      <c r="E938" s="184"/>
      <c r="F938" s="98"/>
      <c r="G938" s="98"/>
    </row>
    <row r="939" spans="1:7" ht="12.75">
      <c r="A939" s="98"/>
      <c r="B939" s="184"/>
      <c r="C939" s="184"/>
      <c r="D939" s="184"/>
      <c r="E939" s="184"/>
      <c r="F939" s="98"/>
      <c r="G939" s="98"/>
    </row>
    <row r="940" spans="1:7" ht="12.75">
      <c r="A940" s="98"/>
      <c r="B940" s="184"/>
      <c r="C940" s="184"/>
      <c r="D940" s="184"/>
      <c r="E940" s="184"/>
      <c r="F940" s="98"/>
      <c r="G940" s="98"/>
    </row>
    <row r="941" spans="1:7" ht="12.75">
      <c r="A941" s="98"/>
      <c r="B941" s="184"/>
      <c r="C941" s="184"/>
      <c r="D941" s="184"/>
      <c r="E941" s="184"/>
      <c r="F941" s="98"/>
      <c r="G941" s="98"/>
    </row>
    <row r="942" spans="1:7" ht="12.75">
      <c r="A942" s="98"/>
      <c r="B942" s="184"/>
      <c r="C942" s="184"/>
      <c r="D942" s="184"/>
      <c r="E942" s="184"/>
      <c r="F942" s="98"/>
      <c r="G942" s="98"/>
    </row>
    <row r="943" spans="1:7" ht="12.75">
      <c r="A943" s="98"/>
      <c r="B943" s="184"/>
      <c r="C943" s="184"/>
      <c r="D943" s="184"/>
      <c r="E943" s="184"/>
      <c r="F943" s="98"/>
      <c r="G943" s="98"/>
    </row>
    <row r="944" spans="1:7" ht="12.75">
      <c r="A944" s="98"/>
      <c r="B944" s="184"/>
      <c r="C944" s="184"/>
      <c r="D944" s="184"/>
      <c r="E944" s="184"/>
      <c r="F944" s="98"/>
      <c r="G944" s="98"/>
    </row>
    <row r="945" spans="1:7" ht="12.75">
      <c r="A945" s="98"/>
      <c r="B945" s="184"/>
      <c r="C945" s="184"/>
      <c r="D945" s="184"/>
      <c r="E945" s="184"/>
      <c r="F945" s="98"/>
      <c r="G945" s="98"/>
    </row>
    <row r="946" spans="1:7" ht="12.75">
      <c r="A946" s="98"/>
      <c r="B946" s="184"/>
      <c r="C946" s="184"/>
      <c r="D946" s="184"/>
      <c r="E946" s="184"/>
      <c r="F946" s="98"/>
      <c r="G946" s="98"/>
    </row>
    <row r="947" spans="1:7" ht="12.75">
      <c r="A947" s="98"/>
      <c r="B947" s="184"/>
      <c r="C947" s="184"/>
      <c r="D947" s="184"/>
      <c r="E947" s="184"/>
      <c r="F947" s="98"/>
      <c r="G947" s="98"/>
    </row>
    <row r="948" spans="1:7" ht="12.75">
      <c r="A948" s="98"/>
      <c r="B948" s="184"/>
      <c r="C948" s="184"/>
      <c r="D948" s="184"/>
      <c r="E948" s="184"/>
      <c r="F948" s="98"/>
      <c r="G948" s="98"/>
    </row>
    <row r="949" spans="1:7" ht="12.75">
      <c r="A949" s="98"/>
      <c r="B949" s="184"/>
      <c r="C949" s="184"/>
      <c r="D949" s="184"/>
      <c r="E949" s="184"/>
      <c r="F949" s="98"/>
      <c r="G949" s="98"/>
    </row>
    <row r="950" spans="1:7" ht="12.75">
      <c r="A950" s="98"/>
      <c r="B950" s="184"/>
      <c r="C950" s="184"/>
      <c r="D950" s="184"/>
      <c r="E950" s="184"/>
      <c r="F950" s="98"/>
      <c r="G950" s="98"/>
    </row>
    <row r="951" spans="1:7" ht="12.75">
      <c r="A951" s="98"/>
      <c r="B951" s="184"/>
      <c r="C951" s="184"/>
      <c r="D951" s="184"/>
      <c r="E951" s="184"/>
      <c r="F951" s="98"/>
      <c r="G951" s="98"/>
    </row>
    <row r="952" spans="1:7" ht="12.75">
      <c r="A952" s="98"/>
      <c r="B952" s="184"/>
      <c r="C952" s="184"/>
      <c r="D952" s="184"/>
      <c r="E952" s="184"/>
      <c r="F952" s="98"/>
      <c r="G952" s="98"/>
    </row>
    <row r="953" spans="1:7" ht="12.75">
      <c r="A953" s="98"/>
      <c r="B953" s="184"/>
      <c r="C953" s="184"/>
      <c r="D953" s="184"/>
      <c r="E953" s="184"/>
      <c r="F953" s="98"/>
      <c r="G953" s="98"/>
    </row>
    <row r="954" spans="1:7" ht="12.75">
      <c r="A954" s="98"/>
      <c r="B954" s="184"/>
      <c r="C954" s="184"/>
      <c r="D954" s="184"/>
      <c r="E954" s="184"/>
      <c r="F954" s="98"/>
      <c r="G954" s="98"/>
    </row>
    <row r="955" spans="1:7" ht="12.75">
      <c r="A955" s="98"/>
      <c r="B955" s="184"/>
      <c r="C955" s="184"/>
      <c r="D955" s="184"/>
      <c r="E955" s="184"/>
      <c r="F955" s="98"/>
      <c r="G955" s="98"/>
    </row>
    <row r="956" spans="1:7" ht="12.75">
      <c r="A956" s="98"/>
      <c r="B956" s="184"/>
      <c r="C956" s="184"/>
      <c r="D956" s="184"/>
      <c r="E956" s="184"/>
      <c r="F956" s="98"/>
      <c r="G956" s="98"/>
    </row>
    <row r="957" spans="1:7" ht="12.75">
      <c r="A957" s="98"/>
      <c r="B957" s="184"/>
      <c r="C957" s="184"/>
      <c r="D957" s="184"/>
      <c r="E957" s="184"/>
      <c r="F957" s="98"/>
      <c r="G957" s="98"/>
    </row>
    <row r="958" spans="1:7" ht="12.75">
      <c r="A958" s="98"/>
      <c r="B958" s="184"/>
      <c r="C958" s="184"/>
      <c r="D958" s="184"/>
      <c r="E958" s="184"/>
      <c r="F958" s="98"/>
      <c r="G958" s="98"/>
    </row>
    <row r="959" spans="1:7" ht="12.75">
      <c r="A959" s="98"/>
      <c r="B959" s="184"/>
      <c r="C959" s="184"/>
      <c r="D959" s="184"/>
      <c r="E959" s="184"/>
      <c r="F959" s="98"/>
      <c r="G959" s="98"/>
    </row>
    <row r="960" spans="1:7" ht="12.75">
      <c r="A960" s="98"/>
      <c r="B960" s="184"/>
      <c r="C960" s="184"/>
      <c r="D960" s="184"/>
      <c r="E960" s="184"/>
      <c r="F960" s="98"/>
      <c r="G960" s="98"/>
    </row>
    <row r="961" spans="1:7" ht="12.75">
      <c r="A961" s="98"/>
      <c r="B961" s="184"/>
      <c r="C961" s="184"/>
      <c r="D961" s="184"/>
      <c r="E961" s="184"/>
      <c r="F961" s="98"/>
      <c r="G961" s="98"/>
    </row>
    <row r="962" spans="1:7" ht="12.75">
      <c r="A962" s="98"/>
      <c r="B962" s="184"/>
      <c r="C962" s="184"/>
      <c r="D962" s="184"/>
      <c r="E962" s="184"/>
      <c r="F962" s="98"/>
      <c r="G962" s="98"/>
    </row>
    <row r="963" spans="1:7" ht="12.75">
      <c r="A963" s="98"/>
      <c r="B963" s="184"/>
      <c r="C963" s="184"/>
      <c r="D963" s="184"/>
      <c r="E963" s="184"/>
      <c r="F963" s="98"/>
      <c r="G963" s="98"/>
    </row>
    <row r="964" spans="1:7" ht="12.75">
      <c r="A964" s="98"/>
      <c r="B964" s="184"/>
      <c r="C964" s="184"/>
      <c r="D964" s="184"/>
      <c r="E964" s="184"/>
      <c r="F964" s="98"/>
      <c r="G964" s="98"/>
    </row>
    <row r="965" spans="1:7" ht="12.75">
      <c r="A965" s="98"/>
      <c r="B965" s="184"/>
      <c r="C965" s="184"/>
      <c r="D965" s="184"/>
      <c r="E965" s="184"/>
      <c r="F965" s="98"/>
      <c r="G965" s="98"/>
    </row>
    <row r="966" spans="1:7" ht="12.75">
      <c r="A966" s="98"/>
      <c r="B966" s="184"/>
      <c r="C966" s="184"/>
      <c r="D966" s="184"/>
      <c r="E966" s="184"/>
      <c r="F966" s="98"/>
      <c r="G966" s="98"/>
    </row>
    <row r="967" spans="1:7" ht="12.75">
      <c r="A967" s="98"/>
      <c r="B967" s="184"/>
      <c r="C967" s="184"/>
      <c r="D967" s="184"/>
      <c r="E967" s="184"/>
      <c r="F967" s="98"/>
      <c r="G967" s="98"/>
    </row>
    <row r="968" spans="1:7" ht="12.75">
      <c r="A968" s="98"/>
      <c r="B968" s="184"/>
      <c r="C968" s="184"/>
      <c r="D968" s="184"/>
      <c r="E968" s="184"/>
      <c r="F968" s="98"/>
      <c r="G968" s="98"/>
    </row>
    <row r="969" spans="1:7" ht="12.75">
      <c r="A969" s="98"/>
      <c r="B969" s="184"/>
      <c r="C969" s="184"/>
      <c r="D969" s="184"/>
      <c r="E969" s="184"/>
      <c r="F969" s="98"/>
      <c r="G969" s="98"/>
    </row>
    <row r="970" spans="1:7" ht="12.75">
      <c r="A970" s="98"/>
      <c r="B970" s="184"/>
      <c r="C970" s="184"/>
      <c r="D970" s="184"/>
      <c r="E970" s="184"/>
      <c r="F970" s="98"/>
      <c r="G970" s="98"/>
    </row>
    <row r="971" spans="1:7" ht="12.75">
      <c r="A971" s="98"/>
      <c r="B971" s="184"/>
      <c r="C971" s="184"/>
      <c r="D971" s="184"/>
      <c r="E971" s="184"/>
      <c r="F971" s="98"/>
      <c r="G971" s="98"/>
    </row>
    <row r="972" spans="1:7" ht="12.75">
      <c r="A972" s="98"/>
      <c r="B972" s="184"/>
      <c r="C972" s="184"/>
      <c r="D972" s="184"/>
      <c r="E972" s="184"/>
      <c r="F972" s="98"/>
      <c r="G972" s="98"/>
    </row>
    <row r="973" spans="1:7" ht="12.75">
      <c r="A973" s="98"/>
      <c r="B973" s="184"/>
      <c r="C973" s="184"/>
      <c r="D973" s="184"/>
      <c r="E973" s="184"/>
      <c r="F973" s="98"/>
      <c r="G973" s="98"/>
    </row>
    <row r="974" spans="1:7" ht="12.75">
      <c r="A974" s="98"/>
      <c r="B974" s="184"/>
      <c r="C974" s="184"/>
      <c r="D974" s="184"/>
      <c r="E974" s="184"/>
      <c r="F974" s="98"/>
      <c r="G974" s="98"/>
    </row>
    <row r="975" spans="1:7" ht="12.75">
      <c r="A975" s="98"/>
      <c r="B975" s="184"/>
      <c r="C975" s="184"/>
      <c r="D975" s="184"/>
      <c r="E975" s="184"/>
      <c r="F975" s="98"/>
      <c r="G975" s="98"/>
    </row>
    <row r="976" spans="1:7" ht="12.75">
      <c r="A976" s="98"/>
      <c r="B976" s="184"/>
      <c r="C976" s="184"/>
      <c r="D976" s="184"/>
      <c r="E976" s="184"/>
      <c r="F976" s="98"/>
      <c r="G976" s="98"/>
    </row>
    <row r="977" spans="1:7" ht="12.75">
      <c r="A977" s="98"/>
      <c r="B977" s="184"/>
      <c r="C977" s="184"/>
      <c r="D977" s="184"/>
      <c r="E977" s="184"/>
      <c r="F977" s="98"/>
      <c r="G977" s="98"/>
    </row>
    <row r="978" spans="1:7" ht="12.75">
      <c r="A978" s="98"/>
      <c r="B978" s="184"/>
      <c r="C978" s="184"/>
      <c r="D978" s="184"/>
      <c r="E978" s="184"/>
      <c r="F978" s="98"/>
      <c r="G978" s="98"/>
    </row>
    <row r="979" spans="1:7" ht="12.75">
      <c r="A979" s="98"/>
      <c r="B979" s="184"/>
      <c r="C979" s="184"/>
      <c r="D979" s="184"/>
      <c r="E979" s="184"/>
      <c r="F979" s="98"/>
      <c r="G979" s="98"/>
    </row>
    <row r="980" spans="1:7" ht="12.75">
      <c r="A980" s="98"/>
      <c r="B980" s="184"/>
      <c r="C980" s="184"/>
      <c r="D980" s="184"/>
      <c r="E980" s="184"/>
      <c r="F980" s="98"/>
      <c r="G980" s="98"/>
    </row>
    <row r="981" spans="1:7" ht="12.75">
      <c r="A981" s="98"/>
      <c r="B981" s="184"/>
      <c r="C981" s="184"/>
      <c r="D981" s="184"/>
      <c r="E981" s="184"/>
      <c r="F981" s="98"/>
      <c r="G981" s="98"/>
    </row>
    <row r="982" spans="1:7" ht="12.75">
      <c r="A982" s="98"/>
      <c r="B982" s="184"/>
      <c r="C982" s="184"/>
      <c r="D982" s="184"/>
      <c r="E982" s="184"/>
      <c r="F982" s="98"/>
      <c r="G982" s="98"/>
    </row>
    <row r="983" spans="1:7" ht="12.75">
      <c r="A983" s="98"/>
      <c r="B983" s="184"/>
      <c r="C983" s="184"/>
      <c r="D983" s="184"/>
      <c r="E983" s="184"/>
      <c r="F983" s="98"/>
      <c r="G983" s="98"/>
    </row>
    <row r="984" spans="1:7" ht="12.75">
      <c r="A984" s="98"/>
      <c r="B984" s="184"/>
      <c r="C984" s="184"/>
      <c r="D984" s="184"/>
      <c r="E984" s="184"/>
      <c r="F984" s="98"/>
      <c r="G984" s="98"/>
    </row>
    <row r="985" spans="1:7" ht="12.75">
      <c r="A985" s="98"/>
      <c r="B985" s="184"/>
      <c r="C985" s="184"/>
      <c r="D985" s="184"/>
      <c r="E985" s="184"/>
      <c r="F985" s="98"/>
      <c r="G985" s="98"/>
    </row>
    <row r="986" spans="1:7" ht="12.75">
      <c r="A986" s="98"/>
      <c r="B986" s="184"/>
      <c r="C986" s="184"/>
      <c r="D986" s="184"/>
      <c r="E986" s="184"/>
      <c r="F986" s="98"/>
      <c r="G986" s="98"/>
    </row>
    <row r="987" spans="1:7" ht="12.75">
      <c r="A987" s="98"/>
      <c r="B987" s="184"/>
      <c r="C987" s="184"/>
      <c r="D987" s="184"/>
      <c r="E987" s="184"/>
      <c r="F987" s="98"/>
      <c r="G987" s="98"/>
    </row>
    <row r="988" spans="1:7" ht="12.75">
      <c r="A988" s="98"/>
      <c r="B988" s="184"/>
      <c r="C988" s="184"/>
      <c r="D988" s="184"/>
      <c r="E988" s="184"/>
      <c r="F988" s="98"/>
      <c r="G988" s="98"/>
    </row>
    <row r="989" spans="1:7" ht="12.75">
      <c r="A989" s="98"/>
      <c r="B989" s="184"/>
      <c r="C989" s="184"/>
      <c r="D989" s="184"/>
      <c r="E989" s="184"/>
      <c r="F989" s="98"/>
      <c r="G989" s="98"/>
    </row>
    <row r="990" spans="1:7" ht="12.75">
      <c r="A990" s="98"/>
      <c r="B990" s="184"/>
      <c r="C990" s="184"/>
      <c r="D990" s="184"/>
      <c r="E990" s="184"/>
      <c r="F990" s="98"/>
      <c r="G990" s="98"/>
    </row>
    <row r="991" spans="1:7" ht="12.75">
      <c r="A991" s="98"/>
      <c r="B991" s="184"/>
      <c r="C991" s="184"/>
      <c r="D991" s="184"/>
      <c r="E991" s="184"/>
      <c r="F991" s="98"/>
      <c r="G991" s="98"/>
    </row>
    <row r="992" spans="1:7" ht="12.75">
      <c r="A992" s="98"/>
      <c r="B992" s="184"/>
      <c r="C992" s="184"/>
      <c r="D992" s="184"/>
      <c r="E992" s="184"/>
      <c r="F992" s="98"/>
      <c r="G992" s="98"/>
    </row>
    <row r="993" spans="1:7" ht="12.75">
      <c r="A993" s="98"/>
      <c r="B993" s="184"/>
      <c r="C993" s="184"/>
      <c r="D993" s="184"/>
      <c r="E993" s="184"/>
      <c r="F993" s="98"/>
      <c r="G993" s="98"/>
    </row>
    <row r="994" spans="1:7" ht="12.75">
      <c r="A994" s="98"/>
      <c r="B994" s="184"/>
      <c r="C994" s="184"/>
      <c r="D994" s="184"/>
      <c r="E994" s="184"/>
      <c r="F994" s="98"/>
      <c r="G994" s="98"/>
    </row>
    <row r="995" spans="1:7" ht="12.75">
      <c r="A995" s="98"/>
      <c r="B995" s="184"/>
      <c r="C995" s="184"/>
      <c r="D995" s="184"/>
      <c r="E995" s="184"/>
      <c r="F995" s="98"/>
      <c r="G995" s="98"/>
    </row>
    <row r="996" spans="1:7" ht="12.75">
      <c r="A996" s="98"/>
      <c r="B996" s="184"/>
      <c r="C996" s="184"/>
      <c r="D996" s="184"/>
      <c r="E996" s="184"/>
      <c r="F996" s="98"/>
      <c r="G996" s="98"/>
    </row>
    <row r="997" spans="1:7" ht="12.75">
      <c r="A997" s="98"/>
      <c r="B997" s="184"/>
      <c r="C997" s="184"/>
      <c r="D997" s="184"/>
      <c r="E997" s="184"/>
      <c r="F997" s="98"/>
      <c r="G997" s="98"/>
    </row>
    <row r="998" spans="1:7" ht="12.75">
      <c r="A998" s="98"/>
      <c r="B998" s="184"/>
      <c r="C998" s="184"/>
      <c r="D998" s="184"/>
      <c r="E998" s="184"/>
      <c r="F998" s="98"/>
      <c r="G998" s="98"/>
    </row>
    <row r="999" spans="1:7" ht="12.75">
      <c r="A999" s="98"/>
      <c r="B999" s="184"/>
      <c r="C999" s="184"/>
      <c r="D999" s="184"/>
      <c r="E999" s="184"/>
      <c r="F999" s="98"/>
      <c r="G999" s="98"/>
    </row>
    <row r="1000" spans="1:7" ht="12.75">
      <c r="A1000" s="98"/>
      <c r="B1000" s="184"/>
      <c r="C1000" s="184"/>
      <c r="D1000" s="184"/>
      <c r="E1000" s="184"/>
      <c r="F1000" s="98"/>
      <c r="G1000" s="98"/>
    </row>
    <row r="1001" spans="1:7" ht="12.75">
      <c r="A1001" s="98"/>
      <c r="B1001" s="184"/>
      <c r="C1001" s="184"/>
      <c r="D1001" s="184"/>
      <c r="E1001" s="184"/>
      <c r="F1001" s="98"/>
      <c r="G1001" s="98"/>
    </row>
    <row r="1002" spans="1:7" ht="12.75">
      <c r="A1002" s="98"/>
      <c r="B1002" s="184"/>
      <c r="C1002" s="184"/>
      <c r="D1002" s="184"/>
      <c r="E1002" s="184"/>
      <c r="F1002" s="98"/>
      <c r="G1002" s="98"/>
    </row>
    <row r="1003" spans="1:7" ht="12.75">
      <c r="A1003" s="98"/>
      <c r="B1003" s="184"/>
      <c r="C1003" s="184"/>
      <c r="D1003" s="184"/>
      <c r="E1003" s="184"/>
      <c r="F1003" s="98"/>
      <c r="G1003" s="98"/>
    </row>
    <row r="1004" spans="1:7" ht="12.75">
      <c r="A1004" s="98"/>
      <c r="B1004" s="184"/>
      <c r="C1004" s="184"/>
      <c r="D1004" s="184"/>
      <c r="E1004" s="184"/>
      <c r="F1004" s="98"/>
      <c r="G1004" s="98"/>
    </row>
    <row r="1005" spans="1:7" ht="12.75">
      <c r="A1005" s="98"/>
      <c r="B1005" s="184"/>
      <c r="C1005" s="184"/>
      <c r="D1005" s="184"/>
      <c r="E1005" s="184"/>
      <c r="F1005" s="98"/>
      <c r="G1005" s="98"/>
    </row>
    <row r="1006" spans="1:7" ht="12.75">
      <c r="A1006" s="98"/>
      <c r="B1006" s="184"/>
      <c r="C1006" s="184"/>
      <c r="D1006" s="184"/>
      <c r="E1006" s="184"/>
      <c r="F1006" s="98"/>
      <c r="G1006" s="98"/>
    </row>
    <row r="1007" spans="1:7" ht="12.75">
      <c r="A1007" s="98"/>
      <c r="B1007" s="184"/>
      <c r="C1007" s="184"/>
      <c r="D1007" s="184"/>
      <c r="E1007" s="184"/>
      <c r="F1007" s="98"/>
      <c r="G1007" s="98"/>
    </row>
    <row r="1008" spans="1:7" ht="12.75">
      <c r="A1008" s="98"/>
      <c r="B1008" s="184"/>
      <c r="C1008" s="184"/>
      <c r="D1008" s="184"/>
      <c r="E1008" s="184"/>
      <c r="F1008" s="98"/>
      <c r="G1008" s="98"/>
    </row>
    <row r="1009" spans="1:7" ht="12.75">
      <c r="A1009" s="98"/>
      <c r="B1009" s="184"/>
      <c r="C1009" s="184"/>
      <c r="D1009" s="184"/>
      <c r="E1009" s="184"/>
      <c r="F1009" s="98"/>
      <c r="G1009" s="98"/>
    </row>
    <row r="1010" spans="1:7" ht="12.75">
      <c r="A1010" s="98"/>
      <c r="B1010" s="184"/>
      <c r="C1010" s="184"/>
      <c r="D1010" s="184"/>
      <c r="E1010" s="184"/>
      <c r="F1010" s="98"/>
      <c r="G1010" s="98"/>
    </row>
    <row r="1011" spans="1:7" ht="12.75">
      <c r="A1011" s="98"/>
      <c r="B1011" s="184"/>
      <c r="C1011" s="184"/>
      <c r="D1011" s="184"/>
      <c r="E1011" s="184"/>
      <c r="F1011" s="98"/>
      <c r="G1011" s="98"/>
    </row>
    <row r="1012" spans="1:7" ht="12.75">
      <c r="A1012" s="98"/>
      <c r="B1012" s="184"/>
      <c r="C1012" s="184"/>
      <c r="D1012" s="184"/>
      <c r="E1012" s="184"/>
      <c r="F1012" s="98"/>
      <c r="G1012" s="98"/>
    </row>
    <row r="1013" spans="1:7" ht="12.75">
      <c r="A1013" s="98"/>
      <c r="B1013" s="184"/>
      <c r="C1013" s="184"/>
      <c r="D1013" s="184"/>
      <c r="E1013" s="184"/>
      <c r="F1013" s="98"/>
      <c r="G1013" s="98"/>
    </row>
    <row r="1014" spans="1:7" ht="12.75">
      <c r="A1014" s="98"/>
      <c r="B1014" s="184"/>
      <c r="C1014" s="184"/>
      <c r="D1014" s="184"/>
      <c r="E1014" s="184"/>
      <c r="F1014" s="98"/>
      <c r="G1014" s="98"/>
    </row>
    <row r="1015" spans="1:7" ht="12.75">
      <c r="A1015" s="98"/>
      <c r="B1015" s="184"/>
      <c r="C1015" s="184"/>
      <c r="D1015" s="184"/>
      <c r="E1015" s="184"/>
      <c r="F1015" s="98"/>
      <c r="G1015" s="98"/>
    </row>
    <row r="1016" spans="1:7" ht="12.75">
      <c r="A1016" s="98"/>
      <c r="B1016" s="184"/>
      <c r="C1016" s="184"/>
      <c r="D1016" s="184"/>
      <c r="E1016" s="184"/>
      <c r="F1016" s="98"/>
      <c r="G1016" s="98"/>
    </row>
    <row r="1017" spans="1:7" ht="12.75">
      <c r="A1017" s="98"/>
      <c r="B1017" s="184"/>
      <c r="C1017" s="184"/>
      <c r="D1017" s="184"/>
      <c r="E1017" s="184"/>
      <c r="F1017" s="98"/>
      <c r="G1017" s="98"/>
    </row>
    <row r="1018" spans="1:7" ht="12.75">
      <c r="A1018" s="98"/>
      <c r="B1018" s="184"/>
      <c r="C1018" s="184"/>
      <c r="D1018" s="184"/>
      <c r="E1018" s="184"/>
      <c r="F1018" s="98"/>
      <c r="G1018" s="98"/>
    </row>
    <row r="1019" spans="1:7" ht="12.75">
      <c r="A1019" s="98"/>
      <c r="B1019" s="184"/>
      <c r="C1019" s="184"/>
      <c r="D1019" s="184"/>
      <c r="E1019" s="184"/>
      <c r="F1019" s="98"/>
      <c r="G1019" s="98"/>
    </row>
    <row r="1020" spans="1:7" ht="12.75">
      <c r="A1020" s="98"/>
      <c r="B1020" s="184"/>
      <c r="C1020" s="184"/>
      <c r="D1020" s="184"/>
      <c r="E1020" s="184"/>
      <c r="F1020" s="98"/>
      <c r="G1020" s="98"/>
    </row>
    <row r="1021" spans="1:7" ht="12.75">
      <c r="A1021" s="98"/>
      <c r="B1021" s="184"/>
      <c r="C1021" s="184"/>
      <c r="D1021" s="184"/>
      <c r="E1021" s="184"/>
      <c r="F1021" s="98"/>
      <c r="G1021" s="98"/>
    </row>
    <row r="1022" spans="1:7" ht="12.75">
      <c r="A1022" s="98"/>
      <c r="B1022" s="184"/>
      <c r="C1022" s="184"/>
      <c r="D1022" s="184"/>
      <c r="E1022" s="184"/>
      <c r="F1022" s="98"/>
      <c r="G1022" s="98"/>
    </row>
    <row r="1023" spans="1:7" ht="12.75">
      <c r="A1023" s="98"/>
      <c r="B1023" s="184"/>
      <c r="C1023" s="184"/>
      <c r="D1023" s="184"/>
      <c r="E1023" s="184"/>
      <c r="F1023" s="184"/>
      <c r="G1023" s="184"/>
    </row>
  </sheetData>
  <customSheetViews>
    <customSheetView guid="{59EAE692-BB95-4A6A-AD01-8BBFA1080CC9}" filter="1" showAutoFilter="1">
      <pageMargins left="0" right="0" top="0" bottom="0" header="0" footer="0"/>
      <autoFilter ref="B1:Y69" xr:uid="{CA8C07B6-8896-4464-B4D9-E7E580D1D308}">
        <filterColumn colId="1">
          <filters>
            <filter val="C1"/>
          </filters>
        </filterColumn>
      </autoFilter>
    </customSheetView>
    <customSheetView guid="{2D2FE776-7B95-4E94-BE67-069406AAE06D}" filter="1" showAutoFilter="1">
      <pageMargins left="0" right="0" top="0" bottom="0" header="0" footer="0"/>
      <autoFilter ref="B2:Y49" xr:uid="{7E8F89A8-E6EF-4325-B013-93EFA6361A05}"/>
    </customSheetView>
    <customSheetView guid="{A692BA3E-DCED-4157-8340-C6216F1B5E02}" filter="1" showAutoFilter="1">
      <pageMargins left="0" right="0" top="0" bottom="0" header="0" footer="0"/>
      <autoFilter ref="B2:W53" xr:uid="{ED87BBAA-43F5-471C-B0E7-6AA8DDCF0904}">
        <filterColumn colId="0">
          <filters>
            <filter val="RTD1"/>
            <filter val="RTD2"/>
            <filter val="RTD3"/>
            <filter val="RTD4"/>
            <filter val="RTD5"/>
            <filter val="RTD6"/>
            <filter val="RTD7"/>
          </filters>
        </filterColumn>
      </autoFilter>
    </customSheetView>
    <customSheetView guid="{A2AC78AE-28DC-435C-BA12-3B308A889B0E}" filter="1" showAutoFilter="1">
      <pageMargins left="0" right="0" top="0" bottom="0" header="0" footer="0"/>
      <autoFilter ref="B1:Y70" xr:uid="{8FACDD92-016D-43EA-9FAC-ADEA8A47507F}"/>
    </customSheetView>
  </customSheetViews>
  <conditionalFormatting sqref="B1:B9 A1:A1027 B38:B41 F43:F44 B69:B1027">
    <cfRule type="expression" dxfId="13" priority="20">
      <formula>COUNTIF(A:A,A1)&gt;1</formula>
    </cfRule>
  </conditionalFormatting>
  <conditionalFormatting sqref="B10:B16">
    <cfRule type="expression" dxfId="12" priority="13">
      <formula>COUNTIF(#REF!,B10)&gt;1</formula>
    </cfRule>
  </conditionalFormatting>
  <conditionalFormatting sqref="B17:B36">
    <cfRule type="expression" dxfId="11" priority="3">
      <formula>COUNTIF(B:B,B17)&gt;1</formula>
    </cfRule>
  </conditionalFormatting>
  <conditionalFormatting sqref="B43:B51">
    <cfRule type="expression" dxfId="10" priority="7">
      <formula>COUNTIF(B:B,B43)&gt;1</formula>
    </cfRule>
  </conditionalFormatting>
  <conditionalFormatting sqref="B53:B57">
    <cfRule type="expression" dxfId="9" priority="5">
      <formula>COUNTIF(B:B,B53)&gt;1</formula>
    </cfRule>
  </conditionalFormatting>
  <conditionalFormatting sqref="B59:B67">
    <cfRule type="expression" dxfId="8" priority="1">
      <formula>COUNTIF(B:B,B59)&gt;1</formula>
    </cfRule>
  </conditionalFormatting>
  <conditionalFormatting sqref="K31">
    <cfRule type="cellIs" dxfId="7" priority="21" operator="greaterThan">
      <formula>0</formula>
    </cfRule>
  </conditionalFormatting>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ummaryRight="0"/>
  </sheetPr>
  <dimension ref="A1:AD76"/>
  <sheetViews>
    <sheetView workbookViewId="0">
      <pane ySplit="1" topLeftCell="A44" activePane="bottomLeft" state="frozen"/>
      <selection pane="bottomLeft" activeCell="C79" sqref="C79"/>
    </sheetView>
  </sheetViews>
  <sheetFormatPr defaultColWidth="14.3984375" defaultRowHeight="15.75" customHeight="1"/>
  <cols>
    <col min="1" max="1" width="31.265625" customWidth="1"/>
    <col min="2" max="2" width="6.73046875" customWidth="1"/>
    <col min="3" max="3" width="23.73046875" customWidth="1"/>
    <col min="4" max="4" width="5.59765625" customWidth="1"/>
    <col min="5" max="5" width="24.86328125" customWidth="1"/>
    <col min="6" max="6" width="6.3984375" customWidth="1"/>
    <col min="7" max="7" width="32.3984375" customWidth="1"/>
    <col min="8" max="8" width="6" customWidth="1"/>
    <col min="9" max="9" width="19" customWidth="1"/>
    <col min="10" max="10" width="15.73046875" customWidth="1"/>
    <col min="11" max="11" width="19.1328125" customWidth="1"/>
    <col min="12" max="12" width="24.1328125" customWidth="1"/>
    <col min="13" max="13" width="29.265625" customWidth="1"/>
    <col min="14" max="14" width="15.265625" customWidth="1"/>
    <col min="15" max="15" width="16.59765625" customWidth="1"/>
    <col min="16" max="16" width="43.86328125" customWidth="1"/>
    <col min="17" max="17" width="15" customWidth="1"/>
    <col min="19" max="19" width="25.86328125" customWidth="1"/>
    <col min="20" max="20" width="20.265625" customWidth="1"/>
  </cols>
  <sheetData>
    <row r="1" spans="1:30" ht="15.75" customHeight="1">
      <c r="A1" s="116" t="s">
        <v>32</v>
      </c>
      <c r="B1" s="172"/>
      <c r="C1" s="116" t="s">
        <v>33</v>
      </c>
      <c r="D1" s="116"/>
      <c r="E1" s="116" t="s">
        <v>1517</v>
      </c>
      <c r="F1" s="116"/>
      <c r="G1" s="116" t="s">
        <v>37</v>
      </c>
      <c r="H1" s="116"/>
      <c r="I1" s="116" t="s">
        <v>4384</v>
      </c>
      <c r="J1" s="173" t="s">
        <v>4780</v>
      </c>
      <c r="K1" s="116" t="s">
        <v>36</v>
      </c>
      <c r="L1" s="116" t="s">
        <v>4955</v>
      </c>
      <c r="M1" s="116" t="s">
        <v>35</v>
      </c>
      <c r="N1" s="116" t="s">
        <v>38</v>
      </c>
      <c r="O1" s="116" t="s">
        <v>4956</v>
      </c>
      <c r="P1" s="116" t="s">
        <v>30</v>
      </c>
      <c r="Q1" s="116" t="s">
        <v>4957</v>
      </c>
      <c r="R1" s="116" t="s">
        <v>4958</v>
      </c>
      <c r="S1" s="116" t="s">
        <v>4959</v>
      </c>
      <c r="T1" s="116" t="s">
        <v>4960</v>
      </c>
      <c r="U1" s="172"/>
      <c r="V1" s="172"/>
      <c r="W1" s="172"/>
      <c r="X1" s="172"/>
      <c r="Y1" s="172"/>
      <c r="Z1" s="172"/>
      <c r="AA1" s="172"/>
      <c r="AB1" s="172"/>
      <c r="AC1" s="172"/>
      <c r="AD1" s="172"/>
    </row>
    <row r="2" spans="1:30" ht="15.75" customHeight="1">
      <c r="A2" s="186" t="s">
        <v>674</v>
      </c>
      <c r="B2" s="186" t="s">
        <v>2914</v>
      </c>
      <c r="C2" s="186" t="s">
        <v>185</v>
      </c>
      <c r="D2" s="186" t="s">
        <v>4961</v>
      </c>
      <c r="E2" s="186" t="s">
        <v>283</v>
      </c>
      <c r="F2" s="186" t="s">
        <v>283</v>
      </c>
      <c r="G2" s="186" t="s">
        <v>231</v>
      </c>
      <c r="H2" s="186" t="s">
        <v>4962</v>
      </c>
      <c r="I2" s="186" t="s">
        <v>4963</v>
      </c>
      <c r="J2" s="186" t="s">
        <v>3216</v>
      </c>
      <c r="K2" s="186" t="s">
        <v>2914</v>
      </c>
      <c r="L2" s="186" t="s">
        <v>4907</v>
      </c>
      <c r="M2" s="186" t="s">
        <v>55</v>
      </c>
      <c r="N2" s="186" t="s">
        <v>232</v>
      </c>
      <c r="O2" s="186" t="s">
        <v>4964</v>
      </c>
      <c r="P2" s="186" t="s">
        <v>4965</v>
      </c>
      <c r="Q2" s="186" t="s">
        <v>4966</v>
      </c>
      <c r="R2" s="186" t="s">
        <v>163</v>
      </c>
      <c r="S2" s="120" t="b">
        <v>1</v>
      </c>
      <c r="T2" s="186" t="s">
        <v>4967</v>
      </c>
      <c r="U2" s="184"/>
      <c r="V2" s="184"/>
      <c r="W2" s="184"/>
      <c r="X2" s="184"/>
      <c r="Y2" s="184"/>
      <c r="Z2" s="184"/>
      <c r="AA2" s="184"/>
      <c r="AB2" s="184"/>
      <c r="AC2" s="184"/>
      <c r="AD2" s="184"/>
    </row>
    <row r="3" spans="1:30" ht="15.75" customHeight="1">
      <c r="A3" s="186" t="s">
        <v>587</v>
      </c>
      <c r="B3" s="186" t="s">
        <v>1163</v>
      </c>
      <c r="C3" s="186" t="s">
        <v>593</v>
      </c>
      <c r="D3" s="186" t="s">
        <v>3021</v>
      </c>
      <c r="E3" s="186" t="s">
        <v>229</v>
      </c>
      <c r="F3" s="186" t="s">
        <v>4968</v>
      </c>
      <c r="G3" s="186" t="s">
        <v>56</v>
      </c>
      <c r="H3" s="186" t="s">
        <v>4969</v>
      </c>
      <c r="I3" s="186" t="s">
        <v>4970</v>
      </c>
      <c r="J3" s="186" t="s">
        <v>3228</v>
      </c>
      <c r="K3" s="186" t="s">
        <v>4971</v>
      </c>
      <c r="L3" s="186" t="s">
        <v>4912</v>
      </c>
      <c r="M3" s="186" t="s">
        <v>247</v>
      </c>
      <c r="N3" s="186" t="s">
        <v>1408</v>
      </c>
      <c r="O3" s="186" t="s">
        <v>4972</v>
      </c>
      <c r="P3" s="186" t="s">
        <v>4973</v>
      </c>
      <c r="Q3" s="186" t="s">
        <v>4974</v>
      </c>
      <c r="R3" s="186" t="s">
        <v>4975</v>
      </c>
      <c r="S3" s="120" t="b">
        <v>0</v>
      </c>
      <c r="T3" s="186" t="s">
        <v>4976</v>
      </c>
      <c r="U3" s="184"/>
      <c r="V3" s="184"/>
      <c r="W3" s="184"/>
      <c r="X3" s="184"/>
      <c r="Y3" s="184"/>
      <c r="Z3" s="184"/>
      <c r="AA3" s="184"/>
      <c r="AB3" s="184"/>
      <c r="AC3" s="184"/>
      <c r="AD3" s="184"/>
    </row>
    <row r="4" spans="1:30" ht="15.75" customHeight="1">
      <c r="A4" s="186" t="s">
        <v>318</v>
      </c>
      <c r="B4" s="186" t="s">
        <v>4977</v>
      </c>
      <c r="C4" s="186" t="s">
        <v>588</v>
      </c>
      <c r="D4" s="186" t="s">
        <v>3018</v>
      </c>
      <c r="E4" s="186" t="s">
        <v>47</v>
      </c>
      <c r="F4" s="186" t="s">
        <v>4978</v>
      </c>
      <c r="G4" s="186" t="s">
        <v>489</v>
      </c>
      <c r="H4" s="186" t="s">
        <v>4979</v>
      </c>
      <c r="I4" s="186" t="s">
        <v>4980</v>
      </c>
      <c r="J4" s="186" t="s">
        <v>4445</v>
      </c>
      <c r="K4" s="186" t="s">
        <v>1393</v>
      </c>
      <c r="L4" s="186" t="s">
        <v>4930</v>
      </c>
      <c r="M4" s="186" t="s">
        <v>73</v>
      </c>
      <c r="N4" s="186" t="s">
        <v>330</v>
      </c>
      <c r="O4" s="186" t="s">
        <v>4981</v>
      </c>
      <c r="P4" s="186" t="s">
        <v>4982</v>
      </c>
      <c r="Q4" s="186" t="s">
        <v>4983</v>
      </c>
      <c r="R4" s="186" t="s">
        <v>4984</v>
      </c>
      <c r="S4" s="120" t="s">
        <v>1442</v>
      </c>
      <c r="T4" s="186" t="s">
        <v>4985</v>
      </c>
      <c r="U4" s="184"/>
      <c r="V4" s="184"/>
      <c r="W4" s="184"/>
      <c r="X4" s="184"/>
      <c r="Y4" s="184"/>
      <c r="Z4" s="184"/>
      <c r="AA4" s="184"/>
      <c r="AB4" s="184"/>
      <c r="AC4" s="184"/>
      <c r="AD4" s="184"/>
    </row>
    <row r="5" spans="1:30" ht="15.75" customHeight="1">
      <c r="A5" s="186" t="s">
        <v>180</v>
      </c>
      <c r="B5" s="186" t="s">
        <v>3073</v>
      </c>
      <c r="C5" s="186" t="s">
        <v>1028</v>
      </c>
      <c r="D5" s="186" t="s">
        <v>4986</v>
      </c>
      <c r="E5" s="186" t="s">
        <v>107</v>
      </c>
      <c r="F5" s="186" t="s">
        <v>4987</v>
      </c>
      <c r="G5" s="186" t="s">
        <v>4988</v>
      </c>
      <c r="H5" s="186" t="s">
        <v>4989</v>
      </c>
      <c r="I5" s="186" t="s">
        <v>4990</v>
      </c>
      <c r="J5" s="186" t="s">
        <v>4499</v>
      </c>
      <c r="K5" s="186" t="s">
        <v>1450</v>
      </c>
      <c r="L5" s="186" t="s">
        <v>4931</v>
      </c>
      <c r="M5" s="186" t="s">
        <v>48</v>
      </c>
      <c r="N5" s="186" t="s">
        <v>869</v>
      </c>
      <c r="O5" s="186" t="s">
        <v>4991</v>
      </c>
      <c r="P5" s="186" t="s">
        <v>4992</v>
      </c>
      <c r="Q5" s="186" t="s">
        <v>4993</v>
      </c>
      <c r="R5" s="186" t="s">
        <v>4994</v>
      </c>
      <c r="S5" s="184"/>
      <c r="T5" s="186" t="s">
        <v>4995</v>
      </c>
      <c r="U5" s="184"/>
      <c r="V5" s="184"/>
      <c r="W5" s="184"/>
      <c r="X5" s="184"/>
      <c r="Y5" s="184"/>
      <c r="Z5" s="184"/>
      <c r="AA5" s="184"/>
      <c r="AB5" s="184"/>
      <c r="AC5" s="184"/>
      <c r="AD5" s="184"/>
    </row>
    <row r="6" spans="1:30" ht="15.75" customHeight="1">
      <c r="A6" s="186" t="s">
        <v>185</v>
      </c>
      <c r="B6" s="186" t="s">
        <v>4961</v>
      </c>
      <c r="C6" s="186" t="s">
        <v>100</v>
      </c>
      <c r="D6" s="186" t="s">
        <v>4996</v>
      </c>
      <c r="E6" s="186" t="s">
        <v>975</v>
      </c>
      <c r="F6" s="186" t="s">
        <v>4997</v>
      </c>
      <c r="G6" s="186" t="s">
        <v>678</v>
      </c>
      <c r="H6" s="186" t="s">
        <v>4998</v>
      </c>
      <c r="I6" s="186" t="s">
        <v>4999</v>
      </c>
      <c r="J6" s="186" t="s">
        <v>3209</v>
      </c>
      <c r="K6" s="186" t="s">
        <v>1390</v>
      </c>
      <c r="L6" s="186" t="s">
        <v>4938</v>
      </c>
      <c r="M6" s="186" t="s">
        <v>677</v>
      </c>
      <c r="N6" s="186" t="s">
        <v>5000</v>
      </c>
      <c r="O6" s="184"/>
      <c r="P6" s="184"/>
      <c r="Q6" s="184"/>
      <c r="R6" s="186" t="s">
        <v>5001</v>
      </c>
      <c r="S6" s="184"/>
      <c r="T6" s="186" t="s">
        <v>5002</v>
      </c>
      <c r="U6" s="184"/>
      <c r="V6" s="184"/>
      <c r="W6" s="184"/>
      <c r="X6" s="184"/>
      <c r="Y6" s="184"/>
      <c r="Z6" s="184"/>
      <c r="AA6" s="184"/>
      <c r="AB6" s="184"/>
      <c r="AC6" s="184"/>
      <c r="AD6" s="184"/>
    </row>
    <row r="7" spans="1:30" ht="15.75" customHeight="1">
      <c r="A7" s="186" t="s">
        <v>45</v>
      </c>
      <c r="B7" s="186" t="s">
        <v>5003</v>
      </c>
      <c r="C7" s="186" t="s">
        <v>53</v>
      </c>
      <c r="D7" s="186" t="s">
        <v>5004</v>
      </c>
      <c r="E7" s="186" t="s">
        <v>440</v>
      </c>
      <c r="F7" s="186" t="s">
        <v>5005</v>
      </c>
      <c r="G7" s="186" t="s">
        <v>5006</v>
      </c>
      <c r="H7" s="186" t="s">
        <v>5007</v>
      </c>
      <c r="I7" s="186" t="s">
        <v>5008</v>
      </c>
      <c r="J7" s="186" t="s">
        <v>3213</v>
      </c>
      <c r="K7" s="186" t="s">
        <v>4816</v>
      </c>
      <c r="L7" s="186" t="s">
        <v>4939</v>
      </c>
      <c r="M7" s="186" t="s">
        <v>5009</v>
      </c>
      <c r="N7" s="186" t="s">
        <v>1406</v>
      </c>
      <c r="O7" s="184"/>
      <c r="P7" s="184"/>
      <c r="Q7" s="184"/>
      <c r="R7" s="186" t="s">
        <v>5010</v>
      </c>
      <c r="S7" s="184"/>
      <c r="T7" s="184"/>
      <c r="U7" s="184"/>
      <c r="V7" s="184"/>
      <c r="W7" s="184"/>
      <c r="X7" s="184"/>
      <c r="Y7" s="184"/>
      <c r="Z7" s="184"/>
      <c r="AA7" s="184"/>
      <c r="AB7" s="184"/>
      <c r="AC7" s="184"/>
      <c r="AD7" s="184"/>
    </row>
    <row r="8" spans="1:30" ht="15.75" customHeight="1">
      <c r="A8" s="186" t="s">
        <v>1181</v>
      </c>
      <c r="B8" s="186" t="s">
        <v>5011</v>
      </c>
      <c r="C8" s="186" t="s">
        <v>350</v>
      </c>
      <c r="D8" s="186" t="s">
        <v>5012</v>
      </c>
      <c r="E8" s="186" t="s">
        <v>648</v>
      </c>
      <c r="F8" s="186" t="s">
        <v>648</v>
      </c>
      <c r="G8" s="186" t="s">
        <v>49</v>
      </c>
      <c r="H8" s="186" t="s">
        <v>5013</v>
      </c>
      <c r="I8" s="186" t="s">
        <v>4389</v>
      </c>
      <c r="J8" s="186" t="s">
        <v>4822</v>
      </c>
      <c r="K8" s="186" t="s">
        <v>1436</v>
      </c>
      <c r="L8" s="186" t="s">
        <v>4943</v>
      </c>
      <c r="M8" s="186" t="s">
        <v>5014</v>
      </c>
      <c r="N8" s="186" t="s">
        <v>538</v>
      </c>
      <c r="O8" s="184"/>
      <c r="P8" s="184"/>
      <c r="Q8" s="184"/>
      <c r="R8" s="186" t="s">
        <v>5015</v>
      </c>
      <c r="S8" s="184"/>
      <c r="T8" s="184"/>
      <c r="U8" s="184"/>
      <c r="V8" s="184"/>
      <c r="W8" s="184"/>
      <c r="X8" s="184"/>
      <c r="Y8" s="184"/>
      <c r="Z8" s="184"/>
      <c r="AA8" s="184"/>
      <c r="AB8" s="184"/>
      <c r="AC8" s="184"/>
      <c r="AD8" s="184"/>
    </row>
    <row r="9" spans="1:30" ht="15.75" customHeight="1">
      <c r="A9" s="186" t="s">
        <v>1107</v>
      </c>
      <c r="B9" s="186" t="s">
        <v>5016</v>
      </c>
      <c r="C9" s="186" t="s">
        <v>368</v>
      </c>
      <c r="D9" s="186" t="s">
        <v>5017</v>
      </c>
      <c r="E9" s="186" t="s">
        <v>5018</v>
      </c>
      <c r="F9" s="186" t="s">
        <v>5019</v>
      </c>
      <c r="G9" s="186" t="s">
        <v>104</v>
      </c>
      <c r="H9" s="186" t="s">
        <v>5020</v>
      </c>
      <c r="I9" s="186" t="s">
        <v>4388</v>
      </c>
      <c r="J9" s="186" t="s">
        <v>4467</v>
      </c>
      <c r="K9" s="186" t="s">
        <v>138</v>
      </c>
      <c r="L9" s="186" t="s">
        <v>4944</v>
      </c>
      <c r="M9" s="186" t="s">
        <v>5021</v>
      </c>
      <c r="N9" s="186" t="s">
        <v>248</v>
      </c>
      <c r="O9" s="184"/>
      <c r="P9" s="184"/>
      <c r="Q9" s="184"/>
      <c r="R9" s="186" t="s">
        <v>5022</v>
      </c>
      <c r="S9" s="184"/>
      <c r="T9" s="184"/>
      <c r="U9" s="184"/>
      <c r="V9" s="184"/>
      <c r="W9" s="184"/>
      <c r="X9" s="184"/>
      <c r="Y9" s="184"/>
      <c r="Z9" s="184"/>
      <c r="AA9" s="184"/>
      <c r="AB9" s="184"/>
      <c r="AC9" s="184"/>
      <c r="AD9" s="184"/>
    </row>
    <row r="10" spans="1:30" ht="15.75" customHeight="1">
      <c r="A10" s="186" t="s">
        <v>314</v>
      </c>
      <c r="B10" s="186" t="s">
        <v>5023</v>
      </c>
      <c r="C10" s="186" t="s">
        <v>319</v>
      </c>
      <c r="D10" s="186" t="s">
        <v>5024</v>
      </c>
      <c r="E10" s="186" t="s">
        <v>54</v>
      </c>
      <c r="F10" s="186" t="s">
        <v>5025</v>
      </c>
      <c r="G10" s="186" t="s">
        <v>435</v>
      </c>
      <c r="H10" s="186" t="s">
        <v>5026</v>
      </c>
      <c r="I10" s="186" t="s">
        <v>5027</v>
      </c>
      <c r="J10" s="186" t="s">
        <v>3223</v>
      </c>
      <c r="K10" s="186" t="s">
        <v>4833</v>
      </c>
      <c r="L10" s="186" t="s">
        <v>4947</v>
      </c>
      <c r="M10" s="186" t="s">
        <v>5028</v>
      </c>
      <c r="N10" s="186" t="s">
        <v>325</v>
      </c>
      <c r="O10" s="184"/>
      <c r="P10" s="184"/>
      <c r="Q10" s="184"/>
      <c r="R10" s="186" t="s">
        <v>5029</v>
      </c>
      <c r="S10" s="184"/>
      <c r="T10" s="184"/>
      <c r="U10" s="184"/>
      <c r="V10" s="184"/>
      <c r="W10" s="184"/>
      <c r="X10" s="184"/>
      <c r="Y10" s="184"/>
      <c r="Z10" s="184"/>
      <c r="AA10" s="184"/>
      <c r="AB10" s="184"/>
      <c r="AC10" s="184"/>
      <c r="AD10" s="184"/>
    </row>
    <row r="11" spans="1:30" ht="15.75" customHeight="1">
      <c r="A11" s="186" t="s">
        <v>916</v>
      </c>
      <c r="B11" s="186" t="s">
        <v>5030</v>
      </c>
      <c r="C11" s="186" t="s">
        <v>5031</v>
      </c>
      <c r="D11" s="186" t="s">
        <v>5032</v>
      </c>
      <c r="E11" s="186" t="s">
        <v>320</v>
      </c>
      <c r="F11" s="186" t="s">
        <v>5033</v>
      </c>
      <c r="G11" s="186" t="s">
        <v>651</v>
      </c>
      <c r="H11" s="186" t="s">
        <v>5034</v>
      </c>
      <c r="I11" s="186" t="s">
        <v>5035</v>
      </c>
      <c r="J11" s="186" t="s">
        <v>340</v>
      </c>
      <c r="K11" s="186" t="s">
        <v>5036</v>
      </c>
      <c r="L11" s="186" t="s">
        <v>4948</v>
      </c>
      <c r="M11" s="186" t="s">
        <v>284</v>
      </c>
      <c r="N11" s="186" t="s">
        <v>652</v>
      </c>
      <c r="O11" s="184"/>
      <c r="P11" s="184"/>
      <c r="Q11" s="184"/>
      <c r="R11" s="186" t="s">
        <v>5037</v>
      </c>
      <c r="S11" s="184"/>
      <c r="T11" s="184"/>
      <c r="U11" s="184"/>
      <c r="V11" s="184"/>
      <c r="W11" s="184"/>
      <c r="X11" s="184"/>
      <c r="Y11" s="184"/>
      <c r="Z11" s="184"/>
      <c r="AA11" s="184"/>
      <c r="AB11" s="184"/>
      <c r="AC11" s="184"/>
      <c r="AD11" s="184"/>
    </row>
    <row r="12" spans="1:30" ht="15.75" customHeight="1">
      <c r="A12" s="186" t="s">
        <v>896</v>
      </c>
      <c r="B12" s="186" t="s">
        <v>5038</v>
      </c>
      <c r="C12" s="186" t="s">
        <v>5039</v>
      </c>
      <c r="D12" s="186" t="s">
        <v>5040</v>
      </c>
      <c r="E12" s="186" t="s">
        <v>676</v>
      </c>
      <c r="F12" s="186" t="s">
        <v>5041</v>
      </c>
      <c r="G12" s="186" t="s">
        <v>542</v>
      </c>
      <c r="H12" s="186" t="s">
        <v>5042</v>
      </c>
      <c r="I12" s="186" t="s">
        <v>4078</v>
      </c>
      <c r="J12" s="186" t="s">
        <v>343</v>
      </c>
      <c r="K12" s="186" t="s">
        <v>5043</v>
      </c>
      <c r="L12" s="186" t="s">
        <v>4893</v>
      </c>
      <c r="M12" s="186" t="s">
        <v>230</v>
      </c>
      <c r="N12" s="186" t="s">
        <v>5044</v>
      </c>
      <c r="O12" s="184"/>
      <c r="P12" s="184"/>
      <c r="Q12" s="184"/>
      <c r="R12" s="184"/>
      <c r="S12" s="184"/>
      <c r="T12" s="184"/>
      <c r="U12" s="184"/>
      <c r="V12" s="184"/>
      <c r="W12" s="184"/>
      <c r="X12" s="184"/>
      <c r="Y12" s="184"/>
      <c r="Z12" s="184"/>
      <c r="AA12" s="184"/>
      <c r="AB12" s="184"/>
      <c r="AC12" s="184"/>
      <c r="AD12" s="184"/>
    </row>
    <row r="13" spans="1:30" ht="15.75" customHeight="1">
      <c r="A13" s="186" t="s">
        <v>99</v>
      </c>
      <c r="B13" s="186" t="s">
        <v>3034</v>
      </c>
      <c r="C13" s="186" t="s">
        <v>455</v>
      </c>
      <c r="D13" s="186" t="s">
        <v>5045</v>
      </c>
      <c r="E13" s="186" t="s">
        <v>942</v>
      </c>
      <c r="F13" s="186" t="s">
        <v>5046</v>
      </c>
      <c r="G13" s="186" t="s">
        <v>943</v>
      </c>
      <c r="H13" s="186" t="s">
        <v>5047</v>
      </c>
      <c r="I13" s="186" t="s">
        <v>5048</v>
      </c>
      <c r="J13" s="182" t="s">
        <v>345</v>
      </c>
      <c r="K13" s="186" t="s">
        <v>5049</v>
      </c>
      <c r="L13" s="186" t="s">
        <v>4925</v>
      </c>
      <c r="M13" s="186" t="s">
        <v>1216</v>
      </c>
      <c r="N13" s="186" t="s">
        <v>5050</v>
      </c>
      <c r="O13" s="184"/>
      <c r="P13" s="184"/>
      <c r="Q13" s="184"/>
      <c r="R13" s="184"/>
      <c r="S13" s="184"/>
      <c r="T13" s="184"/>
      <c r="U13" s="184"/>
      <c r="V13" s="184"/>
      <c r="W13" s="184"/>
      <c r="X13" s="184"/>
      <c r="Y13" s="184"/>
      <c r="Z13" s="184"/>
      <c r="AA13" s="184"/>
      <c r="AB13" s="184"/>
      <c r="AC13" s="184"/>
      <c r="AD13" s="184"/>
    </row>
    <row r="14" spans="1:30" ht="15.75" customHeight="1">
      <c r="A14" s="186" t="s">
        <v>171</v>
      </c>
      <c r="B14" s="186" t="s">
        <v>2957</v>
      </c>
      <c r="C14" s="186" t="s">
        <v>911</v>
      </c>
      <c r="D14" s="186" t="s">
        <v>336</v>
      </c>
      <c r="E14" s="186" t="s">
        <v>72</v>
      </c>
      <c r="F14" s="186" t="s">
        <v>5051</v>
      </c>
      <c r="G14" s="186" t="s">
        <v>1399</v>
      </c>
      <c r="H14" s="186" t="s">
        <v>5052</v>
      </c>
      <c r="I14" s="186" t="s">
        <v>689</v>
      </c>
      <c r="J14" s="186" t="s">
        <v>5053</v>
      </c>
      <c r="K14" s="184"/>
      <c r="L14" s="186" t="s">
        <v>4937</v>
      </c>
      <c r="M14" s="184"/>
      <c r="N14" s="186" t="s">
        <v>543</v>
      </c>
      <c r="O14" s="184"/>
      <c r="P14" s="184"/>
      <c r="Q14" s="184"/>
      <c r="R14" s="184"/>
      <c r="S14" s="184"/>
      <c r="T14" s="184"/>
      <c r="U14" s="184"/>
      <c r="V14" s="184"/>
      <c r="W14" s="184"/>
      <c r="X14" s="184"/>
      <c r="Y14" s="184"/>
      <c r="Z14" s="184"/>
      <c r="AA14" s="184"/>
      <c r="AB14" s="184"/>
      <c r="AC14" s="184"/>
      <c r="AD14" s="184"/>
    </row>
    <row r="15" spans="1:30" ht="15.75" customHeight="1">
      <c r="A15" s="186" t="s">
        <v>244</v>
      </c>
      <c r="B15" s="186" t="s">
        <v>244</v>
      </c>
      <c r="C15" s="186" t="s">
        <v>913</v>
      </c>
      <c r="D15" s="186" t="s">
        <v>338</v>
      </c>
      <c r="E15" s="186" t="s">
        <v>246</v>
      </c>
      <c r="F15" s="186" t="s">
        <v>5054</v>
      </c>
      <c r="G15" s="186" t="s">
        <v>115</v>
      </c>
      <c r="H15" s="186" t="s">
        <v>5055</v>
      </c>
      <c r="I15" s="186" t="s">
        <v>684</v>
      </c>
      <c r="J15" s="186" t="s">
        <v>556</v>
      </c>
      <c r="K15" s="184"/>
      <c r="L15" s="186" t="s">
        <v>4942</v>
      </c>
      <c r="M15" s="184"/>
      <c r="N15" s="186" t="s">
        <v>50</v>
      </c>
      <c r="O15" s="184"/>
      <c r="P15" s="184"/>
      <c r="Q15" s="184"/>
      <c r="R15" s="184"/>
      <c r="S15" s="184"/>
      <c r="T15" s="184"/>
      <c r="U15" s="184"/>
      <c r="V15" s="184"/>
      <c r="W15" s="184"/>
      <c r="X15" s="184"/>
      <c r="Y15" s="184"/>
      <c r="Z15" s="184"/>
      <c r="AA15" s="184"/>
      <c r="AB15" s="184"/>
      <c r="AC15" s="184"/>
      <c r="AD15" s="184"/>
    </row>
    <row r="16" spans="1:30" ht="15.75" customHeight="1">
      <c r="A16" s="186" t="s">
        <v>907</v>
      </c>
      <c r="B16" s="186" t="s">
        <v>5056</v>
      </c>
      <c r="C16" s="186" t="s">
        <v>65</v>
      </c>
      <c r="D16" s="186" t="s">
        <v>5057</v>
      </c>
      <c r="E16" s="186" t="s">
        <v>341</v>
      </c>
      <c r="F16" s="186" t="s">
        <v>5058</v>
      </c>
      <c r="G16" s="186" t="s">
        <v>108</v>
      </c>
      <c r="H16" s="186" t="s">
        <v>5059</v>
      </c>
      <c r="I16" s="186" t="s">
        <v>960</v>
      </c>
      <c r="J16" s="186" t="s">
        <v>367</v>
      </c>
      <c r="K16" s="184"/>
      <c r="L16" s="186" t="s">
        <v>4945</v>
      </c>
      <c r="M16" s="184"/>
      <c r="N16" s="186" t="s">
        <v>679</v>
      </c>
      <c r="O16" s="184"/>
      <c r="P16" s="184"/>
      <c r="Q16" s="184"/>
      <c r="R16" s="184"/>
      <c r="S16" s="184"/>
      <c r="T16" s="184"/>
      <c r="U16" s="184"/>
      <c r="V16" s="184"/>
      <c r="W16" s="184"/>
      <c r="X16" s="184"/>
      <c r="Y16" s="184"/>
      <c r="Z16" s="184"/>
      <c r="AA16" s="184"/>
      <c r="AB16" s="184"/>
      <c r="AC16" s="184"/>
      <c r="AD16" s="184"/>
    </row>
    <row r="17" spans="1:14" ht="15.75" customHeight="1">
      <c r="A17" s="186" t="s">
        <v>162</v>
      </c>
      <c r="B17" s="186" t="s">
        <v>5060</v>
      </c>
      <c r="C17" s="186" t="s">
        <v>46</v>
      </c>
      <c r="D17" s="186" t="s">
        <v>5061</v>
      </c>
      <c r="E17" s="186" t="s">
        <v>1233</v>
      </c>
      <c r="F17" s="186" t="s">
        <v>5062</v>
      </c>
      <c r="G17" s="186" t="s">
        <v>1405</v>
      </c>
      <c r="H17" s="186" t="s">
        <v>5063</v>
      </c>
      <c r="I17" s="186" t="s">
        <v>5064</v>
      </c>
      <c r="J17" s="186" t="s">
        <v>4840</v>
      </c>
      <c r="K17" s="184"/>
      <c r="L17" s="186" t="s">
        <v>4838</v>
      </c>
      <c r="M17" s="184"/>
      <c r="N17" s="186" t="s">
        <v>5065</v>
      </c>
    </row>
    <row r="18" spans="1:14" ht="15.75" customHeight="1">
      <c r="A18" s="186" t="s">
        <v>5066</v>
      </c>
      <c r="B18" s="186" t="s">
        <v>5067</v>
      </c>
      <c r="C18" s="186" t="s">
        <v>103</v>
      </c>
      <c r="D18" s="186" t="s">
        <v>5068</v>
      </c>
      <c r="E18" s="186" t="s">
        <v>192</v>
      </c>
      <c r="F18" s="186" t="s">
        <v>5069</v>
      </c>
      <c r="G18" s="186" t="s">
        <v>862</v>
      </c>
      <c r="H18" s="186" t="s">
        <v>5070</v>
      </c>
      <c r="I18" s="186" t="s">
        <v>5071</v>
      </c>
      <c r="J18" s="186" t="s">
        <v>338</v>
      </c>
      <c r="K18" s="184"/>
      <c r="L18" s="186" t="s">
        <v>4864</v>
      </c>
      <c r="M18" s="184"/>
      <c r="N18" s="186" t="s">
        <v>944</v>
      </c>
    </row>
    <row r="19" spans="1:14" ht="15.75" customHeight="1">
      <c r="A19" s="186" t="s">
        <v>910</v>
      </c>
      <c r="B19" s="186" t="s">
        <v>5072</v>
      </c>
      <c r="C19" s="186" t="s">
        <v>111</v>
      </c>
      <c r="D19" s="186" t="s">
        <v>5073</v>
      </c>
      <c r="E19" s="186" t="s">
        <v>485</v>
      </c>
      <c r="F19" s="186" t="s">
        <v>5074</v>
      </c>
      <c r="G19" s="186" t="s">
        <v>486</v>
      </c>
      <c r="H19" s="186" t="s">
        <v>5075</v>
      </c>
      <c r="I19" s="186" t="s">
        <v>5076</v>
      </c>
      <c r="J19" s="186" t="s">
        <v>5077</v>
      </c>
      <c r="K19" s="184"/>
      <c r="L19" s="186" t="s">
        <v>4842</v>
      </c>
      <c r="M19" s="184"/>
      <c r="N19" s="186" t="s">
        <v>1400</v>
      </c>
    </row>
    <row r="20" spans="1:14" ht="15.75" customHeight="1">
      <c r="A20" s="186" t="s">
        <v>5078</v>
      </c>
      <c r="B20" s="186" t="s">
        <v>5079</v>
      </c>
      <c r="C20" s="186" t="s">
        <v>256</v>
      </c>
      <c r="D20" s="186" t="s">
        <v>5080</v>
      </c>
      <c r="E20" s="186" t="s">
        <v>541</v>
      </c>
      <c r="F20" s="186" t="s">
        <v>5081</v>
      </c>
      <c r="G20" s="186" t="s">
        <v>494</v>
      </c>
      <c r="H20" s="186" t="s">
        <v>5082</v>
      </c>
      <c r="I20" s="186" t="s">
        <v>5083</v>
      </c>
      <c r="J20" s="186" t="s">
        <v>347</v>
      </c>
      <c r="K20" s="184"/>
      <c r="L20" s="186" t="s">
        <v>4902</v>
      </c>
      <c r="M20" s="184"/>
      <c r="N20" s="186" t="s">
        <v>57</v>
      </c>
    </row>
    <row r="21" spans="1:14" ht="15.75" customHeight="1">
      <c r="A21" s="186" t="s">
        <v>70</v>
      </c>
      <c r="B21" s="186" t="s">
        <v>5084</v>
      </c>
      <c r="C21" s="186" t="s">
        <v>253</v>
      </c>
      <c r="D21" s="186" t="s">
        <v>2715</v>
      </c>
      <c r="E21" s="186" t="s">
        <v>861</v>
      </c>
      <c r="F21" s="186" t="s">
        <v>5085</v>
      </c>
      <c r="G21" s="186" t="s">
        <v>74</v>
      </c>
      <c r="H21" s="186" t="s">
        <v>5086</v>
      </c>
      <c r="I21" s="184"/>
      <c r="J21" s="186" t="s">
        <v>1163</v>
      </c>
      <c r="K21" s="184"/>
      <c r="L21" s="186" t="s">
        <v>4934</v>
      </c>
      <c r="M21" s="184"/>
      <c r="N21" s="186" t="s">
        <v>5087</v>
      </c>
    </row>
    <row r="22" spans="1:14" ht="15.75" customHeight="1">
      <c r="A22" s="186" t="s">
        <v>5088</v>
      </c>
      <c r="B22" s="186" t="s">
        <v>5089</v>
      </c>
      <c r="C22" s="186" t="s">
        <v>251</v>
      </c>
      <c r="D22" s="186" t="s">
        <v>2716</v>
      </c>
      <c r="E22" s="186" t="s">
        <v>315</v>
      </c>
      <c r="F22" s="186" t="s">
        <v>5090</v>
      </c>
      <c r="G22" s="186" t="s">
        <v>122</v>
      </c>
      <c r="H22" s="186" t="s">
        <v>5091</v>
      </c>
      <c r="I22" s="184"/>
      <c r="J22" s="186" t="s">
        <v>5092</v>
      </c>
      <c r="K22" s="184"/>
      <c r="L22" s="186" t="s">
        <v>4788</v>
      </c>
      <c r="M22" s="184"/>
      <c r="N22" s="186" t="s">
        <v>211</v>
      </c>
    </row>
    <row r="23" spans="1:14" ht="15.75" customHeight="1">
      <c r="A23" s="186" t="s">
        <v>5093</v>
      </c>
      <c r="B23" s="186" t="s">
        <v>5094</v>
      </c>
      <c r="C23" s="186" t="s">
        <v>245</v>
      </c>
      <c r="D23" s="186" t="s">
        <v>2717</v>
      </c>
      <c r="E23" s="186" t="s">
        <v>210</v>
      </c>
      <c r="F23" s="186" t="s">
        <v>5095</v>
      </c>
      <c r="G23" s="186" t="s">
        <v>5096</v>
      </c>
      <c r="H23" s="186" t="s">
        <v>5097</v>
      </c>
      <c r="I23" s="184"/>
      <c r="J23" s="184"/>
      <c r="K23" s="184"/>
      <c r="L23" s="186" t="s">
        <v>4795</v>
      </c>
      <c r="M23" s="184"/>
      <c r="N23" s="186" t="s">
        <v>1403</v>
      </c>
    </row>
    <row r="24" spans="1:14" ht="15.75" customHeight="1">
      <c r="A24" s="186" t="s">
        <v>5098</v>
      </c>
      <c r="B24" s="186" t="s">
        <v>5099</v>
      </c>
      <c r="C24" s="186" t="s">
        <v>282</v>
      </c>
      <c r="D24" s="186" t="s">
        <v>5100</v>
      </c>
      <c r="E24" s="186" t="s">
        <v>554</v>
      </c>
      <c r="F24" s="186" t="s">
        <v>5101</v>
      </c>
      <c r="G24" s="186" t="s">
        <v>1402</v>
      </c>
      <c r="H24" s="186" t="s">
        <v>5102</v>
      </c>
      <c r="I24" s="184"/>
      <c r="J24" s="184"/>
      <c r="K24" s="184"/>
      <c r="L24" s="186" t="s">
        <v>4800</v>
      </c>
      <c r="M24" s="184"/>
      <c r="N24" s="186" t="s">
        <v>1458</v>
      </c>
    </row>
    <row r="25" spans="1:14" ht="15.75" customHeight="1">
      <c r="A25" s="186" t="s">
        <v>630</v>
      </c>
      <c r="B25" s="186" t="s">
        <v>5103</v>
      </c>
      <c r="C25" s="186" t="s">
        <v>5104</v>
      </c>
      <c r="D25" s="186" t="s">
        <v>5105</v>
      </c>
      <c r="E25" s="186" t="s">
        <v>854</v>
      </c>
      <c r="F25" s="186" t="s">
        <v>5106</v>
      </c>
      <c r="G25" s="186" t="s">
        <v>1451</v>
      </c>
      <c r="H25" s="186" t="s">
        <v>5107</v>
      </c>
      <c r="I25" s="184"/>
      <c r="J25" s="184"/>
      <c r="K25" s="184"/>
      <c r="L25" s="186" t="s">
        <v>4805</v>
      </c>
      <c r="M25" s="184"/>
      <c r="N25" s="186" t="s">
        <v>1452</v>
      </c>
    </row>
    <row r="26" spans="1:14" ht="15.75" customHeight="1">
      <c r="A26" s="186" t="s">
        <v>853</v>
      </c>
      <c r="B26" s="186" t="s">
        <v>5108</v>
      </c>
      <c r="C26" s="186" t="s">
        <v>287</v>
      </c>
      <c r="D26" s="186" t="s">
        <v>5109</v>
      </c>
      <c r="E26" s="186" t="s">
        <v>5110</v>
      </c>
      <c r="F26" s="186" t="s">
        <v>5111</v>
      </c>
      <c r="G26" s="186" t="s">
        <v>1462</v>
      </c>
      <c r="H26" s="186" t="s">
        <v>5112</v>
      </c>
      <c r="I26" s="184"/>
      <c r="J26" s="184"/>
      <c r="K26" s="184"/>
      <c r="L26" s="186" t="s">
        <v>4946</v>
      </c>
      <c r="M26" s="184"/>
      <c r="N26" s="186" t="s">
        <v>1473</v>
      </c>
    </row>
    <row r="27" spans="1:14" ht="15.75" customHeight="1">
      <c r="A27" s="186" t="s">
        <v>119</v>
      </c>
      <c r="B27" s="186" t="s">
        <v>5113</v>
      </c>
      <c r="C27" s="186" t="s">
        <v>5114</v>
      </c>
      <c r="D27" s="186" t="s">
        <v>5115</v>
      </c>
      <c r="E27" s="186" t="s">
        <v>5116</v>
      </c>
      <c r="F27" s="186" t="s">
        <v>5117</v>
      </c>
      <c r="G27" s="186" t="s">
        <v>1457</v>
      </c>
      <c r="H27" s="186" t="s">
        <v>5118</v>
      </c>
      <c r="I27" s="184"/>
      <c r="J27" s="184"/>
      <c r="K27" s="184"/>
      <c r="L27" s="186" t="s">
        <v>4866</v>
      </c>
      <c r="M27" s="184"/>
      <c r="N27" s="184"/>
    </row>
    <row r="28" spans="1:14" ht="15.75" customHeight="1">
      <c r="A28" s="186" t="s">
        <v>868</v>
      </c>
      <c r="B28" s="186" t="s">
        <v>5119</v>
      </c>
      <c r="C28" s="186" t="s">
        <v>5120</v>
      </c>
      <c r="D28" s="186" t="s">
        <v>5121</v>
      </c>
      <c r="E28" s="186" t="s">
        <v>121</v>
      </c>
      <c r="F28" s="186" t="s">
        <v>5122</v>
      </c>
      <c r="G28" s="187" t="s">
        <v>1470</v>
      </c>
      <c r="H28" s="186" t="s">
        <v>5065</v>
      </c>
      <c r="I28" s="184"/>
      <c r="J28" s="184"/>
      <c r="K28" s="184"/>
      <c r="L28" s="186" t="s">
        <v>4846</v>
      </c>
      <c r="M28" s="184"/>
      <c r="N28" s="184"/>
    </row>
    <row r="29" spans="1:14" ht="15.75" customHeight="1">
      <c r="A29" s="186" t="s">
        <v>1166</v>
      </c>
      <c r="B29" s="186" t="s">
        <v>5123</v>
      </c>
      <c r="C29" s="186" t="s">
        <v>919</v>
      </c>
      <c r="D29" s="186" t="s">
        <v>5124</v>
      </c>
      <c r="E29" s="186" t="s">
        <v>898</v>
      </c>
      <c r="F29" s="186" t="s">
        <v>5125</v>
      </c>
      <c r="G29" s="186" t="s">
        <v>1472</v>
      </c>
      <c r="H29" s="186" t="s">
        <v>5126</v>
      </c>
      <c r="I29" s="184"/>
      <c r="J29" s="184"/>
      <c r="K29" s="184"/>
      <c r="L29" s="186" t="s">
        <v>5127</v>
      </c>
      <c r="M29" s="184"/>
      <c r="N29" s="184"/>
    </row>
    <row r="30" spans="1:14" ht="15.75" customHeight="1">
      <c r="A30" s="186" t="s">
        <v>1366</v>
      </c>
      <c r="B30" s="186" t="s">
        <v>5128</v>
      </c>
      <c r="C30" s="186" t="s">
        <v>897</v>
      </c>
      <c r="D30" s="186" t="s">
        <v>5129</v>
      </c>
      <c r="E30" s="186" t="s">
        <v>1024</v>
      </c>
      <c r="F30" s="186" t="s">
        <v>5130</v>
      </c>
      <c r="G30" s="184"/>
      <c r="H30" s="184"/>
      <c r="I30" s="184"/>
      <c r="J30" s="184"/>
      <c r="K30" s="184"/>
      <c r="L30" s="186" t="s">
        <v>5131</v>
      </c>
      <c r="M30" s="184"/>
      <c r="N30" s="184"/>
    </row>
    <row r="31" spans="1:14" ht="15.75" customHeight="1">
      <c r="A31" s="186" t="s">
        <v>1448</v>
      </c>
      <c r="B31" s="186" t="s">
        <v>5132</v>
      </c>
      <c r="C31" s="186" t="s">
        <v>931</v>
      </c>
      <c r="D31" s="186" t="s">
        <v>5133</v>
      </c>
      <c r="E31" s="186" t="s">
        <v>1148</v>
      </c>
      <c r="F31" s="186" t="s">
        <v>5134</v>
      </c>
      <c r="G31" s="184"/>
      <c r="H31" s="184"/>
      <c r="I31" s="184"/>
      <c r="J31" s="184"/>
      <c r="K31" s="184"/>
      <c r="L31" s="186" t="s">
        <v>5135</v>
      </c>
      <c r="M31" s="184"/>
      <c r="N31" s="184"/>
    </row>
    <row r="32" spans="1:14" ht="15.75" customHeight="1">
      <c r="A32" s="184"/>
      <c r="B32" s="184"/>
      <c r="C32" s="186" t="s">
        <v>5136</v>
      </c>
      <c r="D32" s="186" t="s">
        <v>5137</v>
      </c>
      <c r="E32" s="186" t="s">
        <v>1197</v>
      </c>
      <c r="F32" s="186" t="s">
        <v>5138</v>
      </c>
      <c r="G32" s="184"/>
      <c r="H32" s="184"/>
      <c r="I32" s="184"/>
      <c r="J32" s="184"/>
      <c r="K32" s="184"/>
      <c r="L32" s="186" t="s">
        <v>4914</v>
      </c>
      <c r="M32" s="184"/>
      <c r="N32" s="184"/>
    </row>
    <row r="33" spans="3:12" ht="15.75" customHeight="1">
      <c r="C33" s="186" t="s">
        <v>4980</v>
      </c>
      <c r="D33" s="186" t="s">
        <v>5139</v>
      </c>
      <c r="E33" s="186" t="s">
        <v>1449</v>
      </c>
      <c r="F33" s="186" t="s">
        <v>5140</v>
      </c>
      <c r="G33" s="184"/>
      <c r="H33" s="184"/>
      <c r="I33" s="184"/>
      <c r="J33" s="184"/>
      <c r="K33" s="184"/>
      <c r="L33" s="186" t="s">
        <v>4918</v>
      </c>
    </row>
    <row r="34" spans="3:12" ht="15.75" customHeight="1">
      <c r="C34" s="186" t="s">
        <v>4999</v>
      </c>
      <c r="D34" s="186" t="s">
        <v>5141</v>
      </c>
      <c r="E34" s="186" t="s">
        <v>1456</v>
      </c>
      <c r="F34" s="186" t="s">
        <v>5142</v>
      </c>
      <c r="G34" s="184"/>
      <c r="H34" s="184"/>
      <c r="I34" s="184"/>
      <c r="J34" s="184"/>
      <c r="K34" s="184"/>
      <c r="L34" s="186" t="s">
        <v>4922</v>
      </c>
    </row>
    <row r="35" spans="3:12" ht="15.75" customHeight="1">
      <c r="C35" s="186" t="s">
        <v>934</v>
      </c>
      <c r="D35" s="186" t="s">
        <v>5143</v>
      </c>
      <c r="E35" s="184" t="s">
        <v>164</v>
      </c>
      <c r="F35" s="184" t="s">
        <v>5144</v>
      </c>
      <c r="G35" s="184"/>
      <c r="H35" s="184"/>
      <c r="I35" s="184"/>
      <c r="J35" s="184"/>
      <c r="K35" s="184"/>
      <c r="L35" s="186" t="s">
        <v>4949</v>
      </c>
    </row>
    <row r="36" spans="3:12" ht="15.75" customHeight="1">
      <c r="C36" s="186" t="s">
        <v>926</v>
      </c>
      <c r="D36" s="186" t="s">
        <v>5145</v>
      </c>
      <c r="E36" s="184" t="s">
        <v>1499</v>
      </c>
      <c r="F36" s="184" t="s">
        <v>5146</v>
      </c>
      <c r="G36" s="184"/>
      <c r="H36" s="184"/>
      <c r="I36" s="184"/>
      <c r="J36" s="184"/>
      <c r="K36" s="184"/>
      <c r="L36" s="186" t="s">
        <v>4870</v>
      </c>
    </row>
    <row r="37" spans="3:12" ht="15.75" customHeight="1">
      <c r="C37" s="186" t="s">
        <v>675</v>
      </c>
      <c r="D37" s="186" t="s">
        <v>5147</v>
      </c>
      <c r="E37" s="184"/>
      <c r="F37" s="184"/>
      <c r="G37" s="184"/>
      <c r="H37" s="184"/>
      <c r="I37" s="184"/>
      <c r="J37" s="184"/>
      <c r="K37" s="184"/>
      <c r="L37" s="186" t="s">
        <v>4857</v>
      </c>
    </row>
    <row r="38" spans="3:12" ht="15.75" customHeight="1">
      <c r="C38" s="186" t="s">
        <v>60</v>
      </c>
      <c r="D38" s="186" t="s">
        <v>5148</v>
      </c>
      <c r="E38" s="184"/>
      <c r="F38" s="184"/>
      <c r="G38" s="184"/>
      <c r="H38" s="184"/>
      <c r="I38" s="184"/>
      <c r="J38" s="184"/>
      <c r="K38" s="184"/>
      <c r="L38" s="186" t="s">
        <v>4861</v>
      </c>
    </row>
    <row r="39" spans="3:12" ht="15.75" customHeight="1">
      <c r="C39" s="186" t="s">
        <v>122</v>
      </c>
      <c r="D39" s="186" t="s">
        <v>5091</v>
      </c>
      <c r="E39" s="184"/>
      <c r="F39" s="184"/>
      <c r="G39" s="184"/>
      <c r="H39" s="184"/>
      <c r="I39" s="184"/>
      <c r="J39" s="184"/>
      <c r="K39" s="184"/>
      <c r="L39" s="186" t="s">
        <v>3282</v>
      </c>
    </row>
    <row r="40" spans="3:12" ht="15.75" customHeight="1">
      <c r="C40" s="186" t="s">
        <v>191</v>
      </c>
      <c r="D40" s="186" t="s">
        <v>5149</v>
      </c>
      <c r="E40" s="184"/>
      <c r="F40" s="184"/>
      <c r="G40" s="184"/>
      <c r="H40" s="184"/>
      <c r="I40" s="184"/>
      <c r="J40" s="184"/>
      <c r="K40" s="184"/>
      <c r="L40" s="186" t="s">
        <v>5150</v>
      </c>
    </row>
    <row r="41" spans="3:12" ht="15.75" customHeight="1">
      <c r="C41" s="186" t="s">
        <v>228</v>
      </c>
      <c r="D41" s="186" t="s">
        <v>5151</v>
      </c>
      <c r="E41" s="184"/>
      <c r="F41" s="184"/>
      <c r="G41" s="184"/>
      <c r="H41" s="184"/>
      <c r="I41" s="184"/>
      <c r="J41" s="184"/>
      <c r="K41" s="184"/>
      <c r="L41" s="186" t="s">
        <v>5152</v>
      </c>
    </row>
    <row r="42" spans="3:12" ht="12.75">
      <c r="C42" s="186" t="s">
        <v>207</v>
      </c>
      <c r="D42" s="186" t="s">
        <v>5153</v>
      </c>
      <c r="E42" s="184"/>
      <c r="F42" s="184"/>
      <c r="G42" s="184"/>
      <c r="H42" s="184"/>
      <c r="I42" s="184"/>
      <c r="J42" s="184"/>
      <c r="K42" s="184"/>
      <c r="L42" s="186" t="s">
        <v>4809</v>
      </c>
    </row>
    <row r="43" spans="3:12" ht="12.75">
      <c r="C43" s="187" t="s">
        <v>568</v>
      </c>
      <c r="D43" s="186" t="s">
        <v>5154</v>
      </c>
      <c r="E43" s="184"/>
      <c r="F43" s="184"/>
      <c r="G43" s="184"/>
      <c r="H43" s="184"/>
      <c r="I43" s="184"/>
      <c r="J43" s="184"/>
      <c r="K43" s="184"/>
      <c r="L43" s="186" t="s">
        <v>4950</v>
      </c>
    </row>
    <row r="44" spans="3:12" ht="12.75">
      <c r="C44" s="186" t="s">
        <v>529</v>
      </c>
      <c r="D44" s="186" t="s">
        <v>5155</v>
      </c>
      <c r="E44" s="184"/>
      <c r="F44" s="184"/>
      <c r="G44" s="184"/>
      <c r="H44" s="184"/>
      <c r="I44" s="184"/>
      <c r="J44" s="184"/>
      <c r="K44" s="184"/>
      <c r="L44" s="186" t="s">
        <v>5156</v>
      </c>
    </row>
    <row r="45" spans="3:12" ht="12.75">
      <c r="C45" s="186" t="s">
        <v>120</v>
      </c>
      <c r="D45" s="186" t="s">
        <v>5157</v>
      </c>
      <c r="E45" s="184"/>
      <c r="F45" s="184"/>
      <c r="G45" s="184"/>
      <c r="H45" s="184"/>
      <c r="I45" s="184"/>
      <c r="J45" s="184"/>
      <c r="K45" s="184"/>
      <c r="L45" s="186" t="s">
        <v>4952</v>
      </c>
    </row>
    <row r="46" spans="3:12" ht="12.75">
      <c r="C46" s="186" t="s">
        <v>133</v>
      </c>
      <c r="D46" s="186" t="s">
        <v>5158</v>
      </c>
      <c r="E46" s="184"/>
      <c r="F46" s="184"/>
      <c r="G46" s="184"/>
      <c r="H46" s="184"/>
      <c r="I46" s="184"/>
      <c r="J46" s="184"/>
      <c r="K46" s="184"/>
      <c r="L46" s="184"/>
    </row>
    <row r="47" spans="3:12" ht="12.75">
      <c r="C47" s="186" t="s">
        <v>71</v>
      </c>
      <c r="D47" s="184"/>
      <c r="E47" s="184"/>
      <c r="F47" s="184"/>
      <c r="G47" s="184"/>
      <c r="H47" s="184"/>
      <c r="I47" s="184"/>
      <c r="J47" s="184"/>
      <c r="K47" s="184"/>
      <c r="L47" s="184"/>
    </row>
    <row r="48" spans="3:12" ht="12.75">
      <c r="C48" s="186" t="s">
        <v>957</v>
      </c>
      <c r="D48" s="186" t="s">
        <v>5159</v>
      </c>
      <c r="E48" s="184"/>
      <c r="F48" s="184"/>
      <c r="G48" s="184"/>
      <c r="H48" s="184"/>
      <c r="I48" s="184"/>
      <c r="J48" s="184"/>
      <c r="K48" s="184"/>
      <c r="L48" s="184"/>
    </row>
    <row r="49" spans="3:4" ht="12.75">
      <c r="C49" s="186" t="s">
        <v>689</v>
      </c>
      <c r="D49" s="186" t="s">
        <v>5160</v>
      </c>
    </row>
    <row r="50" spans="3:4" ht="12.75">
      <c r="C50" s="186" t="s">
        <v>684</v>
      </c>
      <c r="D50" s="186" t="s">
        <v>5161</v>
      </c>
    </row>
    <row r="51" spans="3:4" ht="12.75">
      <c r="C51" s="186" t="s">
        <v>941</v>
      </c>
      <c r="D51" s="186" t="s">
        <v>5162</v>
      </c>
    </row>
    <row r="52" spans="3:4" ht="12.75">
      <c r="C52" s="186" t="s">
        <v>960</v>
      </c>
      <c r="D52" s="186" t="s">
        <v>5163</v>
      </c>
    </row>
    <row r="53" spans="3:4" ht="12.75">
      <c r="C53" s="186" t="s">
        <v>5049</v>
      </c>
      <c r="D53" s="186" t="s">
        <v>5164</v>
      </c>
    </row>
    <row r="54" spans="3:4" ht="12.75">
      <c r="C54" s="186" t="s">
        <v>5165</v>
      </c>
      <c r="D54" s="186" t="s">
        <v>5166</v>
      </c>
    </row>
    <row r="55" spans="3:4" ht="12.75">
      <c r="C55" s="186" t="s">
        <v>1116</v>
      </c>
      <c r="D55" s="186" t="s">
        <v>5167</v>
      </c>
    </row>
    <row r="56" spans="3:4" ht="12.75">
      <c r="C56" s="186" t="s">
        <v>1119</v>
      </c>
      <c r="D56" s="186" t="s">
        <v>5168</v>
      </c>
    </row>
    <row r="57" spans="3:4" ht="12.75">
      <c r="C57" s="186" t="s">
        <v>1113</v>
      </c>
      <c r="D57" s="186" t="s">
        <v>5169</v>
      </c>
    </row>
    <row r="58" spans="3:4" ht="12.75">
      <c r="C58" s="186" t="s">
        <v>1151</v>
      </c>
      <c r="D58" s="186" t="s">
        <v>5170</v>
      </c>
    </row>
    <row r="59" spans="3:4" ht="12.75">
      <c r="C59" s="186" t="s">
        <v>1163</v>
      </c>
      <c r="D59" s="186" t="s">
        <v>1163</v>
      </c>
    </row>
    <row r="60" spans="3:4" ht="12.75">
      <c r="C60" s="186" t="s">
        <v>1159</v>
      </c>
      <c r="D60" s="186" t="s">
        <v>5171</v>
      </c>
    </row>
    <row r="61" spans="3:4" ht="12.75">
      <c r="C61" s="186" t="s">
        <v>1157</v>
      </c>
      <c r="D61" s="186" t="s">
        <v>5172</v>
      </c>
    </row>
    <row r="62" spans="3:4" ht="12.75">
      <c r="C62" s="186" t="s">
        <v>1167</v>
      </c>
      <c r="D62" s="186" t="s">
        <v>5173</v>
      </c>
    </row>
    <row r="63" spans="3:4" ht="12.75">
      <c r="C63" s="186" t="s">
        <v>1170</v>
      </c>
      <c r="D63" s="186" t="s">
        <v>5174</v>
      </c>
    </row>
    <row r="64" spans="3:4" ht="12.75">
      <c r="C64" s="186" t="s">
        <v>1228</v>
      </c>
      <c r="D64" s="186" t="s">
        <v>5175</v>
      </c>
    </row>
    <row r="65" spans="3:4" ht="12.75">
      <c r="C65" s="186" t="s">
        <v>1367</v>
      </c>
      <c r="D65" s="186" t="s">
        <v>5176</v>
      </c>
    </row>
    <row r="66" spans="3:4" ht="12.75">
      <c r="C66" s="186" t="s">
        <v>865</v>
      </c>
      <c r="D66" s="186" t="s">
        <v>5177</v>
      </c>
    </row>
    <row r="67" spans="3:4" ht="12.75">
      <c r="C67" s="186" t="s">
        <v>634</v>
      </c>
      <c r="D67" s="186" t="s">
        <v>5178</v>
      </c>
    </row>
    <row r="68" spans="3:4" ht="12.75">
      <c r="C68" s="186" t="s">
        <v>639</v>
      </c>
      <c r="D68" s="186" t="s">
        <v>5134</v>
      </c>
    </row>
    <row r="69" spans="3:4" ht="12.75">
      <c r="C69" s="186" t="s">
        <v>631</v>
      </c>
      <c r="D69" s="186" t="s">
        <v>14</v>
      </c>
    </row>
    <row r="70" spans="3:4" ht="12.75">
      <c r="C70" s="186" t="s">
        <v>1184</v>
      </c>
      <c r="D70" s="186" t="s">
        <v>5179</v>
      </c>
    </row>
    <row r="71" spans="3:4" ht="12.75">
      <c r="C71" s="186" t="s">
        <v>5180</v>
      </c>
      <c r="D71" s="186" t="s">
        <v>5181</v>
      </c>
    </row>
    <row r="72" spans="3:4" ht="12.75">
      <c r="C72" s="186" t="s">
        <v>1189</v>
      </c>
      <c r="D72" s="186" t="s">
        <v>5182</v>
      </c>
    </row>
    <row r="73" spans="3:4" ht="12.75">
      <c r="C73" s="186" t="s">
        <v>1202</v>
      </c>
      <c r="D73" s="186" t="s">
        <v>5183</v>
      </c>
    </row>
    <row r="74" spans="3:4" ht="15.75" customHeight="1">
      <c r="C74" s="184" t="s">
        <v>163</v>
      </c>
      <c r="D74" s="184" t="s">
        <v>5184</v>
      </c>
    </row>
    <row r="75" spans="3:4" ht="15.75" customHeight="1">
      <c r="C75" s="186" t="s">
        <v>1498</v>
      </c>
      <c r="D75" s="186" t="s">
        <v>1498</v>
      </c>
    </row>
    <row r="76" spans="3:4" ht="15.75" customHeight="1">
      <c r="C76" s="186" t="s">
        <v>1502</v>
      </c>
      <c r="D76" s="186" t="s">
        <v>5185</v>
      </c>
    </row>
  </sheetData>
  <conditionalFormatting sqref="B1:B27 B29:B1000">
    <cfRule type="expression" dxfId="6" priority="3">
      <formula>COUNTIF(B:B,B1)&gt;1</formula>
    </cfRule>
  </conditionalFormatting>
  <conditionalFormatting sqref="B28">
    <cfRule type="expression" dxfId="5" priority="1">
      <formula>COUNTIF(D:D,B28)&gt;1</formula>
    </cfRule>
  </conditionalFormatting>
  <conditionalFormatting sqref="D1:D17 D19:D28 D30:D31 D33:D34 D37:D50 D52:D1000">
    <cfRule type="expression" dxfId="4" priority="4">
      <formula>COUNTIF(D:D,D1)&gt;1</formula>
    </cfRule>
  </conditionalFormatting>
  <conditionalFormatting sqref="F1:F1000">
    <cfRule type="expression" dxfId="3" priority="5">
      <formula>COUNTIF(F:F,F1)&gt;1</formula>
    </cfRule>
  </conditionalFormatting>
  <conditionalFormatting sqref="F9">
    <cfRule type="expression" dxfId="2" priority="2">
      <formula>COUNTIF(D:D,F9)&gt;1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ummaryRight="0"/>
  </sheetPr>
  <dimension ref="A1:AA1"/>
  <sheetViews>
    <sheetView workbookViewId="0">
      <pane ySplit="1" topLeftCell="A2" activePane="bottomLeft" state="frozen"/>
      <selection pane="bottomLeft" activeCell="B3" sqref="B3"/>
    </sheetView>
  </sheetViews>
  <sheetFormatPr defaultColWidth="14.3984375" defaultRowHeight="15.75" customHeight="1"/>
  <cols>
    <col min="1" max="1" width="14.73046875" customWidth="1"/>
    <col min="2" max="2" width="8.73046875" customWidth="1"/>
    <col min="3" max="3" width="16" customWidth="1"/>
    <col min="4" max="4" width="36.3984375" customWidth="1"/>
    <col min="5" max="5" width="15.86328125" customWidth="1"/>
    <col min="6" max="6" width="10.73046875" customWidth="1"/>
    <col min="7" max="7" width="46" customWidth="1"/>
    <col min="8" max="8" width="46.73046875" customWidth="1"/>
    <col min="9" max="9" width="8.73046875" customWidth="1"/>
    <col min="10" max="10" width="13.73046875" customWidth="1"/>
    <col min="11" max="11" width="19.59765625" customWidth="1"/>
    <col min="12" max="12" width="20.265625" customWidth="1"/>
    <col min="13" max="13" width="13.73046875" customWidth="1"/>
    <col min="14" max="14" width="21.86328125" customWidth="1"/>
    <col min="15" max="15" width="15.1328125" customWidth="1"/>
    <col min="16" max="16" width="21.265625" customWidth="1"/>
    <col min="17" max="17" width="15.265625" customWidth="1"/>
    <col min="18" max="18" width="65.3984375" customWidth="1"/>
    <col min="22" max="22" width="27.1328125" customWidth="1"/>
  </cols>
  <sheetData>
    <row r="1" spans="1:27" ht="24.75" customHeight="1">
      <c r="A1" s="238"/>
      <c r="B1" s="215"/>
      <c r="C1" s="215"/>
      <c r="D1" s="239" t="str">
        <f>HYPERLINK("https://docs.google.com/spreadsheets/d/1zGeY54V42y3h6ga3LEauokEcjIAfHuNXKCYKLfLWtMI/edit?usp=sharing","LINK TO LATEST FGSE BOM")</f>
        <v>LINK TO LATEST FGSE BOM</v>
      </c>
      <c r="E1" s="215"/>
      <c r="F1" s="215"/>
      <c r="G1" s="215"/>
      <c r="H1" s="117"/>
      <c r="I1" s="117"/>
      <c r="J1" s="117"/>
      <c r="K1" s="117"/>
      <c r="L1" s="191"/>
      <c r="M1" s="191"/>
      <c r="N1" s="191"/>
      <c r="O1" s="191"/>
      <c r="P1" s="191"/>
      <c r="Q1" s="191"/>
      <c r="R1" s="117"/>
      <c r="S1" s="117"/>
      <c r="T1" s="117"/>
      <c r="U1" s="117"/>
      <c r="V1" s="117"/>
      <c r="W1" s="117"/>
      <c r="X1" s="117"/>
      <c r="Y1" s="117"/>
      <c r="Z1" s="117"/>
      <c r="AA1" s="117"/>
    </row>
  </sheetData>
  <mergeCells count="2">
    <mergeCell ref="A1:C1"/>
    <mergeCell ref="D1:G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ummaryRight="0"/>
  </sheetPr>
  <dimension ref="A1:Z1001"/>
  <sheetViews>
    <sheetView workbookViewId="0"/>
  </sheetViews>
  <sheetFormatPr defaultColWidth="14.3984375" defaultRowHeight="15.75" customHeight="1"/>
  <cols>
    <col min="2" max="2" width="51.1328125" customWidth="1"/>
    <col min="3" max="3" width="55" customWidth="1"/>
    <col min="4" max="4" width="59" customWidth="1"/>
    <col min="5" max="5" width="20.1328125" customWidth="1"/>
    <col min="6" max="6" width="22.3984375" customWidth="1"/>
    <col min="7" max="7" width="19.3984375" customWidth="1"/>
    <col min="8" max="8" width="18.265625" customWidth="1"/>
    <col min="9" max="9" width="54.86328125" customWidth="1"/>
    <col min="10" max="10" width="45.3984375" customWidth="1"/>
  </cols>
  <sheetData>
    <row r="1" spans="1:26" ht="15.75" customHeight="1">
      <c r="A1" s="189"/>
      <c r="B1" s="189"/>
      <c r="C1" s="189"/>
      <c r="D1" s="189"/>
      <c r="E1" s="189"/>
      <c r="F1" s="189"/>
      <c r="G1" s="189"/>
      <c r="H1" s="189"/>
      <c r="I1" s="120"/>
      <c r="J1" s="189"/>
      <c r="K1" s="189"/>
      <c r="L1" s="189"/>
      <c r="M1" s="189"/>
      <c r="N1" s="189"/>
      <c r="O1" s="189"/>
      <c r="P1" s="189"/>
      <c r="Q1" s="189"/>
      <c r="R1" s="189"/>
      <c r="S1" s="189"/>
      <c r="T1" s="189"/>
      <c r="U1" s="189"/>
      <c r="V1" s="189"/>
      <c r="W1" s="189"/>
      <c r="X1" s="189"/>
      <c r="Y1" s="189"/>
      <c r="Z1" s="189"/>
    </row>
    <row r="2" spans="1:26" ht="15.75" customHeight="1">
      <c r="A2" s="118" t="s">
        <v>5186</v>
      </c>
      <c r="B2" s="189"/>
      <c r="C2" s="189"/>
      <c r="D2" s="189"/>
      <c r="E2" s="189"/>
      <c r="F2" s="189"/>
      <c r="G2" s="189"/>
      <c r="H2" s="189"/>
      <c r="I2" s="120"/>
      <c r="J2" s="189"/>
      <c r="K2" s="189"/>
      <c r="L2" s="189"/>
      <c r="M2" s="189"/>
      <c r="N2" s="189"/>
      <c r="O2" s="189"/>
      <c r="P2" s="189"/>
      <c r="Q2" s="189"/>
      <c r="R2" s="189"/>
      <c r="S2" s="189"/>
      <c r="T2" s="189"/>
      <c r="U2" s="189"/>
      <c r="V2" s="189"/>
      <c r="W2" s="189"/>
      <c r="X2" s="189"/>
      <c r="Y2" s="189"/>
      <c r="Z2" s="189"/>
    </row>
    <row r="3" spans="1:26" ht="15.75" customHeight="1">
      <c r="A3" s="51" t="str">
        <f>HYPERLINK("https://docs.google.com/spreadsheets/d/1gigmIkgTiJKH46B0c-e3jZtzWCvd3-KowWHIdyxMdS8/edit?usp=sharing","LINK TO BOM")</f>
        <v>LINK TO BOM</v>
      </c>
      <c r="B3" s="189"/>
      <c r="C3" s="189"/>
      <c r="D3" s="189"/>
      <c r="E3" s="189"/>
      <c r="F3" s="189"/>
      <c r="G3" s="189"/>
      <c r="H3" s="189"/>
      <c r="I3" s="120"/>
      <c r="J3" s="189"/>
      <c r="K3" s="189"/>
      <c r="L3" s="189"/>
      <c r="M3" s="189"/>
      <c r="N3" s="189"/>
      <c r="O3" s="189"/>
      <c r="P3" s="189"/>
      <c r="Q3" s="189"/>
      <c r="R3" s="189"/>
      <c r="S3" s="189"/>
      <c r="T3" s="189"/>
      <c r="U3" s="189"/>
      <c r="V3" s="189"/>
      <c r="W3" s="189"/>
      <c r="X3" s="189"/>
      <c r="Y3" s="189"/>
      <c r="Z3" s="189"/>
    </row>
    <row r="4" spans="1:26" ht="15.75" customHeight="1">
      <c r="A4" s="116" t="str">
        <f ca="1">IFERROR(__xludf.DUMMYFUNCTION("IMPORTRANGE(""https://docs.google.com/spreadsheets/d/1gigmIkgTiJKH46B0c-e3jZtzWCvd3-KowWHIdyxMdS8/edit#gid=2023158881"",""sheet1!B1:Z1000"")"),"COMPONENT ID")</f>
        <v>COMPONENT ID</v>
      </c>
      <c r="B4" s="174" t="str">
        <f ca="1">IFERROR(__xludf.DUMMYFUNCTION("""COMPUTED_VALUE"""),"TYPE")</f>
        <v>TYPE</v>
      </c>
      <c r="C4" s="174" t="str">
        <f ca="1">IFERROR(__xludf.DUMMYFUNCTION("""COMPUTED_VALUE"""),"FUNCTION / DESCRIPTION")</f>
        <v>FUNCTION / DESCRIPTION</v>
      </c>
      <c r="D4" s="174" t="str">
        <f ca="1">IFERROR(__xludf.DUMMYFUNCTION("""COMPUTED_VALUE"""),"POWER / SUPPLY")</f>
        <v>POWER / SUPPLY</v>
      </c>
      <c r="E4" s="174" t="str">
        <f ca="1">IFERROR(__xludf.DUMMYFUNCTION("""COMPUTED_VALUE"""),"OUTPUT / FEEDBACK ")</f>
        <v xml:space="preserve">OUTPUT / FEEDBACK </v>
      </c>
      <c r="F4" s="174" t="str">
        <f ca="1">IFERROR(__xludf.DUMMYFUNCTION("""COMPUTED_VALUE"""),"INPUT / CONTROL")</f>
        <v>INPUT / CONTROL</v>
      </c>
      <c r="G4" s="174" t="str">
        <f ca="1">IFERROR(__xludf.DUMMYFUNCTION("""COMPUTED_VALUE"""),"PART NUMBER")</f>
        <v>PART NUMBER</v>
      </c>
      <c r="H4" s="119" t="str">
        <f ca="1">IFERROR(__xludf.DUMMYFUNCTION("""COMPUTED_VALUE"""),"BOM #")</f>
        <v>BOM #</v>
      </c>
      <c r="I4" s="175" t="str">
        <f ca="1">IFERROR(__xludf.DUMMYFUNCTION("""COMPUTED_VALUE"""),"ELECTRICAL CONNECTION TYPE")</f>
        <v>ELECTRICAL CONNECTION TYPE</v>
      </c>
      <c r="J4" s="174" t="str">
        <f ca="1">IFERROR(__xludf.DUMMYFUNCTION("""COMPUTED_VALUE"""),"")</f>
        <v/>
      </c>
      <c r="K4" s="174" t="str">
        <f ca="1">IFERROR(__xludf.DUMMYFUNCTION("""COMPUTED_VALUE"""),"")</f>
        <v/>
      </c>
      <c r="L4" s="174" t="str">
        <f ca="1">IFERROR(__xludf.DUMMYFUNCTION("""COMPUTED_VALUE"""),"")</f>
        <v/>
      </c>
      <c r="M4" s="174" t="str">
        <f ca="1">IFERROR(__xludf.DUMMYFUNCTION("""COMPUTED_VALUE"""),"")</f>
        <v/>
      </c>
      <c r="N4" s="174" t="str">
        <f ca="1">IFERROR(__xludf.DUMMYFUNCTION("""COMPUTED_VALUE"""),"")</f>
        <v/>
      </c>
      <c r="O4" s="174" t="str">
        <f ca="1">IFERROR(__xludf.DUMMYFUNCTION("""COMPUTED_VALUE"""),"")</f>
        <v/>
      </c>
      <c r="P4" s="174" t="str">
        <f ca="1">IFERROR(__xludf.DUMMYFUNCTION("""COMPUTED_VALUE"""),"")</f>
        <v/>
      </c>
      <c r="Q4" s="174" t="str">
        <f ca="1">IFERROR(__xludf.DUMMYFUNCTION("""COMPUTED_VALUE"""),"")</f>
        <v/>
      </c>
      <c r="R4" s="174" t="str">
        <f ca="1">IFERROR(__xludf.DUMMYFUNCTION("""COMPUTED_VALUE"""),"")</f>
        <v/>
      </c>
      <c r="S4" s="174" t="str">
        <f ca="1">IFERROR(__xludf.DUMMYFUNCTION("""COMPUTED_VALUE"""),"")</f>
        <v/>
      </c>
      <c r="T4" s="174" t="str">
        <f ca="1">IFERROR(__xludf.DUMMYFUNCTION("""COMPUTED_VALUE"""),"")</f>
        <v/>
      </c>
      <c r="U4" s="174" t="str">
        <f ca="1">IFERROR(__xludf.DUMMYFUNCTION("""COMPUTED_VALUE"""),"")</f>
        <v/>
      </c>
      <c r="V4" s="174" t="str">
        <f ca="1">IFERROR(__xludf.DUMMYFUNCTION("""COMPUTED_VALUE"""),"")</f>
        <v/>
      </c>
      <c r="W4" s="174" t="str">
        <f ca="1">IFERROR(__xludf.DUMMYFUNCTION("""COMPUTED_VALUE"""),"")</f>
        <v/>
      </c>
      <c r="X4" s="174" t="str">
        <f ca="1">IFERROR(__xludf.DUMMYFUNCTION("""COMPUTED_VALUE"""),"")</f>
        <v/>
      </c>
      <c r="Y4" s="174" t="str">
        <f ca="1">IFERROR(__xludf.DUMMYFUNCTION("""COMPUTED_VALUE"""),"")</f>
        <v/>
      </c>
      <c r="Z4" s="174"/>
    </row>
    <row r="5" spans="1:26" ht="15.75" customHeight="1">
      <c r="A5" s="189" t="str">
        <f ca="1">IFERROR(__xludf.DUMMYFUNCTION("""COMPUTED_VALUE"""),"Test")</f>
        <v>Test</v>
      </c>
      <c r="B5" s="189" t="str">
        <f ca="1">IFERROR(__xludf.DUMMYFUNCTION("""COMPUTED_VALUE"""),"HPU")</f>
        <v>HPU</v>
      </c>
      <c r="C5" s="189" t="str">
        <f ca="1">IFERROR(__xludf.DUMMYFUNCTION("""COMPUTED_VALUE"""),"")</f>
        <v/>
      </c>
      <c r="D5" s="189" t="str">
        <f ca="1">IFERROR(__xludf.DUMMYFUNCTION("""COMPUTED_VALUE"""),"")</f>
        <v/>
      </c>
      <c r="E5" s="189" t="str">
        <f ca="1">IFERROR(__xludf.DUMMYFUNCTION("""COMPUTED_VALUE"""),"")</f>
        <v/>
      </c>
      <c r="F5" s="189" t="str">
        <f ca="1">IFERROR(__xludf.DUMMYFUNCTION("""COMPUTED_VALUE"""),"")</f>
        <v/>
      </c>
      <c r="G5" s="189" t="str">
        <f ca="1">IFERROR(__xludf.DUMMYFUNCTION("""COMPUTED_VALUE"""),"")</f>
        <v/>
      </c>
      <c r="H5" s="189" t="str">
        <f ca="1">IFERROR(__xludf.DUMMYFUNCTION("""COMPUTED_VALUE"""),"")</f>
        <v/>
      </c>
      <c r="I5" s="120" t="str">
        <f ca="1">IFERROR(__xludf.DUMMYFUNCTION("""COMPUTED_VALUE"""),"")</f>
        <v/>
      </c>
      <c r="J5" s="189" t="str">
        <f ca="1">IFERROR(__xludf.DUMMYFUNCTION("""COMPUTED_VALUE"""),"")</f>
        <v/>
      </c>
      <c r="K5" s="189" t="str">
        <f ca="1">IFERROR(__xludf.DUMMYFUNCTION("""COMPUTED_VALUE"""),"")</f>
        <v/>
      </c>
      <c r="L5" s="189" t="str">
        <f ca="1">IFERROR(__xludf.DUMMYFUNCTION("""COMPUTED_VALUE"""),"")</f>
        <v/>
      </c>
      <c r="M5" s="189" t="str">
        <f ca="1">IFERROR(__xludf.DUMMYFUNCTION("""COMPUTED_VALUE"""),"")</f>
        <v/>
      </c>
      <c r="N5" s="189" t="str">
        <f ca="1">IFERROR(__xludf.DUMMYFUNCTION("""COMPUTED_VALUE"""),"")</f>
        <v/>
      </c>
      <c r="O5" s="189" t="str">
        <f ca="1">IFERROR(__xludf.DUMMYFUNCTION("""COMPUTED_VALUE"""),"")</f>
        <v/>
      </c>
      <c r="P5" s="189" t="str">
        <f ca="1">IFERROR(__xludf.DUMMYFUNCTION("""COMPUTED_VALUE"""),"")</f>
        <v/>
      </c>
      <c r="Q5" s="189" t="str">
        <f ca="1">IFERROR(__xludf.DUMMYFUNCTION("""COMPUTED_VALUE"""),"")</f>
        <v/>
      </c>
      <c r="R5" s="189" t="str">
        <f ca="1">IFERROR(__xludf.DUMMYFUNCTION("""COMPUTED_VALUE"""),"")</f>
        <v/>
      </c>
      <c r="S5" s="189" t="str">
        <f ca="1">IFERROR(__xludf.DUMMYFUNCTION("""COMPUTED_VALUE"""),"")</f>
        <v/>
      </c>
      <c r="T5" s="189" t="str">
        <f ca="1">IFERROR(__xludf.DUMMYFUNCTION("""COMPUTED_VALUE"""),"")</f>
        <v/>
      </c>
      <c r="U5" s="189" t="str">
        <f ca="1">IFERROR(__xludf.DUMMYFUNCTION("""COMPUTED_VALUE"""),"")</f>
        <v/>
      </c>
      <c r="V5" s="189" t="str">
        <f ca="1">IFERROR(__xludf.DUMMYFUNCTION("""COMPUTED_VALUE"""),"")</f>
        <v/>
      </c>
      <c r="W5" s="189" t="str">
        <f ca="1">IFERROR(__xludf.DUMMYFUNCTION("""COMPUTED_VALUE"""),"")</f>
        <v/>
      </c>
      <c r="X5" s="189" t="str">
        <f ca="1">IFERROR(__xludf.DUMMYFUNCTION("""COMPUTED_VALUE"""),"")</f>
        <v/>
      </c>
      <c r="Y5" s="189" t="str">
        <f ca="1">IFERROR(__xludf.DUMMYFUNCTION("""COMPUTED_VALUE"""),"")</f>
        <v/>
      </c>
      <c r="Z5" s="189"/>
    </row>
    <row r="6" spans="1:26" ht="15.75" customHeight="1">
      <c r="A6" s="189" t="str">
        <f ca="1">IFERROR(__xludf.DUMMYFUNCTION("""COMPUTED_VALUE"""),"M1")</f>
        <v>M1</v>
      </c>
      <c r="B6" s="189" t="str">
        <f ca="1">IFERROR(__xludf.DUMMYFUNCTION("""COMPUTED_VALUE"""),"ELECTRIC MOTOR")</f>
        <v>ELECTRIC MOTOR</v>
      </c>
      <c r="C6" s="189" t="str">
        <f ca="1">IFERROR(__xludf.DUMMYFUNCTION("""COMPUTED_VALUE"""),"TILT CIRCUIT ELECTRIC MOTOR (15KW)")</f>
        <v>TILT CIRCUIT ELECTRIC MOTOR (15KW)</v>
      </c>
      <c r="D6" s="189" t="str">
        <f ca="1">IFERROR(__xludf.DUMMYFUNCTION("""COMPUTED_VALUE"""),"")</f>
        <v/>
      </c>
      <c r="E6" s="189" t="str">
        <f ca="1">IFERROR(__xludf.DUMMYFUNCTION("""COMPUTED_VALUE"""),"")</f>
        <v/>
      </c>
      <c r="F6" s="189" t="str">
        <f ca="1">IFERROR(__xludf.DUMMYFUNCTION("""COMPUTED_VALUE"""),"")</f>
        <v/>
      </c>
      <c r="G6" s="189" t="str">
        <f ca="1">IFERROR(__xludf.DUMMYFUNCTION("""COMPUTED_VALUE"""),"")</f>
        <v/>
      </c>
      <c r="H6" s="189">
        <f ca="1">IFERROR(__xludf.DUMMYFUNCTION("""COMPUTED_VALUE"""),2)</f>
        <v>2</v>
      </c>
      <c r="I6" s="120" t="str">
        <f ca="1">IFERROR(__xludf.DUMMYFUNCTION("""COMPUTED_VALUE"""),"WIRING TO TERMINAL BOX")</f>
        <v>WIRING TO TERMINAL BOX</v>
      </c>
      <c r="J6" s="189" t="str">
        <f ca="1">IFERROR(__xludf.DUMMYFUNCTION("""COMPUTED_VALUE"""),"")</f>
        <v/>
      </c>
      <c r="K6" s="189" t="str">
        <f ca="1">IFERROR(__xludf.DUMMYFUNCTION("""COMPUTED_VALUE"""),"")</f>
        <v/>
      </c>
      <c r="L6" s="189" t="str">
        <f ca="1">IFERROR(__xludf.DUMMYFUNCTION("""COMPUTED_VALUE"""),"")</f>
        <v/>
      </c>
      <c r="M6" s="189" t="str">
        <f ca="1">IFERROR(__xludf.DUMMYFUNCTION("""COMPUTED_VALUE"""),"")</f>
        <v/>
      </c>
      <c r="N6" s="189" t="str">
        <f ca="1">IFERROR(__xludf.DUMMYFUNCTION("""COMPUTED_VALUE"""),"")</f>
        <v/>
      </c>
      <c r="O6" s="189" t="str">
        <f ca="1">IFERROR(__xludf.DUMMYFUNCTION("""COMPUTED_VALUE"""),"")</f>
        <v/>
      </c>
      <c r="P6" s="189" t="str">
        <f ca="1">IFERROR(__xludf.DUMMYFUNCTION("""COMPUTED_VALUE"""),"")</f>
        <v/>
      </c>
      <c r="Q6" s="189" t="str">
        <f ca="1">IFERROR(__xludf.DUMMYFUNCTION("""COMPUTED_VALUE"""),"")</f>
        <v/>
      </c>
      <c r="R6" s="189" t="str">
        <f ca="1">IFERROR(__xludf.DUMMYFUNCTION("""COMPUTED_VALUE"""),"")</f>
        <v/>
      </c>
      <c r="S6" s="189" t="str">
        <f ca="1">IFERROR(__xludf.DUMMYFUNCTION("""COMPUTED_VALUE"""),"")</f>
        <v/>
      </c>
      <c r="T6" s="189" t="str">
        <f ca="1">IFERROR(__xludf.DUMMYFUNCTION("""COMPUTED_VALUE"""),"")</f>
        <v/>
      </c>
      <c r="U6" s="189" t="str">
        <f ca="1">IFERROR(__xludf.DUMMYFUNCTION("""COMPUTED_VALUE"""),"")</f>
        <v/>
      </c>
      <c r="V6" s="189" t="str">
        <f ca="1">IFERROR(__xludf.DUMMYFUNCTION("""COMPUTED_VALUE"""),"")</f>
        <v/>
      </c>
      <c r="W6" s="189" t="str">
        <f ca="1">IFERROR(__xludf.DUMMYFUNCTION("""COMPUTED_VALUE"""),"")</f>
        <v/>
      </c>
      <c r="X6" s="189" t="str">
        <f ca="1">IFERROR(__xludf.DUMMYFUNCTION("""COMPUTED_VALUE"""),"")</f>
        <v/>
      </c>
      <c r="Y6" s="189" t="str">
        <f ca="1">IFERROR(__xludf.DUMMYFUNCTION("""COMPUTED_VALUE"""),"")</f>
        <v/>
      </c>
      <c r="Z6" s="189"/>
    </row>
    <row r="7" spans="1:26" ht="15.75" customHeight="1">
      <c r="A7" s="189" t="str">
        <f ca="1">IFERROR(__xludf.DUMMYFUNCTION("""COMPUTED_VALUE"""),"M2")</f>
        <v>M2</v>
      </c>
      <c r="B7" s="189" t="str">
        <f ca="1">IFERROR(__xludf.DUMMYFUNCTION("""COMPUTED_VALUE"""),"ELECTRIC MOTOR")</f>
        <v>ELECTRIC MOTOR</v>
      </c>
      <c r="C7" s="189" t="str">
        <f ca="1">IFERROR(__xludf.DUMMYFUNCTION("""COMPUTED_VALUE"""),"HOLD DOWN CIRCUIT ELECTRIC MOTOR (15KW)")</f>
        <v>HOLD DOWN CIRCUIT ELECTRIC MOTOR (15KW)</v>
      </c>
      <c r="D7" s="189" t="str">
        <f ca="1">IFERROR(__xludf.DUMMYFUNCTION("""COMPUTED_VALUE"""),"")</f>
        <v/>
      </c>
      <c r="E7" s="189" t="str">
        <f ca="1">IFERROR(__xludf.DUMMYFUNCTION("""COMPUTED_VALUE"""),"")</f>
        <v/>
      </c>
      <c r="F7" s="189" t="str">
        <f ca="1">IFERROR(__xludf.DUMMYFUNCTION("""COMPUTED_VALUE"""),"")</f>
        <v/>
      </c>
      <c r="G7" s="189" t="str">
        <f ca="1">IFERROR(__xludf.DUMMYFUNCTION("""COMPUTED_VALUE"""),"")</f>
        <v/>
      </c>
      <c r="H7" s="189">
        <f ca="1">IFERROR(__xludf.DUMMYFUNCTION("""COMPUTED_VALUE"""),2)</f>
        <v>2</v>
      </c>
      <c r="I7" s="120" t="str">
        <f ca="1">IFERROR(__xludf.DUMMYFUNCTION("""COMPUTED_VALUE"""),"WIRING TO TERMINAL BOX")</f>
        <v>WIRING TO TERMINAL BOX</v>
      </c>
      <c r="J7" s="189" t="str">
        <f ca="1">IFERROR(__xludf.DUMMYFUNCTION("""COMPUTED_VALUE"""),"")</f>
        <v/>
      </c>
      <c r="K7" s="189" t="str">
        <f ca="1">IFERROR(__xludf.DUMMYFUNCTION("""COMPUTED_VALUE"""),"")</f>
        <v/>
      </c>
      <c r="L7" s="189" t="str">
        <f ca="1">IFERROR(__xludf.DUMMYFUNCTION("""COMPUTED_VALUE"""),"")</f>
        <v/>
      </c>
      <c r="M7" s="189" t="str">
        <f ca="1">IFERROR(__xludf.DUMMYFUNCTION("""COMPUTED_VALUE"""),"")</f>
        <v/>
      </c>
      <c r="N7" s="189" t="str">
        <f ca="1">IFERROR(__xludf.DUMMYFUNCTION("""COMPUTED_VALUE"""),"")</f>
        <v/>
      </c>
      <c r="O7" s="189" t="str">
        <f ca="1">IFERROR(__xludf.DUMMYFUNCTION("""COMPUTED_VALUE"""),"")</f>
        <v/>
      </c>
      <c r="P7" s="189" t="str">
        <f ca="1">IFERROR(__xludf.DUMMYFUNCTION("""COMPUTED_VALUE"""),"")</f>
        <v/>
      </c>
      <c r="Q7" s="189" t="str">
        <f ca="1">IFERROR(__xludf.DUMMYFUNCTION("""COMPUTED_VALUE"""),"")</f>
        <v/>
      </c>
      <c r="R7" s="189" t="str">
        <f ca="1">IFERROR(__xludf.DUMMYFUNCTION("""COMPUTED_VALUE"""),"")</f>
        <v/>
      </c>
      <c r="S7" s="189" t="str">
        <f ca="1">IFERROR(__xludf.DUMMYFUNCTION("""COMPUTED_VALUE"""),"")</f>
        <v/>
      </c>
      <c r="T7" s="189" t="str">
        <f ca="1">IFERROR(__xludf.DUMMYFUNCTION("""COMPUTED_VALUE"""),"")</f>
        <v/>
      </c>
      <c r="U7" s="189" t="str">
        <f ca="1">IFERROR(__xludf.DUMMYFUNCTION("""COMPUTED_VALUE"""),"")</f>
        <v/>
      </c>
      <c r="V7" s="189" t="str">
        <f ca="1">IFERROR(__xludf.DUMMYFUNCTION("""COMPUTED_VALUE"""),"")</f>
        <v/>
      </c>
      <c r="W7" s="189" t="str">
        <f ca="1">IFERROR(__xludf.DUMMYFUNCTION("""COMPUTED_VALUE"""),"")</f>
        <v/>
      </c>
      <c r="X7" s="189" t="str">
        <f ca="1">IFERROR(__xludf.DUMMYFUNCTION("""COMPUTED_VALUE"""),"")</f>
        <v/>
      </c>
      <c r="Y7" s="189" t="str">
        <f ca="1">IFERROR(__xludf.DUMMYFUNCTION("""COMPUTED_VALUE"""),"")</f>
        <v/>
      </c>
      <c r="Z7" s="189"/>
    </row>
    <row r="8" spans="1:26" ht="15.75" customHeight="1">
      <c r="A8" s="189" t="str">
        <f ca="1">IFERROR(__xludf.DUMMYFUNCTION("""COMPUTED_VALUE"""),"M3")</f>
        <v>M3</v>
      </c>
      <c r="B8" s="189" t="str">
        <f ca="1">IFERROR(__xludf.DUMMYFUNCTION("""COMPUTED_VALUE"""),"ELECTRIC MOTOR")</f>
        <v>ELECTRIC MOTOR</v>
      </c>
      <c r="C8" s="189" t="str">
        <f ca="1">IFERROR(__xludf.DUMMYFUNCTION("""COMPUTED_VALUE"""),"OIL CIRCULATION ELECTRIC MOTOR (1.1KW)")</f>
        <v>OIL CIRCULATION ELECTRIC MOTOR (1.1KW)</v>
      </c>
      <c r="D8" s="189" t="str">
        <f ca="1">IFERROR(__xludf.DUMMYFUNCTION("""COMPUTED_VALUE"""),"")</f>
        <v/>
      </c>
      <c r="E8" s="189" t="str">
        <f ca="1">IFERROR(__xludf.DUMMYFUNCTION("""COMPUTED_VALUE"""),"")</f>
        <v/>
      </c>
      <c r="F8" s="189" t="str">
        <f ca="1">IFERROR(__xludf.DUMMYFUNCTION("""COMPUTED_VALUE"""),"")</f>
        <v/>
      </c>
      <c r="G8" s="189" t="str">
        <f ca="1">IFERROR(__xludf.DUMMYFUNCTION("""COMPUTED_VALUE"""),"")</f>
        <v/>
      </c>
      <c r="H8" s="189" t="str">
        <f ca="1">IFERROR(__xludf.DUMMYFUNCTION("""COMPUTED_VALUE"""),"")</f>
        <v/>
      </c>
      <c r="I8" s="120" t="str">
        <f ca="1">IFERROR(__xludf.DUMMYFUNCTION("""COMPUTED_VALUE"""),"WIRING TO TERMINAL BOX")</f>
        <v>WIRING TO TERMINAL BOX</v>
      </c>
      <c r="J8" s="189" t="str">
        <f ca="1">IFERROR(__xludf.DUMMYFUNCTION("""COMPUTED_VALUE"""),"")</f>
        <v/>
      </c>
      <c r="K8" s="189" t="str">
        <f ca="1">IFERROR(__xludf.DUMMYFUNCTION("""COMPUTED_VALUE"""),"")</f>
        <v/>
      </c>
      <c r="L8" s="189" t="str">
        <f ca="1">IFERROR(__xludf.DUMMYFUNCTION("""COMPUTED_VALUE"""),"")</f>
        <v/>
      </c>
      <c r="M8" s="189" t="str">
        <f ca="1">IFERROR(__xludf.DUMMYFUNCTION("""COMPUTED_VALUE"""),"")</f>
        <v/>
      </c>
      <c r="N8" s="189" t="str">
        <f ca="1">IFERROR(__xludf.DUMMYFUNCTION("""COMPUTED_VALUE"""),"")</f>
        <v/>
      </c>
      <c r="O8" s="189" t="str">
        <f ca="1">IFERROR(__xludf.DUMMYFUNCTION("""COMPUTED_VALUE"""),"")</f>
        <v/>
      </c>
      <c r="P8" s="189" t="str">
        <f ca="1">IFERROR(__xludf.DUMMYFUNCTION("""COMPUTED_VALUE"""),"")</f>
        <v/>
      </c>
      <c r="Q8" s="189" t="str">
        <f ca="1">IFERROR(__xludf.DUMMYFUNCTION("""COMPUTED_VALUE"""),"")</f>
        <v/>
      </c>
      <c r="R8" s="189" t="str">
        <f ca="1">IFERROR(__xludf.DUMMYFUNCTION("""COMPUTED_VALUE"""),"")</f>
        <v/>
      </c>
      <c r="S8" s="189" t="str">
        <f ca="1">IFERROR(__xludf.DUMMYFUNCTION("""COMPUTED_VALUE"""),"")</f>
        <v/>
      </c>
      <c r="T8" s="189" t="str">
        <f ca="1">IFERROR(__xludf.DUMMYFUNCTION("""COMPUTED_VALUE"""),"")</f>
        <v/>
      </c>
      <c r="U8" s="189" t="str">
        <f ca="1">IFERROR(__xludf.DUMMYFUNCTION("""COMPUTED_VALUE"""),"")</f>
        <v/>
      </c>
      <c r="V8" s="189" t="str">
        <f ca="1">IFERROR(__xludf.DUMMYFUNCTION("""COMPUTED_VALUE"""),"")</f>
        <v/>
      </c>
      <c r="W8" s="189" t="str">
        <f ca="1">IFERROR(__xludf.DUMMYFUNCTION("""COMPUTED_VALUE"""),"")</f>
        <v/>
      </c>
      <c r="X8" s="189" t="str">
        <f ca="1">IFERROR(__xludf.DUMMYFUNCTION("""COMPUTED_VALUE"""),"")</f>
        <v/>
      </c>
      <c r="Y8" s="189" t="str">
        <f ca="1">IFERROR(__xludf.DUMMYFUNCTION("""COMPUTED_VALUE"""),"")</f>
        <v/>
      </c>
      <c r="Z8" s="189"/>
    </row>
    <row r="9" spans="1:26" ht="15.75" customHeight="1">
      <c r="A9" s="189" t="str">
        <f ca="1">IFERROR(__xludf.DUMMYFUNCTION("""COMPUTED_VALUE"""),"PT-1")</f>
        <v>PT-1</v>
      </c>
      <c r="B9" s="189" t="str">
        <f ca="1">IFERROR(__xludf.DUMMYFUNCTION("""COMPUTED_VALUE"""),"PRESSURE TRANSDUCER (0-400 BAR)")</f>
        <v>PRESSURE TRANSDUCER (0-400 BAR)</v>
      </c>
      <c r="C9" s="189" t="str">
        <f ca="1">IFERROR(__xludf.DUMMYFUNCTION("""COMPUTED_VALUE"""),"HPU PRESSURE SENSOR FOR TILT CIRCUIT SUPPLY")</f>
        <v>HPU PRESSURE SENSOR FOR TILT CIRCUIT SUPPLY</v>
      </c>
      <c r="D9" s="189" t="str">
        <f ca="1">IFERROR(__xludf.DUMMYFUNCTION("""COMPUTED_VALUE"""),"24VDC")</f>
        <v>24VDC</v>
      </c>
      <c r="E9" s="189" t="str">
        <f ca="1">IFERROR(__xludf.DUMMYFUNCTION("""COMPUTED_VALUE"""),"4..20mA")</f>
        <v>4..20mA</v>
      </c>
      <c r="F9" s="189" t="str">
        <f ca="1">IFERROR(__xludf.DUMMYFUNCTION("""COMPUTED_VALUE"""),"NA")</f>
        <v>NA</v>
      </c>
      <c r="G9" s="189" t="str">
        <f ca="1">IFERROR(__xludf.DUMMYFUNCTION("""COMPUTED_VALUE"""),"PT5400")</f>
        <v>PT5400</v>
      </c>
      <c r="H9" s="189">
        <f ca="1">IFERROR(__xludf.DUMMYFUNCTION("""COMPUTED_VALUE"""),24)</f>
        <v>24</v>
      </c>
      <c r="I9" s="120" t="str">
        <f ca="1">IFERROR(__xludf.DUMMYFUNCTION("""COMPUTED_VALUE"""),"M12")</f>
        <v>M12</v>
      </c>
      <c r="J9" s="189" t="str">
        <f ca="1">IFERROR(__xludf.DUMMYFUNCTION("""COMPUTED_VALUE"""),"")</f>
        <v/>
      </c>
      <c r="K9" s="189" t="str">
        <f ca="1">IFERROR(__xludf.DUMMYFUNCTION("""COMPUTED_VALUE"""),"")</f>
        <v/>
      </c>
      <c r="L9" s="189" t="str">
        <f ca="1">IFERROR(__xludf.DUMMYFUNCTION("""COMPUTED_VALUE"""),"")</f>
        <v/>
      </c>
      <c r="M9" s="189" t="str">
        <f ca="1">IFERROR(__xludf.DUMMYFUNCTION("""COMPUTED_VALUE"""),"")</f>
        <v/>
      </c>
      <c r="N9" s="189" t="str">
        <f ca="1">IFERROR(__xludf.DUMMYFUNCTION("""COMPUTED_VALUE"""),"")</f>
        <v/>
      </c>
      <c r="O9" s="189" t="str">
        <f ca="1">IFERROR(__xludf.DUMMYFUNCTION("""COMPUTED_VALUE"""),"")</f>
        <v/>
      </c>
      <c r="P9" s="189" t="str">
        <f ca="1">IFERROR(__xludf.DUMMYFUNCTION("""COMPUTED_VALUE"""),"")</f>
        <v/>
      </c>
      <c r="Q9" s="189" t="str">
        <f ca="1">IFERROR(__xludf.DUMMYFUNCTION("""COMPUTED_VALUE"""),"")</f>
        <v/>
      </c>
      <c r="R9" s="189" t="str">
        <f ca="1">IFERROR(__xludf.DUMMYFUNCTION("""COMPUTED_VALUE"""),"")</f>
        <v/>
      </c>
      <c r="S9" s="189" t="str">
        <f ca="1">IFERROR(__xludf.DUMMYFUNCTION("""COMPUTED_VALUE"""),"")</f>
        <v/>
      </c>
      <c r="T9" s="189" t="str">
        <f ca="1">IFERROR(__xludf.DUMMYFUNCTION("""COMPUTED_VALUE"""),"")</f>
        <v/>
      </c>
      <c r="U9" s="189" t="str">
        <f ca="1">IFERROR(__xludf.DUMMYFUNCTION("""COMPUTED_VALUE"""),"")</f>
        <v/>
      </c>
      <c r="V9" s="189" t="str">
        <f ca="1">IFERROR(__xludf.DUMMYFUNCTION("""COMPUTED_VALUE"""),"")</f>
        <v/>
      </c>
      <c r="W9" s="189" t="str">
        <f ca="1">IFERROR(__xludf.DUMMYFUNCTION("""COMPUTED_VALUE"""),"")</f>
        <v/>
      </c>
      <c r="X9" s="189" t="str">
        <f ca="1">IFERROR(__xludf.DUMMYFUNCTION("""COMPUTED_VALUE"""),"")</f>
        <v/>
      </c>
      <c r="Y9" s="189" t="str">
        <f ca="1">IFERROR(__xludf.DUMMYFUNCTION("""COMPUTED_VALUE"""),"")</f>
        <v/>
      </c>
      <c r="Z9" s="189"/>
    </row>
    <row r="10" spans="1:26" ht="15.75" customHeight="1">
      <c r="A10" s="189" t="str">
        <f ca="1">IFERROR(__xludf.DUMMYFUNCTION("""COMPUTED_VALUE"""),"PT-2")</f>
        <v>PT-2</v>
      </c>
      <c r="B10" s="189" t="str">
        <f ca="1">IFERROR(__xludf.DUMMYFUNCTION("""COMPUTED_VALUE"""),"PRESSURE TRANSDUCER (0-400 BAR)")</f>
        <v>PRESSURE TRANSDUCER (0-400 BAR)</v>
      </c>
      <c r="C10" s="189" t="str">
        <f ca="1">IFERROR(__xludf.DUMMYFUNCTION("""COMPUTED_VALUE"""),"HPU PRESSURE SENSOR FOR HD CIRCUIT SUPPLY ")</f>
        <v xml:space="preserve">HPU PRESSURE SENSOR FOR HD CIRCUIT SUPPLY </v>
      </c>
      <c r="D10" s="189" t="str">
        <f ca="1">IFERROR(__xludf.DUMMYFUNCTION("""COMPUTED_VALUE"""),"24VDC")</f>
        <v>24VDC</v>
      </c>
      <c r="E10" s="189" t="str">
        <f ca="1">IFERROR(__xludf.DUMMYFUNCTION("""COMPUTED_VALUE"""),"4..20mA")</f>
        <v>4..20mA</v>
      </c>
      <c r="F10" s="189" t="str">
        <f ca="1">IFERROR(__xludf.DUMMYFUNCTION("""COMPUTED_VALUE"""),"NA")</f>
        <v>NA</v>
      </c>
      <c r="G10" s="189" t="str">
        <f ca="1">IFERROR(__xludf.DUMMYFUNCTION("""COMPUTED_VALUE"""),"PT5400")</f>
        <v>PT5400</v>
      </c>
      <c r="H10" s="189">
        <f ca="1">IFERROR(__xludf.DUMMYFUNCTION("""COMPUTED_VALUE"""),24)</f>
        <v>24</v>
      </c>
      <c r="I10" s="120" t="str">
        <f ca="1">IFERROR(__xludf.DUMMYFUNCTION("""COMPUTED_VALUE"""),"M12")</f>
        <v>M12</v>
      </c>
      <c r="J10" s="189" t="str">
        <f ca="1">IFERROR(__xludf.DUMMYFUNCTION("""COMPUTED_VALUE"""),"")</f>
        <v/>
      </c>
      <c r="K10" s="189" t="str">
        <f ca="1">IFERROR(__xludf.DUMMYFUNCTION("""COMPUTED_VALUE"""),"")</f>
        <v/>
      </c>
      <c r="L10" s="189" t="str">
        <f ca="1">IFERROR(__xludf.DUMMYFUNCTION("""COMPUTED_VALUE"""),"")</f>
        <v/>
      </c>
      <c r="M10" s="189" t="str">
        <f ca="1">IFERROR(__xludf.DUMMYFUNCTION("""COMPUTED_VALUE"""),"")</f>
        <v/>
      </c>
      <c r="N10" s="189" t="str">
        <f ca="1">IFERROR(__xludf.DUMMYFUNCTION("""COMPUTED_VALUE"""),"")</f>
        <v/>
      </c>
      <c r="O10" s="189" t="str">
        <f ca="1">IFERROR(__xludf.DUMMYFUNCTION("""COMPUTED_VALUE"""),"")</f>
        <v/>
      </c>
      <c r="P10" s="189" t="str">
        <f ca="1">IFERROR(__xludf.DUMMYFUNCTION("""COMPUTED_VALUE"""),"")</f>
        <v/>
      </c>
      <c r="Q10" s="189" t="str">
        <f ca="1">IFERROR(__xludf.DUMMYFUNCTION("""COMPUTED_VALUE"""),"")</f>
        <v/>
      </c>
      <c r="R10" s="189" t="str">
        <f ca="1">IFERROR(__xludf.DUMMYFUNCTION("""COMPUTED_VALUE"""),"")</f>
        <v/>
      </c>
      <c r="S10" s="189" t="str">
        <f ca="1">IFERROR(__xludf.DUMMYFUNCTION("""COMPUTED_VALUE"""),"")</f>
        <v/>
      </c>
      <c r="T10" s="189" t="str">
        <f ca="1">IFERROR(__xludf.DUMMYFUNCTION("""COMPUTED_VALUE"""),"")</f>
        <v/>
      </c>
      <c r="U10" s="189" t="str">
        <f ca="1">IFERROR(__xludf.DUMMYFUNCTION("""COMPUTED_VALUE"""),"")</f>
        <v/>
      </c>
      <c r="V10" s="189" t="str">
        <f ca="1">IFERROR(__xludf.DUMMYFUNCTION("""COMPUTED_VALUE"""),"")</f>
        <v/>
      </c>
      <c r="W10" s="189" t="str">
        <f ca="1">IFERROR(__xludf.DUMMYFUNCTION("""COMPUTED_VALUE"""),"")</f>
        <v/>
      </c>
      <c r="X10" s="189" t="str">
        <f ca="1">IFERROR(__xludf.DUMMYFUNCTION("""COMPUTED_VALUE"""),"")</f>
        <v/>
      </c>
      <c r="Y10" s="189" t="str">
        <f ca="1">IFERROR(__xludf.DUMMYFUNCTION("""COMPUTED_VALUE"""),"")</f>
        <v/>
      </c>
      <c r="Z10" s="189"/>
    </row>
    <row r="11" spans="1:26" ht="15.75" customHeight="1">
      <c r="A11" s="189" t="str">
        <f ca="1">IFERROR(__xludf.DUMMYFUNCTION("""COMPUTED_VALUE"""),"S1")</f>
        <v>S1</v>
      </c>
      <c r="B11" s="189" t="str">
        <f ca="1">IFERROR(__xludf.DUMMYFUNCTION("""COMPUTED_VALUE"""),"ON/OFF SOLENOID VALVE")</f>
        <v>ON/OFF SOLENOID VALVE</v>
      </c>
      <c r="C11" s="189" t="str">
        <f ca="1">IFERROR(__xludf.DUMMYFUNCTION("""COMPUTED_VALUE"""),"ISOLATION VALVE FOR TILT CIRCUIT PUMP FAILURE")</f>
        <v>ISOLATION VALVE FOR TILT CIRCUIT PUMP FAILURE</v>
      </c>
      <c r="D11" s="189" t="str">
        <f ca="1">IFERROR(__xludf.DUMMYFUNCTION("""COMPUTED_VALUE"""),"24VDC 20W")</f>
        <v>24VDC 20W</v>
      </c>
      <c r="E11" s="189" t="str">
        <f ca="1">IFERROR(__xludf.DUMMYFUNCTION("""COMPUTED_VALUE"""),"NA")</f>
        <v>NA</v>
      </c>
      <c r="F11" s="189" t="str">
        <f ca="1">IFERROR(__xludf.DUMMYFUNCTION("""COMPUTED_VALUE"""),"NA")</f>
        <v>NA</v>
      </c>
      <c r="G11" s="189" t="str">
        <f ca="1">IFERROR(__xludf.DUMMYFUNCTION("""COMPUTED_VALUE"""),"HSV10-23-0-U-0")</f>
        <v>HSV10-23-0-U-0</v>
      </c>
      <c r="H11" s="189">
        <f ca="1">IFERROR(__xludf.DUMMYFUNCTION("""COMPUTED_VALUE"""),20)</f>
        <v>20</v>
      </c>
      <c r="I11" s="120" t="str">
        <f ca="1">IFERROR(__xludf.DUMMYFUNCTION("""COMPUTED_VALUE"""),"DEUTSCH DTO4-2P (CONNECTOR INCLUDED)")</f>
        <v>DEUTSCH DTO4-2P (CONNECTOR INCLUDED)</v>
      </c>
      <c r="J11" s="189" t="str">
        <f ca="1">IFERROR(__xludf.DUMMYFUNCTION("""COMPUTED_VALUE"""),"")</f>
        <v/>
      </c>
      <c r="K11" s="189" t="str">
        <f ca="1">IFERROR(__xludf.DUMMYFUNCTION("""COMPUTED_VALUE"""),"")</f>
        <v/>
      </c>
      <c r="L11" s="189" t="str">
        <f ca="1">IFERROR(__xludf.DUMMYFUNCTION("""COMPUTED_VALUE"""),"")</f>
        <v/>
      </c>
      <c r="M11" s="189" t="str">
        <f ca="1">IFERROR(__xludf.DUMMYFUNCTION("""COMPUTED_VALUE"""),"")</f>
        <v/>
      </c>
      <c r="N11" s="189" t="str">
        <f ca="1">IFERROR(__xludf.DUMMYFUNCTION("""COMPUTED_VALUE"""),"")</f>
        <v/>
      </c>
      <c r="O11" s="189" t="str">
        <f ca="1">IFERROR(__xludf.DUMMYFUNCTION("""COMPUTED_VALUE"""),"")</f>
        <v/>
      </c>
      <c r="P11" s="189" t="str">
        <f ca="1">IFERROR(__xludf.DUMMYFUNCTION("""COMPUTED_VALUE"""),"")</f>
        <v/>
      </c>
      <c r="Q11" s="189" t="str">
        <f ca="1">IFERROR(__xludf.DUMMYFUNCTION("""COMPUTED_VALUE"""),"")</f>
        <v/>
      </c>
      <c r="R11" s="189" t="str">
        <f ca="1">IFERROR(__xludf.DUMMYFUNCTION("""COMPUTED_VALUE"""),"")</f>
        <v/>
      </c>
      <c r="S11" s="189" t="str">
        <f ca="1">IFERROR(__xludf.DUMMYFUNCTION("""COMPUTED_VALUE"""),"")</f>
        <v/>
      </c>
      <c r="T11" s="189" t="str">
        <f ca="1">IFERROR(__xludf.DUMMYFUNCTION("""COMPUTED_VALUE"""),"")</f>
        <v/>
      </c>
      <c r="U11" s="189" t="str">
        <f ca="1">IFERROR(__xludf.DUMMYFUNCTION("""COMPUTED_VALUE"""),"")</f>
        <v/>
      </c>
      <c r="V11" s="189" t="str">
        <f ca="1">IFERROR(__xludf.DUMMYFUNCTION("""COMPUTED_VALUE"""),"")</f>
        <v/>
      </c>
      <c r="W11" s="189" t="str">
        <f ca="1">IFERROR(__xludf.DUMMYFUNCTION("""COMPUTED_VALUE"""),"")</f>
        <v/>
      </c>
      <c r="X11" s="189" t="str">
        <f ca="1">IFERROR(__xludf.DUMMYFUNCTION("""COMPUTED_VALUE"""),"")</f>
        <v/>
      </c>
      <c r="Y11" s="189" t="str">
        <f ca="1">IFERROR(__xludf.DUMMYFUNCTION("""COMPUTED_VALUE"""),"")</f>
        <v/>
      </c>
      <c r="Z11" s="189"/>
    </row>
    <row r="12" spans="1:26" ht="15.75" customHeight="1">
      <c r="A12" s="189" t="str">
        <f ca="1">IFERROR(__xludf.DUMMYFUNCTION("""COMPUTED_VALUE"""),"S2")</f>
        <v>S2</v>
      </c>
      <c r="B12" s="189" t="str">
        <f ca="1">IFERROR(__xludf.DUMMYFUNCTION("""COMPUTED_VALUE"""),"ON/OFF SOLENOID VALVE")</f>
        <v>ON/OFF SOLENOID VALVE</v>
      </c>
      <c r="C12" s="189" t="str">
        <f ca="1">IFERROR(__xludf.DUMMYFUNCTION("""COMPUTED_VALUE"""),"CIRCUIT JOINING VALVE FOR EITHER PUMP FAILURE")</f>
        <v>CIRCUIT JOINING VALVE FOR EITHER PUMP FAILURE</v>
      </c>
      <c r="D12" s="189" t="str">
        <f ca="1">IFERROR(__xludf.DUMMYFUNCTION("""COMPUTED_VALUE"""),"24VDC 20W")</f>
        <v>24VDC 20W</v>
      </c>
      <c r="E12" s="189" t="str">
        <f ca="1">IFERROR(__xludf.DUMMYFUNCTION("""COMPUTED_VALUE"""),"NA")</f>
        <v>NA</v>
      </c>
      <c r="F12" s="189" t="str">
        <f ca="1">IFERROR(__xludf.DUMMYFUNCTION("""COMPUTED_VALUE"""),"NA")</f>
        <v>NA</v>
      </c>
      <c r="G12" s="189" t="str">
        <f ca="1">IFERROR(__xludf.DUMMYFUNCTION("""COMPUTED_VALUE"""),"HSV10-28-0-U-0")</f>
        <v>HSV10-28-0-U-0</v>
      </c>
      <c r="H12" s="189">
        <f ca="1">IFERROR(__xludf.DUMMYFUNCTION("""COMPUTED_VALUE"""),21)</f>
        <v>21</v>
      </c>
      <c r="I12" s="120" t="str">
        <f ca="1">IFERROR(__xludf.DUMMYFUNCTION("""COMPUTED_VALUE"""),"DEUTSCH DTO4-2P (CONNECTOR INCLUDED)")</f>
        <v>DEUTSCH DTO4-2P (CONNECTOR INCLUDED)</v>
      </c>
      <c r="J12" s="189" t="str">
        <f ca="1">IFERROR(__xludf.DUMMYFUNCTION("""COMPUTED_VALUE"""),"")</f>
        <v/>
      </c>
      <c r="K12" s="189" t="str">
        <f ca="1">IFERROR(__xludf.DUMMYFUNCTION("""COMPUTED_VALUE"""),"")</f>
        <v/>
      </c>
      <c r="L12" s="189" t="str">
        <f ca="1">IFERROR(__xludf.DUMMYFUNCTION("""COMPUTED_VALUE"""),"")</f>
        <v/>
      </c>
      <c r="M12" s="189" t="str">
        <f ca="1">IFERROR(__xludf.DUMMYFUNCTION("""COMPUTED_VALUE"""),"")</f>
        <v/>
      </c>
      <c r="N12" s="189" t="str">
        <f ca="1">IFERROR(__xludf.DUMMYFUNCTION("""COMPUTED_VALUE"""),"")</f>
        <v/>
      </c>
      <c r="O12" s="189" t="str">
        <f ca="1">IFERROR(__xludf.DUMMYFUNCTION("""COMPUTED_VALUE"""),"")</f>
        <v/>
      </c>
      <c r="P12" s="189" t="str">
        <f ca="1">IFERROR(__xludf.DUMMYFUNCTION("""COMPUTED_VALUE"""),"")</f>
        <v/>
      </c>
      <c r="Q12" s="189" t="str">
        <f ca="1">IFERROR(__xludf.DUMMYFUNCTION("""COMPUTED_VALUE"""),"")</f>
        <v/>
      </c>
      <c r="R12" s="189" t="str">
        <f ca="1">IFERROR(__xludf.DUMMYFUNCTION("""COMPUTED_VALUE"""),"")</f>
        <v/>
      </c>
      <c r="S12" s="189" t="str">
        <f ca="1">IFERROR(__xludf.DUMMYFUNCTION("""COMPUTED_VALUE"""),"")</f>
        <v/>
      </c>
      <c r="T12" s="189" t="str">
        <f ca="1">IFERROR(__xludf.DUMMYFUNCTION("""COMPUTED_VALUE"""),"")</f>
        <v/>
      </c>
      <c r="U12" s="189" t="str">
        <f ca="1">IFERROR(__xludf.DUMMYFUNCTION("""COMPUTED_VALUE"""),"")</f>
        <v/>
      </c>
      <c r="V12" s="189" t="str">
        <f ca="1">IFERROR(__xludf.DUMMYFUNCTION("""COMPUTED_VALUE"""),"")</f>
        <v/>
      </c>
      <c r="W12" s="189" t="str">
        <f ca="1">IFERROR(__xludf.DUMMYFUNCTION("""COMPUTED_VALUE"""),"")</f>
        <v/>
      </c>
      <c r="X12" s="189" t="str">
        <f ca="1">IFERROR(__xludf.DUMMYFUNCTION("""COMPUTED_VALUE"""),"")</f>
        <v/>
      </c>
      <c r="Y12" s="189" t="str">
        <f ca="1">IFERROR(__xludf.DUMMYFUNCTION("""COMPUTED_VALUE"""),"")</f>
        <v/>
      </c>
      <c r="Z12" s="189"/>
    </row>
    <row r="13" spans="1:26" ht="15.75" customHeight="1">
      <c r="A13" s="189" t="str">
        <f ca="1">IFERROR(__xludf.DUMMYFUNCTION("""COMPUTED_VALUE"""),"S3")</f>
        <v>S3</v>
      </c>
      <c r="B13" s="189" t="str">
        <f ca="1">IFERROR(__xludf.DUMMYFUNCTION("""COMPUTED_VALUE"""),"ON/OFF SOLENOID VALVE")</f>
        <v>ON/OFF SOLENOID VALVE</v>
      </c>
      <c r="C13" s="189" t="str">
        <f ca="1">IFERROR(__xludf.DUMMYFUNCTION("""COMPUTED_VALUE"""),"ISOLATION VALVE HOR HOLD DOWN PUMP FAILURE")</f>
        <v>ISOLATION VALVE HOR HOLD DOWN PUMP FAILURE</v>
      </c>
      <c r="D13" s="189" t="str">
        <f ca="1">IFERROR(__xludf.DUMMYFUNCTION("""COMPUTED_VALUE"""),"24VDC 20W")</f>
        <v>24VDC 20W</v>
      </c>
      <c r="E13" s="189" t="str">
        <f ca="1">IFERROR(__xludf.DUMMYFUNCTION("""COMPUTED_VALUE"""),"NA")</f>
        <v>NA</v>
      </c>
      <c r="F13" s="189" t="str">
        <f ca="1">IFERROR(__xludf.DUMMYFUNCTION("""COMPUTED_VALUE"""),"NA")</f>
        <v>NA</v>
      </c>
      <c r="G13" s="189" t="str">
        <f ca="1">IFERROR(__xludf.DUMMYFUNCTION("""COMPUTED_VALUE"""),"HSV10-23-0-U-0")</f>
        <v>HSV10-23-0-U-0</v>
      </c>
      <c r="H13" s="189">
        <f ca="1">IFERROR(__xludf.DUMMYFUNCTION("""COMPUTED_VALUE"""),20)</f>
        <v>20</v>
      </c>
      <c r="I13" s="120" t="str">
        <f ca="1">IFERROR(__xludf.DUMMYFUNCTION("""COMPUTED_VALUE"""),"DEUTSCH DTO4-2P (CONNECTOR INCLUDED)")</f>
        <v>DEUTSCH DTO4-2P (CONNECTOR INCLUDED)</v>
      </c>
      <c r="J13" s="189" t="str">
        <f ca="1">IFERROR(__xludf.DUMMYFUNCTION("""COMPUTED_VALUE"""),"")</f>
        <v/>
      </c>
      <c r="K13" s="189" t="str">
        <f ca="1">IFERROR(__xludf.DUMMYFUNCTION("""COMPUTED_VALUE"""),"")</f>
        <v/>
      </c>
      <c r="L13" s="189" t="str">
        <f ca="1">IFERROR(__xludf.DUMMYFUNCTION("""COMPUTED_VALUE"""),"")</f>
        <v/>
      </c>
      <c r="M13" s="189" t="str">
        <f ca="1">IFERROR(__xludf.DUMMYFUNCTION("""COMPUTED_VALUE"""),"")</f>
        <v/>
      </c>
      <c r="N13" s="189" t="str">
        <f ca="1">IFERROR(__xludf.DUMMYFUNCTION("""COMPUTED_VALUE"""),"")</f>
        <v/>
      </c>
      <c r="O13" s="189" t="str">
        <f ca="1">IFERROR(__xludf.DUMMYFUNCTION("""COMPUTED_VALUE"""),"")</f>
        <v/>
      </c>
      <c r="P13" s="189" t="str">
        <f ca="1">IFERROR(__xludf.DUMMYFUNCTION("""COMPUTED_VALUE"""),"")</f>
        <v/>
      </c>
      <c r="Q13" s="189" t="str">
        <f ca="1">IFERROR(__xludf.DUMMYFUNCTION("""COMPUTED_VALUE"""),"")</f>
        <v/>
      </c>
      <c r="R13" s="189" t="str">
        <f ca="1">IFERROR(__xludf.DUMMYFUNCTION("""COMPUTED_VALUE"""),"")</f>
        <v/>
      </c>
      <c r="S13" s="189" t="str">
        <f ca="1">IFERROR(__xludf.DUMMYFUNCTION("""COMPUTED_VALUE"""),"")</f>
        <v/>
      </c>
      <c r="T13" s="189" t="str">
        <f ca="1">IFERROR(__xludf.DUMMYFUNCTION("""COMPUTED_VALUE"""),"")</f>
        <v/>
      </c>
      <c r="U13" s="189" t="str">
        <f ca="1">IFERROR(__xludf.DUMMYFUNCTION("""COMPUTED_VALUE"""),"")</f>
        <v/>
      </c>
      <c r="V13" s="189" t="str">
        <f ca="1">IFERROR(__xludf.DUMMYFUNCTION("""COMPUTED_VALUE"""),"")</f>
        <v/>
      </c>
      <c r="W13" s="189" t="str">
        <f ca="1">IFERROR(__xludf.DUMMYFUNCTION("""COMPUTED_VALUE"""),"")</f>
        <v/>
      </c>
      <c r="X13" s="189" t="str">
        <f ca="1">IFERROR(__xludf.DUMMYFUNCTION("""COMPUTED_VALUE"""),"")</f>
        <v/>
      </c>
      <c r="Y13" s="189" t="str">
        <f ca="1">IFERROR(__xludf.DUMMYFUNCTION("""COMPUTED_VALUE"""),"")</f>
        <v/>
      </c>
      <c r="Z13" s="189"/>
    </row>
    <row r="14" spans="1:26" ht="15.75" customHeight="1">
      <c r="A14" s="189" t="str">
        <f ca="1">IFERROR(__xludf.DUMMYFUNCTION("""COMPUTED_VALUE"""),"S4")</f>
        <v>S4</v>
      </c>
      <c r="B14" s="189" t="str">
        <f ca="1">IFERROR(__xludf.DUMMYFUNCTION("""COMPUTED_VALUE"""),"ON/OFF SOLENOID VALVE")</f>
        <v>ON/OFF SOLENOID VALVE</v>
      </c>
      <c r="C14" s="189" t="str">
        <f ca="1">IFERROR(__xludf.DUMMYFUNCTION("""COMPUTED_VALUE"""),"BYPASS VALVE FOR PRESSURE TESTING HD CIRCUIT")</f>
        <v>BYPASS VALVE FOR PRESSURE TESTING HD CIRCUIT</v>
      </c>
      <c r="D14" s="189" t="str">
        <f ca="1">IFERROR(__xludf.DUMMYFUNCTION("""COMPUTED_VALUE"""),"24VDC 20W")</f>
        <v>24VDC 20W</v>
      </c>
      <c r="E14" s="189" t="str">
        <f ca="1">IFERROR(__xludf.DUMMYFUNCTION("""COMPUTED_VALUE"""),"NA")</f>
        <v>NA</v>
      </c>
      <c r="F14" s="189" t="str">
        <f ca="1">IFERROR(__xludf.DUMMYFUNCTION("""COMPUTED_VALUE"""),"NA")</f>
        <v>NA</v>
      </c>
      <c r="G14" s="189" t="str">
        <f ca="1">IFERROR(__xludf.DUMMYFUNCTION("""COMPUTED_VALUE"""),"HSV10-28-0-U-0")</f>
        <v>HSV10-28-0-U-0</v>
      </c>
      <c r="H14" s="189">
        <f ca="1">IFERROR(__xludf.DUMMYFUNCTION("""COMPUTED_VALUE"""),21)</f>
        <v>21</v>
      </c>
      <c r="I14" s="120" t="str">
        <f ca="1">IFERROR(__xludf.DUMMYFUNCTION("""COMPUTED_VALUE"""),"DEUTSCH DTO4-2P (CONNECTOR INCLUDED)")</f>
        <v>DEUTSCH DTO4-2P (CONNECTOR INCLUDED)</v>
      </c>
      <c r="J14" s="189" t="str">
        <f ca="1">IFERROR(__xludf.DUMMYFUNCTION("""COMPUTED_VALUE"""),"")</f>
        <v/>
      </c>
      <c r="K14" s="189" t="str">
        <f ca="1">IFERROR(__xludf.DUMMYFUNCTION("""COMPUTED_VALUE"""),"")</f>
        <v/>
      </c>
      <c r="L14" s="189" t="str">
        <f ca="1">IFERROR(__xludf.DUMMYFUNCTION("""COMPUTED_VALUE"""),"")</f>
        <v/>
      </c>
      <c r="M14" s="189" t="str">
        <f ca="1">IFERROR(__xludf.DUMMYFUNCTION("""COMPUTED_VALUE"""),"")</f>
        <v/>
      </c>
      <c r="N14" s="189" t="str">
        <f ca="1">IFERROR(__xludf.DUMMYFUNCTION("""COMPUTED_VALUE"""),"")</f>
        <v/>
      </c>
      <c r="O14" s="189" t="str">
        <f ca="1">IFERROR(__xludf.DUMMYFUNCTION("""COMPUTED_VALUE"""),"")</f>
        <v/>
      </c>
      <c r="P14" s="189" t="str">
        <f ca="1">IFERROR(__xludf.DUMMYFUNCTION("""COMPUTED_VALUE"""),"")</f>
        <v/>
      </c>
      <c r="Q14" s="189" t="str">
        <f ca="1">IFERROR(__xludf.DUMMYFUNCTION("""COMPUTED_VALUE"""),"")</f>
        <v/>
      </c>
      <c r="R14" s="189" t="str">
        <f ca="1">IFERROR(__xludf.DUMMYFUNCTION("""COMPUTED_VALUE"""),"")</f>
        <v/>
      </c>
      <c r="S14" s="189" t="str">
        <f ca="1">IFERROR(__xludf.DUMMYFUNCTION("""COMPUTED_VALUE"""),"")</f>
        <v/>
      </c>
      <c r="T14" s="189" t="str">
        <f ca="1">IFERROR(__xludf.DUMMYFUNCTION("""COMPUTED_VALUE"""),"")</f>
        <v/>
      </c>
      <c r="U14" s="189" t="str">
        <f ca="1">IFERROR(__xludf.DUMMYFUNCTION("""COMPUTED_VALUE"""),"")</f>
        <v/>
      </c>
      <c r="V14" s="189" t="str">
        <f ca="1">IFERROR(__xludf.DUMMYFUNCTION("""COMPUTED_VALUE"""),"")</f>
        <v/>
      </c>
      <c r="W14" s="189" t="str">
        <f ca="1">IFERROR(__xludf.DUMMYFUNCTION("""COMPUTED_VALUE"""),"")</f>
        <v/>
      </c>
      <c r="X14" s="189" t="str">
        <f ca="1">IFERROR(__xludf.DUMMYFUNCTION("""COMPUTED_VALUE"""),"")</f>
        <v/>
      </c>
      <c r="Y14" s="189" t="str">
        <f ca="1">IFERROR(__xludf.DUMMYFUNCTION("""COMPUTED_VALUE"""),"")</f>
        <v/>
      </c>
      <c r="Z14" s="189"/>
    </row>
    <row r="15" spans="1:26" ht="15.75" customHeight="1">
      <c r="A15" s="189" t="str">
        <f ca="1">IFERROR(__xludf.DUMMYFUNCTION("""COMPUTED_VALUE"""),"S5")</f>
        <v>S5</v>
      </c>
      <c r="B15" s="189" t="str">
        <f ca="1">IFERROR(__xludf.DUMMYFUNCTION("""COMPUTED_VALUE"""),"PROPORTIONAL RELIEF VALVE (0-250 BAR)")</f>
        <v>PROPORTIONAL RELIEF VALVE (0-250 BAR)</v>
      </c>
      <c r="C15" s="189" t="str">
        <f ca="1">IFERROR(__xludf.DUMMYFUNCTION("""COMPUTED_VALUE"""),"PROPORTIONAL PRESSURE CONTROL OF TILT CIRCUIT PUMP")</f>
        <v>PROPORTIONAL PRESSURE CONTROL OF TILT CIRCUIT PUMP</v>
      </c>
      <c r="D15" s="189" t="str">
        <f ca="1">IFERROR(__xludf.DUMMYFUNCTION("""COMPUTED_VALUE"""),"24VDC 40W")</f>
        <v>24VDC 40W</v>
      </c>
      <c r="E15" s="189" t="str">
        <f ca="1">IFERROR(__xludf.DUMMYFUNCTION("""COMPUTED_VALUE"""),"NA")</f>
        <v>NA</v>
      </c>
      <c r="F15" s="189" t="str">
        <f ca="1">IFERROR(__xludf.DUMMYFUNCTION("""COMPUTED_VALUE"""),"4..20mA")</f>
        <v>4..20mA</v>
      </c>
      <c r="G15" s="189" t="str">
        <f ca="1">IFERROR(__xludf.DUMMYFUNCTION("""COMPUTED_VALUE"""),"02-352751")</f>
        <v>02-352751</v>
      </c>
      <c r="H15" s="189">
        <f ca="1">IFERROR(__xludf.DUMMYFUNCTION("""COMPUTED_VALUE"""),23)</f>
        <v>23</v>
      </c>
      <c r="I15" s="120" t="str">
        <f ca="1">IFERROR(__xludf.DUMMYFUNCTION("""COMPUTED_VALUE"""),"INDUSTRIAL 7 PIN PLUG (CONNECTOR INCLUDED)")</f>
        <v>INDUSTRIAL 7 PIN PLUG (CONNECTOR INCLUDED)</v>
      </c>
      <c r="J15" s="189" t="str">
        <f ca="1">IFERROR(__xludf.DUMMYFUNCTION("""COMPUTED_VALUE"""),"")</f>
        <v/>
      </c>
      <c r="K15" s="189" t="str">
        <f ca="1">IFERROR(__xludf.DUMMYFUNCTION("""COMPUTED_VALUE"""),"")</f>
        <v/>
      </c>
      <c r="L15" s="189" t="str">
        <f ca="1">IFERROR(__xludf.DUMMYFUNCTION("""COMPUTED_VALUE"""),"")</f>
        <v/>
      </c>
      <c r="M15" s="189" t="str">
        <f ca="1">IFERROR(__xludf.DUMMYFUNCTION("""COMPUTED_VALUE"""),"")</f>
        <v/>
      </c>
      <c r="N15" s="189" t="str">
        <f ca="1">IFERROR(__xludf.DUMMYFUNCTION("""COMPUTED_VALUE"""),"")</f>
        <v/>
      </c>
      <c r="O15" s="189" t="str">
        <f ca="1">IFERROR(__xludf.DUMMYFUNCTION("""COMPUTED_VALUE"""),"")</f>
        <v/>
      </c>
      <c r="P15" s="189" t="str">
        <f ca="1">IFERROR(__xludf.DUMMYFUNCTION("""COMPUTED_VALUE"""),"")</f>
        <v/>
      </c>
      <c r="Q15" s="189" t="str">
        <f ca="1">IFERROR(__xludf.DUMMYFUNCTION("""COMPUTED_VALUE"""),"")</f>
        <v/>
      </c>
      <c r="R15" s="189" t="str">
        <f ca="1">IFERROR(__xludf.DUMMYFUNCTION("""COMPUTED_VALUE"""),"")</f>
        <v/>
      </c>
      <c r="S15" s="189" t="str">
        <f ca="1">IFERROR(__xludf.DUMMYFUNCTION("""COMPUTED_VALUE"""),"")</f>
        <v/>
      </c>
      <c r="T15" s="189" t="str">
        <f ca="1">IFERROR(__xludf.DUMMYFUNCTION("""COMPUTED_VALUE"""),"")</f>
        <v/>
      </c>
      <c r="U15" s="189" t="str">
        <f ca="1">IFERROR(__xludf.DUMMYFUNCTION("""COMPUTED_VALUE"""),"")</f>
        <v/>
      </c>
      <c r="V15" s="189" t="str">
        <f ca="1">IFERROR(__xludf.DUMMYFUNCTION("""COMPUTED_VALUE"""),"")</f>
        <v/>
      </c>
      <c r="W15" s="189" t="str">
        <f ca="1">IFERROR(__xludf.DUMMYFUNCTION("""COMPUTED_VALUE"""),"")</f>
        <v/>
      </c>
      <c r="X15" s="189" t="str">
        <f ca="1">IFERROR(__xludf.DUMMYFUNCTION("""COMPUTED_VALUE"""),"")</f>
        <v/>
      </c>
      <c r="Y15" s="189" t="str">
        <f ca="1">IFERROR(__xludf.DUMMYFUNCTION("""COMPUTED_VALUE"""),"")</f>
        <v/>
      </c>
      <c r="Z15" s="189"/>
    </row>
    <row r="16" spans="1:26" ht="15.75" customHeight="1">
      <c r="A16" s="189" t="str">
        <f ca="1">IFERROR(__xludf.DUMMYFUNCTION("""COMPUTED_VALUE"""),"S6")</f>
        <v>S6</v>
      </c>
      <c r="B16" s="189" t="str">
        <f ca="1">IFERROR(__xludf.DUMMYFUNCTION("""COMPUTED_VALUE"""),"PROPORTIONAL RELIEF VALVE (0-250 BAR)")</f>
        <v>PROPORTIONAL RELIEF VALVE (0-250 BAR)</v>
      </c>
      <c r="C16" s="189" t="str">
        <f ca="1">IFERROR(__xludf.DUMMYFUNCTION("""COMPUTED_VALUE"""),"PROPORTIONAL PRESSURE CONTROL OF HD CIRCUIT PUMP")</f>
        <v>PROPORTIONAL PRESSURE CONTROL OF HD CIRCUIT PUMP</v>
      </c>
      <c r="D16" s="189" t="str">
        <f ca="1">IFERROR(__xludf.DUMMYFUNCTION("""COMPUTED_VALUE"""),"24VDC 40W")</f>
        <v>24VDC 40W</v>
      </c>
      <c r="E16" s="189" t="str">
        <f ca="1">IFERROR(__xludf.DUMMYFUNCTION("""COMPUTED_VALUE"""),"NA")</f>
        <v>NA</v>
      </c>
      <c r="F16" s="189" t="str">
        <f ca="1">IFERROR(__xludf.DUMMYFUNCTION("""COMPUTED_VALUE"""),"4..20mA")</f>
        <v>4..20mA</v>
      </c>
      <c r="G16" s="189" t="str">
        <f ca="1">IFERROR(__xludf.DUMMYFUNCTION("""COMPUTED_VALUE"""),"02-352751")</f>
        <v>02-352751</v>
      </c>
      <c r="H16" s="189">
        <f ca="1">IFERROR(__xludf.DUMMYFUNCTION("""COMPUTED_VALUE"""),23)</f>
        <v>23</v>
      </c>
      <c r="I16" s="120" t="str">
        <f ca="1">IFERROR(__xludf.DUMMYFUNCTION("""COMPUTED_VALUE"""),"INDUSTRIAL 7 PIN PLUG (CONNECTOR INCLUDED)")</f>
        <v>INDUSTRIAL 7 PIN PLUG (CONNECTOR INCLUDED)</v>
      </c>
      <c r="J16" s="189" t="str">
        <f ca="1">IFERROR(__xludf.DUMMYFUNCTION("""COMPUTED_VALUE"""),"")</f>
        <v/>
      </c>
      <c r="K16" s="189" t="str">
        <f ca="1">IFERROR(__xludf.DUMMYFUNCTION("""COMPUTED_VALUE"""),"")</f>
        <v/>
      </c>
      <c r="L16" s="189" t="str">
        <f ca="1">IFERROR(__xludf.DUMMYFUNCTION("""COMPUTED_VALUE"""),"")</f>
        <v/>
      </c>
      <c r="M16" s="189" t="str">
        <f ca="1">IFERROR(__xludf.DUMMYFUNCTION("""COMPUTED_VALUE"""),"")</f>
        <v/>
      </c>
      <c r="N16" s="189" t="str">
        <f ca="1">IFERROR(__xludf.DUMMYFUNCTION("""COMPUTED_VALUE"""),"")</f>
        <v/>
      </c>
      <c r="O16" s="189" t="str">
        <f ca="1">IFERROR(__xludf.DUMMYFUNCTION("""COMPUTED_VALUE"""),"")</f>
        <v/>
      </c>
      <c r="P16" s="189" t="str">
        <f ca="1">IFERROR(__xludf.DUMMYFUNCTION("""COMPUTED_VALUE"""),"")</f>
        <v/>
      </c>
      <c r="Q16" s="189" t="str">
        <f ca="1">IFERROR(__xludf.DUMMYFUNCTION("""COMPUTED_VALUE"""),"")</f>
        <v/>
      </c>
      <c r="R16" s="189" t="str">
        <f ca="1">IFERROR(__xludf.DUMMYFUNCTION("""COMPUTED_VALUE"""),"")</f>
        <v/>
      </c>
      <c r="S16" s="189" t="str">
        <f ca="1">IFERROR(__xludf.DUMMYFUNCTION("""COMPUTED_VALUE"""),"")</f>
        <v/>
      </c>
      <c r="T16" s="189" t="str">
        <f ca="1">IFERROR(__xludf.DUMMYFUNCTION("""COMPUTED_VALUE"""),"")</f>
        <v/>
      </c>
      <c r="U16" s="189" t="str">
        <f ca="1">IFERROR(__xludf.DUMMYFUNCTION("""COMPUTED_VALUE"""),"")</f>
        <v/>
      </c>
      <c r="V16" s="189" t="str">
        <f ca="1">IFERROR(__xludf.DUMMYFUNCTION("""COMPUTED_VALUE"""),"")</f>
        <v/>
      </c>
      <c r="W16" s="189" t="str">
        <f ca="1">IFERROR(__xludf.DUMMYFUNCTION("""COMPUTED_VALUE"""),"")</f>
        <v/>
      </c>
      <c r="X16" s="189" t="str">
        <f ca="1">IFERROR(__xludf.DUMMYFUNCTION("""COMPUTED_VALUE"""),"")</f>
        <v/>
      </c>
      <c r="Y16" s="189" t="str">
        <f ca="1">IFERROR(__xludf.DUMMYFUNCTION("""COMPUTED_VALUE"""),"")</f>
        <v/>
      </c>
      <c r="Z16" s="189"/>
    </row>
    <row r="17" spans="1:26" ht="15.75" customHeight="1">
      <c r="A17" s="189" t="str">
        <f ca="1">IFERROR(__xludf.DUMMYFUNCTION("""COMPUTED_VALUE"""),"F1")</f>
        <v>F1</v>
      </c>
      <c r="B17" s="189" t="str">
        <f ca="1">IFERROR(__xludf.DUMMYFUNCTION("""COMPUTED_VALUE"""),"PRESSURE SWITCH ")</f>
        <v xml:space="preserve">PRESSURE SWITCH </v>
      </c>
      <c r="C17" s="189" t="str">
        <f ca="1">IFERROR(__xludf.DUMMYFUNCTION("""COMPUTED_VALUE"""),"FILTER CLOGGING INDICATOR FOR TILT CIRCUIT HPU")</f>
        <v>FILTER CLOGGING INDICATOR FOR TILT CIRCUIT HPU</v>
      </c>
      <c r="D17" s="189" t="str">
        <f ca="1">IFERROR(__xludf.DUMMYFUNCTION("""COMPUTED_VALUE"""),"24VDC NO/NC")</f>
        <v>24VDC NO/NC</v>
      </c>
      <c r="E17" s="189" t="str">
        <f ca="1">IFERROR(__xludf.DUMMYFUNCTION("""COMPUTED_VALUE"""),"NA")</f>
        <v>NA</v>
      </c>
      <c r="F17" s="189" t="str">
        <f ca="1">IFERROR(__xludf.DUMMYFUNCTION("""COMPUTED_VALUE"""),"NA")</f>
        <v>NA</v>
      </c>
      <c r="G17" s="189">
        <f ca="1">IFERROR(__xludf.DUMMYFUNCTION("""COMPUTED_VALUE"""),328207)</f>
        <v>328207</v>
      </c>
      <c r="H17" s="189">
        <f ca="1">IFERROR(__xludf.DUMMYFUNCTION("""COMPUTED_VALUE"""),15)</f>
        <v>15</v>
      </c>
      <c r="I17" s="120" t="str">
        <f ca="1">IFERROR(__xludf.DUMMYFUNCTION("""COMPUTED_VALUE"""),"DIN PLUG (CONNECTOR INCLUDED)")</f>
        <v>DIN PLUG (CONNECTOR INCLUDED)</v>
      </c>
      <c r="J17" s="189" t="str">
        <f ca="1">IFERROR(__xludf.DUMMYFUNCTION("""COMPUTED_VALUE"""),"")</f>
        <v/>
      </c>
      <c r="K17" s="189" t="str">
        <f ca="1">IFERROR(__xludf.DUMMYFUNCTION("""COMPUTED_VALUE"""),"")</f>
        <v/>
      </c>
      <c r="L17" s="189" t="str">
        <f ca="1">IFERROR(__xludf.DUMMYFUNCTION("""COMPUTED_VALUE"""),"")</f>
        <v/>
      </c>
      <c r="M17" s="189" t="str">
        <f ca="1">IFERROR(__xludf.DUMMYFUNCTION("""COMPUTED_VALUE"""),"")</f>
        <v/>
      </c>
      <c r="N17" s="189" t="str">
        <f ca="1">IFERROR(__xludf.DUMMYFUNCTION("""COMPUTED_VALUE"""),"")</f>
        <v/>
      </c>
      <c r="O17" s="189" t="str">
        <f ca="1">IFERROR(__xludf.DUMMYFUNCTION("""COMPUTED_VALUE"""),"")</f>
        <v/>
      </c>
      <c r="P17" s="189" t="str">
        <f ca="1">IFERROR(__xludf.DUMMYFUNCTION("""COMPUTED_VALUE"""),"")</f>
        <v/>
      </c>
      <c r="Q17" s="189" t="str">
        <f ca="1">IFERROR(__xludf.DUMMYFUNCTION("""COMPUTED_VALUE"""),"")</f>
        <v/>
      </c>
      <c r="R17" s="189" t="str">
        <f ca="1">IFERROR(__xludf.DUMMYFUNCTION("""COMPUTED_VALUE"""),"")</f>
        <v/>
      </c>
      <c r="S17" s="189" t="str">
        <f ca="1">IFERROR(__xludf.DUMMYFUNCTION("""COMPUTED_VALUE"""),"")</f>
        <v/>
      </c>
      <c r="T17" s="189" t="str">
        <f ca="1">IFERROR(__xludf.DUMMYFUNCTION("""COMPUTED_VALUE"""),"")</f>
        <v/>
      </c>
      <c r="U17" s="189" t="str">
        <f ca="1">IFERROR(__xludf.DUMMYFUNCTION("""COMPUTED_VALUE"""),"")</f>
        <v/>
      </c>
      <c r="V17" s="189" t="str">
        <f ca="1">IFERROR(__xludf.DUMMYFUNCTION("""COMPUTED_VALUE"""),"")</f>
        <v/>
      </c>
      <c r="W17" s="189" t="str">
        <f ca="1">IFERROR(__xludf.DUMMYFUNCTION("""COMPUTED_VALUE"""),"")</f>
        <v/>
      </c>
      <c r="X17" s="189" t="str">
        <f ca="1">IFERROR(__xludf.DUMMYFUNCTION("""COMPUTED_VALUE"""),"")</f>
        <v/>
      </c>
      <c r="Y17" s="189" t="str">
        <f ca="1">IFERROR(__xludf.DUMMYFUNCTION("""COMPUTED_VALUE"""),"")</f>
        <v/>
      </c>
      <c r="Z17" s="189"/>
    </row>
    <row r="18" spans="1:26" ht="15.75" customHeight="1">
      <c r="A18" s="189" t="str">
        <f ca="1">IFERROR(__xludf.DUMMYFUNCTION("""COMPUTED_VALUE"""),"F2")</f>
        <v>F2</v>
      </c>
      <c r="B18" s="189" t="str">
        <f ca="1">IFERROR(__xludf.DUMMYFUNCTION("""COMPUTED_VALUE"""),"PRESSURE SWITCH ")</f>
        <v xml:space="preserve">PRESSURE SWITCH </v>
      </c>
      <c r="C18" s="189" t="str">
        <f ca="1">IFERROR(__xludf.DUMMYFUNCTION("""COMPUTED_VALUE"""),"FILTER CLOGGING INDICATOR FOR HD CIRCUIT HPU")</f>
        <v>FILTER CLOGGING INDICATOR FOR HD CIRCUIT HPU</v>
      </c>
      <c r="D18" s="189" t="str">
        <f ca="1">IFERROR(__xludf.DUMMYFUNCTION("""COMPUTED_VALUE"""),"24VDC NO/NC")</f>
        <v>24VDC NO/NC</v>
      </c>
      <c r="E18" s="189" t="str">
        <f ca="1">IFERROR(__xludf.DUMMYFUNCTION("""COMPUTED_VALUE"""),"NA")</f>
        <v>NA</v>
      </c>
      <c r="F18" s="189" t="str">
        <f ca="1">IFERROR(__xludf.DUMMYFUNCTION("""COMPUTED_VALUE"""),"NA")</f>
        <v>NA</v>
      </c>
      <c r="G18" s="189">
        <f ca="1">IFERROR(__xludf.DUMMYFUNCTION("""COMPUTED_VALUE"""),328207)</f>
        <v>328207</v>
      </c>
      <c r="H18" s="189">
        <f ca="1">IFERROR(__xludf.DUMMYFUNCTION("""COMPUTED_VALUE"""),15)</f>
        <v>15</v>
      </c>
      <c r="I18" s="120" t="str">
        <f ca="1">IFERROR(__xludf.DUMMYFUNCTION("""COMPUTED_VALUE"""),"DIN PLUG (CONNECTOR INCLUDED)")</f>
        <v>DIN PLUG (CONNECTOR INCLUDED)</v>
      </c>
      <c r="J18" s="189" t="str">
        <f ca="1">IFERROR(__xludf.DUMMYFUNCTION("""COMPUTED_VALUE"""),"")</f>
        <v/>
      </c>
      <c r="K18" s="189" t="str">
        <f ca="1">IFERROR(__xludf.DUMMYFUNCTION("""COMPUTED_VALUE"""),"")</f>
        <v/>
      </c>
      <c r="L18" s="189" t="str">
        <f ca="1">IFERROR(__xludf.DUMMYFUNCTION("""COMPUTED_VALUE"""),"")</f>
        <v/>
      </c>
      <c r="M18" s="189" t="str">
        <f ca="1">IFERROR(__xludf.DUMMYFUNCTION("""COMPUTED_VALUE"""),"")</f>
        <v/>
      </c>
      <c r="N18" s="189" t="str">
        <f ca="1">IFERROR(__xludf.DUMMYFUNCTION("""COMPUTED_VALUE"""),"")</f>
        <v/>
      </c>
      <c r="O18" s="189" t="str">
        <f ca="1">IFERROR(__xludf.DUMMYFUNCTION("""COMPUTED_VALUE"""),"")</f>
        <v/>
      </c>
      <c r="P18" s="189" t="str">
        <f ca="1">IFERROR(__xludf.DUMMYFUNCTION("""COMPUTED_VALUE"""),"")</f>
        <v/>
      </c>
      <c r="Q18" s="189" t="str">
        <f ca="1">IFERROR(__xludf.DUMMYFUNCTION("""COMPUTED_VALUE"""),"")</f>
        <v/>
      </c>
      <c r="R18" s="189" t="str">
        <f ca="1">IFERROR(__xludf.DUMMYFUNCTION("""COMPUTED_VALUE"""),"")</f>
        <v/>
      </c>
      <c r="S18" s="189" t="str">
        <f ca="1">IFERROR(__xludf.DUMMYFUNCTION("""COMPUTED_VALUE"""),"")</f>
        <v/>
      </c>
      <c r="T18" s="189" t="str">
        <f ca="1">IFERROR(__xludf.DUMMYFUNCTION("""COMPUTED_VALUE"""),"")</f>
        <v/>
      </c>
      <c r="U18" s="189" t="str">
        <f ca="1">IFERROR(__xludf.DUMMYFUNCTION("""COMPUTED_VALUE"""),"")</f>
        <v/>
      </c>
      <c r="V18" s="189" t="str">
        <f ca="1">IFERROR(__xludf.DUMMYFUNCTION("""COMPUTED_VALUE"""),"")</f>
        <v/>
      </c>
      <c r="W18" s="189" t="str">
        <f ca="1">IFERROR(__xludf.DUMMYFUNCTION("""COMPUTED_VALUE"""),"")</f>
        <v/>
      </c>
      <c r="X18" s="189" t="str">
        <f ca="1">IFERROR(__xludf.DUMMYFUNCTION("""COMPUTED_VALUE"""),"")</f>
        <v/>
      </c>
      <c r="Y18" s="189" t="str">
        <f ca="1">IFERROR(__xludf.DUMMYFUNCTION("""COMPUTED_VALUE"""),"")</f>
        <v/>
      </c>
      <c r="Z18" s="189"/>
    </row>
    <row r="19" spans="1:26" ht="15.75" customHeight="1">
      <c r="A19" s="189" t="str">
        <f ca="1">IFERROR(__xludf.DUMMYFUNCTION("""COMPUTED_VALUE"""),"F3")</f>
        <v>F3</v>
      </c>
      <c r="B19" s="189" t="str">
        <f ca="1">IFERROR(__xludf.DUMMYFUNCTION("""COMPUTED_VALUE"""),"PRESSURE SWITCH ")</f>
        <v xml:space="preserve">PRESSURE SWITCH </v>
      </c>
      <c r="C19" s="189" t="str">
        <f ca="1">IFERROR(__xludf.DUMMYFUNCTION("""COMPUTED_VALUE"""),"FILTER CLOGGING INDICATOR FOR MAIN RETURN HPU")</f>
        <v>FILTER CLOGGING INDICATOR FOR MAIN RETURN HPU</v>
      </c>
      <c r="D19" s="189" t="str">
        <f ca="1">IFERROR(__xludf.DUMMYFUNCTION("""COMPUTED_VALUE"""),"24VDC NO/NC")</f>
        <v>24VDC NO/NC</v>
      </c>
      <c r="E19" s="189" t="str">
        <f ca="1">IFERROR(__xludf.DUMMYFUNCTION("""COMPUTED_VALUE"""),"NA")</f>
        <v>NA</v>
      </c>
      <c r="F19" s="189" t="str">
        <f ca="1">IFERROR(__xludf.DUMMYFUNCTION("""COMPUTED_VALUE"""),"NA")</f>
        <v>NA</v>
      </c>
      <c r="G19" s="189" t="str">
        <f ca="1">IFERROR(__xludf.DUMMYFUNCTION("""COMPUTED_VALUE"""),"PE3     ")</f>
        <v xml:space="preserve">PE3     </v>
      </c>
      <c r="H19" s="189">
        <f ca="1">IFERROR(__xludf.DUMMYFUNCTION("""COMPUTED_VALUE"""),8)</f>
        <v>8</v>
      </c>
      <c r="I19" s="120" t="str">
        <f ca="1">IFERROR(__xludf.DUMMYFUNCTION("""COMPUTED_VALUE"""),"DIN PLUG (CONNECTOR INCLUDED)")</f>
        <v>DIN PLUG (CONNECTOR INCLUDED)</v>
      </c>
      <c r="J19" s="189" t="str">
        <f ca="1">IFERROR(__xludf.DUMMYFUNCTION("""COMPUTED_VALUE"""),"")</f>
        <v/>
      </c>
      <c r="K19" s="189" t="str">
        <f ca="1">IFERROR(__xludf.DUMMYFUNCTION("""COMPUTED_VALUE"""),"")</f>
        <v/>
      </c>
      <c r="L19" s="189" t="str">
        <f ca="1">IFERROR(__xludf.DUMMYFUNCTION("""COMPUTED_VALUE"""),"")</f>
        <v/>
      </c>
      <c r="M19" s="189" t="str">
        <f ca="1">IFERROR(__xludf.DUMMYFUNCTION("""COMPUTED_VALUE"""),"")</f>
        <v/>
      </c>
      <c r="N19" s="189" t="str">
        <f ca="1">IFERROR(__xludf.DUMMYFUNCTION("""COMPUTED_VALUE"""),"")</f>
        <v/>
      </c>
      <c r="O19" s="189" t="str">
        <f ca="1">IFERROR(__xludf.DUMMYFUNCTION("""COMPUTED_VALUE"""),"")</f>
        <v/>
      </c>
      <c r="P19" s="189" t="str">
        <f ca="1">IFERROR(__xludf.DUMMYFUNCTION("""COMPUTED_VALUE"""),"")</f>
        <v/>
      </c>
      <c r="Q19" s="189" t="str">
        <f ca="1">IFERROR(__xludf.DUMMYFUNCTION("""COMPUTED_VALUE"""),"")</f>
        <v/>
      </c>
      <c r="R19" s="189" t="str">
        <f ca="1">IFERROR(__xludf.DUMMYFUNCTION("""COMPUTED_VALUE"""),"")</f>
        <v/>
      </c>
      <c r="S19" s="189" t="str">
        <f ca="1">IFERROR(__xludf.DUMMYFUNCTION("""COMPUTED_VALUE"""),"")</f>
        <v/>
      </c>
      <c r="T19" s="189" t="str">
        <f ca="1">IFERROR(__xludf.DUMMYFUNCTION("""COMPUTED_VALUE"""),"")</f>
        <v/>
      </c>
      <c r="U19" s="189" t="str">
        <f ca="1">IFERROR(__xludf.DUMMYFUNCTION("""COMPUTED_VALUE"""),"")</f>
        <v/>
      </c>
      <c r="V19" s="189" t="str">
        <f ca="1">IFERROR(__xludf.DUMMYFUNCTION("""COMPUTED_VALUE"""),"")</f>
        <v/>
      </c>
      <c r="W19" s="189" t="str">
        <f ca="1">IFERROR(__xludf.DUMMYFUNCTION("""COMPUTED_VALUE"""),"")</f>
        <v/>
      </c>
      <c r="X19" s="189" t="str">
        <f ca="1">IFERROR(__xludf.DUMMYFUNCTION("""COMPUTED_VALUE"""),"")</f>
        <v/>
      </c>
      <c r="Y19" s="189" t="str">
        <f ca="1">IFERROR(__xludf.DUMMYFUNCTION("""COMPUTED_VALUE"""),"")</f>
        <v/>
      </c>
      <c r="Z19" s="189"/>
    </row>
    <row r="20" spans="1:26" ht="15.75" customHeight="1">
      <c r="A20" s="189" t="str">
        <f ca="1">IFERROR(__xludf.DUMMYFUNCTION("""COMPUTED_VALUE"""),"F4")</f>
        <v>F4</v>
      </c>
      <c r="B20" s="189" t="str">
        <f ca="1">IFERROR(__xludf.DUMMYFUNCTION("""COMPUTED_VALUE"""),"PRESSURE SWITCH ")</f>
        <v xml:space="preserve">PRESSURE SWITCH </v>
      </c>
      <c r="C20" s="189" t="str">
        <f ca="1">IFERROR(__xludf.DUMMYFUNCTION("""COMPUTED_VALUE"""),"FILTER CLOGGING INDICATOR FOR DRAIN TANK RETURN HPU")</f>
        <v>FILTER CLOGGING INDICATOR FOR DRAIN TANK RETURN HPU</v>
      </c>
      <c r="D20" s="189" t="str">
        <f ca="1">IFERROR(__xludf.DUMMYFUNCTION("""COMPUTED_VALUE"""),"24VDC NO/NC")</f>
        <v>24VDC NO/NC</v>
      </c>
      <c r="E20" s="189" t="str">
        <f ca="1">IFERROR(__xludf.DUMMYFUNCTION("""COMPUTED_VALUE"""),"NA")</f>
        <v>NA</v>
      </c>
      <c r="F20" s="189" t="str">
        <f ca="1">IFERROR(__xludf.DUMMYFUNCTION("""COMPUTED_VALUE"""),"NA")</f>
        <v>NA</v>
      </c>
      <c r="G20" s="189" t="str">
        <f ca="1">IFERROR(__xludf.DUMMYFUNCTION("""COMPUTED_VALUE"""),"PE3     ")</f>
        <v xml:space="preserve">PE3     </v>
      </c>
      <c r="H20" s="189">
        <f ca="1">IFERROR(__xludf.DUMMYFUNCTION("""COMPUTED_VALUE"""),8)</f>
        <v>8</v>
      </c>
      <c r="I20" s="120" t="str">
        <f ca="1">IFERROR(__xludf.DUMMYFUNCTION("""COMPUTED_VALUE"""),"DIN PLUG (CONNECTOR INCLUDED)")</f>
        <v>DIN PLUG (CONNECTOR INCLUDED)</v>
      </c>
      <c r="J20" s="189" t="str">
        <f ca="1">IFERROR(__xludf.DUMMYFUNCTION("""COMPUTED_VALUE"""),"")</f>
        <v/>
      </c>
      <c r="K20" s="189" t="str">
        <f ca="1">IFERROR(__xludf.DUMMYFUNCTION("""COMPUTED_VALUE"""),"")</f>
        <v/>
      </c>
      <c r="L20" s="189" t="str">
        <f ca="1">IFERROR(__xludf.DUMMYFUNCTION("""COMPUTED_VALUE"""),"")</f>
        <v/>
      </c>
      <c r="M20" s="189" t="str">
        <f ca="1">IFERROR(__xludf.DUMMYFUNCTION("""COMPUTED_VALUE"""),"")</f>
        <v/>
      </c>
      <c r="N20" s="189" t="str">
        <f ca="1">IFERROR(__xludf.DUMMYFUNCTION("""COMPUTED_VALUE"""),"")</f>
        <v/>
      </c>
      <c r="O20" s="189" t="str">
        <f ca="1">IFERROR(__xludf.DUMMYFUNCTION("""COMPUTED_VALUE"""),"")</f>
        <v/>
      </c>
      <c r="P20" s="189" t="str">
        <f ca="1">IFERROR(__xludf.DUMMYFUNCTION("""COMPUTED_VALUE"""),"")</f>
        <v/>
      </c>
      <c r="Q20" s="189" t="str">
        <f ca="1">IFERROR(__xludf.DUMMYFUNCTION("""COMPUTED_VALUE"""),"")</f>
        <v/>
      </c>
      <c r="R20" s="189" t="str">
        <f ca="1">IFERROR(__xludf.DUMMYFUNCTION("""COMPUTED_VALUE"""),"")</f>
        <v/>
      </c>
      <c r="S20" s="189" t="str">
        <f ca="1">IFERROR(__xludf.DUMMYFUNCTION("""COMPUTED_VALUE"""),"")</f>
        <v/>
      </c>
      <c r="T20" s="189" t="str">
        <f ca="1">IFERROR(__xludf.DUMMYFUNCTION("""COMPUTED_VALUE"""),"")</f>
        <v/>
      </c>
      <c r="U20" s="189" t="str">
        <f ca="1">IFERROR(__xludf.DUMMYFUNCTION("""COMPUTED_VALUE"""),"")</f>
        <v/>
      </c>
      <c r="V20" s="189" t="str">
        <f ca="1">IFERROR(__xludf.DUMMYFUNCTION("""COMPUTED_VALUE"""),"")</f>
        <v/>
      </c>
      <c r="W20" s="189" t="str">
        <f ca="1">IFERROR(__xludf.DUMMYFUNCTION("""COMPUTED_VALUE"""),"")</f>
        <v/>
      </c>
      <c r="X20" s="189" t="str">
        <f ca="1">IFERROR(__xludf.DUMMYFUNCTION("""COMPUTED_VALUE"""),"")</f>
        <v/>
      </c>
      <c r="Y20" s="189" t="str">
        <f ca="1">IFERROR(__xludf.DUMMYFUNCTION("""COMPUTED_VALUE"""),"")</f>
        <v/>
      </c>
      <c r="Z20" s="189"/>
    </row>
    <row r="21" spans="1:26" ht="15.75" customHeight="1">
      <c r="A21" s="189" t="str">
        <f ca="1">IFERROR(__xludf.DUMMYFUNCTION("""COMPUTED_VALUE"""),"LEV-1")</f>
        <v>LEV-1</v>
      </c>
      <c r="B21" s="189" t="str">
        <f ca="1">IFERROR(__xludf.DUMMYFUNCTION("""COMPUTED_VALUE""")," LEVEL SENSOR")</f>
        <v xml:space="preserve"> LEVEL SENSOR</v>
      </c>
      <c r="C21" s="189" t="str">
        <f ca="1">IFERROR(__xludf.DUMMYFUNCTION("""COMPUTED_VALUE"""),"MAIN TANK OIL LEVEL SENSOR")</f>
        <v>MAIN TANK OIL LEVEL SENSOR</v>
      </c>
      <c r="D21" s="189" t="str">
        <f ca="1">IFERROR(__xludf.DUMMYFUNCTION("""COMPUTED_VALUE"""),"24VDC ˂50mA")</f>
        <v>24VDC ˂50mA</v>
      </c>
      <c r="E21" s="189" t="str">
        <f ca="1">IFERROR(__xludf.DUMMYFUNCTION("""COMPUTED_VALUE"""),"4..20mA")</f>
        <v>4..20mA</v>
      </c>
      <c r="F21" s="189" t="str">
        <f ca="1">IFERROR(__xludf.DUMMYFUNCTION("""COMPUTED_VALUE"""),"NA")</f>
        <v>NA</v>
      </c>
      <c r="G21" s="189" t="str">
        <f ca="1">IFERROR(__xludf.DUMMYFUNCTION("""COMPUTED_VALUE"""),"LR2050")</f>
        <v>LR2050</v>
      </c>
      <c r="H21" s="189">
        <f ca="1">IFERROR(__xludf.DUMMYFUNCTION("""COMPUTED_VALUE"""),11)</f>
        <v>11</v>
      </c>
      <c r="I21" s="120" t="str">
        <f ca="1">IFERROR(__xludf.DUMMYFUNCTION("""COMPUTED_VALUE"""),"M12")</f>
        <v>M12</v>
      </c>
      <c r="J21" s="189" t="str">
        <f ca="1">IFERROR(__xludf.DUMMYFUNCTION("""COMPUTED_VALUE"""),"")</f>
        <v/>
      </c>
      <c r="K21" s="189" t="str">
        <f ca="1">IFERROR(__xludf.DUMMYFUNCTION("""COMPUTED_VALUE"""),"")</f>
        <v/>
      </c>
      <c r="L21" s="189" t="str">
        <f ca="1">IFERROR(__xludf.DUMMYFUNCTION("""COMPUTED_VALUE"""),"")</f>
        <v/>
      </c>
      <c r="M21" s="189" t="str">
        <f ca="1">IFERROR(__xludf.DUMMYFUNCTION("""COMPUTED_VALUE"""),"")</f>
        <v/>
      </c>
      <c r="N21" s="189" t="str">
        <f ca="1">IFERROR(__xludf.DUMMYFUNCTION("""COMPUTED_VALUE"""),"")</f>
        <v/>
      </c>
      <c r="O21" s="189" t="str">
        <f ca="1">IFERROR(__xludf.DUMMYFUNCTION("""COMPUTED_VALUE"""),"")</f>
        <v/>
      </c>
      <c r="P21" s="189" t="str">
        <f ca="1">IFERROR(__xludf.DUMMYFUNCTION("""COMPUTED_VALUE"""),"")</f>
        <v/>
      </c>
      <c r="Q21" s="189" t="str">
        <f ca="1">IFERROR(__xludf.DUMMYFUNCTION("""COMPUTED_VALUE"""),"")</f>
        <v/>
      </c>
      <c r="R21" s="189" t="str">
        <f ca="1">IFERROR(__xludf.DUMMYFUNCTION("""COMPUTED_VALUE"""),"")</f>
        <v/>
      </c>
      <c r="S21" s="189" t="str">
        <f ca="1">IFERROR(__xludf.DUMMYFUNCTION("""COMPUTED_VALUE"""),"")</f>
        <v/>
      </c>
      <c r="T21" s="189" t="str">
        <f ca="1">IFERROR(__xludf.DUMMYFUNCTION("""COMPUTED_VALUE"""),"")</f>
        <v/>
      </c>
      <c r="U21" s="189" t="str">
        <f ca="1">IFERROR(__xludf.DUMMYFUNCTION("""COMPUTED_VALUE"""),"")</f>
        <v/>
      </c>
      <c r="V21" s="189" t="str">
        <f ca="1">IFERROR(__xludf.DUMMYFUNCTION("""COMPUTED_VALUE"""),"")</f>
        <v/>
      </c>
      <c r="W21" s="189" t="str">
        <f ca="1">IFERROR(__xludf.DUMMYFUNCTION("""COMPUTED_VALUE"""),"")</f>
        <v/>
      </c>
      <c r="X21" s="189" t="str">
        <f ca="1">IFERROR(__xludf.DUMMYFUNCTION("""COMPUTED_VALUE"""),"")</f>
        <v/>
      </c>
      <c r="Y21" s="189" t="str">
        <f ca="1">IFERROR(__xludf.DUMMYFUNCTION("""COMPUTED_VALUE"""),"")</f>
        <v/>
      </c>
      <c r="Z21" s="189"/>
    </row>
    <row r="22" spans="1:26" ht="15.75" customHeight="1">
      <c r="A22" s="189" t="str">
        <f ca="1">IFERROR(__xludf.DUMMYFUNCTION("""COMPUTED_VALUE"""),"TEMP-1")</f>
        <v>TEMP-1</v>
      </c>
      <c r="B22" s="189" t="str">
        <f ca="1">IFERROR(__xludf.DUMMYFUNCTION("""COMPUTED_VALUE"""),"TEMPERATURE SENSOR(-50..150°C)")</f>
        <v>TEMPERATURE SENSOR(-50..150°C)</v>
      </c>
      <c r="C22" s="189" t="str">
        <f ca="1">IFERROR(__xludf.DUMMYFUNCTION("""COMPUTED_VALUE"""),"MAIN TANK OIL TEMPERATURE SENSOR")</f>
        <v>MAIN TANK OIL TEMPERATURE SENSOR</v>
      </c>
      <c r="D22" s="189" t="str">
        <f ca="1">IFERROR(__xludf.DUMMYFUNCTION("""COMPUTED_VALUE"""),"24VDC ˂50mA")</f>
        <v>24VDC ˂50mA</v>
      </c>
      <c r="E22" s="189" t="str">
        <f ca="1">IFERROR(__xludf.DUMMYFUNCTION("""COMPUTED_VALUE"""),"4..20mA")</f>
        <v>4..20mA</v>
      </c>
      <c r="F22" s="189" t="str">
        <f ca="1">IFERROR(__xludf.DUMMYFUNCTION("""COMPUTED_VALUE"""),"NA")</f>
        <v>NA</v>
      </c>
      <c r="G22" s="189" t="str">
        <f ca="1">IFERROR(__xludf.DUMMYFUNCTION("""COMPUTED_VALUE"""),"TA2135")</f>
        <v>TA2135</v>
      </c>
      <c r="H22" s="189">
        <f ca="1">IFERROR(__xludf.DUMMYFUNCTION("""COMPUTED_VALUE"""),12)</f>
        <v>12</v>
      </c>
      <c r="I22" s="120" t="str">
        <f ca="1">IFERROR(__xludf.DUMMYFUNCTION("""COMPUTED_VALUE"""),"M12")</f>
        <v>M12</v>
      </c>
      <c r="J22" s="189" t="str">
        <f ca="1">IFERROR(__xludf.DUMMYFUNCTION("""COMPUTED_VALUE"""),"")</f>
        <v/>
      </c>
      <c r="K22" s="189" t="str">
        <f ca="1">IFERROR(__xludf.DUMMYFUNCTION("""COMPUTED_VALUE"""),"")</f>
        <v/>
      </c>
      <c r="L22" s="189" t="str">
        <f ca="1">IFERROR(__xludf.DUMMYFUNCTION("""COMPUTED_VALUE"""),"")</f>
        <v/>
      </c>
      <c r="M22" s="189" t="str">
        <f ca="1">IFERROR(__xludf.DUMMYFUNCTION("""COMPUTED_VALUE"""),"")</f>
        <v/>
      </c>
      <c r="N22" s="189" t="str">
        <f ca="1">IFERROR(__xludf.DUMMYFUNCTION("""COMPUTED_VALUE"""),"")</f>
        <v/>
      </c>
      <c r="O22" s="189" t="str">
        <f ca="1">IFERROR(__xludf.DUMMYFUNCTION("""COMPUTED_VALUE"""),"")</f>
        <v/>
      </c>
      <c r="P22" s="189" t="str">
        <f ca="1">IFERROR(__xludf.DUMMYFUNCTION("""COMPUTED_VALUE"""),"")</f>
        <v/>
      </c>
      <c r="Q22" s="189" t="str">
        <f ca="1">IFERROR(__xludf.DUMMYFUNCTION("""COMPUTED_VALUE"""),"")</f>
        <v/>
      </c>
      <c r="R22" s="189" t="str">
        <f ca="1">IFERROR(__xludf.DUMMYFUNCTION("""COMPUTED_VALUE"""),"")</f>
        <v/>
      </c>
      <c r="S22" s="189" t="str">
        <f ca="1">IFERROR(__xludf.DUMMYFUNCTION("""COMPUTED_VALUE"""),"")</f>
        <v/>
      </c>
      <c r="T22" s="189" t="str">
        <f ca="1">IFERROR(__xludf.DUMMYFUNCTION("""COMPUTED_VALUE"""),"")</f>
        <v/>
      </c>
      <c r="U22" s="189" t="str">
        <f ca="1">IFERROR(__xludf.DUMMYFUNCTION("""COMPUTED_VALUE"""),"")</f>
        <v/>
      </c>
      <c r="V22" s="189" t="str">
        <f ca="1">IFERROR(__xludf.DUMMYFUNCTION("""COMPUTED_VALUE"""),"")</f>
        <v/>
      </c>
      <c r="W22" s="189" t="str">
        <f ca="1">IFERROR(__xludf.DUMMYFUNCTION("""COMPUTED_VALUE"""),"")</f>
        <v/>
      </c>
      <c r="X22" s="189" t="str">
        <f ca="1">IFERROR(__xludf.DUMMYFUNCTION("""COMPUTED_VALUE"""),"")</f>
        <v/>
      </c>
      <c r="Y22" s="189" t="str">
        <f ca="1">IFERROR(__xludf.DUMMYFUNCTION("""COMPUTED_VALUE"""),"")</f>
        <v/>
      </c>
      <c r="Z22" s="189"/>
    </row>
    <row r="23" spans="1:26" ht="15.75" customHeight="1">
      <c r="A23" s="189" t="str">
        <f ca="1">IFERROR(__xludf.DUMMYFUNCTION("""COMPUTED_VALUE"""),"")</f>
        <v/>
      </c>
      <c r="B23" s="189" t="str">
        <f ca="1">IFERROR(__xludf.DUMMYFUNCTION("""COMPUTED_VALUE"""),"1069-11-01")</f>
        <v>1069-11-01</v>
      </c>
      <c r="C23" s="189" t="str">
        <f ca="1">IFERROR(__xludf.DUMMYFUNCTION("""COMPUTED_VALUE"""),"JUNCTION MANIFOLD")</f>
        <v>JUNCTION MANIFOLD</v>
      </c>
      <c r="D23" s="189" t="str">
        <f ca="1">IFERROR(__xludf.DUMMYFUNCTION("""COMPUTED_VALUE"""),"")</f>
        <v/>
      </c>
      <c r="E23" s="189" t="str">
        <f ca="1">IFERROR(__xludf.DUMMYFUNCTION("""COMPUTED_VALUE"""),"")</f>
        <v/>
      </c>
      <c r="F23" s="189" t="str">
        <f ca="1">IFERROR(__xludf.DUMMYFUNCTION("""COMPUTED_VALUE"""),"")</f>
        <v/>
      </c>
      <c r="G23" s="189" t="str">
        <f ca="1">IFERROR(__xludf.DUMMYFUNCTION("""COMPUTED_VALUE"""),"")</f>
        <v/>
      </c>
      <c r="H23" s="189" t="str">
        <f ca="1">IFERROR(__xludf.DUMMYFUNCTION("""COMPUTED_VALUE"""),"")</f>
        <v/>
      </c>
      <c r="I23" s="120" t="str">
        <f ca="1">IFERROR(__xludf.DUMMYFUNCTION("""COMPUTED_VALUE"""),"")</f>
        <v/>
      </c>
      <c r="J23" s="189" t="str">
        <f ca="1">IFERROR(__xludf.DUMMYFUNCTION("""COMPUTED_VALUE"""),"")</f>
        <v/>
      </c>
      <c r="K23" s="189" t="str">
        <f ca="1">IFERROR(__xludf.DUMMYFUNCTION("""COMPUTED_VALUE"""),"")</f>
        <v/>
      </c>
      <c r="L23" s="189" t="str">
        <f ca="1">IFERROR(__xludf.DUMMYFUNCTION("""COMPUTED_VALUE"""),"")</f>
        <v/>
      </c>
      <c r="M23" s="189" t="str">
        <f ca="1">IFERROR(__xludf.DUMMYFUNCTION("""COMPUTED_VALUE"""),"")</f>
        <v/>
      </c>
      <c r="N23" s="189" t="str">
        <f ca="1">IFERROR(__xludf.DUMMYFUNCTION("""COMPUTED_VALUE"""),"")</f>
        <v/>
      </c>
      <c r="O23" s="189" t="str">
        <f ca="1">IFERROR(__xludf.DUMMYFUNCTION("""COMPUTED_VALUE"""),"")</f>
        <v/>
      </c>
      <c r="P23" s="189" t="str">
        <f ca="1">IFERROR(__xludf.DUMMYFUNCTION("""COMPUTED_VALUE"""),"")</f>
        <v/>
      </c>
      <c r="Q23" s="189" t="str">
        <f ca="1">IFERROR(__xludf.DUMMYFUNCTION("""COMPUTED_VALUE"""),"")</f>
        <v/>
      </c>
      <c r="R23" s="189" t="str">
        <f ca="1">IFERROR(__xludf.DUMMYFUNCTION("""COMPUTED_VALUE"""),"")</f>
        <v/>
      </c>
      <c r="S23" s="189" t="str">
        <f ca="1">IFERROR(__xludf.DUMMYFUNCTION("""COMPUTED_VALUE"""),"")</f>
        <v/>
      </c>
      <c r="T23" s="189" t="str">
        <f ca="1">IFERROR(__xludf.DUMMYFUNCTION("""COMPUTED_VALUE"""),"")</f>
        <v/>
      </c>
      <c r="U23" s="189" t="str">
        <f ca="1">IFERROR(__xludf.DUMMYFUNCTION("""COMPUTED_VALUE"""),"")</f>
        <v/>
      </c>
      <c r="V23" s="189" t="str">
        <f ca="1">IFERROR(__xludf.DUMMYFUNCTION("""COMPUTED_VALUE"""),"")</f>
        <v/>
      </c>
      <c r="W23" s="189" t="str">
        <f ca="1">IFERROR(__xludf.DUMMYFUNCTION("""COMPUTED_VALUE"""),"")</f>
        <v/>
      </c>
      <c r="X23" s="189" t="str">
        <f ca="1">IFERROR(__xludf.DUMMYFUNCTION("""COMPUTED_VALUE"""),"")</f>
        <v/>
      </c>
      <c r="Y23" s="189" t="str">
        <f ca="1">IFERROR(__xludf.DUMMYFUNCTION("""COMPUTED_VALUE"""),"")</f>
        <v/>
      </c>
      <c r="Z23" s="189"/>
    </row>
    <row r="24" spans="1:26" ht="15.75" customHeight="1">
      <c r="A24" s="189" t="str">
        <f ca="1">IFERROR(__xludf.DUMMYFUNCTION("""COMPUTED_VALUE"""),"F5")</f>
        <v>F5</v>
      </c>
      <c r="B24" s="189" t="str">
        <f ca="1">IFERROR(__xludf.DUMMYFUNCTION("""COMPUTED_VALUE"""),"PRESSURE SWITCH ")</f>
        <v xml:space="preserve">PRESSURE SWITCH </v>
      </c>
      <c r="C24" s="189" t="str">
        <f ca="1">IFERROR(__xludf.DUMMYFUNCTION("""COMPUTED_VALUE"""),"FILTER CLOGGING INDICATOR FOR TILT CIRCUIT HPU")</f>
        <v>FILTER CLOGGING INDICATOR FOR TILT CIRCUIT HPU</v>
      </c>
      <c r="D24" s="189" t="str">
        <f ca="1">IFERROR(__xludf.DUMMYFUNCTION("""COMPUTED_VALUE"""),"24VDC NO/NC")</f>
        <v>24VDC NO/NC</v>
      </c>
      <c r="E24" s="189" t="str">
        <f ca="1">IFERROR(__xludf.DUMMYFUNCTION("""COMPUTED_VALUE"""),"NA")</f>
        <v>NA</v>
      </c>
      <c r="F24" s="189" t="str">
        <f ca="1">IFERROR(__xludf.DUMMYFUNCTION("""COMPUTED_VALUE"""),"NA")</f>
        <v>NA</v>
      </c>
      <c r="G24" s="189">
        <f ca="1">IFERROR(__xludf.DUMMYFUNCTION("""COMPUTED_VALUE"""),328207)</f>
        <v>328207</v>
      </c>
      <c r="H24" s="189">
        <f ca="1">IFERROR(__xludf.DUMMYFUNCTION("""COMPUTED_VALUE"""),15)</f>
        <v>15</v>
      </c>
      <c r="I24" s="120" t="str">
        <f ca="1">IFERROR(__xludf.DUMMYFUNCTION("""COMPUTED_VALUE"""),"DIN PLUG (CONNECTOR INCLUDED)")</f>
        <v>DIN PLUG (CONNECTOR INCLUDED)</v>
      </c>
      <c r="J24" s="189" t="str">
        <f ca="1">IFERROR(__xludf.DUMMYFUNCTION("""COMPUTED_VALUE"""),"")</f>
        <v/>
      </c>
      <c r="K24" s="189" t="str">
        <f ca="1">IFERROR(__xludf.DUMMYFUNCTION("""COMPUTED_VALUE"""),"")</f>
        <v/>
      </c>
      <c r="L24" s="189" t="str">
        <f ca="1">IFERROR(__xludf.DUMMYFUNCTION("""COMPUTED_VALUE"""),"")</f>
        <v/>
      </c>
      <c r="M24" s="189" t="str">
        <f ca="1">IFERROR(__xludf.DUMMYFUNCTION("""COMPUTED_VALUE"""),"")</f>
        <v/>
      </c>
      <c r="N24" s="189" t="str">
        <f ca="1">IFERROR(__xludf.DUMMYFUNCTION("""COMPUTED_VALUE"""),"")</f>
        <v/>
      </c>
      <c r="O24" s="189" t="str">
        <f ca="1">IFERROR(__xludf.DUMMYFUNCTION("""COMPUTED_VALUE"""),"")</f>
        <v/>
      </c>
      <c r="P24" s="189" t="str">
        <f ca="1">IFERROR(__xludf.DUMMYFUNCTION("""COMPUTED_VALUE"""),"")</f>
        <v/>
      </c>
      <c r="Q24" s="189" t="str">
        <f ca="1">IFERROR(__xludf.DUMMYFUNCTION("""COMPUTED_VALUE"""),"")</f>
        <v/>
      </c>
      <c r="R24" s="189" t="str">
        <f ca="1">IFERROR(__xludf.DUMMYFUNCTION("""COMPUTED_VALUE"""),"")</f>
        <v/>
      </c>
      <c r="S24" s="189" t="str">
        <f ca="1">IFERROR(__xludf.DUMMYFUNCTION("""COMPUTED_VALUE"""),"")</f>
        <v/>
      </c>
      <c r="T24" s="189" t="str">
        <f ca="1">IFERROR(__xludf.DUMMYFUNCTION("""COMPUTED_VALUE"""),"")</f>
        <v/>
      </c>
      <c r="U24" s="189" t="str">
        <f ca="1">IFERROR(__xludf.DUMMYFUNCTION("""COMPUTED_VALUE"""),"")</f>
        <v/>
      </c>
      <c r="V24" s="189" t="str">
        <f ca="1">IFERROR(__xludf.DUMMYFUNCTION("""COMPUTED_VALUE"""),"")</f>
        <v/>
      </c>
      <c r="W24" s="189" t="str">
        <f ca="1">IFERROR(__xludf.DUMMYFUNCTION("""COMPUTED_VALUE"""),"")</f>
        <v/>
      </c>
      <c r="X24" s="189" t="str">
        <f ca="1">IFERROR(__xludf.DUMMYFUNCTION("""COMPUTED_VALUE"""),"")</f>
        <v/>
      </c>
      <c r="Y24" s="189" t="str">
        <f ca="1">IFERROR(__xludf.DUMMYFUNCTION("""COMPUTED_VALUE"""),"")</f>
        <v/>
      </c>
      <c r="Z24" s="189"/>
    </row>
    <row r="25" spans="1:26" ht="15.75" customHeight="1">
      <c r="A25" s="189" t="str">
        <f ca="1">IFERROR(__xludf.DUMMYFUNCTION("""COMPUTED_VALUE"""),"F6")</f>
        <v>F6</v>
      </c>
      <c r="B25" s="189" t="str">
        <f ca="1">IFERROR(__xludf.DUMMYFUNCTION("""COMPUTED_VALUE"""),"PRESSURE SWITCH ")</f>
        <v xml:space="preserve">PRESSURE SWITCH </v>
      </c>
      <c r="C25" s="189" t="str">
        <f ca="1">IFERROR(__xludf.DUMMYFUNCTION("""COMPUTED_VALUE"""),"FILTER CLOGGING INDICATOR FOR TILT CIRCUIT HPU")</f>
        <v>FILTER CLOGGING INDICATOR FOR TILT CIRCUIT HPU</v>
      </c>
      <c r="D25" s="189" t="str">
        <f ca="1">IFERROR(__xludf.DUMMYFUNCTION("""COMPUTED_VALUE"""),"24VDC NO/NC")</f>
        <v>24VDC NO/NC</v>
      </c>
      <c r="E25" s="189" t="str">
        <f ca="1">IFERROR(__xludf.DUMMYFUNCTION("""COMPUTED_VALUE"""),"NA")</f>
        <v>NA</v>
      </c>
      <c r="F25" s="189" t="str">
        <f ca="1">IFERROR(__xludf.DUMMYFUNCTION("""COMPUTED_VALUE"""),"NA")</f>
        <v>NA</v>
      </c>
      <c r="G25" s="189">
        <f ca="1">IFERROR(__xludf.DUMMYFUNCTION("""COMPUTED_VALUE"""),328207)</f>
        <v>328207</v>
      </c>
      <c r="H25" s="189">
        <f ca="1">IFERROR(__xludf.DUMMYFUNCTION("""COMPUTED_VALUE"""),15)</f>
        <v>15</v>
      </c>
      <c r="I25" s="120" t="str">
        <f ca="1">IFERROR(__xludf.DUMMYFUNCTION("""COMPUTED_VALUE"""),"DIN PLUG (CONNECTOR INCLUDED)")</f>
        <v>DIN PLUG (CONNECTOR INCLUDED)</v>
      </c>
      <c r="J25" s="189" t="str">
        <f ca="1">IFERROR(__xludf.DUMMYFUNCTION("""COMPUTED_VALUE"""),"")</f>
        <v/>
      </c>
      <c r="K25" s="189" t="str">
        <f ca="1">IFERROR(__xludf.DUMMYFUNCTION("""COMPUTED_VALUE"""),"")</f>
        <v/>
      </c>
      <c r="L25" s="189" t="str">
        <f ca="1">IFERROR(__xludf.DUMMYFUNCTION("""COMPUTED_VALUE"""),"")</f>
        <v/>
      </c>
      <c r="M25" s="189" t="str">
        <f ca="1">IFERROR(__xludf.DUMMYFUNCTION("""COMPUTED_VALUE"""),"")</f>
        <v/>
      </c>
      <c r="N25" s="189" t="str">
        <f ca="1">IFERROR(__xludf.DUMMYFUNCTION("""COMPUTED_VALUE"""),"")</f>
        <v/>
      </c>
      <c r="O25" s="189" t="str">
        <f ca="1">IFERROR(__xludf.DUMMYFUNCTION("""COMPUTED_VALUE"""),"")</f>
        <v/>
      </c>
      <c r="P25" s="189" t="str">
        <f ca="1">IFERROR(__xludf.DUMMYFUNCTION("""COMPUTED_VALUE"""),"")</f>
        <v/>
      </c>
      <c r="Q25" s="189" t="str">
        <f ca="1">IFERROR(__xludf.DUMMYFUNCTION("""COMPUTED_VALUE"""),"")</f>
        <v/>
      </c>
      <c r="R25" s="189" t="str">
        <f ca="1">IFERROR(__xludf.DUMMYFUNCTION("""COMPUTED_VALUE"""),"")</f>
        <v/>
      </c>
      <c r="S25" s="189" t="str">
        <f ca="1">IFERROR(__xludf.DUMMYFUNCTION("""COMPUTED_VALUE"""),"")</f>
        <v/>
      </c>
      <c r="T25" s="189" t="str">
        <f ca="1">IFERROR(__xludf.DUMMYFUNCTION("""COMPUTED_VALUE"""),"")</f>
        <v/>
      </c>
      <c r="U25" s="189" t="str">
        <f ca="1">IFERROR(__xludf.DUMMYFUNCTION("""COMPUTED_VALUE"""),"")</f>
        <v/>
      </c>
      <c r="V25" s="189" t="str">
        <f ca="1">IFERROR(__xludf.DUMMYFUNCTION("""COMPUTED_VALUE"""),"")</f>
        <v/>
      </c>
      <c r="W25" s="189" t="str">
        <f ca="1">IFERROR(__xludf.DUMMYFUNCTION("""COMPUTED_VALUE"""),"")</f>
        <v/>
      </c>
      <c r="X25" s="189" t="str">
        <f ca="1">IFERROR(__xludf.DUMMYFUNCTION("""COMPUTED_VALUE"""),"")</f>
        <v/>
      </c>
      <c r="Y25" s="189" t="str">
        <f ca="1">IFERROR(__xludf.DUMMYFUNCTION("""COMPUTED_VALUE"""),"")</f>
        <v/>
      </c>
      <c r="Z25" s="189"/>
    </row>
    <row r="26" spans="1:26" ht="15.75" customHeight="1">
      <c r="A26" s="189" t="str">
        <f ca="1">IFERROR(__xludf.DUMMYFUNCTION("""COMPUTED_VALUE"""),"")</f>
        <v/>
      </c>
      <c r="B26" s="189" t="str">
        <f ca="1">IFERROR(__xludf.DUMMYFUNCTION("""COMPUTED_VALUE"""),"1069-02-01")</f>
        <v>1069-02-01</v>
      </c>
      <c r="C26" s="189" t="str">
        <f ca="1">IFERROR(__xludf.DUMMYFUNCTION("""COMPUTED_VALUE"""),"TILT MANIFOLD")</f>
        <v>TILT MANIFOLD</v>
      </c>
      <c r="D26" s="189" t="str">
        <f ca="1">IFERROR(__xludf.DUMMYFUNCTION("""COMPUTED_VALUE"""),"")</f>
        <v/>
      </c>
      <c r="E26" s="189" t="str">
        <f ca="1">IFERROR(__xludf.DUMMYFUNCTION("""COMPUTED_VALUE"""),"")</f>
        <v/>
      </c>
      <c r="F26" s="189" t="str">
        <f ca="1">IFERROR(__xludf.DUMMYFUNCTION("""COMPUTED_VALUE"""),"")</f>
        <v/>
      </c>
      <c r="G26" s="189" t="str">
        <f ca="1">IFERROR(__xludf.DUMMYFUNCTION("""COMPUTED_VALUE"""),"")</f>
        <v/>
      </c>
      <c r="H26" s="189" t="str">
        <f ca="1">IFERROR(__xludf.DUMMYFUNCTION("""COMPUTED_VALUE"""),"")</f>
        <v/>
      </c>
      <c r="I26" s="120" t="str">
        <f ca="1">IFERROR(__xludf.DUMMYFUNCTION("""COMPUTED_VALUE"""),"")</f>
        <v/>
      </c>
      <c r="J26" s="189" t="str">
        <f ca="1">IFERROR(__xludf.DUMMYFUNCTION("""COMPUTED_VALUE"""),"")</f>
        <v/>
      </c>
      <c r="K26" s="189" t="str">
        <f ca="1">IFERROR(__xludf.DUMMYFUNCTION("""COMPUTED_VALUE"""),"")</f>
        <v/>
      </c>
      <c r="L26" s="189" t="str">
        <f ca="1">IFERROR(__xludf.DUMMYFUNCTION("""COMPUTED_VALUE"""),"")</f>
        <v/>
      </c>
      <c r="M26" s="189" t="str">
        <f ca="1">IFERROR(__xludf.DUMMYFUNCTION("""COMPUTED_VALUE"""),"")</f>
        <v/>
      </c>
      <c r="N26" s="189" t="str">
        <f ca="1">IFERROR(__xludf.DUMMYFUNCTION("""COMPUTED_VALUE"""),"")</f>
        <v/>
      </c>
      <c r="O26" s="189" t="str">
        <f ca="1">IFERROR(__xludf.DUMMYFUNCTION("""COMPUTED_VALUE"""),"")</f>
        <v/>
      </c>
      <c r="P26" s="189" t="str">
        <f ca="1">IFERROR(__xludf.DUMMYFUNCTION("""COMPUTED_VALUE"""),"")</f>
        <v/>
      </c>
      <c r="Q26" s="189" t="str">
        <f ca="1">IFERROR(__xludf.DUMMYFUNCTION("""COMPUTED_VALUE"""),"")</f>
        <v/>
      </c>
      <c r="R26" s="189" t="str">
        <f ca="1">IFERROR(__xludf.DUMMYFUNCTION("""COMPUTED_VALUE"""),"")</f>
        <v/>
      </c>
      <c r="S26" s="189" t="str">
        <f ca="1">IFERROR(__xludf.DUMMYFUNCTION("""COMPUTED_VALUE"""),"")</f>
        <v/>
      </c>
      <c r="T26" s="189" t="str">
        <f ca="1">IFERROR(__xludf.DUMMYFUNCTION("""COMPUTED_VALUE"""),"")</f>
        <v/>
      </c>
      <c r="U26" s="189" t="str">
        <f ca="1">IFERROR(__xludf.DUMMYFUNCTION("""COMPUTED_VALUE"""),"")</f>
        <v/>
      </c>
      <c r="V26" s="189" t="str">
        <f ca="1">IFERROR(__xludf.DUMMYFUNCTION("""COMPUTED_VALUE"""),"")</f>
        <v/>
      </c>
      <c r="W26" s="189" t="str">
        <f ca="1">IFERROR(__xludf.DUMMYFUNCTION("""COMPUTED_VALUE"""),"")</f>
        <v/>
      </c>
      <c r="X26" s="189" t="str">
        <f ca="1">IFERROR(__xludf.DUMMYFUNCTION("""COMPUTED_VALUE"""),"")</f>
        <v/>
      </c>
      <c r="Y26" s="189" t="str">
        <f ca="1">IFERROR(__xludf.DUMMYFUNCTION("""COMPUTED_VALUE"""),"")</f>
        <v/>
      </c>
      <c r="Z26" s="189"/>
    </row>
    <row r="27" spans="1:26" ht="15.75" customHeight="1">
      <c r="A27" s="189" t="str">
        <f ca="1">IFERROR(__xludf.DUMMYFUNCTION("""COMPUTED_VALUE"""),"C9")</f>
        <v>C9</v>
      </c>
      <c r="B27" s="189" t="str">
        <f ca="1">IFERROR(__xludf.DUMMYFUNCTION("""COMPUTED_VALUE"""),"ON/OFF SOLENOID VALVE")</f>
        <v>ON/OFF SOLENOID VALVE</v>
      </c>
      <c r="C27" s="189" t="str">
        <f ca="1">IFERROR(__xludf.DUMMYFUNCTION("""COMPUTED_VALUE"""),"HOT OIL CIRCULATION (IF REQUIRED)")</f>
        <v>HOT OIL CIRCULATION (IF REQUIRED)</v>
      </c>
      <c r="D27" s="189" t="str">
        <f ca="1">IFERROR(__xludf.DUMMYFUNCTION("""COMPUTED_VALUE"""),"24VDC 20W")</f>
        <v>24VDC 20W</v>
      </c>
      <c r="E27" s="189" t="str">
        <f ca="1">IFERROR(__xludf.DUMMYFUNCTION("""COMPUTED_VALUE"""),"NA")</f>
        <v>NA</v>
      </c>
      <c r="F27" s="189" t="str">
        <f ca="1">IFERROR(__xludf.DUMMYFUNCTION("""COMPUTED_VALUE"""),"NA")</f>
        <v>NA</v>
      </c>
      <c r="G27" s="189" t="str">
        <f ca="1">IFERROR(__xludf.DUMMYFUNCTION("""COMPUTED_VALUE"""),"")</f>
        <v/>
      </c>
      <c r="H27" s="189" t="str">
        <f ca="1">IFERROR(__xludf.DUMMYFUNCTION("""COMPUTED_VALUE"""),"")</f>
        <v/>
      </c>
      <c r="I27" s="120" t="str">
        <f ca="1">IFERROR(__xludf.DUMMYFUNCTION("""COMPUTED_VALUE"""),"DEUTSCH DTO4-2P (CONNECTOR INCLUDED)")</f>
        <v>DEUTSCH DTO4-2P (CONNECTOR INCLUDED)</v>
      </c>
      <c r="J27" s="189" t="str">
        <f ca="1">IFERROR(__xludf.DUMMYFUNCTION("""COMPUTED_VALUE"""),"")</f>
        <v/>
      </c>
      <c r="K27" s="189" t="str">
        <f ca="1">IFERROR(__xludf.DUMMYFUNCTION("""COMPUTED_VALUE"""),"")</f>
        <v/>
      </c>
      <c r="L27" s="189" t="str">
        <f ca="1">IFERROR(__xludf.DUMMYFUNCTION("""COMPUTED_VALUE"""),"")</f>
        <v/>
      </c>
      <c r="M27" s="189" t="str">
        <f ca="1">IFERROR(__xludf.DUMMYFUNCTION("""COMPUTED_VALUE"""),"")</f>
        <v/>
      </c>
      <c r="N27" s="189" t="str">
        <f ca="1">IFERROR(__xludf.DUMMYFUNCTION("""COMPUTED_VALUE"""),"")</f>
        <v/>
      </c>
      <c r="O27" s="189" t="str">
        <f ca="1">IFERROR(__xludf.DUMMYFUNCTION("""COMPUTED_VALUE"""),"")</f>
        <v/>
      </c>
      <c r="P27" s="189" t="str">
        <f ca="1">IFERROR(__xludf.DUMMYFUNCTION("""COMPUTED_VALUE"""),"")</f>
        <v/>
      </c>
      <c r="Q27" s="189" t="str">
        <f ca="1">IFERROR(__xludf.DUMMYFUNCTION("""COMPUTED_VALUE"""),"")</f>
        <v/>
      </c>
      <c r="R27" s="189" t="str">
        <f ca="1">IFERROR(__xludf.DUMMYFUNCTION("""COMPUTED_VALUE"""),"")</f>
        <v/>
      </c>
      <c r="S27" s="189" t="str">
        <f ca="1">IFERROR(__xludf.DUMMYFUNCTION("""COMPUTED_VALUE"""),"")</f>
        <v/>
      </c>
      <c r="T27" s="189" t="str">
        <f ca="1">IFERROR(__xludf.DUMMYFUNCTION("""COMPUTED_VALUE"""),"")</f>
        <v/>
      </c>
      <c r="U27" s="189" t="str">
        <f ca="1">IFERROR(__xludf.DUMMYFUNCTION("""COMPUTED_VALUE"""),"")</f>
        <v/>
      </c>
      <c r="V27" s="189" t="str">
        <f ca="1">IFERROR(__xludf.DUMMYFUNCTION("""COMPUTED_VALUE"""),"")</f>
        <v/>
      </c>
      <c r="W27" s="189" t="str">
        <f ca="1">IFERROR(__xludf.DUMMYFUNCTION("""COMPUTED_VALUE"""),"")</f>
        <v/>
      </c>
      <c r="X27" s="189" t="str">
        <f ca="1">IFERROR(__xludf.DUMMYFUNCTION("""COMPUTED_VALUE"""),"")</f>
        <v/>
      </c>
      <c r="Y27" s="189" t="str">
        <f ca="1">IFERROR(__xludf.DUMMYFUNCTION("""COMPUTED_VALUE"""),"")</f>
        <v/>
      </c>
      <c r="Z27" s="189"/>
    </row>
    <row r="28" spans="1:26" ht="15.75" customHeight="1">
      <c r="A28" s="189" t="str">
        <f ca="1">IFERROR(__xludf.DUMMYFUNCTION("""COMPUTED_VALUE"""),"PT-3")</f>
        <v>PT-3</v>
      </c>
      <c r="B28" s="189" t="str">
        <f ca="1">IFERROR(__xludf.DUMMYFUNCTION("""COMPUTED_VALUE"""),"PRESSURE TRANSDUCER")</f>
        <v>PRESSURE TRANSDUCER</v>
      </c>
      <c r="C28" s="189" t="str">
        <f ca="1">IFERROR(__xludf.DUMMYFUNCTION("""COMPUTED_VALUE"""),"TILT CIRCUIT PRESSURE SENSOR")</f>
        <v>TILT CIRCUIT PRESSURE SENSOR</v>
      </c>
      <c r="D28" s="189" t="str">
        <f ca="1">IFERROR(__xludf.DUMMYFUNCTION("""COMPUTED_VALUE"""),"24VDC")</f>
        <v>24VDC</v>
      </c>
      <c r="E28" s="189" t="str">
        <f ca="1">IFERROR(__xludf.DUMMYFUNCTION("""COMPUTED_VALUE"""),"4..20mA")</f>
        <v>4..20mA</v>
      </c>
      <c r="F28" s="189" t="str">
        <f ca="1">IFERROR(__xludf.DUMMYFUNCTION("""COMPUTED_VALUE"""),"NA")</f>
        <v>NA</v>
      </c>
      <c r="G28" s="189" t="str">
        <f ca="1">IFERROR(__xludf.DUMMYFUNCTION("""COMPUTED_VALUE"""),"PT5400")</f>
        <v>PT5400</v>
      </c>
      <c r="H28" s="189">
        <f ca="1">IFERROR(__xludf.DUMMYFUNCTION("""COMPUTED_VALUE"""),24)</f>
        <v>24</v>
      </c>
      <c r="I28" s="120" t="str">
        <f ca="1">IFERROR(__xludf.DUMMYFUNCTION("""COMPUTED_VALUE"""),"M12")</f>
        <v>M12</v>
      </c>
      <c r="J28" s="189" t="str">
        <f ca="1">IFERROR(__xludf.DUMMYFUNCTION("""COMPUTED_VALUE"""),"")</f>
        <v/>
      </c>
      <c r="K28" s="189" t="str">
        <f ca="1">IFERROR(__xludf.DUMMYFUNCTION("""COMPUTED_VALUE"""),"")</f>
        <v/>
      </c>
      <c r="L28" s="189" t="str">
        <f ca="1">IFERROR(__xludf.DUMMYFUNCTION("""COMPUTED_VALUE"""),"")</f>
        <v/>
      </c>
      <c r="M28" s="189" t="str">
        <f ca="1">IFERROR(__xludf.DUMMYFUNCTION("""COMPUTED_VALUE"""),"")</f>
        <v/>
      </c>
      <c r="N28" s="189" t="str">
        <f ca="1">IFERROR(__xludf.DUMMYFUNCTION("""COMPUTED_VALUE"""),"")</f>
        <v/>
      </c>
      <c r="O28" s="189" t="str">
        <f ca="1">IFERROR(__xludf.DUMMYFUNCTION("""COMPUTED_VALUE"""),"")</f>
        <v/>
      </c>
      <c r="P28" s="189" t="str">
        <f ca="1">IFERROR(__xludf.DUMMYFUNCTION("""COMPUTED_VALUE"""),"")</f>
        <v/>
      </c>
      <c r="Q28" s="189" t="str">
        <f ca="1">IFERROR(__xludf.DUMMYFUNCTION("""COMPUTED_VALUE"""),"")</f>
        <v/>
      </c>
      <c r="R28" s="189" t="str">
        <f ca="1">IFERROR(__xludf.DUMMYFUNCTION("""COMPUTED_VALUE"""),"")</f>
        <v/>
      </c>
      <c r="S28" s="189" t="str">
        <f ca="1">IFERROR(__xludf.DUMMYFUNCTION("""COMPUTED_VALUE"""),"")</f>
        <v/>
      </c>
      <c r="T28" s="189" t="str">
        <f ca="1">IFERROR(__xludf.DUMMYFUNCTION("""COMPUTED_VALUE"""),"")</f>
        <v/>
      </c>
      <c r="U28" s="189" t="str">
        <f ca="1">IFERROR(__xludf.DUMMYFUNCTION("""COMPUTED_VALUE"""),"")</f>
        <v/>
      </c>
      <c r="V28" s="189" t="str">
        <f ca="1">IFERROR(__xludf.DUMMYFUNCTION("""COMPUTED_VALUE"""),"")</f>
        <v/>
      </c>
      <c r="W28" s="189" t="str">
        <f ca="1">IFERROR(__xludf.DUMMYFUNCTION("""COMPUTED_VALUE"""),"")</f>
        <v/>
      </c>
      <c r="X28" s="189" t="str">
        <f ca="1">IFERROR(__xludf.DUMMYFUNCTION("""COMPUTED_VALUE"""),"")</f>
        <v/>
      </c>
      <c r="Y28" s="189" t="str">
        <f ca="1">IFERROR(__xludf.DUMMYFUNCTION("""COMPUTED_VALUE"""),"")</f>
        <v/>
      </c>
      <c r="Z28" s="189"/>
    </row>
    <row r="29" spans="1:26" ht="15.75" customHeight="1">
      <c r="A29" s="189" t="str">
        <f ca="1">IFERROR(__xludf.DUMMYFUNCTION("""COMPUTED_VALUE"""),"S7")</f>
        <v>S7</v>
      </c>
      <c r="B29" s="189" t="str">
        <f ca="1">IFERROR(__xludf.DUMMYFUNCTION("""COMPUTED_VALUE"""),"PROPORTIONAL DIRECTIONAL VALVE")</f>
        <v>PROPORTIONAL DIRECTIONAL VALVE</v>
      </c>
      <c r="C29" s="189" t="str">
        <f ca="1">IFERROR(__xludf.DUMMYFUNCTION("""COMPUTED_VALUE"""),"PLATFORM TILT PROPORTIONAL DIRECTIONAL VALVE")</f>
        <v>PLATFORM TILT PROPORTIONAL DIRECTIONAL VALVE</v>
      </c>
      <c r="D29" s="189" t="str">
        <f ca="1">IFERROR(__xludf.DUMMYFUNCTION("""COMPUTED_VALUE"""),"24VDC 3A")</f>
        <v>24VDC 3A</v>
      </c>
      <c r="E29" s="121" t="str">
        <f ca="1">IFERROR(__xludf.DUMMYFUNCTION("""COMPUTED_VALUE"""),"+/-10V")</f>
        <v>+/-10V</v>
      </c>
      <c r="F29" s="189" t="str">
        <f ca="1">IFERROR(__xludf.DUMMYFUNCTION("""COMPUTED_VALUE"""),"4..20mA")</f>
        <v>4..20mA</v>
      </c>
      <c r="G29" s="189" t="str">
        <f ca="1">IFERROR(__xludf.DUMMYFUNCTION("""COMPUTED_VALUE"""),"858AN00014A")</f>
        <v>858AN00014A</v>
      </c>
      <c r="H29" s="189">
        <f ca="1">IFERROR(__xludf.DUMMYFUNCTION("""COMPUTED_VALUE"""),31)</f>
        <v>31</v>
      </c>
      <c r="I29" s="120" t="str">
        <f ca="1">IFERROR(__xludf.DUMMYFUNCTION("""COMPUTED_VALUE"""),"INDUSTRIAL 7 PIN PLUG (CONNECTOR INCLUDED)")</f>
        <v>INDUSTRIAL 7 PIN PLUG (CONNECTOR INCLUDED)</v>
      </c>
      <c r="J29" s="189" t="str">
        <f ca="1">IFERROR(__xludf.DUMMYFUNCTION("""COMPUTED_VALUE"""),"")</f>
        <v/>
      </c>
      <c r="K29" s="189" t="str">
        <f ca="1">IFERROR(__xludf.DUMMYFUNCTION("""COMPUTED_VALUE"""),"")</f>
        <v/>
      </c>
      <c r="L29" s="189" t="str">
        <f ca="1">IFERROR(__xludf.DUMMYFUNCTION("""COMPUTED_VALUE"""),"")</f>
        <v/>
      </c>
      <c r="M29" s="189" t="str">
        <f ca="1">IFERROR(__xludf.DUMMYFUNCTION("""COMPUTED_VALUE"""),"")</f>
        <v/>
      </c>
      <c r="N29" s="189" t="str">
        <f ca="1">IFERROR(__xludf.DUMMYFUNCTION("""COMPUTED_VALUE"""),"")</f>
        <v/>
      </c>
      <c r="O29" s="189" t="str">
        <f ca="1">IFERROR(__xludf.DUMMYFUNCTION("""COMPUTED_VALUE"""),"")</f>
        <v/>
      </c>
      <c r="P29" s="189" t="str">
        <f ca="1">IFERROR(__xludf.DUMMYFUNCTION("""COMPUTED_VALUE"""),"")</f>
        <v/>
      </c>
      <c r="Q29" s="189" t="str">
        <f ca="1">IFERROR(__xludf.DUMMYFUNCTION("""COMPUTED_VALUE"""),"")</f>
        <v/>
      </c>
      <c r="R29" s="189" t="str">
        <f ca="1">IFERROR(__xludf.DUMMYFUNCTION("""COMPUTED_VALUE"""),"")</f>
        <v/>
      </c>
      <c r="S29" s="189" t="str">
        <f ca="1">IFERROR(__xludf.DUMMYFUNCTION("""COMPUTED_VALUE"""),"")</f>
        <v/>
      </c>
      <c r="T29" s="189" t="str">
        <f ca="1">IFERROR(__xludf.DUMMYFUNCTION("""COMPUTED_VALUE"""),"")</f>
        <v/>
      </c>
      <c r="U29" s="189" t="str">
        <f ca="1">IFERROR(__xludf.DUMMYFUNCTION("""COMPUTED_VALUE"""),"")</f>
        <v/>
      </c>
      <c r="V29" s="189" t="str">
        <f ca="1">IFERROR(__xludf.DUMMYFUNCTION("""COMPUTED_VALUE"""),"")</f>
        <v/>
      </c>
      <c r="W29" s="189" t="str">
        <f ca="1">IFERROR(__xludf.DUMMYFUNCTION("""COMPUTED_VALUE"""),"")</f>
        <v/>
      </c>
      <c r="X29" s="189" t="str">
        <f ca="1">IFERROR(__xludf.DUMMYFUNCTION("""COMPUTED_VALUE"""),"")</f>
        <v/>
      </c>
      <c r="Y29" s="189" t="str">
        <f ca="1">IFERROR(__xludf.DUMMYFUNCTION("""COMPUTED_VALUE"""),"")</f>
        <v/>
      </c>
      <c r="Z29" s="189"/>
    </row>
    <row r="30" spans="1:26" ht="15.75" customHeight="1">
      <c r="A30" s="189" t="str">
        <f ca="1">IFERROR(__xludf.DUMMYFUNCTION("""COMPUTED_VALUE"""),"S8")</f>
        <v>S8</v>
      </c>
      <c r="B30" s="189" t="str">
        <f ca="1">IFERROR(__xludf.DUMMYFUNCTION("""COMPUTED_VALUE"""),"PROPORTIONAL DIRECTIONAL VALVE")</f>
        <v>PROPORTIONAL DIRECTIONAL VALVE</v>
      </c>
      <c r="C30" s="189" t="str">
        <f ca="1">IFERROR(__xludf.DUMMYFUNCTION("""COMPUTED_VALUE"""),"TOP CLAMP PROPORTIONAL DIRECTIONAL VALVE")</f>
        <v>TOP CLAMP PROPORTIONAL DIRECTIONAL VALVE</v>
      </c>
      <c r="D30" s="189" t="str">
        <f ca="1">IFERROR(__xludf.DUMMYFUNCTION("""COMPUTED_VALUE"""),"24VDC 3A")</f>
        <v>24VDC 3A</v>
      </c>
      <c r="E30" s="121" t="str">
        <f ca="1">IFERROR(__xludf.DUMMYFUNCTION("""COMPUTED_VALUE"""),"+/-10V")</f>
        <v>+/-10V</v>
      </c>
      <c r="F30" s="189" t="str">
        <f ca="1">IFERROR(__xludf.DUMMYFUNCTION("""COMPUTED_VALUE"""),"4..20mA")</f>
        <v>4..20mA</v>
      </c>
      <c r="G30" s="189" t="str">
        <f ca="1">IFERROR(__xludf.DUMMYFUNCTION("""COMPUTED_VALUE"""),"858AN00064A")</f>
        <v>858AN00064A</v>
      </c>
      <c r="H30" s="189">
        <f ca="1">IFERROR(__xludf.DUMMYFUNCTION("""COMPUTED_VALUE"""),32)</f>
        <v>32</v>
      </c>
      <c r="I30" s="120" t="str">
        <f ca="1">IFERROR(__xludf.DUMMYFUNCTION("""COMPUTED_VALUE"""),"INDUSTRIAL 7 PIN PLUG (CONNECTOR INCLUDED)")</f>
        <v>INDUSTRIAL 7 PIN PLUG (CONNECTOR INCLUDED)</v>
      </c>
      <c r="J30" s="189" t="str">
        <f ca="1">IFERROR(__xludf.DUMMYFUNCTION("""COMPUTED_VALUE"""),"")</f>
        <v/>
      </c>
      <c r="K30" s="189" t="str">
        <f ca="1">IFERROR(__xludf.DUMMYFUNCTION("""COMPUTED_VALUE"""),"")</f>
        <v/>
      </c>
      <c r="L30" s="189" t="str">
        <f ca="1">IFERROR(__xludf.DUMMYFUNCTION("""COMPUTED_VALUE"""),"")</f>
        <v/>
      </c>
      <c r="M30" s="189" t="str">
        <f ca="1">IFERROR(__xludf.DUMMYFUNCTION("""COMPUTED_VALUE"""),"")</f>
        <v/>
      </c>
      <c r="N30" s="189" t="str">
        <f ca="1">IFERROR(__xludf.DUMMYFUNCTION("""COMPUTED_VALUE"""),"")</f>
        <v/>
      </c>
      <c r="O30" s="189" t="str">
        <f ca="1">IFERROR(__xludf.DUMMYFUNCTION("""COMPUTED_VALUE"""),"")</f>
        <v/>
      </c>
      <c r="P30" s="189" t="str">
        <f ca="1">IFERROR(__xludf.DUMMYFUNCTION("""COMPUTED_VALUE"""),"")</f>
        <v/>
      </c>
      <c r="Q30" s="189" t="str">
        <f ca="1">IFERROR(__xludf.DUMMYFUNCTION("""COMPUTED_VALUE"""),"")</f>
        <v/>
      </c>
      <c r="R30" s="189" t="str">
        <f ca="1">IFERROR(__xludf.DUMMYFUNCTION("""COMPUTED_VALUE"""),"")</f>
        <v/>
      </c>
      <c r="S30" s="189" t="str">
        <f ca="1">IFERROR(__xludf.DUMMYFUNCTION("""COMPUTED_VALUE"""),"")</f>
        <v/>
      </c>
      <c r="T30" s="189" t="str">
        <f ca="1">IFERROR(__xludf.DUMMYFUNCTION("""COMPUTED_VALUE"""),"")</f>
        <v/>
      </c>
      <c r="U30" s="189" t="str">
        <f ca="1">IFERROR(__xludf.DUMMYFUNCTION("""COMPUTED_VALUE"""),"")</f>
        <v/>
      </c>
      <c r="V30" s="189" t="str">
        <f ca="1">IFERROR(__xludf.DUMMYFUNCTION("""COMPUTED_VALUE"""),"")</f>
        <v/>
      </c>
      <c r="W30" s="189" t="str">
        <f ca="1">IFERROR(__xludf.DUMMYFUNCTION("""COMPUTED_VALUE"""),"")</f>
        <v/>
      </c>
      <c r="X30" s="189" t="str">
        <f ca="1">IFERROR(__xludf.DUMMYFUNCTION("""COMPUTED_VALUE"""),"")</f>
        <v/>
      </c>
      <c r="Y30" s="189" t="str">
        <f ca="1">IFERROR(__xludf.DUMMYFUNCTION("""COMPUTED_VALUE"""),"")</f>
        <v/>
      </c>
      <c r="Z30" s="189"/>
    </row>
    <row r="31" spans="1:26" ht="15.75" customHeight="1">
      <c r="A31" s="189" t="str">
        <f ca="1">IFERROR(__xludf.DUMMYFUNCTION("""COMPUTED_VALUE"""),"S9")</f>
        <v>S9</v>
      </c>
      <c r="B31" s="189" t="str">
        <f ca="1">IFERROR(__xludf.DUMMYFUNCTION("""COMPUTED_VALUE"""),"PROPORTIONAL DIRECTIONAL VALVE")</f>
        <v>PROPORTIONAL DIRECTIONAL VALVE</v>
      </c>
      <c r="C31" s="189" t="str">
        <f ca="1">IFERROR(__xludf.DUMMYFUNCTION("""COMPUTED_VALUE"""),"STRONG BACK PROPORTIONAL DIRECTIONAL VALVE")</f>
        <v>STRONG BACK PROPORTIONAL DIRECTIONAL VALVE</v>
      </c>
      <c r="D31" s="189" t="str">
        <f ca="1">IFERROR(__xludf.DUMMYFUNCTION("""COMPUTED_VALUE"""),"24VDC 3A")</f>
        <v>24VDC 3A</v>
      </c>
      <c r="E31" s="121" t="str">
        <f ca="1">IFERROR(__xludf.DUMMYFUNCTION("""COMPUTED_VALUE"""),"+/-10V")</f>
        <v>+/-10V</v>
      </c>
      <c r="F31" s="189" t="str">
        <f ca="1">IFERROR(__xludf.DUMMYFUNCTION("""COMPUTED_VALUE"""),"4..20mA")</f>
        <v>4..20mA</v>
      </c>
      <c r="G31" s="189" t="str">
        <f ca="1">IFERROR(__xludf.DUMMYFUNCTION("""COMPUTED_VALUE"""),"E040120")</f>
        <v>E040120</v>
      </c>
      <c r="H31" s="189">
        <f ca="1">IFERROR(__xludf.DUMMYFUNCTION("""COMPUTED_VALUE"""),33)</f>
        <v>33</v>
      </c>
      <c r="I31" s="120" t="str">
        <f ca="1">IFERROR(__xludf.DUMMYFUNCTION("""COMPUTED_VALUE"""),"INDUSTRIAL 7 PIN PLUG (CONNECTOR INCLUDED)")</f>
        <v>INDUSTRIAL 7 PIN PLUG (CONNECTOR INCLUDED)</v>
      </c>
      <c r="J31" s="189" t="str">
        <f ca="1">IFERROR(__xludf.DUMMYFUNCTION("""COMPUTED_VALUE"""),"")</f>
        <v/>
      </c>
      <c r="K31" s="189" t="str">
        <f ca="1">IFERROR(__xludf.DUMMYFUNCTION("""COMPUTED_VALUE"""),"")</f>
        <v/>
      </c>
      <c r="L31" s="189" t="str">
        <f ca="1">IFERROR(__xludf.DUMMYFUNCTION("""COMPUTED_VALUE"""),"")</f>
        <v/>
      </c>
      <c r="M31" s="189" t="str">
        <f ca="1">IFERROR(__xludf.DUMMYFUNCTION("""COMPUTED_VALUE"""),"")</f>
        <v/>
      </c>
      <c r="N31" s="189" t="str">
        <f ca="1">IFERROR(__xludf.DUMMYFUNCTION("""COMPUTED_VALUE"""),"")</f>
        <v/>
      </c>
      <c r="O31" s="189" t="str">
        <f ca="1">IFERROR(__xludf.DUMMYFUNCTION("""COMPUTED_VALUE"""),"")</f>
        <v/>
      </c>
      <c r="P31" s="189" t="str">
        <f ca="1">IFERROR(__xludf.DUMMYFUNCTION("""COMPUTED_VALUE"""),"")</f>
        <v/>
      </c>
      <c r="Q31" s="189" t="str">
        <f ca="1">IFERROR(__xludf.DUMMYFUNCTION("""COMPUTED_VALUE"""),"")</f>
        <v/>
      </c>
      <c r="R31" s="189" t="str">
        <f ca="1">IFERROR(__xludf.DUMMYFUNCTION("""COMPUTED_VALUE"""),"")</f>
        <v/>
      </c>
      <c r="S31" s="189" t="str">
        <f ca="1">IFERROR(__xludf.DUMMYFUNCTION("""COMPUTED_VALUE"""),"")</f>
        <v/>
      </c>
      <c r="T31" s="189" t="str">
        <f ca="1">IFERROR(__xludf.DUMMYFUNCTION("""COMPUTED_VALUE"""),"")</f>
        <v/>
      </c>
      <c r="U31" s="189" t="str">
        <f ca="1">IFERROR(__xludf.DUMMYFUNCTION("""COMPUTED_VALUE"""),"")</f>
        <v/>
      </c>
      <c r="V31" s="189" t="str">
        <f ca="1">IFERROR(__xludf.DUMMYFUNCTION("""COMPUTED_VALUE"""),"")</f>
        <v/>
      </c>
      <c r="W31" s="189" t="str">
        <f ca="1">IFERROR(__xludf.DUMMYFUNCTION("""COMPUTED_VALUE"""),"")</f>
        <v/>
      </c>
      <c r="X31" s="189" t="str">
        <f ca="1">IFERROR(__xludf.DUMMYFUNCTION("""COMPUTED_VALUE"""),"")</f>
        <v/>
      </c>
      <c r="Y31" s="189" t="str">
        <f ca="1">IFERROR(__xludf.DUMMYFUNCTION("""COMPUTED_VALUE"""),"")</f>
        <v/>
      </c>
      <c r="Z31" s="189"/>
    </row>
    <row r="32" spans="1:26" ht="15.75" customHeight="1">
      <c r="A32" s="189" t="str">
        <f ca="1">IFERROR(__xludf.DUMMYFUNCTION("""COMPUTED_VALUE"""),"S10.1")</f>
        <v>S10.1</v>
      </c>
      <c r="B32" s="189" t="str">
        <f ca="1">IFERROR(__xludf.DUMMYFUNCTION("""COMPUTED_VALUE"""),"ON/OFF SOLENOID VALVE")</f>
        <v>ON/OFF SOLENOID VALVE</v>
      </c>
      <c r="C32" s="189" t="str">
        <f ca="1">IFERROR(__xludf.DUMMYFUNCTION("""COMPUTED_VALUE"""),"TOP CLAMP BACKUP CLOSE FUNCTION")</f>
        <v>TOP CLAMP BACKUP CLOSE FUNCTION</v>
      </c>
      <c r="D32" s="189" t="str">
        <f ca="1">IFERROR(__xludf.DUMMYFUNCTION("""COMPUTED_VALUE"""),"24VDC 36W")</f>
        <v>24VDC 36W</v>
      </c>
      <c r="E32" s="121" t="str">
        <f ca="1">IFERROR(__xludf.DUMMYFUNCTION("""COMPUTED_VALUE"""),"NA ")</f>
        <v xml:space="preserve">NA </v>
      </c>
      <c r="F32" s="121" t="str">
        <f ca="1">IFERROR(__xludf.DUMMYFUNCTION("""COMPUTED_VALUE"""),"NA ")</f>
        <v xml:space="preserve">NA </v>
      </c>
      <c r="G32" s="189" t="str">
        <f ca="1">IFERROR(__xludf.DUMMYFUNCTION("""COMPUTED_VALUE"""),"02-414486")</f>
        <v>02-414486</v>
      </c>
      <c r="H32" s="189">
        <f ca="1">IFERROR(__xludf.DUMMYFUNCTION("""COMPUTED_VALUE"""),34)</f>
        <v>34</v>
      </c>
      <c r="I32" s="120" t="str">
        <f ca="1">IFERROR(__xludf.DUMMYFUNCTION("""COMPUTED_VALUE"""),"DEUTSCH DTO4-2P (CONNECTOR INCLUDED)")</f>
        <v>DEUTSCH DTO4-2P (CONNECTOR INCLUDED)</v>
      </c>
      <c r="J32" s="189" t="str">
        <f ca="1">IFERROR(__xludf.DUMMYFUNCTION("""COMPUTED_VALUE"""),"")</f>
        <v/>
      </c>
      <c r="K32" s="189" t="str">
        <f ca="1">IFERROR(__xludf.DUMMYFUNCTION("""COMPUTED_VALUE"""),"")</f>
        <v/>
      </c>
      <c r="L32" s="189" t="str">
        <f ca="1">IFERROR(__xludf.DUMMYFUNCTION("""COMPUTED_VALUE"""),"")</f>
        <v/>
      </c>
      <c r="M32" s="189" t="str">
        <f ca="1">IFERROR(__xludf.DUMMYFUNCTION("""COMPUTED_VALUE"""),"")</f>
        <v/>
      </c>
      <c r="N32" s="189" t="str">
        <f ca="1">IFERROR(__xludf.DUMMYFUNCTION("""COMPUTED_VALUE"""),"")</f>
        <v/>
      </c>
      <c r="O32" s="189" t="str">
        <f ca="1">IFERROR(__xludf.DUMMYFUNCTION("""COMPUTED_VALUE"""),"")</f>
        <v/>
      </c>
      <c r="P32" s="189" t="str">
        <f ca="1">IFERROR(__xludf.DUMMYFUNCTION("""COMPUTED_VALUE"""),"")</f>
        <v/>
      </c>
      <c r="Q32" s="189" t="str">
        <f ca="1">IFERROR(__xludf.DUMMYFUNCTION("""COMPUTED_VALUE"""),"")</f>
        <v/>
      </c>
      <c r="R32" s="189" t="str">
        <f ca="1">IFERROR(__xludf.DUMMYFUNCTION("""COMPUTED_VALUE"""),"")</f>
        <v/>
      </c>
      <c r="S32" s="189" t="str">
        <f ca="1">IFERROR(__xludf.DUMMYFUNCTION("""COMPUTED_VALUE"""),"")</f>
        <v/>
      </c>
      <c r="T32" s="189" t="str">
        <f ca="1">IFERROR(__xludf.DUMMYFUNCTION("""COMPUTED_VALUE"""),"")</f>
        <v/>
      </c>
      <c r="U32" s="189" t="str">
        <f ca="1">IFERROR(__xludf.DUMMYFUNCTION("""COMPUTED_VALUE"""),"")</f>
        <v/>
      </c>
      <c r="V32" s="189" t="str">
        <f ca="1">IFERROR(__xludf.DUMMYFUNCTION("""COMPUTED_VALUE"""),"")</f>
        <v/>
      </c>
      <c r="W32" s="189" t="str">
        <f ca="1">IFERROR(__xludf.DUMMYFUNCTION("""COMPUTED_VALUE"""),"")</f>
        <v/>
      </c>
      <c r="X32" s="189" t="str">
        <f ca="1">IFERROR(__xludf.DUMMYFUNCTION("""COMPUTED_VALUE"""),"")</f>
        <v/>
      </c>
      <c r="Y32" s="189" t="str">
        <f ca="1">IFERROR(__xludf.DUMMYFUNCTION("""COMPUTED_VALUE"""),"")</f>
        <v/>
      </c>
      <c r="Z32" s="189"/>
    </row>
    <row r="33" spans="1:26" ht="15.75" customHeight="1">
      <c r="A33" s="189" t="str">
        <f ca="1">IFERROR(__xludf.DUMMYFUNCTION("""COMPUTED_VALUE"""),"S10.2")</f>
        <v>S10.2</v>
      </c>
      <c r="B33" s="189" t="str">
        <f ca="1">IFERROR(__xludf.DUMMYFUNCTION("""COMPUTED_VALUE"""),"ON/OFF SOLENOID VALVE")</f>
        <v>ON/OFF SOLENOID VALVE</v>
      </c>
      <c r="C33" s="189" t="str">
        <f ca="1">IFERROR(__xludf.DUMMYFUNCTION("""COMPUTED_VALUE"""),"TOP CLAMP BACKUP OPEN FUNCTION")</f>
        <v>TOP CLAMP BACKUP OPEN FUNCTION</v>
      </c>
      <c r="D33" s="189" t="str">
        <f ca="1">IFERROR(__xludf.DUMMYFUNCTION("""COMPUTED_VALUE"""),"24VDC 36W")</f>
        <v>24VDC 36W</v>
      </c>
      <c r="E33" s="121" t="str">
        <f ca="1">IFERROR(__xludf.DUMMYFUNCTION("""COMPUTED_VALUE"""),"NA ")</f>
        <v xml:space="preserve">NA </v>
      </c>
      <c r="F33" s="121" t="str">
        <f ca="1">IFERROR(__xludf.DUMMYFUNCTION("""COMPUTED_VALUE"""),"NA ")</f>
        <v xml:space="preserve">NA </v>
      </c>
      <c r="G33" s="189" t="str">
        <f ca="1">IFERROR(__xludf.DUMMYFUNCTION("""COMPUTED_VALUE"""),"02-414486")</f>
        <v>02-414486</v>
      </c>
      <c r="H33" s="189">
        <f ca="1">IFERROR(__xludf.DUMMYFUNCTION("""COMPUTED_VALUE"""),34)</f>
        <v>34</v>
      </c>
      <c r="I33" s="120" t="str">
        <f ca="1">IFERROR(__xludf.DUMMYFUNCTION("""COMPUTED_VALUE"""),"DEUTSCH DTO4-2P (CONNECTOR INCLUDED)")</f>
        <v>DEUTSCH DTO4-2P (CONNECTOR INCLUDED)</v>
      </c>
      <c r="J33" s="189" t="str">
        <f ca="1">IFERROR(__xludf.DUMMYFUNCTION("""COMPUTED_VALUE"""),"")</f>
        <v/>
      </c>
      <c r="K33" s="189" t="str">
        <f ca="1">IFERROR(__xludf.DUMMYFUNCTION("""COMPUTED_VALUE"""),"")</f>
        <v/>
      </c>
      <c r="L33" s="189" t="str">
        <f ca="1">IFERROR(__xludf.DUMMYFUNCTION("""COMPUTED_VALUE"""),"")</f>
        <v/>
      </c>
      <c r="M33" s="189" t="str">
        <f ca="1">IFERROR(__xludf.DUMMYFUNCTION("""COMPUTED_VALUE"""),"")</f>
        <v/>
      </c>
      <c r="N33" s="189" t="str">
        <f ca="1">IFERROR(__xludf.DUMMYFUNCTION("""COMPUTED_VALUE"""),"")</f>
        <v/>
      </c>
      <c r="O33" s="189" t="str">
        <f ca="1">IFERROR(__xludf.DUMMYFUNCTION("""COMPUTED_VALUE"""),"")</f>
        <v/>
      </c>
      <c r="P33" s="189" t="str">
        <f ca="1">IFERROR(__xludf.DUMMYFUNCTION("""COMPUTED_VALUE"""),"")</f>
        <v/>
      </c>
      <c r="Q33" s="189" t="str">
        <f ca="1">IFERROR(__xludf.DUMMYFUNCTION("""COMPUTED_VALUE"""),"")</f>
        <v/>
      </c>
      <c r="R33" s="189" t="str">
        <f ca="1">IFERROR(__xludf.DUMMYFUNCTION("""COMPUTED_VALUE"""),"")</f>
        <v/>
      </c>
      <c r="S33" s="189" t="str">
        <f ca="1">IFERROR(__xludf.DUMMYFUNCTION("""COMPUTED_VALUE"""),"")</f>
        <v/>
      </c>
      <c r="T33" s="189" t="str">
        <f ca="1">IFERROR(__xludf.DUMMYFUNCTION("""COMPUTED_VALUE"""),"")</f>
        <v/>
      </c>
      <c r="U33" s="189" t="str">
        <f ca="1">IFERROR(__xludf.DUMMYFUNCTION("""COMPUTED_VALUE"""),"")</f>
        <v/>
      </c>
      <c r="V33" s="189" t="str">
        <f ca="1">IFERROR(__xludf.DUMMYFUNCTION("""COMPUTED_VALUE"""),"")</f>
        <v/>
      </c>
      <c r="W33" s="189" t="str">
        <f ca="1">IFERROR(__xludf.DUMMYFUNCTION("""COMPUTED_VALUE"""),"")</f>
        <v/>
      </c>
      <c r="X33" s="189" t="str">
        <f ca="1">IFERROR(__xludf.DUMMYFUNCTION("""COMPUTED_VALUE"""),"")</f>
        <v/>
      </c>
      <c r="Y33" s="189" t="str">
        <f ca="1">IFERROR(__xludf.DUMMYFUNCTION("""COMPUTED_VALUE"""),"")</f>
        <v/>
      </c>
      <c r="Z33" s="189"/>
    </row>
    <row r="34" spans="1:26" ht="15.75" customHeight="1">
      <c r="A34" s="189" t="str">
        <f ca="1">IFERROR(__xludf.DUMMYFUNCTION("""COMPUTED_VALUE"""),"S11")</f>
        <v>S11</v>
      </c>
      <c r="B34" s="189" t="str">
        <f ca="1">IFERROR(__xludf.DUMMYFUNCTION("""COMPUTED_VALUE"""),"ON/OFF SOLENOID VALVE")</f>
        <v>ON/OFF SOLENOID VALVE</v>
      </c>
      <c r="C34" s="189" t="str">
        <f ca="1">IFERROR(__xludf.DUMMYFUNCTION("""COMPUTED_VALUE"""),"TOP CLAMP BACK UP CHANGEOVER VALVE")</f>
        <v>TOP CLAMP BACK UP CHANGEOVER VALVE</v>
      </c>
      <c r="D34" s="189" t="str">
        <f ca="1">IFERROR(__xludf.DUMMYFUNCTION("""COMPUTED_VALUE"""),"24VDC 29W")</f>
        <v>24VDC 29W</v>
      </c>
      <c r="E34" s="121" t="str">
        <f ca="1">IFERROR(__xludf.DUMMYFUNCTION("""COMPUTED_VALUE"""),"NA ")</f>
        <v xml:space="preserve">NA </v>
      </c>
      <c r="F34" s="121" t="str">
        <f ca="1">IFERROR(__xludf.DUMMYFUNCTION("""COMPUTED_VALUE"""),"NA ")</f>
        <v xml:space="preserve">NA </v>
      </c>
      <c r="G34" s="189" t="str">
        <f ca="1">IFERROR(__xludf.DUMMYFUNCTION("""COMPUTED_VALUE"""),"02-175803")</f>
        <v>02-175803</v>
      </c>
      <c r="H34" s="189">
        <f ca="1">IFERROR(__xludf.DUMMYFUNCTION("""COMPUTED_VALUE"""),36)</f>
        <v>36</v>
      </c>
      <c r="I34" s="120" t="str">
        <f ca="1">IFERROR(__xludf.DUMMYFUNCTION("""COMPUTED_VALUE"""),"DEUTSCH DTO4-2P (CONNECTOR INCLUDED)")</f>
        <v>DEUTSCH DTO4-2P (CONNECTOR INCLUDED)</v>
      </c>
      <c r="J34" s="189" t="str">
        <f ca="1">IFERROR(__xludf.DUMMYFUNCTION("""COMPUTED_VALUE"""),"")</f>
        <v/>
      </c>
      <c r="K34" s="189" t="str">
        <f ca="1">IFERROR(__xludf.DUMMYFUNCTION("""COMPUTED_VALUE"""),"")</f>
        <v/>
      </c>
      <c r="L34" s="189" t="str">
        <f ca="1">IFERROR(__xludf.DUMMYFUNCTION("""COMPUTED_VALUE"""),"")</f>
        <v/>
      </c>
      <c r="M34" s="189" t="str">
        <f ca="1">IFERROR(__xludf.DUMMYFUNCTION("""COMPUTED_VALUE"""),"")</f>
        <v/>
      </c>
      <c r="N34" s="189" t="str">
        <f ca="1">IFERROR(__xludf.DUMMYFUNCTION("""COMPUTED_VALUE"""),"")</f>
        <v/>
      </c>
      <c r="O34" s="189" t="str">
        <f ca="1">IFERROR(__xludf.DUMMYFUNCTION("""COMPUTED_VALUE"""),"")</f>
        <v/>
      </c>
      <c r="P34" s="189" t="str">
        <f ca="1">IFERROR(__xludf.DUMMYFUNCTION("""COMPUTED_VALUE"""),"")</f>
        <v/>
      </c>
      <c r="Q34" s="189" t="str">
        <f ca="1">IFERROR(__xludf.DUMMYFUNCTION("""COMPUTED_VALUE"""),"")</f>
        <v/>
      </c>
      <c r="R34" s="189" t="str">
        <f ca="1">IFERROR(__xludf.DUMMYFUNCTION("""COMPUTED_VALUE"""),"")</f>
        <v/>
      </c>
      <c r="S34" s="189" t="str">
        <f ca="1">IFERROR(__xludf.DUMMYFUNCTION("""COMPUTED_VALUE"""),"")</f>
        <v/>
      </c>
      <c r="T34" s="189" t="str">
        <f ca="1">IFERROR(__xludf.DUMMYFUNCTION("""COMPUTED_VALUE"""),"")</f>
        <v/>
      </c>
      <c r="U34" s="189" t="str">
        <f ca="1">IFERROR(__xludf.DUMMYFUNCTION("""COMPUTED_VALUE"""),"")</f>
        <v/>
      </c>
      <c r="V34" s="189" t="str">
        <f ca="1">IFERROR(__xludf.DUMMYFUNCTION("""COMPUTED_VALUE"""),"")</f>
        <v/>
      </c>
      <c r="W34" s="189" t="str">
        <f ca="1">IFERROR(__xludf.DUMMYFUNCTION("""COMPUTED_VALUE"""),"")</f>
        <v/>
      </c>
      <c r="X34" s="189" t="str">
        <f ca="1">IFERROR(__xludf.DUMMYFUNCTION("""COMPUTED_VALUE"""),"")</f>
        <v/>
      </c>
      <c r="Y34" s="189" t="str">
        <f ca="1">IFERROR(__xludf.DUMMYFUNCTION("""COMPUTED_VALUE"""),"")</f>
        <v/>
      </c>
      <c r="Z34" s="189"/>
    </row>
    <row r="35" spans="1:26" ht="15.75" customHeight="1">
      <c r="A35" s="189" t="str">
        <f ca="1">IFERROR(__xludf.DUMMYFUNCTION("""COMPUTED_VALUE"""),"S12")</f>
        <v>S12</v>
      </c>
      <c r="B35" s="189" t="str">
        <f ca="1">IFERROR(__xludf.DUMMYFUNCTION("""COMPUTED_VALUE"""),"ON/OFF SOLENOID VALVE")</f>
        <v>ON/OFF SOLENOID VALVE</v>
      </c>
      <c r="C35" s="189" t="str">
        <f ca="1">IFERROR(__xludf.DUMMYFUNCTION("""COMPUTED_VALUE"""),"TOP CLAMP BACK UP CHANGEOVER VALVE")</f>
        <v>TOP CLAMP BACK UP CHANGEOVER VALVE</v>
      </c>
      <c r="D35" s="189" t="str">
        <f ca="1">IFERROR(__xludf.DUMMYFUNCTION("""COMPUTED_VALUE"""),"24VDC 29W")</f>
        <v>24VDC 29W</v>
      </c>
      <c r="E35" s="121" t="str">
        <f ca="1">IFERROR(__xludf.DUMMYFUNCTION("""COMPUTED_VALUE"""),"NA ")</f>
        <v xml:space="preserve">NA </v>
      </c>
      <c r="F35" s="121" t="str">
        <f ca="1">IFERROR(__xludf.DUMMYFUNCTION("""COMPUTED_VALUE"""),"NA ")</f>
        <v xml:space="preserve">NA </v>
      </c>
      <c r="G35" s="189" t="str">
        <f ca="1">IFERROR(__xludf.DUMMYFUNCTION("""COMPUTED_VALUE"""),"02-175803")</f>
        <v>02-175803</v>
      </c>
      <c r="H35" s="189">
        <f ca="1">IFERROR(__xludf.DUMMYFUNCTION("""COMPUTED_VALUE"""),36)</f>
        <v>36</v>
      </c>
      <c r="I35" s="120" t="str">
        <f ca="1">IFERROR(__xludf.DUMMYFUNCTION("""COMPUTED_VALUE"""),"DEUTSCH DTO4-2P (CONNECTOR INCLUDED)")</f>
        <v>DEUTSCH DTO4-2P (CONNECTOR INCLUDED)</v>
      </c>
      <c r="J35" s="189" t="str">
        <f ca="1">IFERROR(__xludf.DUMMYFUNCTION("""COMPUTED_VALUE"""),"")</f>
        <v/>
      </c>
      <c r="K35" s="189" t="str">
        <f ca="1">IFERROR(__xludf.DUMMYFUNCTION("""COMPUTED_VALUE"""),"")</f>
        <v/>
      </c>
      <c r="L35" s="189" t="str">
        <f ca="1">IFERROR(__xludf.DUMMYFUNCTION("""COMPUTED_VALUE"""),"")</f>
        <v/>
      </c>
      <c r="M35" s="189" t="str">
        <f ca="1">IFERROR(__xludf.DUMMYFUNCTION("""COMPUTED_VALUE"""),"")</f>
        <v/>
      </c>
      <c r="N35" s="189" t="str">
        <f ca="1">IFERROR(__xludf.DUMMYFUNCTION("""COMPUTED_VALUE"""),"")</f>
        <v/>
      </c>
      <c r="O35" s="189" t="str">
        <f ca="1">IFERROR(__xludf.DUMMYFUNCTION("""COMPUTED_VALUE"""),"")</f>
        <v/>
      </c>
      <c r="P35" s="189" t="str">
        <f ca="1">IFERROR(__xludf.DUMMYFUNCTION("""COMPUTED_VALUE"""),"")</f>
        <v/>
      </c>
      <c r="Q35" s="189" t="str">
        <f ca="1">IFERROR(__xludf.DUMMYFUNCTION("""COMPUTED_VALUE"""),"")</f>
        <v/>
      </c>
      <c r="R35" s="189" t="str">
        <f ca="1">IFERROR(__xludf.DUMMYFUNCTION("""COMPUTED_VALUE"""),"")</f>
        <v/>
      </c>
      <c r="S35" s="189" t="str">
        <f ca="1">IFERROR(__xludf.DUMMYFUNCTION("""COMPUTED_VALUE"""),"")</f>
        <v/>
      </c>
      <c r="T35" s="189" t="str">
        <f ca="1">IFERROR(__xludf.DUMMYFUNCTION("""COMPUTED_VALUE"""),"")</f>
        <v/>
      </c>
      <c r="U35" s="189" t="str">
        <f ca="1">IFERROR(__xludf.DUMMYFUNCTION("""COMPUTED_VALUE"""),"")</f>
        <v/>
      </c>
      <c r="V35" s="189" t="str">
        <f ca="1">IFERROR(__xludf.DUMMYFUNCTION("""COMPUTED_VALUE"""),"")</f>
        <v/>
      </c>
      <c r="W35" s="189" t="str">
        <f ca="1">IFERROR(__xludf.DUMMYFUNCTION("""COMPUTED_VALUE"""),"")</f>
        <v/>
      </c>
      <c r="X35" s="189" t="str">
        <f ca="1">IFERROR(__xludf.DUMMYFUNCTION("""COMPUTED_VALUE"""),"")</f>
        <v/>
      </c>
      <c r="Y35" s="189" t="str">
        <f ca="1">IFERROR(__xludf.DUMMYFUNCTION("""COMPUTED_VALUE"""),"")</f>
        <v/>
      </c>
      <c r="Z35" s="189"/>
    </row>
    <row r="36" spans="1:26" ht="15.75" customHeight="1">
      <c r="A36" s="189" t="str">
        <f ca="1">IFERROR(__xludf.DUMMYFUNCTION("""COMPUTED_VALUE"""),"S13.1 ")</f>
        <v xml:space="preserve">S13.1 </v>
      </c>
      <c r="B36" s="189" t="str">
        <f ca="1">IFERROR(__xludf.DUMMYFUNCTION("""COMPUTED_VALUE"""),"ON/OFF SOLENOID VALVE")</f>
        <v>ON/OFF SOLENOID VALVE</v>
      </c>
      <c r="C36" s="189" t="str">
        <f ca="1">IFERROR(__xludf.DUMMYFUNCTION("""COMPUTED_VALUE"""),"STRONG BACK  BACKUP OPEN FUNCTION")</f>
        <v>STRONG BACK  BACKUP OPEN FUNCTION</v>
      </c>
      <c r="D36" s="189" t="str">
        <f ca="1">IFERROR(__xludf.DUMMYFUNCTION("""COMPUTED_VALUE"""),"24VDC 36W")</f>
        <v>24VDC 36W</v>
      </c>
      <c r="E36" s="121" t="str">
        <f ca="1">IFERROR(__xludf.DUMMYFUNCTION("""COMPUTED_VALUE"""),"NA ")</f>
        <v xml:space="preserve">NA </v>
      </c>
      <c r="F36" s="121" t="str">
        <f ca="1">IFERROR(__xludf.DUMMYFUNCTION("""COMPUTED_VALUE"""),"NA ")</f>
        <v xml:space="preserve">NA </v>
      </c>
      <c r="G36" s="189" t="str">
        <f ca="1">IFERROR(__xludf.DUMMYFUNCTION("""COMPUTED_VALUE"""),"02-414486")</f>
        <v>02-414486</v>
      </c>
      <c r="H36" s="189">
        <f ca="1">IFERROR(__xludf.DUMMYFUNCTION("""COMPUTED_VALUE"""),34)</f>
        <v>34</v>
      </c>
      <c r="I36" s="120" t="str">
        <f ca="1">IFERROR(__xludf.DUMMYFUNCTION("""COMPUTED_VALUE"""),"DEUTSCH DTO4-2P (CONNECTOR INCLUDED)")</f>
        <v>DEUTSCH DTO4-2P (CONNECTOR INCLUDED)</v>
      </c>
      <c r="J36" s="189" t="str">
        <f ca="1">IFERROR(__xludf.DUMMYFUNCTION("""COMPUTED_VALUE"""),"")</f>
        <v/>
      </c>
      <c r="K36" s="189" t="str">
        <f ca="1">IFERROR(__xludf.DUMMYFUNCTION("""COMPUTED_VALUE"""),"")</f>
        <v/>
      </c>
      <c r="L36" s="189" t="str">
        <f ca="1">IFERROR(__xludf.DUMMYFUNCTION("""COMPUTED_VALUE"""),"")</f>
        <v/>
      </c>
      <c r="M36" s="189" t="str">
        <f ca="1">IFERROR(__xludf.DUMMYFUNCTION("""COMPUTED_VALUE"""),"")</f>
        <v/>
      </c>
      <c r="N36" s="189" t="str">
        <f ca="1">IFERROR(__xludf.DUMMYFUNCTION("""COMPUTED_VALUE"""),"")</f>
        <v/>
      </c>
      <c r="O36" s="189" t="str">
        <f ca="1">IFERROR(__xludf.DUMMYFUNCTION("""COMPUTED_VALUE"""),"")</f>
        <v/>
      </c>
      <c r="P36" s="189" t="str">
        <f ca="1">IFERROR(__xludf.DUMMYFUNCTION("""COMPUTED_VALUE"""),"")</f>
        <v/>
      </c>
      <c r="Q36" s="189" t="str">
        <f ca="1">IFERROR(__xludf.DUMMYFUNCTION("""COMPUTED_VALUE"""),"")</f>
        <v/>
      </c>
      <c r="R36" s="189" t="str">
        <f ca="1">IFERROR(__xludf.DUMMYFUNCTION("""COMPUTED_VALUE"""),"")</f>
        <v/>
      </c>
      <c r="S36" s="189" t="str">
        <f ca="1">IFERROR(__xludf.DUMMYFUNCTION("""COMPUTED_VALUE"""),"")</f>
        <v/>
      </c>
      <c r="T36" s="189" t="str">
        <f ca="1">IFERROR(__xludf.DUMMYFUNCTION("""COMPUTED_VALUE"""),"")</f>
        <v/>
      </c>
      <c r="U36" s="189" t="str">
        <f ca="1">IFERROR(__xludf.DUMMYFUNCTION("""COMPUTED_VALUE"""),"")</f>
        <v/>
      </c>
      <c r="V36" s="189" t="str">
        <f ca="1">IFERROR(__xludf.DUMMYFUNCTION("""COMPUTED_VALUE"""),"")</f>
        <v/>
      </c>
      <c r="W36" s="189" t="str">
        <f ca="1">IFERROR(__xludf.DUMMYFUNCTION("""COMPUTED_VALUE"""),"")</f>
        <v/>
      </c>
      <c r="X36" s="189" t="str">
        <f ca="1">IFERROR(__xludf.DUMMYFUNCTION("""COMPUTED_VALUE"""),"")</f>
        <v/>
      </c>
      <c r="Y36" s="189" t="str">
        <f ca="1">IFERROR(__xludf.DUMMYFUNCTION("""COMPUTED_VALUE"""),"")</f>
        <v/>
      </c>
      <c r="Z36" s="189"/>
    </row>
    <row r="37" spans="1:26" ht="15.75" customHeight="1">
      <c r="A37" s="189" t="str">
        <f ca="1">IFERROR(__xludf.DUMMYFUNCTION("""COMPUTED_VALUE"""),"S13.2")</f>
        <v>S13.2</v>
      </c>
      <c r="B37" s="189" t="str">
        <f ca="1">IFERROR(__xludf.DUMMYFUNCTION("""COMPUTED_VALUE"""),"ON/OFF SOLENOID VALVE")</f>
        <v>ON/OFF SOLENOID VALVE</v>
      </c>
      <c r="C37" s="189" t="str">
        <f ca="1">IFERROR(__xludf.DUMMYFUNCTION("""COMPUTED_VALUE"""),"STRONG BACK BACKUP CLOSE FUNCTION")</f>
        <v>STRONG BACK BACKUP CLOSE FUNCTION</v>
      </c>
      <c r="D37" s="189" t="str">
        <f ca="1">IFERROR(__xludf.DUMMYFUNCTION("""COMPUTED_VALUE"""),"24VDC 36W")</f>
        <v>24VDC 36W</v>
      </c>
      <c r="E37" s="121" t="str">
        <f ca="1">IFERROR(__xludf.DUMMYFUNCTION("""COMPUTED_VALUE"""),"NA ")</f>
        <v xml:space="preserve">NA </v>
      </c>
      <c r="F37" s="121" t="str">
        <f ca="1">IFERROR(__xludf.DUMMYFUNCTION("""COMPUTED_VALUE"""),"NA ")</f>
        <v xml:space="preserve">NA </v>
      </c>
      <c r="G37" s="189" t="str">
        <f ca="1">IFERROR(__xludf.DUMMYFUNCTION("""COMPUTED_VALUE"""),"02-414486")</f>
        <v>02-414486</v>
      </c>
      <c r="H37" s="189">
        <f ca="1">IFERROR(__xludf.DUMMYFUNCTION("""COMPUTED_VALUE"""),34)</f>
        <v>34</v>
      </c>
      <c r="I37" s="120" t="str">
        <f ca="1">IFERROR(__xludf.DUMMYFUNCTION("""COMPUTED_VALUE"""),"DEUTSCH DTO4-2P (CONNECTOR INCLUDED)")</f>
        <v>DEUTSCH DTO4-2P (CONNECTOR INCLUDED)</v>
      </c>
      <c r="J37" s="189" t="str">
        <f ca="1">IFERROR(__xludf.DUMMYFUNCTION("""COMPUTED_VALUE"""),"")</f>
        <v/>
      </c>
      <c r="K37" s="189" t="str">
        <f ca="1">IFERROR(__xludf.DUMMYFUNCTION("""COMPUTED_VALUE"""),"")</f>
        <v/>
      </c>
      <c r="L37" s="189" t="str">
        <f ca="1">IFERROR(__xludf.DUMMYFUNCTION("""COMPUTED_VALUE"""),"")</f>
        <v/>
      </c>
      <c r="M37" s="189" t="str">
        <f ca="1">IFERROR(__xludf.DUMMYFUNCTION("""COMPUTED_VALUE"""),"")</f>
        <v/>
      </c>
      <c r="N37" s="189" t="str">
        <f ca="1">IFERROR(__xludf.DUMMYFUNCTION("""COMPUTED_VALUE"""),"")</f>
        <v/>
      </c>
      <c r="O37" s="189" t="str">
        <f ca="1">IFERROR(__xludf.DUMMYFUNCTION("""COMPUTED_VALUE"""),"")</f>
        <v/>
      </c>
      <c r="P37" s="189" t="str">
        <f ca="1">IFERROR(__xludf.DUMMYFUNCTION("""COMPUTED_VALUE"""),"")</f>
        <v/>
      </c>
      <c r="Q37" s="189" t="str">
        <f ca="1">IFERROR(__xludf.DUMMYFUNCTION("""COMPUTED_VALUE"""),"")</f>
        <v/>
      </c>
      <c r="R37" s="189" t="str">
        <f ca="1">IFERROR(__xludf.DUMMYFUNCTION("""COMPUTED_VALUE"""),"")</f>
        <v/>
      </c>
      <c r="S37" s="189" t="str">
        <f ca="1">IFERROR(__xludf.DUMMYFUNCTION("""COMPUTED_VALUE"""),"")</f>
        <v/>
      </c>
      <c r="T37" s="189" t="str">
        <f ca="1">IFERROR(__xludf.DUMMYFUNCTION("""COMPUTED_VALUE"""),"")</f>
        <v/>
      </c>
      <c r="U37" s="189" t="str">
        <f ca="1">IFERROR(__xludf.DUMMYFUNCTION("""COMPUTED_VALUE"""),"")</f>
        <v/>
      </c>
      <c r="V37" s="189" t="str">
        <f ca="1">IFERROR(__xludf.DUMMYFUNCTION("""COMPUTED_VALUE"""),"")</f>
        <v/>
      </c>
      <c r="W37" s="189" t="str">
        <f ca="1">IFERROR(__xludf.DUMMYFUNCTION("""COMPUTED_VALUE"""),"")</f>
        <v/>
      </c>
      <c r="X37" s="189" t="str">
        <f ca="1">IFERROR(__xludf.DUMMYFUNCTION("""COMPUTED_VALUE"""),"")</f>
        <v/>
      </c>
      <c r="Y37" s="189" t="str">
        <f ca="1">IFERROR(__xludf.DUMMYFUNCTION("""COMPUTED_VALUE"""),"")</f>
        <v/>
      </c>
      <c r="Z37" s="189"/>
    </row>
    <row r="38" spans="1:26" ht="15.75" customHeight="1">
      <c r="A38" s="189" t="str">
        <f ca="1">IFERROR(__xludf.DUMMYFUNCTION("""COMPUTED_VALUE"""),"S14")</f>
        <v>S14</v>
      </c>
      <c r="B38" s="189" t="str">
        <f ca="1">IFERROR(__xludf.DUMMYFUNCTION("""COMPUTED_VALUE"""),"ON/OFF SOLENOID VALVE")</f>
        <v>ON/OFF SOLENOID VALVE</v>
      </c>
      <c r="C38" s="189" t="str">
        <f ca="1">IFERROR(__xludf.DUMMYFUNCTION("""COMPUTED_VALUE"""),"STRONG BACK BACKUP CHANGE OVER VALVE")</f>
        <v>STRONG BACK BACKUP CHANGE OVER VALVE</v>
      </c>
      <c r="D38" s="189" t="str">
        <f ca="1">IFERROR(__xludf.DUMMYFUNCTION("""COMPUTED_VALUE"""),"24VDC 29W")</f>
        <v>24VDC 29W</v>
      </c>
      <c r="E38" s="121" t="str">
        <f ca="1">IFERROR(__xludf.DUMMYFUNCTION("""COMPUTED_VALUE"""),"NA ")</f>
        <v xml:space="preserve">NA </v>
      </c>
      <c r="F38" s="121" t="str">
        <f ca="1">IFERROR(__xludf.DUMMYFUNCTION("""COMPUTED_VALUE"""),"NA ")</f>
        <v xml:space="preserve">NA </v>
      </c>
      <c r="G38" s="189" t="str">
        <f ca="1">IFERROR(__xludf.DUMMYFUNCTION("""COMPUTED_VALUE"""),"02-175803")</f>
        <v>02-175803</v>
      </c>
      <c r="H38" s="189">
        <f ca="1">IFERROR(__xludf.DUMMYFUNCTION("""COMPUTED_VALUE"""),36)</f>
        <v>36</v>
      </c>
      <c r="I38" s="120" t="str">
        <f ca="1">IFERROR(__xludf.DUMMYFUNCTION("""COMPUTED_VALUE"""),"DEUTSCH DTO4-2P (CONNECTOR INCLUDED)")</f>
        <v>DEUTSCH DTO4-2P (CONNECTOR INCLUDED)</v>
      </c>
      <c r="J38" s="189" t="str">
        <f ca="1">IFERROR(__xludf.DUMMYFUNCTION("""COMPUTED_VALUE"""),"")</f>
        <v/>
      </c>
      <c r="K38" s="189" t="str">
        <f ca="1">IFERROR(__xludf.DUMMYFUNCTION("""COMPUTED_VALUE"""),"")</f>
        <v/>
      </c>
      <c r="L38" s="189" t="str">
        <f ca="1">IFERROR(__xludf.DUMMYFUNCTION("""COMPUTED_VALUE"""),"")</f>
        <v/>
      </c>
      <c r="M38" s="189" t="str">
        <f ca="1">IFERROR(__xludf.DUMMYFUNCTION("""COMPUTED_VALUE"""),"")</f>
        <v/>
      </c>
      <c r="N38" s="189" t="str">
        <f ca="1">IFERROR(__xludf.DUMMYFUNCTION("""COMPUTED_VALUE"""),"")</f>
        <v/>
      </c>
      <c r="O38" s="189" t="str">
        <f ca="1">IFERROR(__xludf.DUMMYFUNCTION("""COMPUTED_VALUE"""),"")</f>
        <v/>
      </c>
      <c r="P38" s="189" t="str">
        <f ca="1">IFERROR(__xludf.DUMMYFUNCTION("""COMPUTED_VALUE"""),"")</f>
        <v/>
      </c>
      <c r="Q38" s="189" t="str">
        <f ca="1">IFERROR(__xludf.DUMMYFUNCTION("""COMPUTED_VALUE"""),"")</f>
        <v/>
      </c>
      <c r="R38" s="189" t="str">
        <f ca="1">IFERROR(__xludf.DUMMYFUNCTION("""COMPUTED_VALUE"""),"")</f>
        <v/>
      </c>
      <c r="S38" s="189" t="str">
        <f ca="1">IFERROR(__xludf.DUMMYFUNCTION("""COMPUTED_VALUE"""),"")</f>
        <v/>
      </c>
      <c r="T38" s="189" t="str">
        <f ca="1">IFERROR(__xludf.DUMMYFUNCTION("""COMPUTED_VALUE"""),"")</f>
        <v/>
      </c>
      <c r="U38" s="189" t="str">
        <f ca="1">IFERROR(__xludf.DUMMYFUNCTION("""COMPUTED_VALUE"""),"")</f>
        <v/>
      </c>
      <c r="V38" s="189" t="str">
        <f ca="1">IFERROR(__xludf.DUMMYFUNCTION("""COMPUTED_VALUE"""),"")</f>
        <v/>
      </c>
      <c r="W38" s="189" t="str">
        <f ca="1">IFERROR(__xludf.DUMMYFUNCTION("""COMPUTED_VALUE"""),"")</f>
        <v/>
      </c>
      <c r="X38" s="189" t="str">
        <f ca="1">IFERROR(__xludf.DUMMYFUNCTION("""COMPUTED_VALUE"""),"")</f>
        <v/>
      </c>
      <c r="Y38" s="189" t="str">
        <f ca="1">IFERROR(__xludf.DUMMYFUNCTION("""COMPUTED_VALUE"""),"")</f>
        <v/>
      </c>
      <c r="Z38" s="189"/>
    </row>
    <row r="39" spans="1:26" ht="15.75" customHeight="1">
      <c r="A39" s="189" t="str">
        <f ca="1">IFERROR(__xludf.DUMMYFUNCTION("""COMPUTED_VALUE"""),"S15")</f>
        <v>S15</v>
      </c>
      <c r="B39" s="189" t="str">
        <f ca="1">IFERROR(__xludf.DUMMYFUNCTION("""COMPUTED_VALUE"""),"ON/OFF SOLENOID VALVE")</f>
        <v>ON/OFF SOLENOID VALVE</v>
      </c>
      <c r="C39" s="189" t="str">
        <f ca="1">IFERROR(__xludf.DUMMYFUNCTION("""COMPUTED_VALUE"""),"STRONG BACK BACKUP CHANGE OVER VALVE")</f>
        <v>STRONG BACK BACKUP CHANGE OVER VALVE</v>
      </c>
      <c r="D39" s="189" t="str">
        <f ca="1">IFERROR(__xludf.DUMMYFUNCTION("""COMPUTED_VALUE"""),"24VDC 29W")</f>
        <v>24VDC 29W</v>
      </c>
      <c r="E39" s="121" t="str">
        <f ca="1">IFERROR(__xludf.DUMMYFUNCTION("""COMPUTED_VALUE"""),"NA ")</f>
        <v xml:space="preserve">NA </v>
      </c>
      <c r="F39" s="121" t="str">
        <f ca="1">IFERROR(__xludf.DUMMYFUNCTION("""COMPUTED_VALUE"""),"NA ")</f>
        <v xml:space="preserve">NA </v>
      </c>
      <c r="G39" s="189" t="str">
        <f ca="1">IFERROR(__xludf.DUMMYFUNCTION("""COMPUTED_VALUE"""),"02-175803")</f>
        <v>02-175803</v>
      </c>
      <c r="H39" s="189">
        <f ca="1">IFERROR(__xludf.DUMMYFUNCTION("""COMPUTED_VALUE"""),36)</f>
        <v>36</v>
      </c>
      <c r="I39" s="120" t="str">
        <f ca="1">IFERROR(__xludf.DUMMYFUNCTION("""COMPUTED_VALUE"""),"DEUTSCH DTO4-2P (CONNECTOR INCLUDED)")</f>
        <v>DEUTSCH DTO4-2P (CONNECTOR INCLUDED)</v>
      </c>
      <c r="J39" s="189" t="str">
        <f ca="1">IFERROR(__xludf.DUMMYFUNCTION("""COMPUTED_VALUE"""),"")</f>
        <v/>
      </c>
      <c r="K39" s="189" t="str">
        <f ca="1">IFERROR(__xludf.DUMMYFUNCTION("""COMPUTED_VALUE"""),"")</f>
        <v/>
      </c>
      <c r="L39" s="189" t="str">
        <f ca="1">IFERROR(__xludf.DUMMYFUNCTION("""COMPUTED_VALUE"""),"")</f>
        <v/>
      </c>
      <c r="M39" s="189" t="str">
        <f ca="1">IFERROR(__xludf.DUMMYFUNCTION("""COMPUTED_VALUE"""),"")</f>
        <v/>
      </c>
      <c r="N39" s="189" t="str">
        <f ca="1">IFERROR(__xludf.DUMMYFUNCTION("""COMPUTED_VALUE"""),"")</f>
        <v/>
      </c>
      <c r="O39" s="189" t="str">
        <f ca="1">IFERROR(__xludf.DUMMYFUNCTION("""COMPUTED_VALUE"""),"")</f>
        <v/>
      </c>
      <c r="P39" s="189" t="str">
        <f ca="1">IFERROR(__xludf.DUMMYFUNCTION("""COMPUTED_VALUE"""),"")</f>
        <v/>
      </c>
      <c r="Q39" s="189" t="str">
        <f ca="1">IFERROR(__xludf.DUMMYFUNCTION("""COMPUTED_VALUE"""),"")</f>
        <v/>
      </c>
      <c r="R39" s="189" t="str">
        <f ca="1">IFERROR(__xludf.DUMMYFUNCTION("""COMPUTED_VALUE"""),"")</f>
        <v/>
      </c>
      <c r="S39" s="189" t="str">
        <f ca="1">IFERROR(__xludf.DUMMYFUNCTION("""COMPUTED_VALUE"""),"")</f>
        <v/>
      </c>
      <c r="T39" s="189" t="str">
        <f ca="1">IFERROR(__xludf.DUMMYFUNCTION("""COMPUTED_VALUE"""),"")</f>
        <v/>
      </c>
      <c r="U39" s="189" t="str">
        <f ca="1">IFERROR(__xludf.DUMMYFUNCTION("""COMPUTED_VALUE"""),"")</f>
        <v/>
      </c>
      <c r="V39" s="189" t="str">
        <f ca="1">IFERROR(__xludf.DUMMYFUNCTION("""COMPUTED_VALUE"""),"")</f>
        <v/>
      </c>
      <c r="W39" s="189" t="str">
        <f ca="1">IFERROR(__xludf.DUMMYFUNCTION("""COMPUTED_VALUE"""),"")</f>
        <v/>
      </c>
      <c r="X39" s="189" t="str">
        <f ca="1">IFERROR(__xludf.DUMMYFUNCTION("""COMPUTED_VALUE"""),"")</f>
        <v/>
      </c>
      <c r="Y39" s="189" t="str">
        <f ca="1">IFERROR(__xludf.DUMMYFUNCTION("""COMPUTED_VALUE"""),"")</f>
        <v/>
      </c>
      <c r="Z39" s="189"/>
    </row>
    <row r="40" spans="1:26" ht="12.75">
      <c r="A40" s="189" t="str">
        <f ca="1">IFERROR(__xludf.DUMMYFUNCTION("""COMPUTED_VALUE"""),"")</f>
        <v/>
      </c>
      <c r="B40" s="189" t="str">
        <f ca="1">IFERROR(__xludf.DUMMYFUNCTION("""COMPUTED_VALUE"""),"1069-03-01 ")</f>
        <v xml:space="preserve">1069-03-01 </v>
      </c>
      <c r="C40" s="189" t="str">
        <f ca="1">IFERROR(__xludf.DUMMYFUNCTION("""COMPUTED_VALUE"""),"HOLD DOWN 1 MANIFOLD")</f>
        <v>HOLD DOWN 1 MANIFOLD</v>
      </c>
      <c r="D40" s="189" t="str">
        <f ca="1">IFERROR(__xludf.DUMMYFUNCTION("""COMPUTED_VALUE"""),"")</f>
        <v/>
      </c>
      <c r="E40" s="189" t="str">
        <f ca="1">IFERROR(__xludf.DUMMYFUNCTION("""COMPUTED_VALUE"""),"")</f>
        <v/>
      </c>
      <c r="F40" s="189" t="str">
        <f ca="1">IFERROR(__xludf.DUMMYFUNCTION("""COMPUTED_VALUE"""),"")</f>
        <v/>
      </c>
      <c r="G40" s="189" t="str">
        <f ca="1">IFERROR(__xludf.DUMMYFUNCTION("""COMPUTED_VALUE"""),"")</f>
        <v/>
      </c>
      <c r="H40" s="189" t="str">
        <f ca="1">IFERROR(__xludf.DUMMYFUNCTION("""COMPUTED_VALUE"""),"")</f>
        <v/>
      </c>
      <c r="I40" s="120" t="str">
        <f ca="1">IFERROR(__xludf.DUMMYFUNCTION("""COMPUTED_VALUE"""),"")</f>
        <v/>
      </c>
      <c r="J40" s="189" t="str">
        <f ca="1">IFERROR(__xludf.DUMMYFUNCTION("""COMPUTED_VALUE"""),"")</f>
        <v/>
      </c>
      <c r="K40" s="189" t="str">
        <f ca="1">IFERROR(__xludf.DUMMYFUNCTION("""COMPUTED_VALUE"""),"")</f>
        <v/>
      </c>
      <c r="L40" s="189" t="str">
        <f ca="1">IFERROR(__xludf.DUMMYFUNCTION("""COMPUTED_VALUE"""),"")</f>
        <v/>
      </c>
      <c r="M40" s="189" t="str">
        <f ca="1">IFERROR(__xludf.DUMMYFUNCTION("""COMPUTED_VALUE"""),"")</f>
        <v/>
      </c>
      <c r="N40" s="189" t="str">
        <f ca="1">IFERROR(__xludf.DUMMYFUNCTION("""COMPUTED_VALUE"""),"")</f>
        <v/>
      </c>
      <c r="O40" s="189" t="str">
        <f ca="1">IFERROR(__xludf.DUMMYFUNCTION("""COMPUTED_VALUE"""),"")</f>
        <v/>
      </c>
      <c r="P40" s="189" t="str">
        <f ca="1">IFERROR(__xludf.DUMMYFUNCTION("""COMPUTED_VALUE"""),"")</f>
        <v/>
      </c>
      <c r="Q40" s="189" t="str">
        <f ca="1">IFERROR(__xludf.DUMMYFUNCTION("""COMPUTED_VALUE"""),"")</f>
        <v/>
      </c>
      <c r="R40" s="189" t="str">
        <f ca="1">IFERROR(__xludf.DUMMYFUNCTION("""COMPUTED_VALUE"""),"")</f>
        <v/>
      </c>
      <c r="S40" s="189" t="str">
        <f ca="1">IFERROR(__xludf.DUMMYFUNCTION("""COMPUTED_VALUE"""),"")</f>
        <v/>
      </c>
      <c r="T40" s="189" t="str">
        <f ca="1">IFERROR(__xludf.DUMMYFUNCTION("""COMPUTED_VALUE"""),"")</f>
        <v/>
      </c>
      <c r="U40" s="189" t="str">
        <f ca="1">IFERROR(__xludf.DUMMYFUNCTION("""COMPUTED_VALUE"""),"")</f>
        <v/>
      </c>
      <c r="V40" s="189" t="str">
        <f ca="1">IFERROR(__xludf.DUMMYFUNCTION("""COMPUTED_VALUE"""),"")</f>
        <v/>
      </c>
      <c r="W40" s="189" t="str">
        <f ca="1">IFERROR(__xludf.DUMMYFUNCTION("""COMPUTED_VALUE"""),"")</f>
        <v/>
      </c>
      <c r="X40" s="189" t="str">
        <f ca="1">IFERROR(__xludf.DUMMYFUNCTION("""COMPUTED_VALUE"""),"")</f>
        <v/>
      </c>
      <c r="Y40" s="189" t="str">
        <f ca="1">IFERROR(__xludf.DUMMYFUNCTION("""COMPUTED_VALUE"""),"")</f>
        <v/>
      </c>
      <c r="Z40" s="189"/>
    </row>
    <row r="41" spans="1:26" ht="12.75">
      <c r="A41" s="189" t="str">
        <f ca="1">IFERROR(__xludf.DUMMYFUNCTION("""COMPUTED_VALUE"""),"PT-4")</f>
        <v>PT-4</v>
      </c>
      <c r="B41" s="189" t="str">
        <f ca="1">IFERROR(__xludf.DUMMYFUNCTION("""COMPUTED_VALUE"""),"PRESSURE TRANSDUCER (0-400 BAR)")</f>
        <v>PRESSURE TRANSDUCER (0-400 BAR)</v>
      </c>
      <c r="C41" s="189" t="str">
        <f ca="1">IFERROR(__xludf.DUMMYFUNCTION("""COMPUTED_VALUE"""),"HOLD DOWN RING MAIN PRESSURE SENSOR")</f>
        <v>HOLD DOWN RING MAIN PRESSURE SENSOR</v>
      </c>
      <c r="D41" s="189" t="str">
        <f ca="1">IFERROR(__xludf.DUMMYFUNCTION("""COMPUTED_VALUE"""),"24VDC")</f>
        <v>24VDC</v>
      </c>
      <c r="E41" s="189" t="str">
        <f ca="1">IFERROR(__xludf.DUMMYFUNCTION("""COMPUTED_VALUE"""),"4..20mA")</f>
        <v>4..20mA</v>
      </c>
      <c r="F41" s="189" t="str">
        <f ca="1">IFERROR(__xludf.DUMMYFUNCTION("""COMPUTED_VALUE"""),"NA")</f>
        <v>NA</v>
      </c>
      <c r="G41" s="189" t="str">
        <f ca="1">IFERROR(__xludf.DUMMYFUNCTION("""COMPUTED_VALUE"""),"PT5400")</f>
        <v>PT5400</v>
      </c>
      <c r="H41" s="189">
        <f ca="1">IFERROR(__xludf.DUMMYFUNCTION("""COMPUTED_VALUE"""),24)</f>
        <v>24</v>
      </c>
      <c r="I41" s="120" t="str">
        <f ca="1">IFERROR(__xludf.DUMMYFUNCTION("""COMPUTED_VALUE"""),"M12")</f>
        <v>M12</v>
      </c>
      <c r="J41" s="189" t="str">
        <f ca="1">IFERROR(__xludf.DUMMYFUNCTION("""COMPUTED_VALUE"""),"")</f>
        <v/>
      </c>
      <c r="K41" s="189" t="str">
        <f ca="1">IFERROR(__xludf.DUMMYFUNCTION("""COMPUTED_VALUE"""),"")</f>
        <v/>
      </c>
      <c r="L41" s="189" t="str">
        <f ca="1">IFERROR(__xludf.DUMMYFUNCTION("""COMPUTED_VALUE"""),"")</f>
        <v/>
      </c>
      <c r="M41" s="189" t="str">
        <f ca="1">IFERROR(__xludf.DUMMYFUNCTION("""COMPUTED_VALUE"""),"")</f>
        <v/>
      </c>
      <c r="N41" s="189" t="str">
        <f ca="1">IFERROR(__xludf.DUMMYFUNCTION("""COMPUTED_VALUE"""),"")</f>
        <v/>
      </c>
      <c r="O41" s="189" t="str">
        <f ca="1">IFERROR(__xludf.DUMMYFUNCTION("""COMPUTED_VALUE"""),"")</f>
        <v/>
      </c>
      <c r="P41" s="189" t="str">
        <f ca="1">IFERROR(__xludf.DUMMYFUNCTION("""COMPUTED_VALUE"""),"")</f>
        <v/>
      </c>
      <c r="Q41" s="189" t="str">
        <f ca="1">IFERROR(__xludf.DUMMYFUNCTION("""COMPUTED_VALUE"""),"")</f>
        <v/>
      </c>
      <c r="R41" s="189" t="str">
        <f ca="1">IFERROR(__xludf.DUMMYFUNCTION("""COMPUTED_VALUE"""),"")</f>
        <v/>
      </c>
      <c r="S41" s="189" t="str">
        <f ca="1">IFERROR(__xludf.DUMMYFUNCTION("""COMPUTED_VALUE"""),"")</f>
        <v/>
      </c>
      <c r="T41" s="189" t="str">
        <f ca="1">IFERROR(__xludf.DUMMYFUNCTION("""COMPUTED_VALUE"""),"")</f>
        <v/>
      </c>
      <c r="U41" s="189" t="str">
        <f ca="1">IFERROR(__xludf.DUMMYFUNCTION("""COMPUTED_VALUE"""),"")</f>
        <v/>
      </c>
      <c r="V41" s="189" t="str">
        <f ca="1">IFERROR(__xludf.DUMMYFUNCTION("""COMPUTED_VALUE"""),"")</f>
        <v/>
      </c>
      <c r="W41" s="189" t="str">
        <f ca="1">IFERROR(__xludf.DUMMYFUNCTION("""COMPUTED_VALUE"""),"")</f>
        <v/>
      </c>
      <c r="X41" s="189" t="str">
        <f ca="1">IFERROR(__xludf.DUMMYFUNCTION("""COMPUTED_VALUE"""),"")</f>
        <v/>
      </c>
      <c r="Y41" s="189" t="str">
        <f ca="1">IFERROR(__xludf.DUMMYFUNCTION("""COMPUTED_VALUE"""),"")</f>
        <v/>
      </c>
      <c r="Z41" s="189"/>
    </row>
    <row r="42" spans="1:26" ht="12.75">
      <c r="A42" s="189" t="str">
        <f ca="1">IFERROR(__xludf.DUMMYFUNCTION("""COMPUTED_VALUE"""),"PTA-1")</f>
        <v>PTA-1</v>
      </c>
      <c r="B42" s="189" t="str">
        <f ca="1">IFERROR(__xludf.DUMMYFUNCTION("""COMPUTED_VALUE"""),"PRESSURE TRANSDUCER (0-400 BAR)")</f>
        <v>PRESSURE TRANSDUCER (0-400 BAR)</v>
      </c>
      <c r="C42" s="189" t="str">
        <f ca="1">IFERROR(__xludf.DUMMYFUNCTION("""COMPUTED_VALUE"""),"HOLD DOWN CYLINDER 1 FRONT END PRESSURE SENSOR")</f>
        <v>HOLD DOWN CYLINDER 1 FRONT END PRESSURE SENSOR</v>
      </c>
      <c r="D42" s="189" t="str">
        <f ca="1">IFERROR(__xludf.DUMMYFUNCTION("""COMPUTED_VALUE"""),"24VDC")</f>
        <v>24VDC</v>
      </c>
      <c r="E42" s="189" t="str">
        <f ca="1">IFERROR(__xludf.DUMMYFUNCTION("""COMPUTED_VALUE"""),"4..20mA")</f>
        <v>4..20mA</v>
      </c>
      <c r="F42" s="189" t="str">
        <f ca="1">IFERROR(__xludf.DUMMYFUNCTION("""COMPUTED_VALUE"""),"NA")</f>
        <v>NA</v>
      </c>
      <c r="G42" s="189" t="str">
        <f ca="1">IFERROR(__xludf.DUMMYFUNCTION("""COMPUTED_VALUE"""),"PT5400")</f>
        <v>PT5400</v>
      </c>
      <c r="H42" s="189">
        <f ca="1">IFERROR(__xludf.DUMMYFUNCTION("""COMPUTED_VALUE"""),24)</f>
        <v>24</v>
      </c>
      <c r="I42" s="120" t="str">
        <f ca="1">IFERROR(__xludf.DUMMYFUNCTION("""COMPUTED_VALUE"""),"M12")</f>
        <v>M12</v>
      </c>
      <c r="J42" s="189" t="str">
        <f ca="1">IFERROR(__xludf.DUMMYFUNCTION("""COMPUTED_VALUE"""),"")</f>
        <v/>
      </c>
      <c r="K42" s="189" t="str">
        <f ca="1">IFERROR(__xludf.DUMMYFUNCTION("""COMPUTED_VALUE"""),"")</f>
        <v/>
      </c>
      <c r="L42" s="189" t="str">
        <f ca="1">IFERROR(__xludf.DUMMYFUNCTION("""COMPUTED_VALUE"""),"")</f>
        <v/>
      </c>
      <c r="M42" s="189" t="str">
        <f ca="1">IFERROR(__xludf.DUMMYFUNCTION("""COMPUTED_VALUE"""),"")</f>
        <v/>
      </c>
      <c r="N42" s="189" t="str">
        <f ca="1">IFERROR(__xludf.DUMMYFUNCTION("""COMPUTED_VALUE"""),"")</f>
        <v/>
      </c>
      <c r="O42" s="189" t="str">
        <f ca="1">IFERROR(__xludf.DUMMYFUNCTION("""COMPUTED_VALUE"""),"")</f>
        <v/>
      </c>
      <c r="P42" s="189" t="str">
        <f ca="1">IFERROR(__xludf.DUMMYFUNCTION("""COMPUTED_VALUE"""),"")</f>
        <v/>
      </c>
      <c r="Q42" s="189" t="str">
        <f ca="1">IFERROR(__xludf.DUMMYFUNCTION("""COMPUTED_VALUE"""),"")</f>
        <v/>
      </c>
      <c r="R42" s="189" t="str">
        <f ca="1">IFERROR(__xludf.DUMMYFUNCTION("""COMPUTED_VALUE"""),"")</f>
        <v/>
      </c>
      <c r="S42" s="189" t="str">
        <f ca="1">IFERROR(__xludf.DUMMYFUNCTION("""COMPUTED_VALUE"""),"")</f>
        <v/>
      </c>
      <c r="T42" s="189" t="str">
        <f ca="1">IFERROR(__xludf.DUMMYFUNCTION("""COMPUTED_VALUE"""),"")</f>
        <v/>
      </c>
      <c r="U42" s="189" t="str">
        <f ca="1">IFERROR(__xludf.DUMMYFUNCTION("""COMPUTED_VALUE"""),"")</f>
        <v/>
      </c>
      <c r="V42" s="189" t="str">
        <f ca="1">IFERROR(__xludf.DUMMYFUNCTION("""COMPUTED_VALUE"""),"")</f>
        <v/>
      </c>
      <c r="W42" s="189" t="str">
        <f ca="1">IFERROR(__xludf.DUMMYFUNCTION("""COMPUTED_VALUE"""),"")</f>
        <v/>
      </c>
      <c r="X42" s="189" t="str">
        <f ca="1">IFERROR(__xludf.DUMMYFUNCTION("""COMPUTED_VALUE"""),"")</f>
        <v/>
      </c>
      <c r="Y42" s="189" t="str">
        <f ca="1">IFERROR(__xludf.DUMMYFUNCTION("""COMPUTED_VALUE"""),"")</f>
        <v/>
      </c>
      <c r="Z42" s="189"/>
    </row>
    <row r="43" spans="1:26" ht="12.75">
      <c r="A43" s="189" t="str">
        <f ca="1">IFERROR(__xludf.DUMMYFUNCTION("""COMPUTED_VALUE"""),"PTB-1")</f>
        <v>PTB-1</v>
      </c>
      <c r="B43" s="189" t="str">
        <f ca="1">IFERROR(__xludf.DUMMYFUNCTION("""COMPUTED_VALUE"""),"PRESSURE TRANSDUCER (0-400 BAR)")</f>
        <v>PRESSURE TRANSDUCER (0-400 BAR)</v>
      </c>
      <c r="C43" s="189" t="str">
        <f ca="1">IFERROR(__xludf.DUMMYFUNCTION("""COMPUTED_VALUE"""),"HOLD DOWN CYLINDER 1 BACK END PRESSURE SENSOR")</f>
        <v>HOLD DOWN CYLINDER 1 BACK END PRESSURE SENSOR</v>
      </c>
      <c r="D43" s="189" t="str">
        <f ca="1">IFERROR(__xludf.DUMMYFUNCTION("""COMPUTED_VALUE"""),"24VDC")</f>
        <v>24VDC</v>
      </c>
      <c r="E43" s="189" t="str">
        <f ca="1">IFERROR(__xludf.DUMMYFUNCTION("""COMPUTED_VALUE"""),"4..20mA")</f>
        <v>4..20mA</v>
      </c>
      <c r="F43" s="189" t="str">
        <f ca="1">IFERROR(__xludf.DUMMYFUNCTION("""COMPUTED_VALUE"""),"NA")</f>
        <v>NA</v>
      </c>
      <c r="G43" s="189" t="str">
        <f ca="1">IFERROR(__xludf.DUMMYFUNCTION("""COMPUTED_VALUE"""),"PT5400")</f>
        <v>PT5400</v>
      </c>
      <c r="H43" s="189">
        <f ca="1">IFERROR(__xludf.DUMMYFUNCTION("""COMPUTED_VALUE"""),24)</f>
        <v>24</v>
      </c>
      <c r="I43" s="120" t="str">
        <f ca="1">IFERROR(__xludf.DUMMYFUNCTION("""COMPUTED_VALUE"""),"M12")</f>
        <v>M12</v>
      </c>
      <c r="J43" s="189" t="str">
        <f ca="1">IFERROR(__xludf.DUMMYFUNCTION("""COMPUTED_VALUE"""),"")</f>
        <v/>
      </c>
      <c r="K43" s="189" t="str">
        <f ca="1">IFERROR(__xludf.DUMMYFUNCTION("""COMPUTED_VALUE"""),"")</f>
        <v/>
      </c>
      <c r="L43" s="189" t="str">
        <f ca="1">IFERROR(__xludf.DUMMYFUNCTION("""COMPUTED_VALUE"""),"")</f>
        <v/>
      </c>
      <c r="M43" s="189" t="str">
        <f ca="1">IFERROR(__xludf.DUMMYFUNCTION("""COMPUTED_VALUE"""),"")</f>
        <v/>
      </c>
      <c r="N43" s="189" t="str">
        <f ca="1">IFERROR(__xludf.DUMMYFUNCTION("""COMPUTED_VALUE"""),"")</f>
        <v/>
      </c>
      <c r="O43" s="189" t="str">
        <f ca="1">IFERROR(__xludf.DUMMYFUNCTION("""COMPUTED_VALUE"""),"")</f>
        <v/>
      </c>
      <c r="P43" s="189" t="str">
        <f ca="1">IFERROR(__xludf.DUMMYFUNCTION("""COMPUTED_VALUE"""),"")</f>
        <v/>
      </c>
      <c r="Q43" s="189" t="str">
        <f ca="1">IFERROR(__xludf.DUMMYFUNCTION("""COMPUTED_VALUE"""),"")</f>
        <v/>
      </c>
      <c r="R43" s="189" t="str">
        <f ca="1">IFERROR(__xludf.DUMMYFUNCTION("""COMPUTED_VALUE"""),"")</f>
        <v/>
      </c>
      <c r="S43" s="189" t="str">
        <f ca="1">IFERROR(__xludf.DUMMYFUNCTION("""COMPUTED_VALUE"""),"")</f>
        <v/>
      </c>
      <c r="T43" s="189" t="str">
        <f ca="1">IFERROR(__xludf.DUMMYFUNCTION("""COMPUTED_VALUE"""),"")</f>
        <v/>
      </c>
      <c r="U43" s="189" t="str">
        <f ca="1">IFERROR(__xludf.DUMMYFUNCTION("""COMPUTED_VALUE"""),"")</f>
        <v/>
      </c>
      <c r="V43" s="189" t="str">
        <f ca="1">IFERROR(__xludf.DUMMYFUNCTION("""COMPUTED_VALUE"""),"")</f>
        <v/>
      </c>
      <c r="W43" s="189" t="str">
        <f ca="1">IFERROR(__xludf.DUMMYFUNCTION("""COMPUTED_VALUE"""),"")</f>
        <v/>
      </c>
      <c r="X43" s="189" t="str">
        <f ca="1">IFERROR(__xludf.DUMMYFUNCTION("""COMPUTED_VALUE"""),"")</f>
        <v/>
      </c>
      <c r="Y43" s="189" t="str">
        <f ca="1">IFERROR(__xludf.DUMMYFUNCTION("""COMPUTED_VALUE"""),"")</f>
        <v/>
      </c>
      <c r="Z43" s="189"/>
    </row>
    <row r="44" spans="1:26" ht="12.75">
      <c r="A44" s="189" t="str">
        <f ca="1">IFERROR(__xludf.DUMMYFUNCTION("""COMPUTED_VALUE"""),"PTAC-1")</f>
        <v>PTAC-1</v>
      </c>
      <c r="B44" s="189" t="str">
        <f ca="1">IFERROR(__xludf.DUMMYFUNCTION("""COMPUTED_VALUE"""),"PRESSURE TRANSDUCER (0-400 BAR)")</f>
        <v>PRESSURE TRANSDUCER (0-400 BAR)</v>
      </c>
      <c r="C44" s="189" t="str">
        <f ca="1">IFERROR(__xludf.DUMMYFUNCTION("""COMPUTED_VALUE"""),"HOLD DOWN ACCUMULATOR 1 GAS PRESSURE SENSOR")</f>
        <v>HOLD DOWN ACCUMULATOR 1 GAS PRESSURE SENSOR</v>
      </c>
      <c r="D44" s="189" t="str">
        <f ca="1">IFERROR(__xludf.DUMMYFUNCTION("""COMPUTED_VALUE"""),"24VDC")</f>
        <v>24VDC</v>
      </c>
      <c r="E44" s="189" t="str">
        <f ca="1">IFERROR(__xludf.DUMMYFUNCTION("""COMPUTED_VALUE"""),"4..20mA")</f>
        <v>4..20mA</v>
      </c>
      <c r="F44" s="189" t="str">
        <f ca="1">IFERROR(__xludf.DUMMYFUNCTION("""COMPUTED_VALUE"""),"NA")</f>
        <v>NA</v>
      </c>
      <c r="G44" s="189" t="str">
        <f ca="1">IFERROR(__xludf.DUMMYFUNCTION("""COMPUTED_VALUE"""),"PT5400")</f>
        <v>PT5400</v>
      </c>
      <c r="H44" s="189">
        <f ca="1">IFERROR(__xludf.DUMMYFUNCTION("""COMPUTED_VALUE"""),24)</f>
        <v>24</v>
      </c>
      <c r="I44" s="120" t="str">
        <f ca="1">IFERROR(__xludf.DUMMYFUNCTION("""COMPUTED_VALUE"""),"M12")</f>
        <v>M12</v>
      </c>
      <c r="J44" s="189" t="str">
        <f ca="1">IFERROR(__xludf.DUMMYFUNCTION("""COMPUTED_VALUE"""),"")</f>
        <v/>
      </c>
      <c r="K44" s="189" t="str">
        <f ca="1">IFERROR(__xludf.DUMMYFUNCTION("""COMPUTED_VALUE"""),"")</f>
        <v/>
      </c>
      <c r="L44" s="189" t="str">
        <f ca="1">IFERROR(__xludf.DUMMYFUNCTION("""COMPUTED_VALUE"""),"")</f>
        <v/>
      </c>
      <c r="M44" s="189" t="str">
        <f ca="1">IFERROR(__xludf.DUMMYFUNCTION("""COMPUTED_VALUE"""),"")</f>
        <v/>
      </c>
      <c r="N44" s="189" t="str">
        <f ca="1">IFERROR(__xludf.DUMMYFUNCTION("""COMPUTED_VALUE"""),"")</f>
        <v/>
      </c>
      <c r="O44" s="189" t="str">
        <f ca="1">IFERROR(__xludf.DUMMYFUNCTION("""COMPUTED_VALUE"""),"")</f>
        <v/>
      </c>
      <c r="P44" s="189" t="str">
        <f ca="1">IFERROR(__xludf.DUMMYFUNCTION("""COMPUTED_VALUE"""),"")</f>
        <v/>
      </c>
      <c r="Q44" s="189" t="str">
        <f ca="1">IFERROR(__xludf.DUMMYFUNCTION("""COMPUTED_VALUE"""),"")</f>
        <v/>
      </c>
      <c r="R44" s="189" t="str">
        <f ca="1">IFERROR(__xludf.DUMMYFUNCTION("""COMPUTED_VALUE"""),"")</f>
        <v/>
      </c>
      <c r="S44" s="189" t="str">
        <f ca="1">IFERROR(__xludf.DUMMYFUNCTION("""COMPUTED_VALUE"""),"")</f>
        <v/>
      </c>
      <c r="T44" s="189" t="str">
        <f ca="1">IFERROR(__xludf.DUMMYFUNCTION("""COMPUTED_VALUE"""),"")</f>
        <v/>
      </c>
      <c r="U44" s="189" t="str">
        <f ca="1">IFERROR(__xludf.DUMMYFUNCTION("""COMPUTED_VALUE"""),"")</f>
        <v/>
      </c>
      <c r="V44" s="189" t="str">
        <f ca="1">IFERROR(__xludf.DUMMYFUNCTION("""COMPUTED_VALUE"""),"")</f>
        <v/>
      </c>
      <c r="W44" s="189" t="str">
        <f ca="1">IFERROR(__xludf.DUMMYFUNCTION("""COMPUTED_VALUE"""),"")</f>
        <v/>
      </c>
      <c r="X44" s="189" t="str">
        <f ca="1">IFERROR(__xludf.DUMMYFUNCTION("""COMPUTED_VALUE"""),"")</f>
        <v/>
      </c>
      <c r="Y44" s="189" t="str">
        <f ca="1">IFERROR(__xludf.DUMMYFUNCTION("""COMPUTED_VALUE"""),"")</f>
        <v/>
      </c>
      <c r="Z44" s="189"/>
    </row>
    <row r="45" spans="1:26" ht="12.75">
      <c r="A45" s="189" t="str">
        <f ca="1">IFERROR(__xludf.DUMMYFUNCTION("""COMPUTED_VALUE"""),"SWAC-1-O")</f>
        <v>SWAC-1-O</v>
      </c>
      <c r="B45" s="189" t="str">
        <f ca="1">IFERROR(__xludf.DUMMYFUNCTION("""COMPUTED_VALUE"""),"LIMIT SWITCH")</f>
        <v>LIMIT SWITCH</v>
      </c>
      <c r="C45" s="189" t="str">
        <f ca="1">IFERROR(__xludf.DUMMYFUNCTION("""COMPUTED_VALUE"""),"HD ACC 1 ISOLATION BALL VALVE OPEN")</f>
        <v>HD ACC 1 ISOLATION BALL VALVE OPEN</v>
      </c>
      <c r="D45" s="189" t="str">
        <f ca="1">IFERROR(__xludf.DUMMYFUNCTION("""COMPUTED_VALUE"""),"")</f>
        <v/>
      </c>
      <c r="E45" s="189" t="str">
        <f ca="1">IFERROR(__xludf.DUMMYFUNCTION("""COMPUTED_VALUE"""),"")</f>
        <v/>
      </c>
      <c r="F45" s="189" t="str">
        <f ca="1">IFERROR(__xludf.DUMMYFUNCTION("""COMPUTED_VALUE"""),"")</f>
        <v/>
      </c>
      <c r="G45" s="189" t="str">
        <f ca="1">IFERROR(__xludf.DUMMYFUNCTION("""COMPUTED_VALUE"""),"")</f>
        <v/>
      </c>
      <c r="H45" s="189" t="str">
        <f ca="1">IFERROR(__xludf.DUMMYFUNCTION("""COMPUTED_VALUE"""),"")</f>
        <v/>
      </c>
      <c r="I45" s="120" t="str">
        <f ca="1">IFERROR(__xludf.DUMMYFUNCTION("""COMPUTED_VALUE"""),"WIRING TO TERMINAL BOX")</f>
        <v>WIRING TO TERMINAL BOX</v>
      </c>
      <c r="J45" s="189" t="str">
        <f ca="1">IFERROR(__xludf.DUMMYFUNCTION("""COMPUTED_VALUE"""),"")</f>
        <v/>
      </c>
      <c r="K45" s="189" t="str">
        <f ca="1">IFERROR(__xludf.DUMMYFUNCTION("""COMPUTED_VALUE"""),"")</f>
        <v/>
      </c>
      <c r="L45" s="189" t="str">
        <f ca="1">IFERROR(__xludf.DUMMYFUNCTION("""COMPUTED_VALUE"""),"")</f>
        <v/>
      </c>
      <c r="M45" s="189" t="str">
        <f ca="1">IFERROR(__xludf.DUMMYFUNCTION("""COMPUTED_VALUE"""),"")</f>
        <v/>
      </c>
      <c r="N45" s="189" t="str">
        <f ca="1">IFERROR(__xludf.DUMMYFUNCTION("""COMPUTED_VALUE"""),"")</f>
        <v/>
      </c>
      <c r="O45" s="189" t="str">
        <f ca="1">IFERROR(__xludf.DUMMYFUNCTION("""COMPUTED_VALUE"""),"")</f>
        <v/>
      </c>
      <c r="P45" s="189" t="str">
        <f ca="1">IFERROR(__xludf.DUMMYFUNCTION("""COMPUTED_VALUE"""),"")</f>
        <v/>
      </c>
      <c r="Q45" s="189" t="str">
        <f ca="1">IFERROR(__xludf.DUMMYFUNCTION("""COMPUTED_VALUE"""),"")</f>
        <v/>
      </c>
      <c r="R45" s="189" t="str">
        <f ca="1">IFERROR(__xludf.DUMMYFUNCTION("""COMPUTED_VALUE"""),"")</f>
        <v/>
      </c>
      <c r="S45" s="189" t="str">
        <f ca="1">IFERROR(__xludf.DUMMYFUNCTION("""COMPUTED_VALUE"""),"")</f>
        <v/>
      </c>
      <c r="T45" s="189" t="str">
        <f ca="1">IFERROR(__xludf.DUMMYFUNCTION("""COMPUTED_VALUE"""),"")</f>
        <v/>
      </c>
      <c r="U45" s="189" t="str">
        <f ca="1">IFERROR(__xludf.DUMMYFUNCTION("""COMPUTED_VALUE"""),"")</f>
        <v/>
      </c>
      <c r="V45" s="189" t="str">
        <f ca="1">IFERROR(__xludf.DUMMYFUNCTION("""COMPUTED_VALUE"""),"")</f>
        <v/>
      </c>
      <c r="W45" s="189" t="str">
        <f ca="1">IFERROR(__xludf.DUMMYFUNCTION("""COMPUTED_VALUE"""),"")</f>
        <v/>
      </c>
      <c r="X45" s="189" t="str">
        <f ca="1">IFERROR(__xludf.DUMMYFUNCTION("""COMPUTED_VALUE"""),"")</f>
        <v/>
      </c>
      <c r="Y45" s="189" t="str">
        <f ca="1">IFERROR(__xludf.DUMMYFUNCTION("""COMPUTED_VALUE"""),"")</f>
        <v/>
      </c>
      <c r="Z45" s="189"/>
    </row>
    <row r="46" spans="1:26" ht="12.75">
      <c r="A46" s="189" t="str">
        <f ca="1">IFERROR(__xludf.DUMMYFUNCTION("""COMPUTED_VALUE"""),"SWAC-1-C")</f>
        <v>SWAC-1-C</v>
      </c>
      <c r="B46" s="189" t="str">
        <f ca="1">IFERROR(__xludf.DUMMYFUNCTION("""COMPUTED_VALUE"""),"LIMIT SWITCH")</f>
        <v>LIMIT SWITCH</v>
      </c>
      <c r="C46" s="189" t="str">
        <f ca="1">IFERROR(__xludf.DUMMYFUNCTION("""COMPUTED_VALUE"""),"HD ACC 1 ISOLATION BALL VALVE CLOSED")</f>
        <v>HD ACC 1 ISOLATION BALL VALVE CLOSED</v>
      </c>
      <c r="D46" s="189" t="str">
        <f ca="1">IFERROR(__xludf.DUMMYFUNCTION("""COMPUTED_VALUE"""),"")</f>
        <v/>
      </c>
      <c r="E46" s="189" t="str">
        <f ca="1">IFERROR(__xludf.DUMMYFUNCTION("""COMPUTED_VALUE"""),"")</f>
        <v/>
      </c>
      <c r="F46" s="189" t="str">
        <f ca="1">IFERROR(__xludf.DUMMYFUNCTION("""COMPUTED_VALUE"""),"")</f>
        <v/>
      </c>
      <c r="G46" s="189" t="str">
        <f ca="1">IFERROR(__xludf.DUMMYFUNCTION("""COMPUTED_VALUE"""),"")</f>
        <v/>
      </c>
      <c r="H46" s="189" t="str">
        <f ca="1">IFERROR(__xludf.DUMMYFUNCTION("""COMPUTED_VALUE"""),"")</f>
        <v/>
      </c>
      <c r="I46" s="120" t="str">
        <f ca="1">IFERROR(__xludf.DUMMYFUNCTION("""COMPUTED_VALUE"""),"WIRING TO TERMINAL BOX")</f>
        <v>WIRING TO TERMINAL BOX</v>
      </c>
      <c r="J46" s="189" t="str">
        <f ca="1">IFERROR(__xludf.DUMMYFUNCTION("""COMPUTED_VALUE"""),"")</f>
        <v/>
      </c>
      <c r="K46" s="189" t="str">
        <f ca="1">IFERROR(__xludf.DUMMYFUNCTION("""COMPUTED_VALUE"""),"")</f>
        <v/>
      </c>
      <c r="L46" s="189" t="str">
        <f ca="1">IFERROR(__xludf.DUMMYFUNCTION("""COMPUTED_VALUE"""),"")</f>
        <v/>
      </c>
      <c r="M46" s="189" t="str">
        <f ca="1">IFERROR(__xludf.DUMMYFUNCTION("""COMPUTED_VALUE"""),"")</f>
        <v/>
      </c>
      <c r="N46" s="189" t="str">
        <f ca="1">IFERROR(__xludf.DUMMYFUNCTION("""COMPUTED_VALUE"""),"")</f>
        <v/>
      </c>
      <c r="O46" s="189" t="str">
        <f ca="1">IFERROR(__xludf.DUMMYFUNCTION("""COMPUTED_VALUE"""),"")</f>
        <v/>
      </c>
      <c r="P46" s="189" t="str">
        <f ca="1">IFERROR(__xludf.DUMMYFUNCTION("""COMPUTED_VALUE"""),"")</f>
        <v/>
      </c>
      <c r="Q46" s="189" t="str">
        <f ca="1">IFERROR(__xludf.DUMMYFUNCTION("""COMPUTED_VALUE"""),"")</f>
        <v/>
      </c>
      <c r="R46" s="189" t="str">
        <f ca="1">IFERROR(__xludf.DUMMYFUNCTION("""COMPUTED_VALUE"""),"")</f>
        <v/>
      </c>
      <c r="S46" s="189" t="str">
        <f ca="1">IFERROR(__xludf.DUMMYFUNCTION("""COMPUTED_VALUE"""),"")</f>
        <v/>
      </c>
      <c r="T46" s="189" t="str">
        <f ca="1">IFERROR(__xludf.DUMMYFUNCTION("""COMPUTED_VALUE"""),"")</f>
        <v/>
      </c>
      <c r="U46" s="189" t="str">
        <f ca="1">IFERROR(__xludf.DUMMYFUNCTION("""COMPUTED_VALUE"""),"")</f>
        <v/>
      </c>
      <c r="V46" s="189" t="str">
        <f ca="1">IFERROR(__xludf.DUMMYFUNCTION("""COMPUTED_VALUE"""),"")</f>
        <v/>
      </c>
      <c r="W46" s="189" t="str">
        <f ca="1">IFERROR(__xludf.DUMMYFUNCTION("""COMPUTED_VALUE"""),"")</f>
        <v/>
      </c>
      <c r="X46" s="189" t="str">
        <f ca="1">IFERROR(__xludf.DUMMYFUNCTION("""COMPUTED_VALUE"""),"")</f>
        <v/>
      </c>
      <c r="Y46" s="189" t="str">
        <f ca="1">IFERROR(__xludf.DUMMYFUNCTION("""COMPUTED_VALUE"""),"")</f>
        <v/>
      </c>
      <c r="Z46" s="189"/>
    </row>
    <row r="47" spans="1:26" ht="12.75">
      <c r="A47" s="189" t="str">
        <f ca="1">IFERROR(__xludf.DUMMYFUNCTION("""COMPUTED_VALUE"""),"SW16")</f>
        <v>SW16</v>
      </c>
      <c r="B47" s="189" t="str">
        <f ca="1">IFERROR(__xludf.DUMMYFUNCTION("""COMPUTED_VALUE"""),"POSITION SENSOR")</f>
        <v>POSITION SENSOR</v>
      </c>
      <c r="C47" s="189" t="str">
        <f ca="1">IFERROR(__xludf.DUMMYFUNCTION("""COMPUTED_VALUE"""),"HD RING MAIN SOLENOID DRAIN VALVE POSITION SENSOR")</f>
        <v>HD RING MAIN SOLENOID DRAIN VALVE POSITION SENSOR</v>
      </c>
      <c r="D47" s="189" t="str">
        <f ca="1">IFERROR(__xludf.DUMMYFUNCTION("""COMPUTED_VALUE"""),"24VDC NC")</f>
        <v>24VDC NC</v>
      </c>
      <c r="E47" s="189" t="str">
        <f ca="1">IFERROR(__xludf.DUMMYFUNCTION("""COMPUTED_VALUE"""),"NA")</f>
        <v>NA</v>
      </c>
      <c r="F47" s="189" t="str">
        <f ca="1">IFERROR(__xludf.DUMMYFUNCTION("""COMPUTED_VALUE"""),"NA")</f>
        <v>NA</v>
      </c>
      <c r="G47" s="189" t="str">
        <f ca="1">IFERROR(__xludf.DUMMYFUNCTION("""COMPUTED_VALUE"""),"SV58-P20-0-P-0-M3")</f>
        <v>SV58-P20-0-P-0-M3</v>
      </c>
      <c r="H47" s="189">
        <f ca="1">IFERROR(__xludf.DUMMYFUNCTION("""COMPUTED_VALUE"""),45)</f>
        <v>45</v>
      </c>
      <c r="I47" s="120" t="str">
        <f ca="1">IFERROR(__xludf.DUMMYFUNCTION("""COMPUTED_VALUE"""),"M12")</f>
        <v>M12</v>
      </c>
      <c r="J47" s="189" t="str">
        <f ca="1">IFERROR(__xludf.DUMMYFUNCTION("""COMPUTED_VALUE"""),"")</f>
        <v/>
      </c>
      <c r="K47" s="189" t="str">
        <f ca="1">IFERROR(__xludf.DUMMYFUNCTION("""COMPUTED_VALUE"""),"")</f>
        <v/>
      </c>
      <c r="L47" s="189" t="str">
        <f ca="1">IFERROR(__xludf.DUMMYFUNCTION("""COMPUTED_VALUE"""),"")</f>
        <v/>
      </c>
      <c r="M47" s="189" t="str">
        <f ca="1">IFERROR(__xludf.DUMMYFUNCTION("""COMPUTED_VALUE"""),"")</f>
        <v/>
      </c>
      <c r="N47" s="189" t="str">
        <f ca="1">IFERROR(__xludf.DUMMYFUNCTION("""COMPUTED_VALUE"""),"")</f>
        <v/>
      </c>
      <c r="O47" s="189" t="str">
        <f ca="1">IFERROR(__xludf.DUMMYFUNCTION("""COMPUTED_VALUE"""),"")</f>
        <v/>
      </c>
      <c r="P47" s="189" t="str">
        <f ca="1">IFERROR(__xludf.DUMMYFUNCTION("""COMPUTED_VALUE"""),"")</f>
        <v/>
      </c>
      <c r="Q47" s="189" t="str">
        <f ca="1">IFERROR(__xludf.DUMMYFUNCTION("""COMPUTED_VALUE"""),"")</f>
        <v/>
      </c>
      <c r="R47" s="189" t="str">
        <f ca="1">IFERROR(__xludf.DUMMYFUNCTION("""COMPUTED_VALUE"""),"")</f>
        <v/>
      </c>
      <c r="S47" s="189" t="str">
        <f ca="1">IFERROR(__xludf.DUMMYFUNCTION("""COMPUTED_VALUE"""),"")</f>
        <v/>
      </c>
      <c r="T47" s="189" t="str">
        <f ca="1">IFERROR(__xludf.DUMMYFUNCTION("""COMPUTED_VALUE"""),"")</f>
        <v/>
      </c>
      <c r="U47" s="189" t="str">
        <f ca="1">IFERROR(__xludf.DUMMYFUNCTION("""COMPUTED_VALUE"""),"")</f>
        <v/>
      </c>
      <c r="V47" s="189" t="str">
        <f ca="1">IFERROR(__xludf.DUMMYFUNCTION("""COMPUTED_VALUE"""),"")</f>
        <v/>
      </c>
      <c r="W47" s="189" t="str">
        <f ca="1">IFERROR(__xludf.DUMMYFUNCTION("""COMPUTED_VALUE"""),"")</f>
        <v/>
      </c>
      <c r="X47" s="189" t="str">
        <f ca="1">IFERROR(__xludf.DUMMYFUNCTION("""COMPUTED_VALUE"""),"")</f>
        <v/>
      </c>
      <c r="Y47" s="189" t="str">
        <f ca="1">IFERROR(__xludf.DUMMYFUNCTION("""COMPUTED_VALUE"""),"")</f>
        <v/>
      </c>
      <c r="Z47" s="189"/>
    </row>
    <row r="48" spans="1:26" ht="12.75">
      <c r="A48" s="189" t="str">
        <f ca="1">IFERROR(__xludf.DUMMYFUNCTION("""COMPUTED_VALUE"""),"S16")</f>
        <v>S16</v>
      </c>
      <c r="B48" s="189" t="str">
        <f ca="1">IFERROR(__xludf.DUMMYFUNCTION("""COMPUTED_VALUE"""),"ON/OFF SOLENOID VALVE")</f>
        <v>ON/OFF SOLENOID VALVE</v>
      </c>
      <c r="C48" s="189" t="str">
        <f ca="1">IFERROR(__xludf.DUMMYFUNCTION("""COMPUTED_VALUE"""),"HD RING MAIN SOLENOID DRAIN (NORMALLY CLOSED)")</f>
        <v>HD RING MAIN SOLENOID DRAIN (NORMALLY CLOSED)</v>
      </c>
      <c r="D48" s="189" t="str">
        <f ca="1">IFERROR(__xludf.DUMMYFUNCTION("""COMPUTED_VALUE"""),"24VDC 17W")</f>
        <v>24VDC 17W</v>
      </c>
      <c r="E48" s="189" t="str">
        <f ca="1">IFERROR(__xludf.DUMMYFUNCTION("""COMPUTED_VALUE"""),"NA")</f>
        <v>NA</v>
      </c>
      <c r="F48" s="189" t="str">
        <f ca="1">IFERROR(__xludf.DUMMYFUNCTION("""COMPUTED_VALUE"""),"NA")</f>
        <v>NA</v>
      </c>
      <c r="G48" s="189" t="str">
        <f ca="1">IFERROR(__xludf.DUMMYFUNCTION("""COMPUTED_VALUE"""),"SV58-P20-0-P-0-M3")</f>
        <v>SV58-P20-0-P-0-M3</v>
      </c>
      <c r="H48" s="189">
        <f ca="1">IFERROR(__xludf.DUMMYFUNCTION("""COMPUTED_VALUE"""),45)</f>
        <v>45</v>
      </c>
      <c r="I48" s="120" t="str">
        <f ca="1">IFERROR(__xludf.DUMMYFUNCTION("""COMPUTED_VALUE"""),"DEUTSCH DTO4-2P (CONNECTOR INCLUDED)")</f>
        <v>DEUTSCH DTO4-2P (CONNECTOR INCLUDED)</v>
      </c>
      <c r="J48" s="189" t="str">
        <f ca="1">IFERROR(__xludf.DUMMYFUNCTION("""COMPUTED_VALUE"""),"")</f>
        <v/>
      </c>
      <c r="K48" s="189" t="str">
        <f ca="1">IFERROR(__xludf.DUMMYFUNCTION("""COMPUTED_VALUE"""),"")</f>
        <v/>
      </c>
      <c r="L48" s="189" t="str">
        <f ca="1">IFERROR(__xludf.DUMMYFUNCTION("""COMPUTED_VALUE"""),"")</f>
        <v/>
      </c>
      <c r="M48" s="189" t="str">
        <f ca="1">IFERROR(__xludf.DUMMYFUNCTION("""COMPUTED_VALUE"""),"")</f>
        <v/>
      </c>
      <c r="N48" s="189" t="str">
        <f ca="1">IFERROR(__xludf.DUMMYFUNCTION("""COMPUTED_VALUE"""),"")</f>
        <v/>
      </c>
      <c r="O48" s="189" t="str">
        <f ca="1">IFERROR(__xludf.DUMMYFUNCTION("""COMPUTED_VALUE"""),"")</f>
        <v/>
      </c>
      <c r="P48" s="189" t="str">
        <f ca="1">IFERROR(__xludf.DUMMYFUNCTION("""COMPUTED_VALUE"""),"")</f>
        <v/>
      </c>
      <c r="Q48" s="189" t="str">
        <f ca="1">IFERROR(__xludf.DUMMYFUNCTION("""COMPUTED_VALUE"""),"")</f>
        <v/>
      </c>
      <c r="R48" s="189" t="str">
        <f ca="1">IFERROR(__xludf.DUMMYFUNCTION("""COMPUTED_VALUE"""),"")</f>
        <v/>
      </c>
      <c r="S48" s="189" t="str">
        <f ca="1">IFERROR(__xludf.DUMMYFUNCTION("""COMPUTED_VALUE"""),"")</f>
        <v/>
      </c>
      <c r="T48" s="189" t="str">
        <f ca="1">IFERROR(__xludf.DUMMYFUNCTION("""COMPUTED_VALUE"""),"")</f>
        <v/>
      </c>
      <c r="U48" s="189" t="str">
        <f ca="1">IFERROR(__xludf.DUMMYFUNCTION("""COMPUTED_VALUE"""),"")</f>
        <v/>
      </c>
      <c r="V48" s="189" t="str">
        <f ca="1">IFERROR(__xludf.DUMMYFUNCTION("""COMPUTED_VALUE"""),"")</f>
        <v/>
      </c>
      <c r="W48" s="189" t="str">
        <f ca="1">IFERROR(__xludf.DUMMYFUNCTION("""COMPUTED_VALUE"""),"")</f>
        <v/>
      </c>
      <c r="X48" s="189" t="str">
        <f ca="1">IFERROR(__xludf.DUMMYFUNCTION("""COMPUTED_VALUE"""),"")</f>
        <v/>
      </c>
      <c r="Y48" s="189" t="str">
        <f ca="1">IFERROR(__xludf.DUMMYFUNCTION("""COMPUTED_VALUE"""),"")</f>
        <v/>
      </c>
      <c r="Z48" s="189"/>
    </row>
    <row r="49" spans="1:26" ht="12.75">
      <c r="A49" s="189" t="str">
        <f ca="1">IFERROR(__xludf.DUMMYFUNCTION("""COMPUTED_VALUE"""),"S17")</f>
        <v>S17</v>
      </c>
      <c r="B49" s="189" t="str">
        <f ca="1">IFERROR(__xludf.DUMMYFUNCTION("""COMPUTED_VALUE"""),"ON/OFF SOLENOID VALVE")</f>
        <v>ON/OFF SOLENOID VALVE</v>
      </c>
      <c r="C49" s="189" t="str">
        <f ca="1">IFERROR(__xludf.DUMMYFUNCTION("""COMPUTED_VALUE"""),"HD CYLINDER 1 FAST RETRACT PILOT VALVE 1")</f>
        <v>HD CYLINDER 1 FAST RETRACT PILOT VALVE 1</v>
      </c>
      <c r="D49" s="189" t="str">
        <f ca="1">IFERROR(__xludf.DUMMYFUNCTION("""COMPUTED_VALUE"""),"24VDC 38W")</f>
        <v>24VDC 38W</v>
      </c>
      <c r="E49" s="189" t="str">
        <f ca="1">IFERROR(__xludf.DUMMYFUNCTION("""COMPUTED_VALUE"""),"NA")</f>
        <v>NA</v>
      </c>
      <c r="F49" s="189" t="str">
        <f ca="1">IFERROR(__xludf.DUMMYFUNCTION("""COMPUTED_VALUE"""),"NA")</f>
        <v>NA</v>
      </c>
      <c r="G49" s="189" t="str">
        <f ca="1">IFERROR(__xludf.DUMMYFUNCTION("""COMPUTED_VALUE"""),"6042893-014")</f>
        <v>6042893-014</v>
      </c>
      <c r="H49" s="189">
        <f ca="1">IFERROR(__xludf.DUMMYFUNCTION("""COMPUTED_VALUE"""),50)</f>
        <v>50</v>
      </c>
      <c r="I49" s="120" t="str">
        <f ca="1">IFERROR(__xludf.DUMMYFUNCTION("""COMPUTED_VALUE"""),"DEUTSCH DTO4-2P (CONNECTOR INCLUDED)")</f>
        <v>DEUTSCH DTO4-2P (CONNECTOR INCLUDED)</v>
      </c>
      <c r="J49" s="189" t="str">
        <f ca="1">IFERROR(__xludf.DUMMYFUNCTION("""COMPUTED_VALUE"""),"")</f>
        <v/>
      </c>
      <c r="K49" s="189" t="str">
        <f ca="1">IFERROR(__xludf.DUMMYFUNCTION("""COMPUTED_VALUE"""),"")</f>
        <v/>
      </c>
      <c r="L49" s="189" t="str">
        <f ca="1">IFERROR(__xludf.DUMMYFUNCTION("""COMPUTED_VALUE"""),"")</f>
        <v/>
      </c>
      <c r="M49" s="189" t="str">
        <f ca="1">IFERROR(__xludf.DUMMYFUNCTION("""COMPUTED_VALUE"""),"")</f>
        <v/>
      </c>
      <c r="N49" s="189" t="str">
        <f ca="1">IFERROR(__xludf.DUMMYFUNCTION("""COMPUTED_VALUE"""),"")</f>
        <v/>
      </c>
      <c r="O49" s="189" t="str">
        <f ca="1">IFERROR(__xludf.DUMMYFUNCTION("""COMPUTED_VALUE"""),"")</f>
        <v/>
      </c>
      <c r="P49" s="189" t="str">
        <f ca="1">IFERROR(__xludf.DUMMYFUNCTION("""COMPUTED_VALUE"""),"")</f>
        <v/>
      </c>
      <c r="Q49" s="189" t="str">
        <f ca="1">IFERROR(__xludf.DUMMYFUNCTION("""COMPUTED_VALUE"""),"")</f>
        <v/>
      </c>
      <c r="R49" s="189" t="str">
        <f ca="1">IFERROR(__xludf.DUMMYFUNCTION("""COMPUTED_VALUE"""),"")</f>
        <v/>
      </c>
      <c r="S49" s="189" t="str">
        <f ca="1">IFERROR(__xludf.DUMMYFUNCTION("""COMPUTED_VALUE"""),"")</f>
        <v/>
      </c>
      <c r="T49" s="189" t="str">
        <f ca="1">IFERROR(__xludf.DUMMYFUNCTION("""COMPUTED_VALUE"""),"")</f>
        <v/>
      </c>
      <c r="U49" s="189" t="str">
        <f ca="1">IFERROR(__xludf.DUMMYFUNCTION("""COMPUTED_VALUE"""),"")</f>
        <v/>
      </c>
      <c r="V49" s="189" t="str">
        <f ca="1">IFERROR(__xludf.DUMMYFUNCTION("""COMPUTED_VALUE"""),"")</f>
        <v/>
      </c>
      <c r="W49" s="189" t="str">
        <f ca="1">IFERROR(__xludf.DUMMYFUNCTION("""COMPUTED_VALUE"""),"")</f>
        <v/>
      </c>
      <c r="X49" s="189" t="str">
        <f ca="1">IFERROR(__xludf.DUMMYFUNCTION("""COMPUTED_VALUE"""),"")</f>
        <v/>
      </c>
      <c r="Y49" s="189" t="str">
        <f ca="1">IFERROR(__xludf.DUMMYFUNCTION("""COMPUTED_VALUE"""),"")</f>
        <v/>
      </c>
      <c r="Z49" s="189"/>
    </row>
    <row r="50" spans="1:26" ht="12.75">
      <c r="A50" s="189" t="str">
        <f ca="1">IFERROR(__xludf.DUMMYFUNCTION("""COMPUTED_VALUE"""),"S18")</f>
        <v>S18</v>
      </c>
      <c r="B50" s="189" t="str">
        <f ca="1">IFERROR(__xludf.DUMMYFUNCTION("""COMPUTED_VALUE"""),"ON/OFF SOLENOID VALVE")</f>
        <v>ON/OFF SOLENOID VALVE</v>
      </c>
      <c r="C50" s="189" t="str">
        <f ca="1">IFERROR(__xludf.DUMMYFUNCTION("""COMPUTED_VALUE"""),"HD CYLINDER 1 FAST RETRACT PILOT VALVE 2")</f>
        <v>HD CYLINDER 1 FAST RETRACT PILOT VALVE 2</v>
      </c>
      <c r="D50" s="189" t="str">
        <f ca="1">IFERROR(__xludf.DUMMYFUNCTION("""COMPUTED_VALUE"""),"24VDC 38W")</f>
        <v>24VDC 38W</v>
      </c>
      <c r="E50" s="189" t="str">
        <f ca="1">IFERROR(__xludf.DUMMYFUNCTION("""COMPUTED_VALUE"""),"NA")</f>
        <v>NA</v>
      </c>
      <c r="F50" s="189" t="str">
        <f ca="1">IFERROR(__xludf.DUMMYFUNCTION("""COMPUTED_VALUE"""),"NA")</f>
        <v>NA</v>
      </c>
      <c r="G50" s="189" t="str">
        <f ca="1">IFERROR(__xludf.DUMMYFUNCTION("""COMPUTED_VALUE"""),"6042893-014")</f>
        <v>6042893-014</v>
      </c>
      <c r="H50" s="189">
        <f ca="1">IFERROR(__xludf.DUMMYFUNCTION("""COMPUTED_VALUE"""),50)</f>
        <v>50</v>
      </c>
      <c r="I50" s="120" t="str">
        <f ca="1">IFERROR(__xludf.DUMMYFUNCTION("""COMPUTED_VALUE"""),"DEUTSCH DTO4-2P (CONNECTOR INCLUDED)")</f>
        <v>DEUTSCH DTO4-2P (CONNECTOR INCLUDED)</v>
      </c>
      <c r="J50" s="189" t="str">
        <f ca="1">IFERROR(__xludf.DUMMYFUNCTION("""COMPUTED_VALUE"""),"")</f>
        <v/>
      </c>
      <c r="K50" s="189" t="str">
        <f ca="1">IFERROR(__xludf.DUMMYFUNCTION("""COMPUTED_VALUE"""),"")</f>
        <v/>
      </c>
      <c r="L50" s="189" t="str">
        <f ca="1">IFERROR(__xludf.DUMMYFUNCTION("""COMPUTED_VALUE"""),"")</f>
        <v/>
      </c>
      <c r="M50" s="189" t="str">
        <f ca="1">IFERROR(__xludf.DUMMYFUNCTION("""COMPUTED_VALUE"""),"")</f>
        <v/>
      </c>
      <c r="N50" s="189" t="str">
        <f ca="1">IFERROR(__xludf.DUMMYFUNCTION("""COMPUTED_VALUE"""),"")</f>
        <v/>
      </c>
      <c r="O50" s="189" t="str">
        <f ca="1">IFERROR(__xludf.DUMMYFUNCTION("""COMPUTED_VALUE"""),"")</f>
        <v/>
      </c>
      <c r="P50" s="189" t="str">
        <f ca="1">IFERROR(__xludf.DUMMYFUNCTION("""COMPUTED_VALUE"""),"")</f>
        <v/>
      </c>
      <c r="Q50" s="189" t="str">
        <f ca="1">IFERROR(__xludf.DUMMYFUNCTION("""COMPUTED_VALUE"""),"")</f>
        <v/>
      </c>
      <c r="R50" s="189" t="str">
        <f ca="1">IFERROR(__xludf.DUMMYFUNCTION("""COMPUTED_VALUE"""),"")</f>
        <v/>
      </c>
      <c r="S50" s="189" t="str">
        <f ca="1">IFERROR(__xludf.DUMMYFUNCTION("""COMPUTED_VALUE"""),"")</f>
        <v/>
      </c>
      <c r="T50" s="189" t="str">
        <f ca="1">IFERROR(__xludf.DUMMYFUNCTION("""COMPUTED_VALUE"""),"")</f>
        <v/>
      </c>
      <c r="U50" s="189" t="str">
        <f ca="1">IFERROR(__xludf.DUMMYFUNCTION("""COMPUTED_VALUE"""),"")</f>
        <v/>
      </c>
      <c r="V50" s="189" t="str">
        <f ca="1">IFERROR(__xludf.DUMMYFUNCTION("""COMPUTED_VALUE"""),"")</f>
        <v/>
      </c>
      <c r="W50" s="189" t="str">
        <f ca="1">IFERROR(__xludf.DUMMYFUNCTION("""COMPUTED_VALUE"""),"")</f>
        <v/>
      </c>
      <c r="X50" s="189" t="str">
        <f ca="1">IFERROR(__xludf.DUMMYFUNCTION("""COMPUTED_VALUE"""),"")</f>
        <v/>
      </c>
      <c r="Y50" s="189" t="str">
        <f ca="1">IFERROR(__xludf.DUMMYFUNCTION("""COMPUTED_VALUE"""),"")</f>
        <v/>
      </c>
      <c r="Z50" s="189"/>
    </row>
    <row r="51" spans="1:26" ht="12.75">
      <c r="A51" s="189" t="str">
        <f ca="1">IFERROR(__xludf.DUMMYFUNCTION("""COMPUTED_VALUE"""),"S25.1 ")</f>
        <v xml:space="preserve">S25.1 </v>
      </c>
      <c r="B51" s="189" t="str">
        <f ca="1">IFERROR(__xludf.DUMMYFUNCTION("""COMPUTED_VALUE"""),"ON/OFF SOLENOID VALVE")</f>
        <v>ON/OFF SOLENOID VALVE</v>
      </c>
      <c r="C51" s="189" t="str">
        <f ca="1">IFERROR(__xludf.DUMMYFUNCTION("""COMPUTED_VALUE"""),"HD CYLINDER 1 SLOW EXTEND")</f>
        <v>HD CYLINDER 1 SLOW EXTEND</v>
      </c>
      <c r="D51" s="189" t="str">
        <f ca="1">IFERROR(__xludf.DUMMYFUNCTION("""COMPUTED_VALUE"""),"24VDC 36W")</f>
        <v>24VDC 36W</v>
      </c>
      <c r="E51" s="121" t="str">
        <f ca="1">IFERROR(__xludf.DUMMYFUNCTION("""COMPUTED_VALUE"""),"NA ")</f>
        <v xml:space="preserve">NA </v>
      </c>
      <c r="F51" s="121" t="str">
        <f ca="1">IFERROR(__xludf.DUMMYFUNCTION("""COMPUTED_VALUE"""),"NA ")</f>
        <v xml:space="preserve">NA </v>
      </c>
      <c r="G51" s="189" t="str">
        <f ca="1">IFERROR(__xludf.DUMMYFUNCTION("""COMPUTED_VALUE"""),"02-414486")</f>
        <v>02-414486</v>
      </c>
      <c r="H51" s="189">
        <f ca="1">IFERROR(__xludf.DUMMYFUNCTION("""COMPUTED_VALUE"""),34)</f>
        <v>34</v>
      </c>
      <c r="I51" s="120" t="str">
        <f ca="1">IFERROR(__xludf.DUMMYFUNCTION("""COMPUTED_VALUE"""),"DEUTSCH DTO4-2P (CONNECTOR INCLUDED)")</f>
        <v>DEUTSCH DTO4-2P (CONNECTOR INCLUDED)</v>
      </c>
      <c r="J51" s="189" t="str">
        <f ca="1">IFERROR(__xludf.DUMMYFUNCTION("""COMPUTED_VALUE"""),"")</f>
        <v/>
      </c>
      <c r="K51" s="189" t="str">
        <f ca="1">IFERROR(__xludf.DUMMYFUNCTION("""COMPUTED_VALUE"""),"")</f>
        <v/>
      </c>
      <c r="L51" s="189" t="str">
        <f ca="1">IFERROR(__xludf.DUMMYFUNCTION("""COMPUTED_VALUE"""),"")</f>
        <v/>
      </c>
      <c r="M51" s="189" t="str">
        <f ca="1">IFERROR(__xludf.DUMMYFUNCTION("""COMPUTED_VALUE"""),"")</f>
        <v/>
      </c>
      <c r="N51" s="189" t="str">
        <f ca="1">IFERROR(__xludf.DUMMYFUNCTION("""COMPUTED_VALUE"""),"")</f>
        <v/>
      </c>
      <c r="O51" s="189" t="str">
        <f ca="1">IFERROR(__xludf.DUMMYFUNCTION("""COMPUTED_VALUE"""),"")</f>
        <v/>
      </c>
      <c r="P51" s="189" t="str">
        <f ca="1">IFERROR(__xludf.DUMMYFUNCTION("""COMPUTED_VALUE"""),"")</f>
        <v/>
      </c>
      <c r="Q51" s="189" t="str">
        <f ca="1">IFERROR(__xludf.DUMMYFUNCTION("""COMPUTED_VALUE"""),"")</f>
        <v/>
      </c>
      <c r="R51" s="189" t="str">
        <f ca="1">IFERROR(__xludf.DUMMYFUNCTION("""COMPUTED_VALUE"""),"")</f>
        <v/>
      </c>
      <c r="S51" s="189" t="str">
        <f ca="1">IFERROR(__xludf.DUMMYFUNCTION("""COMPUTED_VALUE"""),"")</f>
        <v/>
      </c>
      <c r="T51" s="189" t="str">
        <f ca="1">IFERROR(__xludf.DUMMYFUNCTION("""COMPUTED_VALUE"""),"")</f>
        <v/>
      </c>
      <c r="U51" s="189" t="str">
        <f ca="1">IFERROR(__xludf.DUMMYFUNCTION("""COMPUTED_VALUE"""),"")</f>
        <v/>
      </c>
      <c r="V51" s="189" t="str">
        <f ca="1">IFERROR(__xludf.DUMMYFUNCTION("""COMPUTED_VALUE"""),"")</f>
        <v/>
      </c>
      <c r="W51" s="189" t="str">
        <f ca="1">IFERROR(__xludf.DUMMYFUNCTION("""COMPUTED_VALUE"""),"")</f>
        <v/>
      </c>
      <c r="X51" s="189" t="str">
        <f ca="1">IFERROR(__xludf.DUMMYFUNCTION("""COMPUTED_VALUE"""),"")</f>
        <v/>
      </c>
      <c r="Y51" s="189" t="str">
        <f ca="1">IFERROR(__xludf.DUMMYFUNCTION("""COMPUTED_VALUE"""),"")</f>
        <v/>
      </c>
      <c r="Z51" s="189"/>
    </row>
    <row r="52" spans="1:26" ht="12.75">
      <c r="A52" s="189" t="str">
        <f ca="1">IFERROR(__xludf.DUMMYFUNCTION("""COMPUTED_VALUE"""),"S25.2")</f>
        <v>S25.2</v>
      </c>
      <c r="B52" s="189" t="str">
        <f ca="1">IFERROR(__xludf.DUMMYFUNCTION("""COMPUTED_VALUE"""),"ON/OFF SOLENOID VALVE")</f>
        <v>ON/OFF SOLENOID VALVE</v>
      </c>
      <c r="C52" s="189" t="str">
        <f ca="1">IFERROR(__xludf.DUMMYFUNCTION("""COMPUTED_VALUE"""),"HD CYLINDER 1 SLOW RETRACT")</f>
        <v>HD CYLINDER 1 SLOW RETRACT</v>
      </c>
      <c r="D52" s="189" t="str">
        <f ca="1">IFERROR(__xludf.DUMMYFUNCTION("""COMPUTED_VALUE"""),"24VDC 36W")</f>
        <v>24VDC 36W</v>
      </c>
      <c r="E52" s="121" t="str">
        <f ca="1">IFERROR(__xludf.DUMMYFUNCTION("""COMPUTED_VALUE"""),"NA ")</f>
        <v xml:space="preserve">NA </v>
      </c>
      <c r="F52" s="121" t="str">
        <f ca="1">IFERROR(__xludf.DUMMYFUNCTION("""COMPUTED_VALUE"""),"NA ")</f>
        <v xml:space="preserve">NA </v>
      </c>
      <c r="G52" s="189" t="str">
        <f ca="1">IFERROR(__xludf.DUMMYFUNCTION("""COMPUTED_VALUE"""),"02-414486")</f>
        <v>02-414486</v>
      </c>
      <c r="H52" s="189">
        <f ca="1">IFERROR(__xludf.DUMMYFUNCTION("""COMPUTED_VALUE"""),34)</f>
        <v>34</v>
      </c>
      <c r="I52" s="120" t="str">
        <f ca="1">IFERROR(__xludf.DUMMYFUNCTION("""COMPUTED_VALUE"""),"DEUTSCH DTO4-2P (CONNECTOR INCLUDED)")</f>
        <v>DEUTSCH DTO4-2P (CONNECTOR INCLUDED)</v>
      </c>
      <c r="J52" s="189" t="str">
        <f ca="1">IFERROR(__xludf.DUMMYFUNCTION("""COMPUTED_VALUE"""),"")</f>
        <v/>
      </c>
      <c r="K52" s="189" t="str">
        <f ca="1">IFERROR(__xludf.DUMMYFUNCTION("""COMPUTED_VALUE"""),"")</f>
        <v/>
      </c>
      <c r="L52" s="189" t="str">
        <f ca="1">IFERROR(__xludf.DUMMYFUNCTION("""COMPUTED_VALUE"""),"")</f>
        <v/>
      </c>
      <c r="M52" s="189" t="str">
        <f ca="1">IFERROR(__xludf.DUMMYFUNCTION("""COMPUTED_VALUE"""),"")</f>
        <v/>
      </c>
      <c r="N52" s="189" t="str">
        <f ca="1">IFERROR(__xludf.DUMMYFUNCTION("""COMPUTED_VALUE"""),"")</f>
        <v/>
      </c>
      <c r="O52" s="189" t="str">
        <f ca="1">IFERROR(__xludf.DUMMYFUNCTION("""COMPUTED_VALUE"""),"")</f>
        <v/>
      </c>
      <c r="P52" s="189" t="str">
        <f ca="1">IFERROR(__xludf.DUMMYFUNCTION("""COMPUTED_VALUE"""),"")</f>
        <v/>
      </c>
      <c r="Q52" s="189" t="str">
        <f ca="1">IFERROR(__xludf.DUMMYFUNCTION("""COMPUTED_VALUE"""),"")</f>
        <v/>
      </c>
      <c r="R52" s="189" t="str">
        <f ca="1">IFERROR(__xludf.DUMMYFUNCTION("""COMPUTED_VALUE"""),"")</f>
        <v/>
      </c>
      <c r="S52" s="189" t="str">
        <f ca="1">IFERROR(__xludf.DUMMYFUNCTION("""COMPUTED_VALUE"""),"")</f>
        <v/>
      </c>
      <c r="T52" s="189" t="str">
        <f ca="1">IFERROR(__xludf.DUMMYFUNCTION("""COMPUTED_VALUE"""),"")</f>
        <v/>
      </c>
      <c r="U52" s="189" t="str">
        <f ca="1">IFERROR(__xludf.DUMMYFUNCTION("""COMPUTED_VALUE"""),"")</f>
        <v/>
      </c>
      <c r="V52" s="189" t="str">
        <f ca="1">IFERROR(__xludf.DUMMYFUNCTION("""COMPUTED_VALUE"""),"")</f>
        <v/>
      </c>
      <c r="W52" s="189" t="str">
        <f ca="1">IFERROR(__xludf.DUMMYFUNCTION("""COMPUTED_VALUE"""),"")</f>
        <v/>
      </c>
      <c r="X52" s="189" t="str">
        <f ca="1">IFERROR(__xludf.DUMMYFUNCTION("""COMPUTED_VALUE"""),"")</f>
        <v/>
      </c>
      <c r="Y52" s="189" t="str">
        <f ca="1">IFERROR(__xludf.DUMMYFUNCTION("""COMPUTED_VALUE"""),"")</f>
        <v/>
      </c>
      <c r="Z52" s="189"/>
    </row>
    <row r="53" spans="1:26" ht="12.75">
      <c r="A53" s="189" t="str">
        <f ca="1">IFERROR(__xludf.DUMMYFUNCTION("""COMPUTED_VALUE"""),"")</f>
        <v/>
      </c>
      <c r="B53" s="189" t="str">
        <f ca="1">IFERROR(__xludf.DUMMYFUNCTION("""COMPUTED_VALUE"""),"1069-04-01 ")</f>
        <v xml:space="preserve">1069-04-01 </v>
      </c>
      <c r="C53" s="189" t="str">
        <f ca="1">IFERROR(__xludf.DUMMYFUNCTION("""COMPUTED_VALUE"""),"HOLD DOWN 2 MANIFOLD")</f>
        <v>HOLD DOWN 2 MANIFOLD</v>
      </c>
      <c r="D53" s="189" t="str">
        <f ca="1">IFERROR(__xludf.DUMMYFUNCTION("""COMPUTED_VALUE"""),"")</f>
        <v/>
      </c>
      <c r="E53" s="189" t="str">
        <f ca="1">IFERROR(__xludf.DUMMYFUNCTION("""COMPUTED_VALUE"""),"")</f>
        <v/>
      </c>
      <c r="F53" s="189" t="str">
        <f ca="1">IFERROR(__xludf.DUMMYFUNCTION("""COMPUTED_VALUE"""),"")</f>
        <v/>
      </c>
      <c r="G53" s="189" t="str">
        <f ca="1">IFERROR(__xludf.DUMMYFUNCTION("""COMPUTED_VALUE"""),"")</f>
        <v/>
      </c>
      <c r="H53" s="189" t="str">
        <f ca="1">IFERROR(__xludf.DUMMYFUNCTION("""COMPUTED_VALUE"""),"")</f>
        <v/>
      </c>
      <c r="I53" s="120" t="str">
        <f ca="1">IFERROR(__xludf.DUMMYFUNCTION("""COMPUTED_VALUE"""),"")</f>
        <v/>
      </c>
      <c r="J53" s="189" t="str">
        <f ca="1">IFERROR(__xludf.DUMMYFUNCTION("""COMPUTED_VALUE"""),"")</f>
        <v/>
      </c>
      <c r="K53" s="189" t="str">
        <f ca="1">IFERROR(__xludf.DUMMYFUNCTION("""COMPUTED_VALUE"""),"")</f>
        <v/>
      </c>
      <c r="L53" s="189" t="str">
        <f ca="1">IFERROR(__xludf.DUMMYFUNCTION("""COMPUTED_VALUE"""),"")</f>
        <v/>
      </c>
      <c r="M53" s="189" t="str">
        <f ca="1">IFERROR(__xludf.DUMMYFUNCTION("""COMPUTED_VALUE"""),"")</f>
        <v/>
      </c>
      <c r="N53" s="189" t="str">
        <f ca="1">IFERROR(__xludf.DUMMYFUNCTION("""COMPUTED_VALUE"""),"")</f>
        <v/>
      </c>
      <c r="O53" s="189" t="str">
        <f ca="1">IFERROR(__xludf.DUMMYFUNCTION("""COMPUTED_VALUE"""),"")</f>
        <v/>
      </c>
      <c r="P53" s="189" t="str">
        <f ca="1">IFERROR(__xludf.DUMMYFUNCTION("""COMPUTED_VALUE"""),"")</f>
        <v/>
      </c>
      <c r="Q53" s="189" t="str">
        <f ca="1">IFERROR(__xludf.DUMMYFUNCTION("""COMPUTED_VALUE"""),"")</f>
        <v/>
      </c>
      <c r="R53" s="189" t="str">
        <f ca="1">IFERROR(__xludf.DUMMYFUNCTION("""COMPUTED_VALUE"""),"")</f>
        <v/>
      </c>
      <c r="S53" s="189" t="str">
        <f ca="1">IFERROR(__xludf.DUMMYFUNCTION("""COMPUTED_VALUE"""),"")</f>
        <v/>
      </c>
      <c r="T53" s="189" t="str">
        <f ca="1">IFERROR(__xludf.DUMMYFUNCTION("""COMPUTED_VALUE"""),"")</f>
        <v/>
      </c>
      <c r="U53" s="189" t="str">
        <f ca="1">IFERROR(__xludf.DUMMYFUNCTION("""COMPUTED_VALUE"""),"")</f>
        <v/>
      </c>
      <c r="V53" s="189" t="str">
        <f ca="1">IFERROR(__xludf.DUMMYFUNCTION("""COMPUTED_VALUE"""),"")</f>
        <v/>
      </c>
      <c r="W53" s="189" t="str">
        <f ca="1">IFERROR(__xludf.DUMMYFUNCTION("""COMPUTED_VALUE"""),"")</f>
        <v/>
      </c>
      <c r="X53" s="189" t="str">
        <f ca="1">IFERROR(__xludf.DUMMYFUNCTION("""COMPUTED_VALUE"""),"")</f>
        <v/>
      </c>
      <c r="Y53" s="189" t="str">
        <f ca="1">IFERROR(__xludf.DUMMYFUNCTION("""COMPUTED_VALUE"""),"")</f>
        <v/>
      </c>
      <c r="Z53" s="189"/>
    </row>
    <row r="54" spans="1:26" ht="12.75">
      <c r="A54" s="189" t="str">
        <f ca="1">IFERROR(__xludf.DUMMYFUNCTION("""COMPUTED_VALUE"""),"PTA-2")</f>
        <v>PTA-2</v>
      </c>
      <c r="B54" s="189" t="str">
        <f ca="1">IFERROR(__xludf.DUMMYFUNCTION("""COMPUTED_VALUE"""),"PRESSURE TRANSDUCER (0-400 BAR)")</f>
        <v>PRESSURE TRANSDUCER (0-400 BAR)</v>
      </c>
      <c r="C54" s="189" t="str">
        <f ca="1">IFERROR(__xludf.DUMMYFUNCTION("""COMPUTED_VALUE"""),"HOLD DOWN CYLINDER 2 FRONT END PRESSURE SENSOR")</f>
        <v>HOLD DOWN CYLINDER 2 FRONT END PRESSURE SENSOR</v>
      </c>
      <c r="D54" s="189" t="str">
        <f ca="1">IFERROR(__xludf.DUMMYFUNCTION("""COMPUTED_VALUE"""),"24VDC")</f>
        <v>24VDC</v>
      </c>
      <c r="E54" s="189" t="str">
        <f ca="1">IFERROR(__xludf.DUMMYFUNCTION("""COMPUTED_VALUE"""),"4..20mA")</f>
        <v>4..20mA</v>
      </c>
      <c r="F54" s="189" t="str">
        <f ca="1">IFERROR(__xludf.DUMMYFUNCTION("""COMPUTED_VALUE"""),"NA")</f>
        <v>NA</v>
      </c>
      <c r="G54" s="189" t="str">
        <f ca="1">IFERROR(__xludf.DUMMYFUNCTION("""COMPUTED_VALUE"""),"PT5400")</f>
        <v>PT5400</v>
      </c>
      <c r="H54" s="189">
        <f ca="1">IFERROR(__xludf.DUMMYFUNCTION("""COMPUTED_VALUE"""),24)</f>
        <v>24</v>
      </c>
      <c r="I54" s="120" t="str">
        <f ca="1">IFERROR(__xludf.DUMMYFUNCTION("""COMPUTED_VALUE"""),"M12")</f>
        <v>M12</v>
      </c>
      <c r="J54" s="189" t="str">
        <f ca="1">IFERROR(__xludf.DUMMYFUNCTION("""COMPUTED_VALUE"""),"")</f>
        <v/>
      </c>
      <c r="K54" s="189" t="str">
        <f ca="1">IFERROR(__xludf.DUMMYFUNCTION("""COMPUTED_VALUE"""),"")</f>
        <v/>
      </c>
      <c r="L54" s="189" t="str">
        <f ca="1">IFERROR(__xludf.DUMMYFUNCTION("""COMPUTED_VALUE"""),"")</f>
        <v/>
      </c>
      <c r="M54" s="189" t="str">
        <f ca="1">IFERROR(__xludf.DUMMYFUNCTION("""COMPUTED_VALUE"""),"")</f>
        <v/>
      </c>
      <c r="N54" s="189" t="str">
        <f ca="1">IFERROR(__xludf.DUMMYFUNCTION("""COMPUTED_VALUE"""),"")</f>
        <v/>
      </c>
      <c r="O54" s="189" t="str">
        <f ca="1">IFERROR(__xludf.DUMMYFUNCTION("""COMPUTED_VALUE"""),"")</f>
        <v/>
      </c>
      <c r="P54" s="189" t="str">
        <f ca="1">IFERROR(__xludf.DUMMYFUNCTION("""COMPUTED_VALUE"""),"")</f>
        <v/>
      </c>
      <c r="Q54" s="189" t="str">
        <f ca="1">IFERROR(__xludf.DUMMYFUNCTION("""COMPUTED_VALUE"""),"")</f>
        <v/>
      </c>
      <c r="R54" s="189" t="str">
        <f ca="1">IFERROR(__xludf.DUMMYFUNCTION("""COMPUTED_VALUE"""),"")</f>
        <v/>
      </c>
      <c r="S54" s="189" t="str">
        <f ca="1">IFERROR(__xludf.DUMMYFUNCTION("""COMPUTED_VALUE"""),"")</f>
        <v/>
      </c>
      <c r="T54" s="189" t="str">
        <f ca="1">IFERROR(__xludf.DUMMYFUNCTION("""COMPUTED_VALUE"""),"")</f>
        <v/>
      </c>
      <c r="U54" s="189" t="str">
        <f ca="1">IFERROR(__xludf.DUMMYFUNCTION("""COMPUTED_VALUE"""),"")</f>
        <v/>
      </c>
      <c r="V54" s="189" t="str">
        <f ca="1">IFERROR(__xludf.DUMMYFUNCTION("""COMPUTED_VALUE"""),"")</f>
        <v/>
      </c>
      <c r="W54" s="189" t="str">
        <f ca="1">IFERROR(__xludf.DUMMYFUNCTION("""COMPUTED_VALUE"""),"")</f>
        <v/>
      </c>
      <c r="X54" s="189" t="str">
        <f ca="1">IFERROR(__xludf.DUMMYFUNCTION("""COMPUTED_VALUE"""),"")</f>
        <v/>
      </c>
      <c r="Y54" s="189" t="str">
        <f ca="1">IFERROR(__xludf.DUMMYFUNCTION("""COMPUTED_VALUE"""),"")</f>
        <v/>
      </c>
      <c r="Z54" s="189"/>
    </row>
    <row r="55" spans="1:26" ht="12.75">
      <c r="A55" s="189" t="str">
        <f ca="1">IFERROR(__xludf.DUMMYFUNCTION("""COMPUTED_VALUE"""),"PTB-2")</f>
        <v>PTB-2</v>
      </c>
      <c r="B55" s="189" t="str">
        <f ca="1">IFERROR(__xludf.DUMMYFUNCTION("""COMPUTED_VALUE"""),"PRESSURE TRANSDUCER (0-400 BAR)")</f>
        <v>PRESSURE TRANSDUCER (0-400 BAR)</v>
      </c>
      <c r="C55" s="189" t="str">
        <f ca="1">IFERROR(__xludf.DUMMYFUNCTION("""COMPUTED_VALUE"""),"HOLD DOWN CYLINDER 2 BACK END PRESSURE SENSOR")</f>
        <v>HOLD DOWN CYLINDER 2 BACK END PRESSURE SENSOR</v>
      </c>
      <c r="D55" s="189" t="str">
        <f ca="1">IFERROR(__xludf.DUMMYFUNCTION("""COMPUTED_VALUE"""),"24VDC")</f>
        <v>24VDC</v>
      </c>
      <c r="E55" s="189" t="str">
        <f ca="1">IFERROR(__xludf.DUMMYFUNCTION("""COMPUTED_VALUE"""),"4..20mA")</f>
        <v>4..20mA</v>
      </c>
      <c r="F55" s="189" t="str">
        <f ca="1">IFERROR(__xludf.DUMMYFUNCTION("""COMPUTED_VALUE"""),"NA")</f>
        <v>NA</v>
      </c>
      <c r="G55" s="189" t="str">
        <f ca="1">IFERROR(__xludf.DUMMYFUNCTION("""COMPUTED_VALUE"""),"PT5400")</f>
        <v>PT5400</v>
      </c>
      <c r="H55" s="189">
        <f ca="1">IFERROR(__xludf.DUMMYFUNCTION("""COMPUTED_VALUE"""),24)</f>
        <v>24</v>
      </c>
      <c r="I55" s="120" t="str">
        <f ca="1">IFERROR(__xludf.DUMMYFUNCTION("""COMPUTED_VALUE"""),"M12")</f>
        <v>M12</v>
      </c>
      <c r="J55" s="189" t="str">
        <f ca="1">IFERROR(__xludf.DUMMYFUNCTION("""COMPUTED_VALUE"""),"")</f>
        <v/>
      </c>
      <c r="K55" s="189" t="str">
        <f ca="1">IFERROR(__xludf.DUMMYFUNCTION("""COMPUTED_VALUE"""),"")</f>
        <v/>
      </c>
      <c r="L55" s="189" t="str">
        <f ca="1">IFERROR(__xludf.DUMMYFUNCTION("""COMPUTED_VALUE"""),"")</f>
        <v/>
      </c>
      <c r="M55" s="189" t="str">
        <f ca="1">IFERROR(__xludf.DUMMYFUNCTION("""COMPUTED_VALUE"""),"")</f>
        <v/>
      </c>
      <c r="N55" s="189" t="str">
        <f ca="1">IFERROR(__xludf.DUMMYFUNCTION("""COMPUTED_VALUE"""),"")</f>
        <v/>
      </c>
      <c r="O55" s="189" t="str">
        <f ca="1">IFERROR(__xludf.DUMMYFUNCTION("""COMPUTED_VALUE"""),"")</f>
        <v/>
      </c>
      <c r="P55" s="189" t="str">
        <f ca="1">IFERROR(__xludf.DUMMYFUNCTION("""COMPUTED_VALUE"""),"")</f>
        <v/>
      </c>
      <c r="Q55" s="189" t="str">
        <f ca="1">IFERROR(__xludf.DUMMYFUNCTION("""COMPUTED_VALUE"""),"")</f>
        <v/>
      </c>
      <c r="R55" s="189" t="str">
        <f ca="1">IFERROR(__xludf.DUMMYFUNCTION("""COMPUTED_VALUE"""),"")</f>
        <v/>
      </c>
      <c r="S55" s="189" t="str">
        <f ca="1">IFERROR(__xludf.DUMMYFUNCTION("""COMPUTED_VALUE"""),"")</f>
        <v/>
      </c>
      <c r="T55" s="189" t="str">
        <f ca="1">IFERROR(__xludf.DUMMYFUNCTION("""COMPUTED_VALUE"""),"")</f>
        <v/>
      </c>
      <c r="U55" s="189" t="str">
        <f ca="1">IFERROR(__xludf.DUMMYFUNCTION("""COMPUTED_VALUE"""),"")</f>
        <v/>
      </c>
      <c r="V55" s="189" t="str">
        <f ca="1">IFERROR(__xludf.DUMMYFUNCTION("""COMPUTED_VALUE"""),"")</f>
        <v/>
      </c>
      <c r="W55" s="189" t="str">
        <f ca="1">IFERROR(__xludf.DUMMYFUNCTION("""COMPUTED_VALUE"""),"")</f>
        <v/>
      </c>
      <c r="X55" s="189" t="str">
        <f ca="1">IFERROR(__xludf.DUMMYFUNCTION("""COMPUTED_VALUE"""),"")</f>
        <v/>
      </c>
      <c r="Y55" s="189" t="str">
        <f ca="1">IFERROR(__xludf.DUMMYFUNCTION("""COMPUTED_VALUE"""),"")</f>
        <v/>
      </c>
      <c r="Z55" s="189"/>
    </row>
    <row r="56" spans="1:26" ht="12.75">
      <c r="A56" s="189" t="str">
        <f ca="1">IFERROR(__xludf.DUMMYFUNCTION("""COMPUTED_VALUE"""),"PTAC-2")</f>
        <v>PTAC-2</v>
      </c>
      <c r="B56" s="189" t="str">
        <f ca="1">IFERROR(__xludf.DUMMYFUNCTION("""COMPUTED_VALUE"""),"PRESSURE TRANSDUCER (0-400 BAR)")</f>
        <v>PRESSURE TRANSDUCER (0-400 BAR)</v>
      </c>
      <c r="C56" s="189" t="str">
        <f ca="1">IFERROR(__xludf.DUMMYFUNCTION("""COMPUTED_VALUE"""),"HOLD DOWN ACCUMULATOR 2  GAS PRESSURE SENSOR")</f>
        <v>HOLD DOWN ACCUMULATOR 2  GAS PRESSURE SENSOR</v>
      </c>
      <c r="D56" s="189" t="str">
        <f ca="1">IFERROR(__xludf.DUMMYFUNCTION("""COMPUTED_VALUE"""),"24VDC")</f>
        <v>24VDC</v>
      </c>
      <c r="E56" s="189" t="str">
        <f ca="1">IFERROR(__xludf.DUMMYFUNCTION("""COMPUTED_VALUE"""),"4..20mA")</f>
        <v>4..20mA</v>
      </c>
      <c r="F56" s="189" t="str">
        <f ca="1">IFERROR(__xludf.DUMMYFUNCTION("""COMPUTED_VALUE"""),"NA")</f>
        <v>NA</v>
      </c>
      <c r="G56" s="189" t="str">
        <f ca="1">IFERROR(__xludf.DUMMYFUNCTION("""COMPUTED_VALUE"""),"PT5400")</f>
        <v>PT5400</v>
      </c>
      <c r="H56" s="189">
        <f ca="1">IFERROR(__xludf.DUMMYFUNCTION("""COMPUTED_VALUE"""),24)</f>
        <v>24</v>
      </c>
      <c r="I56" s="120" t="str">
        <f ca="1">IFERROR(__xludf.DUMMYFUNCTION("""COMPUTED_VALUE"""),"M12")</f>
        <v>M12</v>
      </c>
      <c r="J56" s="189" t="str">
        <f ca="1">IFERROR(__xludf.DUMMYFUNCTION("""COMPUTED_VALUE"""),"")</f>
        <v/>
      </c>
      <c r="K56" s="189" t="str">
        <f ca="1">IFERROR(__xludf.DUMMYFUNCTION("""COMPUTED_VALUE"""),"")</f>
        <v/>
      </c>
      <c r="L56" s="189" t="str">
        <f ca="1">IFERROR(__xludf.DUMMYFUNCTION("""COMPUTED_VALUE"""),"")</f>
        <v/>
      </c>
      <c r="M56" s="189" t="str">
        <f ca="1">IFERROR(__xludf.DUMMYFUNCTION("""COMPUTED_VALUE"""),"")</f>
        <v/>
      </c>
      <c r="N56" s="189" t="str">
        <f ca="1">IFERROR(__xludf.DUMMYFUNCTION("""COMPUTED_VALUE"""),"")</f>
        <v/>
      </c>
      <c r="O56" s="189" t="str">
        <f ca="1">IFERROR(__xludf.DUMMYFUNCTION("""COMPUTED_VALUE"""),"")</f>
        <v/>
      </c>
      <c r="P56" s="189" t="str">
        <f ca="1">IFERROR(__xludf.DUMMYFUNCTION("""COMPUTED_VALUE"""),"")</f>
        <v/>
      </c>
      <c r="Q56" s="189" t="str">
        <f ca="1">IFERROR(__xludf.DUMMYFUNCTION("""COMPUTED_VALUE"""),"")</f>
        <v/>
      </c>
      <c r="R56" s="189" t="str">
        <f ca="1">IFERROR(__xludf.DUMMYFUNCTION("""COMPUTED_VALUE"""),"")</f>
        <v/>
      </c>
      <c r="S56" s="189" t="str">
        <f ca="1">IFERROR(__xludf.DUMMYFUNCTION("""COMPUTED_VALUE"""),"")</f>
        <v/>
      </c>
      <c r="T56" s="189" t="str">
        <f ca="1">IFERROR(__xludf.DUMMYFUNCTION("""COMPUTED_VALUE"""),"")</f>
        <v/>
      </c>
      <c r="U56" s="189" t="str">
        <f ca="1">IFERROR(__xludf.DUMMYFUNCTION("""COMPUTED_VALUE"""),"")</f>
        <v/>
      </c>
      <c r="V56" s="189" t="str">
        <f ca="1">IFERROR(__xludf.DUMMYFUNCTION("""COMPUTED_VALUE"""),"")</f>
        <v/>
      </c>
      <c r="W56" s="189" t="str">
        <f ca="1">IFERROR(__xludf.DUMMYFUNCTION("""COMPUTED_VALUE"""),"")</f>
        <v/>
      </c>
      <c r="X56" s="189" t="str">
        <f ca="1">IFERROR(__xludf.DUMMYFUNCTION("""COMPUTED_VALUE"""),"")</f>
        <v/>
      </c>
      <c r="Y56" s="189" t="str">
        <f ca="1">IFERROR(__xludf.DUMMYFUNCTION("""COMPUTED_VALUE"""),"")</f>
        <v/>
      </c>
      <c r="Z56" s="189"/>
    </row>
    <row r="57" spans="1:26" ht="12.75">
      <c r="A57" s="189" t="str">
        <f ca="1">IFERROR(__xludf.DUMMYFUNCTION("""COMPUTED_VALUE"""),"SWAC-2-O")</f>
        <v>SWAC-2-O</v>
      </c>
      <c r="B57" s="189" t="str">
        <f ca="1">IFERROR(__xludf.DUMMYFUNCTION("""COMPUTED_VALUE"""),"LIMIT SWITCH")</f>
        <v>LIMIT SWITCH</v>
      </c>
      <c r="C57" s="189" t="str">
        <f ca="1">IFERROR(__xludf.DUMMYFUNCTION("""COMPUTED_VALUE"""),"HD ACC 2 ISOLATION BALL VALVE OPEN")</f>
        <v>HD ACC 2 ISOLATION BALL VALVE OPEN</v>
      </c>
      <c r="D57" s="189" t="str">
        <f ca="1">IFERROR(__xludf.DUMMYFUNCTION("""COMPUTED_VALUE"""),"")</f>
        <v/>
      </c>
      <c r="E57" s="189" t="str">
        <f ca="1">IFERROR(__xludf.DUMMYFUNCTION("""COMPUTED_VALUE"""),"")</f>
        <v/>
      </c>
      <c r="F57" s="189" t="str">
        <f ca="1">IFERROR(__xludf.DUMMYFUNCTION("""COMPUTED_VALUE"""),"")</f>
        <v/>
      </c>
      <c r="G57" s="189" t="str">
        <f ca="1">IFERROR(__xludf.DUMMYFUNCTION("""COMPUTED_VALUE"""),"")</f>
        <v/>
      </c>
      <c r="H57" s="189" t="str">
        <f ca="1">IFERROR(__xludf.DUMMYFUNCTION("""COMPUTED_VALUE"""),"")</f>
        <v/>
      </c>
      <c r="I57" s="120" t="str">
        <f ca="1">IFERROR(__xludf.DUMMYFUNCTION("""COMPUTED_VALUE"""),"WIRING TO TERMINAL BOX")</f>
        <v>WIRING TO TERMINAL BOX</v>
      </c>
      <c r="J57" s="189" t="str">
        <f ca="1">IFERROR(__xludf.DUMMYFUNCTION("""COMPUTED_VALUE"""),"")</f>
        <v/>
      </c>
      <c r="K57" s="189" t="str">
        <f ca="1">IFERROR(__xludf.DUMMYFUNCTION("""COMPUTED_VALUE"""),"")</f>
        <v/>
      </c>
      <c r="L57" s="189" t="str">
        <f ca="1">IFERROR(__xludf.DUMMYFUNCTION("""COMPUTED_VALUE"""),"")</f>
        <v/>
      </c>
      <c r="M57" s="189" t="str">
        <f ca="1">IFERROR(__xludf.DUMMYFUNCTION("""COMPUTED_VALUE"""),"")</f>
        <v/>
      </c>
      <c r="N57" s="189" t="str">
        <f ca="1">IFERROR(__xludf.DUMMYFUNCTION("""COMPUTED_VALUE"""),"")</f>
        <v/>
      </c>
      <c r="O57" s="189" t="str">
        <f ca="1">IFERROR(__xludf.DUMMYFUNCTION("""COMPUTED_VALUE"""),"")</f>
        <v/>
      </c>
      <c r="P57" s="189" t="str">
        <f ca="1">IFERROR(__xludf.DUMMYFUNCTION("""COMPUTED_VALUE"""),"")</f>
        <v/>
      </c>
      <c r="Q57" s="189" t="str">
        <f ca="1">IFERROR(__xludf.DUMMYFUNCTION("""COMPUTED_VALUE"""),"")</f>
        <v/>
      </c>
      <c r="R57" s="189" t="str">
        <f ca="1">IFERROR(__xludf.DUMMYFUNCTION("""COMPUTED_VALUE"""),"")</f>
        <v/>
      </c>
      <c r="S57" s="189" t="str">
        <f ca="1">IFERROR(__xludf.DUMMYFUNCTION("""COMPUTED_VALUE"""),"")</f>
        <v/>
      </c>
      <c r="T57" s="189" t="str">
        <f ca="1">IFERROR(__xludf.DUMMYFUNCTION("""COMPUTED_VALUE"""),"")</f>
        <v/>
      </c>
      <c r="U57" s="189" t="str">
        <f ca="1">IFERROR(__xludf.DUMMYFUNCTION("""COMPUTED_VALUE"""),"")</f>
        <v/>
      </c>
      <c r="V57" s="189" t="str">
        <f ca="1">IFERROR(__xludf.DUMMYFUNCTION("""COMPUTED_VALUE"""),"")</f>
        <v/>
      </c>
      <c r="W57" s="189" t="str">
        <f ca="1">IFERROR(__xludf.DUMMYFUNCTION("""COMPUTED_VALUE"""),"")</f>
        <v/>
      </c>
      <c r="X57" s="189" t="str">
        <f ca="1">IFERROR(__xludf.DUMMYFUNCTION("""COMPUTED_VALUE"""),"")</f>
        <v/>
      </c>
      <c r="Y57" s="189" t="str">
        <f ca="1">IFERROR(__xludf.DUMMYFUNCTION("""COMPUTED_VALUE"""),"")</f>
        <v/>
      </c>
      <c r="Z57" s="189"/>
    </row>
    <row r="58" spans="1:26" ht="12.75">
      <c r="A58" s="189" t="str">
        <f ca="1">IFERROR(__xludf.DUMMYFUNCTION("""COMPUTED_VALUE"""),"SWAC-2-C")</f>
        <v>SWAC-2-C</v>
      </c>
      <c r="B58" s="189" t="str">
        <f ca="1">IFERROR(__xludf.DUMMYFUNCTION("""COMPUTED_VALUE"""),"LIMIT SWITCH")</f>
        <v>LIMIT SWITCH</v>
      </c>
      <c r="C58" s="189" t="str">
        <f ca="1">IFERROR(__xludf.DUMMYFUNCTION("""COMPUTED_VALUE"""),"HD ACC 2 ISOLATION BALL VALVE CLOSED")</f>
        <v>HD ACC 2 ISOLATION BALL VALVE CLOSED</v>
      </c>
      <c r="D58" s="189" t="str">
        <f ca="1">IFERROR(__xludf.DUMMYFUNCTION("""COMPUTED_VALUE"""),"")</f>
        <v/>
      </c>
      <c r="E58" s="189" t="str">
        <f ca="1">IFERROR(__xludf.DUMMYFUNCTION("""COMPUTED_VALUE"""),"")</f>
        <v/>
      </c>
      <c r="F58" s="189" t="str">
        <f ca="1">IFERROR(__xludf.DUMMYFUNCTION("""COMPUTED_VALUE"""),"")</f>
        <v/>
      </c>
      <c r="G58" s="189" t="str">
        <f ca="1">IFERROR(__xludf.DUMMYFUNCTION("""COMPUTED_VALUE"""),"")</f>
        <v/>
      </c>
      <c r="H58" s="189" t="str">
        <f ca="1">IFERROR(__xludf.DUMMYFUNCTION("""COMPUTED_VALUE"""),"")</f>
        <v/>
      </c>
      <c r="I58" s="120" t="str">
        <f ca="1">IFERROR(__xludf.DUMMYFUNCTION("""COMPUTED_VALUE"""),"WIRING TO TERMINAL BOX")</f>
        <v>WIRING TO TERMINAL BOX</v>
      </c>
      <c r="J58" s="189" t="str">
        <f ca="1">IFERROR(__xludf.DUMMYFUNCTION("""COMPUTED_VALUE"""),"")</f>
        <v/>
      </c>
      <c r="K58" s="189" t="str">
        <f ca="1">IFERROR(__xludf.DUMMYFUNCTION("""COMPUTED_VALUE"""),"")</f>
        <v/>
      </c>
      <c r="L58" s="189" t="str">
        <f ca="1">IFERROR(__xludf.DUMMYFUNCTION("""COMPUTED_VALUE"""),"")</f>
        <v/>
      </c>
      <c r="M58" s="189" t="str">
        <f ca="1">IFERROR(__xludf.DUMMYFUNCTION("""COMPUTED_VALUE"""),"")</f>
        <v/>
      </c>
      <c r="N58" s="189" t="str">
        <f ca="1">IFERROR(__xludf.DUMMYFUNCTION("""COMPUTED_VALUE"""),"")</f>
        <v/>
      </c>
      <c r="O58" s="189" t="str">
        <f ca="1">IFERROR(__xludf.DUMMYFUNCTION("""COMPUTED_VALUE"""),"")</f>
        <v/>
      </c>
      <c r="P58" s="189" t="str">
        <f ca="1">IFERROR(__xludf.DUMMYFUNCTION("""COMPUTED_VALUE"""),"")</f>
        <v/>
      </c>
      <c r="Q58" s="189" t="str">
        <f ca="1">IFERROR(__xludf.DUMMYFUNCTION("""COMPUTED_VALUE"""),"")</f>
        <v/>
      </c>
      <c r="R58" s="189" t="str">
        <f ca="1">IFERROR(__xludf.DUMMYFUNCTION("""COMPUTED_VALUE"""),"")</f>
        <v/>
      </c>
      <c r="S58" s="189" t="str">
        <f ca="1">IFERROR(__xludf.DUMMYFUNCTION("""COMPUTED_VALUE"""),"")</f>
        <v/>
      </c>
      <c r="T58" s="189" t="str">
        <f ca="1">IFERROR(__xludf.DUMMYFUNCTION("""COMPUTED_VALUE"""),"")</f>
        <v/>
      </c>
      <c r="U58" s="189" t="str">
        <f ca="1">IFERROR(__xludf.DUMMYFUNCTION("""COMPUTED_VALUE"""),"")</f>
        <v/>
      </c>
      <c r="V58" s="189" t="str">
        <f ca="1">IFERROR(__xludf.DUMMYFUNCTION("""COMPUTED_VALUE"""),"")</f>
        <v/>
      </c>
      <c r="W58" s="189" t="str">
        <f ca="1">IFERROR(__xludf.DUMMYFUNCTION("""COMPUTED_VALUE"""),"")</f>
        <v/>
      </c>
      <c r="X58" s="189" t="str">
        <f ca="1">IFERROR(__xludf.DUMMYFUNCTION("""COMPUTED_VALUE"""),"")</f>
        <v/>
      </c>
      <c r="Y58" s="189" t="str">
        <f ca="1">IFERROR(__xludf.DUMMYFUNCTION("""COMPUTED_VALUE"""),"")</f>
        <v/>
      </c>
      <c r="Z58" s="189"/>
    </row>
    <row r="59" spans="1:26" ht="12.75">
      <c r="A59" s="189" t="str">
        <f ca="1">IFERROR(__xludf.DUMMYFUNCTION("""COMPUTED_VALUE"""),"S19 ")</f>
        <v xml:space="preserve">S19 </v>
      </c>
      <c r="B59" s="189" t="str">
        <f ca="1">IFERROR(__xludf.DUMMYFUNCTION("""COMPUTED_VALUE"""),"ON/OFF SOLENOID VALVE")</f>
        <v>ON/OFF SOLENOID VALVE</v>
      </c>
      <c r="C59" s="189" t="str">
        <f ca="1">IFERROR(__xludf.DUMMYFUNCTION("""COMPUTED_VALUE"""),"HD CYLINDER 2 FAST RETRACT PILOT VALVE 1")</f>
        <v>HD CYLINDER 2 FAST RETRACT PILOT VALVE 1</v>
      </c>
      <c r="D59" s="189" t="str">
        <f ca="1">IFERROR(__xludf.DUMMYFUNCTION("""COMPUTED_VALUE"""),"24VDC 38W")</f>
        <v>24VDC 38W</v>
      </c>
      <c r="E59" s="189" t="str">
        <f ca="1">IFERROR(__xludf.DUMMYFUNCTION("""COMPUTED_VALUE"""),"NA")</f>
        <v>NA</v>
      </c>
      <c r="F59" s="189" t="str">
        <f ca="1">IFERROR(__xludf.DUMMYFUNCTION("""COMPUTED_VALUE"""),"NA")</f>
        <v>NA</v>
      </c>
      <c r="G59" s="189" t="str">
        <f ca="1">IFERROR(__xludf.DUMMYFUNCTION("""COMPUTED_VALUE"""),"6042893-014")</f>
        <v>6042893-014</v>
      </c>
      <c r="H59" s="189">
        <f ca="1">IFERROR(__xludf.DUMMYFUNCTION("""COMPUTED_VALUE"""),50)</f>
        <v>50</v>
      </c>
      <c r="I59" s="120" t="str">
        <f ca="1">IFERROR(__xludf.DUMMYFUNCTION("""COMPUTED_VALUE"""),"DEUTSCH DTO4-2P (CONNECTOR INCLUDED)")</f>
        <v>DEUTSCH DTO4-2P (CONNECTOR INCLUDED)</v>
      </c>
      <c r="J59" s="189" t="str">
        <f ca="1">IFERROR(__xludf.DUMMYFUNCTION("""COMPUTED_VALUE"""),"")</f>
        <v/>
      </c>
      <c r="K59" s="189" t="str">
        <f ca="1">IFERROR(__xludf.DUMMYFUNCTION("""COMPUTED_VALUE"""),"")</f>
        <v/>
      </c>
      <c r="L59" s="189" t="str">
        <f ca="1">IFERROR(__xludf.DUMMYFUNCTION("""COMPUTED_VALUE"""),"")</f>
        <v/>
      </c>
      <c r="M59" s="189" t="str">
        <f ca="1">IFERROR(__xludf.DUMMYFUNCTION("""COMPUTED_VALUE"""),"")</f>
        <v/>
      </c>
      <c r="N59" s="189" t="str">
        <f ca="1">IFERROR(__xludf.DUMMYFUNCTION("""COMPUTED_VALUE"""),"")</f>
        <v/>
      </c>
      <c r="O59" s="189" t="str">
        <f ca="1">IFERROR(__xludf.DUMMYFUNCTION("""COMPUTED_VALUE"""),"")</f>
        <v/>
      </c>
      <c r="P59" s="189" t="str">
        <f ca="1">IFERROR(__xludf.DUMMYFUNCTION("""COMPUTED_VALUE"""),"")</f>
        <v/>
      </c>
      <c r="Q59" s="189" t="str">
        <f ca="1">IFERROR(__xludf.DUMMYFUNCTION("""COMPUTED_VALUE"""),"")</f>
        <v/>
      </c>
      <c r="R59" s="189" t="str">
        <f ca="1">IFERROR(__xludf.DUMMYFUNCTION("""COMPUTED_VALUE"""),"")</f>
        <v/>
      </c>
      <c r="S59" s="189" t="str">
        <f ca="1">IFERROR(__xludf.DUMMYFUNCTION("""COMPUTED_VALUE"""),"")</f>
        <v/>
      </c>
      <c r="T59" s="189" t="str">
        <f ca="1">IFERROR(__xludf.DUMMYFUNCTION("""COMPUTED_VALUE"""),"")</f>
        <v/>
      </c>
      <c r="U59" s="189" t="str">
        <f ca="1">IFERROR(__xludf.DUMMYFUNCTION("""COMPUTED_VALUE"""),"")</f>
        <v/>
      </c>
      <c r="V59" s="189" t="str">
        <f ca="1">IFERROR(__xludf.DUMMYFUNCTION("""COMPUTED_VALUE"""),"")</f>
        <v/>
      </c>
      <c r="W59" s="189" t="str">
        <f ca="1">IFERROR(__xludf.DUMMYFUNCTION("""COMPUTED_VALUE"""),"")</f>
        <v/>
      </c>
      <c r="X59" s="189" t="str">
        <f ca="1">IFERROR(__xludf.DUMMYFUNCTION("""COMPUTED_VALUE"""),"")</f>
        <v/>
      </c>
      <c r="Y59" s="189" t="str">
        <f ca="1">IFERROR(__xludf.DUMMYFUNCTION("""COMPUTED_VALUE"""),"")</f>
        <v/>
      </c>
      <c r="Z59" s="189"/>
    </row>
    <row r="60" spans="1:26" ht="12.75">
      <c r="A60" s="189" t="str">
        <f ca="1">IFERROR(__xludf.DUMMYFUNCTION("""COMPUTED_VALUE"""),"S20")</f>
        <v>S20</v>
      </c>
      <c r="B60" s="189" t="str">
        <f ca="1">IFERROR(__xludf.DUMMYFUNCTION("""COMPUTED_VALUE"""),"ON/OFF SOLENOID VALVE")</f>
        <v>ON/OFF SOLENOID VALVE</v>
      </c>
      <c r="C60" s="189" t="str">
        <f ca="1">IFERROR(__xludf.DUMMYFUNCTION("""COMPUTED_VALUE"""),"HD CYLINDER 2 FAST RETRACT PILOT VALVE 2")</f>
        <v>HD CYLINDER 2 FAST RETRACT PILOT VALVE 2</v>
      </c>
      <c r="D60" s="189" t="str">
        <f ca="1">IFERROR(__xludf.DUMMYFUNCTION("""COMPUTED_VALUE"""),"24VDC 38W")</f>
        <v>24VDC 38W</v>
      </c>
      <c r="E60" s="189" t="str">
        <f ca="1">IFERROR(__xludf.DUMMYFUNCTION("""COMPUTED_VALUE"""),"NA")</f>
        <v>NA</v>
      </c>
      <c r="F60" s="189" t="str">
        <f ca="1">IFERROR(__xludf.DUMMYFUNCTION("""COMPUTED_VALUE"""),"NA")</f>
        <v>NA</v>
      </c>
      <c r="G60" s="189" t="str">
        <f ca="1">IFERROR(__xludf.DUMMYFUNCTION("""COMPUTED_VALUE"""),"6042893-014")</f>
        <v>6042893-014</v>
      </c>
      <c r="H60" s="189">
        <f ca="1">IFERROR(__xludf.DUMMYFUNCTION("""COMPUTED_VALUE"""),50)</f>
        <v>50</v>
      </c>
      <c r="I60" s="120" t="str">
        <f ca="1">IFERROR(__xludf.DUMMYFUNCTION("""COMPUTED_VALUE"""),"DEUTSCH DTO4-2P (CONNECTOR INCLUDED)")</f>
        <v>DEUTSCH DTO4-2P (CONNECTOR INCLUDED)</v>
      </c>
      <c r="J60" s="189" t="str">
        <f ca="1">IFERROR(__xludf.DUMMYFUNCTION("""COMPUTED_VALUE"""),"")</f>
        <v/>
      </c>
      <c r="K60" s="189" t="str">
        <f ca="1">IFERROR(__xludf.DUMMYFUNCTION("""COMPUTED_VALUE"""),"")</f>
        <v/>
      </c>
      <c r="L60" s="189" t="str">
        <f ca="1">IFERROR(__xludf.DUMMYFUNCTION("""COMPUTED_VALUE"""),"")</f>
        <v/>
      </c>
      <c r="M60" s="189" t="str">
        <f ca="1">IFERROR(__xludf.DUMMYFUNCTION("""COMPUTED_VALUE"""),"")</f>
        <v/>
      </c>
      <c r="N60" s="189" t="str">
        <f ca="1">IFERROR(__xludf.DUMMYFUNCTION("""COMPUTED_VALUE"""),"")</f>
        <v/>
      </c>
      <c r="O60" s="189" t="str">
        <f ca="1">IFERROR(__xludf.DUMMYFUNCTION("""COMPUTED_VALUE"""),"")</f>
        <v/>
      </c>
      <c r="P60" s="189" t="str">
        <f ca="1">IFERROR(__xludf.DUMMYFUNCTION("""COMPUTED_VALUE"""),"")</f>
        <v/>
      </c>
      <c r="Q60" s="189" t="str">
        <f ca="1">IFERROR(__xludf.DUMMYFUNCTION("""COMPUTED_VALUE"""),"")</f>
        <v/>
      </c>
      <c r="R60" s="189" t="str">
        <f ca="1">IFERROR(__xludf.DUMMYFUNCTION("""COMPUTED_VALUE"""),"")</f>
        <v/>
      </c>
      <c r="S60" s="189" t="str">
        <f ca="1">IFERROR(__xludf.DUMMYFUNCTION("""COMPUTED_VALUE"""),"")</f>
        <v/>
      </c>
      <c r="T60" s="189" t="str">
        <f ca="1">IFERROR(__xludf.DUMMYFUNCTION("""COMPUTED_VALUE"""),"")</f>
        <v/>
      </c>
      <c r="U60" s="189" t="str">
        <f ca="1">IFERROR(__xludf.DUMMYFUNCTION("""COMPUTED_VALUE"""),"")</f>
        <v/>
      </c>
      <c r="V60" s="189" t="str">
        <f ca="1">IFERROR(__xludf.DUMMYFUNCTION("""COMPUTED_VALUE"""),"")</f>
        <v/>
      </c>
      <c r="W60" s="189" t="str">
        <f ca="1">IFERROR(__xludf.DUMMYFUNCTION("""COMPUTED_VALUE"""),"")</f>
        <v/>
      </c>
      <c r="X60" s="189" t="str">
        <f ca="1">IFERROR(__xludf.DUMMYFUNCTION("""COMPUTED_VALUE"""),"")</f>
        <v/>
      </c>
      <c r="Y60" s="189" t="str">
        <f ca="1">IFERROR(__xludf.DUMMYFUNCTION("""COMPUTED_VALUE"""),"")</f>
        <v/>
      </c>
      <c r="Z60" s="189"/>
    </row>
    <row r="61" spans="1:26" ht="12.75">
      <c r="A61" s="189" t="str">
        <f ca="1">IFERROR(__xludf.DUMMYFUNCTION("""COMPUTED_VALUE"""),"S26.1 ")</f>
        <v xml:space="preserve">S26.1 </v>
      </c>
      <c r="B61" s="189" t="str">
        <f ca="1">IFERROR(__xludf.DUMMYFUNCTION("""COMPUTED_VALUE"""),"ON/OFF SOLENOID VALVE")</f>
        <v>ON/OFF SOLENOID VALVE</v>
      </c>
      <c r="C61" s="189" t="str">
        <f ca="1">IFERROR(__xludf.DUMMYFUNCTION("""COMPUTED_VALUE"""),"HD CYLINDER 2 SLOW EXTEND")</f>
        <v>HD CYLINDER 2 SLOW EXTEND</v>
      </c>
      <c r="D61" s="189" t="str">
        <f ca="1">IFERROR(__xludf.DUMMYFUNCTION("""COMPUTED_VALUE"""),"24VDC 36W")</f>
        <v>24VDC 36W</v>
      </c>
      <c r="E61" s="121" t="str">
        <f ca="1">IFERROR(__xludf.DUMMYFUNCTION("""COMPUTED_VALUE"""),"NA ")</f>
        <v xml:space="preserve">NA </v>
      </c>
      <c r="F61" s="121" t="str">
        <f ca="1">IFERROR(__xludf.DUMMYFUNCTION("""COMPUTED_VALUE"""),"NA ")</f>
        <v xml:space="preserve">NA </v>
      </c>
      <c r="G61" s="189" t="str">
        <f ca="1">IFERROR(__xludf.DUMMYFUNCTION("""COMPUTED_VALUE"""),"02-414486")</f>
        <v>02-414486</v>
      </c>
      <c r="H61" s="189">
        <f ca="1">IFERROR(__xludf.DUMMYFUNCTION("""COMPUTED_VALUE"""),34)</f>
        <v>34</v>
      </c>
      <c r="I61" s="120" t="str">
        <f ca="1">IFERROR(__xludf.DUMMYFUNCTION("""COMPUTED_VALUE"""),"DEUTSCH DTO4-2P (CONNECTOR INCLUDED)")</f>
        <v>DEUTSCH DTO4-2P (CONNECTOR INCLUDED)</v>
      </c>
      <c r="J61" s="189" t="str">
        <f ca="1">IFERROR(__xludf.DUMMYFUNCTION("""COMPUTED_VALUE"""),"")</f>
        <v/>
      </c>
      <c r="K61" s="189" t="str">
        <f ca="1">IFERROR(__xludf.DUMMYFUNCTION("""COMPUTED_VALUE"""),"")</f>
        <v/>
      </c>
      <c r="L61" s="189" t="str">
        <f ca="1">IFERROR(__xludf.DUMMYFUNCTION("""COMPUTED_VALUE"""),"")</f>
        <v/>
      </c>
      <c r="M61" s="189" t="str">
        <f ca="1">IFERROR(__xludf.DUMMYFUNCTION("""COMPUTED_VALUE"""),"")</f>
        <v/>
      </c>
      <c r="N61" s="189" t="str">
        <f ca="1">IFERROR(__xludf.DUMMYFUNCTION("""COMPUTED_VALUE"""),"")</f>
        <v/>
      </c>
      <c r="O61" s="189" t="str">
        <f ca="1">IFERROR(__xludf.DUMMYFUNCTION("""COMPUTED_VALUE"""),"")</f>
        <v/>
      </c>
      <c r="P61" s="189" t="str">
        <f ca="1">IFERROR(__xludf.DUMMYFUNCTION("""COMPUTED_VALUE"""),"")</f>
        <v/>
      </c>
      <c r="Q61" s="189" t="str">
        <f ca="1">IFERROR(__xludf.DUMMYFUNCTION("""COMPUTED_VALUE"""),"")</f>
        <v/>
      </c>
      <c r="R61" s="189" t="str">
        <f ca="1">IFERROR(__xludf.DUMMYFUNCTION("""COMPUTED_VALUE"""),"")</f>
        <v/>
      </c>
      <c r="S61" s="189" t="str">
        <f ca="1">IFERROR(__xludf.DUMMYFUNCTION("""COMPUTED_VALUE"""),"")</f>
        <v/>
      </c>
      <c r="T61" s="189" t="str">
        <f ca="1">IFERROR(__xludf.DUMMYFUNCTION("""COMPUTED_VALUE"""),"")</f>
        <v/>
      </c>
      <c r="U61" s="189" t="str">
        <f ca="1">IFERROR(__xludf.DUMMYFUNCTION("""COMPUTED_VALUE"""),"")</f>
        <v/>
      </c>
      <c r="V61" s="189" t="str">
        <f ca="1">IFERROR(__xludf.DUMMYFUNCTION("""COMPUTED_VALUE"""),"")</f>
        <v/>
      </c>
      <c r="W61" s="189" t="str">
        <f ca="1">IFERROR(__xludf.DUMMYFUNCTION("""COMPUTED_VALUE"""),"")</f>
        <v/>
      </c>
      <c r="X61" s="189" t="str">
        <f ca="1">IFERROR(__xludf.DUMMYFUNCTION("""COMPUTED_VALUE"""),"")</f>
        <v/>
      </c>
      <c r="Y61" s="189" t="str">
        <f ca="1">IFERROR(__xludf.DUMMYFUNCTION("""COMPUTED_VALUE"""),"")</f>
        <v/>
      </c>
      <c r="Z61" s="189"/>
    </row>
    <row r="62" spans="1:26" ht="12.75">
      <c r="A62" s="189" t="str">
        <f ca="1">IFERROR(__xludf.DUMMYFUNCTION("""COMPUTED_VALUE"""),"S26.2")</f>
        <v>S26.2</v>
      </c>
      <c r="B62" s="189" t="str">
        <f ca="1">IFERROR(__xludf.DUMMYFUNCTION("""COMPUTED_VALUE"""),"ON/OFF SOLENOID VALVE")</f>
        <v>ON/OFF SOLENOID VALVE</v>
      </c>
      <c r="C62" s="189" t="str">
        <f ca="1">IFERROR(__xludf.DUMMYFUNCTION("""COMPUTED_VALUE"""),"HD CYLINDER 2 SLOW RETRACT")</f>
        <v>HD CYLINDER 2 SLOW RETRACT</v>
      </c>
      <c r="D62" s="189" t="str">
        <f ca="1">IFERROR(__xludf.DUMMYFUNCTION("""COMPUTED_VALUE"""),"24VDC 36W")</f>
        <v>24VDC 36W</v>
      </c>
      <c r="E62" s="121" t="str">
        <f ca="1">IFERROR(__xludf.DUMMYFUNCTION("""COMPUTED_VALUE"""),"NA ")</f>
        <v xml:space="preserve">NA </v>
      </c>
      <c r="F62" s="121" t="str">
        <f ca="1">IFERROR(__xludf.DUMMYFUNCTION("""COMPUTED_VALUE"""),"NA ")</f>
        <v xml:space="preserve">NA </v>
      </c>
      <c r="G62" s="189" t="str">
        <f ca="1">IFERROR(__xludf.DUMMYFUNCTION("""COMPUTED_VALUE"""),"02-414486")</f>
        <v>02-414486</v>
      </c>
      <c r="H62" s="189">
        <f ca="1">IFERROR(__xludf.DUMMYFUNCTION("""COMPUTED_VALUE"""),34)</f>
        <v>34</v>
      </c>
      <c r="I62" s="120" t="str">
        <f ca="1">IFERROR(__xludf.DUMMYFUNCTION("""COMPUTED_VALUE"""),"DEUTSCH DTO4-2P (CONNECTOR INCLUDED)")</f>
        <v>DEUTSCH DTO4-2P (CONNECTOR INCLUDED)</v>
      </c>
      <c r="J62" s="189" t="str">
        <f ca="1">IFERROR(__xludf.DUMMYFUNCTION("""COMPUTED_VALUE"""),"")</f>
        <v/>
      </c>
      <c r="K62" s="189" t="str">
        <f ca="1">IFERROR(__xludf.DUMMYFUNCTION("""COMPUTED_VALUE"""),"")</f>
        <v/>
      </c>
      <c r="L62" s="189" t="str">
        <f ca="1">IFERROR(__xludf.DUMMYFUNCTION("""COMPUTED_VALUE"""),"")</f>
        <v/>
      </c>
      <c r="M62" s="189" t="str">
        <f ca="1">IFERROR(__xludf.DUMMYFUNCTION("""COMPUTED_VALUE"""),"")</f>
        <v/>
      </c>
      <c r="N62" s="189" t="str">
        <f ca="1">IFERROR(__xludf.DUMMYFUNCTION("""COMPUTED_VALUE"""),"")</f>
        <v/>
      </c>
      <c r="O62" s="189" t="str">
        <f ca="1">IFERROR(__xludf.DUMMYFUNCTION("""COMPUTED_VALUE"""),"")</f>
        <v/>
      </c>
      <c r="P62" s="189" t="str">
        <f ca="1">IFERROR(__xludf.DUMMYFUNCTION("""COMPUTED_VALUE"""),"")</f>
        <v/>
      </c>
      <c r="Q62" s="189" t="str">
        <f ca="1">IFERROR(__xludf.DUMMYFUNCTION("""COMPUTED_VALUE"""),"")</f>
        <v/>
      </c>
      <c r="R62" s="189" t="str">
        <f ca="1">IFERROR(__xludf.DUMMYFUNCTION("""COMPUTED_VALUE"""),"")</f>
        <v/>
      </c>
      <c r="S62" s="189" t="str">
        <f ca="1">IFERROR(__xludf.DUMMYFUNCTION("""COMPUTED_VALUE"""),"")</f>
        <v/>
      </c>
      <c r="T62" s="189" t="str">
        <f ca="1">IFERROR(__xludf.DUMMYFUNCTION("""COMPUTED_VALUE"""),"")</f>
        <v/>
      </c>
      <c r="U62" s="189" t="str">
        <f ca="1">IFERROR(__xludf.DUMMYFUNCTION("""COMPUTED_VALUE"""),"")</f>
        <v/>
      </c>
      <c r="V62" s="189" t="str">
        <f ca="1">IFERROR(__xludf.DUMMYFUNCTION("""COMPUTED_VALUE"""),"")</f>
        <v/>
      </c>
      <c r="W62" s="189" t="str">
        <f ca="1">IFERROR(__xludf.DUMMYFUNCTION("""COMPUTED_VALUE"""),"")</f>
        <v/>
      </c>
      <c r="X62" s="189" t="str">
        <f ca="1">IFERROR(__xludf.DUMMYFUNCTION("""COMPUTED_VALUE"""),"")</f>
        <v/>
      </c>
      <c r="Y62" s="189" t="str">
        <f ca="1">IFERROR(__xludf.DUMMYFUNCTION("""COMPUTED_VALUE"""),"")</f>
        <v/>
      </c>
      <c r="Z62" s="189"/>
    </row>
    <row r="63" spans="1:26" ht="12.75">
      <c r="A63" s="189" t="str">
        <f ca="1">IFERROR(__xludf.DUMMYFUNCTION("""COMPUTED_VALUE"""),"")</f>
        <v/>
      </c>
      <c r="B63" s="189" t="str">
        <f ca="1">IFERROR(__xludf.DUMMYFUNCTION("""COMPUTED_VALUE"""),"1069-05-01 ")</f>
        <v xml:space="preserve">1069-05-01 </v>
      </c>
      <c r="C63" s="189" t="str">
        <f ca="1">IFERROR(__xludf.DUMMYFUNCTION("""COMPUTED_VALUE"""),"HOLD DOWN 3 MANIFOLD")</f>
        <v>HOLD DOWN 3 MANIFOLD</v>
      </c>
      <c r="D63" s="189" t="str">
        <f ca="1">IFERROR(__xludf.DUMMYFUNCTION("""COMPUTED_VALUE"""),"")</f>
        <v/>
      </c>
      <c r="E63" s="189" t="str">
        <f ca="1">IFERROR(__xludf.DUMMYFUNCTION("""COMPUTED_VALUE"""),"")</f>
        <v/>
      </c>
      <c r="F63" s="189" t="str">
        <f ca="1">IFERROR(__xludf.DUMMYFUNCTION("""COMPUTED_VALUE"""),"")</f>
        <v/>
      </c>
      <c r="G63" s="189" t="str">
        <f ca="1">IFERROR(__xludf.DUMMYFUNCTION("""COMPUTED_VALUE"""),"")</f>
        <v/>
      </c>
      <c r="H63" s="189" t="str">
        <f ca="1">IFERROR(__xludf.DUMMYFUNCTION("""COMPUTED_VALUE"""),"")</f>
        <v/>
      </c>
      <c r="I63" s="120" t="str">
        <f ca="1">IFERROR(__xludf.DUMMYFUNCTION("""COMPUTED_VALUE"""),"")</f>
        <v/>
      </c>
      <c r="J63" s="189" t="str">
        <f ca="1">IFERROR(__xludf.DUMMYFUNCTION("""COMPUTED_VALUE"""),"")</f>
        <v/>
      </c>
      <c r="K63" s="189" t="str">
        <f ca="1">IFERROR(__xludf.DUMMYFUNCTION("""COMPUTED_VALUE"""),"")</f>
        <v/>
      </c>
      <c r="L63" s="189" t="str">
        <f ca="1">IFERROR(__xludf.DUMMYFUNCTION("""COMPUTED_VALUE"""),"")</f>
        <v/>
      </c>
      <c r="M63" s="189" t="str">
        <f ca="1">IFERROR(__xludf.DUMMYFUNCTION("""COMPUTED_VALUE"""),"")</f>
        <v/>
      </c>
      <c r="N63" s="189" t="str">
        <f ca="1">IFERROR(__xludf.DUMMYFUNCTION("""COMPUTED_VALUE"""),"")</f>
        <v/>
      </c>
      <c r="O63" s="189" t="str">
        <f ca="1">IFERROR(__xludf.DUMMYFUNCTION("""COMPUTED_VALUE"""),"")</f>
        <v/>
      </c>
      <c r="P63" s="189" t="str">
        <f ca="1">IFERROR(__xludf.DUMMYFUNCTION("""COMPUTED_VALUE"""),"")</f>
        <v/>
      </c>
      <c r="Q63" s="189" t="str">
        <f ca="1">IFERROR(__xludf.DUMMYFUNCTION("""COMPUTED_VALUE"""),"")</f>
        <v/>
      </c>
      <c r="R63" s="189" t="str">
        <f ca="1">IFERROR(__xludf.DUMMYFUNCTION("""COMPUTED_VALUE"""),"")</f>
        <v/>
      </c>
      <c r="S63" s="189" t="str">
        <f ca="1">IFERROR(__xludf.DUMMYFUNCTION("""COMPUTED_VALUE"""),"")</f>
        <v/>
      </c>
      <c r="T63" s="189" t="str">
        <f ca="1">IFERROR(__xludf.DUMMYFUNCTION("""COMPUTED_VALUE"""),"")</f>
        <v/>
      </c>
      <c r="U63" s="189" t="str">
        <f ca="1">IFERROR(__xludf.DUMMYFUNCTION("""COMPUTED_VALUE"""),"")</f>
        <v/>
      </c>
      <c r="V63" s="189" t="str">
        <f ca="1">IFERROR(__xludf.DUMMYFUNCTION("""COMPUTED_VALUE"""),"")</f>
        <v/>
      </c>
      <c r="W63" s="189" t="str">
        <f ca="1">IFERROR(__xludf.DUMMYFUNCTION("""COMPUTED_VALUE"""),"")</f>
        <v/>
      </c>
      <c r="X63" s="189" t="str">
        <f ca="1">IFERROR(__xludf.DUMMYFUNCTION("""COMPUTED_VALUE"""),"")</f>
        <v/>
      </c>
      <c r="Y63" s="189" t="str">
        <f ca="1">IFERROR(__xludf.DUMMYFUNCTION("""COMPUTED_VALUE"""),"")</f>
        <v/>
      </c>
      <c r="Z63" s="189"/>
    </row>
    <row r="64" spans="1:26" ht="12.75">
      <c r="A64" s="189" t="str">
        <f ca="1">IFERROR(__xludf.DUMMYFUNCTION("""COMPUTED_VALUE"""),"PTA-3")</f>
        <v>PTA-3</v>
      </c>
      <c r="B64" s="189" t="str">
        <f ca="1">IFERROR(__xludf.DUMMYFUNCTION("""COMPUTED_VALUE"""),"PRESSURE TRANSDUCER (0-400 BAR)")</f>
        <v>PRESSURE TRANSDUCER (0-400 BAR)</v>
      </c>
      <c r="C64" s="189" t="str">
        <f ca="1">IFERROR(__xludf.DUMMYFUNCTION("""COMPUTED_VALUE"""),"HOLD DOWN CYLINDER 3 FRONT END PRESSURE SENSOR")</f>
        <v>HOLD DOWN CYLINDER 3 FRONT END PRESSURE SENSOR</v>
      </c>
      <c r="D64" s="189" t="str">
        <f ca="1">IFERROR(__xludf.DUMMYFUNCTION("""COMPUTED_VALUE"""),"24VDC")</f>
        <v>24VDC</v>
      </c>
      <c r="E64" s="189" t="str">
        <f ca="1">IFERROR(__xludf.DUMMYFUNCTION("""COMPUTED_VALUE"""),"4..20mA")</f>
        <v>4..20mA</v>
      </c>
      <c r="F64" s="189" t="str">
        <f ca="1">IFERROR(__xludf.DUMMYFUNCTION("""COMPUTED_VALUE"""),"NA")</f>
        <v>NA</v>
      </c>
      <c r="G64" s="189" t="str">
        <f ca="1">IFERROR(__xludf.DUMMYFUNCTION("""COMPUTED_VALUE"""),"PT5400")</f>
        <v>PT5400</v>
      </c>
      <c r="H64" s="189">
        <f ca="1">IFERROR(__xludf.DUMMYFUNCTION("""COMPUTED_VALUE"""),24)</f>
        <v>24</v>
      </c>
      <c r="I64" s="120" t="str">
        <f ca="1">IFERROR(__xludf.DUMMYFUNCTION("""COMPUTED_VALUE"""),"M12")</f>
        <v>M12</v>
      </c>
      <c r="J64" s="189" t="str">
        <f ca="1">IFERROR(__xludf.DUMMYFUNCTION("""COMPUTED_VALUE"""),"")</f>
        <v/>
      </c>
      <c r="K64" s="189" t="str">
        <f ca="1">IFERROR(__xludf.DUMMYFUNCTION("""COMPUTED_VALUE"""),"")</f>
        <v/>
      </c>
      <c r="L64" s="189" t="str">
        <f ca="1">IFERROR(__xludf.DUMMYFUNCTION("""COMPUTED_VALUE"""),"")</f>
        <v/>
      </c>
      <c r="M64" s="189" t="str">
        <f ca="1">IFERROR(__xludf.DUMMYFUNCTION("""COMPUTED_VALUE"""),"")</f>
        <v/>
      </c>
      <c r="N64" s="189" t="str">
        <f ca="1">IFERROR(__xludf.DUMMYFUNCTION("""COMPUTED_VALUE"""),"")</f>
        <v/>
      </c>
      <c r="O64" s="189" t="str">
        <f ca="1">IFERROR(__xludf.DUMMYFUNCTION("""COMPUTED_VALUE"""),"")</f>
        <v/>
      </c>
      <c r="P64" s="189" t="str">
        <f ca="1">IFERROR(__xludf.DUMMYFUNCTION("""COMPUTED_VALUE"""),"")</f>
        <v/>
      </c>
      <c r="Q64" s="189" t="str">
        <f ca="1">IFERROR(__xludf.DUMMYFUNCTION("""COMPUTED_VALUE"""),"")</f>
        <v/>
      </c>
      <c r="R64" s="189" t="str">
        <f ca="1">IFERROR(__xludf.DUMMYFUNCTION("""COMPUTED_VALUE"""),"")</f>
        <v/>
      </c>
      <c r="S64" s="189" t="str">
        <f ca="1">IFERROR(__xludf.DUMMYFUNCTION("""COMPUTED_VALUE"""),"")</f>
        <v/>
      </c>
      <c r="T64" s="189" t="str">
        <f ca="1">IFERROR(__xludf.DUMMYFUNCTION("""COMPUTED_VALUE"""),"")</f>
        <v/>
      </c>
      <c r="U64" s="189" t="str">
        <f ca="1">IFERROR(__xludf.DUMMYFUNCTION("""COMPUTED_VALUE"""),"")</f>
        <v/>
      </c>
      <c r="V64" s="189" t="str">
        <f ca="1">IFERROR(__xludf.DUMMYFUNCTION("""COMPUTED_VALUE"""),"")</f>
        <v/>
      </c>
      <c r="W64" s="189" t="str">
        <f ca="1">IFERROR(__xludf.DUMMYFUNCTION("""COMPUTED_VALUE"""),"")</f>
        <v/>
      </c>
      <c r="X64" s="189" t="str">
        <f ca="1">IFERROR(__xludf.DUMMYFUNCTION("""COMPUTED_VALUE"""),"")</f>
        <v/>
      </c>
      <c r="Y64" s="189" t="str">
        <f ca="1">IFERROR(__xludf.DUMMYFUNCTION("""COMPUTED_VALUE"""),"")</f>
        <v/>
      </c>
      <c r="Z64" s="189"/>
    </row>
    <row r="65" spans="1:26" ht="12.75">
      <c r="A65" s="189" t="str">
        <f ca="1">IFERROR(__xludf.DUMMYFUNCTION("""COMPUTED_VALUE"""),"PTB-3")</f>
        <v>PTB-3</v>
      </c>
      <c r="B65" s="189" t="str">
        <f ca="1">IFERROR(__xludf.DUMMYFUNCTION("""COMPUTED_VALUE"""),"PRESSURE TRANSDUCER (0-400 BAR)")</f>
        <v>PRESSURE TRANSDUCER (0-400 BAR)</v>
      </c>
      <c r="C65" s="189" t="str">
        <f ca="1">IFERROR(__xludf.DUMMYFUNCTION("""COMPUTED_VALUE"""),"HOLD DOWN CYLINDER 3 BACK END PRESSURE SENSOR")</f>
        <v>HOLD DOWN CYLINDER 3 BACK END PRESSURE SENSOR</v>
      </c>
      <c r="D65" s="189" t="str">
        <f ca="1">IFERROR(__xludf.DUMMYFUNCTION("""COMPUTED_VALUE"""),"24VDC")</f>
        <v>24VDC</v>
      </c>
      <c r="E65" s="189" t="str">
        <f ca="1">IFERROR(__xludf.DUMMYFUNCTION("""COMPUTED_VALUE"""),"4..20mA")</f>
        <v>4..20mA</v>
      </c>
      <c r="F65" s="189" t="str">
        <f ca="1">IFERROR(__xludf.DUMMYFUNCTION("""COMPUTED_VALUE"""),"NA")</f>
        <v>NA</v>
      </c>
      <c r="G65" s="189" t="str">
        <f ca="1">IFERROR(__xludf.DUMMYFUNCTION("""COMPUTED_VALUE"""),"PT5400")</f>
        <v>PT5400</v>
      </c>
      <c r="H65" s="189">
        <f ca="1">IFERROR(__xludf.DUMMYFUNCTION("""COMPUTED_VALUE"""),24)</f>
        <v>24</v>
      </c>
      <c r="I65" s="120" t="str">
        <f ca="1">IFERROR(__xludf.DUMMYFUNCTION("""COMPUTED_VALUE"""),"M12")</f>
        <v>M12</v>
      </c>
      <c r="J65" s="189" t="str">
        <f ca="1">IFERROR(__xludf.DUMMYFUNCTION("""COMPUTED_VALUE"""),"")</f>
        <v/>
      </c>
      <c r="K65" s="189" t="str">
        <f ca="1">IFERROR(__xludf.DUMMYFUNCTION("""COMPUTED_VALUE"""),"")</f>
        <v/>
      </c>
      <c r="L65" s="189" t="str">
        <f ca="1">IFERROR(__xludf.DUMMYFUNCTION("""COMPUTED_VALUE"""),"")</f>
        <v/>
      </c>
      <c r="M65" s="189" t="str">
        <f ca="1">IFERROR(__xludf.DUMMYFUNCTION("""COMPUTED_VALUE"""),"")</f>
        <v/>
      </c>
      <c r="N65" s="189" t="str">
        <f ca="1">IFERROR(__xludf.DUMMYFUNCTION("""COMPUTED_VALUE"""),"")</f>
        <v/>
      </c>
      <c r="O65" s="189" t="str">
        <f ca="1">IFERROR(__xludf.DUMMYFUNCTION("""COMPUTED_VALUE"""),"")</f>
        <v/>
      </c>
      <c r="P65" s="189" t="str">
        <f ca="1">IFERROR(__xludf.DUMMYFUNCTION("""COMPUTED_VALUE"""),"")</f>
        <v/>
      </c>
      <c r="Q65" s="189" t="str">
        <f ca="1">IFERROR(__xludf.DUMMYFUNCTION("""COMPUTED_VALUE"""),"")</f>
        <v/>
      </c>
      <c r="R65" s="189" t="str">
        <f ca="1">IFERROR(__xludf.DUMMYFUNCTION("""COMPUTED_VALUE"""),"")</f>
        <v/>
      </c>
      <c r="S65" s="189" t="str">
        <f ca="1">IFERROR(__xludf.DUMMYFUNCTION("""COMPUTED_VALUE"""),"")</f>
        <v/>
      </c>
      <c r="T65" s="189" t="str">
        <f ca="1">IFERROR(__xludf.DUMMYFUNCTION("""COMPUTED_VALUE"""),"")</f>
        <v/>
      </c>
      <c r="U65" s="189" t="str">
        <f ca="1">IFERROR(__xludf.DUMMYFUNCTION("""COMPUTED_VALUE"""),"")</f>
        <v/>
      </c>
      <c r="V65" s="189" t="str">
        <f ca="1">IFERROR(__xludf.DUMMYFUNCTION("""COMPUTED_VALUE"""),"")</f>
        <v/>
      </c>
      <c r="W65" s="189" t="str">
        <f ca="1">IFERROR(__xludf.DUMMYFUNCTION("""COMPUTED_VALUE"""),"")</f>
        <v/>
      </c>
      <c r="X65" s="189" t="str">
        <f ca="1">IFERROR(__xludf.DUMMYFUNCTION("""COMPUTED_VALUE"""),"")</f>
        <v/>
      </c>
      <c r="Y65" s="189" t="str">
        <f ca="1">IFERROR(__xludf.DUMMYFUNCTION("""COMPUTED_VALUE"""),"")</f>
        <v/>
      </c>
      <c r="Z65" s="189"/>
    </row>
    <row r="66" spans="1:26" ht="12.75">
      <c r="A66" s="189" t="str">
        <f ca="1">IFERROR(__xludf.DUMMYFUNCTION("""COMPUTED_VALUE"""),"PTAC-3")</f>
        <v>PTAC-3</v>
      </c>
      <c r="B66" s="189" t="str">
        <f ca="1">IFERROR(__xludf.DUMMYFUNCTION("""COMPUTED_VALUE"""),"PRESSURE TRANSDUCER (0-400 BAR)")</f>
        <v>PRESSURE TRANSDUCER (0-400 BAR)</v>
      </c>
      <c r="C66" s="189" t="str">
        <f ca="1">IFERROR(__xludf.DUMMYFUNCTION("""COMPUTED_VALUE"""),"HOLD DOWN ACCUMULATOR 3 GAS PRESSURE SENSOR")</f>
        <v>HOLD DOWN ACCUMULATOR 3 GAS PRESSURE SENSOR</v>
      </c>
      <c r="D66" s="189" t="str">
        <f ca="1">IFERROR(__xludf.DUMMYFUNCTION("""COMPUTED_VALUE"""),"24VDC")</f>
        <v>24VDC</v>
      </c>
      <c r="E66" s="189" t="str">
        <f ca="1">IFERROR(__xludf.DUMMYFUNCTION("""COMPUTED_VALUE"""),"4..20mA")</f>
        <v>4..20mA</v>
      </c>
      <c r="F66" s="189" t="str">
        <f ca="1">IFERROR(__xludf.DUMMYFUNCTION("""COMPUTED_VALUE"""),"NA")</f>
        <v>NA</v>
      </c>
      <c r="G66" s="189" t="str">
        <f ca="1">IFERROR(__xludf.DUMMYFUNCTION("""COMPUTED_VALUE"""),"PT5400")</f>
        <v>PT5400</v>
      </c>
      <c r="H66" s="189">
        <f ca="1">IFERROR(__xludf.DUMMYFUNCTION("""COMPUTED_VALUE"""),24)</f>
        <v>24</v>
      </c>
      <c r="I66" s="120" t="str">
        <f ca="1">IFERROR(__xludf.DUMMYFUNCTION("""COMPUTED_VALUE"""),"M12")</f>
        <v>M12</v>
      </c>
      <c r="J66" s="189" t="str">
        <f ca="1">IFERROR(__xludf.DUMMYFUNCTION("""COMPUTED_VALUE"""),"")</f>
        <v/>
      </c>
      <c r="K66" s="189" t="str">
        <f ca="1">IFERROR(__xludf.DUMMYFUNCTION("""COMPUTED_VALUE"""),"")</f>
        <v/>
      </c>
      <c r="L66" s="189" t="str">
        <f ca="1">IFERROR(__xludf.DUMMYFUNCTION("""COMPUTED_VALUE"""),"")</f>
        <v/>
      </c>
      <c r="M66" s="189" t="str">
        <f ca="1">IFERROR(__xludf.DUMMYFUNCTION("""COMPUTED_VALUE"""),"")</f>
        <v/>
      </c>
      <c r="N66" s="189" t="str">
        <f ca="1">IFERROR(__xludf.DUMMYFUNCTION("""COMPUTED_VALUE"""),"")</f>
        <v/>
      </c>
      <c r="O66" s="189" t="str">
        <f ca="1">IFERROR(__xludf.DUMMYFUNCTION("""COMPUTED_VALUE"""),"")</f>
        <v/>
      </c>
      <c r="P66" s="189" t="str">
        <f ca="1">IFERROR(__xludf.DUMMYFUNCTION("""COMPUTED_VALUE"""),"")</f>
        <v/>
      </c>
      <c r="Q66" s="189" t="str">
        <f ca="1">IFERROR(__xludf.DUMMYFUNCTION("""COMPUTED_VALUE"""),"")</f>
        <v/>
      </c>
      <c r="R66" s="189" t="str">
        <f ca="1">IFERROR(__xludf.DUMMYFUNCTION("""COMPUTED_VALUE"""),"")</f>
        <v/>
      </c>
      <c r="S66" s="189" t="str">
        <f ca="1">IFERROR(__xludf.DUMMYFUNCTION("""COMPUTED_VALUE"""),"")</f>
        <v/>
      </c>
      <c r="T66" s="189" t="str">
        <f ca="1">IFERROR(__xludf.DUMMYFUNCTION("""COMPUTED_VALUE"""),"")</f>
        <v/>
      </c>
      <c r="U66" s="189" t="str">
        <f ca="1">IFERROR(__xludf.DUMMYFUNCTION("""COMPUTED_VALUE"""),"")</f>
        <v/>
      </c>
      <c r="V66" s="189" t="str">
        <f ca="1">IFERROR(__xludf.DUMMYFUNCTION("""COMPUTED_VALUE"""),"")</f>
        <v/>
      </c>
      <c r="W66" s="189" t="str">
        <f ca="1">IFERROR(__xludf.DUMMYFUNCTION("""COMPUTED_VALUE"""),"")</f>
        <v/>
      </c>
      <c r="X66" s="189" t="str">
        <f ca="1">IFERROR(__xludf.DUMMYFUNCTION("""COMPUTED_VALUE"""),"")</f>
        <v/>
      </c>
      <c r="Y66" s="189" t="str">
        <f ca="1">IFERROR(__xludf.DUMMYFUNCTION("""COMPUTED_VALUE"""),"")</f>
        <v/>
      </c>
      <c r="Z66" s="189"/>
    </row>
    <row r="67" spans="1:26" ht="12.75">
      <c r="A67" s="189" t="str">
        <f ca="1">IFERROR(__xludf.DUMMYFUNCTION("""COMPUTED_VALUE"""),"SWAC-3-O")</f>
        <v>SWAC-3-O</v>
      </c>
      <c r="B67" s="189" t="str">
        <f ca="1">IFERROR(__xludf.DUMMYFUNCTION("""COMPUTED_VALUE"""),"LIMIT SWITCH")</f>
        <v>LIMIT SWITCH</v>
      </c>
      <c r="C67" s="189" t="str">
        <f ca="1">IFERROR(__xludf.DUMMYFUNCTION("""COMPUTED_VALUE"""),"HD ACC 3 ISOLATION BALL VALVE OPEN")</f>
        <v>HD ACC 3 ISOLATION BALL VALVE OPEN</v>
      </c>
      <c r="D67" s="189" t="str">
        <f ca="1">IFERROR(__xludf.DUMMYFUNCTION("""COMPUTED_VALUE"""),"")</f>
        <v/>
      </c>
      <c r="E67" s="189" t="str">
        <f ca="1">IFERROR(__xludf.DUMMYFUNCTION("""COMPUTED_VALUE"""),"")</f>
        <v/>
      </c>
      <c r="F67" s="189" t="str">
        <f ca="1">IFERROR(__xludf.DUMMYFUNCTION("""COMPUTED_VALUE"""),"")</f>
        <v/>
      </c>
      <c r="G67" s="189" t="str">
        <f ca="1">IFERROR(__xludf.DUMMYFUNCTION("""COMPUTED_VALUE"""),"")</f>
        <v/>
      </c>
      <c r="H67" s="189" t="str">
        <f ca="1">IFERROR(__xludf.DUMMYFUNCTION("""COMPUTED_VALUE"""),"")</f>
        <v/>
      </c>
      <c r="I67" s="120" t="str">
        <f ca="1">IFERROR(__xludf.DUMMYFUNCTION("""COMPUTED_VALUE"""),"")</f>
        <v/>
      </c>
      <c r="J67" s="189" t="str">
        <f ca="1">IFERROR(__xludf.DUMMYFUNCTION("""COMPUTED_VALUE"""),"")</f>
        <v/>
      </c>
      <c r="K67" s="189" t="str">
        <f ca="1">IFERROR(__xludf.DUMMYFUNCTION("""COMPUTED_VALUE"""),"")</f>
        <v/>
      </c>
      <c r="L67" s="189" t="str">
        <f ca="1">IFERROR(__xludf.DUMMYFUNCTION("""COMPUTED_VALUE"""),"")</f>
        <v/>
      </c>
      <c r="M67" s="189" t="str">
        <f ca="1">IFERROR(__xludf.DUMMYFUNCTION("""COMPUTED_VALUE"""),"")</f>
        <v/>
      </c>
      <c r="N67" s="189" t="str">
        <f ca="1">IFERROR(__xludf.DUMMYFUNCTION("""COMPUTED_VALUE"""),"")</f>
        <v/>
      </c>
      <c r="O67" s="189" t="str">
        <f ca="1">IFERROR(__xludf.DUMMYFUNCTION("""COMPUTED_VALUE"""),"")</f>
        <v/>
      </c>
      <c r="P67" s="189" t="str">
        <f ca="1">IFERROR(__xludf.DUMMYFUNCTION("""COMPUTED_VALUE"""),"")</f>
        <v/>
      </c>
      <c r="Q67" s="189" t="str">
        <f ca="1">IFERROR(__xludf.DUMMYFUNCTION("""COMPUTED_VALUE"""),"")</f>
        <v/>
      </c>
      <c r="R67" s="189" t="str">
        <f ca="1">IFERROR(__xludf.DUMMYFUNCTION("""COMPUTED_VALUE"""),"")</f>
        <v/>
      </c>
      <c r="S67" s="189" t="str">
        <f ca="1">IFERROR(__xludf.DUMMYFUNCTION("""COMPUTED_VALUE"""),"")</f>
        <v/>
      </c>
      <c r="T67" s="189" t="str">
        <f ca="1">IFERROR(__xludf.DUMMYFUNCTION("""COMPUTED_VALUE"""),"")</f>
        <v/>
      </c>
      <c r="U67" s="189" t="str">
        <f ca="1">IFERROR(__xludf.DUMMYFUNCTION("""COMPUTED_VALUE"""),"")</f>
        <v/>
      </c>
      <c r="V67" s="189" t="str">
        <f ca="1">IFERROR(__xludf.DUMMYFUNCTION("""COMPUTED_VALUE"""),"")</f>
        <v/>
      </c>
      <c r="W67" s="189" t="str">
        <f ca="1">IFERROR(__xludf.DUMMYFUNCTION("""COMPUTED_VALUE"""),"")</f>
        <v/>
      </c>
      <c r="X67" s="189" t="str">
        <f ca="1">IFERROR(__xludf.DUMMYFUNCTION("""COMPUTED_VALUE"""),"")</f>
        <v/>
      </c>
      <c r="Y67" s="189" t="str">
        <f ca="1">IFERROR(__xludf.DUMMYFUNCTION("""COMPUTED_VALUE"""),"")</f>
        <v/>
      </c>
      <c r="Z67" s="189"/>
    </row>
    <row r="68" spans="1:26" ht="12.75">
      <c r="A68" s="189" t="str">
        <f ca="1">IFERROR(__xludf.DUMMYFUNCTION("""COMPUTED_VALUE"""),"SWAC-3-C")</f>
        <v>SWAC-3-C</v>
      </c>
      <c r="B68" s="189" t="str">
        <f ca="1">IFERROR(__xludf.DUMMYFUNCTION("""COMPUTED_VALUE"""),"LIMIT SWITCH")</f>
        <v>LIMIT SWITCH</v>
      </c>
      <c r="C68" s="189" t="str">
        <f ca="1">IFERROR(__xludf.DUMMYFUNCTION("""COMPUTED_VALUE"""),"HD ACC 3 ISOLATION BALL VALVE CLOSED")</f>
        <v>HD ACC 3 ISOLATION BALL VALVE CLOSED</v>
      </c>
      <c r="D68" s="189" t="str">
        <f ca="1">IFERROR(__xludf.DUMMYFUNCTION("""COMPUTED_VALUE"""),"")</f>
        <v/>
      </c>
      <c r="E68" s="189" t="str">
        <f ca="1">IFERROR(__xludf.DUMMYFUNCTION("""COMPUTED_VALUE"""),"")</f>
        <v/>
      </c>
      <c r="F68" s="189" t="str">
        <f ca="1">IFERROR(__xludf.DUMMYFUNCTION("""COMPUTED_VALUE"""),"")</f>
        <v/>
      </c>
      <c r="G68" s="189" t="str">
        <f ca="1">IFERROR(__xludf.DUMMYFUNCTION("""COMPUTED_VALUE"""),"")</f>
        <v/>
      </c>
      <c r="H68" s="189" t="str">
        <f ca="1">IFERROR(__xludf.DUMMYFUNCTION("""COMPUTED_VALUE"""),"")</f>
        <v/>
      </c>
      <c r="I68" s="120" t="str">
        <f ca="1">IFERROR(__xludf.DUMMYFUNCTION("""COMPUTED_VALUE"""),"")</f>
        <v/>
      </c>
      <c r="J68" s="189" t="str">
        <f ca="1">IFERROR(__xludf.DUMMYFUNCTION("""COMPUTED_VALUE"""),"")</f>
        <v/>
      </c>
      <c r="K68" s="189" t="str">
        <f ca="1">IFERROR(__xludf.DUMMYFUNCTION("""COMPUTED_VALUE"""),"")</f>
        <v/>
      </c>
      <c r="L68" s="189" t="str">
        <f ca="1">IFERROR(__xludf.DUMMYFUNCTION("""COMPUTED_VALUE"""),"")</f>
        <v/>
      </c>
      <c r="M68" s="189" t="str">
        <f ca="1">IFERROR(__xludf.DUMMYFUNCTION("""COMPUTED_VALUE"""),"")</f>
        <v/>
      </c>
      <c r="N68" s="189" t="str">
        <f ca="1">IFERROR(__xludf.DUMMYFUNCTION("""COMPUTED_VALUE"""),"")</f>
        <v/>
      </c>
      <c r="O68" s="189" t="str">
        <f ca="1">IFERROR(__xludf.DUMMYFUNCTION("""COMPUTED_VALUE"""),"")</f>
        <v/>
      </c>
      <c r="P68" s="189" t="str">
        <f ca="1">IFERROR(__xludf.DUMMYFUNCTION("""COMPUTED_VALUE"""),"")</f>
        <v/>
      </c>
      <c r="Q68" s="189" t="str">
        <f ca="1">IFERROR(__xludf.DUMMYFUNCTION("""COMPUTED_VALUE"""),"")</f>
        <v/>
      </c>
      <c r="R68" s="189" t="str">
        <f ca="1">IFERROR(__xludf.DUMMYFUNCTION("""COMPUTED_VALUE"""),"")</f>
        <v/>
      </c>
      <c r="S68" s="189" t="str">
        <f ca="1">IFERROR(__xludf.DUMMYFUNCTION("""COMPUTED_VALUE"""),"")</f>
        <v/>
      </c>
      <c r="T68" s="189" t="str">
        <f ca="1">IFERROR(__xludf.DUMMYFUNCTION("""COMPUTED_VALUE"""),"")</f>
        <v/>
      </c>
      <c r="U68" s="189" t="str">
        <f ca="1">IFERROR(__xludf.DUMMYFUNCTION("""COMPUTED_VALUE"""),"")</f>
        <v/>
      </c>
      <c r="V68" s="189" t="str">
        <f ca="1">IFERROR(__xludf.DUMMYFUNCTION("""COMPUTED_VALUE"""),"")</f>
        <v/>
      </c>
      <c r="W68" s="189" t="str">
        <f ca="1">IFERROR(__xludf.DUMMYFUNCTION("""COMPUTED_VALUE"""),"")</f>
        <v/>
      </c>
      <c r="X68" s="189" t="str">
        <f ca="1">IFERROR(__xludf.DUMMYFUNCTION("""COMPUTED_VALUE"""),"")</f>
        <v/>
      </c>
      <c r="Y68" s="189" t="str">
        <f ca="1">IFERROR(__xludf.DUMMYFUNCTION("""COMPUTED_VALUE"""),"")</f>
        <v/>
      </c>
      <c r="Z68" s="189"/>
    </row>
    <row r="69" spans="1:26" ht="12.75">
      <c r="A69" s="189" t="str">
        <f ca="1">IFERROR(__xludf.DUMMYFUNCTION("""COMPUTED_VALUE"""),"S21")</f>
        <v>S21</v>
      </c>
      <c r="B69" s="189" t="str">
        <f ca="1">IFERROR(__xludf.DUMMYFUNCTION("""COMPUTED_VALUE"""),"ON/OFF SOLENOID VALVE")</f>
        <v>ON/OFF SOLENOID VALVE</v>
      </c>
      <c r="C69" s="189" t="str">
        <f ca="1">IFERROR(__xludf.DUMMYFUNCTION("""COMPUTED_VALUE"""),"HD CYLINDER 3 FAST RETRACT PILOT VALVE 1")</f>
        <v>HD CYLINDER 3 FAST RETRACT PILOT VALVE 1</v>
      </c>
      <c r="D69" s="189" t="str">
        <f ca="1">IFERROR(__xludf.DUMMYFUNCTION("""COMPUTED_VALUE"""),"24VDC 38W")</f>
        <v>24VDC 38W</v>
      </c>
      <c r="E69" s="189" t="str">
        <f ca="1">IFERROR(__xludf.DUMMYFUNCTION("""COMPUTED_VALUE"""),"NA")</f>
        <v>NA</v>
      </c>
      <c r="F69" s="189" t="str">
        <f ca="1">IFERROR(__xludf.DUMMYFUNCTION("""COMPUTED_VALUE"""),"NA")</f>
        <v>NA</v>
      </c>
      <c r="G69" s="189" t="str">
        <f ca="1">IFERROR(__xludf.DUMMYFUNCTION("""COMPUTED_VALUE"""),"6042893-014")</f>
        <v>6042893-014</v>
      </c>
      <c r="H69" s="189">
        <f ca="1">IFERROR(__xludf.DUMMYFUNCTION("""COMPUTED_VALUE"""),50)</f>
        <v>50</v>
      </c>
      <c r="I69" s="120" t="str">
        <f ca="1">IFERROR(__xludf.DUMMYFUNCTION("""COMPUTED_VALUE"""),"DEUTSCH DTO4-2P (CONNECTOR INCLUDED)")</f>
        <v>DEUTSCH DTO4-2P (CONNECTOR INCLUDED)</v>
      </c>
      <c r="J69" s="189" t="str">
        <f ca="1">IFERROR(__xludf.DUMMYFUNCTION("""COMPUTED_VALUE"""),"")</f>
        <v/>
      </c>
      <c r="K69" s="189" t="str">
        <f ca="1">IFERROR(__xludf.DUMMYFUNCTION("""COMPUTED_VALUE"""),"")</f>
        <v/>
      </c>
      <c r="L69" s="189" t="str">
        <f ca="1">IFERROR(__xludf.DUMMYFUNCTION("""COMPUTED_VALUE"""),"")</f>
        <v/>
      </c>
      <c r="M69" s="189" t="str">
        <f ca="1">IFERROR(__xludf.DUMMYFUNCTION("""COMPUTED_VALUE"""),"")</f>
        <v/>
      </c>
      <c r="N69" s="189" t="str">
        <f ca="1">IFERROR(__xludf.DUMMYFUNCTION("""COMPUTED_VALUE"""),"")</f>
        <v/>
      </c>
      <c r="O69" s="189" t="str">
        <f ca="1">IFERROR(__xludf.DUMMYFUNCTION("""COMPUTED_VALUE"""),"")</f>
        <v/>
      </c>
      <c r="P69" s="189" t="str">
        <f ca="1">IFERROR(__xludf.DUMMYFUNCTION("""COMPUTED_VALUE"""),"")</f>
        <v/>
      </c>
      <c r="Q69" s="189" t="str">
        <f ca="1">IFERROR(__xludf.DUMMYFUNCTION("""COMPUTED_VALUE"""),"")</f>
        <v/>
      </c>
      <c r="R69" s="189" t="str">
        <f ca="1">IFERROR(__xludf.DUMMYFUNCTION("""COMPUTED_VALUE"""),"")</f>
        <v/>
      </c>
      <c r="S69" s="189" t="str">
        <f ca="1">IFERROR(__xludf.DUMMYFUNCTION("""COMPUTED_VALUE"""),"")</f>
        <v/>
      </c>
      <c r="T69" s="189" t="str">
        <f ca="1">IFERROR(__xludf.DUMMYFUNCTION("""COMPUTED_VALUE"""),"")</f>
        <v/>
      </c>
      <c r="U69" s="189" t="str">
        <f ca="1">IFERROR(__xludf.DUMMYFUNCTION("""COMPUTED_VALUE"""),"")</f>
        <v/>
      </c>
      <c r="V69" s="189" t="str">
        <f ca="1">IFERROR(__xludf.DUMMYFUNCTION("""COMPUTED_VALUE"""),"")</f>
        <v/>
      </c>
      <c r="W69" s="189" t="str">
        <f ca="1">IFERROR(__xludf.DUMMYFUNCTION("""COMPUTED_VALUE"""),"")</f>
        <v/>
      </c>
      <c r="X69" s="189" t="str">
        <f ca="1">IFERROR(__xludf.DUMMYFUNCTION("""COMPUTED_VALUE"""),"")</f>
        <v/>
      </c>
      <c r="Y69" s="189" t="str">
        <f ca="1">IFERROR(__xludf.DUMMYFUNCTION("""COMPUTED_VALUE"""),"")</f>
        <v/>
      </c>
      <c r="Z69" s="189"/>
    </row>
    <row r="70" spans="1:26" ht="12.75">
      <c r="A70" s="189" t="str">
        <f ca="1">IFERROR(__xludf.DUMMYFUNCTION("""COMPUTED_VALUE"""),"S22")</f>
        <v>S22</v>
      </c>
      <c r="B70" s="189" t="str">
        <f ca="1">IFERROR(__xludf.DUMMYFUNCTION("""COMPUTED_VALUE"""),"ON/OFF SOLENOID VALVE")</f>
        <v>ON/OFF SOLENOID VALVE</v>
      </c>
      <c r="C70" s="189" t="str">
        <f ca="1">IFERROR(__xludf.DUMMYFUNCTION("""COMPUTED_VALUE"""),"HD CYLINDER 3 FAST RETRACT PILOT VALVE 2")</f>
        <v>HD CYLINDER 3 FAST RETRACT PILOT VALVE 2</v>
      </c>
      <c r="D70" s="189" t="str">
        <f ca="1">IFERROR(__xludf.DUMMYFUNCTION("""COMPUTED_VALUE"""),"24VDC 38W")</f>
        <v>24VDC 38W</v>
      </c>
      <c r="E70" s="189" t="str">
        <f ca="1">IFERROR(__xludf.DUMMYFUNCTION("""COMPUTED_VALUE"""),"NA")</f>
        <v>NA</v>
      </c>
      <c r="F70" s="189" t="str">
        <f ca="1">IFERROR(__xludf.DUMMYFUNCTION("""COMPUTED_VALUE"""),"NA")</f>
        <v>NA</v>
      </c>
      <c r="G70" s="189" t="str">
        <f ca="1">IFERROR(__xludf.DUMMYFUNCTION("""COMPUTED_VALUE"""),"6042893-014")</f>
        <v>6042893-014</v>
      </c>
      <c r="H70" s="189">
        <f ca="1">IFERROR(__xludf.DUMMYFUNCTION("""COMPUTED_VALUE"""),50)</f>
        <v>50</v>
      </c>
      <c r="I70" s="120" t="str">
        <f ca="1">IFERROR(__xludf.DUMMYFUNCTION("""COMPUTED_VALUE"""),"DEUTSCH DTO4-2P (CONNECTOR INCLUDED)")</f>
        <v>DEUTSCH DTO4-2P (CONNECTOR INCLUDED)</v>
      </c>
      <c r="J70" s="189" t="str">
        <f ca="1">IFERROR(__xludf.DUMMYFUNCTION("""COMPUTED_VALUE"""),"")</f>
        <v/>
      </c>
      <c r="K70" s="189" t="str">
        <f ca="1">IFERROR(__xludf.DUMMYFUNCTION("""COMPUTED_VALUE"""),"")</f>
        <v/>
      </c>
      <c r="L70" s="189" t="str">
        <f ca="1">IFERROR(__xludf.DUMMYFUNCTION("""COMPUTED_VALUE"""),"")</f>
        <v/>
      </c>
      <c r="M70" s="189" t="str">
        <f ca="1">IFERROR(__xludf.DUMMYFUNCTION("""COMPUTED_VALUE"""),"")</f>
        <v/>
      </c>
      <c r="N70" s="189" t="str">
        <f ca="1">IFERROR(__xludf.DUMMYFUNCTION("""COMPUTED_VALUE"""),"")</f>
        <v/>
      </c>
      <c r="O70" s="189" t="str">
        <f ca="1">IFERROR(__xludf.DUMMYFUNCTION("""COMPUTED_VALUE"""),"")</f>
        <v/>
      </c>
      <c r="P70" s="189" t="str">
        <f ca="1">IFERROR(__xludf.DUMMYFUNCTION("""COMPUTED_VALUE"""),"")</f>
        <v/>
      </c>
      <c r="Q70" s="189" t="str">
        <f ca="1">IFERROR(__xludf.DUMMYFUNCTION("""COMPUTED_VALUE"""),"")</f>
        <v/>
      </c>
      <c r="R70" s="189" t="str">
        <f ca="1">IFERROR(__xludf.DUMMYFUNCTION("""COMPUTED_VALUE"""),"")</f>
        <v/>
      </c>
      <c r="S70" s="189" t="str">
        <f ca="1">IFERROR(__xludf.DUMMYFUNCTION("""COMPUTED_VALUE"""),"")</f>
        <v/>
      </c>
      <c r="T70" s="189" t="str">
        <f ca="1">IFERROR(__xludf.DUMMYFUNCTION("""COMPUTED_VALUE"""),"")</f>
        <v/>
      </c>
      <c r="U70" s="189" t="str">
        <f ca="1">IFERROR(__xludf.DUMMYFUNCTION("""COMPUTED_VALUE"""),"")</f>
        <v/>
      </c>
      <c r="V70" s="189" t="str">
        <f ca="1">IFERROR(__xludf.DUMMYFUNCTION("""COMPUTED_VALUE"""),"")</f>
        <v/>
      </c>
      <c r="W70" s="189" t="str">
        <f ca="1">IFERROR(__xludf.DUMMYFUNCTION("""COMPUTED_VALUE"""),"")</f>
        <v/>
      </c>
      <c r="X70" s="189" t="str">
        <f ca="1">IFERROR(__xludf.DUMMYFUNCTION("""COMPUTED_VALUE"""),"")</f>
        <v/>
      </c>
      <c r="Y70" s="189" t="str">
        <f ca="1">IFERROR(__xludf.DUMMYFUNCTION("""COMPUTED_VALUE"""),"")</f>
        <v/>
      </c>
      <c r="Z70" s="189"/>
    </row>
    <row r="71" spans="1:26" ht="12.75">
      <c r="A71" s="189" t="str">
        <f ca="1">IFERROR(__xludf.DUMMYFUNCTION("""COMPUTED_VALUE"""),"S27.1  ")</f>
        <v xml:space="preserve">S27.1  </v>
      </c>
      <c r="B71" s="189" t="str">
        <f ca="1">IFERROR(__xludf.DUMMYFUNCTION("""COMPUTED_VALUE"""),"ON/OFF SOLENOID VALVE")</f>
        <v>ON/OFF SOLENOID VALVE</v>
      </c>
      <c r="C71" s="189" t="str">
        <f ca="1">IFERROR(__xludf.DUMMYFUNCTION("""COMPUTED_VALUE"""),"HD CYLINDER 3 SLOW EXTEND")</f>
        <v>HD CYLINDER 3 SLOW EXTEND</v>
      </c>
      <c r="D71" s="189" t="str">
        <f ca="1">IFERROR(__xludf.DUMMYFUNCTION("""COMPUTED_VALUE"""),"24VDC 36W")</f>
        <v>24VDC 36W</v>
      </c>
      <c r="E71" s="121" t="str">
        <f ca="1">IFERROR(__xludf.DUMMYFUNCTION("""COMPUTED_VALUE"""),"NA ")</f>
        <v xml:space="preserve">NA </v>
      </c>
      <c r="F71" s="121" t="str">
        <f ca="1">IFERROR(__xludf.DUMMYFUNCTION("""COMPUTED_VALUE"""),"NA ")</f>
        <v xml:space="preserve">NA </v>
      </c>
      <c r="G71" s="189" t="str">
        <f ca="1">IFERROR(__xludf.DUMMYFUNCTION("""COMPUTED_VALUE"""),"02-414486")</f>
        <v>02-414486</v>
      </c>
      <c r="H71" s="189">
        <f ca="1">IFERROR(__xludf.DUMMYFUNCTION("""COMPUTED_VALUE"""),34)</f>
        <v>34</v>
      </c>
      <c r="I71" s="120" t="str">
        <f ca="1">IFERROR(__xludf.DUMMYFUNCTION("""COMPUTED_VALUE"""),"DEUTSCH DTO4-2P (CONNECTOR INCLUDED)")</f>
        <v>DEUTSCH DTO4-2P (CONNECTOR INCLUDED)</v>
      </c>
      <c r="J71" s="189" t="str">
        <f ca="1">IFERROR(__xludf.DUMMYFUNCTION("""COMPUTED_VALUE"""),"")</f>
        <v/>
      </c>
      <c r="K71" s="189" t="str">
        <f ca="1">IFERROR(__xludf.DUMMYFUNCTION("""COMPUTED_VALUE"""),"")</f>
        <v/>
      </c>
      <c r="L71" s="189" t="str">
        <f ca="1">IFERROR(__xludf.DUMMYFUNCTION("""COMPUTED_VALUE"""),"")</f>
        <v/>
      </c>
      <c r="M71" s="189" t="str">
        <f ca="1">IFERROR(__xludf.DUMMYFUNCTION("""COMPUTED_VALUE"""),"")</f>
        <v/>
      </c>
      <c r="N71" s="189" t="str">
        <f ca="1">IFERROR(__xludf.DUMMYFUNCTION("""COMPUTED_VALUE"""),"")</f>
        <v/>
      </c>
      <c r="O71" s="189" t="str">
        <f ca="1">IFERROR(__xludf.DUMMYFUNCTION("""COMPUTED_VALUE"""),"")</f>
        <v/>
      </c>
      <c r="P71" s="189" t="str">
        <f ca="1">IFERROR(__xludf.DUMMYFUNCTION("""COMPUTED_VALUE"""),"")</f>
        <v/>
      </c>
      <c r="Q71" s="189" t="str">
        <f ca="1">IFERROR(__xludf.DUMMYFUNCTION("""COMPUTED_VALUE"""),"")</f>
        <v/>
      </c>
      <c r="R71" s="189" t="str">
        <f ca="1">IFERROR(__xludf.DUMMYFUNCTION("""COMPUTED_VALUE"""),"")</f>
        <v/>
      </c>
      <c r="S71" s="189" t="str">
        <f ca="1">IFERROR(__xludf.DUMMYFUNCTION("""COMPUTED_VALUE"""),"")</f>
        <v/>
      </c>
      <c r="T71" s="189" t="str">
        <f ca="1">IFERROR(__xludf.DUMMYFUNCTION("""COMPUTED_VALUE"""),"")</f>
        <v/>
      </c>
      <c r="U71" s="189" t="str">
        <f ca="1">IFERROR(__xludf.DUMMYFUNCTION("""COMPUTED_VALUE"""),"")</f>
        <v/>
      </c>
      <c r="V71" s="189" t="str">
        <f ca="1">IFERROR(__xludf.DUMMYFUNCTION("""COMPUTED_VALUE"""),"")</f>
        <v/>
      </c>
      <c r="W71" s="189" t="str">
        <f ca="1">IFERROR(__xludf.DUMMYFUNCTION("""COMPUTED_VALUE"""),"")</f>
        <v/>
      </c>
      <c r="X71" s="189" t="str">
        <f ca="1">IFERROR(__xludf.DUMMYFUNCTION("""COMPUTED_VALUE"""),"")</f>
        <v/>
      </c>
      <c r="Y71" s="189" t="str">
        <f ca="1">IFERROR(__xludf.DUMMYFUNCTION("""COMPUTED_VALUE"""),"")</f>
        <v/>
      </c>
      <c r="Z71" s="189"/>
    </row>
    <row r="72" spans="1:26" ht="12.75">
      <c r="A72" s="189" t="str">
        <f ca="1">IFERROR(__xludf.DUMMYFUNCTION("""COMPUTED_VALUE"""),"S27.2")</f>
        <v>S27.2</v>
      </c>
      <c r="B72" s="189" t="str">
        <f ca="1">IFERROR(__xludf.DUMMYFUNCTION("""COMPUTED_VALUE"""),"ON/OFF SOLENOID VALVE")</f>
        <v>ON/OFF SOLENOID VALVE</v>
      </c>
      <c r="C72" s="189" t="str">
        <f ca="1">IFERROR(__xludf.DUMMYFUNCTION("""COMPUTED_VALUE"""),"HD CYLINDER 3 SLOW RETRACT")</f>
        <v>HD CYLINDER 3 SLOW RETRACT</v>
      </c>
      <c r="D72" s="189" t="str">
        <f ca="1">IFERROR(__xludf.DUMMYFUNCTION("""COMPUTED_VALUE"""),"24VDC 36W")</f>
        <v>24VDC 36W</v>
      </c>
      <c r="E72" s="121" t="str">
        <f ca="1">IFERROR(__xludf.DUMMYFUNCTION("""COMPUTED_VALUE"""),"NA ")</f>
        <v xml:space="preserve">NA </v>
      </c>
      <c r="F72" s="121" t="str">
        <f ca="1">IFERROR(__xludf.DUMMYFUNCTION("""COMPUTED_VALUE"""),"NA ")</f>
        <v xml:space="preserve">NA </v>
      </c>
      <c r="G72" s="189" t="str">
        <f ca="1">IFERROR(__xludf.DUMMYFUNCTION("""COMPUTED_VALUE"""),"02-414486")</f>
        <v>02-414486</v>
      </c>
      <c r="H72" s="189">
        <f ca="1">IFERROR(__xludf.DUMMYFUNCTION("""COMPUTED_VALUE"""),34)</f>
        <v>34</v>
      </c>
      <c r="I72" s="120" t="str">
        <f ca="1">IFERROR(__xludf.DUMMYFUNCTION("""COMPUTED_VALUE"""),"DEUTSCH DTO4-2P (CONNECTOR INCLUDED)")</f>
        <v>DEUTSCH DTO4-2P (CONNECTOR INCLUDED)</v>
      </c>
      <c r="J72" s="189" t="str">
        <f ca="1">IFERROR(__xludf.DUMMYFUNCTION("""COMPUTED_VALUE"""),"")</f>
        <v/>
      </c>
      <c r="K72" s="189" t="str">
        <f ca="1">IFERROR(__xludf.DUMMYFUNCTION("""COMPUTED_VALUE"""),"")</f>
        <v/>
      </c>
      <c r="L72" s="189" t="str">
        <f ca="1">IFERROR(__xludf.DUMMYFUNCTION("""COMPUTED_VALUE"""),"")</f>
        <v/>
      </c>
      <c r="M72" s="189" t="str">
        <f ca="1">IFERROR(__xludf.DUMMYFUNCTION("""COMPUTED_VALUE"""),"")</f>
        <v/>
      </c>
      <c r="N72" s="189" t="str">
        <f ca="1">IFERROR(__xludf.DUMMYFUNCTION("""COMPUTED_VALUE"""),"")</f>
        <v/>
      </c>
      <c r="O72" s="189" t="str">
        <f ca="1">IFERROR(__xludf.DUMMYFUNCTION("""COMPUTED_VALUE"""),"")</f>
        <v/>
      </c>
      <c r="P72" s="189" t="str">
        <f ca="1">IFERROR(__xludf.DUMMYFUNCTION("""COMPUTED_VALUE"""),"")</f>
        <v/>
      </c>
      <c r="Q72" s="189" t="str">
        <f ca="1">IFERROR(__xludf.DUMMYFUNCTION("""COMPUTED_VALUE"""),"")</f>
        <v/>
      </c>
      <c r="R72" s="189" t="str">
        <f ca="1">IFERROR(__xludf.DUMMYFUNCTION("""COMPUTED_VALUE"""),"")</f>
        <v/>
      </c>
      <c r="S72" s="189" t="str">
        <f ca="1">IFERROR(__xludf.DUMMYFUNCTION("""COMPUTED_VALUE"""),"")</f>
        <v/>
      </c>
      <c r="T72" s="189" t="str">
        <f ca="1">IFERROR(__xludf.DUMMYFUNCTION("""COMPUTED_VALUE"""),"")</f>
        <v/>
      </c>
      <c r="U72" s="189" t="str">
        <f ca="1">IFERROR(__xludf.DUMMYFUNCTION("""COMPUTED_VALUE"""),"")</f>
        <v/>
      </c>
      <c r="V72" s="189" t="str">
        <f ca="1">IFERROR(__xludf.DUMMYFUNCTION("""COMPUTED_VALUE"""),"")</f>
        <v/>
      </c>
      <c r="W72" s="189" t="str">
        <f ca="1">IFERROR(__xludf.DUMMYFUNCTION("""COMPUTED_VALUE"""),"")</f>
        <v/>
      </c>
      <c r="X72" s="189" t="str">
        <f ca="1">IFERROR(__xludf.DUMMYFUNCTION("""COMPUTED_VALUE"""),"")</f>
        <v/>
      </c>
      <c r="Y72" s="189" t="str">
        <f ca="1">IFERROR(__xludf.DUMMYFUNCTION("""COMPUTED_VALUE"""),"")</f>
        <v/>
      </c>
      <c r="Z72" s="189"/>
    </row>
    <row r="73" spans="1:26" ht="12.75">
      <c r="A73" s="189" t="str">
        <f ca="1">IFERROR(__xludf.DUMMYFUNCTION("""COMPUTED_VALUE"""),"")</f>
        <v/>
      </c>
      <c r="B73" s="189" t="str">
        <f ca="1">IFERROR(__xludf.DUMMYFUNCTION("""COMPUTED_VALUE"""),"1069-06-01 ")</f>
        <v xml:space="preserve">1069-06-01 </v>
      </c>
      <c r="C73" s="189" t="str">
        <f ca="1">IFERROR(__xludf.DUMMYFUNCTION("""COMPUTED_VALUE"""),"HOLD DOWN 4 MANIFOLD")</f>
        <v>HOLD DOWN 4 MANIFOLD</v>
      </c>
      <c r="D73" s="189" t="str">
        <f ca="1">IFERROR(__xludf.DUMMYFUNCTION("""COMPUTED_VALUE"""),"")</f>
        <v/>
      </c>
      <c r="E73" s="189" t="str">
        <f ca="1">IFERROR(__xludf.DUMMYFUNCTION("""COMPUTED_VALUE"""),"")</f>
        <v/>
      </c>
      <c r="F73" s="189" t="str">
        <f ca="1">IFERROR(__xludf.DUMMYFUNCTION("""COMPUTED_VALUE"""),"")</f>
        <v/>
      </c>
      <c r="G73" s="189" t="str">
        <f ca="1">IFERROR(__xludf.DUMMYFUNCTION("""COMPUTED_VALUE"""),"")</f>
        <v/>
      </c>
      <c r="H73" s="189" t="str">
        <f ca="1">IFERROR(__xludf.DUMMYFUNCTION("""COMPUTED_VALUE"""),"")</f>
        <v/>
      </c>
      <c r="I73" s="120" t="str">
        <f ca="1">IFERROR(__xludf.DUMMYFUNCTION("""COMPUTED_VALUE"""),"")</f>
        <v/>
      </c>
      <c r="J73" s="189" t="str">
        <f ca="1">IFERROR(__xludf.DUMMYFUNCTION("""COMPUTED_VALUE"""),"")</f>
        <v/>
      </c>
      <c r="K73" s="189" t="str">
        <f ca="1">IFERROR(__xludf.DUMMYFUNCTION("""COMPUTED_VALUE"""),"")</f>
        <v/>
      </c>
      <c r="L73" s="189" t="str">
        <f ca="1">IFERROR(__xludf.DUMMYFUNCTION("""COMPUTED_VALUE"""),"")</f>
        <v/>
      </c>
      <c r="M73" s="189" t="str">
        <f ca="1">IFERROR(__xludf.DUMMYFUNCTION("""COMPUTED_VALUE"""),"")</f>
        <v/>
      </c>
      <c r="N73" s="189" t="str">
        <f ca="1">IFERROR(__xludf.DUMMYFUNCTION("""COMPUTED_VALUE"""),"")</f>
        <v/>
      </c>
      <c r="O73" s="189" t="str">
        <f ca="1">IFERROR(__xludf.DUMMYFUNCTION("""COMPUTED_VALUE"""),"")</f>
        <v/>
      </c>
      <c r="P73" s="189" t="str">
        <f ca="1">IFERROR(__xludf.DUMMYFUNCTION("""COMPUTED_VALUE"""),"")</f>
        <v/>
      </c>
      <c r="Q73" s="189" t="str">
        <f ca="1">IFERROR(__xludf.DUMMYFUNCTION("""COMPUTED_VALUE"""),"")</f>
        <v/>
      </c>
      <c r="R73" s="189" t="str">
        <f ca="1">IFERROR(__xludf.DUMMYFUNCTION("""COMPUTED_VALUE"""),"")</f>
        <v/>
      </c>
      <c r="S73" s="189" t="str">
        <f ca="1">IFERROR(__xludf.DUMMYFUNCTION("""COMPUTED_VALUE"""),"")</f>
        <v/>
      </c>
      <c r="T73" s="189" t="str">
        <f ca="1">IFERROR(__xludf.DUMMYFUNCTION("""COMPUTED_VALUE"""),"")</f>
        <v/>
      </c>
      <c r="U73" s="189" t="str">
        <f ca="1">IFERROR(__xludf.DUMMYFUNCTION("""COMPUTED_VALUE"""),"")</f>
        <v/>
      </c>
      <c r="V73" s="189" t="str">
        <f ca="1">IFERROR(__xludf.DUMMYFUNCTION("""COMPUTED_VALUE"""),"")</f>
        <v/>
      </c>
      <c r="W73" s="189" t="str">
        <f ca="1">IFERROR(__xludf.DUMMYFUNCTION("""COMPUTED_VALUE"""),"")</f>
        <v/>
      </c>
      <c r="X73" s="189" t="str">
        <f ca="1">IFERROR(__xludf.DUMMYFUNCTION("""COMPUTED_VALUE"""),"")</f>
        <v/>
      </c>
      <c r="Y73" s="189" t="str">
        <f ca="1">IFERROR(__xludf.DUMMYFUNCTION("""COMPUTED_VALUE"""),"")</f>
        <v/>
      </c>
      <c r="Z73" s="189"/>
    </row>
    <row r="74" spans="1:26" ht="12.75">
      <c r="A74" s="189" t="str">
        <f ca="1">IFERROR(__xludf.DUMMYFUNCTION("""COMPUTED_VALUE"""),"PTA-4")</f>
        <v>PTA-4</v>
      </c>
      <c r="B74" s="189" t="str">
        <f ca="1">IFERROR(__xludf.DUMMYFUNCTION("""COMPUTED_VALUE"""),"PRESSURE TRANSDUCER (0-400 BAR)")</f>
        <v>PRESSURE TRANSDUCER (0-400 BAR)</v>
      </c>
      <c r="C74" s="189" t="str">
        <f ca="1">IFERROR(__xludf.DUMMYFUNCTION("""COMPUTED_VALUE"""),"HOLD DOWN CYLINDER 4 FRONT END PRESSURE SENSOR")</f>
        <v>HOLD DOWN CYLINDER 4 FRONT END PRESSURE SENSOR</v>
      </c>
      <c r="D74" s="189" t="str">
        <f ca="1">IFERROR(__xludf.DUMMYFUNCTION("""COMPUTED_VALUE"""),"24VDC")</f>
        <v>24VDC</v>
      </c>
      <c r="E74" s="189" t="str">
        <f ca="1">IFERROR(__xludf.DUMMYFUNCTION("""COMPUTED_VALUE"""),"4..20mA")</f>
        <v>4..20mA</v>
      </c>
      <c r="F74" s="189" t="str">
        <f ca="1">IFERROR(__xludf.DUMMYFUNCTION("""COMPUTED_VALUE"""),"NA")</f>
        <v>NA</v>
      </c>
      <c r="G74" s="189" t="str">
        <f ca="1">IFERROR(__xludf.DUMMYFUNCTION("""COMPUTED_VALUE"""),"PT5400")</f>
        <v>PT5400</v>
      </c>
      <c r="H74" s="189">
        <f ca="1">IFERROR(__xludf.DUMMYFUNCTION("""COMPUTED_VALUE"""),24)</f>
        <v>24</v>
      </c>
      <c r="I74" s="120" t="str">
        <f ca="1">IFERROR(__xludf.DUMMYFUNCTION("""COMPUTED_VALUE"""),"M12")</f>
        <v>M12</v>
      </c>
      <c r="J74" s="189" t="str">
        <f ca="1">IFERROR(__xludf.DUMMYFUNCTION("""COMPUTED_VALUE"""),"")</f>
        <v/>
      </c>
      <c r="K74" s="189" t="str">
        <f ca="1">IFERROR(__xludf.DUMMYFUNCTION("""COMPUTED_VALUE"""),"")</f>
        <v/>
      </c>
      <c r="L74" s="189" t="str">
        <f ca="1">IFERROR(__xludf.DUMMYFUNCTION("""COMPUTED_VALUE"""),"")</f>
        <v/>
      </c>
      <c r="M74" s="189" t="str">
        <f ca="1">IFERROR(__xludf.DUMMYFUNCTION("""COMPUTED_VALUE"""),"")</f>
        <v/>
      </c>
      <c r="N74" s="189" t="str">
        <f ca="1">IFERROR(__xludf.DUMMYFUNCTION("""COMPUTED_VALUE"""),"")</f>
        <v/>
      </c>
      <c r="O74" s="189" t="str">
        <f ca="1">IFERROR(__xludf.DUMMYFUNCTION("""COMPUTED_VALUE"""),"")</f>
        <v/>
      </c>
      <c r="P74" s="189" t="str">
        <f ca="1">IFERROR(__xludf.DUMMYFUNCTION("""COMPUTED_VALUE"""),"")</f>
        <v/>
      </c>
      <c r="Q74" s="189" t="str">
        <f ca="1">IFERROR(__xludf.DUMMYFUNCTION("""COMPUTED_VALUE"""),"")</f>
        <v/>
      </c>
      <c r="R74" s="189" t="str">
        <f ca="1">IFERROR(__xludf.DUMMYFUNCTION("""COMPUTED_VALUE"""),"")</f>
        <v/>
      </c>
      <c r="S74" s="189" t="str">
        <f ca="1">IFERROR(__xludf.DUMMYFUNCTION("""COMPUTED_VALUE"""),"")</f>
        <v/>
      </c>
      <c r="T74" s="189" t="str">
        <f ca="1">IFERROR(__xludf.DUMMYFUNCTION("""COMPUTED_VALUE"""),"")</f>
        <v/>
      </c>
      <c r="U74" s="189" t="str">
        <f ca="1">IFERROR(__xludf.DUMMYFUNCTION("""COMPUTED_VALUE"""),"")</f>
        <v/>
      </c>
      <c r="V74" s="189" t="str">
        <f ca="1">IFERROR(__xludf.DUMMYFUNCTION("""COMPUTED_VALUE"""),"")</f>
        <v/>
      </c>
      <c r="W74" s="189" t="str">
        <f ca="1">IFERROR(__xludf.DUMMYFUNCTION("""COMPUTED_VALUE"""),"")</f>
        <v/>
      </c>
      <c r="X74" s="189" t="str">
        <f ca="1">IFERROR(__xludf.DUMMYFUNCTION("""COMPUTED_VALUE"""),"")</f>
        <v/>
      </c>
      <c r="Y74" s="189" t="str">
        <f ca="1">IFERROR(__xludf.DUMMYFUNCTION("""COMPUTED_VALUE"""),"")</f>
        <v/>
      </c>
      <c r="Z74" s="189"/>
    </row>
    <row r="75" spans="1:26" ht="12.75">
      <c r="A75" s="189" t="str">
        <f ca="1">IFERROR(__xludf.DUMMYFUNCTION("""COMPUTED_VALUE"""),"PTB-4")</f>
        <v>PTB-4</v>
      </c>
      <c r="B75" s="189" t="str">
        <f ca="1">IFERROR(__xludf.DUMMYFUNCTION("""COMPUTED_VALUE"""),"PRESSURE TRANSDUCER (0-400 BAR)")</f>
        <v>PRESSURE TRANSDUCER (0-400 BAR)</v>
      </c>
      <c r="C75" s="189" t="str">
        <f ca="1">IFERROR(__xludf.DUMMYFUNCTION("""COMPUTED_VALUE"""),"HOLD DOWN CYLINDER 4 BACK END PRESSURE SENSOR")</f>
        <v>HOLD DOWN CYLINDER 4 BACK END PRESSURE SENSOR</v>
      </c>
      <c r="D75" s="189" t="str">
        <f ca="1">IFERROR(__xludf.DUMMYFUNCTION("""COMPUTED_VALUE"""),"24VDC")</f>
        <v>24VDC</v>
      </c>
      <c r="E75" s="189" t="str">
        <f ca="1">IFERROR(__xludf.DUMMYFUNCTION("""COMPUTED_VALUE"""),"4..20mA")</f>
        <v>4..20mA</v>
      </c>
      <c r="F75" s="189" t="str">
        <f ca="1">IFERROR(__xludf.DUMMYFUNCTION("""COMPUTED_VALUE"""),"NA")</f>
        <v>NA</v>
      </c>
      <c r="G75" s="189" t="str">
        <f ca="1">IFERROR(__xludf.DUMMYFUNCTION("""COMPUTED_VALUE"""),"PT5400")</f>
        <v>PT5400</v>
      </c>
      <c r="H75" s="189">
        <f ca="1">IFERROR(__xludf.DUMMYFUNCTION("""COMPUTED_VALUE"""),24)</f>
        <v>24</v>
      </c>
      <c r="I75" s="120" t="str">
        <f ca="1">IFERROR(__xludf.DUMMYFUNCTION("""COMPUTED_VALUE"""),"M12")</f>
        <v>M12</v>
      </c>
      <c r="J75" s="189" t="str">
        <f ca="1">IFERROR(__xludf.DUMMYFUNCTION("""COMPUTED_VALUE"""),"")</f>
        <v/>
      </c>
      <c r="K75" s="189" t="str">
        <f ca="1">IFERROR(__xludf.DUMMYFUNCTION("""COMPUTED_VALUE"""),"")</f>
        <v/>
      </c>
      <c r="L75" s="189" t="str">
        <f ca="1">IFERROR(__xludf.DUMMYFUNCTION("""COMPUTED_VALUE"""),"")</f>
        <v/>
      </c>
      <c r="M75" s="189" t="str">
        <f ca="1">IFERROR(__xludf.DUMMYFUNCTION("""COMPUTED_VALUE"""),"")</f>
        <v/>
      </c>
      <c r="N75" s="189" t="str">
        <f ca="1">IFERROR(__xludf.DUMMYFUNCTION("""COMPUTED_VALUE"""),"")</f>
        <v/>
      </c>
      <c r="O75" s="189" t="str">
        <f ca="1">IFERROR(__xludf.DUMMYFUNCTION("""COMPUTED_VALUE"""),"")</f>
        <v/>
      </c>
      <c r="P75" s="189" t="str">
        <f ca="1">IFERROR(__xludf.DUMMYFUNCTION("""COMPUTED_VALUE"""),"")</f>
        <v/>
      </c>
      <c r="Q75" s="189" t="str">
        <f ca="1">IFERROR(__xludf.DUMMYFUNCTION("""COMPUTED_VALUE"""),"")</f>
        <v/>
      </c>
      <c r="R75" s="189" t="str">
        <f ca="1">IFERROR(__xludf.DUMMYFUNCTION("""COMPUTED_VALUE"""),"")</f>
        <v/>
      </c>
      <c r="S75" s="189" t="str">
        <f ca="1">IFERROR(__xludf.DUMMYFUNCTION("""COMPUTED_VALUE"""),"")</f>
        <v/>
      </c>
      <c r="T75" s="189" t="str">
        <f ca="1">IFERROR(__xludf.DUMMYFUNCTION("""COMPUTED_VALUE"""),"")</f>
        <v/>
      </c>
      <c r="U75" s="189" t="str">
        <f ca="1">IFERROR(__xludf.DUMMYFUNCTION("""COMPUTED_VALUE"""),"")</f>
        <v/>
      </c>
      <c r="V75" s="189" t="str">
        <f ca="1">IFERROR(__xludf.DUMMYFUNCTION("""COMPUTED_VALUE"""),"")</f>
        <v/>
      </c>
      <c r="W75" s="189" t="str">
        <f ca="1">IFERROR(__xludf.DUMMYFUNCTION("""COMPUTED_VALUE"""),"")</f>
        <v/>
      </c>
      <c r="X75" s="189" t="str">
        <f ca="1">IFERROR(__xludf.DUMMYFUNCTION("""COMPUTED_VALUE"""),"")</f>
        <v/>
      </c>
      <c r="Y75" s="189" t="str">
        <f ca="1">IFERROR(__xludf.DUMMYFUNCTION("""COMPUTED_VALUE"""),"")</f>
        <v/>
      </c>
      <c r="Z75" s="189"/>
    </row>
    <row r="76" spans="1:26" ht="12.75">
      <c r="A76" s="189" t="str">
        <f ca="1">IFERROR(__xludf.DUMMYFUNCTION("""COMPUTED_VALUE"""),"PTAC-4")</f>
        <v>PTAC-4</v>
      </c>
      <c r="B76" s="189" t="str">
        <f ca="1">IFERROR(__xludf.DUMMYFUNCTION("""COMPUTED_VALUE"""),"PRESSURE TRANSDUCER (0-400 BAR)")</f>
        <v>PRESSURE TRANSDUCER (0-400 BAR)</v>
      </c>
      <c r="C76" s="189" t="str">
        <f ca="1">IFERROR(__xludf.DUMMYFUNCTION("""COMPUTED_VALUE"""),"HOLD DOWN ACCUMULATOR 4 GAS PRESSURE SENSOR")</f>
        <v>HOLD DOWN ACCUMULATOR 4 GAS PRESSURE SENSOR</v>
      </c>
      <c r="D76" s="189" t="str">
        <f ca="1">IFERROR(__xludf.DUMMYFUNCTION("""COMPUTED_VALUE"""),"24VDC")</f>
        <v>24VDC</v>
      </c>
      <c r="E76" s="189" t="str">
        <f ca="1">IFERROR(__xludf.DUMMYFUNCTION("""COMPUTED_VALUE"""),"4..20mA")</f>
        <v>4..20mA</v>
      </c>
      <c r="F76" s="189" t="str">
        <f ca="1">IFERROR(__xludf.DUMMYFUNCTION("""COMPUTED_VALUE"""),"NA")</f>
        <v>NA</v>
      </c>
      <c r="G76" s="189" t="str">
        <f ca="1">IFERROR(__xludf.DUMMYFUNCTION("""COMPUTED_VALUE"""),"PT5400")</f>
        <v>PT5400</v>
      </c>
      <c r="H76" s="189">
        <f ca="1">IFERROR(__xludf.DUMMYFUNCTION("""COMPUTED_VALUE"""),24)</f>
        <v>24</v>
      </c>
      <c r="I76" s="120" t="str">
        <f ca="1">IFERROR(__xludf.DUMMYFUNCTION("""COMPUTED_VALUE"""),"M12")</f>
        <v>M12</v>
      </c>
      <c r="J76" s="189" t="str">
        <f ca="1">IFERROR(__xludf.DUMMYFUNCTION("""COMPUTED_VALUE"""),"")</f>
        <v/>
      </c>
      <c r="K76" s="189" t="str">
        <f ca="1">IFERROR(__xludf.DUMMYFUNCTION("""COMPUTED_VALUE"""),"")</f>
        <v/>
      </c>
      <c r="L76" s="189" t="str">
        <f ca="1">IFERROR(__xludf.DUMMYFUNCTION("""COMPUTED_VALUE"""),"")</f>
        <v/>
      </c>
      <c r="M76" s="189" t="str">
        <f ca="1">IFERROR(__xludf.DUMMYFUNCTION("""COMPUTED_VALUE"""),"")</f>
        <v/>
      </c>
      <c r="N76" s="189" t="str">
        <f ca="1">IFERROR(__xludf.DUMMYFUNCTION("""COMPUTED_VALUE"""),"")</f>
        <v/>
      </c>
      <c r="O76" s="189" t="str">
        <f ca="1">IFERROR(__xludf.DUMMYFUNCTION("""COMPUTED_VALUE"""),"")</f>
        <v/>
      </c>
      <c r="P76" s="189" t="str">
        <f ca="1">IFERROR(__xludf.DUMMYFUNCTION("""COMPUTED_VALUE"""),"")</f>
        <v/>
      </c>
      <c r="Q76" s="189" t="str">
        <f ca="1">IFERROR(__xludf.DUMMYFUNCTION("""COMPUTED_VALUE"""),"")</f>
        <v/>
      </c>
      <c r="R76" s="189" t="str">
        <f ca="1">IFERROR(__xludf.DUMMYFUNCTION("""COMPUTED_VALUE"""),"")</f>
        <v/>
      </c>
      <c r="S76" s="189" t="str">
        <f ca="1">IFERROR(__xludf.DUMMYFUNCTION("""COMPUTED_VALUE"""),"")</f>
        <v/>
      </c>
      <c r="T76" s="189" t="str">
        <f ca="1">IFERROR(__xludf.DUMMYFUNCTION("""COMPUTED_VALUE"""),"")</f>
        <v/>
      </c>
      <c r="U76" s="189" t="str">
        <f ca="1">IFERROR(__xludf.DUMMYFUNCTION("""COMPUTED_VALUE"""),"")</f>
        <v/>
      </c>
      <c r="V76" s="189" t="str">
        <f ca="1">IFERROR(__xludf.DUMMYFUNCTION("""COMPUTED_VALUE"""),"")</f>
        <v/>
      </c>
      <c r="W76" s="189" t="str">
        <f ca="1">IFERROR(__xludf.DUMMYFUNCTION("""COMPUTED_VALUE"""),"")</f>
        <v/>
      </c>
      <c r="X76" s="189" t="str">
        <f ca="1">IFERROR(__xludf.DUMMYFUNCTION("""COMPUTED_VALUE"""),"")</f>
        <v/>
      </c>
      <c r="Y76" s="189" t="str">
        <f ca="1">IFERROR(__xludf.DUMMYFUNCTION("""COMPUTED_VALUE"""),"")</f>
        <v/>
      </c>
      <c r="Z76" s="189"/>
    </row>
    <row r="77" spans="1:26" ht="12.75">
      <c r="A77" s="189" t="str">
        <f ca="1">IFERROR(__xludf.DUMMYFUNCTION("""COMPUTED_VALUE"""),"SWAC-4-O")</f>
        <v>SWAC-4-O</v>
      </c>
      <c r="B77" s="189" t="str">
        <f ca="1">IFERROR(__xludf.DUMMYFUNCTION("""COMPUTED_VALUE"""),"LIMIT SWITCH")</f>
        <v>LIMIT SWITCH</v>
      </c>
      <c r="C77" s="189" t="str">
        <f ca="1">IFERROR(__xludf.DUMMYFUNCTION("""COMPUTED_VALUE"""),"HD ACC 4 ISOLATION BALL VALVE OPEN")</f>
        <v>HD ACC 4 ISOLATION BALL VALVE OPEN</v>
      </c>
      <c r="D77" s="189" t="str">
        <f ca="1">IFERROR(__xludf.DUMMYFUNCTION("""COMPUTED_VALUE"""),"")</f>
        <v/>
      </c>
      <c r="E77" s="189" t="str">
        <f ca="1">IFERROR(__xludf.DUMMYFUNCTION("""COMPUTED_VALUE"""),"")</f>
        <v/>
      </c>
      <c r="F77" s="189" t="str">
        <f ca="1">IFERROR(__xludf.DUMMYFUNCTION("""COMPUTED_VALUE"""),"")</f>
        <v/>
      </c>
      <c r="G77" s="189" t="str">
        <f ca="1">IFERROR(__xludf.DUMMYFUNCTION("""COMPUTED_VALUE"""),"")</f>
        <v/>
      </c>
      <c r="H77" s="189" t="str">
        <f ca="1">IFERROR(__xludf.DUMMYFUNCTION("""COMPUTED_VALUE"""),"")</f>
        <v/>
      </c>
      <c r="I77" s="120" t="str">
        <f ca="1">IFERROR(__xludf.DUMMYFUNCTION("""COMPUTED_VALUE"""),"WIRING TO TERMINAL BOX")</f>
        <v>WIRING TO TERMINAL BOX</v>
      </c>
      <c r="J77" s="189" t="str">
        <f ca="1">IFERROR(__xludf.DUMMYFUNCTION("""COMPUTED_VALUE"""),"")</f>
        <v/>
      </c>
      <c r="K77" s="189" t="str">
        <f ca="1">IFERROR(__xludf.DUMMYFUNCTION("""COMPUTED_VALUE"""),"")</f>
        <v/>
      </c>
      <c r="L77" s="189" t="str">
        <f ca="1">IFERROR(__xludf.DUMMYFUNCTION("""COMPUTED_VALUE"""),"")</f>
        <v/>
      </c>
      <c r="M77" s="189" t="str">
        <f ca="1">IFERROR(__xludf.DUMMYFUNCTION("""COMPUTED_VALUE"""),"")</f>
        <v/>
      </c>
      <c r="N77" s="189" t="str">
        <f ca="1">IFERROR(__xludf.DUMMYFUNCTION("""COMPUTED_VALUE"""),"")</f>
        <v/>
      </c>
      <c r="O77" s="189" t="str">
        <f ca="1">IFERROR(__xludf.DUMMYFUNCTION("""COMPUTED_VALUE"""),"")</f>
        <v/>
      </c>
      <c r="P77" s="189" t="str">
        <f ca="1">IFERROR(__xludf.DUMMYFUNCTION("""COMPUTED_VALUE"""),"")</f>
        <v/>
      </c>
      <c r="Q77" s="189" t="str">
        <f ca="1">IFERROR(__xludf.DUMMYFUNCTION("""COMPUTED_VALUE"""),"")</f>
        <v/>
      </c>
      <c r="R77" s="189" t="str">
        <f ca="1">IFERROR(__xludf.DUMMYFUNCTION("""COMPUTED_VALUE"""),"")</f>
        <v/>
      </c>
      <c r="S77" s="189" t="str">
        <f ca="1">IFERROR(__xludf.DUMMYFUNCTION("""COMPUTED_VALUE"""),"")</f>
        <v/>
      </c>
      <c r="T77" s="189" t="str">
        <f ca="1">IFERROR(__xludf.DUMMYFUNCTION("""COMPUTED_VALUE"""),"")</f>
        <v/>
      </c>
      <c r="U77" s="189" t="str">
        <f ca="1">IFERROR(__xludf.DUMMYFUNCTION("""COMPUTED_VALUE"""),"")</f>
        <v/>
      </c>
      <c r="V77" s="189" t="str">
        <f ca="1">IFERROR(__xludf.DUMMYFUNCTION("""COMPUTED_VALUE"""),"")</f>
        <v/>
      </c>
      <c r="W77" s="189" t="str">
        <f ca="1">IFERROR(__xludf.DUMMYFUNCTION("""COMPUTED_VALUE"""),"")</f>
        <v/>
      </c>
      <c r="X77" s="189" t="str">
        <f ca="1">IFERROR(__xludf.DUMMYFUNCTION("""COMPUTED_VALUE"""),"")</f>
        <v/>
      </c>
      <c r="Y77" s="189" t="str">
        <f ca="1">IFERROR(__xludf.DUMMYFUNCTION("""COMPUTED_VALUE"""),"")</f>
        <v/>
      </c>
      <c r="Z77" s="189"/>
    </row>
    <row r="78" spans="1:26" ht="12.75">
      <c r="A78" s="189" t="str">
        <f ca="1">IFERROR(__xludf.DUMMYFUNCTION("""COMPUTED_VALUE"""),"SWAC-4-C")</f>
        <v>SWAC-4-C</v>
      </c>
      <c r="B78" s="189" t="str">
        <f ca="1">IFERROR(__xludf.DUMMYFUNCTION("""COMPUTED_VALUE"""),"LIMIT SWITCH")</f>
        <v>LIMIT SWITCH</v>
      </c>
      <c r="C78" s="189" t="str">
        <f ca="1">IFERROR(__xludf.DUMMYFUNCTION("""COMPUTED_VALUE"""),"HD ACC 4 ISOLATION BALL VALVE CLOSED")</f>
        <v>HD ACC 4 ISOLATION BALL VALVE CLOSED</v>
      </c>
      <c r="D78" s="189" t="str">
        <f ca="1">IFERROR(__xludf.DUMMYFUNCTION("""COMPUTED_VALUE"""),"")</f>
        <v/>
      </c>
      <c r="E78" s="189" t="str">
        <f ca="1">IFERROR(__xludf.DUMMYFUNCTION("""COMPUTED_VALUE"""),"")</f>
        <v/>
      </c>
      <c r="F78" s="189" t="str">
        <f ca="1">IFERROR(__xludf.DUMMYFUNCTION("""COMPUTED_VALUE"""),"")</f>
        <v/>
      </c>
      <c r="G78" s="189" t="str">
        <f ca="1">IFERROR(__xludf.DUMMYFUNCTION("""COMPUTED_VALUE"""),"")</f>
        <v/>
      </c>
      <c r="H78" s="189" t="str">
        <f ca="1">IFERROR(__xludf.DUMMYFUNCTION("""COMPUTED_VALUE"""),"")</f>
        <v/>
      </c>
      <c r="I78" s="120" t="str">
        <f ca="1">IFERROR(__xludf.DUMMYFUNCTION("""COMPUTED_VALUE"""),"WIRING TO TERMINAL BOX")</f>
        <v>WIRING TO TERMINAL BOX</v>
      </c>
      <c r="J78" s="189" t="str">
        <f ca="1">IFERROR(__xludf.DUMMYFUNCTION("""COMPUTED_VALUE"""),"")</f>
        <v/>
      </c>
      <c r="K78" s="189" t="str">
        <f ca="1">IFERROR(__xludf.DUMMYFUNCTION("""COMPUTED_VALUE"""),"")</f>
        <v/>
      </c>
      <c r="L78" s="189" t="str">
        <f ca="1">IFERROR(__xludf.DUMMYFUNCTION("""COMPUTED_VALUE"""),"")</f>
        <v/>
      </c>
      <c r="M78" s="189" t="str">
        <f ca="1">IFERROR(__xludf.DUMMYFUNCTION("""COMPUTED_VALUE"""),"")</f>
        <v/>
      </c>
      <c r="N78" s="189" t="str">
        <f ca="1">IFERROR(__xludf.DUMMYFUNCTION("""COMPUTED_VALUE"""),"")</f>
        <v/>
      </c>
      <c r="O78" s="189" t="str">
        <f ca="1">IFERROR(__xludf.DUMMYFUNCTION("""COMPUTED_VALUE"""),"")</f>
        <v/>
      </c>
      <c r="P78" s="189" t="str">
        <f ca="1">IFERROR(__xludf.DUMMYFUNCTION("""COMPUTED_VALUE"""),"")</f>
        <v/>
      </c>
      <c r="Q78" s="189" t="str">
        <f ca="1">IFERROR(__xludf.DUMMYFUNCTION("""COMPUTED_VALUE"""),"")</f>
        <v/>
      </c>
      <c r="R78" s="189" t="str">
        <f ca="1">IFERROR(__xludf.DUMMYFUNCTION("""COMPUTED_VALUE"""),"")</f>
        <v/>
      </c>
      <c r="S78" s="189" t="str">
        <f ca="1">IFERROR(__xludf.DUMMYFUNCTION("""COMPUTED_VALUE"""),"")</f>
        <v/>
      </c>
      <c r="T78" s="189" t="str">
        <f ca="1">IFERROR(__xludf.DUMMYFUNCTION("""COMPUTED_VALUE"""),"")</f>
        <v/>
      </c>
      <c r="U78" s="189" t="str">
        <f ca="1">IFERROR(__xludf.DUMMYFUNCTION("""COMPUTED_VALUE"""),"")</f>
        <v/>
      </c>
      <c r="V78" s="189" t="str">
        <f ca="1">IFERROR(__xludf.DUMMYFUNCTION("""COMPUTED_VALUE"""),"")</f>
        <v/>
      </c>
      <c r="W78" s="189" t="str">
        <f ca="1">IFERROR(__xludf.DUMMYFUNCTION("""COMPUTED_VALUE"""),"")</f>
        <v/>
      </c>
      <c r="X78" s="189" t="str">
        <f ca="1">IFERROR(__xludf.DUMMYFUNCTION("""COMPUTED_VALUE"""),"")</f>
        <v/>
      </c>
      <c r="Y78" s="189" t="str">
        <f ca="1">IFERROR(__xludf.DUMMYFUNCTION("""COMPUTED_VALUE"""),"")</f>
        <v/>
      </c>
      <c r="Z78" s="189"/>
    </row>
    <row r="79" spans="1:26" ht="12.75">
      <c r="A79" s="189" t="str">
        <f ca="1">IFERROR(__xludf.DUMMYFUNCTION("""COMPUTED_VALUE"""),"S23")</f>
        <v>S23</v>
      </c>
      <c r="B79" s="189" t="str">
        <f ca="1">IFERROR(__xludf.DUMMYFUNCTION("""COMPUTED_VALUE"""),"ON/OFF SOLENOID VALVE")</f>
        <v>ON/OFF SOLENOID VALVE</v>
      </c>
      <c r="C79" s="189" t="str">
        <f ca="1">IFERROR(__xludf.DUMMYFUNCTION("""COMPUTED_VALUE"""),"HD CYLINDER 4 FAST RETRACT PILOT VALVE 1")</f>
        <v>HD CYLINDER 4 FAST RETRACT PILOT VALVE 1</v>
      </c>
      <c r="D79" s="189" t="str">
        <f ca="1">IFERROR(__xludf.DUMMYFUNCTION("""COMPUTED_VALUE"""),"24VDC 38W")</f>
        <v>24VDC 38W</v>
      </c>
      <c r="E79" s="189" t="str">
        <f ca="1">IFERROR(__xludf.DUMMYFUNCTION("""COMPUTED_VALUE"""),"NA")</f>
        <v>NA</v>
      </c>
      <c r="F79" s="189" t="str">
        <f ca="1">IFERROR(__xludf.DUMMYFUNCTION("""COMPUTED_VALUE"""),"NA")</f>
        <v>NA</v>
      </c>
      <c r="G79" s="189" t="str">
        <f ca="1">IFERROR(__xludf.DUMMYFUNCTION("""COMPUTED_VALUE"""),"6042893-014")</f>
        <v>6042893-014</v>
      </c>
      <c r="H79" s="189">
        <f ca="1">IFERROR(__xludf.DUMMYFUNCTION("""COMPUTED_VALUE"""),50)</f>
        <v>50</v>
      </c>
      <c r="I79" s="120" t="str">
        <f ca="1">IFERROR(__xludf.DUMMYFUNCTION("""COMPUTED_VALUE"""),"DEUTSCH DTO4-2P (CONNECTOR INCLUDED)")</f>
        <v>DEUTSCH DTO4-2P (CONNECTOR INCLUDED)</v>
      </c>
      <c r="J79" s="189" t="str">
        <f ca="1">IFERROR(__xludf.DUMMYFUNCTION("""COMPUTED_VALUE"""),"")</f>
        <v/>
      </c>
      <c r="K79" s="189" t="str">
        <f ca="1">IFERROR(__xludf.DUMMYFUNCTION("""COMPUTED_VALUE"""),"")</f>
        <v/>
      </c>
      <c r="L79" s="189" t="str">
        <f ca="1">IFERROR(__xludf.DUMMYFUNCTION("""COMPUTED_VALUE"""),"")</f>
        <v/>
      </c>
      <c r="M79" s="189" t="str">
        <f ca="1">IFERROR(__xludf.DUMMYFUNCTION("""COMPUTED_VALUE"""),"")</f>
        <v/>
      </c>
      <c r="N79" s="189" t="str">
        <f ca="1">IFERROR(__xludf.DUMMYFUNCTION("""COMPUTED_VALUE"""),"")</f>
        <v/>
      </c>
      <c r="O79" s="189" t="str">
        <f ca="1">IFERROR(__xludf.DUMMYFUNCTION("""COMPUTED_VALUE"""),"")</f>
        <v/>
      </c>
      <c r="P79" s="189" t="str">
        <f ca="1">IFERROR(__xludf.DUMMYFUNCTION("""COMPUTED_VALUE"""),"")</f>
        <v/>
      </c>
      <c r="Q79" s="189" t="str">
        <f ca="1">IFERROR(__xludf.DUMMYFUNCTION("""COMPUTED_VALUE"""),"")</f>
        <v/>
      </c>
      <c r="R79" s="189" t="str">
        <f ca="1">IFERROR(__xludf.DUMMYFUNCTION("""COMPUTED_VALUE"""),"")</f>
        <v/>
      </c>
      <c r="S79" s="189" t="str">
        <f ca="1">IFERROR(__xludf.DUMMYFUNCTION("""COMPUTED_VALUE"""),"")</f>
        <v/>
      </c>
      <c r="T79" s="189" t="str">
        <f ca="1">IFERROR(__xludf.DUMMYFUNCTION("""COMPUTED_VALUE"""),"")</f>
        <v/>
      </c>
      <c r="U79" s="189" t="str">
        <f ca="1">IFERROR(__xludf.DUMMYFUNCTION("""COMPUTED_VALUE"""),"")</f>
        <v/>
      </c>
      <c r="V79" s="189" t="str">
        <f ca="1">IFERROR(__xludf.DUMMYFUNCTION("""COMPUTED_VALUE"""),"")</f>
        <v/>
      </c>
      <c r="W79" s="189" t="str">
        <f ca="1">IFERROR(__xludf.DUMMYFUNCTION("""COMPUTED_VALUE"""),"")</f>
        <v/>
      </c>
      <c r="X79" s="189" t="str">
        <f ca="1">IFERROR(__xludf.DUMMYFUNCTION("""COMPUTED_VALUE"""),"")</f>
        <v/>
      </c>
      <c r="Y79" s="189" t="str">
        <f ca="1">IFERROR(__xludf.DUMMYFUNCTION("""COMPUTED_VALUE"""),"")</f>
        <v/>
      </c>
      <c r="Z79" s="189"/>
    </row>
    <row r="80" spans="1:26" ht="12.75">
      <c r="A80" s="189" t="str">
        <f ca="1">IFERROR(__xludf.DUMMYFUNCTION("""COMPUTED_VALUE"""),"S24")</f>
        <v>S24</v>
      </c>
      <c r="B80" s="189" t="str">
        <f ca="1">IFERROR(__xludf.DUMMYFUNCTION("""COMPUTED_VALUE"""),"ON/OFF SOLENOID VALVE")</f>
        <v>ON/OFF SOLENOID VALVE</v>
      </c>
      <c r="C80" s="189" t="str">
        <f ca="1">IFERROR(__xludf.DUMMYFUNCTION("""COMPUTED_VALUE"""),"HD CYLINDER 4 FAST RETRACT PILOT VALVE 2")</f>
        <v>HD CYLINDER 4 FAST RETRACT PILOT VALVE 2</v>
      </c>
      <c r="D80" s="189" t="str">
        <f ca="1">IFERROR(__xludf.DUMMYFUNCTION("""COMPUTED_VALUE"""),"24VDC 38W")</f>
        <v>24VDC 38W</v>
      </c>
      <c r="E80" s="189" t="str">
        <f ca="1">IFERROR(__xludf.DUMMYFUNCTION("""COMPUTED_VALUE"""),"NA")</f>
        <v>NA</v>
      </c>
      <c r="F80" s="189" t="str">
        <f ca="1">IFERROR(__xludf.DUMMYFUNCTION("""COMPUTED_VALUE"""),"NA")</f>
        <v>NA</v>
      </c>
      <c r="G80" s="189" t="str">
        <f ca="1">IFERROR(__xludf.DUMMYFUNCTION("""COMPUTED_VALUE"""),"6042893-014")</f>
        <v>6042893-014</v>
      </c>
      <c r="H80" s="189">
        <f ca="1">IFERROR(__xludf.DUMMYFUNCTION("""COMPUTED_VALUE"""),50)</f>
        <v>50</v>
      </c>
      <c r="I80" s="120" t="str">
        <f ca="1">IFERROR(__xludf.DUMMYFUNCTION("""COMPUTED_VALUE"""),"DEUTSCH DTO4-2P (CONNECTOR INCLUDED)")</f>
        <v>DEUTSCH DTO4-2P (CONNECTOR INCLUDED)</v>
      </c>
      <c r="J80" s="189" t="str">
        <f ca="1">IFERROR(__xludf.DUMMYFUNCTION("""COMPUTED_VALUE"""),"")</f>
        <v/>
      </c>
      <c r="K80" s="189" t="str">
        <f ca="1">IFERROR(__xludf.DUMMYFUNCTION("""COMPUTED_VALUE"""),"")</f>
        <v/>
      </c>
      <c r="L80" s="189" t="str">
        <f ca="1">IFERROR(__xludf.DUMMYFUNCTION("""COMPUTED_VALUE"""),"")</f>
        <v/>
      </c>
      <c r="M80" s="189" t="str">
        <f ca="1">IFERROR(__xludf.DUMMYFUNCTION("""COMPUTED_VALUE"""),"")</f>
        <v/>
      </c>
      <c r="N80" s="189" t="str">
        <f ca="1">IFERROR(__xludf.DUMMYFUNCTION("""COMPUTED_VALUE"""),"")</f>
        <v/>
      </c>
      <c r="O80" s="189" t="str">
        <f ca="1">IFERROR(__xludf.DUMMYFUNCTION("""COMPUTED_VALUE"""),"")</f>
        <v/>
      </c>
      <c r="P80" s="189" t="str">
        <f ca="1">IFERROR(__xludf.DUMMYFUNCTION("""COMPUTED_VALUE"""),"")</f>
        <v/>
      </c>
      <c r="Q80" s="189" t="str">
        <f ca="1">IFERROR(__xludf.DUMMYFUNCTION("""COMPUTED_VALUE"""),"")</f>
        <v/>
      </c>
      <c r="R80" s="189" t="str">
        <f ca="1">IFERROR(__xludf.DUMMYFUNCTION("""COMPUTED_VALUE"""),"")</f>
        <v/>
      </c>
      <c r="S80" s="189" t="str">
        <f ca="1">IFERROR(__xludf.DUMMYFUNCTION("""COMPUTED_VALUE"""),"")</f>
        <v/>
      </c>
      <c r="T80" s="189" t="str">
        <f ca="1">IFERROR(__xludf.DUMMYFUNCTION("""COMPUTED_VALUE"""),"")</f>
        <v/>
      </c>
      <c r="U80" s="189" t="str">
        <f ca="1">IFERROR(__xludf.DUMMYFUNCTION("""COMPUTED_VALUE"""),"")</f>
        <v/>
      </c>
      <c r="V80" s="189" t="str">
        <f ca="1">IFERROR(__xludf.DUMMYFUNCTION("""COMPUTED_VALUE"""),"")</f>
        <v/>
      </c>
      <c r="W80" s="189" t="str">
        <f ca="1">IFERROR(__xludf.DUMMYFUNCTION("""COMPUTED_VALUE"""),"")</f>
        <v/>
      </c>
      <c r="X80" s="189" t="str">
        <f ca="1">IFERROR(__xludf.DUMMYFUNCTION("""COMPUTED_VALUE"""),"")</f>
        <v/>
      </c>
      <c r="Y80" s="189" t="str">
        <f ca="1">IFERROR(__xludf.DUMMYFUNCTION("""COMPUTED_VALUE"""),"")</f>
        <v/>
      </c>
      <c r="Z80" s="189"/>
    </row>
    <row r="81" spans="1:26" ht="12.75">
      <c r="A81" s="189" t="str">
        <f ca="1">IFERROR(__xludf.DUMMYFUNCTION("""COMPUTED_VALUE"""),"S28.1  ")</f>
        <v xml:space="preserve">S28.1  </v>
      </c>
      <c r="B81" s="189" t="str">
        <f ca="1">IFERROR(__xludf.DUMMYFUNCTION("""COMPUTED_VALUE"""),"ON/OFF SOLENOID VALVE")</f>
        <v>ON/OFF SOLENOID VALVE</v>
      </c>
      <c r="C81" s="189" t="str">
        <f ca="1">IFERROR(__xludf.DUMMYFUNCTION("""COMPUTED_VALUE"""),"HD CYLINDER 4 SLOW EXTEND")</f>
        <v>HD CYLINDER 4 SLOW EXTEND</v>
      </c>
      <c r="D81" s="189" t="str">
        <f ca="1">IFERROR(__xludf.DUMMYFUNCTION("""COMPUTED_VALUE"""),"24VDC 36W")</f>
        <v>24VDC 36W</v>
      </c>
      <c r="E81" s="121" t="str">
        <f ca="1">IFERROR(__xludf.DUMMYFUNCTION("""COMPUTED_VALUE"""),"NA ")</f>
        <v xml:space="preserve">NA </v>
      </c>
      <c r="F81" s="121" t="str">
        <f ca="1">IFERROR(__xludf.DUMMYFUNCTION("""COMPUTED_VALUE"""),"NA ")</f>
        <v xml:space="preserve">NA </v>
      </c>
      <c r="G81" s="189" t="str">
        <f ca="1">IFERROR(__xludf.DUMMYFUNCTION("""COMPUTED_VALUE"""),"02-414486")</f>
        <v>02-414486</v>
      </c>
      <c r="H81" s="189">
        <f ca="1">IFERROR(__xludf.DUMMYFUNCTION("""COMPUTED_VALUE"""),34)</f>
        <v>34</v>
      </c>
      <c r="I81" s="120" t="str">
        <f ca="1">IFERROR(__xludf.DUMMYFUNCTION("""COMPUTED_VALUE"""),"DEUTSCH DTO4-2P (CONNECTOR INCLUDED)")</f>
        <v>DEUTSCH DTO4-2P (CONNECTOR INCLUDED)</v>
      </c>
      <c r="J81" s="189" t="str">
        <f ca="1">IFERROR(__xludf.DUMMYFUNCTION("""COMPUTED_VALUE"""),"")</f>
        <v/>
      </c>
      <c r="K81" s="189" t="str">
        <f ca="1">IFERROR(__xludf.DUMMYFUNCTION("""COMPUTED_VALUE"""),"")</f>
        <v/>
      </c>
      <c r="L81" s="189" t="str">
        <f ca="1">IFERROR(__xludf.DUMMYFUNCTION("""COMPUTED_VALUE"""),"")</f>
        <v/>
      </c>
      <c r="M81" s="189" t="str">
        <f ca="1">IFERROR(__xludf.DUMMYFUNCTION("""COMPUTED_VALUE"""),"")</f>
        <v/>
      </c>
      <c r="N81" s="189" t="str">
        <f ca="1">IFERROR(__xludf.DUMMYFUNCTION("""COMPUTED_VALUE"""),"")</f>
        <v/>
      </c>
      <c r="O81" s="189" t="str">
        <f ca="1">IFERROR(__xludf.DUMMYFUNCTION("""COMPUTED_VALUE"""),"")</f>
        <v/>
      </c>
      <c r="P81" s="189" t="str">
        <f ca="1">IFERROR(__xludf.DUMMYFUNCTION("""COMPUTED_VALUE"""),"")</f>
        <v/>
      </c>
      <c r="Q81" s="189" t="str">
        <f ca="1">IFERROR(__xludf.DUMMYFUNCTION("""COMPUTED_VALUE"""),"")</f>
        <v/>
      </c>
      <c r="R81" s="189" t="str">
        <f ca="1">IFERROR(__xludf.DUMMYFUNCTION("""COMPUTED_VALUE"""),"")</f>
        <v/>
      </c>
      <c r="S81" s="189" t="str">
        <f ca="1">IFERROR(__xludf.DUMMYFUNCTION("""COMPUTED_VALUE"""),"")</f>
        <v/>
      </c>
      <c r="T81" s="189" t="str">
        <f ca="1">IFERROR(__xludf.DUMMYFUNCTION("""COMPUTED_VALUE"""),"")</f>
        <v/>
      </c>
      <c r="U81" s="189" t="str">
        <f ca="1">IFERROR(__xludf.DUMMYFUNCTION("""COMPUTED_VALUE"""),"")</f>
        <v/>
      </c>
      <c r="V81" s="189" t="str">
        <f ca="1">IFERROR(__xludf.DUMMYFUNCTION("""COMPUTED_VALUE"""),"")</f>
        <v/>
      </c>
      <c r="W81" s="189" t="str">
        <f ca="1">IFERROR(__xludf.DUMMYFUNCTION("""COMPUTED_VALUE"""),"")</f>
        <v/>
      </c>
      <c r="X81" s="189" t="str">
        <f ca="1">IFERROR(__xludf.DUMMYFUNCTION("""COMPUTED_VALUE"""),"")</f>
        <v/>
      </c>
      <c r="Y81" s="189" t="str">
        <f ca="1">IFERROR(__xludf.DUMMYFUNCTION("""COMPUTED_VALUE"""),"")</f>
        <v/>
      </c>
      <c r="Z81" s="189"/>
    </row>
    <row r="82" spans="1:26" ht="12.75">
      <c r="A82" s="189" t="str">
        <f ca="1">IFERROR(__xludf.DUMMYFUNCTION("""COMPUTED_VALUE"""),"S28.2")</f>
        <v>S28.2</v>
      </c>
      <c r="B82" s="189" t="str">
        <f ca="1">IFERROR(__xludf.DUMMYFUNCTION("""COMPUTED_VALUE"""),"ON/OFF SOLENOID VALVE")</f>
        <v>ON/OFF SOLENOID VALVE</v>
      </c>
      <c r="C82" s="189" t="str">
        <f ca="1">IFERROR(__xludf.DUMMYFUNCTION("""COMPUTED_VALUE"""),"HD CYLINDER 4 SLOW RETRACT")</f>
        <v>HD CYLINDER 4 SLOW RETRACT</v>
      </c>
      <c r="D82" s="189" t="str">
        <f ca="1">IFERROR(__xludf.DUMMYFUNCTION("""COMPUTED_VALUE"""),"24VDC 36W")</f>
        <v>24VDC 36W</v>
      </c>
      <c r="E82" s="121" t="str">
        <f ca="1">IFERROR(__xludf.DUMMYFUNCTION("""COMPUTED_VALUE"""),"NA ")</f>
        <v xml:space="preserve">NA </v>
      </c>
      <c r="F82" s="121" t="str">
        <f ca="1">IFERROR(__xludf.DUMMYFUNCTION("""COMPUTED_VALUE"""),"NA ")</f>
        <v xml:space="preserve">NA </v>
      </c>
      <c r="G82" s="189" t="str">
        <f ca="1">IFERROR(__xludf.DUMMYFUNCTION("""COMPUTED_VALUE"""),"02-414486")</f>
        <v>02-414486</v>
      </c>
      <c r="H82" s="189">
        <f ca="1">IFERROR(__xludf.DUMMYFUNCTION("""COMPUTED_VALUE"""),34)</f>
        <v>34</v>
      </c>
      <c r="I82" s="120" t="str">
        <f ca="1">IFERROR(__xludf.DUMMYFUNCTION("""COMPUTED_VALUE"""),"DEUTSCH DTO4-2P (CONNECTOR INCLUDED)")</f>
        <v>DEUTSCH DTO4-2P (CONNECTOR INCLUDED)</v>
      </c>
      <c r="J82" s="189" t="str">
        <f ca="1">IFERROR(__xludf.DUMMYFUNCTION("""COMPUTED_VALUE"""),"")</f>
        <v/>
      </c>
      <c r="K82" s="189" t="str">
        <f ca="1">IFERROR(__xludf.DUMMYFUNCTION("""COMPUTED_VALUE"""),"")</f>
        <v/>
      </c>
      <c r="L82" s="189" t="str">
        <f ca="1">IFERROR(__xludf.DUMMYFUNCTION("""COMPUTED_VALUE"""),"")</f>
        <v/>
      </c>
      <c r="M82" s="189" t="str">
        <f ca="1">IFERROR(__xludf.DUMMYFUNCTION("""COMPUTED_VALUE"""),"")</f>
        <v/>
      </c>
      <c r="N82" s="189" t="str">
        <f ca="1">IFERROR(__xludf.DUMMYFUNCTION("""COMPUTED_VALUE"""),"")</f>
        <v/>
      </c>
      <c r="O82" s="189" t="str">
        <f ca="1">IFERROR(__xludf.DUMMYFUNCTION("""COMPUTED_VALUE"""),"")</f>
        <v/>
      </c>
      <c r="P82" s="189" t="str">
        <f ca="1">IFERROR(__xludf.DUMMYFUNCTION("""COMPUTED_VALUE"""),"")</f>
        <v/>
      </c>
      <c r="Q82" s="189" t="str">
        <f ca="1">IFERROR(__xludf.DUMMYFUNCTION("""COMPUTED_VALUE"""),"")</f>
        <v/>
      </c>
      <c r="R82" s="189" t="str">
        <f ca="1">IFERROR(__xludf.DUMMYFUNCTION("""COMPUTED_VALUE"""),"")</f>
        <v/>
      </c>
      <c r="S82" s="189" t="str">
        <f ca="1">IFERROR(__xludf.DUMMYFUNCTION("""COMPUTED_VALUE"""),"")</f>
        <v/>
      </c>
      <c r="T82" s="189" t="str">
        <f ca="1">IFERROR(__xludf.DUMMYFUNCTION("""COMPUTED_VALUE"""),"")</f>
        <v/>
      </c>
      <c r="U82" s="189" t="str">
        <f ca="1">IFERROR(__xludf.DUMMYFUNCTION("""COMPUTED_VALUE"""),"")</f>
        <v/>
      </c>
      <c r="V82" s="189" t="str">
        <f ca="1">IFERROR(__xludf.DUMMYFUNCTION("""COMPUTED_VALUE"""),"")</f>
        <v/>
      </c>
      <c r="W82" s="189" t="str">
        <f ca="1">IFERROR(__xludf.DUMMYFUNCTION("""COMPUTED_VALUE"""),"")</f>
        <v/>
      </c>
      <c r="X82" s="189" t="str">
        <f ca="1">IFERROR(__xludf.DUMMYFUNCTION("""COMPUTED_VALUE"""),"")</f>
        <v/>
      </c>
      <c r="Y82" s="189" t="str">
        <f ca="1">IFERROR(__xludf.DUMMYFUNCTION("""COMPUTED_VALUE"""),"")</f>
        <v/>
      </c>
      <c r="Z82" s="189"/>
    </row>
    <row r="83" spans="1:26" ht="12.75">
      <c r="A83" s="189" t="str">
        <f ca="1">IFERROR(__xludf.DUMMYFUNCTION("""COMPUTED_VALUE"""),"")</f>
        <v/>
      </c>
      <c r="B83" s="189" t="str">
        <f ca="1">IFERROR(__xludf.DUMMYFUNCTION("""COMPUTED_VALUE"""),"1069-07-01 ")</f>
        <v xml:space="preserve">1069-07-01 </v>
      </c>
      <c r="C83" s="189" t="str">
        <f ca="1">IFERROR(__xludf.DUMMYFUNCTION("""COMPUTED_VALUE"""),"UMBILICAL MANIFOLD")</f>
        <v>UMBILICAL MANIFOLD</v>
      </c>
      <c r="D83" s="189" t="str">
        <f ca="1">IFERROR(__xludf.DUMMYFUNCTION("""COMPUTED_VALUE"""),"")</f>
        <v/>
      </c>
      <c r="E83" s="189" t="str">
        <f ca="1">IFERROR(__xludf.DUMMYFUNCTION("""COMPUTED_VALUE"""),"")</f>
        <v/>
      </c>
      <c r="F83" s="189" t="str">
        <f ca="1">IFERROR(__xludf.DUMMYFUNCTION("""COMPUTED_VALUE"""),"")</f>
        <v/>
      </c>
      <c r="G83" s="189" t="str">
        <f ca="1">IFERROR(__xludf.DUMMYFUNCTION("""COMPUTED_VALUE"""),"")</f>
        <v/>
      </c>
      <c r="H83" s="189" t="str">
        <f ca="1">IFERROR(__xludf.DUMMYFUNCTION("""COMPUTED_VALUE"""),"")</f>
        <v/>
      </c>
      <c r="I83" s="120" t="str">
        <f ca="1">IFERROR(__xludf.DUMMYFUNCTION("""COMPUTED_VALUE"""),"")</f>
        <v/>
      </c>
      <c r="J83" s="189" t="str">
        <f ca="1">IFERROR(__xludf.DUMMYFUNCTION("""COMPUTED_VALUE"""),"")</f>
        <v/>
      </c>
      <c r="K83" s="189" t="str">
        <f ca="1">IFERROR(__xludf.DUMMYFUNCTION("""COMPUTED_VALUE"""),"")</f>
        <v/>
      </c>
      <c r="L83" s="189" t="str">
        <f ca="1">IFERROR(__xludf.DUMMYFUNCTION("""COMPUTED_VALUE"""),"")</f>
        <v/>
      </c>
      <c r="M83" s="189" t="str">
        <f ca="1">IFERROR(__xludf.DUMMYFUNCTION("""COMPUTED_VALUE"""),"")</f>
        <v/>
      </c>
      <c r="N83" s="189" t="str">
        <f ca="1">IFERROR(__xludf.DUMMYFUNCTION("""COMPUTED_VALUE"""),"")</f>
        <v/>
      </c>
      <c r="O83" s="189" t="str">
        <f ca="1">IFERROR(__xludf.DUMMYFUNCTION("""COMPUTED_VALUE"""),"")</f>
        <v/>
      </c>
      <c r="P83" s="189" t="str">
        <f ca="1">IFERROR(__xludf.DUMMYFUNCTION("""COMPUTED_VALUE"""),"")</f>
        <v/>
      </c>
      <c r="Q83" s="189" t="str">
        <f ca="1">IFERROR(__xludf.DUMMYFUNCTION("""COMPUTED_VALUE"""),"")</f>
        <v/>
      </c>
      <c r="R83" s="189" t="str">
        <f ca="1">IFERROR(__xludf.DUMMYFUNCTION("""COMPUTED_VALUE"""),"")</f>
        <v/>
      </c>
      <c r="S83" s="189" t="str">
        <f ca="1">IFERROR(__xludf.DUMMYFUNCTION("""COMPUTED_VALUE"""),"")</f>
        <v/>
      </c>
      <c r="T83" s="189" t="str">
        <f ca="1">IFERROR(__xludf.DUMMYFUNCTION("""COMPUTED_VALUE"""),"")</f>
        <v/>
      </c>
      <c r="U83" s="189" t="str">
        <f ca="1">IFERROR(__xludf.DUMMYFUNCTION("""COMPUTED_VALUE"""),"")</f>
        <v/>
      </c>
      <c r="V83" s="189" t="str">
        <f ca="1">IFERROR(__xludf.DUMMYFUNCTION("""COMPUTED_VALUE"""),"")</f>
        <v/>
      </c>
      <c r="W83" s="189" t="str">
        <f ca="1">IFERROR(__xludf.DUMMYFUNCTION("""COMPUTED_VALUE"""),"")</f>
        <v/>
      </c>
      <c r="X83" s="189" t="str">
        <f ca="1">IFERROR(__xludf.DUMMYFUNCTION("""COMPUTED_VALUE"""),"")</f>
        <v/>
      </c>
      <c r="Y83" s="189" t="str">
        <f ca="1">IFERROR(__xludf.DUMMYFUNCTION("""COMPUTED_VALUE"""),"")</f>
        <v/>
      </c>
      <c r="Z83" s="189"/>
    </row>
    <row r="84" spans="1:26" ht="12.75">
      <c r="A84" s="189" t="str">
        <f ca="1">IFERROR(__xludf.DUMMYFUNCTION("""COMPUTED_VALUE"""),"C28")</f>
        <v>C28</v>
      </c>
      <c r="B84" s="189" t="str">
        <f ca="1">IFERROR(__xludf.DUMMYFUNCTION("""COMPUTED_VALUE"""),"ON/OFF SOLENOID VALVE")</f>
        <v>ON/OFF SOLENOID VALVE</v>
      </c>
      <c r="C84" s="189" t="str">
        <f ca="1">IFERROR(__xludf.DUMMYFUNCTION("""COMPUTED_VALUE"""),"HOT OIL CIRCULATION (IF REQUIRED)")</f>
        <v>HOT OIL CIRCULATION (IF REQUIRED)</v>
      </c>
      <c r="D84" s="189" t="str">
        <f ca="1">IFERROR(__xludf.DUMMYFUNCTION("""COMPUTED_VALUE"""),"24VDC 20W")</f>
        <v>24VDC 20W</v>
      </c>
      <c r="E84" s="189" t="str">
        <f ca="1">IFERROR(__xludf.DUMMYFUNCTION("""COMPUTED_VALUE"""),"NA")</f>
        <v>NA</v>
      </c>
      <c r="F84" s="189" t="str">
        <f ca="1">IFERROR(__xludf.DUMMYFUNCTION("""COMPUTED_VALUE"""),"NA")</f>
        <v>NA</v>
      </c>
      <c r="G84" s="189" t="str">
        <f ca="1">IFERROR(__xludf.DUMMYFUNCTION("""COMPUTED_VALUE"""),"")</f>
        <v/>
      </c>
      <c r="H84" s="189" t="str">
        <f ca="1">IFERROR(__xludf.DUMMYFUNCTION("""COMPUTED_VALUE"""),"")</f>
        <v/>
      </c>
      <c r="I84" s="120" t="str">
        <f ca="1">IFERROR(__xludf.DUMMYFUNCTION("""COMPUTED_VALUE"""),"DEUTSCH DTO4-2P (CONNECTOR INCLUDED)")</f>
        <v>DEUTSCH DTO4-2P (CONNECTOR INCLUDED)</v>
      </c>
      <c r="J84" s="189" t="str">
        <f ca="1">IFERROR(__xludf.DUMMYFUNCTION("""COMPUTED_VALUE"""),"")</f>
        <v/>
      </c>
      <c r="K84" s="189" t="str">
        <f ca="1">IFERROR(__xludf.DUMMYFUNCTION("""COMPUTED_VALUE"""),"")</f>
        <v/>
      </c>
      <c r="L84" s="189" t="str">
        <f ca="1">IFERROR(__xludf.DUMMYFUNCTION("""COMPUTED_VALUE"""),"")</f>
        <v/>
      </c>
      <c r="M84" s="189" t="str">
        <f ca="1">IFERROR(__xludf.DUMMYFUNCTION("""COMPUTED_VALUE"""),"")</f>
        <v/>
      </c>
      <c r="N84" s="189" t="str">
        <f ca="1">IFERROR(__xludf.DUMMYFUNCTION("""COMPUTED_VALUE"""),"")</f>
        <v/>
      </c>
      <c r="O84" s="189" t="str">
        <f ca="1">IFERROR(__xludf.DUMMYFUNCTION("""COMPUTED_VALUE"""),"")</f>
        <v/>
      </c>
      <c r="P84" s="189" t="str">
        <f ca="1">IFERROR(__xludf.DUMMYFUNCTION("""COMPUTED_VALUE"""),"")</f>
        <v/>
      </c>
      <c r="Q84" s="189" t="str">
        <f ca="1">IFERROR(__xludf.DUMMYFUNCTION("""COMPUTED_VALUE"""),"")</f>
        <v/>
      </c>
      <c r="R84" s="189" t="str">
        <f ca="1">IFERROR(__xludf.DUMMYFUNCTION("""COMPUTED_VALUE"""),"")</f>
        <v/>
      </c>
      <c r="S84" s="189" t="str">
        <f ca="1">IFERROR(__xludf.DUMMYFUNCTION("""COMPUTED_VALUE"""),"")</f>
        <v/>
      </c>
      <c r="T84" s="189" t="str">
        <f ca="1">IFERROR(__xludf.DUMMYFUNCTION("""COMPUTED_VALUE"""),"")</f>
        <v/>
      </c>
      <c r="U84" s="189" t="str">
        <f ca="1">IFERROR(__xludf.DUMMYFUNCTION("""COMPUTED_VALUE"""),"")</f>
        <v/>
      </c>
      <c r="V84" s="189" t="str">
        <f ca="1">IFERROR(__xludf.DUMMYFUNCTION("""COMPUTED_VALUE"""),"")</f>
        <v/>
      </c>
      <c r="W84" s="189" t="str">
        <f ca="1">IFERROR(__xludf.DUMMYFUNCTION("""COMPUTED_VALUE"""),"")</f>
        <v/>
      </c>
      <c r="X84" s="189" t="str">
        <f ca="1">IFERROR(__xludf.DUMMYFUNCTION("""COMPUTED_VALUE"""),"")</f>
        <v/>
      </c>
      <c r="Y84" s="189" t="str">
        <f ca="1">IFERROR(__xludf.DUMMYFUNCTION("""COMPUTED_VALUE"""),"")</f>
        <v/>
      </c>
      <c r="Z84" s="189"/>
    </row>
    <row r="85" spans="1:26" ht="12.75">
      <c r="A85" s="189" t="str">
        <f ca="1">IFERROR(__xludf.DUMMYFUNCTION("""COMPUTED_VALUE"""),"PT-5")</f>
        <v>PT-5</v>
      </c>
      <c r="B85" s="189" t="str">
        <f ca="1">IFERROR(__xludf.DUMMYFUNCTION("""COMPUTED_VALUE"""),"PRESSURE TRANSDUCER (0-400 BAR)")</f>
        <v>PRESSURE TRANSDUCER (0-400 BAR)</v>
      </c>
      <c r="C85" s="189" t="str">
        <f ca="1">IFERROR(__xludf.DUMMYFUNCTION("""COMPUTED_VALUE"""),"UMBILICAL MAIN ACCUMULATOR OIL PRESSURE SENSOR")</f>
        <v>UMBILICAL MAIN ACCUMULATOR OIL PRESSURE SENSOR</v>
      </c>
      <c r="D85" s="189" t="str">
        <f ca="1">IFERROR(__xludf.DUMMYFUNCTION("""COMPUTED_VALUE"""),"24VDC")</f>
        <v>24VDC</v>
      </c>
      <c r="E85" s="189" t="str">
        <f ca="1">IFERROR(__xludf.DUMMYFUNCTION("""COMPUTED_VALUE"""),"4..20mA")</f>
        <v>4..20mA</v>
      </c>
      <c r="F85" s="189" t="str">
        <f ca="1">IFERROR(__xludf.DUMMYFUNCTION("""COMPUTED_VALUE"""),"NA")</f>
        <v>NA</v>
      </c>
      <c r="G85" s="189" t="str">
        <f ca="1">IFERROR(__xludf.DUMMYFUNCTION("""COMPUTED_VALUE"""),"PT5400")</f>
        <v>PT5400</v>
      </c>
      <c r="H85" s="189">
        <f ca="1">IFERROR(__xludf.DUMMYFUNCTION("""COMPUTED_VALUE"""),24)</f>
        <v>24</v>
      </c>
      <c r="I85" s="120" t="str">
        <f ca="1">IFERROR(__xludf.DUMMYFUNCTION("""COMPUTED_VALUE"""),"M12")</f>
        <v>M12</v>
      </c>
      <c r="J85" s="189" t="str">
        <f ca="1">IFERROR(__xludf.DUMMYFUNCTION("""COMPUTED_VALUE"""),"")</f>
        <v/>
      </c>
      <c r="K85" s="189" t="str">
        <f ca="1">IFERROR(__xludf.DUMMYFUNCTION("""COMPUTED_VALUE"""),"")</f>
        <v/>
      </c>
      <c r="L85" s="189" t="str">
        <f ca="1">IFERROR(__xludf.DUMMYFUNCTION("""COMPUTED_VALUE"""),"")</f>
        <v/>
      </c>
      <c r="M85" s="189" t="str">
        <f ca="1">IFERROR(__xludf.DUMMYFUNCTION("""COMPUTED_VALUE"""),"")</f>
        <v/>
      </c>
      <c r="N85" s="189" t="str">
        <f ca="1">IFERROR(__xludf.DUMMYFUNCTION("""COMPUTED_VALUE"""),"")</f>
        <v/>
      </c>
      <c r="O85" s="189" t="str">
        <f ca="1">IFERROR(__xludf.DUMMYFUNCTION("""COMPUTED_VALUE"""),"")</f>
        <v/>
      </c>
      <c r="P85" s="189" t="str">
        <f ca="1">IFERROR(__xludf.DUMMYFUNCTION("""COMPUTED_VALUE"""),"")</f>
        <v/>
      </c>
      <c r="Q85" s="189" t="str">
        <f ca="1">IFERROR(__xludf.DUMMYFUNCTION("""COMPUTED_VALUE"""),"")</f>
        <v/>
      </c>
      <c r="R85" s="189" t="str">
        <f ca="1">IFERROR(__xludf.DUMMYFUNCTION("""COMPUTED_VALUE"""),"")</f>
        <v/>
      </c>
      <c r="S85" s="189" t="str">
        <f ca="1">IFERROR(__xludf.DUMMYFUNCTION("""COMPUTED_VALUE"""),"")</f>
        <v/>
      </c>
      <c r="T85" s="189" t="str">
        <f ca="1">IFERROR(__xludf.DUMMYFUNCTION("""COMPUTED_VALUE"""),"")</f>
        <v/>
      </c>
      <c r="U85" s="189" t="str">
        <f ca="1">IFERROR(__xludf.DUMMYFUNCTION("""COMPUTED_VALUE"""),"")</f>
        <v/>
      </c>
      <c r="V85" s="189" t="str">
        <f ca="1">IFERROR(__xludf.DUMMYFUNCTION("""COMPUTED_VALUE"""),"")</f>
        <v/>
      </c>
      <c r="W85" s="189" t="str">
        <f ca="1">IFERROR(__xludf.DUMMYFUNCTION("""COMPUTED_VALUE"""),"")</f>
        <v/>
      </c>
      <c r="X85" s="189" t="str">
        <f ca="1">IFERROR(__xludf.DUMMYFUNCTION("""COMPUTED_VALUE"""),"")</f>
        <v/>
      </c>
      <c r="Y85" s="189" t="str">
        <f ca="1">IFERROR(__xludf.DUMMYFUNCTION("""COMPUTED_VALUE"""),"")</f>
        <v/>
      </c>
      <c r="Z85" s="189"/>
    </row>
    <row r="86" spans="1:26" ht="12.75">
      <c r="A86" s="189" t="str">
        <f ca="1">IFERROR(__xludf.DUMMYFUNCTION("""COMPUTED_VALUE"""),"PTA-5")</f>
        <v>PTA-5</v>
      </c>
      <c r="B86" s="189" t="str">
        <f ca="1">IFERROR(__xludf.DUMMYFUNCTION("""COMPUTED_VALUE"""),"PRESSURE TRANSDUCER (0-400 BAR)")</f>
        <v>PRESSURE TRANSDUCER (0-400 BAR)</v>
      </c>
      <c r="C86" s="189" t="str">
        <f ca="1">IFERROR(__xludf.DUMMYFUNCTION("""COMPUTED_VALUE"""),"UMBILICAL CYLINDER RETRACT PRESSURE SENSOR")</f>
        <v>UMBILICAL CYLINDER RETRACT PRESSURE SENSOR</v>
      </c>
      <c r="D86" s="189" t="str">
        <f ca="1">IFERROR(__xludf.DUMMYFUNCTION("""COMPUTED_VALUE"""),"24VDC")</f>
        <v>24VDC</v>
      </c>
      <c r="E86" s="189" t="str">
        <f ca="1">IFERROR(__xludf.DUMMYFUNCTION("""COMPUTED_VALUE"""),"4..20mA")</f>
        <v>4..20mA</v>
      </c>
      <c r="F86" s="189" t="str">
        <f ca="1">IFERROR(__xludf.DUMMYFUNCTION("""COMPUTED_VALUE"""),"NA")</f>
        <v>NA</v>
      </c>
      <c r="G86" s="189" t="str">
        <f ca="1">IFERROR(__xludf.DUMMYFUNCTION("""COMPUTED_VALUE"""),"PT5400")</f>
        <v>PT5400</v>
      </c>
      <c r="H86" s="189">
        <f ca="1">IFERROR(__xludf.DUMMYFUNCTION("""COMPUTED_VALUE"""),24)</f>
        <v>24</v>
      </c>
      <c r="I86" s="120" t="str">
        <f ca="1">IFERROR(__xludf.DUMMYFUNCTION("""COMPUTED_VALUE"""),"M12")</f>
        <v>M12</v>
      </c>
      <c r="J86" s="189" t="str">
        <f ca="1">IFERROR(__xludf.DUMMYFUNCTION("""COMPUTED_VALUE"""),"")</f>
        <v/>
      </c>
      <c r="K86" s="189" t="str">
        <f ca="1">IFERROR(__xludf.DUMMYFUNCTION("""COMPUTED_VALUE"""),"")</f>
        <v/>
      </c>
      <c r="L86" s="189" t="str">
        <f ca="1">IFERROR(__xludf.DUMMYFUNCTION("""COMPUTED_VALUE"""),"")</f>
        <v/>
      </c>
      <c r="M86" s="189" t="str">
        <f ca="1">IFERROR(__xludf.DUMMYFUNCTION("""COMPUTED_VALUE"""),"")</f>
        <v/>
      </c>
      <c r="N86" s="189" t="str">
        <f ca="1">IFERROR(__xludf.DUMMYFUNCTION("""COMPUTED_VALUE"""),"")</f>
        <v/>
      </c>
      <c r="O86" s="189" t="str">
        <f ca="1">IFERROR(__xludf.DUMMYFUNCTION("""COMPUTED_VALUE"""),"")</f>
        <v/>
      </c>
      <c r="P86" s="189" t="str">
        <f ca="1">IFERROR(__xludf.DUMMYFUNCTION("""COMPUTED_VALUE"""),"")</f>
        <v/>
      </c>
      <c r="Q86" s="189" t="str">
        <f ca="1">IFERROR(__xludf.DUMMYFUNCTION("""COMPUTED_VALUE"""),"")</f>
        <v/>
      </c>
      <c r="R86" s="189" t="str">
        <f ca="1">IFERROR(__xludf.DUMMYFUNCTION("""COMPUTED_VALUE"""),"")</f>
        <v/>
      </c>
      <c r="S86" s="189" t="str">
        <f ca="1">IFERROR(__xludf.DUMMYFUNCTION("""COMPUTED_VALUE"""),"")</f>
        <v/>
      </c>
      <c r="T86" s="189" t="str">
        <f ca="1">IFERROR(__xludf.DUMMYFUNCTION("""COMPUTED_VALUE"""),"")</f>
        <v/>
      </c>
      <c r="U86" s="189" t="str">
        <f ca="1">IFERROR(__xludf.DUMMYFUNCTION("""COMPUTED_VALUE"""),"")</f>
        <v/>
      </c>
      <c r="V86" s="189" t="str">
        <f ca="1">IFERROR(__xludf.DUMMYFUNCTION("""COMPUTED_VALUE"""),"")</f>
        <v/>
      </c>
      <c r="W86" s="189" t="str">
        <f ca="1">IFERROR(__xludf.DUMMYFUNCTION("""COMPUTED_VALUE"""),"")</f>
        <v/>
      </c>
      <c r="X86" s="189" t="str">
        <f ca="1">IFERROR(__xludf.DUMMYFUNCTION("""COMPUTED_VALUE"""),"")</f>
        <v/>
      </c>
      <c r="Y86" s="189" t="str">
        <f ca="1">IFERROR(__xludf.DUMMYFUNCTION("""COMPUTED_VALUE"""),"")</f>
        <v/>
      </c>
      <c r="Z86" s="189"/>
    </row>
    <row r="87" spans="1:26" ht="12.75">
      <c r="A87" s="189" t="str">
        <f ca="1">IFERROR(__xludf.DUMMYFUNCTION("""COMPUTED_VALUE"""),"PTB-5")</f>
        <v>PTB-5</v>
      </c>
      <c r="B87" s="189" t="str">
        <f ca="1">IFERROR(__xludf.DUMMYFUNCTION("""COMPUTED_VALUE"""),"PRESSURE TRANSDUCER (0-400 BAR)")</f>
        <v>PRESSURE TRANSDUCER (0-400 BAR)</v>
      </c>
      <c r="C87" s="189" t="str">
        <f ca="1">IFERROR(__xludf.DUMMYFUNCTION("""COMPUTED_VALUE"""),"UMBILICAL CYLINDER EXTEND PRESSURE SENSOR")</f>
        <v>UMBILICAL CYLINDER EXTEND PRESSURE SENSOR</v>
      </c>
      <c r="D87" s="189" t="str">
        <f ca="1">IFERROR(__xludf.DUMMYFUNCTION("""COMPUTED_VALUE"""),"24VDC")</f>
        <v>24VDC</v>
      </c>
      <c r="E87" s="189" t="str">
        <f ca="1">IFERROR(__xludf.DUMMYFUNCTION("""COMPUTED_VALUE"""),"4..20mA")</f>
        <v>4..20mA</v>
      </c>
      <c r="F87" s="189" t="str">
        <f ca="1">IFERROR(__xludf.DUMMYFUNCTION("""COMPUTED_VALUE"""),"NA")</f>
        <v>NA</v>
      </c>
      <c r="G87" s="189" t="str">
        <f ca="1">IFERROR(__xludf.DUMMYFUNCTION("""COMPUTED_VALUE"""),"PT5400")</f>
        <v>PT5400</v>
      </c>
      <c r="H87" s="189">
        <f ca="1">IFERROR(__xludf.DUMMYFUNCTION("""COMPUTED_VALUE"""),24)</f>
        <v>24</v>
      </c>
      <c r="I87" s="120" t="str">
        <f ca="1">IFERROR(__xludf.DUMMYFUNCTION("""COMPUTED_VALUE"""),"M12")</f>
        <v>M12</v>
      </c>
      <c r="J87" s="189" t="str">
        <f ca="1">IFERROR(__xludf.DUMMYFUNCTION("""COMPUTED_VALUE"""),"")</f>
        <v/>
      </c>
      <c r="K87" s="189" t="str">
        <f ca="1">IFERROR(__xludf.DUMMYFUNCTION("""COMPUTED_VALUE"""),"")</f>
        <v/>
      </c>
      <c r="L87" s="189" t="str">
        <f ca="1">IFERROR(__xludf.DUMMYFUNCTION("""COMPUTED_VALUE"""),"")</f>
        <v/>
      </c>
      <c r="M87" s="189" t="str">
        <f ca="1">IFERROR(__xludf.DUMMYFUNCTION("""COMPUTED_VALUE"""),"")</f>
        <v/>
      </c>
      <c r="N87" s="189" t="str">
        <f ca="1">IFERROR(__xludf.DUMMYFUNCTION("""COMPUTED_VALUE"""),"")</f>
        <v/>
      </c>
      <c r="O87" s="189" t="str">
        <f ca="1">IFERROR(__xludf.DUMMYFUNCTION("""COMPUTED_VALUE"""),"")</f>
        <v/>
      </c>
      <c r="P87" s="189" t="str">
        <f ca="1">IFERROR(__xludf.DUMMYFUNCTION("""COMPUTED_VALUE"""),"")</f>
        <v/>
      </c>
      <c r="Q87" s="189" t="str">
        <f ca="1">IFERROR(__xludf.DUMMYFUNCTION("""COMPUTED_VALUE"""),"")</f>
        <v/>
      </c>
      <c r="R87" s="189" t="str">
        <f ca="1">IFERROR(__xludf.DUMMYFUNCTION("""COMPUTED_VALUE"""),"")</f>
        <v/>
      </c>
      <c r="S87" s="189" t="str">
        <f ca="1">IFERROR(__xludf.DUMMYFUNCTION("""COMPUTED_VALUE"""),"")</f>
        <v/>
      </c>
      <c r="T87" s="189" t="str">
        <f ca="1">IFERROR(__xludf.DUMMYFUNCTION("""COMPUTED_VALUE"""),"")</f>
        <v/>
      </c>
      <c r="U87" s="189" t="str">
        <f ca="1">IFERROR(__xludf.DUMMYFUNCTION("""COMPUTED_VALUE"""),"")</f>
        <v/>
      </c>
      <c r="V87" s="189" t="str">
        <f ca="1">IFERROR(__xludf.DUMMYFUNCTION("""COMPUTED_VALUE"""),"")</f>
        <v/>
      </c>
      <c r="W87" s="189" t="str">
        <f ca="1">IFERROR(__xludf.DUMMYFUNCTION("""COMPUTED_VALUE"""),"")</f>
        <v/>
      </c>
      <c r="X87" s="189" t="str">
        <f ca="1">IFERROR(__xludf.DUMMYFUNCTION("""COMPUTED_VALUE"""),"")</f>
        <v/>
      </c>
      <c r="Y87" s="189" t="str">
        <f ca="1">IFERROR(__xludf.DUMMYFUNCTION("""COMPUTED_VALUE"""),"")</f>
        <v/>
      </c>
      <c r="Z87" s="189"/>
    </row>
    <row r="88" spans="1:26" ht="12.75">
      <c r="A88" s="189" t="str">
        <f ca="1">IFERROR(__xludf.DUMMYFUNCTION("""COMPUTED_VALUE"""),"PTA-6")</f>
        <v>PTA-6</v>
      </c>
      <c r="B88" s="189" t="str">
        <f ca="1">IFERROR(__xludf.DUMMYFUNCTION("""COMPUTED_VALUE"""),"PRESSURE TRANSDUCER (0-400 BAR)")</f>
        <v>PRESSURE TRANSDUCER (0-400 BAR)</v>
      </c>
      <c r="C88" s="189" t="str">
        <f ca="1">IFERROR(__xludf.DUMMYFUNCTION("""COMPUTED_VALUE"""),"PRE VALVE OPEN PRESSURE SENSOR")</f>
        <v>PRE VALVE OPEN PRESSURE SENSOR</v>
      </c>
      <c r="D88" s="189" t="str">
        <f ca="1">IFERROR(__xludf.DUMMYFUNCTION("""COMPUTED_VALUE"""),"24VDC")</f>
        <v>24VDC</v>
      </c>
      <c r="E88" s="189" t="str">
        <f ca="1">IFERROR(__xludf.DUMMYFUNCTION("""COMPUTED_VALUE"""),"4..20mA")</f>
        <v>4..20mA</v>
      </c>
      <c r="F88" s="189" t="str">
        <f ca="1">IFERROR(__xludf.DUMMYFUNCTION("""COMPUTED_VALUE"""),"NA")</f>
        <v>NA</v>
      </c>
      <c r="G88" s="189" t="str">
        <f ca="1">IFERROR(__xludf.DUMMYFUNCTION("""COMPUTED_VALUE"""),"PT5400")</f>
        <v>PT5400</v>
      </c>
      <c r="H88" s="189">
        <f ca="1">IFERROR(__xludf.DUMMYFUNCTION("""COMPUTED_VALUE"""),24)</f>
        <v>24</v>
      </c>
      <c r="I88" s="120" t="str">
        <f ca="1">IFERROR(__xludf.DUMMYFUNCTION("""COMPUTED_VALUE"""),"M12")</f>
        <v>M12</v>
      </c>
      <c r="J88" s="189" t="str">
        <f ca="1">IFERROR(__xludf.DUMMYFUNCTION("""COMPUTED_VALUE"""),"")</f>
        <v/>
      </c>
      <c r="K88" s="189" t="str">
        <f ca="1">IFERROR(__xludf.DUMMYFUNCTION("""COMPUTED_VALUE"""),"")</f>
        <v/>
      </c>
      <c r="L88" s="189" t="str">
        <f ca="1">IFERROR(__xludf.DUMMYFUNCTION("""COMPUTED_VALUE"""),"")</f>
        <v/>
      </c>
      <c r="M88" s="189" t="str">
        <f ca="1">IFERROR(__xludf.DUMMYFUNCTION("""COMPUTED_VALUE"""),"")</f>
        <v/>
      </c>
      <c r="N88" s="189" t="str">
        <f ca="1">IFERROR(__xludf.DUMMYFUNCTION("""COMPUTED_VALUE"""),"")</f>
        <v/>
      </c>
      <c r="O88" s="189" t="str">
        <f ca="1">IFERROR(__xludf.DUMMYFUNCTION("""COMPUTED_VALUE"""),"")</f>
        <v/>
      </c>
      <c r="P88" s="189" t="str">
        <f ca="1">IFERROR(__xludf.DUMMYFUNCTION("""COMPUTED_VALUE"""),"")</f>
        <v/>
      </c>
      <c r="Q88" s="189" t="str">
        <f ca="1">IFERROR(__xludf.DUMMYFUNCTION("""COMPUTED_VALUE"""),"")</f>
        <v/>
      </c>
      <c r="R88" s="189" t="str">
        <f ca="1">IFERROR(__xludf.DUMMYFUNCTION("""COMPUTED_VALUE"""),"")</f>
        <v/>
      </c>
      <c r="S88" s="189" t="str">
        <f ca="1">IFERROR(__xludf.DUMMYFUNCTION("""COMPUTED_VALUE"""),"")</f>
        <v/>
      </c>
      <c r="T88" s="189" t="str">
        <f ca="1">IFERROR(__xludf.DUMMYFUNCTION("""COMPUTED_VALUE"""),"")</f>
        <v/>
      </c>
      <c r="U88" s="189" t="str">
        <f ca="1">IFERROR(__xludf.DUMMYFUNCTION("""COMPUTED_VALUE"""),"")</f>
        <v/>
      </c>
      <c r="V88" s="189" t="str">
        <f ca="1">IFERROR(__xludf.DUMMYFUNCTION("""COMPUTED_VALUE"""),"")</f>
        <v/>
      </c>
      <c r="W88" s="189" t="str">
        <f ca="1">IFERROR(__xludf.DUMMYFUNCTION("""COMPUTED_VALUE"""),"")</f>
        <v/>
      </c>
      <c r="X88" s="189" t="str">
        <f ca="1">IFERROR(__xludf.DUMMYFUNCTION("""COMPUTED_VALUE"""),"")</f>
        <v/>
      </c>
      <c r="Y88" s="189" t="str">
        <f ca="1">IFERROR(__xludf.DUMMYFUNCTION("""COMPUTED_VALUE"""),"")</f>
        <v/>
      </c>
      <c r="Z88" s="189"/>
    </row>
    <row r="89" spans="1:26" ht="12.75">
      <c r="A89" s="189" t="str">
        <f ca="1">IFERROR(__xludf.DUMMYFUNCTION("""COMPUTED_VALUE"""),"PTB-6")</f>
        <v>PTB-6</v>
      </c>
      <c r="B89" s="189" t="str">
        <f ca="1">IFERROR(__xludf.DUMMYFUNCTION("""COMPUTED_VALUE"""),"PRESSURE TRANSDUCER (0-400 BAR)")</f>
        <v>PRESSURE TRANSDUCER (0-400 BAR)</v>
      </c>
      <c r="C89" s="189" t="str">
        <f ca="1">IFERROR(__xludf.DUMMYFUNCTION("""COMPUTED_VALUE"""),"PRE VALVE CLOSED PRESSURE SENSOR")</f>
        <v>PRE VALVE CLOSED PRESSURE SENSOR</v>
      </c>
      <c r="D89" s="189" t="str">
        <f ca="1">IFERROR(__xludf.DUMMYFUNCTION("""COMPUTED_VALUE"""),"24VDC")</f>
        <v>24VDC</v>
      </c>
      <c r="E89" s="189" t="str">
        <f ca="1">IFERROR(__xludf.DUMMYFUNCTION("""COMPUTED_VALUE"""),"4..20mA")</f>
        <v>4..20mA</v>
      </c>
      <c r="F89" s="189" t="str">
        <f ca="1">IFERROR(__xludf.DUMMYFUNCTION("""COMPUTED_VALUE"""),"NA")</f>
        <v>NA</v>
      </c>
      <c r="G89" s="189" t="str">
        <f ca="1">IFERROR(__xludf.DUMMYFUNCTION("""COMPUTED_VALUE"""),"PT5400")</f>
        <v>PT5400</v>
      </c>
      <c r="H89" s="189">
        <f ca="1">IFERROR(__xludf.DUMMYFUNCTION("""COMPUTED_VALUE"""),24)</f>
        <v>24</v>
      </c>
      <c r="I89" s="120" t="str">
        <f ca="1">IFERROR(__xludf.DUMMYFUNCTION("""COMPUTED_VALUE"""),"M12")</f>
        <v>M12</v>
      </c>
      <c r="J89" s="189" t="str">
        <f ca="1">IFERROR(__xludf.DUMMYFUNCTION("""COMPUTED_VALUE"""),"")</f>
        <v/>
      </c>
      <c r="K89" s="189" t="str">
        <f ca="1">IFERROR(__xludf.DUMMYFUNCTION("""COMPUTED_VALUE"""),"")</f>
        <v/>
      </c>
      <c r="L89" s="189" t="str">
        <f ca="1">IFERROR(__xludf.DUMMYFUNCTION("""COMPUTED_VALUE"""),"")</f>
        <v/>
      </c>
      <c r="M89" s="189" t="str">
        <f ca="1">IFERROR(__xludf.DUMMYFUNCTION("""COMPUTED_VALUE"""),"")</f>
        <v/>
      </c>
      <c r="N89" s="189" t="str">
        <f ca="1">IFERROR(__xludf.DUMMYFUNCTION("""COMPUTED_VALUE"""),"")</f>
        <v/>
      </c>
      <c r="O89" s="189" t="str">
        <f ca="1">IFERROR(__xludf.DUMMYFUNCTION("""COMPUTED_VALUE"""),"")</f>
        <v/>
      </c>
      <c r="P89" s="189" t="str">
        <f ca="1">IFERROR(__xludf.DUMMYFUNCTION("""COMPUTED_VALUE"""),"")</f>
        <v/>
      </c>
      <c r="Q89" s="189" t="str">
        <f ca="1">IFERROR(__xludf.DUMMYFUNCTION("""COMPUTED_VALUE"""),"")</f>
        <v/>
      </c>
      <c r="R89" s="189" t="str">
        <f ca="1">IFERROR(__xludf.DUMMYFUNCTION("""COMPUTED_VALUE"""),"")</f>
        <v/>
      </c>
      <c r="S89" s="189" t="str">
        <f ca="1">IFERROR(__xludf.DUMMYFUNCTION("""COMPUTED_VALUE"""),"")</f>
        <v/>
      </c>
      <c r="T89" s="189" t="str">
        <f ca="1">IFERROR(__xludf.DUMMYFUNCTION("""COMPUTED_VALUE"""),"")</f>
        <v/>
      </c>
      <c r="U89" s="189" t="str">
        <f ca="1">IFERROR(__xludf.DUMMYFUNCTION("""COMPUTED_VALUE"""),"")</f>
        <v/>
      </c>
      <c r="V89" s="189" t="str">
        <f ca="1">IFERROR(__xludf.DUMMYFUNCTION("""COMPUTED_VALUE"""),"")</f>
        <v/>
      </c>
      <c r="W89" s="189" t="str">
        <f ca="1">IFERROR(__xludf.DUMMYFUNCTION("""COMPUTED_VALUE"""),"")</f>
        <v/>
      </c>
      <c r="X89" s="189" t="str">
        <f ca="1">IFERROR(__xludf.DUMMYFUNCTION("""COMPUTED_VALUE"""),"")</f>
        <v/>
      </c>
      <c r="Y89" s="189" t="str">
        <f ca="1">IFERROR(__xludf.DUMMYFUNCTION("""COMPUTED_VALUE"""),"")</f>
        <v/>
      </c>
      <c r="Z89" s="189"/>
    </row>
    <row r="90" spans="1:26" ht="12.75">
      <c r="A90" s="189" t="str">
        <f ca="1">IFERROR(__xludf.DUMMYFUNCTION("""COMPUTED_VALUE"""),"PTAC-5")</f>
        <v>PTAC-5</v>
      </c>
      <c r="B90" s="189" t="str">
        <f ca="1">IFERROR(__xludf.DUMMYFUNCTION("""COMPUTED_VALUE"""),"PRESSURE TRANSDUCER (0-400 BAR)")</f>
        <v>PRESSURE TRANSDUCER (0-400 BAR)</v>
      </c>
      <c r="C90" s="189" t="str">
        <f ca="1">IFERROR(__xludf.DUMMYFUNCTION("""COMPUTED_VALUE"""),"UMBILICAL MAIN ACCUMULATOR GAS PRESSURE SENSOR")</f>
        <v>UMBILICAL MAIN ACCUMULATOR GAS PRESSURE SENSOR</v>
      </c>
      <c r="D90" s="189" t="str">
        <f ca="1">IFERROR(__xludf.DUMMYFUNCTION("""COMPUTED_VALUE"""),"24VDC")</f>
        <v>24VDC</v>
      </c>
      <c r="E90" s="189" t="str">
        <f ca="1">IFERROR(__xludf.DUMMYFUNCTION("""COMPUTED_VALUE"""),"4..20mA")</f>
        <v>4..20mA</v>
      </c>
      <c r="F90" s="189" t="str">
        <f ca="1">IFERROR(__xludf.DUMMYFUNCTION("""COMPUTED_VALUE"""),"NA")</f>
        <v>NA</v>
      </c>
      <c r="G90" s="189" t="str">
        <f ca="1">IFERROR(__xludf.DUMMYFUNCTION("""COMPUTED_VALUE"""),"PT5400")</f>
        <v>PT5400</v>
      </c>
      <c r="H90" s="189">
        <f ca="1">IFERROR(__xludf.DUMMYFUNCTION("""COMPUTED_VALUE"""),24)</f>
        <v>24</v>
      </c>
      <c r="I90" s="120" t="str">
        <f ca="1">IFERROR(__xludf.DUMMYFUNCTION("""COMPUTED_VALUE"""),"M12")</f>
        <v>M12</v>
      </c>
      <c r="J90" s="189" t="str">
        <f ca="1">IFERROR(__xludf.DUMMYFUNCTION("""COMPUTED_VALUE"""),"")</f>
        <v/>
      </c>
      <c r="K90" s="189" t="str">
        <f ca="1">IFERROR(__xludf.DUMMYFUNCTION("""COMPUTED_VALUE"""),"")</f>
        <v/>
      </c>
      <c r="L90" s="189" t="str">
        <f ca="1">IFERROR(__xludf.DUMMYFUNCTION("""COMPUTED_VALUE"""),"")</f>
        <v/>
      </c>
      <c r="M90" s="189" t="str">
        <f ca="1">IFERROR(__xludf.DUMMYFUNCTION("""COMPUTED_VALUE"""),"")</f>
        <v/>
      </c>
      <c r="N90" s="189" t="str">
        <f ca="1">IFERROR(__xludf.DUMMYFUNCTION("""COMPUTED_VALUE"""),"")</f>
        <v/>
      </c>
      <c r="O90" s="189" t="str">
        <f ca="1">IFERROR(__xludf.DUMMYFUNCTION("""COMPUTED_VALUE"""),"")</f>
        <v/>
      </c>
      <c r="P90" s="189" t="str">
        <f ca="1">IFERROR(__xludf.DUMMYFUNCTION("""COMPUTED_VALUE"""),"")</f>
        <v/>
      </c>
      <c r="Q90" s="189" t="str">
        <f ca="1">IFERROR(__xludf.DUMMYFUNCTION("""COMPUTED_VALUE"""),"")</f>
        <v/>
      </c>
      <c r="R90" s="189" t="str">
        <f ca="1">IFERROR(__xludf.DUMMYFUNCTION("""COMPUTED_VALUE"""),"")</f>
        <v/>
      </c>
      <c r="S90" s="189" t="str">
        <f ca="1">IFERROR(__xludf.DUMMYFUNCTION("""COMPUTED_VALUE"""),"")</f>
        <v/>
      </c>
      <c r="T90" s="189" t="str">
        <f ca="1">IFERROR(__xludf.DUMMYFUNCTION("""COMPUTED_VALUE"""),"")</f>
        <v/>
      </c>
      <c r="U90" s="189" t="str">
        <f ca="1">IFERROR(__xludf.DUMMYFUNCTION("""COMPUTED_VALUE"""),"")</f>
        <v/>
      </c>
      <c r="V90" s="189" t="str">
        <f ca="1">IFERROR(__xludf.DUMMYFUNCTION("""COMPUTED_VALUE"""),"")</f>
        <v/>
      </c>
      <c r="W90" s="189" t="str">
        <f ca="1">IFERROR(__xludf.DUMMYFUNCTION("""COMPUTED_VALUE"""),"")</f>
        <v/>
      </c>
      <c r="X90" s="189" t="str">
        <f ca="1">IFERROR(__xludf.DUMMYFUNCTION("""COMPUTED_VALUE"""),"")</f>
        <v/>
      </c>
      <c r="Y90" s="189" t="str">
        <f ca="1">IFERROR(__xludf.DUMMYFUNCTION("""COMPUTED_VALUE"""),"")</f>
        <v/>
      </c>
      <c r="Z90" s="189"/>
    </row>
    <row r="91" spans="1:26" ht="12.75">
      <c r="A91" s="189" t="str">
        <f ca="1">IFERROR(__xludf.DUMMYFUNCTION("""COMPUTED_VALUE"""),"PTAC-6")</f>
        <v>PTAC-6</v>
      </c>
      <c r="B91" s="189" t="str">
        <f ca="1">IFERROR(__xludf.DUMMYFUNCTION("""COMPUTED_VALUE"""),"PRESSURE TRANSDUCER (0-400 BAR)")</f>
        <v>PRESSURE TRANSDUCER (0-400 BAR)</v>
      </c>
      <c r="C91" s="189" t="str">
        <f ca="1">IFERROR(__xludf.DUMMYFUNCTION("""COMPUTED_VALUE"""),"UMBILICAL EXTEND ACC GAS PRESSURE SENSOR")</f>
        <v>UMBILICAL EXTEND ACC GAS PRESSURE SENSOR</v>
      </c>
      <c r="D91" s="189" t="str">
        <f ca="1">IFERROR(__xludf.DUMMYFUNCTION("""COMPUTED_VALUE"""),"24VDC")</f>
        <v>24VDC</v>
      </c>
      <c r="E91" s="189" t="str">
        <f ca="1">IFERROR(__xludf.DUMMYFUNCTION("""COMPUTED_VALUE"""),"4..20mA")</f>
        <v>4..20mA</v>
      </c>
      <c r="F91" s="189" t="str">
        <f ca="1">IFERROR(__xludf.DUMMYFUNCTION("""COMPUTED_VALUE"""),"NA")</f>
        <v>NA</v>
      </c>
      <c r="G91" s="189" t="str">
        <f ca="1">IFERROR(__xludf.DUMMYFUNCTION("""COMPUTED_VALUE"""),"PT5400")</f>
        <v>PT5400</v>
      </c>
      <c r="H91" s="189">
        <f ca="1">IFERROR(__xludf.DUMMYFUNCTION("""COMPUTED_VALUE"""),24)</f>
        <v>24</v>
      </c>
      <c r="I91" s="120" t="str">
        <f ca="1">IFERROR(__xludf.DUMMYFUNCTION("""COMPUTED_VALUE"""),"M12")</f>
        <v>M12</v>
      </c>
      <c r="J91" s="189" t="str">
        <f ca="1">IFERROR(__xludf.DUMMYFUNCTION("""COMPUTED_VALUE"""),"")</f>
        <v/>
      </c>
      <c r="K91" s="189" t="str">
        <f ca="1">IFERROR(__xludf.DUMMYFUNCTION("""COMPUTED_VALUE"""),"")</f>
        <v/>
      </c>
      <c r="L91" s="189" t="str">
        <f ca="1">IFERROR(__xludf.DUMMYFUNCTION("""COMPUTED_VALUE"""),"")</f>
        <v/>
      </c>
      <c r="M91" s="189" t="str">
        <f ca="1">IFERROR(__xludf.DUMMYFUNCTION("""COMPUTED_VALUE"""),"")</f>
        <v/>
      </c>
      <c r="N91" s="189" t="str">
        <f ca="1">IFERROR(__xludf.DUMMYFUNCTION("""COMPUTED_VALUE"""),"")</f>
        <v/>
      </c>
      <c r="O91" s="189" t="str">
        <f ca="1">IFERROR(__xludf.DUMMYFUNCTION("""COMPUTED_VALUE"""),"")</f>
        <v/>
      </c>
      <c r="P91" s="189" t="str">
        <f ca="1">IFERROR(__xludf.DUMMYFUNCTION("""COMPUTED_VALUE"""),"")</f>
        <v/>
      </c>
      <c r="Q91" s="189" t="str">
        <f ca="1">IFERROR(__xludf.DUMMYFUNCTION("""COMPUTED_VALUE"""),"")</f>
        <v/>
      </c>
      <c r="R91" s="189" t="str">
        <f ca="1">IFERROR(__xludf.DUMMYFUNCTION("""COMPUTED_VALUE"""),"")</f>
        <v/>
      </c>
      <c r="S91" s="189" t="str">
        <f ca="1">IFERROR(__xludf.DUMMYFUNCTION("""COMPUTED_VALUE"""),"")</f>
        <v/>
      </c>
      <c r="T91" s="189" t="str">
        <f ca="1">IFERROR(__xludf.DUMMYFUNCTION("""COMPUTED_VALUE"""),"")</f>
        <v/>
      </c>
      <c r="U91" s="189" t="str">
        <f ca="1">IFERROR(__xludf.DUMMYFUNCTION("""COMPUTED_VALUE"""),"")</f>
        <v/>
      </c>
      <c r="V91" s="189" t="str">
        <f ca="1">IFERROR(__xludf.DUMMYFUNCTION("""COMPUTED_VALUE"""),"")</f>
        <v/>
      </c>
      <c r="W91" s="189" t="str">
        <f ca="1">IFERROR(__xludf.DUMMYFUNCTION("""COMPUTED_VALUE"""),"")</f>
        <v/>
      </c>
      <c r="X91" s="189" t="str">
        <f ca="1">IFERROR(__xludf.DUMMYFUNCTION("""COMPUTED_VALUE"""),"")</f>
        <v/>
      </c>
      <c r="Y91" s="189" t="str">
        <f ca="1">IFERROR(__xludf.DUMMYFUNCTION("""COMPUTED_VALUE"""),"")</f>
        <v/>
      </c>
      <c r="Z91" s="189"/>
    </row>
    <row r="92" spans="1:26" ht="12.75">
      <c r="A92" s="189" t="str">
        <f ca="1">IFERROR(__xludf.DUMMYFUNCTION("""COMPUTED_VALUE"""),"SWAC-5-O")</f>
        <v>SWAC-5-O</v>
      </c>
      <c r="B92" s="189" t="str">
        <f ca="1">IFERROR(__xludf.DUMMYFUNCTION("""COMPUTED_VALUE"""),"LIMIT SWITCH")</f>
        <v>LIMIT SWITCH</v>
      </c>
      <c r="C92" s="189" t="str">
        <f ca="1">IFERROR(__xludf.DUMMYFUNCTION("""COMPUTED_VALUE"""),"UMB MAIN ACC ISOLATION BALL VALVE OPEN")</f>
        <v>UMB MAIN ACC ISOLATION BALL VALVE OPEN</v>
      </c>
      <c r="D92" s="189" t="str">
        <f ca="1">IFERROR(__xludf.DUMMYFUNCTION("""COMPUTED_VALUE"""),"")</f>
        <v/>
      </c>
      <c r="E92" s="189" t="str">
        <f ca="1">IFERROR(__xludf.DUMMYFUNCTION("""COMPUTED_VALUE"""),"")</f>
        <v/>
      </c>
      <c r="F92" s="189" t="str">
        <f ca="1">IFERROR(__xludf.DUMMYFUNCTION("""COMPUTED_VALUE"""),"")</f>
        <v/>
      </c>
      <c r="G92" s="189" t="str">
        <f ca="1">IFERROR(__xludf.DUMMYFUNCTION("""COMPUTED_VALUE"""),"")</f>
        <v/>
      </c>
      <c r="H92" s="189" t="str">
        <f ca="1">IFERROR(__xludf.DUMMYFUNCTION("""COMPUTED_VALUE"""),"")</f>
        <v/>
      </c>
      <c r="I92" s="120" t="str">
        <f ca="1">IFERROR(__xludf.DUMMYFUNCTION("""COMPUTED_VALUE"""),"WIRING TO TERMINAL BOX")</f>
        <v>WIRING TO TERMINAL BOX</v>
      </c>
      <c r="J92" s="189" t="str">
        <f ca="1">IFERROR(__xludf.DUMMYFUNCTION("""COMPUTED_VALUE"""),"")</f>
        <v/>
      </c>
      <c r="K92" s="189" t="str">
        <f ca="1">IFERROR(__xludf.DUMMYFUNCTION("""COMPUTED_VALUE"""),"")</f>
        <v/>
      </c>
      <c r="L92" s="189" t="str">
        <f ca="1">IFERROR(__xludf.DUMMYFUNCTION("""COMPUTED_VALUE"""),"")</f>
        <v/>
      </c>
      <c r="M92" s="189" t="str">
        <f ca="1">IFERROR(__xludf.DUMMYFUNCTION("""COMPUTED_VALUE"""),"")</f>
        <v/>
      </c>
      <c r="N92" s="189" t="str">
        <f ca="1">IFERROR(__xludf.DUMMYFUNCTION("""COMPUTED_VALUE"""),"")</f>
        <v/>
      </c>
      <c r="O92" s="189" t="str">
        <f ca="1">IFERROR(__xludf.DUMMYFUNCTION("""COMPUTED_VALUE"""),"")</f>
        <v/>
      </c>
      <c r="P92" s="189" t="str">
        <f ca="1">IFERROR(__xludf.DUMMYFUNCTION("""COMPUTED_VALUE"""),"")</f>
        <v/>
      </c>
      <c r="Q92" s="189" t="str">
        <f ca="1">IFERROR(__xludf.DUMMYFUNCTION("""COMPUTED_VALUE"""),"")</f>
        <v/>
      </c>
      <c r="R92" s="189" t="str">
        <f ca="1">IFERROR(__xludf.DUMMYFUNCTION("""COMPUTED_VALUE"""),"")</f>
        <v/>
      </c>
      <c r="S92" s="189" t="str">
        <f ca="1">IFERROR(__xludf.DUMMYFUNCTION("""COMPUTED_VALUE"""),"")</f>
        <v/>
      </c>
      <c r="T92" s="189" t="str">
        <f ca="1">IFERROR(__xludf.DUMMYFUNCTION("""COMPUTED_VALUE"""),"")</f>
        <v/>
      </c>
      <c r="U92" s="189" t="str">
        <f ca="1">IFERROR(__xludf.DUMMYFUNCTION("""COMPUTED_VALUE"""),"")</f>
        <v/>
      </c>
      <c r="V92" s="189" t="str">
        <f ca="1">IFERROR(__xludf.DUMMYFUNCTION("""COMPUTED_VALUE"""),"")</f>
        <v/>
      </c>
      <c r="W92" s="189" t="str">
        <f ca="1">IFERROR(__xludf.DUMMYFUNCTION("""COMPUTED_VALUE"""),"")</f>
        <v/>
      </c>
      <c r="X92" s="189" t="str">
        <f ca="1">IFERROR(__xludf.DUMMYFUNCTION("""COMPUTED_VALUE"""),"")</f>
        <v/>
      </c>
      <c r="Y92" s="189" t="str">
        <f ca="1">IFERROR(__xludf.DUMMYFUNCTION("""COMPUTED_VALUE"""),"")</f>
        <v/>
      </c>
      <c r="Z92" s="189"/>
    </row>
    <row r="93" spans="1:26" ht="12.75">
      <c r="A93" s="189" t="str">
        <f ca="1">IFERROR(__xludf.DUMMYFUNCTION("""COMPUTED_VALUE"""),"SWAC-5-C")</f>
        <v>SWAC-5-C</v>
      </c>
      <c r="B93" s="189" t="str">
        <f ca="1">IFERROR(__xludf.DUMMYFUNCTION("""COMPUTED_VALUE"""),"LIMIT SWITCH")</f>
        <v>LIMIT SWITCH</v>
      </c>
      <c r="C93" s="189" t="str">
        <f ca="1">IFERROR(__xludf.DUMMYFUNCTION("""COMPUTED_VALUE"""),"UMB MAIN ACC ISOLATION BALL VALVE CLOSED")</f>
        <v>UMB MAIN ACC ISOLATION BALL VALVE CLOSED</v>
      </c>
      <c r="D93" s="189" t="str">
        <f ca="1">IFERROR(__xludf.DUMMYFUNCTION("""COMPUTED_VALUE"""),"")</f>
        <v/>
      </c>
      <c r="E93" s="189" t="str">
        <f ca="1">IFERROR(__xludf.DUMMYFUNCTION("""COMPUTED_VALUE"""),"")</f>
        <v/>
      </c>
      <c r="F93" s="189" t="str">
        <f ca="1">IFERROR(__xludf.DUMMYFUNCTION("""COMPUTED_VALUE"""),"")</f>
        <v/>
      </c>
      <c r="G93" s="189" t="str">
        <f ca="1">IFERROR(__xludf.DUMMYFUNCTION("""COMPUTED_VALUE"""),"")</f>
        <v/>
      </c>
      <c r="H93" s="189" t="str">
        <f ca="1">IFERROR(__xludf.DUMMYFUNCTION("""COMPUTED_VALUE"""),"")</f>
        <v/>
      </c>
      <c r="I93" s="120" t="str">
        <f ca="1">IFERROR(__xludf.DUMMYFUNCTION("""COMPUTED_VALUE"""),"WIRING TO TERMINAL BOX")</f>
        <v>WIRING TO TERMINAL BOX</v>
      </c>
      <c r="J93" s="189" t="str">
        <f ca="1">IFERROR(__xludf.DUMMYFUNCTION("""COMPUTED_VALUE"""),"")</f>
        <v/>
      </c>
      <c r="K93" s="189" t="str">
        <f ca="1">IFERROR(__xludf.DUMMYFUNCTION("""COMPUTED_VALUE"""),"")</f>
        <v/>
      </c>
      <c r="L93" s="189" t="str">
        <f ca="1">IFERROR(__xludf.DUMMYFUNCTION("""COMPUTED_VALUE"""),"")</f>
        <v/>
      </c>
      <c r="M93" s="189" t="str">
        <f ca="1">IFERROR(__xludf.DUMMYFUNCTION("""COMPUTED_VALUE"""),"")</f>
        <v/>
      </c>
      <c r="N93" s="189" t="str">
        <f ca="1">IFERROR(__xludf.DUMMYFUNCTION("""COMPUTED_VALUE"""),"")</f>
        <v/>
      </c>
      <c r="O93" s="189" t="str">
        <f ca="1">IFERROR(__xludf.DUMMYFUNCTION("""COMPUTED_VALUE"""),"")</f>
        <v/>
      </c>
      <c r="P93" s="189" t="str">
        <f ca="1">IFERROR(__xludf.DUMMYFUNCTION("""COMPUTED_VALUE"""),"")</f>
        <v/>
      </c>
      <c r="Q93" s="189" t="str">
        <f ca="1">IFERROR(__xludf.DUMMYFUNCTION("""COMPUTED_VALUE"""),"")</f>
        <v/>
      </c>
      <c r="R93" s="189" t="str">
        <f ca="1">IFERROR(__xludf.DUMMYFUNCTION("""COMPUTED_VALUE"""),"")</f>
        <v/>
      </c>
      <c r="S93" s="189" t="str">
        <f ca="1">IFERROR(__xludf.DUMMYFUNCTION("""COMPUTED_VALUE"""),"")</f>
        <v/>
      </c>
      <c r="T93" s="189" t="str">
        <f ca="1">IFERROR(__xludf.DUMMYFUNCTION("""COMPUTED_VALUE"""),"")</f>
        <v/>
      </c>
      <c r="U93" s="189" t="str">
        <f ca="1">IFERROR(__xludf.DUMMYFUNCTION("""COMPUTED_VALUE"""),"")</f>
        <v/>
      </c>
      <c r="V93" s="189" t="str">
        <f ca="1">IFERROR(__xludf.DUMMYFUNCTION("""COMPUTED_VALUE"""),"")</f>
        <v/>
      </c>
      <c r="W93" s="189" t="str">
        <f ca="1">IFERROR(__xludf.DUMMYFUNCTION("""COMPUTED_VALUE"""),"")</f>
        <v/>
      </c>
      <c r="X93" s="189" t="str">
        <f ca="1">IFERROR(__xludf.DUMMYFUNCTION("""COMPUTED_VALUE"""),"")</f>
        <v/>
      </c>
      <c r="Y93" s="189" t="str">
        <f ca="1">IFERROR(__xludf.DUMMYFUNCTION("""COMPUTED_VALUE"""),"")</f>
        <v/>
      </c>
      <c r="Z93" s="189"/>
    </row>
    <row r="94" spans="1:26" ht="12.75">
      <c r="A94" s="189" t="str">
        <f ca="1">IFERROR(__xludf.DUMMYFUNCTION("""COMPUTED_VALUE"""),"SWAC-6-O")</f>
        <v>SWAC-6-O</v>
      </c>
      <c r="B94" s="189" t="str">
        <f ca="1">IFERROR(__xludf.DUMMYFUNCTION("""COMPUTED_VALUE"""),"LIMIT SWITCH")</f>
        <v>LIMIT SWITCH</v>
      </c>
      <c r="C94" s="189" t="str">
        <f ca="1">IFERROR(__xludf.DUMMYFUNCTION("""COMPUTED_VALUE"""),"UMB EXTEND ACC ISOLATION BALL VALVE OPEN")</f>
        <v>UMB EXTEND ACC ISOLATION BALL VALVE OPEN</v>
      </c>
      <c r="D94" s="189" t="str">
        <f ca="1">IFERROR(__xludf.DUMMYFUNCTION("""COMPUTED_VALUE"""),"")</f>
        <v/>
      </c>
      <c r="E94" s="189" t="str">
        <f ca="1">IFERROR(__xludf.DUMMYFUNCTION("""COMPUTED_VALUE"""),"")</f>
        <v/>
      </c>
      <c r="F94" s="189" t="str">
        <f ca="1">IFERROR(__xludf.DUMMYFUNCTION("""COMPUTED_VALUE"""),"")</f>
        <v/>
      </c>
      <c r="G94" s="189" t="str">
        <f ca="1">IFERROR(__xludf.DUMMYFUNCTION("""COMPUTED_VALUE"""),"")</f>
        <v/>
      </c>
      <c r="H94" s="189" t="str">
        <f ca="1">IFERROR(__xludf.DUMMYFUNCTION("""COMPUTED_VALUE"""),"")</f>
        <v/>
      </c>
      <c r="I94" s="120" t="str">
        <f ca="1">IFERROR(__xludf.DUMMYFUNCTION("""COMPUTED_VALUE"""),"WIRING TO TERMINAL BOX")</f>
        <v>WIRING TO TERMINAL BOX</v>
      </c>
      <c r="J94" s="189" t="str">
        <f ca="1">IFERROR(__xludf.DUMMYFUNCTION("""COMPUTED_VALUE"""),"")</f>
        <v/>
      </c>
      <c r="K94" s="189" t="str">
        <f ca="1">IFERROR(__xludf.DUMMYFUNCTION("""COMPUTED_VALUE"""),"")</f>
        <v/>
      </c>
      <c r="L94" s="189" t="str">
        <f ca="1">IFERROR(__xludf.DUMMYFUNCTION("""COMPUTED_VALUE"""),"")</f>
        <v/>
      </c>
      <c r="M94" s="189" t="str">
        <f ca="1">IFERROR(__xludf.DUMMYFUNCTION("""COMPUTED_VALUE"""),"")</f>
        <v/>
      </c>
      <c r="N94" s="189" t="str">
        <f ca="1">IFERROR(__xludf.DUMMYFUNCTION("""COMPUTED_VALUE"""),"")</f>
        <v/>
      </c>
      <c r="O94" s="189" t="str">
        <f ca="1">IFERROR(__xludf.DUMMYFUNCTION("""COMPUTED_VALUE"""),"")</f>
        <v/>
      </c>
      <c r="P94" s="189" t="str">
        <f ca="1">IFERROR(__xludf.DUMMYFUNCTION("""COMPUTED_VALUE"""),"")</f>
        <v/>
      </c>
      <c r="Q94" s="189" t="str">
        <f ca="1">IFERROR(__xludf.DUMMYFUNCTION("""COMPUTED_VALUE"""),"")</f>
        <v/>
      </c>
      <c r="R94" s="189" t="str">
        <f ca="1">IFERROR(__xludf.DUMMYFUNCTION("""COMPUTED_VALUE"""),"")</f>
        <v/>
      </c>
      <c r="S94" s="189" t="str">
        <f ca="1">IFERROR(__xludf.DUMMYFUNCTION("""COMPUTED_VALUE"""),"")</f>
        <v/>
      </c>
      <c r="T94" s="189" t="str">
        <f ca="1">IFERROR(__xludf.DUMMYFUNCTION("""COMPUTED_VALUE"""),"")</f>
        <v/>
      </c>
      <c r="U94" s="189" t="str">
        <f ca="1">IFERROR(__xludf.DUMMYFUNCTION("""COMPUTED_VALUE"""),"")</f>
        <v/>
      </c>
      <c r="V94" s="189" t="str">
        <f ca="1">IFERROR(__xludf.DUMMYFUNCTION("""COMPUTED_VALUE"""),"")</f>
        <v/>
      </c>
      <c r="W94" s="189" t="str">
        <f ca="1">IFERROR(__xludf.DUMMYFUNCTION("""COMPUTED_VALUE"""),"")</f>
        <v/>
      </c>
      <c r="X94" s="189" t="str">
        <f ca="1">IFERROR(__xludf.DUMMYFUNCTION("""COMPUTED_VALUE"""),"")</f>
        <v/>
      </c>
      <c r="Y94" s="189" t="str">
        <f ca="1">IFERROR(__xludf.DUMMYFUNCTION("""COMPUTED_VALUE"""),"")</f>
        <v/>
      </c>
      <c r="Z94" s="189"/>
    </row>
    <row r="95" spans="1:26" ht="12.75">
      <c r="A95" s="189" t="str">
        <f ca="1">IFERROR(__xludf.DUMMYFUNCTION("""COMPUTED_VALUE"""),"SWAC-6-C")</f>
        <v>SWAC-6-C</v>
      </c>
      <c r="B95" s="189" t="str">
        <f ca="1">IFERROR(__xludf.DUMMYFUNCTION("""COMPUTED_VALUE"""),"LIMIT SWITCH")</f>
        <v>LIMIT SWITCH</v>
      </c>
      <c r="C95" s="189" t="str">
        <f ca="1">IFERROR(__xludf.DUMMYFUNCTION("""COMPUTED_VALUE"""),"UMB EXTEND ACC ISOLATION BALL VALVE CLOSED")</f>
        <v>UMB EXTEND ACC ISOLATION BALL VALVE CLOSED</v>
      </c>
      <c r="D95" s="189" t="str">
        <f ca="1">IFERROR(__xludf.DUMMYFUNCTION("""COMPUTED_VALUE"""),"")</f>
        <v/>
      </c>
      <c r="E95" s="189" t="str">
        <f ca="1">IFERROR(__xludf.DUMMYFUNCTION("""COMPUTED_VALUE"""),"")</f>
        <v/>
      </c>
      <c r="F95" s="189" t="str">
        <f ca="1">IFERROR(__xludf.DUMMYFUNCTION("""COMPUTED_VALUE"""),"")</f>
        <v/>
      </c>
      <c r="G95" s="189" t="str">
        <f ca="1">IFERROR(__xludf.DUMMYFUNCTION("""COMPUTED_VALUE"""),"")</f>
        <v/>
      </c>
      <c r="H95" s="189" t="str">
        <f ca="1">IFERROR(__xludf.DUMMYFUNCTION("""COMPUTED_VALUE"""),"")</f>
        <v/>
      </c>
      <c r="I95" s="120" t="str">
        <f ca="1">IFERROR(__xludf.DUMMYFUNCTION("""COMPUTED_VALUE"""),"WIRING TO TERMINAL BOX")</f>
        <v>WIRING TO TERMINAL BOX</v>
      </c>
      <c r="J95" s="189" t="str">
        <f ca="1">IFERROR(__xludf.DUMMYFUNCTION("""COMPUTED_VALUE"""),"")</f>
        <v/>
      </c>
      <c r="K95" s="189" t="str">
        <f ca="1">IFERROR(__xludf.DUMMYFUNCTION("""COMPUTED_VALUE"""),"")</f>
        <v/>
      </c>
      <c r="L95" s="189" t="str">
        <f ca="1">IFERROR(__xludf.DUMMYFUNCTION("""COMPUTED_VALUE"""),"")</f>
        <v/>
      </c>
      <c r="M95" s="189" t="str">
        <f ca="1">IFERROR(__xludf.DUMMYFUNCTION("""COMPUTED_VALUE"""),"")</f>
        <v/>
      </c>
      <c r="N95" s="189" t="str">
        <f ca="1">IFERROR(__xludf.DUMMYFUNCTION("""COMPUTED_VALUE"""),"")</f>
        <v/>
      </c>
      <c r="O95" s="189" t="str">
        <f ca="1">IFERROR(__xludf.DUMMYFUNCTION("""COMPUTED_VALUE"""),"")</f>
        <v/>
      </c>
      <c r="P95" s="189" t="str">
        <f ca="1">IFERROR(__xludf.DUMMYFUNCTION("""COMPUTED_VALUE"""),"")</f>
        <v/>
      </c>
      <c r="Q95" s="189" t="str">
        <f ca="1">IFERROR(__xludf.DUMMYFUNCTION("""COMPUTED_VALUE"""),"")</f>
        <v/>
      </c>
      <c r="R95" s="189" t="str">
        <f ca="1">IFERROR(__xludf.DUMMYFUNCTION("""COMPUTED_VALUE"""),"")</f>
        <v/>
      </c>
      <c r="S95" s="189" t="str">
        <f ca="1">IFERROR(__xludf.DUMMYFUNCTION("""COMPUTED_VALUE"""),"")</f>
        <v/>
      </c>
      <c r="T95" s="189" t="str">
        <f ca="1">IFERROR(__xludf.DUMMYFUNCTION("""COMPUTED_VALUE"""),"")</f>
        <v/>
      </c>
      <c r="U95" s="189" t="str">
        <f ca="1">IFERROR(__xludf.DUMMYFUNCTION("""COMPUTED_VALUE"""),"")</f>
        <v/>
      </c>
      <c r="V95" s="189" t="str">
        <f ca="1">IFERROR(__xludf.DUMMYFUNCTION("""COMPUTED_VALUE"""),"")</f>
        <v/>
      </c>
      <c r="W95" s="189" t="str">
        <f ca="1">IFERROR(__xludf.DUMMYFUNCTION("""COMPUTED_VALUE"""),"")</f>
        <v/>
      </c>
      <c r="X95" s="189" t="str">
        <f ca="1">IFERROR(__xludf.DUMMYFUNCTION("""COMPUTED_VALUE"""),"")</f>
        <v/>
      </c>
      <c r="Y95" s="189" t="str">
        <f ca="1">IFERROR(__xludf.DUMMYFUNCTION("""COMPUTED_VALUE"""),"")</f>
        <v/>
      </c>
      <c r="Z95" s="189"/>
    </row>
    <row r="96" spans="1:26" ht="12.75">
      <c r="A96" s="189" t="str">
        <f ca="1">IFERROR(__xludf.DUMMYFUNCTION("""COMPUTED_VALUE"""),"SW29")</f>
        <v>SW29</v>
      </c>
      <c r="B96" s="189" t="str">
        <f ca="1">IFERROR(__xludf.DUMMYFUNCTION("""COMPUTED_VALUE"""),"POSITION SENSOR")</f>
        <v>POSITION SENSOR</v>
      </c>
      <c r="C96" s="189" t="str">
        <f ca="1">IFERROR(__xludf.DUMMYFUNCTION("""COMPUTED_VALUE"""),"UMB MAIN ACC DRAIN VALVE POSITION SENSOR")</f>
        <v>UMB MAIN ACC DRAIN VALVE POSITION SENSOR</v>
      </c>
      <c r="D96" s="189" t="str">
        <f ca="1">IFERROR(__xludf.DUMMYFUNCTION("""COMPUTED_VALUE"""),"24VDC NC")</f>
        <v>24VDC NC</v>
      </c>
      <c r="E96" s="189" t="str">
        <f ca="1">IFERROR(__xludf.DUMMYFUNCTION("""COMPUTED_VALUE"""),"NA")</f>
        <v>NA</v>
      </c>
      <c r="F96" s="189" t="str">
        <f ca="1">IFERROR(__xludf.DUMMYFUNCTION("""COMPUTED_VALUE"""),"NA")</f>
        <v>NA</v>
      </c>
      <c r="G96" s="189" t="str">
        <f ca="1">IFERROR(__xludf.DUMMYFUNCTION("""COMPUTED_VALUE"""),"SV58-P20-0-P-0-M3")</f>
        <v>SV58-P20-0-P-0-M3</v>
      </c>
      <c r="H96" s="189">
        <f ca="1">IFERROR(__xludf.DUMMYFUNCTION("""COMPUTED_VALUE"""),45)</f>
        <v>45</v>
      </c>
      <c r="I96" s="120" t="str">
        <f ca="1">IFERROR(__xludf.DUMMYFUNCTION("""COMPUTED_VALUE"""),"M12")</f>
        <v>M12</v>
      </c>
      <c r="J96" s="189" t="str">
        <f ca="1">IFERROR(__xludf.DUMMYFUNCTION("""COMPUTED_VALUE"""),"")</f>
        <v/>
      </c>
      <c r="K96" s="189" t="str">
        <f ca="1">IFERROR(__xludf.DUMMYFUNCTION("""COMPUTED_VALUE"""),"")</f>
        <v/>
      </c>
      <c r="L96" s="189" t="str">
        <f ca="1">IFERROR(__xludf.DUMMYFUNCTION("""COMPUTED_VALUE"""),"")</f>
        <v/>
      </c>
      <c r="M96" s="189" t="str">
        <f ca="1">IFERROR(__xludf.DUMMYFUNCTION("""COMPUTED_VALUE"""),"")</f>
        <v/>
      </c>
      <c r="N96" s="189" t="str">
        <f ca="1">IFERROR(__xludf.DUMMYFUNCTION("""COMPUTED_VALUE"""),"")</f>
        <v/>
      </c>
      <c r="O96" s="189" t="str">
        <f ca="1">IFERROR(__xludf.DUMMYFUNCTION("""COMPUTED_VALUE"""),"")</f>
        <v/>
      </c>
      <c r="P96" s="189" t="str">
        <f ca="1">IFERROR(__xludf.DUMMYFUNCTION("""COMPUTED_VALUE"""),"")</f>
        <v/>
      </c>
      <c r="Q96" s="189" t="str">
        <f ca="1">IFERROR(__xludf.DUMMYFUNCTION("""COMPUTED_VALUE"""),"")</f>
        <v/>
      </c>
      <c r="R96" s="189" t="str">
        <f ca="1">IFERROR(__xludf.DUMMYFUNCTION("""COMPUTED_VALUE"""),"")</f>
        <v/>
      </c>
      <c r="S96" s="189" t="str">
        <f ca="1">IFERROR(__xludf.DUMMYFUNCTION("""COMPUTED_VALUE"""),"")</f>
        <v/>
      </c>
      <c r="T96" s="189" t="str">
        <f ca="1">IFERROR(__xludf.DUMMYFUNCTION("""COMPUTED_VALUE"""),"")</f>
        <v/>
      </c>
      <c r="U96" s="189" t="str">
        <f ca="1">IFERROR(__xludf.DUMMYFUNCTION("""COMPUTED_VALUE"""),"")</f>
        <v/>
      </c>
      <c r="V96" s="189" t="str">
        <f ca="1">IFERROR(__xludf.DUMMYFUNCTION("""COMPUTED_VALUE"""),"")</f>
        <v/>
      </c>
      <c r="W96" s="189" t="str">
        <f ca="1">IFERROR(__xludf.DUMMYFUNCTION("""COMPUTED_VALUE"""),"")</f>
        <v/>
      </c>
      <c r="X96" s="189" t="str">
        <f ca="1">IFERROR(__xludf.DUMMYFUNCTION("""COMPUTED_VALUE"""),"")</f>
        <v/>
      </c>
      <c r="Y96" s="189" t="str">
        <f ca="1">IFERROR(__xludf.DUMMYFUNCTION("""COMPUTED_VALUE"""),"")</f>
        <v/>
      </c>
      <c r="Z96" s="189"/>
    </row>
    <row r="97" spans="1:26" ht="12.75">
      <c r="A97" s="189" t="str">
        <f ca="1">IFERROR(__xludf.DUMMYFUNCTION("""COMPUTED_VALUE"""),"S29")</f>
        <v>S29</v>
      </c>
      <c r="B97" s="189" t="str">
        <f ca="1">IFERROR(__xludf.DUMMYFUNCTION("""COMPUTED_VALUE"""),"ON/OFF SOLENOID VALVE")</f>
        <v>ON/OFF SOLENOID VALVE</v>
      </c>
      <c r="C97" s="189" t="str">
        <f ca="1">IFERROR(__xludf.DUMMYFUNCTION("""COMPUTED_VALUE"""),"UMB MAIN ACC SOLENOID DRAIN (NORMALLY CLOSED)")</f>
        <v>UMB MAIN ACC SOLENOID DRAIN (NORMALLY CLOSED)</v>
      </c>
      <c r="D97" s="189" t="str">
        <f ca="1">IFERROR(__xludf.DUMMYFUNCTION("""COMPUTED_VALUE"""),"24VDC 17W")</f>
        <v>24VDC 17W</v>
      </c>
      <c r="E97" s="189" t="str">
        <f ca="1">IFERROR(__xludf.DUMMYFUNCTION("""COMPUTED_VALUE"""),"NA")</f>
        <v>NA</v>
      </c>
      <c r="F97" s="189" t="str">
        <f ca="1">IFERROR(__xludf.DUMMYFUNCTION("""COMPUTED_VALUE"""),"NA")</f>
        <v>NA</v>
      </c>
      <c r="G97" s="189" t="str">
        <f ca="1">IFERROR(__xludf.DUMMYFUNCTION("""COMPUTED_VALUE"""),"SV58-P20-0-P-0-M3")</f>
        <v>SV58-P20-0-P-0-M3</v>
      </c>
      <c r="H97" s="189">
        <f ca="1">IFERROR(__xludf.DUMMYFUNCTION("""COMPUTED_VALUE"""),45)</f>
        <v>45</v>
      </c>
      <c r="I97" s="120" t="str">
        <f ca="1">IFERROR(__xludf.DUMMYFUNCTION("""COMPUTED_VALUE"""),"DEUTSCH DTO4-2P (CONNECTOR INCLUDED)")</f>
        <v>DEUTSCH DTO4-2P (CONNECTOR INCLUDED)</v>
      </c>
      <c r="J97" s="189" t="str">
        <f ca="1">IFERROR(__xludf.DUMMYFUNCTION("""COMPUTED_VALUE"""),"")</f>
        <v/>
      </c>
      <c r="K97" s="189" t="str">
        <f ca="1">IFERROR(__xludf.DUMMYFUNCTION("""COMPUTED_VALUE"""),"")</f>
        <v/>
      </c>
      <c r="L97" s="189" t="str">
        <f ca="1">IFERROR(__xludf.DUMMYFUNCTION("""COMPUTED_VALUE"""),"")</f>
        <v/>
      </c>
      <c r="M97" s="189" t="str">
        <f ca="1">IFERROR(__xludf.DUMMYFUNCTION("""COMPUTED_VALUE"""),"")</f>
        <v/>
      </c>
      <c r="N97" s="189" t="str">
        <f ca="1">IFERROR(__xludf.DUMMYFUNCTION("""COMPUTED_VALUE"""),"")</f>
        <v/>
      </c>
      <c r="O97" s="189" t="str">
        <f ca="1">IFERROR(__xludf.DUMMYFUNCTION("""COMPUTED_VALUE"""),"")</f>
        <v/>
      </c>
      <c r="P97" s="189" t="str">
        <f ca="1">IFERROR(__xludf.DUMMYFUNCTION("""COMPUTED_VALUE"""),"")</f>
        <v/>
      </c>
      <c r="Q97" s="189" t="str">
        <f ca="1">IFERROR(__xludf.DUMMYFUNCTION("""COMPUTED_VALUE"""),"")</f>
        <v/>
      </c>
      <c r="R97" s="189" t="str">
        <f ca="1">IFERROR(__xludf.DUMMYFUNCTION("""COMPUTED_VALUE"""),"")</f>
        <v/>
      </c>
      <c r="S97" s="189" t="str">
        <f ca="1">IFERROR(__xludf.DUMMYFUNCTION("""COMPUTED_VALUE"""),"")</f>
        <v/>
      </c>
      <c r="T97" s="189" t="str">
        <f ca="1">IFERROR(__xludf.DUMMYFUNCTION("""COMPUTED_VALUE"""),"")</f>
        <v/>
      </c>
      <c r="U97" s="189" t="str">
        <f ca="1">IFERROR(__xludf.DUMMYFUNCTION("""COMPUTED_VALUE"""),"")</f>
        <v/>
      </c>
      <c r="V97" s="189" t="str">
        <f ca="1">IFERROR(__xludf.DUMMYFUNCTION("""COMPUTED_VALUE"""),"")</f>
        <v/>
      </c>
      <c r="W97" s="189" t="str">
        <f ca="1">IFERROR(__xludf.DUMMYFUNCTION("""COMPUTED_VALUE"""),"")</f>
        <v/>
      </c>
      <c r="X97" s="189" t="str">
        <f ca="1">IFERROR(__xludf.DUMMYFUNCTION("""COMPUTED_VALUE"""),"")</f>
        <v/>
      </c>
      <c r="Y97" s="189" t="str">
        <f ca="1">IFERROR(__xludf.DUMMYFUNCTION("""COMPUTED_VALUE"""),"")</f>
        <v/>
      </c>
      <c r="Z97" s="189"/>
    </row>
    <row r="98" spans="1:26" ht="12.75">
      <c r="A98" s="189" t="str">
        <f ca="1">IFERROR(__xludf.DUMMYFUNCTION("""COMPUTED_VALUE"""),"S30.1")</f>
        <v>S30.1</v>
      </c>
      <c r="B98" s="189" t="str">
        <f ca="1">IFERROR(__xludf.DUMMYFUNCTION("""COMPUTED_VALUE"""),"ON/OFF SOLENOID VALVE")</f>
        <v>ON/OFF SOLENOID VALVE</v>
      </c>
      <c r="C98" s="189" t="str">
        <f ca="1">IFERROR(__xludf.DUMMYFUNCTION("""COMPUTED_VALUE"""),"UMBILICAL CYLIDER EXTEND VALVE 1")</f>
        <v>UMBILICAL CYLIDER EXTEND VALVE 1</v>
      </c>
      <c r="D98" s="189" t="str">
        <f ca="1">IFERROR(__xludf.DUMMYFUNCTION("""COMPUTED_VALUE"""),"24VDC 36W")</f>
        <v>24VDC 36W</v>
      </c>
      <c r="E98" s="121" t="str">
        <f ca="1">IFERROR(__xludf.DUMMYFUNCTION("""COMPUTED_VALUE"""),"NA ")</f>
        <v xml:space="preserve">NA </v>
      </c>
      <c r="F98" s="121" t="str">
        <f ca="1">IFERROR(__xludf.DUMMYFUNCTION("""COMPUTED_VALUE"""),"NA ")</f>
        <v xml:space="preserve">NA </v>
      </c>
      <c r="G98" s="189" t="str">
        <f ca="1">IFERROR(__xludf.DUMMYFUNCTION("""COMPUTED_VALUE"""),"02-414486")</f>
        <v>02-414486</v>
      </c>
      <c r="H98" s="189">
        <f ca="1">IFERROR(__xludf.DUMMYFUNCTION("""COMPUTED_VALUE"""),34)</f>
        <v>34</v>
      </c>
      <c r="I98" s="120" t="str">
        <f ca="1">IFERROR(__xludf.DUMMYFUNCTION("""COMPUTED_VALUE"""),"DEUTSCH DTO4-2P (CONNECTOR INCLUDED)")</f>
        <v>DEUTSCH DTO4-2P (CONNECTOR INCLUDED)</v>
      </c>
      <c r="J98" s="189" t="str">
        <f ca="1">IFERROR(__xludf.DUMMYFUNCTION("""COMPUTED_VALUE"""),"")</f>
        <v/>
      </c>
      <c r="K98" s="189" t="str">
        <f ca="1">IFERROR(__xludf.DUMMYFUNCTION("""COMPUTED_VALUE"""),"")</f>
        <v/>
      </c>
      <c r="L98" s="189" t="str">
        <f ca="1">IFERROR(__xludf.DUMMYFUNCTION("""COMPUTED_VALUE"""),"")</f>
        <v/>
      </c>
      <c r="M98" s="189" t="str">
        <f ca="1">IFERROR(__xludf.DUMMYFUNCTION("""COMPUTED_VALUE"""),"")</f>
        <v/>
      </c>
      <c r="N98" s="189" t="str">
        <f ca="1">IFERROR(__xludf.DUMMYFUNCTION("""COMPUTED_VALUE"""),"")</f>
        <v/>
      </c>
      <c r="O98" s="189" t="str">
        <f ca="1">IFERROR(__xludf.DUMMYFUNCTION("""COMPUTED_VALUE"""),"")</f>
        <v/>
      </c>
      <c r="P98" s="189" t="str">
        <f ca="1">IFERROR(__xludf.DUMMYFUNCTION("""COMPUTED_VALUE"""),"")</f>
        <v/>
      </c>
      <c r="Q98" s="189" t="str">
        <f ca="1">IFERROR(__xludf.DUMMYFUNCTION("""COMPUTED_VALUE"""),"")</f>
        <v/>
      </c>
      <c r="R98" s="189" t="str">
        <f ca="1">IFERROR(__xludf.DUMMYFUNCTION("""COMPUTED_VALUE"""),"")</f>
        <v/>
      </c>
      <c r="S98" s="189" t="str">
        <f ca="1">IFERROR(__xludf.DUMMYFUNCTION("""COMPUTED_VALUE"""),"")</f>
        <v/>
      </c>
      <c r="T98" s="189" t="str">
        <f ca="1">IFERROR(__xludf.DUMMYFUNCTION("""COMPUTED_VALUE"""),"")</f>
        <v/>
      </c>
      <c r="U98" s="189" t="str">
        <f ca="1">IFERROR(__xludf.DUMMYFUNCTION("""COMPUTED_VALUE"""),"")</f>
        <v/>
      </c>
      <c r="V98" s="189" t="str">
        <f ca="1">IFERROR(__xludf.DUMMYFUNCTION("""COMPUTED_VALUE"""),"")</f>
        <v/>
      </c>
      <c r="W98" s="189" t="str">
        <f ca="1">IFERROR(__xludf.DUMMYFUNCTION("""COMPUTED_VALUE"""),"")</f>
        <v/>
      </c>
      <c r="X98" s="189" t="str">
        <f ca="1">IFERROR(__xludf.DUMMYFUNCTION("""COMPUTED_VALUE"""),"")</f>
        <v/>
      </c>
      <c r="Y98" s="189" t="str">
        <f ca="1">IFERROR(__xludf.DUMMYFUNCTION("""COMPUTED_VALUE"""),"")</f>
        <v/>
      </c>
      <c r="Z98" s="189"/>
    </row>
    <row r="99" spans="1:26" ht="12.75">
      <c r="A99" s="189" t="str">
        <f ca="1">IFERROR(__xludf.DUMMYFUNCTION("""COMPUTED_VALUE"""),"S30.2")</f>
        <v>S30.2</v>
      </c>
      <c r="B99" s="189" t="str">
        <f ca="1">IFERROR(__xludf.DUMMYFUNCTION("""COMPUTED_VALUE"""),"ON/OFF SOLENOID VALVE")</f>
        <v>ON/OFF SOLENOID VALVE</v>
      </c>
      <c r="C99" s="189" t="str">
        <f ca="1">IFERROR(__xludf.DUMMYFUNCTION("""COMPUTED_VALUE"""),"UMBILICAL CYLINDER SLOW RETRACT VALVE 1")</f>
        <v>UMBILICAL CYLINDER SLOW RETRACT VALVE 1</v>
      </c>
      <c r="D99" s="189" t="str">
        <f ca="1">IFERROR(__xludf.DUMMYFUNCTION("""COMPUTED_VALUE"""),"24VDC 36W")</f>
        <v>24VDC 36W</v>
      </c>
      <c r="E99" s="121" t="str">
        <f ca="1">IFERROR(__xludf.DUMMYFUNCTION("""COMPUTED_VALUE"""),"NA ")</f>
        <v xml:space="preserve">NA </v>
      </c>
      <c r="F99" s="121" t="str">
        <f ca="1">IFERROR(__xludf.DUMMYFUNCTION("""COMPUTED_VALUE"""),"NA ")</f>
        <v xml:space="preserve">NA </v>
      </c>
      <c r="G99" s="189" t="str">
        <f ca="1">IFERROR(__xludf.DUMMYFUNCTION("""COMPUTED_VALUE"""),"02-414486")</f>
        <v>02-414486</v>
      </c>
      <c r="H99" s="189">
        <f ca="1">IFERROR(__xludf.DUMMYFUNCTION("""COMPUTED_VALUE"""),34)</f>
        <v>34</v>
      </c>
      <c r="I99" s="120" t="str">
        <f ca="1">IFERROR(__xludf.DUMMYFUNCTION("""COMPUTED_VALUE"""),"DEUTSCH DTO4-2P (CONNECTOR INCLUDED)")</f>
        <v>DEUTSCH DTO4-2P (CONNECTOR INCLUDED)</v>
      </c>
      <c r="J99" s="189" t="str">
        <f ca="1">IFERROR(__xludf.DUMMYFUNCTION("""COMPUTED_VALUE"""),"")</f>
        <v/>
      </c>
      <c r="K99" s="189" t="str">
        <f ca="1">IFERROR(__xludf.DUMMYFUNCTION("""COMPUTED_VALUE"""),"")</f>
        <v/>
      </c>
      <c r="L99" s="189" t="str">
        <f ca="1">IFERROR(__xludf.DUMMYFUNCTION("""COMPUTED_VALUE"""),"")</f>
        <v/>
      </c>
      <c r="M99" s="189" t="str">
        <f ca="1">IFERROR(__xludf.DUMMYFUNCTION("""COMPUTED_VALUE"""),"")</f>
        <v/>
      </c>
      <c r="N99" s="189" t="str">
        <f ca="1">IFERROR(__xludf.DUMMYFUNCTION("""COMPUTED_VALUE"""),"")</f>
        <v/>
      </c>
      <c r="O99" s="189" t="str">
        <f ca="1">IFERROR(__xludf.DUMMYFUNCTION("""COMPUTED_VALUE"""),"")</f>
        <v/>
      </c>
      <c r="P99" s="189" t="str">
        <f ca="1">IFERROR(__xludf.DUMMYFUNCTION("""COMPUTED_VALUE"""),"")</f>
        <v/>
      </c>
      <c r="Q99" s="189" t="str">
        <f ca="1">IFERROR(__xludf.DUMMYFUNCTION("""COMPUTED_VALUE"""),"")</f>
        <v/>
      </c>
      <c r="R99" s="189" t="str">
        <f ca="1">IFERROR(__xludf.DUMMYFUNCTION("""COMPUTED_VALUE"""),"")</f>
        <v/>
      </c>
      <c r="S99" s="189" t="str">
        <f ca="1">IFERROR(__xludf.DUMMYFUNCTION("""COMPUTED_VALUE"""),"")</f>
        <v/>
      </c>
      <c r="T99" s="189" t="str">
        <f ca="1">IFERROR(__xludf.DUMMYFUNCTION("""COMPUTED_VALUE"""),"")</f>
        <v/>
      </c>
      <c r="U99" s="189" t="str">
        <f ca="1">IFERROR(__xludf.DUMMYFUNCTION("""COMPUTED_VALUE"""),"")</f>
        <v/>
      </c>
      <c r="V99" s="189" t="str">
        <f ca="1">IFERROR(__xludf.DUMMYFUNCTION("""COMPUTED_VALUE"""),"")</f>
        <v/>
      </c>
      <c r="W99" s="189" t="str">
        <f ca="1">IFERROR(__xludf.DUMMYFUNCTION("""COMPUTED_VALUE"""),"")</f>
        <v/>
      </c>
      <c r="X99" s="189" t="str">
        <f ca="1">IFERROR(__xludf.DUMMYFUNCTION("""COMPUTED_VALUE"""),"")</f>
        <v/>
      </c>
      <c r="Y99" s="189" t="str">
        <f ca="1">IFERROR(__xludf.DUMMYFUNCTION("""COMPUTED_VALUE"""),"")</f>
        <v/>
      </c>
      <c r="Z99" s="189"/>
    </row>
    <row r="100" spans="1:26" ht="12.75">
      <c r="A100" s="189" t="str">
        <f ca="1">IFERROR(__xludf.DUMMYFUNCTION("""COMPUTED_VALUE"""),"S31.1")</f>
        <v>S31.1</v>
      </c>
      <c r="B100" s="189" t="str">
        <f ca="1">IFERROR(__xludf.DUMMYFUNCTION("""COMPUTED_VALUE"""),"ON/OFF SOLENOID VALVE")</f>
        <v>ON/OFF SOLENOID VALVE</v>
      </c>
      <c r="C100" s="189" t="str">
        <f ca="1">IFERROR(__xludf.DUMMYFUNCTION("""COMPUTED_VALUE"""),"UMBILICAL CYLIDER EXTEND VALVE 2")</f>
        <v>UMBILICAL CYLIDER EXTEND VALVE 2</v>
      </c>
      <c r="D100" s="189" t="str">
        <f ca="1">IFERROR(__xludf.DUMMYFUNCTION("""COMPUTED_VALUE"""),"24VDC 36W")</f>
        <v>24VDC 36W</v>
      </c>
      <c r="E100" s="121" t="str">
        <f ca="1">IFERROR(__xludf.DUMMYFUNCTION("""COMPUTED_VALUE"""),"NA ")</f>
        <v xml:space="preserve">NA </v>
      </c>
      <c r="F100" s="121" t="str">
        <f ca="1">IFERROR(__xludf.DUMMYFUNCTION("""COMPUTED_VALUE"""),"NA ")</f>
        <v xml:space="preserve">NA </v>
      </c>
      <c r="G100" s="189" t="str">
        <f ca="1">IFERROR(__xludf.DUMMYFUNCTION("""COMPUTED_VALUE"""),"02-414486")</f>
        <v>02-414486</v>
      </c>
      <c r="H100" s="189">
        <f ca="1">IFERROR(__xludf.DUMMYFUNCTION("""COMPUTED_VALUE"""),34)</f>
        <v>34</v>
      </c>
      <c r="I100" s="120" t="str">
        <f ca="1">IFERROR(__xludf.DUMMYFUNCTION("""COMPUTED_VALUE"""),"DEUTSCH DTO4-2P (CONNECTOR INCLUDED)")</f>
        <v>DEUTSCH DTO4-2P (CONNECTOR INCLUDED)</v>
      </c>
      <c r="J100" s="189" t="str">
        <f ca="1">IFERROR(__xludf.DUMMYFUNCTION("""COMPUTED_VALUE"""),"")</f>
        <v/>
      </c>
      <c r="K100" s="189" t="str">
        <f ca="1">IFERROR(__xludf.DUMMYFUNCTION("""COMPUTED_VALUE"""),"")</f>
        <v/>
      </c>
      <c r="L100" s="189" t="str">
        <f ca="1">IFERROR(__xludf.DUMMYFUNCTION("""COMPUTED_VALUE"""),"")</f>
        <v/>
      </c>
      <c r="M100" s="189" t="str">
        <f ca="1">IFERROR(__xludf.DUMMYFUNCTION("""COMPUTED_VALUE"""),"")</f>
        <v/>
      </c>
      <c r="N100" s="189" t="str">
        <f ca="1">IFERROR(__xludf.DUMMYFUNCTION("""COMPUTED_VALUE"""),"")</f>
        <v/>
      </c>
      <c r="O100" s="189" t="str">
        <f ca="1">IFERROR(__xludf.DUMMYFUNCTION("""COMPUTED_VALUE"""),"")</f>
        <v/>
      </c>
      <c r="P100" s="189" t="str">
        <f ca="1">IFERROR(__xludf.DUMMYFUNCTION("""COMPUTED_VALUE"""),"")</f>
        <v/>
      </c>
      <c r="Q100" s="189" t="str">
        <f ca="1">IFERROR(__xludf.DUMMYFUNCTION("""COMPUTED_VALUE"""),"")</f>
        <v/>
      </c>
      <c r="R100" s="189" t="str">
        <f ca="1">IFERROR(__xludf.DUMMYFUNCTION("""COMPUTED_VALUE"""),"")</f>
        <v/>
      </c>
      <c r="S100" s="189" t="str">
        <f ca="1">IFERROR(__xludf.DUMMYFUNCTION("""COMPUTED_VALUE"""),"")</f>
        <v/>
      </c>
      <c r="T100" s="189" t="str">
        <f ca="1">IFERROR(__xludf.DUMMYFUNCTION("""COMPUTED_VALUE"""),"")</f>
        <v/>
      </c>
      <c r="U100" s="189" t="str">
        <f ca="1">IFERROR(__xludf.DUMMYFUNCTION("""COMPUTED_VALUE"""),"")</f>
        <v/>
      </c>
      <c r="V100" s="189" t="str">
        <f ca="1">IFERROR(__xludf.DUMMYFUNCTION("""COMPUTED_VALUE"""),"")</f>
        <v/>
      </c>
      <c r="W100" s="189" t="str">
        <f ca="1">IFERROR(__xludf.DUMMYFUNCTION("""COMPUTED_VALUE"""),"")</f>
        <v/>
      </c>
      <c r="X100" s="189" t="str">
        <f ca="1">IFERROR(__xludf.DUMMYFUNCTION("""COMPUTED_VALUE"""),"")</f>
        <v/>
      </c>
      <c r="Y100" s="189" t="str">
        <f ca="1">IFERROR(__xludf.DUMMYFUNCTION("""COMPUTED_VALUE"""),"")</f>
        <v/>
      </c>
      <c r="Z100" s="189"/>
    </row>
    <row r="101" spans="1:26" ht="12.75">
      <c r="A101" s="189" t="str">
        <f ca="1">IFERROR(__xludf.DUMMYFUNCTION("""COMPUTED_VALUE"""),"S31.2")</f>
        <v>S31.2</v>
      </c>
      <c r="B101" s="189" t="str">
        <f ca="1">IFERROR(__xludf.DUMMYFUNCTION("""COMPUTED_VALUE"""),"ON/OFF SOLENOID VALVE")</f>
        <v>ON/OFF SOLENOID VALVE</v>
      </c>
      <c r="C101" s="189" t="str">
        <f ca="1">IFERROR(__xludf.DUMMYFUNCTION("""COMPUTED_VALUE"""),"UMBILICAL CYLINDER SLOW RETRACT VALVE 2")</f>
        <v>UMBILICAL CYLINDER SLOW RETRACT VALVE 2</v>
      </c>
      <c r="D101" s="189" t="str">
        <f ca="1">IFERROR(__xludf.DUMMYFUNCTION("""COMPUTED_VALUE"""),"24VDC 36W")</f>
        <v>24VDC 36W</v>
      </c>
      <c r="E101" s="121" t="str">
        <f ca="1">IFERROR(__xludf.DUMMYFUNCTION("""COMPUTED_VALUE"""),"NA ")</f>
        <v xml:space="preserve">NA </v>
      </c>
      <c r="F101" s="121" t="str">
        <f ca="1">IFERROR(__xludf.DUMMYFUNCTION("""COMPUTED_VALUE"""),"NA ")</f>
        <v xml:space="preserve">NA </v>
      </c>
      <c r="G101" s="189" t="str">
        <f ca="1">IFERROR(__xludf.DUMMYFUNCTION("""COMPUTED_VALUE"""),"02-414486")</f>
        <v>02-414486</v>
      </c>
      <c r="H101" s="189">
        <f ca="1">IFERROR(__xludf.DUMMYFUNCTION("""COMPUTED_VALUE"""),34)</f>
        <v>34</v>
      </c>
      <c r="I101" s="120" t="str">
        <f ca="1">IFERROR(__xludf.DUMMYFUNCTION("""COMPUTED_VALUE"""),"DEUTSCH DTO4-2P (CONNECTOR INCLUDED)")</f>
        <v>DEUTSCH DTO4-2P (CONNECTOR INCLUDED)</v>
      </c>
      <c r="J101" s="189" t="str">
        <f ca="1">IFERROR(__xludf.DUMMYFUNCTION("""COMPUTED_VALUE"""),"")</f>
        <v/>
      </c>
      <c r="K101" s="189" t="str">
        <f ca="1">IFERROR(__xludf.DUMMYFUNCTION("""COMPUTED_VALUE"""),"")</f>
        <v/>
      </c>
      <c r="L101" s="189" t="str">
        <f ca="1">IFERROR(__xludf.DUMMYFUNCTION("""COMPUTED_VALUE"""),"")</f>
        <v/>
      </c>
      <c r="M101" s="189" t="str">
        <f ca="1">IFERROR(__xludf.DUMMYFUNCTION("""COMPUTED_VALUE"""),"")</f>
        <v/>
      </c>
      <c r="N101" s="189" t="str">
        <f ca="1">IFERROR(__xludf.DUMMYFUNCTION("""COMPUTED_VALUE"""),"")</f>
        <v/>
      </c>
      <c r="O101" s="189" t="str">
        <f ca="1">IFERROR(__xludf.DUMMYFUNCTION("""COMPUTED_VALUE"""),"")</f>
        <v/>
      </c>
      <c r="P101" s="189" t="str">
        <f ca="1">IFERROR(__xludf.DUMMYFUNCTION("""COMPUTED_VALUE"""),"")</f>
        <v/>
      </c>
      <c r="Q101" s="189" t="str">
        <f ca="1">IFERROR(__xludf.DUMMYFUNCTION("""COMPUTED_VALUE"""),"")</f>
        <v/>
      </c>
      <c r="R101" s="189" t="str">
        <f ca="1">IFERROR(__xludf.DUMMYFUNCTION("""COMPUTED_VALUE"""),"")</f>
        <v/>
      </c>
      <c r="S101" s="189" t="str">
        <f ca="1">IFERROR(__xludf.DUMMYFUNCTION("""COMPUTED_VALUE"""),"")</f>
        <v/>
      </c>
      <c r="T101" s="189" t="str">
        <f ca="1">IFERROR(__xludf.DUMMYFUNCTION("""COMPUTED_VALUE"""),"")</f>
        <v/>
      </c>
      <c r="U101" s="189" t="str">
        <f ca="1">IFERROR(__xludf.DUMMYFUNCTION("""COMPUTED_VALUE"""),"")</f>
        <v/>
      </c>
      <c r="V101" s="189" t="str">
        <f ca="1">IFERROR(__xludf.DUMMYFUNCTION("""COMPUTED_VALUE"""),"")</f>
        <v/>
      </c>
      <c r="W101" s="189" t="str">
        <f ca="1">IFERROR(__xludf.DUMMYFUNCTION("""COMPUTED_VALUE"""),"")</f>
        <v/>
      </c>
      <c r="X101" s="189" t="str">
        <f ca="1">IFERROR(__xludf.DUMMYFUNCTION("""COMPUTED_VALUE"""),"")</f>
        <v/>
      </c>
      <c r="Y101" s="189" t="str">
        <f ca="1">IFERROR(__xludf.DUMMYFUNCTION("""COMPUTED_VALUE"""),"")</f>
        <v/>
      </c>
      <c r="Z101" s="189"/>
    </row>
    <row r="102" spans="1:26" ht="12.75">
      <c r="A102" s="189" t="str">
        <f ca="1">IFERROR(__xludf.DUMMYFUNCTION("""COMPUTED_VALUE"""),"S32.1")</f>
        <v>S32.1</v>
      </c>
      <c r="B102" s="189" t="str">
        <f ca="1">IFERROR(__xludf.DUMMYFUNCTION("""COMPUTED_VALUE"""),"ON/OFF SOLENOID VALVE")</f>
        <v>ON/OFF SOLENOID VALVE</v>
      </c>
      <c r="C102" s="189" t="str">
        <f ca="1">IFERROR(__xludf.DUMMYFUNCTION("""COMPUTED_VALUE"""),"PRE VALVE CLOSE DETENTED")</f>
        <v>PRE VALVE CLOSE DETENTED</v>
      </c>
      <c r="D102" s="189" t="str">
        <f ca="1">IFERROR(__xludf.DUMMYFUNCTION("""COMPUTED_VALUE"""),"24VDC 36W")</f>
        <v>24VDC 36W</v>
      </c>
      <c r="E102" s="121" t="str">
        <f ca="1">IFERROR(__xludf.DUMMYFUNCTION("""COMPUTED_VALUE"""),"NA ")</f>
        <v xml:space="preserve">NA </v>
      </c>
      <c r="F102" s="121" t="str">
        <f ca="1">IFERROR(__xludf.DUMMYFUNCTION("""COMPUTED_VALUE"""),"NA ")</f>
        <v xml:space="preserve">NA </v>
      </c>
      <c r="G102" s="189" t="str">
        <f ca="1">IFERROR(__xludf.DUMMYFUNCTION("""COMPUTED_VALUE"""),"E040121")</f>
        <v>E040121</v>
      </c>
      <c r="H102" s="189">
        <f ca="1">IFERROR(__xludf.DUMMYFUNCTION("""COMPUTED_VALUE"""),78)</f>
        <v>78</v>
      </c>
      <c r="I102" s="120" t="str">
        <f ca="1">IFERROR(__xludf.DUMMYFUNCTION("""COMPUTED_VALUE"""),"DEUTSCH DTO4-2P (CONNECTOR INCLUDED)")</f>
        <v>DEUTSCH DTO4-2P (CONNECTOR INCLUDED)</v>
      </c>
      <c r="J102" s="189" t="str">
        <f ca="1">IFERROR(__xludf.DUMMYFUNCTION("""COMPUTED_VALUE"""),"")</f>
        <v/>
      </c>
      <c r="K102" s="189" t="str">
        <f ca="1">IFERROR(__xludf.DUMMYFUNCTION("""COMPUTED_VALUE"""),"")</f>
        <v/>
      </c>
      <c r="L102" s="189" t="str">
        <f ca="1">IFERROR(__xludf.DUMMYFUNCTION("""COMPUTED_VALUE"""),"")</f>
        <v/>
      </c>
      <c r="M102" s="189" t="str">
        <f ca="1">IFERROR(__xludf.DUMMYFUNCTION("""COMPUTED_VALUE"""),"")</f>
        <v/>
      </c>
      <c r="N102" s="189" t="str">
        <f ca="1">IFERROR(__xludf.DUMMYFUNCTION("""COMPUTED_VALUE"""),"")</f>
        <v/>
      </c>
      <c r="O102" s="189" t="str">
        <f ca="1">IFERROR(__xludf.DUMMYFUNCTION("""COMPUTED_VALUE"""),"")</f>
        <v/>
      </c>
      <c r="P102" s="189" t="str">
        <f ca="1">IFERROR(__xludf.DUMMYFUNCTION("""COMPUTED_VALUE"""),"")</f>
        <v/>
      </c>
      <c r="Q102" s="189" t="str">
        <f ca="1">IFERROR(__xludf.DUMMYFUNCTION("""COMPUTED_VALUE"""),"")</f>
        <v/>
      </c>
      <c r="R102" s="189" t="str">
        <f ca="1">IFERROR(__xludf.DUMMYFUNCTION("""COMPUTED_VALUE"""),"")</f>
        <v/>
      </c>
      <c r="S102" s="189" t="str">
        <f ca="1">IFERROR(__xludf.DUMMYFUNCTION("""COMPUTED_VALUE"""),"")</f>
        <v/>
      </c>
      <c r="T102" s="189" t="str">
        <f ca="1">IFERROR(__xludf.DUMMYFUNCTION("""COMPUTED_VALUE"""),"")</f>
        <v/>
      </c>
      <c r="U102" s="189" t="str">
        <f ca="1">IFERROR(__xludf.DUMMYFUNCTION("""COMPUTED_VALUE"""),"")</f>
        <v/>
      </c>
      <c r="V102" s="189" t="str">
        <f ca="1">IFERROR(__xludf.DUMMYFUNCTION("""COMPUTED_VALUE"""),"")</f>
        <v/>
      </c>
      <c r="W102" s="189" t="str">
        <f ca="1">IFERROR(__xludf.DUMMYFUNCTION("""COMPUTED_VALUE"""),"")</f>
        <v/>
      </c>
      <c r="X102" s="189" t="str">
        <f ca="1">IFERROR(__xludf.DUMMYFUNCTION("""COMPUTED_VALUE"""),"")</f>
        <v/>
      </c>
      <c r="Y102" s="189" t="str">
        <f ca="1">IFERROR(__xludf.DUMMYFUNCTION("""COMPUTED_VALUE"""),"")</f>
        <v/>
      </c>
      <c r="Z102" s="189"/>
    </row>
    <row r="103" spans="1:26" ht="12.75">
      <c r="A103" s="189" t="str">
        <f ca="1">IFERROR(__xludf.DUMMYFUNCTION("""COMPUTED_VALUE"""),"S32.2")</f>
        <v>S32.2</v>
      </c>
      <c r="B103" s="189" t="str">
        <f ca="1">IFERROR(__xludf.DUMMYFUNCTION("""COMPUTED_VALUE"""),"ON/OFF SOLENOID VALVE")</f>
        <v>ON/OFF SOLENOID VALVE</v>
      </c>
      <c r="C103" s="189" t="str">
        <f ca="1">IFERROR(__xludf.DUMMYFUNCTION("""COMPUTED_VALUE"""),"PRE VALVE OPEN DETENTED")</f>
        <v>PRE VALVE OPEN DETENTED</v>
      </c>
      <c r="D103" s="189" t="str">
        <f ca="1">IFERROR(__xludf.DUMMYFUNCTION("""COMPUTED_VALUE"""),"24VDC 36W")</f>
        <v>24VDC 36W</v>
      </c>
      <c r="E103" s="121" t="str">
        <f ca="1">IFERROR(__xludf.DUMMYFUNCTION("""COMPUTED_VALUE"""),"NA ")</f>
        <v xml:space="preserve">NA </v>
      </c>
      <c r="F103" s="121" t="str">
        <f ca="1">IFERROR(__xludf.DUMMYFUNCTION("""COMPUTED_VALUE"""),"NA ")</f>
        <v xml:space="preserve">NA </v>
      </c>
      <c r="G103" s="189" t="str">
        <f ca="1">IFERROR(__xludf.DUMMYFUNCTION("""COMPUTED_VALUE"""),"E040121")</f>
        <v>E040121</v>
      </c>
      <c r="H103" s="189">
        <f ca="1">IFERROR(__xludf.DUMMYFUNCTION("""COMPUTED_VALUE"""),78)</f>
        <v>78</v>
      </c>
      <c r="I103" s="120" t="str">
        <f ca="1">IFERROR(__xludf.DUMMYFUNCTION("""COMPUTED_VALUE"""),"DEUTSCH DTO4-2P (CONNECTOR INCLUDED)")</f>
        <v>DEUTSCH DTO4-2P (CONNECTOR INCLUDED)</v>
      </c>
      <c r="J103" s="189" t="str">
        <f ca="1">IFERROR(__xludf.DUMMYFUNCTION("""COMPUTED_VALUE"""),"")</f>
        <v/>
      </c>
      <c r="K103" s="189" t="str">
        <f ca="1">IFERROR(__xludf.DUMMYFUNCTION("""COMPUTED_VALUE"""),"")</f>
        <v/>
      </c>
      <c r="L103" s="189" t="str">
        <f ca="1">IFERROR(__xludf.DUMMYFUNCTION("""COMPUTED_VALUE"""),"")</f>
        <v/>
      </c>
      <c r="M103" s="189" t="str">
        <f ca="1">IFERROR(__xludf.DUMMYFUNCTION("""COMPUTED_VALUE"""),"")</f>
        <v/>
      </c>
      <c r="N103" s="189" t="str">
        <f ca="1">IFERROR(__xludf.DUMMYFUNCTION("""COMPUTED_VALUE"""),"")</f>
        <v/>
      </c>
      <c r="O103" s="189" t="str">
        <f ca="1">IFERROR(__xludf.DUMMYFUNCTION("""COMPUTED_VALUE"""),"")</f>
        <v/>
      </c>
      <c r="P103" s="189" t="str">
        <f ca="1">IFERROR(__xludf.DUMMYFUNCTION("""COMPUTED_VALUE"""),"")</f>
        <v/>
      </c>
      <c r="Q103" s="189" t="str">
        <f ca="1">IFERROR(__xludf.DUMMYFUNCTION("""COMPUTED_VALUE"""),"")</f>
        <v/>
      </c>
      <c r="R103" s="189" t="str">
        <f ca="1">IFERROR(__xludf.DUMMYFUNCTION("""COMPUTED_VALUE"""),"")</f>
        <v/>
      </c>
      <c r="S103" s="189" t="str">
        <f ca="1">IFERROR(__xludf.DUMMYFUNCTION("""COMPUTED_VALUE"""),"")</f>
        <v/>
      </c>
      <c r="T103" s="189" t="str">
        <f ca="1">IFERROR(__xludf.DUMMYFUNCTION("""COMPUTED_VALUE"""),"")</f>
        <v/>
      </c>
      <c r="U103" s="189" t="str">
        <f ca="1">IFERROR(__xludf.DUMMYFUNCTION("""COMPUTED_VALUE"""),"")</f>
        <v/>
      </c>
      <c r="V103" s="189" t="str">
        <f ca="1">IFERROR(__xludf.DUMMYFUNCTION("""COMPUTED_VALUE"""),"")</f>
        <v/>
      </c>
      <c r="W103" s="189" t="str">
        <f ca="1">IFERROR(__xludf.DUMMYFUNCTION("""COMPUTED_VALUE"""),"")</f>
        <v/>
      </c>
      <c r="X103" s="189" t="str">
        <f ca="1">IFERROR(__xludf.DUMMYFUNCTION("""COMPUTED_VALUE"""),"")</f>
        <v/>
      </c>
      <c r="Y103" s="189" t="str">
        <f ca="1">IFERROR(__xludf.DUMMYFUNCTION("""COMPUTED_VALUE"""),"")</f>
        <v/>
      </c>
      <c r="Z103" s="189"/>
    </row>
    <row r="104" spans="1:26" ht="12.75">
      <c r="A104" s="189" t="str">
        <f ca="1">IFERROR(__xludf.DUMMYFUNCTION("""COMPUTED_VALUE"""),"S33")</f>
        <v>S33</v>
      </c>
      <c r="B104" s="189" t="str">
        <f ca="1">IFERROR(__xludf.DUMMYFUNCTION("""COMPUTED_VALUE"""),"ON/OFF SOLENOID VALVE")</f>
        <v>ON/OFF SOLENOID VALVE</v>
      </c>
      <c r="C104" s="189" t="str">
        <f ca="1">IFERROR(__xludf.DUMMYFUNCTION("""COMPUTED_VALUE"""),"PRE VALVE BACK UP VALVE SPRING RETURN")</f>
        <v>PRE VALVE BACK UP VALVE SPRING RETURN</v>
      </c>
      <c r="D104" s="189" t="str">
        <f ca="1">IFERROR(__xludf.DUMMYFUNCTION("""COMPUTED_VALUE"""),"24VDC 17W")</f>
        <v>24VDC 17W</v>
      </c>
      <c r="E104" s="189" t="str">
        <f ca="1">IFERROR(__xludf.DUMMYFUNCTION("""COMPUTED_VALUE"""),"NA")</f>
        <v>NA</v>
      </c>
      <c r="F104" s="189" t="str">
        <f ca="1">IFERROR(__xludf.DUMMYFUNCTION("""COMPUTED_VALUE"""),"NA")</f>
        <v>NA</v>
      </c>
      <c r="G104" s="189" t="str">
        <f ca="1">IFERROR(__xludf.DUMMYFUNCTION("""COMPUTED_VALUE"""),"SV58-40-0-P-0    ")</f>
        <v xml:space="preserve">SV58-40-0-P-0    </v>
      </c>
      <c r="H104" s="189">
        <f ca="1">IFERROR(__xludf.DUMMYFUNCTION("""COMPUTED_VALUE"""),74)</f>
        <v>74</v>
      </c>
      <c r="I104" s="120" t="str">
        <f ca="1">IFERROR(__xludf.DUMMYFUNCTION("""COMPUTED_VALUE"""),"DEUTSCH DTO4-2P (CONNECTOR INCLUDED)")</f>
        <v>DEUTSCH DTO4-2P (CONNECTOR INCLUDED)</v>
      </c>
      <c r="J104" s="189" t="str">
        <f ca="1">IFERROR(__xludf.DUMMYFUNCTION("""COMPUTED_VALUE"""),"")</f>
        <v/>
      </c>
      <c r="K104" s="189" t="str">
        <f ca="1">IFERROR(__xludf.DUMMYFUNCTION("""COMPUTED_VALUE"""),"")</f>
        <v/>
      </c>
      <c r="L104" s="189" t="str">
        <f ca="1">IFERROR(__xludf.DUMMYFUNCTION("""COMPUTED_VALUE"""),"")</f>
        <v/>
      </c>
      <c r="M104" s="189" t="str">
        <f ca="1">IFERROR(__xludf.DUMMYFUNCTION("""COMPUTED_VALUE"""),"")</f>
        <v/>
      </c>
      <c r="N104" s="189" t="str">
        <f ca="1">IFERROR(__xludf.DUMMYFUNCTION("""COMPUTED_VALUE"""),"")</f>
        <v/>
      </c>
      <c r="O104" s="189" t="str">
        <f ca="1">IFERROR(__xludf.DUMMYFUNCTION("""COMPUTED_VALUE"""),"")</f>
        <v/>
      </c>
      <c r="P104" s="189" t="str">
        <f ca="1">IFERROR(__xludf.DUMMYFUNCTION("""COMPUTED_VALUE"""),"")</f>
        <v/>
      </c>
      <c r="Q104" s="189" t="str">
        <f ca="1">IFERROR(__xludf.DUMMYFUNCTION("""COMPUTED_VALUE"""),"")</f>
        <v/>
      </c>
      <c r="R104" s="189" t="str">
        <f ca="1">IFERROR(__xludf.DUMMYFUNCTION("""COMPUTED_VALUE"""),"")</f>
        <v/>
      </c>
      <c r="S104" s="189" t="str">
        <f ca="1">IFERROR(__xludf.DUMMYFUNCTION("""COMPUTED_VALUE"""),"")</f>
        <v/>
      </c>
      <c r="T104" s="189" t="str">
        <f ca="1">IFERROR(__xludf.DUMMYFUNCTION("""COMPUTED_VALUE"""),"")</f>
        <v/>
      </c>
      <c r="U104" s="189" t="str">
        <f ca="1">IFERROR(__xludf.DUMMYFUNCTION("""COMPUTED_VALUE"""),"")</f>
        <v/>
      </c>
      <c r="V104" s="189" t="str">
        <f ca="1">IFERROR(__xludf.DUMMYFUNCTION("""COMPUTED_VALUE"""),"")</f>
        <v/>
      </c>
      <c r="W104" s="189" t="str">
        <f ca="1">IFERROR(__xludf.DUMMYFUNCTION("""COMPUTED_VALUE"""),"")</f>
        <v/>
      </c>
      <c r="X104" s="189" t="str">
        <f ca="1">IFERROR(__xludf.DUMMYFUNCTION("""COMPUTED_VALUE"""),"")</f>
        <v/>
      </c>
      <c r="Y104" s="189" t="str">
        <f ca="1">IFERROR(__xludf.DUMMYFUNCTION("""COMPUTED_VALUE"""),"")</f>
        <v/>
      </c>
      <c r="Z104" s="189"/>
    </row>
    <row r="105" spans="1:26" ht="12.75">
      <c r="A105" s="189" t="str">
        <f ca="1">IFERROR(__xludf.DUMMYFUNCTION("""COMPUTED_VALUE"""),"S34")</f>
        <v>S34</v>
      </c>
      <c r="B105" s="189" t="str">
        <f ca="1">IFERROR(__xludf.DUMMYFUNCTION("""COMPUTED_VALUE"""),"ON/OFF SOLENOID VALVE")</f>
        <v>ON/OFF SOLENOID VALVE</v>
      </c>
      <c r="C105" s="189" t="str">
        <f ca="1">IFERROR(__xludf.DUMMYFUNCTION("""COMPUTED_VALUE"""),"UMBILICAL FAST RETRACT PRESURE VALVE 1")</f>
        <v>UMBILICAL FAST RETRACT PRESURE VALVE 1</v>
      </c>
      <c r="D105" s="189" t="str">
        <f ca="1">IFERROR(__xludf.DUMMYFUNCTION("""COMPUTED_VALUE"""),"24VDC 20W")</f>
        <v>24VDC 20W</v>
      </c>
      <c r="E105" s="189" t="str">
        <f ca="1">IFERROR(__xludf.DUMMYFUNCTION("""COMPUTED_VALUE"""),"NA")</f>
        <v>NA</v>
      </c>
      <c r="F105" s="189" t="str">
        <f ca="1">IFERROR(__xludf.DUMMYFUNCTION("""COMPUTED_VALUE"""),"NA")</f>
        <v>NA</v>
      </c>
      <c r="G105" s="189" t="str">
        <f ca="1">IFERROR(__xludf.DUMMYFUNCTION("""COMPUTED_VALUE"""),"HSV12-28-0-U-0")</f>
        <v>HSV12-28-0-U-0</v>
      </c>
      <c r="H105" s="189">
        <f ca="1">IFERROR(__xludf.DUMMYFUNCTION("""COMPUTED_VALUE"""),71)</f>
        <v>71</v>
      </c>
      <c r="I105" s="120" t="str">
        <f ca="1">IFERROR(__xludf.DUMMYFUNCTION("""COMPUTED_VALUE"""),"DEUTSCH DTO4-2P (CONNECTOR INCLUDED)")</f>
        <v>DEUTSCH DTO4-2P (CONNECTOR INCLUDED)</v>
      </c>
      <c r="J105" s="189" t="str">
        <f ca="1">IFERROR(__xludf.DUMMYFUNCTION("""COMPUTED_VALUE"""),"")</f>
        <v/>
      </c>
      <c r="K105" s="189" t="str">
        <f ca="1">IFERROR(__xludf.DUMMYFUNCTION("""COMPUTED_VALUE"""),"")</f>
        <v/>
      </c>
      <c r="L105" s="189" t="str">
        <f ca="1">IFERROR(__xludf.DUMMYFUNCTION("""COMPUTED_VALUE"""),"")</f>
        <v/>
      </c>
      <c r="M105" s="189" t="str">
        <f ca="1">IFERROR(__xludf.DUMMYFUNCTION("""COMPUTED_VALUE"""),"")</f>
        <v/>
      </c>
      <c r="N105" s="189" t="str">
        <f ca="1">IFERROR(__xludf.DUMMYFUNCTION("""COMPUTED_VALUE"""),"")</f>
        <v/>
      </c>
      <c r="O105" s="189" t="str">
        <f ca="1">IFERROR(__xludf.DUMMYFUNCTION("""COMPUTED_VALUE"""),"")</f>
        <v/>
      </c>
      <c r="P105" s="189" t="str">
        <f ca="1">IFERROR(__xludf.DUMMYFUNCTION("""COMPUTED_VALUE"""),"")</f>
        <v/>
      </c>
      <c r="Q105" s="189" t="str">
        <f ca="1">IFERROR(__xludf.DUMMYFUNCTION("""COMPUTED_VALUE"""),"")</f>
        <v/>
      </c>
      <c r="R105" s="189" t="str">
        <f ca="1">IFERROR(__xludf.DUMMYFUNCTION("""COMPUTED_VALUE"""),"")</f>
        <v/>
      </c>
      <c r="S105" s="189" t="str">
        <f ca="1">IFERROR(__xludf.DUMMYFUNCTION("""COMPUTED_VALUE"""),"")</f>
        <v/>
      </c>
      <c r="T105" s="189" t="str">
        <f ca="1">IFERROR(__xludf.DUMMYFUNCTION("""COMPUTED_VALUE"""),"")</f>
        <v/>
      </c>
      <c r="U105" s="189" t="str">
        <f ca="1">IFERROR(__xludf.DUMMYFUNCTION("""COMPUTED_VALUE"""),"")</f>
        <v/>
      </c>
      <c r="V105" s="189" t="str">
        <f ca="1">IFERROR(__xludf.DUMMYFUNCTION("""COMPUTED_VALUE"""),"")</f>
        <v/>
      </c>
      <c r="W105" s="189" t="str">
        <f ca="1">IFERROR(__xludf.DUMMYFUNCTION("""COMPUTED_VALUE"""),"")</f>
        <v/>
      </c>
      <c r="X105" s="189" t="str">
        <f ca="1">IFERROR(__xludf.DUMMYFUNCTION("""COMPUTED_VALUE"""),"")</f>
        <v/>
      </c>
      <c r="Y105" s="189" t="str">
        <f ca="1">IFERROR(__xludf.DUMMYFUNCTION("""COMPUTED_VALUE"""),"")</f>
        <v/>
      </c>
      <c r="Z105" s="189"/>
    </row>
    <row r="106" spans="1:26" ht="12.75">
      <c r="A106" s="189" t="str">
        <f ca="1">IFERROR(__xludf.DUMMYFUNCTION("""COMPUTED_VALUE"""),"S35")</f>
        <v>S35</v>
      </c>
      <c r="B106" s="189" t="str">
        <f ca="1">IFERROR(__xludf.DUMMYFUNCTION("""COMPUTED_VALUE"""),"ON/OFF SOLENOID VALVE")</f>
        <v>ON/OFF SOLENOID VALVE</v>
      </c>
      <c r="C106" s="189" t="str">
        <f ca="1">IFERROR(__xludf.DUMMYFUNCTION("""COMPUTED_VALUE"""),"UMBILICAL FAST RETRACT PRESURE VALVE 2")</f>
        <v>UMBILICAL FAST RETRACT PRESURE VALVE 2</v>
      </c>
      <c r="D106" s="189" t="str">
        <f ca="1">IFERROR(__xludf.DUMMYFUNCTION("""COMPUTED_VALUE"""),"24VDC 20W")</f>
        <v>24VDC 20W</v>
      </c>
      <c r="E106" s="189" t="str">
        <f ca="1">IFERROR(__xludf.DUMMYFUNCTION("""COMPUTED_VALUE"""),"NA")</f>
        <v>NA</v>
      </c>
      <c r="F106" s="189" t="str">
        <f ca="1">IFERROR(__xludf.DUMMYFUNCTION("""COMPUTED_VALUE"""),"NA")</f>
        <v>NA</v>
      </c>
      <c r="G106" s="189" t="str">
        <f ca="1">IFERROR(__xludf.DUMMYFUNCTION("""COMPUTED_VALUE"""),"HSV12-28-0-U-0")</f>
        <v>HSV12-28-0-U-0</v>
      </c>
      <c r="H106" s="189">
        <f ca="1">IFERROR(__xludf.DUMMYFUNCTION("""COMPUTED_VALUE"""),71)</f>
        <v>71</v>
      </c>
      <c r="I106" s="120" t="str">
        <f ca="1">IFERROR(__xludf.DUMMYFUNCTION("""COMPUTED_VALUE"""),"DEUTSCH DTO4-2P (CONNECTOR INCLUDED)")</f>
        <v>DEUTSCH DTO4-2P (CONNECTOR INCLUDED)</v>
      </c>
      <c r="J106" s="189" t="str">
        <f ca="1">IFERROR(__xludf.DUMMYFUNCTION("""COMPUTED_VALUE"""),"")</f>
        <v/>
      </c>
      <c r="K106" s="189" t="str">
        <f ca="1">IFERROR(__xludf.DUMMYFUNCTION("""COMPUTED_VALUE"""),"")</f>
        <v/>
      </c>
      <c r="L106" s="189" t="str">
        <f ca="1">IFERROR(__xludf.DUMMYFUNCTION("""COMPUTED_VALUE"""),"")</f>
        <v/>
      </c>
      <c r="M106" s="189" t="str">
        <f ca="1">IFERROR(__xludf.DUMMYFUNCTION("""COMPUTED_VALUE"""),"")</f>
        <v/>
      </c>
      <c r="N106" s="189" t="str">
        <f ca="1">IFERROR(__xludf.DUMMYFUNCTION("""COMPUTED_VALUE"""),"")</f>
        <v/>
      </c>
      <c r="O106" s="189" t="str">
        <f ca="1">IFERROR(__xludf.DUMMYFUNCTION("""COMPUTED_VALUE"""),"")</f>
        <v/>
      </c>
      <c r="P106" s="189" t="str">
        <f ca="1">IFERROR(__xludf.DUMMYFUNCTION("""COMPUTED_VALUE"""),"")</f>
        <v/>
      </c>
      <c r="Q106" s="189" t="str">
        <f ca="1">IFERROR(__xludf.DUMMYFUNCTION("""COMPUTED_VALUE"""),"")</f>
        <v/>
      </c>
      <c r="R106" s="189" t="str">
        <f ca="1">IFERROR(__xludf.DUMMYFUNCTION("""COMPUTED_VALUE"""),"")</f>
        <v/>
      </c>
      <c r="S106" s="189" t="str">
        <f ca="1">IFERROR(__xludf.DUMMYFUNCTION("""COMPUTED_VALUE"""),"")</f>
        <v/>
      </c>
      <c r="T106" s="189" t="str">
        <f ca="1">IFERROR(__xludf.DUMMYFUNCTION("""COMPUTED_VALUE"""),"")</f>
        <v/>
      </c>
      <c r="U106" s="189" t="str">
        <f ca="1">IFERROR(__xludf.DUMMYFUNCTION("""COMPUTED_VALUE"""),"")</f>
        <v/>
      </c>
      <c r="V106" s="189" t="str">
        <f ca="1">IFERROR(__xludf.DUMMYFUNCTION("""COMPUTED_VALUE"""),"")</f>
        <v/>
      </c>
      <c r="W106" s="189" t="str">
        <f ca="1">IFERROR(__xludf.DUMMYFUNCTION("""COMPUTED_VALUE"""),"")</f>
        <v/>
      </c>
      <c r="X106" s="189" t="str">
        <f ca="1">IFERROR(__xludf.DUMMYFUNCTION("""COMPUTED_VALUE"""),"")</f>
        <v/>
      </c>
      <c r="Y106" s="189" t="str">
        <f ca="1">IFERROR(__xludf.DUMMYFUNCTION("""COMPUTED_VALUE"""),"")</f>
        <v/>
      </c>
      <c r="Z106" s="189"/>
    </row>
    <row r="107" spans="1:26" ht="12.75">
      <c r="A107" s="189" t="str">
        <f ca="1">IFERROR(__xludf.DUMMYFUNCTION("""COMPUTED_VALUE"""),"S36")</f>
        <v>S36</v>
      </c>
      <c r="B107" s="189" t="str">
        <f ca="1">IFERROR(__xludf.DUMMYFUNCTION("""COMPUTED_VALUE"""),"ON/OFF SOLENOID VALVE")</f>
        <v>ON/OFF SOLENOID VALVE</v>
      </c>
      <c r="C107" s="189" t="str">
        <f ca="1">IFERROR(__xludf.DUMMYFUNCTION("""COMPUTED_VALUE"""),"UMBILICAL FAST RETRACT TANK VALVE 1")</f>
        <v>UMBILICAL FAST RETRACT TANK VALVE 1</v>
      </c>
      <c r="D107" s="189" t="str">
        <f ca="1">IFERROR(__xludf.DUMMYFUNCTION("""COMPUTED_VALUE"""),"24VDC 20W")</f>
        <v>24VDC 20W</v>
      </c>
      <c r="E107" s="189" t="str">
        <f ca="1">IFERROR(__xludf.DUMMYFUNCTION("""COMPUTED_VALUE"""),"NA")</f>
        <v>NA</v>
      </c>
      <c r="F107" s="189" t="str">
        <f ca="1">IFERROR(__xludf.DUMMYFUNCTION("""COMPUTED_VALUE"""),"NA")</f>
        <v>NA</v>
      </c>
      <c r="G107" s="189" t="str">
        <f ca="1">IFERROR(__xludf.DUMMYFUNCTION("""COMPUTED_VALUE"""),"HSV12-28-0-U-0")</f>
        <v>HSV12-28-0-U-0</v>
      </c>
      <c r="H107" s="189">
        <f ca="1">IFERROR(__xludf.DUMMYFUNCTION("""COMPUTED_VALUE"""),71)</f>
        <v>71</v>
      </c>
      <c r="I107" s="120" t="str">
        <f ca="1">IFERROR(__xludf.DUMMYFUNCTION("""COMPUTED_VALUE"""),"DEUTSCH DTO4-2P (CONNECTOR INCLUDED)")</f>
        <v>DEUTSCH DTO4-2P (CONNECTOR INCLUDED)</v>
      </c>
      <c r="J107" s="189" t="str">
        <f ca="1">IFERROR(__xludf.DUMMYFUNCTION("""COMPUTED_VALUE"""),"")</f>
        <v/>
      </c>
      <c r="K107" s="189" t="str">
        <f ca="1">IFERROR(__xludf.DUMMYFUNCTION("""COMPUTED_VALUE"""),"")</f>
        <v/>
      </c>
      <c r="L107" s="189" t="str">
        <f ca="1">IFERROR(__xludf.DUMMYFUNCTION("""COMPUTED_VALUE"""),"")</f>
        <v/>
      </c>
      <c r="M107" s="189" t="str">
        <f ca="1">IFERROR(__xludf.DUMMYFUNCTION("""COMPUTED_VALUE"""),"")</f>
        <v/>
      </c>
      <c r="N107" s="189" t="str">
        <f ca="1">IFERROR(__xludf.DUMMYFUNCTION("""COMPUTED_VALUE"""),"")</f>
        <v/>
      </c>
      <c r="O107" s="189" t="str">
        <f ca="1">IFERROR(__xludf.DUMMYFUNCTION("""COMPUTED_VALUE"""),"")</f>
        <v/>
      </c>
      <c r="P107" s="189" t="str">
        <f ca="1">IFERROR(__xludf.DUMMYFUNCTION("""COMPUTED_VALUE"""),"")</f>
        <v/>
      </c>
      <c r="Q107" s="189" t="str">
        <f ca="1">IFERROR(__xludf.DUMMYFUNCTION("""COMPUTED_VALUE"""),"")</f>
        <v/>
      </c>
      <c r="R107" s="189" t="str">
        <f ca="1">IFERROR(__xludf.DUMMYFUNCTION("""COMPUTED_VALUE"""),"")</f>
        <v/>
      </c>
      <c r="S107" s="189" t="str">
        <f ca="1">IFERROR(__xludf.DUMMYFUNCTION("""COMPUTED_VALUE"""),"")</f>
        <v/>
      </c>
      <c r="T107" s="189" t="str">
        <f ca="1">IFERROR(__xludf.DUMMYFUNCTION("""COMPUTED_VALUE"""),"")</f>
        <v/>
      </c>
      <c r="U107" s="189" t="str">
        <f ca="1">IFERROR(__xludf.DUMMYFUNCTION("""COMPUTED_VALUE"""),"")</f>
        <v/>
      </c>
      <c r="V107" s="189" t="str">
        <f ca="1">IFERROR(__xludf.DUMMYFUNCTION("""COMPUTED_VALUE"""),"")</f>
        <v/>
      </c>
      <c r="W107" s="189" t="str">
        <f ca="1">IFERROR(__xludf.DUMMYFUNCTION("""COMPUTED_VALUE"""),"")</f>
        <v/>
      </c>
      <c r="X107" s="189" t="str">
        <f ca="1">IFERROR(__xludf.DUMMYFUNCTION("""COMPUTED_VALUE"""),"")</f>
        <v/>
      </c>
      <c r="Y107" s="189" t="str">
        <f ca="1">IFERROR(__xludf.DUMMYFUNCTION("""COMPUTED_VALUE"""),"")</f>
        <v/>
      </c>
      <c r="Z107" s="189"/>
    </row>
    <row r="108" spans="1:26" ht="12.75">
      <c r="A108" s="189" t="str">
        <f ca="1">IFERROR(__xludf.DUMMYFUNCTION("""COMPUTED_VALUE"""),"S37")</f>
        <v>S37</v>
      </c>
      <c r="B108" s="189" t="str">
        <f ca="1">IFERROR(__xludf.DUMMYFUNCTION("""COMPUTED_VALUE"""),"ON/OFF SOLENOID VALVE")</f>
        <v>ON/OFF SOLENOID VALVE</v>
      </c>
      <c r="C108" s="189" t="str">
        <f ca="1">IFERROR(__xludf.DUMMYFUNCTION("""COMPUTED_VALUE"""),"UMBILICAL FAST RETRACT TANK VALVE 2")</f>
        <v>UMBILICAL FAST RETRACT TANK VALVE 2</v>
      </c>
      <c r="D108" s="189" t="str">
        <f ca="1">IFERROR(__xludf.DUMMYFUNCTION("""COMPUTED_VALUE"""),"24VDC 20W")</f>
        <v>24VDC 20W</v>
      </c>
      <c r="E108" s="189" t="str">
        <f ca="1">IFERROR(__xludf.DUMMYFUNCTION("""COMPUTED_VALUE"""),"NA")</f>
        <v>NA</v>
      </c>
      <c r="F108" s="189" t="str">
        <f ca="1">IFERROR(__xludf.DUMMYFUNCTION("""COMPUTED_VALUE"""),"NA")</f>
        <v>NA</v>
      </c>
      <c r="G108" s="189" t="str">
        <f ca="1">IFERROR(__xludf.DUMMYFUNCTION("""COMPUTED_VALUE"""),"HSV12-28-0-U-0")</f>
        <v>HSV12-28-0-U-0</v>
      </c>
      <c r="H108" s="189">
        <f ca="1">IFERROR(__xludf.DUMMYFUNCTION("""COMPUTED_VALUE"""),71)</f>
        <v>71</v>
      </c>
      <c r="I108" s="120" t="str">
        <f ca="1">IFERROR(__xludf.DUMMYFUNCTION("""COMPUTED_VALUE"""),"DEUTSCH DTO4-2P (CONNECTOR INCLUDED)")</f>
        <v>DEUTSCH DTO4-2P (CONNECTOR INCLUDED)</v>
      </c>
      <c r="J108" s="189" t="str">
        <f ca="1">IFERROR(__xludf.DUMMYFUNCTION("""COMPUTED_VALUE"""),"")</f>
        <v/>
      </c>
      <c r="K108" s="189" t="str">
        <f ca="1">IFERROR(__xludf.DUMMYFUNCTION("""COMPUTED_VALUE"""),"")</f>
        <v/>
      </c>
      <c r="L108" s="189" t="str">
        <f ca="1">IFERROR(__xludf.DUMMYFUNCTION("""COMPUTED_VALUE"""),"")</f>
        <v/>
      </c>
      <c r="M108" s="189" t="str">
        <f ca="1">IFERROR(__xludf.DUMMYFUNCTION("""COMPUTED_VALUE"""),"")</f>
        <v/>
      </c>
      <c r="N108" s="189" t="str">
        <f ca="1">IFERROR(__xludf.DUMMYFUNCTION("""COMPUTED_VALUE"""),"")</f>
        <v/>
      </c>
      <c r="O108" s="189" t="str">
        <f ca="1">IFERROR(__xludf.DUMMYFUNCTION("""COMPUTED_VALUE"""),"")</f>
        <v/>
      </c>
      <c r="P108" s="189" t="str">
        <f ca="1">IFERROR(__xludf.DUMMYFUNCTION("""COMPUTED_VALUE"""),"")</f>
        <v/>
      </c>
      <c r="Q108" s="189" t="str">
        <f ca="1">IFERROR(__xludf.DUMMYFUNCTION("""COMPUTED_VALUE"""),"")</f>
        <v/>
      </c>
      <c r="R108" s="189" t="str">
        <f ca="1">IFERROR(__xludf.DUMMYFUNCTION("""COMPUTED_VALUE"""),"")</f>
        <v/>
      </c>
      <c r="S108" s="189" t="str">
        <f ca="1">IFERROR(__xludf.DUMMYFUNCTION("""COMPUTED_VALUE"""),"")</f>
        <v/>
      </c>
      <c r="T108" s="189" t="str">
        <f ca="1">IFERROR(__xludf.DUMMYFUNCTION("""COMPUTED_VALUE"""),"")</f>
        <v/>
      </c>
      <c r="U108" s="189" t="str">
        <f ca="1">IFERROR(__xludf.DUMMYFUNCTION("""COMPUTED_VALUE"""),"")</f>
        <v/>
      </c>
      <c r="V108" s="189" t="str">
        <f ca="1">IFERROR(__xludf.DUMMYFUNCTION("""COMPUTED_VALUE"""),"")</f>
        <v/>
      </c>
      <c r="W108" s="189" t="str">
        <f ca="1">IFERROR(__xludf.DUMMYFUNCTION("""COMPUTED_VALUE"""),"")</f>
        <v/>
      </c>
      <c r="X108" s="189" t="str">
        <f ca="1">IFERROR(__xludf.DUMMYFUNCTION("""COMPUTED_VALUE"""),"")</f>
        <v/>
      </c>
      <c r="Y108" s="189" t="str">
        <f ca="1">IFERROR(__xludf.DUMMYFUNCTION("""COMPUTED_VALUE"""),"")</f>
        <v/>
      </c>
      <c r="Z108" s="189"/>
    </row>
    <row r="109" spans="1:26" ht="12.75">
      <c r="A109" s="189" t="str">
        <f ca="1">IFERROR(__xludf.DUMMYFUNCTION("""COMPUTED_VALUE"""),"S38")</f>
        <v>S38</v>
      </c>
      <c r="B109" s="189" t="str">
        <f ca="1">IFERROR(__xludf.DUMMYFUNCTION("""COMPUTED_VALUE"""),"ON/OFF SOLENOID VALVE")</f>
        <v>ON/OFF SOLENOID VALVE</v>
      </c>
      <c r="C109" s="189" t="str">
        <f ca="1">IFERROR(__xludf.DUMMYFUNCTION("""COMPUTED_VALUE"""),"PRE VALVE CONNECTION LINE DRAIN A PORT")</f>
        <v>PRE VALVE CONNECTION LINE DRAIN A PORT</v>
      </c>
      <c r="D109" s="189" t="str">
        <f ca="1">IFERROR(__xludf.DUMMYFUNCTION("""COMPUTED_VALUE"""),"24VDC 17W")</f>
        <v>24VDC 17W</v>
      </c>
      <c r="E109" s="189" t="str">
        <f ca="1">IFERROR(__xludf.DUMMYFUNCTION("""COMPUTED_VALUE"""),"NA")</f>
        <v>NA</v>
      </c>
      <c r="F109" s="189" t="str">
        <f ca="1">IFERROR(__xludf.DUMMYFUNCTION("""COMPUTED_VALUE"""),"NA")</f>
        <v>NA</v>
      </c>
      <c r="G109" s="189" t="str">
        <f ca="1">IFERROR(__xludf.DUMMYFUNCTION("""COMPUTED_VALUE"""),"SV38-38-0-N-0     ")</f>
        <v xml:space="preserve">SV38-38-0-N-0     </v>
      </c>
      <c r="H109" s="189">
        <f ca="1">IFERROR(__xludf.DUMMYFUNCTION("""COMPUTED_VALUE"""),73)</f>
        <v>73</v>
      </c>
      <c r="I109" s="120" t="str">
        <f ca="1">IFERROR(__xludf.DUMMYFUNCTION("""COMPUTED_VALUE"""),"DEUTSCH DTO4-2P (CONNECTOR INCLUDED)")</f>
        <v>DEUTSCH DTO4-2P (CONNECTOR INCLUDED)</v>
      </c>
      <c r="J109" s="189" t="str">
        <f ca="1">IFERROR(__xludf.DUMMYFUNCTION("""COMPUTED_VALUE"""),"")</f>
        <v/>
      </c>
      <c r="K109" s="189" t="str">
        <f ca="1">IFERROR(__xludf.DUMMYFUNCTION("""COMPUTED_VALUE"""),"")</f>
        <v/>
      </c>
      <c r="L109" s="189" t="str">
        <f ca="1">IFERROR(__xludf.DUMMYFUNCTION("""COMPUTED_VALUE"""),"")</f>
        <v/>
      </c>
      <c r="M109" s="189" t="str">
        <f ca="1">IFERROR(__xludf.DUMMYFUNCTION("""COMPUTED_VALUE"""),"")</f>
        <v/>
      </c>
      <c r="N109" s="189" t="str">
        <f ca="1">IFERROR(__xludf.DUMMYFUNCTION("""COMPUTED_VALUE"""),"")</f>
        <v/>
      </c>
      <c r="O109" s="189" t="str">
        <f ca="1">IFERROR(__xludf.DUMMYFUNCTION("""COMPUTED_VALUE"""),"")</f>
        <v/>
      </c>
      <c r="P109" s="189" t="str">
        <f ca="1">IFERROR(__xludf.DUMMYFUNCTION("""COMPUTED_VALUE"""),"")</f>
        <v/>
      </c>
      <c r="Q109" s="189" t="str">
        <f ca="1">IFERROR(__xludf.DUMMYFUNCTION("""COMPUTED_VALUE"""),"")</f>
        <v/>
      </c>
      <c r="R109" s="189" t="str">
        <f ca="1">IFERROR(__xludf.DUMMYFUNCTION("""COMPUTED_VALUE"""),"")</f>
        <v/>
      </c>
      <c r="S109" s="189" t="str">
        <f ca="1">IFERROR(__xludf.DUMMYFUNCTION("""COMPUTED_VALUE"""),"")</f>
        <v/>
      </c>
      <c r="T109" s="189" t="str">
        <f ca="1">IFERROR(__xludf.DUMMYFUNCTION("""COMPUTED_VALUE"""),"")</f>
        <v/>
      </c>
      <c r="U109" s="189" t="str">
        <f ca="1">IFERROR(__xludf.DUMMYFUNCTION("""COMPUTED_VALUE"""),"")</f>
        <v/>
      </c>
      <c r="V109" s="189" t="str">
        <f ca="1">IFERROR(__xludf.DUMMYFUNCTION("""COMPUTED_VALUE"""),"")</f>
        <v/>
      </c>
      <c r="W109" s="189" t="str">
        <f ca="1">IFERROR(__xludf.DUMMYFUNCTION("""COMPUTED_VALUE"""),"")</f>
        <v/>
      </c>
      <c r="X109" s="189" t="str">
        <f ca="1">IFERROR(__xludf.DUMMYFUNCTION("""COMPUTED_VALUE"""),"")</f>
        <v/>
      </c>
      <c r="Y109" s="189" t="str">
        <f ca="1">IFERROR(__xludf.DUMMYFUNCTION("""COMPUTED_VALUE"""),"")</f>
        <v/>
      </c>
      <c r="Z109" s="189"/>
    </row>
    <row r="110" spans="1:26" ht="12.75">
      <c r="A110" s="189" t="str">
        <f ca="1">IFERROR(__xludf.DUMMYFUNCTION("""COMPUTED_VALUE"""),"S39")</f>
        <v>S39</v>
      </c>
      <c r="B110" s="189" t="str">
        <f ca="1">IFERROR(__xludf.DUMMYFUNCTION("""COMPUTED_VALUE"""),"ON/OFF SOLENOID VALVE")</f>
        <v>ON/OFF SOLENOID VALVE</v>
      </c>
      <c r="C110" s="189" t="str">
        <f ca="1">IFERROR(__xludf.DUMMYFUNCTION("""COMPUTED_VALUE"""),"PRE VALVE CONNECTION LINE DRAIN B PORT")</f>
        <v>PRE VALVE CONNECTION LINE DRAIN B PORT</v>
      </c>
      <c r="D110" s="189" t="str">
        <f ca="1">IFERROR(__xludf.DUMMYFUNCTION("""COMPUTED_VALUE"""),"24VDC 17W")</f>
        <v>24VDC 17W</v>
      </c>
      <c r="E110" s="189" t="str">
        <f ca="1">IFERROR(__xludf.DUMMYFUNCTION("""COMPUTED_VALUE"""),"NA")</f>
        <v>NA</v>
      </c>
      <c r="F110" s="189" t="str">
        <f ca="1">IFERROR(__xludf.DUMMYFUNCTION("""COMPUTED_VALUE"""),"NA")</f>
        <v>NA</v>
      </c>
      <c r="G110" s="189" t="str">
        <f ca="1">IFERROR(__xludf.DUMMYFUNCTION("""COMPUTED_VALUE"""),"SV38-38-0-N-0     ")</f>
        <v xml:space="preserve">SV38-38-0-N-0     </v>
      </c>
      <c r="H110" s="189">
        <f ca="1">IFERROR(__xludf.DUMMYFUNCTION("""COMPUTED_VALUE"""),73)</f>
        <v>73</v>
      </c>
      <c r="I110" s="120" t="str">
        <f ca="1">IFERROR(__xludf.DUMMYFUNCTION("""COMPUTED_VALUE"""),"DEUTSCH DTO4-2P (CONNECTOR INCLUDED)")</f>
        <v>DEUTSCH DTO4-2P (CONNECTOR INCLUDED)</v>
      </c>
      <c r="J110" s="189" t="str">
        <f ca="1">IFERROR(__xludf.DUMMYFUNCTION("""COMPUTED_VALUE"""),"")</f>
        <v/>
      </c>
      <c r="K110" s="189" t="str">
        <f ca="1">IFERROR(__xludf.DUMMYFUNCTION("""COMPUTED_VALUE"""),"")</f>
        <v/>
      </c>
      <c r="L110" s="189" t="str">
        <f ca="1">IFERROR(__xludf.DUMMYFUNCTION("""COMPUTED_VALUE"""),"")</f>
        <v/>
      </c>
      <c r="M110" s="189" t="str">
        <f ca="1">IFERROR(__xludf.DUMMYFUNCTION("""COMPUTED_VALUE"""),"")</f>
        <v/>
      </c>
      <c r="N110" s="189" t="str">
        <f ca="1">IFERROR(__xludf.DUMMYFUNCTION("""COMPUTED_VALUE"""),"")</f>
        <v/>
      </c>
      <c r="O110" s="189" t="str">
        <f ca="1">IFERROR(__xludf.DUMMYFUNCTION("""COMPUTED_VALUE"""),"")</f>
        <v/>
      </c>
      <c r="P110" s="189" t="str">
        <f ca="1">IFERROR(__xludf.DUMMYFUNCTION("""COMPUTED_VALUE"""),"")</f>
        <v/>
      </c>
      <c r="Q110" s="189" t="str">
        <f ca="1">IFERROR(__xludf.DUMMYFUNCTION("""COMPUTED_VALUE"""),"")</f>
        <v/>
      </c>
      <c r="R110" s="189" t="str">
        <f ca="1">IFERROR(__xludf.DUMMYFUNCTION("""COMPUTED_VALUE"""),"")</f>
        <v/>
      </c>
      <c r="S110" s="189" t="str">
        <f ca="1">IFERROR(__xludf.DUMMYFUNCTION("""COMPUTED_VALUE"""),"")</f>
        <v/>
      </c>
      <c r="T110" s="189" t="str">
        <f ca="1">IFERROR(__xludf.DUMMYFUNCTION("""COMPUTED_VALUE"""),"")</f>
        <v/>
      </c>
      <c r="U110" s="189" t="str">
        <f ca="1">IFERROR(__xludf.DUMMYFUNCTION("""COMPUTED_VALUE"""),"")</f>
        <v/>
      </c>
      <c r="V110" s="189" t="str">
        <f ca="1">IFERROR(__xludf.DUMMYFUNCTION("""COMPUTED_VALUE"""),"")</f>
        <v/>
      </c>
      <c r="W110" s="189" t="str">
        <f ca="1">IFERROR(__xludf.DUMMYFUNCTION("""COMPUTED_VALUE"""),"")</f>
        <v/>
      </c>
      <c r="X110" s="189" t="str">
        <f ca="1">IFERROR(__xludf.DUMMYFUNCTION("""COMPUTED_VALUE"""),"")</f>
        <v/>
      </c>
      <c r="Y110" s="189" t="str">
        <f ca="1">IFERROR(__xludf.DUMMYFUNCTION("""COMPUTED_VALUE"""),"")</f>
        <v/>
      </c>
      <c r="Z110" s="189"/>
    </row>
    <row r="111" spans="1:26" ht="12.75">
      <c r="A111" s="189" t="str">
        <f ca="1">IFERROR(__xludf.DUMMYFUNCTION("""COMPUTED_VALUE"""),"")</f>
        <v/>
      </c>
      <c r="B111" s="189" t="str">
        <f ca="1">IFERROR(__xludf.DUMMYFUNCTION("""COMPUTED_VALUE"""),"1069-08-01 ")</f>
        <v xml:space="preserve">1069-08-01 </v>
      </c>
      <c r="C111" s="189" t="str">
        <f ca="1">IFERROR(__xludf.DUMMYFUNCTION("""COMPUTED_VALUE"""),"HD LOCK MANIFOLD")</f>
        <v>HD LOCK MANIFOLD</v>
      </c>
      <c r="D111" s="189" t="str">
        <f ca="1">IFERROR(__xludf.DUMMYFUNCTION("""COMPUTED_VALUE"""),"")</f>
        <v/>
      </c>
      <c r="E111" s="189" t="str">
        <f ca="1">IFERROR(__xludf.DUMMYFUNCTION("""COMPUTED_VALUE"""),"")</f>
        <v/>
      </c>
      <c r="F111" s="189" t="str">
        <f ca="1">IFERROR(__xludf.DUMMYFUNCTION("""COMPUTED_VALUE"""),"")</f>
        <v/>
      </c>
      <c r="G111" s="189" t="str">
        <f ca="1">IFERROR(__xludf.DUMMYFUNCTION("""COMPUTED_VALUE"""),"")</f>
        <v/>
      </c>
      <c r="H111" s="189" t="str">
        <f ca="1">IFERROR(__xludf.DUMMYFUNCTION("""COMPUTED_VALUE"""),"")</f>
        <v/>
      </c>
      <c r="I111" s="120" t="str">
        <f ca="1">IFERROR(__xludf.DUMMYFUNCTION("""COMPUTED_VALUE"""),"")</f>
        <v/>
      </c>
      <c r="J111" s="189" t="str">
        <f ca="1">IFERROR(__xludf.DUMMYFUNCTION("""COMPUTED_VALUE"""),"")</f>
        <v/>
      </c>
      <c r="K111" s="189" t="str">
        <f ca="1">IFERROR(__xludf.DUMMYFUNCTION("""COMPUTED_VALUE"""),"")</f>
        <v/>
      </c>
      <c r="L111" s="189" t="str">
        <f ca="1">IFERROR(__xludf.DUMMYFUNCTION("""COMPUTED_VALUE"""),"")</f>
        <v/>
      </c>
      <c r="M111" s="189" t="str">
        <f ca="1">IFERROR(__xludf.DUMMYFUNCTION("""COMPUTED_VALUE"""),"")</f>
        <v/>
      </c>
      <c r="N111" s="189" t="str">
        <f ca="1">IFERROR(__xludf.DUMMYFUNCTION("""COMPUTED_VALUE"""),"")</f>
        <v/>
      </c>
      <c r="O111" s="189" t="str">
        <f ca="1">IFERROR(__xludf.DUMMYFUNCTION("""COMPUTED_VALUE"""),"")</f>
        <v/>
      </c>
      <c r="P111" s="189" t="str">
        <f ca="1">IFERROR(__xludf.DUMMYFUNCTION("""COMPUTED_VALUE"""),"")</f>
        <v/>
      </c>
      <c r="Q111" s="189" t="str">
        <f ca="1">IFERROR(__xludf.DUMMYFUNCTION("""COMPUTED_VALUE"""),"")</f>
        <v/>
      </c>
      <c r="R111" s="189" t="str">
        <f ca="1">IFERROR(__xludf.DUMMYFUNCTION("""COMPUTED_VALUE"""),"")</f>
        <v/>
      </c>
      <c r="S111" s="189" t="str">
        <f ca="1">IFERROR(__xludf.DUMMYFUNCTION("""COMPUTED_VALUE"""),"")</f>
        <v/>
      </c>
      <c r="T111" s="189" t="str">
        <f ca="1">IFERROR(__xludf.DUMMYFUNCTION("""COMPUTED_VALUE"""),"")</f>
        <v/>
      </c>
      <c r="U111" s="189" t="str">
        <f ca="1">IFERROR(__xludf.DUMMYFUNCTION("""COMPUTED_VALUE"""),"")</f>
        <v/>
      </c>
      <c r="V111" s="189" t="str">
        <f ca="1">IFERROR(__xludf.DUMMYFUNCTION("""COMPUTED_VALUE"""),"")</f>
        <v/>
      </c>
      <c r="W111" s="189" t="str">
        <f ca="1">IFERROR(__xludf.DUMMYFUNCTION("""COMPUTED_VALUE"""),"")</f>
        <v/>
      </c>
      <c r="X111" s="189" t="str">
        <f ca="1">IFERROR(__xludf.DUMMYFUNCTION("""COMPUTED_VALUE"""),"")</f>
        <v/>
      </c>
      <c r="Y111" s="189" t="str">
        <f ca="1">IFERROR(__xludf.DUMMYFUNCTION("""COMPUTED_VALUE"""),"")</f>
        <v/>
      </c>
      <c r="Z111" s="189"/>
    </row>
    <row r="112" spans="1:26" ht="12.75">
      <c r="A112" s="189" t="str">
        <f ca="1">IFERROR(__xludf.DUMMYFUNCTION("""COMPUTED_VALUE"""),"C34")</f>
        <v>C34</v>
      </c>
      <c r="B112" s="189" t="str">
        <f ca="1">IFERROR(__xludf.DUMMYFUNCTION("""COMPUTED_VALUE"""),"ON/OFF SOLENOID VALVE")</f>
        <v>ON/OFF SOLENOID VALVE</v>
      </c>
      <c r="C112" s="189" t="str">
        <f ca="1">IFERROR(__xludf.DUMMYFUNCTION("""COMPUTED_VALUE"""),"HOT OIL CIRCULATION (IF REQUIRED)")</f>
        <v>HOT OIL CIRCULATION (IF REQUIRED)</v>
      </c>
      <c r="D112" s="189" t="str">
        <f ca="1">IFERROR(__xludf.DUMMYFUNCTION("""COMPUTED_VALUE"""),"24VDC 20W")</f>
        <v>24VDC 20W</v>
      </c>
      <c r="E112" s="189" t="str">
        <f ca="1">IFERROR(__xludf.DUMMYFUNCTION("""COMPUTED_VALUE"""),"NA")</f>
        <v>NA</v>
      </c>
      <c r="F112" s="189" t="str">
        <f ca="1">IFERROR(__xludf.DUMMYFUNCTION("""COMPUTED_VALUE"""),"NA")</f>
        <v>NA</v>
      </c>
      <c r="G112" s="189" t="str">
        <f ca="1">IFERROR(__xludf.DUMMYFUNCTION("""COMPUTED_VALUE"""),"")</f>
        <v/>
      </c>
      <c r="H112" s="189" t="str">
        <f ca="1">IFERROR(__xludf.DUMMYFUNCTION("""COMPUTED_VALUE"""),"")</f>
        <v/>
      </c>
      <c r="I112" s="120" t="str">
        <f ca="1">IFERROR(__xludf.DUMMYFUNCTION("""COMPUTED_VALUE"""),"DEUTSCH DTO4-2P (CONNECTOR INCLUDED)")</f>
        <v>DEUTSCH DTO4-2P (CONNECTOR INCLUDED)</v>
      </c>
      <c r="J112" s="189" t="str">
        <f ca="1">IFERROR(__xludf.DUMMYFUNCTION("""COMPUTED_VALUE"""),"")</f>
        <v/>
      </c>
      <c r="K112" s="189" t="str">
        <f ca="1">IFERROR(__xludf.DUMMYFUNCTION("""COMPUTED_VALUE"""),"")</f>
        <v/>
      </c>
      <c r="L112" s="189" t="str">
        <f ca="1">IFERROR(__xludf.DUMMYFUNCTION("""COMPUTED_VALUE"""),"")</f>
        <v/>
      </c>
      <c r="M112" s="189" t="str">
        <f ca="1">IFERROR(__xludf.DUMMYFUNCTION("""COMPUTED_VALUE"""),"")</f>
        <v/>
      </c>
      <c r="N112" s="189" t="str">
        <f ca="1">IFERROR(__xludf.DUMMYFUNCTION("""COMPUTED_VALUE"""),"")</f>
        <v/>
      </c>
      <c r="O112" s="189" t="str">
        <f ca="1">IFERROR(__xludf.DUMMYFUNCTION("""COMPUTED_VALUE"""),"")</f>
        <v/>
      </c>
      <c r="P112" s="189" t="str">
        <f ca="1">IFERROR(__xludf.DUMMYFUNCTION("""COMPUTED_VALUE"""),"")</f>
        <v/>
      </c>
      <c r="Q112" s="189" t="str">
        <f ca="1">IFERROR(__xludf.DUMMYFUNCTION("""COMPUTED_VALUE"""),"")</f>
        <v/>
      </c>
      <c r="R112" s="189" t="str">
        <f ca="1">IFERROR(__xludf.DUMMYFUNCTION("""COMPUTED_VALUE"""),"")</f>
        <v/>
      </c>
      <c r="S112" s="189" t="str">
        <f ca="1">IFERROR(__xludf.DUMMYFUNCTION("""COMPUTED_VALUE"""),"")</f>
        <v/>
      </c>
      <c r="T112" s="189" t="str">
        <f ca="1">IFERROR(__xludf.DUMMYFUNCTION("""COMPUTED_VALUE"""),"")</f>
        <v/>
      </c>
      <c r="U112" s="189" t="str">
        <f ca="1">IFERROR(__xludf.DUMMYFUNCTION("""COMPUTED_VALUE"""),"")</f>
        <v/>
      </c>
      <c r="V112" s="189" t="str">
        <f ca="1">IFERROR(__xludf.DUMMYFUNCTION("""COMPUTED_VALUE"""),"")</f>
        <v/>
      </c>
      <c r="W112" s="189" t="str">
        <f ca="1">IFERROR(__xludf.DUMMYFUNCTION("""COMPUTED_VALUE"""),"")</f>
        <v/>
      </c>
      <c r="X112" s="189" t="str">
        <f ca="1">IFERROR(__xludf.DUMMYFUNCTION("""COMPUTED_VALUE"""),"")</f>
        <v/>
      </c>
      <c r="Y112" s="189" t="str">
        <f ca="1">IFERROR(__xludf.DUMMYFUNCTION("""COMPUTED_VALUE"""),"")</f>
        <v/>
      </c>
      <c r="Z112" s="189"/>
    </row>
    <row r="113" spans="1:26" ht="12.75">
      <c r="A113" s="189" t="str">
        <f ca="1">IFERROR(__xludf.DUMMYFUNCTION("""COMPUTED_VALUE"""),"PT-6")</f>
        <v>PT-6</v>
      </c>
      <c r="B113" s="189" t="str">
        <f ca="1">IFERROR(__xludf.DUMMYFUNCTION("""COMPUTED_VALUE"""),"PRESSURE TRANSDUCER (0-400 BAR)")</f>
        <v>PRESSURE TRANSDUCER (0-400 BAR)</v>
      </c>
      <c r="C113" s="189" t="str">
        <f ca="1">IFERROR(__xludf.DUMMYFUNCTION("""COMPUTED_VALUE"""),"HD LOCK ACCUMULATOR OIL PRESSURE SENSOR")</f>
        <v>HD LOCK ACCUMULATOR OIL PRESSURE SENSOR</v>
      </c>
      <c r="D113" s="189" t="str">
        <f ca="1">IFERROR(__xludf.DUMMYFUNCTION("""COMPUTED_VALUE"""),"24VDC")</f>
        <v>24VDC</v>
      </c>
      <c r="E113" s="189" t="str">
        <f ca="1">IFERROR(__xludf.DUMMYFUNCTION("""COMPUTED_VALUE"""),"4..20mA")</f>
        <v>4..20mA</v>
      </c>
      <c r="F113" s="189" t="str">
        <f ca="1">IFERROR(__xludf.DUMMYFUNCTION("""COMPUTED_VALUE"""),"NA")</f>
        <v>NA</v>
      </c>
      <c r="G113" s="189" t="str">
        <f ca="1">IFERROR(__xludf.DUMMYFUNCTION("""COMPUTED_VALUE"""),"PT5400")</f>
        <v>PT5400</v>
      </c>
      <c r="H113" s="189">
        <f ca="1">IFERROR(__xludf.DUMMYFUNCTION("""COMPUTED_VALUE"""),24)</f>
        <v>24</v>
      </c>
      <c r="I113" s="120" t="str">
        <f ca="1">IFERROR(__xludf.DUMMYFUNCTION("""COMPUTED_VALUE"""),"M12")</f>
        <v>M12</v>
      </c>
      <c r="J113" s="189" t="str">
        <f ca="1">IFERROR(__xludf.DUMMYFUNCTION("""COMPUTED_VALUE"""),"")</f>
        <v/>
      </c>
      <c r="K113" s="189" t="str">
        <f ca="1">IFERROR(__xludf.DUMMYFUNCTION("""COMPUTED_VALUE"""),"")</f>
        <v/>
      </c>
      <c r="L113" s="189" t="str">
        <f ca="1">IFERROR(__xludf.DUMMYFUNCTION("""COMPUTED_VALUE"""),"")</f>
        <v/>
      </c>
      <c r="M113" s="189" t="str">
        <f ca="1">IFERROR(__xludf.DUMMYFUNCTION("""COMPUTED_VALUE"""),"")</f>
        <v/>
      </c>
      <c r="N113" s="189" t="str">
        <f ca="1">IFERROR(__xludf.DUMMYFUNCTION("""COMPUTED_VALUE"""),"")</f>
        <v/>
      </c>
      <c r="O113" s="189" t="str">
        <f ca="1">IFERROR(__xludf.DUMMYFUNCTION("""COMPUTED_VALUE"""),"")</f>
        <v/>
      </c>
      <c r="P113" s="189" t="str">
        <f ca="1">IFERROR(__xludf.DUMMYFUNCTION("""COMPUTED_VALUE"""),"")</f>
        <v/>
      </c>
      <c r="Q113" s="189" t="str">
        <f ca="1">IFERROR(__xludf.DUMMYFUNCTION("""COMPUTED_VALUE"""),"")</f>
        <v/>
      </c>
      <c r="R113" s="189" t="str">
        <f ca="1">IFERROR(__xludf.DUMMYFUNCTION("""COMPUTED_VALUE"""),"")</f>
        <v/>
      </c>
      <c r="S113" s="189" t="str">
        <f ca="1">IFERROR(__xludf.DUMMYFUNCTION("""COMPUTED_VALUE"""),"")</f>
        <v/>
      </c>
      <c r="T113" s="189" t="str">
        <f ca="1">IFERROR(__xludf.DUMMYFUNCTION("""COMPUTED_VALUE"""),"")</f>
        <v/>
      </c>
      <c r="U113" s="189" t="str">
        <f ca="1">IFERROR(__xludf.DUMMYFUNCTION("""COMPUTED_VALUE"""),"")</f>
        <v/>
      </c>
      <c r="V113" s="189" t="str">
        <f ca="1">IFERROR(__xludf.DUMMYFUNCTION("""COMPUTED_VALUE"""),"")</f>
        <v/>
      </c>
      <c r="W113" s="189" t="str">
        <f ca="1">IFERROR(__xludf.DUMMYFUNCTION("""COMPUTED_VALUE"""),"")</f>
        <v/>
      </c>
      <c r="X113" s="189" t="str">
        <f ca="1">IFERROR(__xludf.DUMMYFUNCTION("""COMPUTED_VALUE"""),"")</f>
        <v/>
      </c>
      <c r="Y113" s="189" t="str">
        <f ca="1">IFERROR(__xludf.DUMMYFUNCTION("""COMPUTED_VALUE"""),"")</f>
        <v/>
      </c>
      <c r="Z113" s="189"/>
    </row>
    <row r="114" spans="1:26" ht="12.75">
      <c r="A114" s="189" t="str">
        <f ca="1">IFERROR(__xludf.DUMMYFUNCTION("""COMPUTED_VALUE"""),"PTAC-7")</f>
        <v>PTAC-7</v>
      </c>
      <c r="B114" s="189" t="str">
        <f ca="1">IFERROR(__xludf.DUMMYFUNCTION("""COMPUTED_VALUE"""),"PRESSURE TRANSDUCER (0-400 BAR)")</f>
        <v>PRESSURE TRANSDUCER (0-400 BAR)</v>
      </c>
      <c r="C114" s="189" t="str">
        <f ca="1">IFERROR(__xludf.DUMMYFUNCTION("""COMPUTED_VALUE"""),"HD LOCK ACCUMULATOR GAS PRESSURE SENSOR")</f>
        <v>HD LOCK ACCUMULATOR GAS PRESSURE SENSOR</v>
      </c>
      <c r="D114" s="189" t="str">
        <f ca="1">IFERROR(__xludf.DUMMYFUNCTION("""COMPUTED_VALUE"""),"24VDC")</f>
        <v>24VDC</v>
      </c>
      <c r="E114" s="189" t="str">
        <f ca="1">IFERROR(__xludf.DUMMYFUNCTION("""COMPUTED_VALUE"""),"4..20mA")</f>
        <v>4..20mA</v>
      </c>
      <c r="F114" s="189" t="str">
        <f ca="1">IFERROR(__xludf.DUMMYFUNCTION("""COMPUTED_VALUE"""),"NA")</f>
        <v>NA</v>
      </c>
      <c r="G114" s="189" t="str">
        <f ca="1">IFERROR(__xludf.DUMMYFUNCTION("""COMPUTED_VALUE"""),"PT5400")</f>
        <v>PT5400</v>
      </c>
      <c r="H114" s="189">
        <f ca="1">IFERROR(__xludf.DUMMYFUNCTION("""COMPUTED_VALUE"""),24)</f>
        <v>24</v>
      </c>
      <c r="I114" s="120" t="str">
        <f ca="1">IFERROR(__xludf.DUMMYFUNCTION("""COMPUTED_VALUE"""),"M12")</f>
        <v>M12</v>
      </c>
      <c r="J114" s="189" t="str">
        <f ca="1">IFERROR(__xludf.DUMMYFUNCTION("""COMPUTED_VALUE"""),"")</f>
        <v/>
      </c>
      <c r="K114" s="189" t="str">
        <f ca="1">IFERROR(__xludf.DUMMYFUNCTION("""COMPUTED_VALUE"""),"")</f>
        <v/>
      </c>
      <c r="L114" s="189" t="str">
        <f ca="1">IFERROR(__xludf.DUMMYFUNCTION("""COMPUTED_VALUE"""),"")</f>
        <v/>
      </c>
      <c r="M114" s="189" t="str">
        <f ca="1">IFERROR(__xludf.DUMMYFUNCTION("""COMPUTED_VALUE"""),"")</f>
        <v/>
      </c>
      <c r="N114" s="189" t="str">
        <f ca="1">IFERROR(__xludf.DUMMYFUNCTION("""COMPUTED_VALUE"""),"")</f>
        <v/>
      </c>
      <c r="O114" s="189" t="str">
        <f ca="1">IFERROR(__xludf.DUMMYFUNCTION("""COMPUTED_VALUE"""),"")</f>
        <v/>
      </c>
      <c r="P114" s="189" t="str">
        <f ca="1">IFERROR(__xludf.DUMMYFUNCTION("""COMPUTED_VALUE"""),"")</f>
        <v/>
      </c>
      <c r="Q114" s="189" t="str">
        <f ca="1">IFERROR(__xludf.DUMMYFUNCTION("""COMPUTED_VALUE"""),"")</f>
        <v/>
      </c>
      <c r="R114" s="189" t="str">
        <f ca="1">IFERROR(__xludf.DUMMYFUNCTION("""COMPUTED_VALUE"""),"")</f>
        <v/>
      </c>
      <c r="S114" s="189" t="str">
        <f ca="1">IFERROR(__xludf.DUMMYFUNCTION("""COMPUTED_VALUE"""),"")</f>
        <v/>
      </c>
      <c r="T114" s="189" t="str">
        <f ca="1">IFERROR(__xludf.DUMMYFUNCTION("""COMPUTED_VALUE"""),"")</f>
        <v/>
      </c>
      <c r="U114" s="189" t="str">
        <f ca="1">IFERROR(__xludf.DUMMYFUNCTION("""COMPUTED_VALUE"""),"")</f>
        <v/>
      </c>
      <c r="V114" s="189" t="str">
        <f ca="1">IFERROR(__xludf.DUMMYFUNCTION("""COMPUTED_VALUE"""),"")</f>
        <v/>
      </c>
      <c r="W114" s="189" t="str">
        <f ca="1">IFERROR(__xludf.DUMMYFUNCTION("""COMPUTED_VALUE"""),"")</f>
        <v/>
      </c>
      <c r="X114" s="189" t="str">
        <f ca="1">IFERROR(__xludf.DUMMYFUNCTION("""COMPUTED_VALUE"""),"")</f>
        <v/>
      </c>
      <c r="Y114" s="189" t="str">
        <f ca="1">IFERROR(__xludf.DUMMYFUNCTION("""COMPUTED_VALUE"""),"")</f>
        <v/>
      </c>
      <c r="Z114" s="189"/>
    </row>
    <row r="115" spans="1:26" ht="12.75">
      <c r="A115" s="189" t="str">
        <f ca="1">IFERROR(__xludf.DUMMYFUNCTION("""COMPUTED_VALUE"""),"SWAC-7-O")</f>
        <v>SWAC-7-O</v>
      </c>
      <c r="B115" s="189" t="str">
        <f ca="1">IFERROR(__xludf.DUMMYFUNCTION("""COMPUTED_VALUE"""),"LIMIT SWITCH")</f>
        <v>LIMIT SWITCH</v>
      </c>
      <c r="C115" s="189" t="str">
        <f ca="1">IFERROR(__xludf.DUMMYFUNCTION("""COMPUTED_VALUE"""),"HD LOCK ACC ISOLATION BALL VALVE OPEN")</f>
        <v>HD LOCK ACC ISOLATION BALL VALVE OPEN</v>
      </c>
      <c r="D115" s="189" t="str">
        <f ca="1">IFERROR(__xludf.DUMMYFUNCTION("""COMPUTED_VALUE"""),"")</f>
        <v/>
      </c>
      <c r="E115" s="189" t="str">
        <f ca="1">IFERROR(__xludf.DUMMYFUNCTION("""COMPUTED_VALUE"""),"")</f>
        <v/>
      </c>
      <c r="F115" s="189" t="str">
        <f ca="1">IFERROR(__xludf.DUMMYFUNCTION("""COMPUTED_VALUE"""),"")</f>
        <v/>
      </c>
      <c r="G115" s="189" t="str">
        <f ca="1">IFERROR(__xludf.DUMMYFUNCTION("""COMPUTED_VALUE"""),"")</f>
        <v/>
      </c>
      <c r="H115" s="189" t="str">
        <f ca="1">IFERROR(__xludf.DUMMYFUNCTION("""COMPUTED_VALUE"""),"")</f>
        <v/>
      </c>
      <c r="I115" s="120" t="str">
        <f ca="1">IFERROR(__xludf.DUMMYFUNCTION("""COMPUTED_VALUE"""),"WIRING TO TERMINAL BOX")</f>
        <v>WIRING TO TERMINAL BOX</v>
      </c>
      <c r="J115" s="189" t="str">
        <f ca="1">IFERROR(__xludf.DUMMYFUNCTION("""COMPUTED_VALUE"""),"")</f>
        <v/>
      </c>
      <c r="K115" s="189" t="str">
        <f ca="1">IFERROR(__xludf.DUMMYFUNCTION("""COMPUTED_VALUE"""),"")</f>
        <v/>
      </c>
      <c r="L115" s="189" t="str">
        <f ca="1">IFERROR(__xludf.DUMMYFUNCTION("""COMPUTED_VALUE"""),"")</f>
        <v/>
      </c>
      <c r="M115" s="189" t="str">
        <f ca="1">IFERROR(__xludf.DUMMYFUNCTION("""COMPUTED_VALUE"""),"")</f>
        <v/>
      </c>
      <c r="N115" s="189" t="str">
        <f ca="1">IFERROR(__xludf.DUMMYFUNCTION("""COMPUTED_VALUE"""),"")</f>
        <v/>
      </c>
      <c r="O115" s="189" t="str">
        <f ca="1">IFERROR(__xludf.DUMMYFUNCTION("""COMPUTED_VALUE"""),"")</f>
        <v/>
      </c>
      <c r="P115" s="189" t="str">
        <f ca="1">IFERROR(__xludf.DUMMYFUNCTION("""COMPUTED_VALUE"""),"")</f>
        <v/>
      </c>
      <c r="Q115" s="189" t="str">
        <f ca="1">IFERROR(__xludf.DUMMYFUNCTION("""COMPUTED_VALUE"""),"")</f>
        <v/>
      </c>
      <c r="R115" s="189" t="str">
        <f ca="1">IFERROR(__xludf.DUMMYFUNCTION("""COMPUTED_VALUE"""),"")</f>
        <v/>
      </c>
      <c r="S115" s="189" t="str">
        <f ca="1">IFERROR(__xludf.DUMMYFUNCTION("""COMPUTED_VALUE"""),"")</f>
        <v/>
      </c>
      <c r="T115" s="189" t="str">
        <f ca="1">IFERROR(__xludf.DUMMYFUNCTION("""COMPUTED_VALUE"""),"")</f>
        <v/>
      </c>
      <c r="U115" s="189" t="str">
        <f ca="1">IFERROR(__xludf.DUMMYFUNCTION("""COMPUTED_VALUE"""),"")</f>
        <v/>
      </c>
      <c r="V115" s="189" t="str">
        <f ca="1">IFERROR(__xludf.DUMMYFUNCTION("""COMPUTED_VALUE"""),"")</f>
        <v/>
      </c>
      <c r="W115" s="189" t="str">
        <f ca="1">IFERROR(__xludf.DUMMYFUNCTION("""COMPUTED_VALUE"""),"")</f>
        <v/>
      </c>
      <c r="X115" s="189" t="str">
        <f ca="1">IFERROR(__xludf.DUMMYFUNCTION("""COMPUTED_VALUE"""),"")</f>
        <v/>
      </c>
      <c r="Y115" s="189" t="str">
        <f ca="1">IFERROR(__xludf.DUMMYFUNCTION("""COMPUTED_VALUE"""),"")</f>
        <v/>
      </c>
      <c r="Z115" s="189"/>
    </row>
    <row r="116" spans="1:26" ht="12.75">
      <c r="A116" s="189" t="str">
        <f ca="1">IFERROR(__xludf.DUMMYFUNCTION("""COMPUTED_VALUE"""),"SWAC-7-C")</f>
        <v>SWAC-7-C</v>
      </c>
      <c r="B116" s="189" t="str">
        <f ca="1">IFERROR(__xludf.DUMMYFUNCTION("""COMPUTED_VALUE"""),"LIMIT SWITCH")</f>
        <v>LIMIT SWITCH</v>
      </c>
      <c r="C116" s="189" t="str">
        <f ca="1">IFERROR(__xludf.DUMMYFUNCTION("""COMPUTED_VALUE"""),"HD LOCK ACC ISOLATION BALL VALVE CLOSED")</f>
        <v>HD LOCK ACC ISOLATION BALL VALVE CLOSED</v>
      </c>
      <c r="D116" s="189" t="str">
        <f ca="1">IFERROR(__xludf.DUMMYFUNCTION("""COMPUTED_VALUE"""),"")</f>
        <v/>
      </c>
      <c r="E116" s="189" t="str">
        <f ca="1">IFERROR(__xludf.DUMMYFUNCTION("""COMPUTED_VALUE"""),"")</f>
        <v/>
      </c>
      <c r="F116" s="189" t="str">
        <f ca="1">IFERROR(__xludf.DUMMYFUNCTION("""COMPUTED_VALUE"""),"")</f>
        <v/>
      </c>
      <c r="G116" s="189" t="str">
        <f ca="1">IFERROR(__xludf.DUMMYFUNCTION("""COMPUTED_VALUE"""),"")</f>
        <v/>
      </c>
      <c r="H116" s="189" t="str">
        <f ca="1">IFERROR(__xludf.DUMMYFUNCTION("""COMPUTED_VALUE"""),"")</f>
        <v/>
      </c>
      <c r="I116" s="120" t="str">
        <f ca="1">IFERROR(__xludf.DUMMYFUNCTION("""COMPUTED_VALUE"""),"WIRING TO TERMINAL BOX")</f>
        <v>WIRING TO TERMINAL BOX</v>
      </c>
      <c r="J116" s="189" t="str">
        <f ca="1">IFERROR(__xludf.DUMMYFUNCTION("""COMPUTED_VALUE"""),"")</f>
        <v/>
      </c>
      <c r="K116" s="189" t="str">
        <f ca="1">IFERROR(__xludf.DUMMYFUNCTION("""COMPUTED_VALUE"""),"")</f>
        <v/>
      </c>
      <c r="L116" s="189" t="str">
        <f ca="1">IFERROR(__xludf.DUMMYFUNCTION("""COMPUTED_VALUE"""),"")</f>
        <v/>
      </c>
      <c r="M116" s="189" t="str">
        <f ca="1">IFERROR(__xludf.DUMMYFUNCTION("""COMPUTED_VALUE"""),"")</f>
        <v/>
      </c>
      <c r="N116" s="189" t="str">
        <f ca="1">IFERROR(__xludf.DUMMYFUNCTION("""COMPUTED_VALUE"""),"")</f>
        <v/>
      </c>
      <c r="O116" s="189" t="str">
        <f ca="1">IFERROR(__xludf.DUMMYFUNCTION("""COMPUTED_VALUE"""),"")</f>
        <v/>
      </c>
      <c r="P116" s="189" t="str">
        <f ca="1">IFERROR(__xludf.DUMMYFUNCTION("""COMPUTED_VALUE"""),"")</f>
        <v/>
      </c>
      <c r="Q116" s="189" t="str">
        <f ca="1">IFERROR(__xludf.DUMMYFUNCTION("""COMPUTED_VALUE"""),"")</f>
        <v/>
      </c>
      <c r="R116" s="189" t="str">
        <f ca="1">IFERROR(__xludf.DUMMYFUNCTION("""COMPUTED_VALUE"""),"")</f>
        <v/>
      </c>
      <c r="S116" s="189" t="str">
        <f ca="1">IFERROR(__xludf.DUMMYFUNCTION("""COMPUTED_VALUE"""),"")</f>
        <v/>
      </c>
      <c r="T116" s="189" t="str">
        <f ca="1">IFERROR(__xludf.DUMMYFUNCTION("""COMPUTED_VALUE"""),"")</f>
        <v/>
      </c>
      <c r="U116" s="189" t="str">
        <f ca="1">IFERROR(__xludf.DUMMYFUNCTION("""COMPUTED_VALUE"""),"")</f>
        <v/>
      </c>
      <c r="V116" s="189" t="str">
        <f ca="1">IFERROR(__xludf.DUMMYFUNCTION("""COMPUTED_VALUE"""),"")</f>
        <v/>
      </c>
      <c r="W116" s="189" t="str">
        <f ca="1">IFERROR(__xludf.DUMMYFUNCTION("""COMPUTED_VALUE"""),"")</f>
        <v/>
      </c>
      <c r="X116" s="189" t="str">
        <f ca="1">IFERROR(__xludf.DUMMYFUNCTION("""COMPUTED_VALUE"""),"")</f>
        <v/>
      </c>
      <c r="Y116" s="189" t="str">
        <f ca="1">IFERROR(__xludf.DUMMYFUNCTION("""COMPUTED_VALUE"""),"")</f>
        <v/>
      </c>
      <c r="Z116" s="189"/>
    </row>
    <row r="117" spans="1:26" ht="12.75">
      <c r="A117" s="189" t="str">
        <f ca="1">IFERROR(__xludf.DUMMYFUNCTION("""COMPUTED_VALUE"""),"SW40")</f>
        <v>SW40</v>
      </c>
      <c r="B117" s="189" t="str">
        <f ca="1">IFERROR(__xludf.DUMMYFUNCTION("""COMPUTED_VALUE"""),"POSITION SENSOR")</f>
        <v>POSITION SENSOR</v>
      </c>
      <c r="C117" s="189" t="str">
        <f ca="1">IFERROR(__xludf.DUMMYFUNCTION("""COMPUTED_VALUE"""),"HD LOCK ACCUMULATOR DRAIN VALVE POSITION SENSOR")</f>
        <v>HD LOCK ACCUMULATOR DRAIN VALVE POSITION SENSOR</v>
      </c>
      <c r="D117" s="189" t="str">
        <f ca="1">IFERROR(__xludf.DUMMYFUNCTION("""COMPUTED_VALUE"""),"24VDC NC")</f>
        <v>24VDC NC</v>
      </c>
      <c r="E117" s="189" t="str">
        <f ca="1">IFERROR(__xludf.DUMMYFUNCTION("""COMPUTED_VALUE"""),"NA")</f>
        <v>NA</v>
      </c>
      <c r="F117" s="189" t="str">
        <f ca="1">IFERROR(__xludf.DUMMYFUNCTION("""COMPUTED_VALUE"""),"NA")</f>
        <v>NA</v>
      </c>
      <c r="G117" s="189" t="str">
        <f ca="1">IFERROR(__xludf.DUMMYFUNCTION("""COMPUTED_VALUE"""),"SV58-P20-0-P-0-M3")</f>
        <v>SV58-P20-0-P-0-M3</v>
      </c>
      <c r="H117" s="189">
        <f ca="1">IFERROR(__xludf.DUMMYFUNCTION("""COMPUTED_VALUE"""),45)</f>
        <v>45</v>
      </c>
      <c r="I117" s="120" t="str">
        <f ca="1">IFERROR(__xludf.DUMMYFUNCTION("""COMPUTED_VALUE"""),"M12")</f>
        <v>M12</v>
      </c>
      <c r="J117" s="189" t="str">
        <f ca="1">IFERROR(__xludf.DUMMYFUNCTION("""COMPUTED_VALUE"""),"")</f>
        <v/>
      </c>
      <c r="K117" s="189" t="str">
        <f ca="1">IFERROR(__xludf.DUMMYFUNCTION("""COMPUTED_VALUE"""),"")</f>
        <v/>
      </c>
      <c r="L117" s="189" t="str">
        <f ca="1">IFERROR(__xludf.DUMMYFUNCTION("""COMPUTED_VALUE"""),"")</f>
        <v/>
      </c>
      <c r="M117" s="189" t="str">
        <f ca="1">IFERROR(__xludf.DUMMYFUNCTION("""COMPUTED_VALUE"""),"")</f>
        <v/>
      </c>
      <c r="N117" s="189" t="str">
        <f ca="1">IFERROR(__xludf.DUMMYFUNCTION("""COMPUTED_VALUE"""),"")</f>
        <v/>
      </c>
      <c r="O117" s="189" t="str">
        <f ca="1">IFERROR(__xludf.DUMMYFUNCTION("""COMPUTED_VALUE"""),"")</f>
        <v/>
      </c>
      <c r="P117" s="189" t="str">
        <f ca="1">IFERROR(__xludf.DUMMYFUNCTION("""COMPUTED_VALUE"""),"")</f>
        <v/>
      </c>
      <c r="Q117" s="189" t="str">
        <f ca="1">IFERROR(__xludf.DUMMYFUNCTION("""COMPUTED_VALUE"""),"")</f>
        <v/>
      </c>
      <c r="R117" s="189" t="str">
        <f ca="1">IFERROR(__xludf.DUMMYFUNCTION("""COMPUTED_VALUE"""),"")</f>
        <v/>
      </c>
      <c r="S117" s="189" t="str">
        <f ca="1">IFERROR(__xludf.DUMMYFUNCTION("""COMPUTED_VALUE"""),"")</f>
        <v/>
      </c>
      <c r="T117" s="189" t="str">
        <f ca="1">IFERROR(__xludf.DUMMYFUNCTION("""COMPUTED_VALUE"""),"")</f>
        <v/>
      </c>
      <c r="U117" s="189" t="str">
        <f ca="1">IFERROR(__xludf.DUMMYFUNCTION("""COMPUTED_VALUE"""),"")</f>
        <v/>
      </c>
      <c r="V117" s="189" t="str">
        <f ca="1">IFERROR(__xludf.DUMMYFUNCTION("""COMPUTED_VALUE"""),"")</f>
        <v/>
      </c>
      <c r="W117" s="189" t="str">
        <f ca="1">IFERROR(__xludf.DUMMYFUNCTION("""COMPUTED_VALUE"""),"")</f>
        <v/>
      </c>
      <c r="X117" s="189" t="str">
        <f ca="1">IFERROR(__xludf.DUMMYFUNCTION("""COMPUTED_VALUE"""),"")</f>
        <v/>
      </c>
      <c r="Y117" s="189" t="str">
        <f ca="1">IFERROR(__xludf.DUMMYFUNCTION("""COMPUTED_VALUE"""),"")</f>
        <v/>
      </c>
      <c r="Z117" s="189"/>
    </row>
    <row r="118" spans="1:26" ht="12.75">
      <c r="A118" s="189" t="str">
        <f ca="1">IFERROR(__xludf.DUMMYFUNCTION("""COMPUTED_VALUE"""),"S40")</f>
        <v>S40</v>
      </c>
      <c r="B118" s="189" t="str">
        <f ca="1">IFERROR(__xludf.DUMMYFUNCTION("""COMPUTED_VALUE"""),"ON/OFF SOLENOID VALVE")</f>
        <v>ON/OFF SOLENOID VALVE</v>
      </c>
      <c r="C118" s="189" t="str">
        <f ca="1">IFERROR(__xludf.DUMMYFUNCTION("""COMPUTED_VALUE"""),"HD LOCK ACC SOLENOID DRAIN (NORMALLY CLOSED)")</f>
        <v>HD LOCK ACC SOLENOID DRAIN (NORMALLY CLOSED)</v>
      </c>
      <c r="D118" s="189" t="str">
        <f ca="1">IFERROR(__xludf.DUMMYFUNCTION("""COMPUTED_VALUE"""),"24VDC 17W")</f>
        <v>24VDC 17W</v>
      </c>
      <c r="E118" s="189" t="str">
        <f ca="1">IFERROR(__xludf.DUMMYFUNCTION("""COMPUTED_VALUE"""),"NA")</f>
        <v>NA</v>
      </c>
      <c r="F118" s="189" t="str">
        <f ca="1">IFERROR(__xludf.DUMMYFUNCTION("""COMPUTED_VALUE"""),"NA")</f>
        <v>NA</v>
      </c>
      <c r="G118" s="189" t="str">
        <f ca="1">IFERROR(__xludf.DUMMYFUNCTION("""COMPUTED_VALUE"""),"SV58-P20-0-P-0-M3")</f>
        <v>SV58-P20-0-P-0-M3</v>
      </c>
      <c r="H118" s="189">
        <f ca="1">IFERROR(__xludf.DUMMYFUNCTION("""COMPUTED_VALUE"""),45)</f>
        <v>45</v>
      </c>
      <c r="I118" s="120" t="str">
        <f ca="1">IFERROR(__xludf.DUMMYFUNCTION("""COMPUTED_VALUE"""),"DEUTSCH DTO4-2P (CONNECTOR INCLUDED)")</f>
        <v>DEUTSCH DTO4-2P (CONNECTOR INCLUDED)</v>
      </c>
      <c r="J118" s="189" t="str">
        <f ca="1">IFERROR(__xludf.DUMMYFUNCTION("""COMPUTED_VALUE"""),"")</f>
        <v/>
      </c>
      <c r="K118" s="189" t="str">
        <f ca="1">IFERROR(__xludf.DUMMYFUNCTION("""COMPUTED_VALUE"""),"")</f>
        <v/>
      </c>
      <c r="L118" s="189" t="str">
        <f ca="1">IFERROR(__xludf.DUMMYFUNCTION("""COMPUTED_VALUE"""),"")</f>
        <v/>
      </c>
      <c r="M118" s="189" t="str">
        <f ca="1">IFERROR(__xludf.DUMMYFUNCTION("""COMPUTED_VALUE"""),"")</f>
        <v/>
      </c>
      <c r="N118" s="189" t="str">
        <f ca="1">IFERROR(__xludf.DUMMYFUNCTION("""COMPUTED_VALUE"""),"")</f>
        <v/>
      </c>
      <c r="O118" s="189" t="str">
        <f ca="1">IFERROR(__xludf.DUMMYFUNCTION("""COMPUTED_VALUE"""),"")</f>
        <v/>
      </c>
      <c r="P118" s="189" t="str">
        <f ca="1">IFERROR(__xludf.DUMMYFUNCTION("""COMPUTED_VALUE"""),"")</f>
        <v/>
      </c>
      <c r="Q118" s="189" t="str">
        <f ca="1">IFERROR(__xludf.DUMMYFUNCTION("""COMPUTED_VALUE"""),"")</f>
        <v/>
      </c>
      <c r="R118" s="189" t="str">
        <f ca="1">IFERROR(__xludf.DUMMYFUNCTION("""COMPUTED_VALUE"""),"")</f>
        <v/>
      </c>
      <c r="S118" s="189" t="str">
        <f ca="1">IFERROR(__xludf.DUMMYFUNCTION("""COMPUTED_VALUE"""),"")</f>
        <v/>
      </c>
      <c r="T118" s="189" t="str">
        <f ca="1">IFERROR(__xludf.DUMMYFUNCTION("""COMPUTED_VALUE"""),"")</f>
        <v/>
      </c>
      <c r="U118" s="189" t="str">
        <f ca="1">IFERROR(__xludf.DUMMYFUNCTION("""COMPUTED_VALUE"""),"")</f>
        <v/>
      </c>
      <c r="V118" s="189" t="str">
        <f ca="1">IFERROR(__xludf.DUMMYFUNCTION("""COMPUTED_VALUE"""),"")</f>
        <v/>
      </c>
      <c r="W118" s="189" t="str">
        <f ca="1">IFERROR(__xludf.DUMMYFUNCTION("""COMPUTED_VALUE"""),"")</f>
        <v/>
      </c>
      <c r="X118" s="189" t="str">
        <f ca="1">IFERROR(__xludf.DUMMYFUNCTION("""COMPUTED_VALUE"""),"")</f>
        <v/>
      </c>
      <c r="Y118" s="189" t="str">
        <f ca="1">IFERROR(__xludf.DUMMYFUNCTION("""COMPUTED_VALUE"""),"")</f>
        <v/>
      </c>
      <c r="Z118" s="189"/>
    </row>
    <row r="119" spans="1:26" ht="12.75">
      <c r="A119" s="189" t="str">
        <f ca="1">IFERROR(__xludf.DUMMYFUNCTION("""COMPUTED_VALUE"""),"S41")</f>
        <v>S41</v>
      </c>
      <c r="B119" s="189" t="str">
        <f ca="1">IFERROR(__xludf.DUMMYFUNCTION("""COMPUTED_VALUE"""),"ON/OFF SOLENOID VALVE")</f>
        <v>ON/OFF SOLENOID VALVE</v>
      </c>
      <c r="C119" s="189" t="str">
        <f ca="1">IFERROR(__xludf.DUMMYFUNCTION("""COMPUTED_VALUE"""),"HD LOCK OPEN / CLOSE VALVE (SPRING RETURN)")</f>
        <v>HD LOCK OPEN / CLOSE VALVE (SPRING RETURN)</v>
      </c>
      <c r="D119" s="189" t="str">
        <f ca="1">IFERROR(__xludf.DUMMYFUNCTION("""COMPUTED_VALUE"""),"24VDC 36W")</f>
        <v>24VDC 36W</v>
      </c>
      <c r="E119" s="121" t="str">
        <f ca="1">IFERROR(__xludf.DUMMYFUNCTION("""COMPUTED_VALUE"""),"NA ")</f>
        <v xml:space="preserve">NA </v>
      </c>
      <c r="F119" s="121" t="str">
        <f ca="1">IFERROR(__xludf.DUMMYFUNCTION("""COMPUTED_VALUE"""),"NA ")</f>
        <v xml:space="preserve">NA </v>
      </c>
      <c r="G119" s="189" t="str">
        <f ca="1">IFERROR(__xludf.DUMMYFUNCTION("""COMPUTED_VALUE"""),"E040123")</f>
        <v>E040123</v>
      </c>
      <c r="H119" s="189">
        <f ca="1">IFERROR(__xludf.DUMMYFUNCTION("""COMPUTED_VALUE"""),82)</f>
        <v>82</v>
      </c>
      <c r="I119" s="120" t="str">
        <f ca="1">IFERROR(__xludf.DUMMYFUNCTION("""COMPUTED_VALUE"""),"DEUTSCH DTO4-2P (CONNECTOR INCLUDED)")</f>
        <v>DEUTSCH DTO4-2P (CONNECTOR INCLUDED)</v>
      </c>
      <c r="J119" s="189" t="str">
        <f ca="1">IFERROR(__xludf.DUMMYFUNCTION("""COMPUTED_VALUE"""),"")</f>
        <v/>
      </c>
      <c r="K119" s="189" t="str">
        <f ca="1">IFERROR(__xludf.DUMMYFUNCTION("""COMPUTED_VALUE"""),"")</f>
        <v/>
      </c>
      <c r="L119" s="189" t="str">
        <f ca="1">IFERROR(__xludf.DUMMYFUNCTION("""COMPUTED_VALUE"""),"")</f>
        <v/>
      </c>
      <c r="M119" s="189" t="str">
        <f ca="1">IFERROR(__xludf.DUMMYFUNCTION("""COMPUTED_VALUE"""),"")</f>
        <v/>
      </c>
      <c r="N119" s="189" t="str">
        <f ca="1">IFERROR(__xludf.DUMMYFUNCTION("""COMPUTED_VALUE"""),"")</f>
        <v/>
      </c>
      <c r="O119" s="189" t="str">
        <f ca="1">IFERROR(__xludf.DUMMYFUNCTION("""COMPUTED_VALUE"""),"")</f>
        <v/>
      </c>
      <c r="P119" s="189" t="str">
        <f ca="1">IFERROR(__xludf.DUMMYFUNCTION("""COMPUTED_VALUE"""),"")</f>
        <v/>
      </c>
      <c r="Q119" s="189" t="str">
        <f ca="1">IFERROR(__xludf.DUMMYFUNCTION("""COMPUTED_VALUE"""),"")</f>
        <v/>
      </c>
      <c r="R119" s="189" t="str">
        <f ca="1">IFERROR(__xludf.DUMMYFUNCTION("""COMPUTED_VALUE"""),"")</f>
        <v/>
      </c>
      <c r="S119" s="189" t="str">
        <f ca="1">IFERROR(__xludf.DUMMYFUNCTION("""COMPUTED_VALUE"""),"")</f>
        <v/>
      </c>
      <c r="T119" s="189" t="str">
        <f ca="1">IFERROR(__xludf.DUMMYFUNCTION("""COMPUTED_VALUE"""),"")</f>
        <v/>
      </c>
      <c r="U119" s="189" t="str">
        <f ca="1">IFERROR(__xludf.DUMMYFUNCTION("""COMPUTED_VALUE"""),"")</f>
        <v/>
      </c>
      <c r="V119" s="189" t="str">
        <f ca="1">IFERROR(__xludf.DUMMYFUNCTION("""COMPUTED_VALUE"""),"")</f>
        <v/>
      </c>
      <c r="W119" s="189" t="str">
        <f ca="1">IFERROR(__xludf.DUMMYFUNCTION("""COMPUTED_VALUE"""),"")</f>
        <v/>
      </c>
      <c r="X119" s="189" t="str">
        <f ca="1">IFERROR(__xludf.DUMMYFUNCTION("""COMPUTED_VALUE"""),"")</f>
        <v/>
      </c>
      <c r="Y119" s="189" t="str">
        <f ca="1">IFERROR(__xludf.DUMMYFUNCTION("""COMPUTED_VALUE"""),"")</f>
        <v/>
      </c>
      <c r="Z119" s="189"/>
    </row>
    <row r="120" spans="1:26" ht="12.75">
      <c r="A120" s="189" t="str">
        <f ca="1">IFERROR(__xludf.DUMMYFUNCTION("""COMPUTED_VALUE"""),"S42")</f>
        <v>S42</v>
      </c>
      <c r="B120" s="189" t="str">
        <f ca="1">IFERROR(__xludf.DUMMYFUNCTION("""COMPUTED_VALUE"""),"ON/OFF SOLENOID VALVE")</f>
        <v>ON/OFF SOLENOID VALVE</v>
      </c>
      <c r="C120" s="189" t="str">
        <f ca="1">IFERROR(__xludf.DUMMYFUNCTION("""COMPUTED_VALUE"""),"HD LOCK OPEN / CLOSE BACKUP VALVE (SPRING RETURN)")</f>
        <v>HD LOCK OPEN / CLOSE BACKUP VALVE (SPRING RETURN)</v>
      </c>
      <c r="D120" s="189" t="str">
        <f ca="1">IFERROR(__xludf.DUMMYFUNCTION("""COMPUTED_VALUE"""),"24VDC 17W")</f>
        <v>24VDC 17W</v>
      </c>
      <c r="E120" s="189" t="str">
        <f ca="1">IFERROR(__xludf.DUMMYFUNCTION("""COMPUTED_VALUE"""),"NA")</f>
        <v>NA</v>
      </c>
      <c r="F120" s="189" t="str">
        <f ca="1">IFERROR(__xludf.DUMMYFUNCTION("""COMPUTED_VALUE"""),"NA")</f>
        <v>NA</v>
      </c>
      <c r="G120" s="189" t="str">
        <f ca="1">IFERROR(__xludf.DUMMYFUNCTION("""COMPUTED_VALUE"""),"SV58-40-0-P-0    ")</f>
        <v xml:space="preserve">SV58-40-0-P-0    </v>
      </c>
      <c r="H120" s="189">
        <f ca="1">IFERROR(__xludf.DUMMYFUNCTION("""COMPUTED_VALUE"""),74)</f>
        <v>74</v>
      </c>
      <c r="I120" s="120" t="str">
        <f ca="1">IFERROR(__xludf.DUMMYFUNCTION("""COMPUTED_VALUE"""),"DEUTSCH DTO4-2P (CONNECTOR INCLUDED)")</f>
        <v>DEUTSCH DTO4-2P (CONNECTOR INCLUDED)</v>
      </c>
      <c r="J120" s="189" t="str">
        <f ca="1">IFERROR(__xludf.DUMMYFUNCTION("""COMPUTED_VALUE"""),"")</f>
        <v/>
      </c>
      <c r="K120" s="189" t="str">
        <f ca="1">IFERROR(__xludf.DUMMYFUNCTION("""COMPUTED_VALUE"""),"")</f>
        <v/>
      </c>
      <c r="L120" s="189" t="str">
        <f ca="1">IFERROR(__xludf.DUMMYFUNCTION("""COMPUTED_VALUE"""),"")</f>
        <v/>
      </c>
      <c r="M120" s="189" t="str">
        <f ca="1">IFERROR(__xludf.DUMMYFUNCTION("""COMPUTED_VALUE"""),"")</f>
        <v/>
      </c>
      <c r="N120" s="189" t="str">
        <f ca="1">IFERROR(__xludf.DUMMYFUNCTION("""COMPUTED_VALUE"""),"")</f>
        <v/>
      </c>
      <c r="O120" s="189" t="str">
        <f ca="1">IFERROR(__xludf.DUMMYFUNCTION("""COMPUTED_VALUE"""),"")</f>
        <v/>
      </c>
      <c r="P120" s="189" t="str">
        <f ca="1">IFERROR(__xludf.DUMMYFUNCTION("""COMPUTED_VALUE"""),"")</f>
        <v/>
      </c>
      <c r="Q120" s="189" t="str">
        <f ca="1">IFERROR(__xludf.DUMMYFUNCTION("""COMPUTED_VALUE"""),"")</f>
        <v/>
      </c>
      <c r="R120" s="189" t="str">
        <f ca="1">IFERROR(__xludf.DUMMYFUNCTION("""COMPUTED_VALUE"""),"")</f>
        <v/>
      </c>
      <c r="S120" s="189" t="str">
        <f ca="1">IFERROR(__xludf.DUMMYFUNCTION("""COMPUTED_VALUE"""),"")</f>
        <v/>
      </c>
      <c r="T120" s="189" t="str">
        <f ca="1">IFERROR(__xludf.DUMMYFUNCTION("""COMPUTED_VALUE"""),"")</f>
        <v/>
      </c>
      <c r="U120" s="189" t="str">
        <f ca="1">IFERROR(__xludf.DUMMYFUNCTION("""COMPUTED_VALUE"""),"")</f>
        <v/>
      </c>
      <c r="V120" s="189" t="str">
        <f ca="1">IFERROR(__xludf.DUMMYFUNCTION("""COMPUTED_VALUE"""),"")</f>
        <v/>
      </c>
      <c r="W120" s="189" t="str">
        <f ca="1">IFERROR(__xludf.DUMMYFUNCTION("""COMPUTED_VALUE"""),"")</f>
        <v/>
      </c>
      <c r="X120" s="189" t="str">
        <f ca="1">IFERROR(__xludf.DUMMYFUNCTION("""COMPUTED_VALUE"""),"")</f>
        <v/>
      </c>
      <c r="Y120" s="189" t="str">
        <f ca="1">IFERROR(__xludf.DUMMYFUNCTION("""COMPUTED_VALUE"""),"")</f>
        <v/>
      </c>
      <c r="Z120" s="189"/>
    </row>
    <row r="121" spans="1:26" ht="12.75">
      <c r="A121" s="189" t="str">
        <f ca="1">IFERROR(__xludf.DUMMYFUNCTION("""COMPUTED_VALUE"""),"S43")</f>
        <v>S43</v>
      </c>
      <c r="B121" s="189" t="str">
        <f ca="1">IFERROR(__xludf.DUMMYFUNCTION("""COMPUTED_VALUE"""),"ON/OFF SOLENOID VALVE")</f>
        <v>ON/OFF SOLENOID VALVE</v>
      </c>
      <c r="C121" s="189" t="str">
        <f ca="1">IFERROR(__xludf.DUMMYFUNCTION("""COMPUTED_VALUE"""),"HD LOCK CYLINDER 1 ISOLATION VALVE (NORMALLY OPEN)")</f>
        <v>HD LOCK CYLINDER 1 ISOLATION VALVE (NORMALLY OPEN)</v>
      </c>
      <c r="D121" s="189" t="str">
        <f ca="1">IFERROR(__xludf.DUMMYFUNCTION("""COMPUTED_VALUE"""),"24VDC 20W")</f>
        <v>24VDC 20W</v>
      </c>
      <c r="E121" s="189" t="str">
        <f ca="1">IFERROR(__xludf.DUMMYFUNCTION("""COMPUTED_VALUE"""),"NA")</f>
        <v>NA</v>
      </c>
      <c r="F121" s="189" t="str">
        <f ca="1">IFERROR(__xludf.DUMMYFUNCTION("""COMPUTED_VALUE"""),"NA")</f>
        <v>NA</v>
      </c>
      <c r="G121" s="189" t="str">
        <f ca="1">IFERROR(__xludf.DUMMYFUNCTION("""COMPUTED_VALUE"""),"HSV10-29-0-U-0      ")</f>
        <v xml:space="preserve">HSV10-29-0-U-0      </v>
      </c>
      <c r="H121" s="189">
        <f ca="1">IFERROR(__xludf.DUMMYFUNCTION("""COMPUTED_VALUE"""),85)</f>
        <v>85</v>
      </c>
      <c r="I121" s="120" t="str">
        <f ca="1">IFERROR(__xludf.DUMMYFUNCTION("""COMPUTED_VALUE"""),"DEUTSCH DTO4-2P (CONNECTOR INCLUDED)")</f>
        <v>DEUTSCH DTO4-2P (CONNECTOR INCLUDED)</v>
      </c>
      <c r="J121" s="189" t="str">
        <f ca="1">IFERROR(__xludf.DUMMYFUNCTION("""COMPUTED_VALUE"""),"")</f>
        <v/>
      </c>
      <c r="K121" s="189" t="str">
        <f ca="1">IFERROR(__xludf.DUMMYFUNCTION("""COMPUTED_VALUE"""),"")</f>
        <v/>
      </c>
      <c r="L121" s="189" t="str">
        <f ca="1">IFERROR(__xludf.DUMMYFUNCTION("""COMPUTED_VALUE"""),"")</f>
        <v/>
      </c>
      <c r="M121" s="189" t="str">
        <f ca="1">IFERROR(__xludf.DUMMYFUNCTION("""COMPUTED_VALUE"""),"")</f>
        <v/>
      </c>
      <c r="N121" s="189" t="str">
        <f ca="1">IFERROR(__xludf.DUMMYFUNCTION("""COMPUTED_VALUE"""),"")</f>
        <v/>
      </c>
      <c r="O121" s="189" t="str">
        <f ca="1">IFERROR(__xludf.DUMMYFUNCTION("""COMPUTED_VALUE"""),"")</f>
        <v/>
      </c>
      <c r="P121" s="189" t="str">
        <f ca="1">IFERROR(__xludf.DUMMYFUNCTION("""COMPUTED_VALUE"""),"")</f>
        <v/>
      </c>
      <c r="Q121" s="189" t="str">
        <f ca="1">IFERROR(__xludf.DUMMYFUNCTION("""COMPUTED_VALUE"""),"")</f>
        <v/>
      </c>
      <c r="R121" s="189" t="str">
        <f ca="1">IFERROR(__xludf.DUMMYFUNCTION("""COMPUTED_VALUE"""),"")</f>
        <v/>
      </c>
      <c r="S121" s="189" t="str">
        <f ca="1">IFERROR(__xludf.DUMMYFUNCTION("""COMPUTED_VALUE"""),"")</f>
        <v/>
      </c>
      <c r="T121" s="189" t="str">
        <f ca="1">IFERROR(__xludf.DUMMYFUNCTION("""COMPUTED_VALUE"""),"")</f>
        <v/>
      </c>
      <c r="U121" s="189" t="str">
        <f ca="1">IFERROR(__xludf.DUMMYFUNCTION("""COMPUTED_VALUE"""),"")</f>
        <v/>
      </c>
      <c r="V121" s="189" t="str">
        <f ca="1">IFERROR(__xludf.DUMMYFUNCTION("""COMPUTED_VALUE"""),"")</f>
        <v/>
      </c>
      <c r="W121" s="189" t="str">
        <f ca="1">IFERROR(__xludf.DUMMYFUNCTION("""COMPUTED_VALUE"""),"")</f>
        <v/>
      </c>
      <c r="X121" s="189" t="str">
        <f ca="1">IFERROR(__xludf.DUMMYFUNCTION("""COMPUTED_VALUE"""),"")</f>
        <v/>
      </c>
      <c r="Y121" s="189" t="str">
        <f ca="1">IFERROR(__xludf.DUMMYFUNCTION("""COMPUTED_VALUE"""),"")</f>
        <v/>
      </c>
      <c r="Z121" s="189"/>
    </row>
    <row r="122" spans="1:26" ht="12.75">
      <c r="A122" s="189" t="str">
        <f ca="1">IFERROR(__xludf.DUMMYFUNCTION("""COMPUTED_VALUE"""),"S44")</f>
        <v>S44</v>
      </c>
      <c r="B122" s="189" t="str">
        <f ca="1">IFERROR(__xludf.DUMMYFUNCTION("""COMPUTED_VALUE"""),"ON/OFF SOLENOID VALVE")</f>
        <v>ON/OFF SOLENOID VALVE</v>
      </c>
      <c r="C122" s="189" t="str">
        <f ca="1">IFERROR(__xludf.DUMMYFUNCTION("""COMPUTED_VALUE"""),"HD LOCK CYLINDER 2 ISOLATION VALVE (NORMALLY OPEN)")</f>
        <v>HD LOCK CYLINDER 2 ISOLATION VALVE (NORMALLY OPEN)</v>
      </c>
      <c r="D122" s="189" t="str">
        <f ca="1">IFERROR(__xludf.DUMMYFUNCTION("""COMPUTED_VALUE"""),"24VDC 20W")</f>
        <v>24VDC 20W</v>
      </c>
      <c r="E122" s="189" t="str">
        <f ca="1">IFERROR(__xludf.DUMMYFUNCTION("""COMPUTED_VALUE"""),"NA")</f>
        <v>NA</v>
      </c>
      <c r="F122" s="189" t="str">
        <f ca="1">IFERROR(__xludf.DUMMYFUNCTION("""COMPUTED_VALUE"""),"NA")</f>
        <v>NA</v>
      </c>
      <c r="G122" s="189" t="str">
        <f ca="1">IFERROR(__xludf.DUMMYFUNCTION("""COMPUTED_VALUE"""),"HSV10-29-0-U-0      ")</f>
        <v xml:space="preserve">HSV10-29-0-U-0      </v>
      </c>
      <c r="H122" s="189">
        <f ca="1">IFERROR(__xludf.DUMMYFUNCTION("""COMPUTED_VALUE"""),85)</f>
        <v>85</v>
      </c>
      <c r="I122" s="120" t="str">
        <f ca="1">IFERROR(__xludf.DUMMYFUNCTION("""COMPUTED_VALUE"""),"DEUTSCH DTO4-2P (CONNECTOR INCLUDED)")</f>
        <v>DEUTSCH DTO4-2P (CONNECTOR INCLUDED)</v>
      </c>
      <c r="J122" s="189" t="str">
        <f ca="1">IFERROR(__xludf.DUMMYFUNCTION("""COMPUTED_VALUE"""),"")</f>
        <v/>
      </c>
      <c r="K122" s="189" t="str">
        <f ca="1">IFERROR(__xludf.DUMMYFUNCTION("""COMPUTED_VALUE"""),"")</f>
        <v/>
      </c>
      <c r="L122" s="189" t="str">
        <f ca="1">IFERROR(__xludf.DUMMYFUNCTION("""COMPUTED_VALUE"""),"")</f>
        <v/>
      </c>
      <c r="M122" s="189" t="str">
        <f ca="1">IFERROR(__xludf.DUMMYFUNCTION("""COMPUTED_VALUE"""),"")</f>
        <v/>
      </c>
      <c r="N122" s="189" t="str">
        <f ca="1">IFERROR(__xludf.DUMMYFUNCTION("""COMPUTED_VALUE"""),"")</f>
        <v/>
      </c>
      <c r="O122" s="189" t="str">
        <f ca="1">IFERROR(__xludf.DUMMYFUNCTION("""COMPUTED_VALUE"""),"")</f>
        <v/>
      </c>
      <c r="P122" s="189" t="str">
        <f ca="1">IFERROR(__xludf.DUMMYFUNCTION("""COMPUTED_VALUE"""),"")</f>
        <v/>
      </c>
      <c r="Q122" s="189" t="str">
        <f ca="1">IFERROR(__xludf.DUMMYFUNCTION("""COMPUTED_VALUE"""),"")</f>
        <v/>
      </c>
      <c r="R122" s="189" t="str">
        <f ca="1">IFERROR(__xludf.DUMMYFUNCTION("""COMPUTED_VALUE"""),"")</f>
        <v/>
      </c>
      <c r="S122" s="189" t="str">
        <f ca="1">IFERROR(__xludf.DUMMYFUNCTION("""COMPUTED_VALUE"""),"")</f>
        <v/>
      </c>
      <c r="T122" s="189" t="str">
        <f ca="1">IFERROR(__xludf.DUMMYFUNCTION("""COMPUTED_VALUE"""),"")</f>
        <v/>
      </c>
      <c r="U122" s="189" t="str">
        <f ca="1">IFERROR(__xludf.DUMMYFUNCTION("""COMPUTED_VALUE"""),"")</f>
        <v/>
      </c>
      <c r="V122" s="189" t="str">
        <f ca="1">IFERROR(__xludf.DUMMYFUNCTION("""COMPUTED_VALUE"""),"")</f>
        <v/>
      </c>
      <c r="W122" s="189" t="str">
        <f ca="1">IFERROR(__xludf.DUMMYFUNCTION("""COMPUTED_VALUE"""),"")</f>
        <v/>
      </c>
      <c r="X122" s="189" t="str">
        <f ca="1">IFERROR(__xludf.DUMMYFUNCTION("""COMPUTED_VALUE"""),"")</f>
        <v/>
      </c>
      <c r="Y122" s="189" t="str">
        <f ca="1">IFERROR(__xludf.DUMMYFUNCTION("""COMPUTED_VALUE"""),"")</f>
        <v/>
      </c>
      <c r="Z122" s="189"/>
    </row>
    <row r="123" spans="1:26" ht="12.75">
      <c r="A123" s="189" t="str">
        <f ca="1">IFERROR(__xludf.DUMMYFUNCTION("""COMPUTED_VALUE"""),"S45")</f>
        <v>S45</v>
      </c>
      <c r="B123" s="189" t="str">
        <f ca="1">IFERROR(__xludf.DUMMYFUNCTION("""COMPUTED_VALUE"""),"ON/OFF SOLENOID VALVE")</f>
        <v>ON/OFF SOLENOID VALVE</v>
      </c>
      <c r="C123" s="189" t="str">
        <f ca="1">IFERROR(__xludf.DUMMYFUNCTION("""COMPUTED_VALUE"""),"HD LOCK CYLINDER 3 ISOLATION VALVE (NORMALLY OPEN)")</f>
        <v>HD LOCK CYLINDER 3 ISOLATION VALVE (NORMALLY OPEN)</v>
      </c>
      <c r="D123" s="189" t="str">
        <f ca="1">IFERROR(__xludf.DUMMYFUNCTION("""COMPUTED_VALUE"""),"24VDC 20W")</f>
        <v>24VDC 20W</v>
      </c>
      <c r="E123" s="189" t="str">
        <f ca="1">IFERROR(__xludf.DUMMYFUNCTION("""COMPUTED_VALUE"""),"NA")</f>
        <v>NA</v>
      </c>
      <c r="F123" s="189" t="str">
        <f ca="1">IFERROR(__xludf.DUMMYFUNCTION("""COMPUTED_VALUE"""),"NA")</f>
        <v>NA</v>
      </c>
      <c r="G123" s="189" t="str">
        <f ca="1">IFERROR(__xludf.DUMMYFUNCTION("""COMPUTED_VALUE"""),"HSV10-29-0-U-0      ")</f>
        <v xml:space="preserve">HSV10-29-0-U-0      </v>
      </c>
      <c r="H123" s="189">
        <f ca="1">IFERROR(__xludf.DUMMYFUNCTION("""COMPUTED_VALUE"""),85)</f>
        <v>85</v>
      </c>
      <c r="I123" s="120" t="str">
        <f ca="1">IFERROR(__xludf.DUMMYFUNCTION("""COMPUTED_VALUE"""),"DEUTSCH DTO4-2P (CONNECTOR INCLUDED)")</f>
        <v>DEUTSCH DTO4-2P (CONNECTOR INCLUDED)</v>
      </c>
      <c r="J123" s="189" t="str">
        <f ca="1">IFERROR(__xludf.DUMMYFUNCTION("""COMPUTED_VALUE"""),"")</f>
        <v/>
      </c>
      <c r="K123" s="189" t="str">
        <f ca="1">IFERROR(__xludf.DUMMYFUNCTION("""COMPUTED_VALUE"""),"")</f>
        <v/>
      </c>
      <c r="L123" s="189" t="str">
        <f ca="1">IFERROR(__xludf.DUMMYFUNCTION("""COMPUTED_VALUE"""),"")</f>
        <v/>
      </c>
      <c r="M123" s="189" t="str">
        <f ca="1">IFERROR(__xludf.DUMMYFUNCTION("""COMPUTED_VALUE"""),"")</f>
        <v/>
      </c>
      <c r="N123" s="189" t="str">
        <f ca="1">IFERROR(__xludf.DUMMYFUNCTION("""COMPUTED_VALUE"""),"")</f>
        <v/>
      </c>
      <c r="O123" s="189" t="str">
        <f ca="1">IFERROR(__xludf.DUMMYFUNCTION("""COMPUTED_VALUE"""),"")</f>
        <v/>
      </c>
      <c r="P123" s="189" t="str">
        <f ca="1">IFERROR(__xludf.DUMMYFUNCTION("""COMPUTED_VALUE"""),"")</f>
        <v/>
      </c>
      <c r="Q123" s="189" t="str">
        <f ca="1">IFERROR(__xludf.DUMMYFUNCTION("""COMPUTED_VALUE"""),"")</f>
        <v/>
      </c>
      <c r="R123" s="189" t="str">
        <f ca="1">IFERROR(__xludf.DUMMYFUNCTION("""COMPUTED_VALUE"""),"")</f>
        <v/>
      </c>
      <c r="S123" s="189" t="str">
        <f ca="1">IFERROR(__xludf.DUMMYFUNCTION("""COMPUTED_VALUE"""),"")</f>
        <v/>
      </c>
      <c r="T123" s="189" t="str">
        <f ca="1">IFERROR(__xludf.DUMMYFUNCTION("""COMPUTED_VALUE"""),"")</f>
        <v/>
      </c>
      <c r="U123" s="189" t="str">
        <f ca="1">IFERROR(__xludf.DUMMYFUNCTION("""COMPUTED_VALUE"""),"")</f>
        <v/>
      </c>
      <c r="V123" s="189" t="str">
        <f ca="1">IFERROR(__xludf.DUMMYFUNCTION("""COMPUTED_VALUE"""),"")</f>
        <v/>
      </c>
      <c r="W123" s="189" t="str">
        <f ca="1">IFERROR(__xludf.DUMMYFUNCTION("""COMPUTED_VALUE"""),"")</f>
        <v/>
      </c>
      <c r="X123" s="189" t="str">
        <f ca="1">IFERROR(__xludf.DUMMYFUNCTION("""COMPUTED_VALUE"""),"")</f>
        <v/>
      </c>
      <c r="Y123" s="189" t="str">
        <f ca="1">IFERROR(__xludf.DUMMYFUNCTION("""COMPUTED_VALUE"""),"")</f>
        <v/>
      </c>
      <c r="Z123" s="189"/>
    </row>
    <row r="124" spans="1:26" ht="12.75">
      <c r="A124" s="189" t="str">
        <f ca="1">IFERROR(__xludf.DUMMYFUNCTION("""COMPUTED_VALUE"""),"S46")</f>
        <v>S46</v>
      </c>
      <c r="B124" s="189" t="str">
        <f ca="1">IFERROR(__xludf.DUMMYFUNCTION("""COMPUTED_VALUE"""),"ON/OFF SOLENOID VALVE")</f>
        <v>ON/OFF SOLENOID VALVE</v>
      </c>
      <c r="C124" s="189" t="str">
        <f ca="1">IFERROR(__xludf.DUMMYFUNCTION("""COMPUTED_VALUE"""),"HD LOCK CYLINDER 4 ISOLATION VALVE (NORMALLY OPEN)")</f>
        <v>HD LOCK CYLINDER 4 ISOLATION VALVE (NORMALLY OPEN)</v>
      </c>
      <c r="D124" s="189" t="str">
        <f ca="1">IFERROR(__xludf.DUMMYFUNCTION("""COMPUTED_VALUE"""),"24VDC 20W")</f>
        <v>24VDC 20W</v>
      </c>
      <c r="E124" s="189" t="str">
        <f ca="1">IFERROR(__xludf.DUMMYFUNCTION("""COMPUTED_VALUE"""),"NA")</f>
        <v>NA</v>
      </c>
      <c r="F124" s="189" t="str">
        <f ca="1">IFERROR(__xludf.DUMMYFUNCTION("""COMPUTED_VALUE"""),"NA")</f>
        <v>NA</v>
      </c>
      <c r="G124" s="189" t="str">
        <f ca="1">IFERROR(__xludf.DUMMYFUNCTION("""COMPUTED_VALUE"""),"HSV10-29-0-U-0      ")</f>
        <v xml:space="preserve">HSV10-29-0-U-0      </v>
      </c>
      <c r="H124" s="189">
        <f ca="1">IFERROR(__xludf.DUMMYFUNCTION("""COMPUTED_VALUE"""),85)</f>
        <v>85</v>
      </c>
      <c r="I124" s="120" t="str">
        <f ca="1">IFERROR(__xludf.DUMMYFUNCTION("""COMPUTED_VALUE"""),"DEUTSCH DTO4-2P (CONNECTOR INCLUDED)")</f>
        <v>DEUTSCH DTO4-2P (CONNECTOR INCLUDED)</v>
      </c>
      <c r="J124" s="189" t="str">
        <f ca="1">IFERROR(__xludf.DUMMYFUNCTION("""COMPUTED_VALUE"""),"")</f>
        <v/>
      </c>
      <c r="K124" s="189" t="str">
        <f ca="1">IFERROR(__xludf.DUMMYFUNCTION("""COMPUTED_VALUE"""),"")</f>
        <v/>
      </c>
      <c r="L124" s="189" t="str">
        <f ca="1">IFERROR(__xludf.DUMMYFUNCTION("""COMPUTED_VALUE"""),"")</f>
        <v/>
      </c>
      <c r="M124" s="189" t="str">
        <f ca="1">IFERROR(__xludf.DUMMYFUNCTION("""COMPUTED_VALUE"""),"")</f>
        <v/>
      </c>
      <c r="N124" s="189" t="str">
        <f ca="1">IFERROR(__xludf.DUMMYFUNCTION("""COMPUTED_VALUE"""),"")</f>
        <v/>
      </c>
      <c r="O124" s="189" t="str">
        <f ca="1">IFERROR(__xludf.DUMMYFUNCTION("""COMPUTED_VALUE"""),"")</f>
        <v/>
      </c>
      <c r="P124" s="189" t="str">
        <f ca="1">IFERROR(__xludf.DUMMYFUNCTION("""COMPUTED_VALUE"""),"")</f>
        <v/>
      </c>
      <c r="Q124" s="189" t="str">
        <f ca="1">IFERROR(__xludf.DUMMYFUNCTION("""COMPUTED_VALUE"""),"")</f>
        <v/>
      </c>
      <c r="R124" s="189" t="str">
        <f ca="1">IFERROR(__xludf.DUMMYFUNCTION("""COMPUTED_VALUE"""),"")</f>
        <v/>
      </c>
      <c r="S124" s="189" t="str">
        <f ca="1">IFERROR(__xludf.DUMMYFUNCTION("""COMPUTED_VALUE"""),"")</f>
        <v/>
      </c>
      <c r="T124" s="189" t="str">
        <f ca="1">IFERROR(__xludf.DUMMYFUNCTION("""COMPUTED_VALUE"""),"")</f>
        <v/>
      </c>
      <c r="U124" s="189" t="str">
        <f ca="1">IFERROR(__xludf.DUMMYFUNCTION("""COMPUTED_VALUE"""),"")</f>
        <v/>
      </c>
      <c r="V124" s="189" t="str">
        <f ca="1">IFERROR(__xludf.DUMMYFUNCTION("""COMPUTED_VALUE"""),"")</f>
        <v/>
      </c>
      <c r="W124" s="189" t="str">
        <f ca="1">IFERROR(__xludf.DUMMYFUNCTION("""COMPUTED_VALUE"""),"")</f>
        <v/>
      </c>
      <c r="X124" s="189" t="str">
        <f ca="1">IFERROR(__xludf.DUMMYFUNCTION("""COMPUTED_VALUE"""),"")</f>
        <v/>
      </c>
      <c r="Y124" s="189" t="str">
        <f ca="1">IFERROR(__xludf.DUMMYFUNCTION("""COMPUTED_VALUE"""),"")</f>
        <v/>
      </c>
      <c r="Z124" s="189"/>
    </row>
    <row r="125" spans="1:26" ht="12.75">
      <c r="A125" s="189" t="str">
        <f ca="1">IFERROR(__xludf.DUMMYFUNCTION("""COMPUTED_VALUE"""),"")</f>
        <v/>
      </c>
      <c r="B125" s="189" t="str">
        <f ca="1">IFERROR(__xludf.DUMMYFUNCTION("""COMPUTED_VALUE"""),"1069-14-01")</f>
        <v>1069-14-01</v>
      </c>
      <c r="C125" s="189" t="str">
        <f ca="1">IFERROR(__xludf.DUMMYFUNCTION("""COMPUTED_VALUE"""),"DRAIN TANK")</f>
        <v>DRAIN TANK</v>
      </c>
      <c r="D125" s="189" t="str">
        <f ca="1">IFERROR(__xludf.DUMMYFUNCTION("""COMPUTED_VALUE"""),"")</f>
        <v/>
      </c>
      <c r="E125" s="189" t="str">
        <f ca="1">IFERROR(__xludf.DUMMYFUNCTION("""COMPUTED_VALUE"""),"")</f>
        <v/>
      </c>
      <c r="F125" s="189" t="str">
        <f ca="1">IFERROR(__xludf.DUMMYFUNCTION("""COMPUTED_VALUE"""),"")</f>
        <v/>
      </c>
      <c r="G125" s="189" t="str">
        <f ca="1">IFERROR(__xludf.DUMMYFUNCTION("""COMPUTED_VALUE"""),"")</f>
        <v/>
      </c>
      <c r="H125" s="189" t="str">
        <f ca="1">IFERROR(__xludf.DUMMYFUNCTION("""COMPUTED_VALUE"""),"")</f>
        <v/>
      </c>
      <c r="I125" s="120" t="str">
        <f ca="1">IFERROR(__xludf.DUMMYFUNCTION("""COMPUTED_VALUE"""),"")</f>
        <v/>
      </c>
      <c r="J125" s="189" t="str">
        <f ca="1">IFERROR(__xludf.DUMMYFUNCTION("""COMPUTED_VALUE"""),"")</f>
        <v/>
      </c>
      <c r="K125" s="189" t="str">
        <f ca="1">IFERROR(__xludf.DUMMYFUNCTION("""COMPUTED_VALUE"""),"")</f>
        <v/>
      </c>
      <c r="L125" s="189" t="str">
        <f ca="1">IFERROR(__xludf.DUMMYFUNCTION("""COMPUTED_VALUE"""),"")</f>
        <v/>
      </c>
      <c r="M125" s="189" t="str">
        <f ca="1">IFERROR(__xludf.DUMMYFUNCTION("""COMPUTED_VALUE"""),"")</f>
        <v/>
      </c>
      <c r="N125" s="189" t="str">
        <f ca="1">IFERROR(__xludf.DUMMYFUNCTION("""COMPUTED_VALUE"""),"")</f>
        <v/>
      </c>
      <c r="O125" s="189" t="str">
        <f ca="1">IFERROR(__xludf.DUMMYFUNCTION("""COMPUTED_VALUE"""),"")</f>
        <v/>
      </c>
      <c r="P125" s="189" t="str">
        <f ca="1">IFERROR(__xludf.DUMMYFUNCTION("""COMPUTED_VALUE"""),"")</f>
        <v/>
      </c>
      <c r="Q125" s="189" t="str">
        <f ca="1">IFERROR(__xludf.DUMMYFUNCTION("""COMPUTED_VALUE"""),"")</f>
        <v/>
      </c>
      <c r="R125" s="189" t="str">
        <f ca="1">IFERROR(__xludf.DUMMYFUNCTION("""COMPUTED_VALUE"""),"")</f>
        <v/>
      </c>
      <c r="S125" s="189" t="str">
        <f ca="1">IFERROR(__xludf.DUMMYFUNCTION("""COMPUTED_VALUE"""),"")</f>
        <v/>
      </c>
      <c r="T125" s="189" t="str">
        <f ca="1">IFERROR(__xludf.DUMMYFUNCTION("""COMPUTED_VALUE"""),"")</f>
        <v/>
      </c>
      <c r="U125" s="189" t="str">
        <f ca="1">IFERROR(__xludf.DUMMYFUNCTION("""COMPUTED_VALUE"""),"")</f>
        <v/>
      </c>
      <c r="V125" s="189" t="str">
        <f ca="1">IFERROR(__xludf.DUMMYFUNCTION("""COMPUTED_VALUE"""),"")</f>
        <v/>
      </c>
      <c r="W125" s="189" t="str">
        <f ca="1">IFERROR(__xludf.DUMMYFUNCTION("""COMPUTED_VALUE"""),"")</f>
        <v/>
      </c>
      <c r="X125" s="189" t="str">
        <f ca="1">IFERROR(__xludf.DUMMYFUNCTION("""COMPUTED_VALUE"""),"")</f>
        <v/>
      </c>
      <c r="Y125" s="189" t="str">
        <f ca="1">IFERROR(__xludf.DUMMYFUNCTION("""COMPUTED_VALUE"""),"")</f>
        <v/>
      </c>
      <c r="Z125" s="189"/>
    </row>
    <row r="126" spans="1:26" ht="12.75">
      <c r="A126" s="189" t="str">
        <f ca="1">IFERROR(__xludf.DUMMYFUNCTION("""COMPUTED_VALUE"""),"M4")</f>
        <v>M4</v>
      </c>
      <c r="B126" s="189" t="str">
        <f ca="1">IFERROR(__xludf.DUMMYFUNCTION("""COMPUTED_VALUE"""),"ELECTRIC MOTOR")</f>
        <v>ELECTRIC MOTOR</v>
      </c>
      <c r="C126" s="189" t="str">
        <f ca="1">IFERROR(__xludf.DUMMYFUNCTION("""COMPUTED_VALUE"""),"DRAIN TANK ELECTRIC MOTOR (0.55KW)")</f>
        <v>DRAIN TANK ELECTRIC MOTOR (0.55KW)</v>
      </c>
      <c r="D126" s="189" t="str">
        <f ca="1">IFERROR(__xludf.DUMMYFUNCTION("""COMPUTED_VALUE"""),"")</f>
        <v/>
      </c>
      <c r="E126" s="189" t="str">
        <f ca="1">IFERROR(__xludf.DUMMYFUNCTION("""COMPUTED_VALUE"""),"")</f>
        <v/>
      </c>
      <c r="F126" s="189" t="str">
        <f ca="1">IFERROR(__xludf.DUMMYFUNCTION("""COMPUTED_VALUE"""),"")</f>
        <v/>
      </c>
      <c r="G126" s="189" t="str">
        <f ca="1">IFERROR(__xludf.DUMMYFUNCTION("""COMPUTED_VALUE"""),"")</f>
        <v/>
      </c>
      <c r="H126" s="189" t="str">
        <f ca="1">IFERROR(__xludf.DUMMYFUNCTION("""COMPUTED_VALUE"""),"")</f>
        <v/>
      </c>
      <c r="I126" s="120" t="str">
        <f ca="1">IFERROR(__xludf.DUMMYFUNCTION("""COMPUTED_VALUE"""),"WIRING TO TERMINAL BOX")</f>
        <v>WIRING TO TERMINAL BOX</v>
      </c>
      <c r="J126" s="189" t="str">
        <f ca="1">IFERROR(__xludf.DUMMYFUNCTION("""COMPUTED_VALUE"""),"")</f>
        <v/>
      </c>
      <c r="K126" s="189" t="str">
        <f ca="1">IFERROR(__xludf.DUMMYFUNCTION("""COMPUTED_VALUE"""),"")</f>
        <v/>
      </c>
      <c r="L126" s="189" t="str">
        <f ca="1">IFERROR(__xludf.DUMMYFUNCTION("""COMPUTED_VALUE"""),"")</f>
        <v/>
      </c>
      <c r="M126" s="189" t="str">
        <f ca="1">IFERROR(__xludf.DUMMYFUNCTION("""COMPUTED_VALUE"""),"")</f>
        <v/>
      </c>
      <c r="N126" s="189" t="str">
        <f ca="1">IFERROR(__xludf.DUMMYFUNCTION("""COMPUTED_VALUE"""),"")</f>
        <v/>
      </c>
      <c r="O126" s="189" t="str">
        <f ca="1">IFERROR(__xludf.DUMMYFUNCTION("""COMPUTED_VALUE"""),"")</f>
        <v/>
      </c>
      <c r="P126" s="189" t="str">
        <f ca="1">IFERROR(__xludf.DUMMYFUNCTION("""COMPUTED_VALUE"""),"")</f>
        <v/>
      </c>
      <c r="Q126" s="189" t="str">
        <f ca="1">IFERROR(__xludf.DUMMYFUNCTION("""COMPUTED_VALUE"""),"")</f>
        <v/>
      </c>
      <c r="R126" s="189" t="str">
        <f ca="1">IFERROR(__xludf.DUMMYFUNCTION("""COMPUTED_VALUE"""),"")</f>
        <v/>
      </c>
      <c r="S126" s="189" t="str">
        <f ca="1">IFERROR(__xludf.DUMMYFUNCTION("""COMPUTED_VALUE"""),"")</f>
        <v/>
      </c>
      <c r="T126" s="189" t="str">
        <f ca="1">IFERROR(__xludf.DUMMYFUNCTION("""COMPUTED_VALUE"""),"")</f>
        <v/>
      </c>
      <c r="U126" s="189" t="str">
        <f ca="1">IFERROR(__xludf.DUMMYFUNCTION("""COMPUTED_VALUE"""),"")</f>
        <v/>
      </c>
      <c r="V126" s="189" t="str">
        <f ca="1">IFERROR(__xludf.DUMMYFUNCTION("""COMPUTED_VALUE"""),"")</f>
        <v/>
      </c>
      <c r="W126" s="189" t="str">
        <f ca="1">IFERROR(__xludf.DUMMYFUNCTION("""COMPUTED_VALUE"""),"")</f>
        <v/>
      </c>
      <c r="X126" s="189" t="str">
        <f ca="1">IFERROR(__xludf.DUMMYFUNCTION("""COMPUTED_VALUE"""),"")</f>
        <v/>
      </c>
      <c r="Y126" s="189" t="str">
        <f ca="1">IFERROR(__xludf.DUMMYFUNCTION("""COMPUTED_VALUE"""),"")</f>
        <v/>
      </c>
      <c r="Z126" s="189"/>
    </row>
    <row r="127" spans="1:26" ht="12.75">
      <c r="A127" s="189" t="str">
        <f ca="1">IFERROR(__xludf.DUMMYFUNCTION("""COMPUTED_VALUE"""),"M5")</f>
        <v>M5</v>
      </c>
      <c r="B127" s="189" t="str">
        <f ca="1">IFERROR(__xludf.DUMMYFUNCTION("""COMPUTED_VALUE"""),"ELECTRIC MOTOR")</f>
        <v>ELECTRIC MOTOR</v>
      </c>
      <c r="C127" s="189" t="str">
        <f ca="1">IFERROR(__xludf.DUMMYFUNCTION("""COMPUTED_VALUE"""),"DRAIN TANK ELECTRIC MOTOR (0.55KW)")</f>
        <v>DRAIN TANK ELECTRIC MOTOR (0.55KW)</v>
      </c>
      <c r="D127" s="189" t="str">
        <f ca="1">IFERROR(__xludf.DUMMYFUNCTION("""COMPUTED_VALUE"""),"")</f>
        <v/>
      </c>
      <c r="E127" s="189" t="str">
        <f ca="1">IFERROR(__xludf.DUMMYFUNCTION("""COMPUTED_VALUE"""),"")</f>
        <v/>
      </c>
      <c r="F127" s="189" t="str">
        <f ca="1">IFERROR(__xludf.DUMMYFUNCTION("""COMPUTED_VALUE"""),"")</f>
        <v/>
      </c>
      <c r="G127" s="189" t="str">
        <f ca="1">IFERROR(__xludf.DUMMYFUNCTION("""COMPUTED_VALUE"""),"")</f>
        <v/>
      </c>
      <c r="H127" s="189" t="str">
        <f ca="1">IFERROR(__xludf.DUMMYFUNCTION("""COMPUTED_VALUE"""),"")</f>
        <v/>
      </c>
      <c r="I127" s="120" t="str">
        <f ca="1">IFERROR(__xludf.DUMMYFUNCTION("""COMPUTED_VALUE"""),"WIRING TO TERMINAL BOX")</f>
        <v>WIRING TO TERMINAL BOX</v>
      </c>
      <c r="J127" s="189" t="str">
        <f ca="1">IFERROR(__xludf.DUMMYFUNCTION("""COMPUTED_VALUE"""),"")</f>
        <v/>
      </c>
      <c r="K127" s="189" t="str">
        <f ca="1">IFERROR(__xludf.DUMMYFUNCTION("""COMPUTED_VALUE"""),"")</f>
        <v/>
      </c>
      <c r="L127" s="189" t="str">
        <f ca="1">IFERROR(__xludf.DUMMYFUNCTION("""COMPUTED_VALUE"""),"")</f>
        <v/>
      </c>
      <c r="M127" s="189" t="str">
        <f ca="1">IFERROR(__xludf.DUMMYFUNCTION("""COMPUTED_VALUE"""),"")</f>
        <v/>
      </c>
      <c r="N127" s="189" t="str">
        <f ca="1">IFERROR(__xludf.DUMMYFUNCTION("""COMPUTED_VALUE"""),"")</f>
        <v/>
      </c>
      <c r="O127" s="189" t="str">
        <f ca="1">IFERROR(__xludf.DUMMYFUNCTION("""COMPUTED_VALUE"""),"")</f>
        <v/>
      </c>
      <c r="P127" s="189" t="str">
        <f ca="1">IFERROR(__xludf.DUMMYFUNCTION("""COMPUTED_VALUE"""),"")</f>
        <v/>
      </c>
      <c r="Q127" s="189" t="str">
        <f ca="1">IFERROR(__xludf.DUMMYFUNCTION("""COMPUTED_VALUE"""),"")</f>
        <v/>
      </c>
      <c r="R127" s="189" t="str">
        <f ca="1">IFERROR(__xludf.DUMMYFUNCTION("""COMPUTED_VALUE"""),"")</f>
        <v/>
      </c>
      <c r="S127" s="189" t="str">
        <f ca="1">IFERROR(__xludf.DUMMYFUNCTION("""COMPUTED_VALUE"""),"")</f>
        <v/>
      </c>
      <c r="T127" s="189" t="str">
        <f ca="1">IFERROR(__xludf.DUMMYFUNCTION("""COMPUTED_VALUE"""),"")</f>
        <v/>
      </c>
      <c r="U127" s="189" t="str">
        <f ca="1">IFERROR(__xludf.DUMMYFUNCTION("""COMPUTED_VALUE"""),"")</f>
        <v/>
      </c>
      <c r="V127" s="189" t="str">
        <f ca="1">IFERROR(__xludf.DUMMYFUNCTION("""COMPUTED_VALUE"""),"")</f>
        <v/>
      </c>
      <c r="W127" s="189" t="str">
        <f ca="1">IFERROR(__xludf.DUMMYFUNCTION("""COMPUTED_VALUE"""),"")</f>
        <v/>
      </c>
      <c r="X127" s="189" t="str">
        <f ca="1">IFERROR(__xludf.DUMMYFUNCTION("""COMPUTED_VALUE"""),"")</f>
        <v/>
      </c>
      <c r="Y127" s="189" t="str">
        <f ca="1">IFERROR(__xludf.DUMMYFUNCTION("""COMPUTED_VALUE"""),"")</f>
        <v/>
      </c>
      <c r="Z127" s="189"/>
    </row>
    <row r="128" spans="1:26" ht="12.75">
      <c r="A128" s="189" t="str">
        <f ca="1">IFERROR(__xludf.DUMMYFUNCTION("""COMPUTED_VALUE"""),"LEV-2")</f>
        <v>LEV-2</v>
      </c>
      <c r="B128" s="189" t="str">
        <f ca="1">IFERROR(__xludf.DUMMYFUNCTION("""COMPUTED_VALUE"""),"LEVEL SWITCH")</f>
        <v>LEVEL SWITCH</v>
      </c>
      <c r="C128" s="189" t="str">
        <f ca="1">IFERROR(__xludf.DUMMYFUNCTION("""COMPUTED_VALUE"""),"DRAIN TANK OIL LEVEL SWITCH")</f>
        <v>DRAIN TANK OIL LEVEL SWITCH</v>
      </c>
      <c r="D128" s="189" t="str">
        <f ca="1">IFERROR(__xludf.DUMMYFUNCTION("""COMPUTED_VALUE"""),"24VDC ˂50mA")</f>
        <v>24VDC ˂50mA</v>
      </c>
      <c r="E128" s="189" t="str">
        <f ca="1">IFERROR(__xludf.DUMMYFUNCTION("""COMPUTED_VALUE"""),"NA")</f>
        <v>NA</v>
      </c>
      <c r="F128" s="189" t="str">
        <f ca="1">IFERROR(__xludf.DUMMYFUNCTION("""COMPUTED_VALUE"""),"NA")</f>
        <v>NA</v>
      </c>
      <c r="G128" s="189" t="str">
        <f ca="1">IFERROR(__xludf.DUMMYFUNCTION("""COMPUTED_VALUE"""),"LMT110")</f>
        <v>LMT110</v>
      </c>
      <c r="H128" s="189" t="str">
        <f ca="1">IFERROR(__xludf.DUMMYFUNCTION("""COMPUTED_VALUE"""),"")</f>
        <v/>
      </c>
      <c r="I128" s="120" t="str">
        <f ca="1">IFERROR(__xludf.DUMMYFUNCTION("""COMPUTED_VALUE"""),"M12")</f>
        <v>M12</v>
      </c>
      <c r="J128" s="189" t="str">
        <f ca="1">IFERROR(__xludf.DUMMYFUNCTION("""COMPUTED_VALUE"""),"")</f>
        <v/>
      </c>
      <c r="K128" s="189" t="str">
        <f ca="1">IFERROR(__xludf.DUMMYFUNCTION("""COMPUTED_VALUE"""),"")</f>
        <v/>
      </c>
      <c r="L128" s="189" t="str">
        <f ca="1">IFERROR(__xludf.DUMMYFUNCTION("""COMPUTED_VALUE"""),"")</f>
        <v/>
      </c>
      <c r="M128" s="189" t="str">
        <f ca="1">IFERROR(__xludf.DUMMYFUNCTION("""COMPUTED_VALUE"""),"")</f>
        <v/>
      </c>
      <c r="N128" s="189" t="str">
        <f ca="1">IFERROR(__xludf.DUMMYFUNCTION("""COMPUTED_VALUE"""),"")</f>
        <v/>
      </c>
      <c r="O128" s="189" t="str">
        <f ca="1">IFERROR(__xludf.DUMMYFUNCTION("""COMPUTED_VALUE"""),"")</f>
        <v/>
      </c>
      <c r="P128" s="189" t="str">
        <f ca="1">IFERROR(__xludf.DUMMYFUNCTION("""COMPUTED_VALUE"""),"")</f>
        <v/>
      </c>
      <c r="Q128" s="189" t="str">
        <f ca="1">IFERROR(__xludf.DUMMYFUNCTION("""COMPUTED_VALUE"""),"")</f>
        <v/>
      </c>
      <c r="R128" s="189" t="str">
        <f ca="1">IFERROR(__xludf.DUMMYFUNCTION("""COMPUTED_VALUE"""),"")</f>
        <v/>
      </c>
      <c r="S128" s="189" t="str">
        <f ca="1">IFERROR(__xludf.DUMMYFUNCTION("""COMPUTED_VALUE"""),"")</f>
        <v/>
      </c>
      <c r="T128" s="189" t="str">
        <f ca="1">IFERROR(__xludf.DUMMYFUNCTION("""COMPUTED_VALUE"""),"")</f>
        <v/>
      </c>
      <c r="U128" s="189" t="str">
        <f ca="1">IFERROR(__xludf.DUMMYFUNCTION("""COMPUTED_VALUE"""),"")</f>
        <v/>
      </c>
      <c r="V128" s="189" t="str">
        <f ca="1">IFERROR(__xludf.DUMMYFUNCTION("""COMPUTED_VALUE"""),"")</f>
        <v/>
      </c>
      <c r="W128" s="189" t="str">
        <f ca="1">IFERROR(__xludf.DUMMYFUNCTION("""COMPUTED_VALUE"""),"")</f>
        <v/>
      </c>
      <c r="X128" s="189" t="str">
        <f ca="1">IFERROR(__xludf.DUMMYFUNCTION("""COMPUTED_VALUE"""),"")</f>
        <v/>
      </c>
      <c r="Y128" s="189" t="str">
        <f ca="1">IFERROR(__xludf.DUMMYFUNCTION("""COMPUTED_VALUE"""),"")</f>
        <v/>
      </c>
      <c r="Z128" s="189"/>
    </row>
    <row r="129" spans="1:26" ht="12.75">
      <c r="A129" s="189" t="str">
        <f ca="1">IFERROR(__xludf.DUMMYFUNCTION("""COMPUTED_VALUE"""),"LEV-3")</f>
        <v>LEV-3</v>
      </c>
      <c r="B129" s="189" t="str">
        <f ca="1">IFERROR(__xludf.DUMMYFUNCTION("""COMPUTED_VALUE"""),"LEVEL SWITCH")</f>
        <v>LEVEL SWITCH</v>
      </c>
      <c r="C129" s="189" t="str">
        <f ca="1">IFERROR(__xludf.DUMMYFUNCTION("""COMPUTED_VALUE"""),"DRAIN TANK OIL LEVEL SWITCH")</f>
        <v>DRAIN TANK OIL LEVEL SWITCH</v>
      </c>
      <c r="D129" s="189" t="str">
        <f ca="1">IFERROR(__xludf.DUMMYFUNCTION("""COMPUTED_VALUE"""),"24VDC ˂50mA")</f>
        <v>24VDC ˂50mA</v>
      </c>
      <c r="E129" s="189" t="str">
        <f ca="1">IFERROR(__xludf.DUMMYFUNCTION("""COMPUTED_VALUE"""),"NA")</f>
        <v>NA</v>
      </c>
      <c r="F129" s="189" t="str">
        <f ca="1">IFERROR(__xludf.DUMMYFUNCTION("""COMPUTED_VALUE"""),"NA")</f>
        <v>NA</v>
      </c>
      <c r="G129" s="189" t="str">
        <f ca="1">IFERROR(__xludf.DUMMYFUNCTION("""COMPUTED_VALUE"""),"LMT110")</f>
        <v>LMT110</v>
      </c>
      <c r="H129" s="189" t="str">
        <f ca="1">IFERROR(__xludf.DUMMYFUNCTION("""COMPUTED_VALUE"""),"")</f>
        <v/>
      </c>
      <c r="I129" s="120" t="str">
        <f ca="1">IFERROR(__xludf.DUMMYFUNCTION("""COMPUTED_VALUE"""),"M12")</f>
        <v>M12</v>
      </c>
      <c r="J129" s="189" t="str">
        <f ca="1">IFERROR(__xludf.DUMMYFUNCTION("""COMPUTED_VALUE"""),"")</f>
        <v/>
      </c>
      <c r="K129" s="189" t="str">
        <f ca="1">IFERROR(__xludf.DUMMYFUNCTION("""COMPUTED_VALUE"""),"")</f>
        <v/>
      </c>
      <c r="L129" s="189" t="str">
        <f ca="1">IFERROR(__xludf.DUMMYFUNCTION("""COMPUTED_VALUE"""),"")</f>
        <v/>
      </c>
      <c r="M129" s="189" t="str">
        <f ca="1">IFERROR(__xludf.DUMMYFUNCTION("""COMPUTED_VALUE"""),"")</f>
        <v/>
      </c>
      <c r="N129" s="189" t="str">
        <f ca="1">IFERROR(__xludf.DUMMYFUNCTION("""COMPUTED_VALUE"""),"")</f>
        <v/>
      </c>
      <c r="O129" s="189" t="str">
        <f ca="1">IFERROR(__xludf.DUMMYFUNCTION("""COMPUTED_VALUE"""),"")</f>
        <v/>
      </c>
      <c r="P129" s="189" t="str">
        <f ca="1">IFERROR(__xludf.DUMMYFUNCTION("""COMPUTED_VALUE"""),"")</f>
        <v/>
      </c>
      <c r="Q129" s="189" t="str">
        <f ca="1">IFERROR(__xludf.DUMMYFUNCTION("""COMPUTED_VALUE"""),"")</f>
        <v/>
      </c>
      <c r="R129" s="189" t="str">
        <f ca="1">IFERROR(__xludf.DUMMYFUNCTION("""COMPUTED_VALUE"""),"")</f>
        <v/>
      </c>
      <c r="S129" s="189" t="str">
        <f ca="1">IFERROR(__xludf.DUMMYFUNCTION("""COMPUTED_VALUE"""),"")</f>
        <v/>
      </c>
      <c r="T129" s="189" t="str">
        <f ca="1">IFERROR(__xludf.DUMMYFUNCTION("""COMPUTED_VALUE"""),"")</f>
        <v/>
      </c>
      <c r="U129" s="189" t="str">
        <f ca="1">IFERROR(__xludf.DUMMYFUNCTION("""COMPUTED_VALUE"""),"")</f>
        <v/>
      </c>
      <c r="V129" s="189" t="str">
        <f ca="1">IFERROR(__xludf.DUMMYFUNCTION("""COMPUTED_VALUE"""),"")</f>
        <v/>
      </c>
      <c r="W129" s="189" t="str">
        <f ca="1">IFERROR(__xludf.DUMMYFUNCTION("""COMPUTED_VALUE"""),"")</f>
        <v/>
      </c>
      <c r="X129" s="189" t="str">
        <f ca="1">IFERROR(__xludf.DUMMYFUNCTION("""COMPUTED_VALUE"""),"")</f>
        <v/>
      </c>
      <c r="Y129" s="189" t="str">
        <f ca="1">IFERROR(__xludf.DUMMYFUNCTION("""COMPUTED_VALUE"""),"")</f>
        <v/>
      </c>
      <c r="Z129" s="189"/>
    </row>
    <row r="130" spans="1:26" ht="12.75">
      <c r="A130" s="189" t="str">
        <f ca="1">IFERROR(__xludf.DUMMYFUNCTION("""COMPUTED_VALUE"""),"")</f>
        <v/>
      </c>
      <c r="B130" s="189" t="str">
        <f ca="1">IFERROR(__xludf.DUMMYFUNCTION("""COMPUTED_VALUE"""),"")</f>
        <v/>
      </c>
      <c r="C130" s="189" t="str">
        <f ca="1">IFERROR(__xludf.DUMMYFUNCTION("""COMPUTED_VALUE"""),"")</f>
        <v/>
      </c>
      <c r="D130" s="189" t="str">
        <f ca="1">IFERROR(__xludf.DUMMYFUNCTION("""COMPUTED_VALUE"""),"")</f>
        <v/>
      </c>
      <c r="E130" s="189" t="str">
        <f ca="1">IFERROR(__xludf.DUMMYFUNCTION("""COMPUTED_VALUE"""),"")</f>
        <v/>
      </c>
      <c r="F130" s="189" t="str">
        <f ca="1">IFERROR(__xludf.DUMMYFUNCTION("""COMPUTED_VALUE"""),"")</f>
        <v/>
      </c>
      <c r="G130" s="189" t="str">
        <f ca="1">IFERROR(__xludf.DUMMYFUNCTION("""COMPUTED_VALUE"""),"")</f>
        <v/>
      </c>
      <c r="H130" s="189" t="str">
        <f ca="1">IFERROR(__xludf.DUMMYFUNCTION("""COMPUTED_VALUE"""),"")</f>
        <v/>
      </c>
      <c r="I130" s="120" t="str">
        <f ca="1">IFERROR(__xludf.DUMMYFUNCTION("""COMPUTED_VALUE"""),"")</f>
        <v/>
      </c>
      <c r="J130" s="189" t="str">
        <f ca="1">IFERROR(__xludf.DUMMYFUNCTION("""COMPUTED_VALUE"""),"")</f>
        <v/>
      </c>
      <c r="K130" s="189" t="str">
        <f ca="1">IFERROR(__xludf.DUMMYFUNCTION("""COMPUTED_VALUE"""),"")</f>
        <v/>
      </c>
      <c r="L130" s="189" t="str">
        <f ca="1">IFERROR(__xludf.DUMMYFUNCTION("""COMPUTED_VALUE"""),"")</f>
        <v/>
      </c>
      <c r="M130" s="189" t="str">
        <f ca="1">IFERROR(__xludf.DUMMYFUNCTION("""COMPUTED_VALUE"""),"")</f>
        <v/>
      </c>
      <c r="N130" s="189" t="str">
        <f ca="1">IFERROR(__xludf.DUMMYFUNCTION("""COMPUTED_VALUE"""),"")</f>
        <v/>
      </c>
      <c r="O130" s="189" t="str">
        <f ca="1">IFERROR(__xludf.DUMMYFUNCTION("""COMPUTED_VALUE"""),"")</f>
        <v/>
      </c>
      <c r="P130" s="189" t="str">
        <f ca="1">IFERROR(__xludf.DUMMYFUNCTION("""COMPUTED_VALUE"""),"")</f>
        <v/>
      </c>
      <c r="Q130" s="189" t="str">
        <f ca="1">IFERROR(__xludf.DUMMYFUNCTION("""COMPUTED_VALUE"""),"")</f>
        <v/>
      </c>
      <c r="R130" s="189" t="str">
        <f ca="1">IFERROR(__xludf.DUMMYFUNCTION("""COMPUTED_VALUE"""),"")</f>
        <v/>
      </c>
      <c r="S130" s="189" t="str">
        <f ca="1">IFERROR(__xludf.DUMMYFUNCTION("""COMPUTED_VALUE"""),"")</f>
        <v/>
      </c>
      <c r="T130" s="189" t="str">
        <f ca="1">IFERROR(__xludf.DUMMYFUNCTION("""COMPUTED_VALUE"""),"")</f>
        <v/>
      </c>
      <c r="U130" s="189" t="str">
        <f ca="1">IFERROR(__xludf.DUMMYFUNCTION("""COMPUTED_VALUE"""),"")</f>
        <v/>
      </c>
      <c r="V130" s="189" t="str">
        <f ca="1">IFERROR(__xludf.DUMMYFUNCTION("""COMPUTED_VALUE"""),"")</f>
        <v/>
      </c>
      <c r="W130" s="189" t="str">
        <f ca="1">IFERROR(__xludf.DUMMYFUNCTION("""COMPUTED_VALUE"""),"")</f>
        <v/>
      </c>
      <c r="X130" s="189" t="str">
        <f ca="1">IFERROR(__xludf.DUMMYFUNCTION("""COMPUTED_VALUE"""),"")</f>
        <v/>
      </c>
      <c r="Y130" s="189" t="str">
        <f ca="1">IFERROR(__xludf.DUMMYFUNCTION("""COMPUTED_VALUE"""),"")</f>
        <v/>
      </c>
      <c r="Z130" s="189"/>
    </row>
    <row r="131" spans="1:26" ht="12.75">
      <c r="A131" s="189" t="str">
        <f ca="1">IFERROR(__xludf.DUMMYFUNCTION("""COMPUTED_VALUE"""),"")</f>
        <v/>
      </c>
      <c r="B131" s="189" t="str">
        <f ca="1">IFERROR(__xludf.DUMMYFUNCTION("""COMPUTED_VALUE"""),"")</f>
        <v/>
      </c>
      <c r="C131" s="189" t="str">
        <f ca="1">IFERROR(__xludf.DUMMYFUNCTION("""COMPUTED_VALUE"""),"")</f>
        <v/>
      </c>
      <c r="D131" s="189" t="str">
        <f ca="1">IFERROR(__xludf.DUMMYFUNCTION("""COMPUTED_VALUE"""),"")</f>
        <v/>
      </c>
      <c r="E131" s="189" t="str">
        <f ca="1">IFERROR(__xludf.DUMMYFUNCTION("""COMPUTED_VALUE"""),"")</f>
        <v/>
      </c>
      <c r="F131" s="189" t="str">
        <f ca="1">IFERROR(__xludf.DUMMYFUNCTION("""COMPUTED_VALUE"""),"")</f>
        <v/>
      </c>
      <c r="G131" s="189" t="str">
        <f ca="1">IFERROR(__xludf.DUMMYFUNCTION("""COMPUTED_VALUE"""),"")</f>
        <v/>
      </c>
      <c r="H131" s="189" t="str">
        <f ca="1">IFERROR(__xludf.DUMMYFUNCTION("""COMPUTED_VALUE"""),"")</f>
        <v/>
      </c>
      <c r="I131" s="120" t="str">
        <f ca="1">IFERROR(__xludf.DUMMYFUNCTION("""COMPUTED_VALUE"""),"")</f>
        <v/>
      </c>
      <c r="J131" s="189" t="str">
        <f ca="1">IFERROR(__xludf.DUMMYFUNCTION("""COMPUTED_VALUE"""),"")</f>
        <v/>
      </c>
      <c r="K131" s="189" t="str">
        <f ca="1">IFERROR(__xludf.DUMMYFUNCTION("""COMPUTED_VALUE"""),"")</f>
        <v/>
      </c>
      <c r="L131" s="189" t="str">
        <f ca="1">IFERROR(__xludf.DUMMYFUNCTION("""COMPUTED_VALUE"""),"")</f>
        <v/>
      </c>
      <c r="M131" s="189" t="str">
        <f ca="1">IFERROR(__xludf.DUMMYFUNCTION("""COMPUTED_VALUE"""),"")</f>
        <v/>
      </c>
      <c r="N131" s="189" t="str">
        <f ca="1">IFERROR(__xludf.DUMMYFUNCTION("""COMPUTED_VALUE"""),"")</f>
        <v/>
      </c>
      <c r="O131" s="189" t="str">
        <f ca="1">IFERROR(__xludf.DUMMYFUNCTION("""COMPUTED_VALUE"""),"")</f>
        <v/>
      </c>
      <c r="P131" s="189" t="str">
        <f ca="1">IFERROR(__xludf.DUMMYFUNCTION("""COMPUTED_VALUE"""),"")</f>
        <v/>
      </c>
      <c r="Q131" s="189" t="str">
        <f ca="1">IFERROR(__xludf.DUMMYFUNCTION("""COMPUTED_VALUE"""),"")</f>
        <v/>
      </c>
      <c r="R131" s="189" t="str">
        <f ca="1">IFERROR(__xludf.DUMMYFUNCTION("""COMPUTED_VALUE"""),"")</f>
        <v/>
      </c>
      <c r="S131" s="189" t="str">
        <f ca="1">IFERROR(__xludf.DUMMYFUNCTION("""COMPUTED_VALUE"""),"")</f>
        <v/>
      </c>
      <c r="T131" s="189" t="str">
        <f ca="1">IFERROR(__xludf.DUMMYFUNCTION("""COMPUTED_VALUE"""),"")</f>
        <v/>
      </c>
      <c r="U131" s="189" t="str">
        <f ca="1">IFERROR(__xludf.DUMMYFUNCTION("""COMPUTED_VALUE"""),"")</f>
        <v/>
      </c>
      <c r="V131" s="189" t="str">
        <f ca="1">IFERROR(__xludf.DUMMYFUNCTION("""COMPUTED_VALUE"""),"")</f>
        <v/>
      </c>
      <c r="W131" s="189" t="str">
        <f ca="1">IFERROR(__xludf.DUMMYFUNCTION("""COMPUTED_VALUE"""),"")</f>
        <v/>
      </c>
      <c r="X131" s="189" t="str">
        <f ca="1">IFERROR(__xludf.DUMMYFUNCTION("""COMPUTED_VALUE"""),"")</f>
        <v/>
      </c>
      <c r="Y131" s="189" t="str">
        <f ca="1">IFERROR(__xludf.DUMMYFUNCTION("""COMPUTED_VALUE"""),"")</f>
        <v/>
      </c>
      <c r="Z131" s="189"/>
    </row>
    <row r="132" spans="1:26" ht="12.75">
      <c r="A132" s="189" t="str">
        <f ca="1">IFERROR(__xludf.DUMMYFUNCTION("""COMPUTED_VALUE"""),"")</f>
        <v/>
      </c>
      <c r="B132" s="189" t="str">
        <f ca="1">IFERROR(__xludf.DUMMYFUNCTION("""COMPUTED_VALUE"""),"")</f>
        <v/>
      </c>
      <c r="C132" s="189" t="str">
        <f ca="1">IFERROR(__xludf.DUMMYFUNCTION("""COMPUTED_VALUE"""),"")</f>
        <v/>
      </c>
      <c r="D132" s="189" t="str">
        <f ca="1">IFERROR(__xludf.DUMMYFUNCTION("""COMPUTED_VALUE"""),"")</f>
        <v/>
      </c>
      <c r="E132" s="189" t="str">
        <f ca="1">IFERROR(__xludf.DUMMYFUNCTION("""COMPUTED_VALUE"""),"")</f>
        <v/>
      </c>
      <c r="F132" s="189" t="str">
        <f ca="1">IFERROR(__xludf.DUMMYFUNCTION("""COMPUTED_VALUE"""),"")</f>
        <v/>
      </c>
      <c r="G132" s="189" t="str">
        <f ca="1">IFERROR(__xludf.DUMMYFUNCTION("""COMPUTED_VALUE"""),"")</f>
        <v/>
      </c>
      <c r="H132" s="189" t="str">
        <f ca="1">IFERROR(__xludf.DUMMYFUNCTION("""COMPUTED_VALUE"""),"")</f>
        <v/>
      </c>
      <c r="I132" s="120" t="str">
        <f ca="1">IFERROR(__xludf.DUMMYFUNCTION("""COMPUTED_VALUE"""),"")</f>
        <v/>
      </c>
      <c r="J132" s="189" t="str">
        <f ca="1">IFERROR(__xludf.DUMMYFUNCTION("""COMPUTED_VALUE"""),"")</f>
        <v/>
      </c>
      <c r="K132" s="189" t="str">
        <f ca="1">IFERROR(__xludf.DUMMYFUNCTION("""COMPUTED_VALUE"""),"")</f>
        <v/>
      </c>
      <c r="L132" s="189" t="str">
        <f ca="1">IFERROR(__xludf.DUMMYFUNCTION("""COMPUTED_VALUE"""),"")</f>
        <v/>
      </c>
      <c r="M132" s="189" t="str">
        <f ca="1">IFERROR(__xludf.DUMMYFUNCTION("""COMPUTED_VALUE"""),"")</f>
        <v/>
      </c>
      <c r="N132" s="189" t="str">
        <f ca="1">IFERROR(__xludf.DUMMYFUNCTION("""COMPUTED_VALUE"""),"")</f>
        <v/>
      </c>
      <c r="O132" s="189" t="str">
        <f ca="1">IFERROR(__xludf.DUMMYFUNCTION("""COMPUTED_VALUE"""),"")</f>
        <v/>
      </c>
      <c r="P132" s="189" t="str">
        <f ca="1">IFERROR(__xludf.DUMMYFUNCTION("""COMPUTED_VALUE"""),"")</f>
        <v/>
      </c>
      <c r="Q132" s="189" t="str">
        <f ca="1">IFERROR(__xludf.DUMMYFUNCTION("""COMPUTED_VALUE"""),"")</f>
        <v/>
      </c>
      <c r="R132" s="189" t="str">
        <f ca="1">IFERROR(__xludf.DUMMYFUNCTION("""COMPUTED_VALUE"""),"")</f>
        <v/>
      </c>
      <c r="S132" s="189" t="str">
        <f ca="1">IFERROR(__xludf.DUMMYFUNCTION("""COMPUTED_VALUE"""),"")</f>
        <v/>
      </c>
      <c r="T132" s="189" t="str">
        <f ca="1">IFERROR(__xludf.DUMMYFUNCTION("""COMPUTED_VALUE"""),"")</f>
        <v/>
      </c>
      <c r="U132" s="189" t="str">
        <f ca="1">IFERROR(__xludf.DUMMYFUNCTION("""COMPUTED_VALUE"""),"")</f>
        <v/>
      </c>
      <c r="V132" s="189" t="str">
        <f ca="1">IFERROR(__xludf.DUMMYFUNCTION("""COMPUTED_VALUE"""),"")</f>
        <v/>
      </c>
      <c r="W132" s="189" t="str">
        <f ca="1">IFERROR(__xludf.DUMMYFUNCTION("""COMPUTED_VALUE"""),"")</f>
        <v/>
      </c>
      <c r="X132" s="189" t="str">
        <f ca="1">IFERROR(__xludf.DUMMYFUNCTION("""COMPUTED_VALUE"""),"")</f>
        <v/>
      </c>
      <c r="Y132" s="189" t="str">
        <f ca="1">IFERROR(__xludf.DUMMYFUNCTION("""COMPUTED_VALUE"""),"")</f>
        <v/>
      </c>
      <c r="Z132" s="189"/>
    </row>
    <row r="133" spans="1:26" ht="12.75">
      <c r="A133" s="189" t="str">
        <f ca="1">IFERROR(__xludf.DUMMYFUNCTION("""COMPUTED_VALUE"""),"")</f>
        <v/>
      </c>
      <c r="B133" s="189" t="str">
        <f ca="1">IFERROR(__xludf.DUMMYFUNCTION("""COMPUTED_VALUE"""),"")</f>
        <v/>
      </c>
      <c r="C133" s="189" t="str">
        <f ca="1">IFERROR(__xludf.DUMMYFUNCTION("""COMPUTED_VALUE"""),"")</f>
        <v/>
      </c>
      <c r="D133" s="189" t="str">
        <f ca="1">IFERROR(__xludf.DUMMYFUNCTION("""COMPUTED_VALUE"""),"")</f>
        <v/>
      </c>
      <c r="E133" s="189" t="str">
        <f ca="1">IFERROR(__xludf.DUMMYFUNCTION("""COMPUTED_VALUE"""),"")</f>
        <v/>
      </c>
      <c r="F133" s="189" t="str">
        <f ca="1">IFERROR(__xludf.DUMMYFUNCTION("""COMPUTED_VALUE"""),"")</f>
        <v/>
      </c>
      <c r="G133" s="189" t="str">
        <f ca="1">IFERROR(__xludf.DUMMYFUNCTION("""COMPUTED_VALUE"""),"")</f>
        <v/>
      </c>
      <c r="H133" s="189" t="str">
        <f ca="1">IFERROR(__xludf.DUMMYFUNCTION("""COMPUTED_VALUE"""),"")</f>
        <v/>
      </c>
      <c r="I133" s="120" t="str">
        <f ca="1">IFERROR(__xludf.DUMMYFUNCTION("""COMPUTED_VALUE"""),"")</f>
        <v/>
      </c>
      <c r="J133" s="189" t="str">
        <f ca="1">IFERROR(__xludf.DUMMYFUNCTION("""COMPUTED_VALUE"""),"")</f>
        <v/>
      </c>
      <c r="K133" s="189" t="str">
        <f ca="1">IFERROR(__xludf.DUMMYFUNCTION("""COMPUTED_VALUE"""),"")</f>
        <v/>
      </c>
      <c r="L133" s="189" t="str">
        <f ca="1">IFERROR(__xludf.DUMMYFUNCTION("""COMPUTED_VALUE"""),"")</f>
        <v/>
      </c>
      <c r="M133" s="189" t="str">
        <f ca="1">IFERROR(__xludf.DUMMYFUNCTION("""COMPUTED_VALUE"""),"")</f>
        <v/>
      </c>
      <c r="N133" s="189" t="str">
        <f ca="1">IFERROR(__xludf.DUMMYFUNCTION("""COMPUTED_VALUE"""),"")</f>
        <v/>
      </c>
      <c r="O133" s="189" t="str">
        <f ca="1">IFERROR(__xludf.DUMMYFUNCTION("""COMPUTED_VALUE"""),"")</f>
        <v/>
      </c>
      <c r="P133" s="189" t="str">
        <f ca="1">IFERROR(__xludf.DUMMYFUNCTION("""COMPUTED_VALUE"""),"")</f>
        <v/>
      </c>
      <c r="Q133" s="189" t="str">
        <f ca="1">IFERROR(__xludf.DUMMYFUNCTION("""COMPUTED_VALUE"""),"")</f>
        <v/>
      </c>
      <c r="R133" s="189" t="str">
        <f ca="1">IFERROR(__xludf.DUMMYFUNCTION("""COMPUTED_VALUE"""),"")</f>
        <v/>
      </c>
      <c r="S133" s="189" t="str">
        <f ca="1">IFERROR(__xludf.DUMMYFUNCTION("""COMPUTED_VALUE"""),"")</f>
        <v/>
      </c>
      <c r="T133" s="189" t="str">
        <f ca="1">IFERROR(__xludf.DUMMYFUNCTION("""COMPUTED_VALUE"""),"")</f>
        <v/>
      </c>
      <c r="U133" s="189" t="str">
        <f ca="1">IFERROR(__xludf.DUMMYFUNCTION("""COMPUTED_VALUE"""),"")</f>
        <v/>
      </c>
      <c r="V133" s="189" t="str">
        <f ca="1">IFERROR(__xludf.DUMMYFUNCTION("""COMPUTED_VALUE"""),"")</f>
        <v/>
      </c>
      <c r="W133" s="189" t="str">
        <f ca="1">IFERROR(__xludf.DUMMYFUNCTION("""COMPUTED_VALUE"""),"")</f>
        <v/>
      </c>
      <c r="X133" s="189" t="str">
        <f ca="1">IFERROR(__xludf.DUMMYFUNCTION("""COMPUTED_VALUE"""),"")</f>
        <v/>
      </c>
      <c r="Y133" s="189" t="str">
        <f ca="1">IFERROR(__xludf.DUMMYFUNCTION("""COMPUTED_VALUE"""),"")</f>
        <v/>
      </c>
      <c r="Z133" s="189"/>
    </row>
    <row r="134" spans="1:26" ht="12.75">
      <c r="A134" s="189" t="str">
        <f ca="1">IFERROR(__xludf.DUMMYFUNCTION("""COMPUTED_VALUE"""),"")</f>
        <v/>
      </c>
      <c r="B134" s="189" t="str">
        <f ca="1">IFERROR(__xludf.DUMMYFUNCTION("""COMPUTED_VALUE"""),"")</f>
        <v/>
      </c>
      <c r="C134" s="189" t="str">
        <f ca="1">IFERROR(__xludf.DUMMYFUNCTION("""COMPUTED_VALUE"""),"")</f>
        <v/>
      </c>
      <c r="D134" s="189" t="str">
        <f ca="1">IFERROR(__xludf.DUMMYFUNCTION("""COMPUTED_VALUE"""),"")</f>
        <v/>
      </c>
      <c r="E134" s="189" t="str">
        <f ca="1">IFERROR(__xludf.DUMMYFUNCTION("""COMPUTED_VALUE"""),"")</f>
        <v/>
      </c>
      <c r="F134" s="189" t="str">
        <f ca="1">IFERROR(__xludf.DUMMYFUNCTION("""COMPUTED_VALUE"""),"")</f>
        <v/>
      </c>
      <c r="G134" s="189" t="str">
        <f ca="1">IFERROR(__xludf.DUMMYFUNCTION("""COMPUTED_VALUE"""),"")</f>
        <v/>
      </c>
      <c r="H134" s="189" t="str">
        <f ca="1">IFERROR(__xludf.DUMMYFUNCTION("""COMPUTED_VALUE"""),"")</f>
        <v/>
      </c>
      <c r="I134" s="120" t="str">
        <f ca="1">IFERROR(__xludf.DUMMYFUNCTION("""COMPUTED_VALUE"""),"")</f>
        <v/>
      </c>
      <c r="J134" s="189" t="str">
        <f ca="1">IFERROR(__xludf.DUMMYFUNCTION("""COMPUTED_VALUE"""),"")</f>
        <v/>
      </c>
      <c r="K134" s="189" t="str">
        <f ca="1">IFERROR(__xludf.DUMMYFUNCTION("""COMPUTED_VALUE"""),"")</f>
        <v/>
      </c>
      <c r="L134" s="189" t="str">
        <f ca="1">IFERROR(__xludf.DUMMYFUNCTION("""COMPUTED_VALUE"""),"")</f>
        <v/>
      </c>
      <c r="M134" s="189" t="str">
        <f ca="1">IFERROR(__xludf.DUMMYFUNCTION("""COMPUTED_VALUE"""),"")</f>
        <v/>
      </c>
      <c r="N134" s="189" t="str">
        <f ca="1">IFERROR(__xludf.DUMMYFUNCTION("""COMPUTED_VALUE"""),"")</f>
        <v/>
      </c>
      <c r="O134" s="189" t="str">
        <f ca="1">IFERROR(__xludf.DUMMYFUNCTION("""COMPUTED_VALUE"""),"")</f>
        <v/>
      </c>
      <c r="P134" s="189" t="str">
        <f ca="1">IFERROR(__xludf.DUMMYFUNCTION("""COMPUTED_VALUE"""),"")</f>
        <v/>
      </c>
      <c r="Q134" s="189" t="str">
        <f ca="1">IFERROR(__xludf.DUMMYFUNCTION("""COMPUTED_VALUE"""),"")</f>
        <v/>
      </c>
      <c r="R134" s="189" t="str">
        <f ca="1">IFERROR(__xludf.DUMMYFUNCTION("""COMPUTED_VALUE"""),"")</f>
        <v/>
      </c>
      <c r="S134" s="189" t="str">
        <f ca="1">IFERROR(__xludf.DUMMYFUNCTION("""COMPUTED_VALUE"""),"")</f>
        <v/>
      </c>
      <c r="T134" s="189" t="str">
        <f ca="1">IFERROR(__xludf.DUMMYFUNCTION("""COMPUTED_VALUE"""),"")</f>
        <v/>
      </c>
      <c r="U134" s="189" t="str">
        <f ca="1">IFERROR(__xludf.DUMMYFUNCTION("""COMPUTED_VALUE"""),"")</f>
        <v/>
      </c>
      <c r="V134" s="189" t="str">
        <f ca="1">IFERROR(__xludf.DUMMYFUNCTION("""COMPUTED_VALUE"""),"")</f>
        <v/>
      </c>
      <c r="W134" s="189" t="str">
        <f ca="1">IFERROR(__xludf.DUMMYFUNCTION("""COMPUTED_VALUE"""),"")</f>
        <v/>
      </c>
      <c r="X134" s="189" t="str">
        <f ca="1">IFERROR(__xludf.DUMMYFUNCTION("""COMPUTED_VALUE"""),"")</f>
        <v/>
      </c>
      <c r="Y134" s="189" t="str">
        <f ca="1">IFERROR(__xludf.DUMMYFUNCTION("""COMPUTED_VALUE"""),"")</f>
        <v/>
      </c>
      <c r="Z134" s="189"/>
    </row>
    <row r="135" spans="1:26" ht="12.75">
      <c r="A135" s="189" t="str">
        <f ca="1">IFERROR(__xludf.DUMMYFUNCTION("""COMPUTED_VALUE"""),"")</f>
        <v/>
      </c>
      <c r="B135" s="189" t="str">
        <f ca="1">IFERROR(__xludf.DUMMYFUNCTION("""COMPUTED_VALUE"""),"")</f>
        <v/>
      </c>
      <c r="C135" s="189" t="str">
        <f ca="1">IFERROR(__xludf.DUMMYFUNCTION("""COMPUTED_VALUE"""),"")</f>
        <v/>
      </c>
      <c r="D135" s="189" t="str">
        <f ca="1">IFERROR(__xludf.DUMMYFUNCTION("""COMPUTED_VALUE"""),"")</f>
        <v/>
      </c>
      <c r="E135" s="189" t="str">
        <f ca="1">IFERROR(__xludf.DUMMYFUNCTION("""COMPUTED_VALUE"""),"")</f>
        <v/>
      </c>
      <c r="F135" s="189" t="str">
        <f ca="1">IFERROR(__xludf.DUMMYFUNCTION("""COMPUTED_VALUE"""),"")</f>
        <v/>
      </c>
      <c r="G135" s="189" t="str">
        <f ca="1">IFERROR(__xludf.DUMMYFUNCTION("""COMPUTED_VALUE"""),"")</f>
        <v/>
      </c>
      <c r="H135" s="189" t="str">
        <f ca="1">IFERROR(__xludf.DUMMYFUNCTION("""COMPUTED_VALUE"""),"")</f>
        <v/>
      </c>
      <c r="I135" s="120" t="str">
        <f ca="1">IFERROR(__xludf.DUMMYFUNCTION("""COMPUTED_VALUE"""),"")</f>
        <v/>
      </c>
      <c r="J135" s="189" t="str">
        <f ca="1">IFERROR(__xludf.DUMMYFUNCTION("""COMPUTED_VALUE"""),"")</f>
        <v/>
      </c>
      <c r="K135" s="189" t="str">
        <f ca="1">IFERROR(__xludf.DUMMYFUNCTION("""COMPUTED_VALUE"""),"")</f>
        <v/>
      </c>
      <c r="L135" s="189" t="str">
        <f ca="1">IFERROR(__xludf.DUMMYFUNCTION("""COMPUTED_VALUE"""),"")</f>
        <v/>
      </c>
      <c r="M135" s="189" t="str">
        <f ca="1">IFERROR(__xludf.DUMMYFUNCTION("""COMPUTED_VALUE"""),"")</f>
        <v/>
      </c>
      <c r="N135" s="189" t="str">
        <f ca="1">IFERROR(__xludf.DUMMYFUNCTION("""COMPUTED_VALUE"""),"")</f>
        <v/>
      </c>
      <c r="O135" s="189" t="str">
        <f ca="1">IFERROR(__xludf.DUMMYFUNCTION("""COMPUTED_VALUE"""),"")</f>
        <v/>
      </c>
      <c r="P135" s="189" t="str">
        <f ca="1">IFERROR(__xludf.DUMMYFUNCTION("""COMPUTED_VALUE"""),"")</f>
        <v/>
      </c>
      <c r="Q135" s="189" t="str">
        <f ca="1">IFERROR(__xludf.DUMMYFUNCTION("""COMPUTED_VALUE"""),"")</f>
        <v/>
      </c>
      <c r="R135" s="189" t="str">
        <f ca="1">IFERROR(__xludf.DUMMYFUNCTION("""COMPUTED_VALUE"""),"")</f>
        <v/>
      </c>
      <c r="S135" s="189" t="str">
        <f ca="1">IFERROR(__xludf.DUMMYFUNCTION("""COMPUTED_VALUE"""),"")</f>
        <v/>
      </c>
      <c r="T135" s="189" t="str">
        <f ca="1">IFERROR(__xludf.DUMMYFUNCTION("""COMPUTED_VALUE"""),"")</f>
        <v/>
      </c>
      <c r="U135" s="189" t="str">
        <f ca="1">IFERROR(__xludf.DUMMYFUNCTION("""COMPUTED_VALUE"""),"")</f>
        <v/>
      </c>
      <c r="V135" s="189" t="str">
        <f ca="1">IFERROR(__xludf.DUMMYFUNCTION("""COMPUTED_VALUE"""),"")</f>
        <v/>
      </c>
      <c r="W135" s="189" t="str">
        <f ca="1">IFERROR(__xludf.DUMMYFUNCTION("""COMPUTED_VALUE"""),"")</f>
        <v/>
      </c>
      <c r="X135" s="189" t="str">
        <f ca="1">IFERROR(__xludf.DUMMYFUNCTION("""COMPUTED_VALUE"""),"")</f>
        <v/>
      </c>
      <c r="Y135" s="189" t="str">
        <f ca="1">IFERROR(__xludf.DUMMYFUNCTION("""COMPUTED_VALUE"""),"")</f>
        <v/>
      </c>
      <c r="Z135" s="189"/>
    </row>
    <row r="136" spans="1:26" ht="12.75">
      <c r="A136" s="189" t="str">
        <f ca="1">IFERROR(__xludf.DUMMYFUNCTION("""COMPUTED_VALUE"""),"")</f>
        <v/>
      </c>
      <c r="B136" s="189" t="str">
        <f ca="1">IFERROR(__xludf.DUMMYFUNCTION("""COMPUTED_VALUE"""),"")</f>
        <v/>
      </c>
      <c r="C136" s="189" t="str">
        <f ca="1">IFERROR(__xludf.DUMMYFUNCTION("""COMPUTED_VALUE"""),"")</f>
        <v/>
      </c>
      <c r="D136" s="189" t="str">
        <f ca="1">IFERROR(__xludf.DUMMYFUNCTION("""COMPUTED_VALUE"""),"")</f>
        <v/>
      </c>
      <c r="E136" s="189" t="str">
        <f ca="1">IFERROR(__xludf.DUMMYFUNCTION("""COMPUTED_VALUE"""),"")</f>
        <v/>
      </c>
      <c r="F136" s="189" t="str">
        <f ca="1">IFERROR(__xludf.DUMMYFUNCTION("""COMPUTED_VALUE"""),"")</f>
        <v/>
      </c>
      <c r="G136" s="189" t="str">
        <f ca="1">IFERROR(__xludf.DUMMYFUNCTION("""COMPUTED_VALUE"""),"")</f>
        <v/>
      </c>
      <c r="H136" s="189" t="str">
        <f ca="1">IFERROR(__xludf.DUMMYFUNCTION("""COMPUTED_VALUE"""),"")</f>
        <v/>
      </c>
      <c r="I136" s="120" t="str">
        <f ca="1">IFERROR(__xludf.DUMMYFUNCTION("""COMPUTED_VALUE"""),"")</f>
        <v/>
      </c>
      <c r="J136" s="189" t="str">
        <f ca="1">IFERROR(__xludf.DUMMYFUNCTION("""COMPUTED_VALUE"""),"")</f>
        <v/>
      </c>
      <c r="K136" s="189" t="str">
        <f ca="1">IFERROR(__xludf.DUMMYFUNCTION("""COMPUTED_VALUE"""),"")</f>
        <v/>
      </c>
      <c r="L136" s="189" t="str">
        <f ca="1">IFERROR(__xludf.DUMMYFUNCTION("""COMPUTED_VALUE"""),"")</f>
        <v/>
      </c>
      <c r="M136" s="189" t="str">
        <f ca="1">IFERROR(__xludf.DUMMYFUNCTION("""COMPUTED_VALUE"""),"")</f>
        <v/>
      </c>
      <c r="N136" s="189" t="str">
        <f ca="1">IFERROR(__xludf.DUMMYFUNCTION("""COMPUTED_VALUE"""),"")</f>
        <v/>
      </c>
      <c r="O136" s="189" t="str">
        <f ca="1">IFERROR(__xludf.DUMMYFUNCTION("""COMPUTED_VALUE"""),"")</f>
        <v/>
      </c>
      <c r="P136" s="189" t="str">
        <f ca="1">IFERROR(__xludf.DUMMYFUNCTION("""COMPUTED_VALUE"""),"")</f>
        <v/>
      </c>
      <c r="Q136" s="189" t="str">
        <f ca="1">IFERROR(__xludf.DUMMYFUNCTION("""COMPUTED_VALUE"""),"")</f>
        <v/>
      </c>
      <c r="R136" s="189" t="str">
        <f ca="1">IFERROR(__xludf.DUMMYFUNCTION("""COMPUTED_VALUE"""),"")</f>
        <v/>
      </c>
      <c r="S136" s="189" t="str">
        <f ca="1">IFERROR(__xludf.DUMMYFUNCTION("""COMPUTED_VALUE"""),"")</f>
        <v/>
      </c>
      <c r="T136" s="189" t="str">
        <f ca="1">IFERROR(__xludf.DUMMYFUNCTION("""COMPUTED_VALUE"""),"")</f>
        <v/>
      </c>
      <c r="U136" s="189" t="str">
        <f ca="1">IFERROR(__xludf.DUMMYFUNCTION("""COMPUTED_VALUE"""),"")</f>
        <v/>
      </c>
      <c r="V136" s="189" t="str">
        <f ca="1">IFERROR(__xludf.DUMMYFUNCTION("""COMPUTED_VALUE"""),"")</f>
        <v/>
      </c>
      <c r="W136" s="189" t="str">
        <f ca="1">IFERROR(__xludf.DUMMYFUNCTION("""COMPUTED_VALUE"""),"")</f>
        <v/>
      </c>
      <c r="X136" s="189" t="str">
        <f ca="1">IFERROR(__xludf.DUMMYFUNCTION("""COMPUTED_VALUE"""),"")</f>
        <v/>
      </c>
      <c r="Y136" s="189" t="str">
        <f ca="1">IFERROR(__xludf.DUMMYFUNCTION("""COMPUTED_VALUE"""),"")</f>
        <v/>
      </c>
      <c r="Z136" s="189"/>
    </row>
    <row r="137" spans="1:26" ht="12.75">
      <c r="A137" s="189" t="str">
        <f ca="1">IFERROR(__xludf.DUMMYFUNCTION("""COMPUTED_VALUE"""),"")</f>
        <v/>
      </c>
      <c r="B137" s="189" t="str">
        <f ca="1">IFERROR(__xludf.DUMMYFUNCTION("""COMPUTED_VALUE"""),"")</f>
        <v/>
      </c>
      <c r="C137" s="189" t="str">
        <f ca="1">IFERROR(__xludf.DUMMYFUNCTION("""COMPUTED_VALUE"""),"")</f>
        <v/>
      </c>
      <c r="D137" s="189" t="str">
        <f ca="1">IFERROR(__xludf.DUMMYFUNCTION("""COMPUTED_VALUE"""),"")</f>
        <v/>
      </c>
      <c r="E137" s="189" t="str">
        <f ca="1">IFERROR(__xludf.DUMMYFUNCTION("""COMPUTED_VALUE"""),"")</f>
        <v/>
      </c>
      <c r="F137" s="189" t="str">
        <f ca="1">IFERROR(__xludf.DUMMYFUNCTION("""COMPUTED_VALUE"""),"")</f>
        <v/>
      </c>
      <c r="G137" s="189" t="str">
        <f ca="1">IFERROR(__xludf.DUMMYFUNCTION("""COMPUTED_VALUE"""),"")</f>
        <v/>
      </c>
      <c r="H137" s="189" t="str">
        <f ca="1">IFERROR(__xludf.DUMMYFUNCTION("""COMPUTED_VALUE"""),"")</f>
        <v/>
      </c>
      <c r="I137" s="120" t="str">
        <f ca="1">IFERROR(__xludf.DUMMYFUNCTION("""COMPUTED_VALUE"""),"")</f>
        <v/>
      </c>
      <c r="J137" s="189" t="str">
        <f ca="1">IFERROR(__xludf.DUMMYFUNCTION("""COMPUTED_VALUE"""),"")</f>
        <v/>
      </c>
      <c r="K137" s="189" t="str">
        <f ca="1">IFERROR(__xludf.DUMMYFUNCTION("""COMPUTED_VALUE"""),"")</f>
        <v/>
      </c>
      <c r="L137" s="189" t="str">
        <f ca="1">IFERROR(__xludf.DUMMYFUNCTION("""COMPUTED_VALUE"""),"")</f>
        <v/>
      </c>
      <c r="M137" s="189" t="str">
        <f ca="1">IFERROR(__xludf.DUMMYFUNCTION("""COMPUTED_VALUE"""),"")</f>
        <v/>
      </c>
      <c r="N137" s="189" t="str">
        <f ca="1">IFERROR(__xludf.DUMMYFUNCTION("""COMPUTED_VALUE"""),"")</f>
        <v/>
      </c>
      <c r="O137" s="189" t="str">
        <f ca="1">IFERROR(__xludf.DUMMYFUNCTION("""COMPUTED_VALUE"""),"")</f>
        <v/>
      </c>
      <c r="P137" s="189" t="str">
        <f ca="1">IFERROR(__xludf.DUMMYFUNCTION("""COMPUTED_VALUE"""),"")</f>
        <v/>
      </c>
      <c r="Q137" s="189" t="str">
        <f ca="1">IFERROR(__xludf.DUMMYFUNCTION("""COMPUTED_VALUE"""),"")</f>
        <v/>
      </c>
      <c r="R137" s="189" t="str">
        <f ca="1">IFERROR(__xludf.DUMMYFUNCTION("""COMPUTED_VALUE"""),"")</f>
        <v/>
      </c>
      <c r="S137" s="189" t="str">
        <f ca="1">IFERROR(__xludf.DUMMYFUNCTION("""COMPUTED_VALUE"""),"")</f>
        <v/>
      </c>
      <c r="T137" s="189" t="str">
        <f ca="1">IFERROR(__xludf.DUMMYFUNCTION("""COMPUTED_VALUE"""),"")</f>
        <v/>
      </c>
      <c r="U137" s="189" t="str">
        <f ca="1">IFERROR(__xludf.DUMMYFUNCTION("""COMPUTED_VALUE"""),"")</f>
        <v/>
      </c>
      <c r="V137" s="189" t="str">
        <f ca="1">IFERROR(__xludf.DUMMYFUNCTION("""COMPUTED_VALUE"""),"")</f>
        <v/>
      </c>
      <c r="W137" s="189" t="str">
        <f ca="1">IFERROR(__xludf.DUMMYFUNCTION("""COMPUTED_VALUE"""),"")</f>
        <v/>
      </c>
      <c r="X137" s="189" t="str">
        <f ca="1">IFERROR(__xludf.DUMMYFUNCTION("""COMPUTED_VALUE"""),"")</f>
        <v/>
      </c>
      <c r="Y137" s="189" t="str">
        <f ca="1">IFERROR(__xludf.DUMMYFUNCTION("""COMPUTED_VALUE"""),"")</f>
        <v/>
      </c>
      <c r="Z137" s="189"/>
    </row>
    <row r="138" spans="1:26" ht="12.75">
      <c r="A138" s="189" t="str">
        <f ca="1">IFERROR(__xludf.DUMMYFUNCTION("""COMPUTED_VALUE"""),"")</f>
        <v/>
      </c>
      <c r="B138" s="189" t="str">
        <f ca="1">IFERROR(__xludf.DUMMYFUNCTION("""COMPUTED_VALUE"""),"")</f>
        <v/>
      </c>
      <c r="C138" s="189" t="str">
        <f ca="1">IFERROR(__xludf.DUMMYFUNCTION("""COMPUTED_VALUE"""),"")</f>
        <v/>
      </c>
      <c r="D138" s="189" t="str">
        <f ca="1">IFERROR(__xludf.DUMMYFUNCTION("""COMPUTED_VALUE"""),"")</f>
        <v/>
      </c>
      <c r="E138" s="189" t="str">
        <f ca="1">IFERROR(__xludf.DUMMYFUNCTION("""COMPUTED_VALUE"""),"")</f>
        <v/>
      </c>
      <c r="F138" s="189" t="str">
        <f ca="1">IFERROR(__xludf.DUMMYFUNCTION("""COMPUTED_VALUE"""),"")</f>
        <v/>
      </c>
      <c r="G138" s="189" t="str">
        <f ca="1">IFERROR(__xludf.DUMMYFUNCTION("""COMPUTED_VALUE"""),"")</f>
        <v/>
      </c>
      <c r="H138" s="189" t="str">
        <f ca="1">IFERROR(__xludf.DUMMYFUNCTION("""COMPUTED_VALUE"""),"")</f>
        <v/>
      </c>
      <c r="I138" s="120" t="str">
        <f ca="1">IFERROR(__xludf.DUMMYFUNCTION("""COMPUTED_VALUE"""),"")</f>
        <v/>
      </c>
      <c r="J138" s="189" t="str">
        <f ca="1">IFERROR(__xludf.DUMMYFUNCTION("""COMPUTED_VALUE"""),"")</f>
        <v/>
      </c>
      <c r="K138" s="189" t="str">
        <f ca="1">IFERROR(__xludf.DUMMYFUNCTION("""COMPUTED_VALUE"""),"")</f>
        <v/>
      </c>
      <c r="L138" s="189" t="str">
        <f ca="1">IFERROR(__xludf.DUMMYFUNCTION("""COMPUTED_VALUE"""),"")</f>
        <v/>
      </c>
      <c r="M138" s="189" t="str">
        <f ca="1">IFERROR(__xludf.DUMMYFUNCTION("""COMPUTED_VALUE"""),"")</f>
        <v/>
      </c>
      <c r="N138" s="189" t="str">
        <f ca="1">IFERROR(__xludf.DUMMYFUNCTION("""COMPUTED_VALUE"""),"")</f>
        <v/>
      </c>
      <c r="O138" s="189" t="str">
        <f ca="1">IFERROR(__xludf.DUMMYFUNCTION("""COMPUTED_VALUE"""),"")</f>
        <v/>
      </c>
      <c r="P138" s="189" t="str">
        <f ca="1">IFERROR(__xludf.DUMMYFUNCTION("""COMPUTED_VALUE"""),"")</f>
        <v/>
      </c>
      <c r="Q138" s="189" t="str">
        <f ca="1">IFERROR(__xludf.DUMMYFUNCTION("""COMPUTED_VALUE"""),"")</f>
        <v/>
      </c>
      <c r="R138" s="189" t="str">
        <f ca="1">IFERROR(__xludf.DUMMYFUNCTION("""COMPUTED_VALUE"""),"")</f>
        <v/>
      </c>
      <c r="S138" s="189" t="str">
        <f ca="1">IFERROR(__xludf.DUMMYFUNCTION("""COMPUTED_VALUE"""),"")</f>
        <v/>
      </c>
      <c r="T138" s="189" t="str">
        <f ca="1">IFERROR(__xludf.DUMMYFUNCTION("""COMPUTED_VALUE"""),"")</f>
        <v/>
      </c>
      <c r="U138" s="189" t="str">
        <f ca="1">IFERROR(__xludf.DUMMYFUNCTION("""COMPUTED_VALUE"""),"")</f>
        <v/>
      </c>
      <c r="V138" s="189" t="str">
        <f ca="1">IFERROR(__xludf.DUMMYFUNCTION("""COMPUTED_VALUE"""),"")</f>
        <v/>
      </c>
      <c r="W138" s="189" t="str">
        <f ca="1">IFERROR(__xludf.DUMMYFUNCTION("""COMPUTED_VALUE"""),"")</f>
        <v/>
      </c>
      <c r="X138" s="189" t="str">
        <f ca="1">IFERROR(__xludf.DUMMYFUNCTION("""COMPUTED_VALUE"""),"")</f>
        <v/>
      </c>
      <c r="Y138" s="189" t="str">
        <f ca="1">IFERROR(__xludf.DUMMYFUNCTION("""COMPUTED_VALUE"""),"")</f>
        <v/>
      </c>
      <c r="Z138" s="189"/>
    </row>
    <row r="139" spans="1:26" ht="12.75">
      <c r="A139" s="189" t="str">
        <f ca="1">IFERROR(__xludf.DUMMYFUNCTION("""COMPUTED_VALUE"""),"")</f>
        <v/>
      </c>
      <c r="B139" s="189" t="str">
        <f ca="1">IFERROR(__xludf.DUMMYFUNCTION("""COMPUTED_VALUE"""),"")</f>
        <v/>
      </c>
      <c r="C139" s="189" t="str">
        <f ca="1">IFERROR(__xludf.DUMMYFUNCTION("""COMPUTED_VALUE"""),"")</f>
        <v/>
      </c>
      <c r="D139" s="189" t="str">
        <f ca="1">IFERROR(__xludf.DUMMYFUNCTION("""COMPUTED_VALUE"""),"")</f>
        <v/>
      </c>
      <c r="E139" s="189" t="str">
        <f ca="1">IFERROR(__xludf.DUMMYFUNCTION("""COMPUTED_VALUE"""),"")</f>
        <v/>
      </c>
      <c r="F139" s="189" t="str">
        <f ca="1">IFERROR(__xludf.DUMMYFUNCTION("""COMPUTED_VALUE"""),"")</f>
        <v/>
      </c>
      <c r="G139" s="189" t="str">
        <f ca="1">IFERROR(__xludf.DUMMYFUNCTION("""COMPUTED_VALUE"""),"")</f>
        <v/>
      </c>
      <c r="H139" s="189" t="str">
        <f ca="1">IFERROR(__xludf.DUMMYFUNCTION("""COMPUTED_VALUE"""),"")</f>
        <v/>
      </c>
      <c r="I139" s="120" t="str">
        <f ca="1">IFERROR(__xludf.DUMMYFUNCTION("""COMPUTED_VALUE"""),"")</f>
        <v/>
      </c>
      <c r="J139" s="189" t="str">
        <f ca="1">IFERROR(__xludf.DUMMYFUNCTION("""COMPUTED_VALUE"""),"")</f>
        <v/>
      </c>
      <c r="K139" s="189" t="str">
        <f ca="1">IFERROR(__xludf.DUMMYFUNCTION("""COMPUTED_VALUE"""),"")</f>
        <v/>
      </c>
      <c r="L139" s="189" t="str">
        <f ca="1">IFERROR(__xludf.DUMMYFUNCTION("""COMPUTED_VALUE"""),"")</f>
        <v/>
      </c>
      <c r="M139" s="189" t="str">
        <f ca="1">IFERROR(__xludf.DUMMYFUNCTION("""COMPUTED_VALUE"""),"")</f>
        <v/>
      </c>
      <c r="N139" s="189" t="str">
        <f ca="1">IFERROR(__xludf.DUMMYFUNCTION("""COMPUTED_VALUE"""),"")</f>
        <v/>
      </c>
      <c r="O139" s="189" t="str">
        <f ca="1">IFERROR(__xludf.DUMMYFUNCTION("""COMPUTED_VALUE"""),"")</f>
        <v/>
      </c>
      <c r="P139" s="189" t="str">
        <f ca="1">IFERROR(__xludf.DUMMYFUNCTION("""COMPUTED_VALUE"""),"")</f>
        <v/>
      </c>
      <c r="Q139" s="189" t="str">
        <f ca="1">IFERROR(__xludf.DUMMYFUNCTION("""COMPUTED_VALUE"""),"")</f>
        <v/>
      </c>
      <c r="R139" s="189" t="str">
        <f ca="1">IFERROR(__xludf.DUMMYFUNCTION("""COMPUTED_VALUE"""),"")</f>
        <v/>
      </c>
      <c r="S139" s="189" t="str">
        <f ca="1">IFERROR(__xludf.DUMMYFUNCTION("""COMPUTED_VALUE"""),"")</f>
        <v/>
      </c>
      <c r="T139" s="189" t="str">
        <f ca="1">IFERROR(__xludf.DUMMYFUNCTION("""COMPUTED_VALUE"""),"")</f>
        <v/>
      </c>
      <c r="U139" s="189" t="str">
        <f ca="1">IFERROR(__xludf.DUMMYFUNCTION("""COMPUTED_VALUE"""),"")</f>
        <v/>
      </c>
      <c r="V139" s="189" t="str">
        <f ca="1">IFERROR(__xludf.DUMMYFUNCTION("""COMPUTED_VALUE"""),"")</f>
        <v/>
      </c>
      <c r="W139" s="189" t="str">
        <f ca="1">IFERROR(__xludf.DUMMYFUNCTION("""COMPUTED_VALUE"""),"")</f>
        <v/>
      </c>
      <c r="X139" s="189" t="str">
        <f ca="1">IFERROR(__xludf.DUMMYFUNCTION("""COMPUTED_VALUE"""),"")</f>
        <v/>
      </c>
      <c r="Y139" s="189" t="str">
        <f ca="1">IFERROR(__xludf.DUMMYFUNCTION("""COMPUTED_VALUE"""),"")</f>
        <v/>
      </c>
      <c r="Z139" s="189"/>
    </row>
    <row r="140" spans="1:26" ht="12.75">
      <c r="A140" s="189" t="str">
        <f ca="1">IFERROR(__xludf.DUMMYFUNCTION("""COMPUTED_VALUE"""),"")</f>
        <v/>
      </c>
      <c r="B140" s="189" t="str">
        <f ca="1">IFERROR(__xludf.DUMMYFUNCTION("""COMPUTED_VALUE"""),"")</f>
        <v/>
      </c>
      <c r="C140" s="189" t="str">
        <f ca="1">IFERROR(__xludf.DUMMYFUNCTION("""COMPUTED_VALUE"""),"")</f>
        <v/>
      </c>
      <c r="D140" s="189" t="str">
        <f ca="1">IFERROR(__xludf.DUMMYFUNCTION("""COMPUTED_VALUE"""),"")</f>
        <v/>
      </c>
      <c r="E140" s="189" t="str">
        <f ca="1">IFERROR(__xludf.DUMMYFUNCTION("""COMPUTED_VALUE"""),"")</f>
        <v/>
      </c>
      <c r="F140" s="189" t="str">
        <f ca="1">IFERROR(__xludf.DUMMYFUNCTION("""COMPUTED_VALUE"""),"")</f>
        <v/>
      </c>
      <c r="G140" s="189" t="str">
        <f ca="1">IFERROR(__xludf.DUMMYFUNCTION("""COMPUTED_VALUE"""),"")</f>
        <v/>
      </c>
      <c r="H140" s="189" t="str">
        <f ca="1">IFERROR(__xludf.DUMMYFUNCTION("""COMPUTED_VALUE"""),"")</f>
        <v/>
      </c>
      <c r="I140" s="120" t="str">
        <f ca="1">IFERROR(__xludf.DUMMYFUNCTION("""COMPUTED_VALUE"""),"")</f>
        <v/>
      </c>
      <c r="J140" s="189" t="str">
        <f ca="1">IFERROR(__xludf.DUMMYFUNCTION("""COMPUTED_VALUE"""),"")</f>
        <v/>
      </c>
      <c r="K140" s="189" t="str">
        <f ca="1">IFERROR(__xludf.DUMMYFUNCTION("""COMPUTED_VALUE"""),"")</f>
        <v/>
      </c>
      <c r="L140" s="189" t="str">
        <f ca="1">IFERROR(__xludf.DUMMYFUNCTION("""COMPUTED_VALUE"""),"")</f>
        <v/>
      </c>
      <c r="M140" s="189" t="str">
        <f ca="1">IFERROR(__xludf.DUMMYFUNCTION("""COMPUTED_VALUE"""),"")</f>
        <v/>
      </c>
      <c r="N140" s="189" t="str">
        <f ca="1">IFERROR(__xludf.DUMMYFUNCTION("""COMPUTED_VALUE"""),"")</f>
        <v/>
      </c>
      <c r="O140" s="189" t="str">
        <f ca="1">IFERROR(__xludf.DUMMYFUNCTION("""COMPUTED_VALUE"""),"")</f>
        <v/>
      </c>
      <c r="P140" s="189" t="str">
        <f ca="1">IFERROR(__xludf.DUMMYFUNCTION("""COMPUTED_VALUE"""),"")</f>
        <v/>
      </c>
      <c r="Q140" s="189" t="str">
        <f ca="1">IFERROR(__xludf.DUMMYFUNCTION("""COMPUTED_VALUE"""),"")</f>
        <v/>
      </c>
      <c r="R140" s="189" t="str">
        <f ca="1">IFERROR(__xludf.DUMMYFUNCTION("""COMPUTED_VALUE"""),"")</f>
        <v/>
      </c>
      <c r="S140" s="189" t="str">
        <f ca="1">IFERROR(__xludf.DUMMYFUNCTION("""COMPUTED_VALUE"""),"")</f>
        <v/>
      </c>
      <c r="T140" s="189" t="str">
        <f ca="1">IFERROR(__xludf.DUMMYFUNCTION("""COMPUTED_VALUE"""),"")</f>
        <v/>
      </c>
      <c r="U140" s="189" t="str">
        <f ca="1">IFERROR(__xludf.DUMMYFUNCTION("""COMPUTED_VALUE"""),"")</f>
        <v/>
      </c>
      <c r="V140" s="189" t="str">
        <f ca="1">IFERROR(__xludf.DUMMYFUNCTION("""COMPUTED_VALUE"""),"")</f>
        <v/>
      </c>
      <c r="W140" s="189" t="str">
        <f ca="1">IFERROR(__xludf.DUMMYFUNCTION("""COMPUTED_VALUE"""),"")</f>
        <v/>
      </c>
      <c r="X140" s="189" t="str">
        <f ca="1">IFERROR(__xludf.DUMMYFUNCTION("""COMPUTED_VALUE"""),"")</f>
        <v/>
      </c>
      <c r="Y140" s="189" t="str">
        <f ca="1">IFERROR(__xludf.DUMMYFUNCTION("""COMPUTED_VALUE"""),"")</f>
        <v/>
      </c>
      <c r="Z140" s="189"/>
    </row>
    <row r="141" spans="1:26" ht="12.75">
      <c r="A141" s="189" t="str">
        <f ca="1">IFERROR(__xludf.DUMMYFUNCTION("""COMPUTED_VALUE"""),"")</f>
        <v/>
      </c>
      <c r="B141" s="189" t="str">
        <f ca="1">IFERROR(__xludf.DUMMYFUNCTION("""COMPUTED_VALUE"""),"")</f>
        <v/>
      </c>
      <c r="C141" s="189" t="str">
        <f ca="1">IFERROR(__xludf.DUMMYFUNCTION("""COMPUTED_VALUE"""),"")</f>
        <v/>
      </c>
      <c r="D141" s="189" t="str">
        <f ca="1">IFERROR(__xludf.DUMMYFUNCTION("""COMPUTED_VALUE"""),"")</f>
        <v/>
      </c>
      <c r="E141" s="189" t="str">
        <f ca="1">IFERROR(__xludf.DUMMYFUNCTION("""COMPUTED_VALUE"""),"")</f>
        <v/>
      </c>
      <c r="F141" s="189" t="str">
        <f ca="1">IFERROR(__xludf.DUMMYFUNCTION("""COMPUTED_VALUE"""),"")</f>
        <v/>
      </c>
      <c r="G141" s="189" t="str">
        <f ca="1">IFERROR(__xludf.DUMMYFUNCTION("""COMPUTED_VALUE"""),"")</f>
        <v/>
      </c>
      <c r="H141" s="189" t="str">
        <f ca="1">IFERROR(__xludf.DUMMYFUNCTION("""COMPUTED_VALUE"""),"")</f>
        <v/>
      </c>
      <c r="I141" s="120" t="str">
        <f ca="1">IFERROR(__xludf.DUMMYFUNCTION("""COMPUTED_VALUE"""),"")</f>
        <v/>
      </c>
      <c r="J141" s="189" t="str">
        <f ca="1">IFERROR(__xludf.DUMMYFUNCTION("""COMPUTED_VALUE"""),"")</f>
        <v/>
      </c>
      <c r="K141" s="189" t="str">
        <f ca="1">IFERROR(__xludf.DUMMYFUNCTION("""COMPUTED_VALUE"""),"")</f>
        <v/>
      </c>
      <c r="L141" s="189" t="str">
        <f ca="1">IFERROR(__xludf.DUMMYFUNCTION("""COMPUTED_VALUE"""),"")</f>
        <v/>
      </c>
      <c r="M141" s="189" t="str">
        <f ca="1">IFERROR(__xludf.DUMMYFUNCTION("""COMPUTED_VALUE"""),"")</f>
        <v/>
      </c>
      <c r="N141" s="189" t="str">
        <f ca="1">IFERROR(__xludf.DUMMYFUNCTION("""COMPUTED_VALUE"""),"")</f>
        <v/>
      </c>
      <c r="O141" s="189" t="str">
        <f ca="1">IFERROR(__xludf.DUMMYFUNCTION("""COMPUTED_VALUE"""),"")</f>
        <v/>
      </c>
      <c r="P141" s="189" t="str">
        <f ca="1">IFERROR(__xludf.DUMMYFUNCTION("""COMPUTED_VALUE"""),"")</f>
        <v/>
      </c>
      <c r="Q141" s="189" t="str">
        <f ca="1">IFERROR(__xludf.DUMMYFUNCTION("""COMPUTED_VALUE"""),"")</f>
        <v/>
      </c>
      <c r="R141" s="189" t="str">
        <f ca="1">IFERROR(__xludf.DUMMYFUNCTION("""COMPUTED_VALUE"""),"")</f>
        <v/>
      </c>
      <c r="S141" s="189" t="str">
        <f ca="1">IFERROR(__xludf.DUMMYFUNCTION("""COMPUTED_VALUE"""),"")</f>
        <v/>
      </c>
      <c r="T141" s="189" t="str">
        <f ca="1">IFERROR(__xludf.DUMMYFUNCTION("""COMPUTED_VALUE"""),"")</f>
        <v/>
      </c>
      <c r="U141" s="189" t="str">
        <f ca="1">IFERROR(__xludf.DUMMYFUNCTION("""COMPUTED_VALUE"""),"")</f>
        <v/>
      </c>
      <c r="V141" s="189" t="str">
        <f ca="1">IFERROR(__xludf.DUMMYFUNCTION("""COMPUTED_VALUE"""),"")</f>
        <v/>
      </c>
      <c r="W141" s="189" t="str">
        <f ca="1">IFERROR(__xludf.DUMMYFUNCTION("""COMPUTED_VALUE"""),"")</f>
        <v/>
      </c>
      <c r="X141" s="189" t="str">
        <f ca="1">IFERROR(__xludf.DUMMYFUNCTION("""COMPUTED_VALUE"""),"")</f>
        <v/>
      </c>
      <c r="Y141" s="189" t="str">
        <f ca="1">IFERROR(__xludf.DUMMYFUNCTION("""COMPUTED_VALUE"""),"")</f>
        <v/>
      </c>
      <c r="Z141" s="189"/>
    </row>
    <row r="142" spans="1:26" ht="12.75">
      <c r="A142" s="189" t="str">
        <f ca="1">IFERROR(__xludf.DUMMYFUNCTION("""COMPUTED_VALUE"""),"")</f>
        <v/>
      </c>
      <c r="B142" s="189" t="str">
        <f ca="1">IFERROR(__xludf.DUMMYFUNCTION("""COMPUTED_VALUE"""),"")</f>
        <v/>
      </c>
      <c r="C142" s="189" t="str">
        <f ca="1">IFERROR(__xludf.DUMMYFUNCTION("""COMPUTED_VALUE"""),"")</f>
        <v/>
      </c>
      <c r="D142" s="189" t="str">
        <f ca="1">IFERROR(__xludf.DUMMYFUNCTION("""COMPUTED_VALUE"""),"")</f>
        <v/>
      </c>
      <c r="E142" s="189" t="str">
        <f ca="1">IFERROR(__xludf.DUMMYFUNCTION("""COMPUTED_VALUE"""),"")</f>
        <v/>
      </c>
      <c r="F142" s="189" t="str">
        <f ca="1">IFERROR(__xludf.DUMMYFUNCTION("""COMPUTED_VALUE"""),"")</f>
        <v/>
      </c>
      <c r="G142" s="189" t="str">
        <f ca="1">IFERROR(__xludf.DUMMYFUNCTION("""COMPUTED_VALUE"""),"")</f>
        <v/>
      </c>
      <c r="H142" s="189" t="str">
        <f ca="1">IFERROR(__xludf.DUMMYFUNCTION("""COMPUTED_VALUE"""),"")</f>
        <v/>
      </c>
      <c r="I142" s="120" t="str">
        <f ca="1">IFERROR(__xludf.DUMMYFUNCTION("""COMPUTED_VALUE"""),"")</f>
        <v/>
      </c>
      <c r="J142" s="189" t="str">
        <f ca="1">IFERROR(__xludf.DUMMYFUNCTION("""COMPUTED_VALUE"""),"")</f>
        <v/>
      </c>
      <c r="K142" s="189" t="str">
        <f ca="1">IFERROR(__xludf.DUMMYFUNCTION("""COMPUTED_VALUE"""),"")</f>
        <v/>
      </c>
      <c r="L142" s="189" t="str">
        <f ca="1">IFERROR(__xludf.DUMMYFUNCTION("""COMPUTED_VALUE"""),"")</f>
        <v/>
      </c>
      <c r="M142" s="189" t="str">
        <f ca="1">IFERROR(__xludf.DUMMYFUNCTION("""COMPUTED_VALUE"""),"")</f>
        <v/>
      </c>
      <c r="N142" s="189" t="str">
        <f ca="1">IFERROR(__xludf.DUMMYFUNCTION("""COMPUTED_VALUE"""),"")</f>
        <v/>
      </c>
      <c r="O142" s="189" t="str">
        <f ca="1">IFERROR(__xludf.DUMMYFUNCTION("""COMPUTED_VALUE"""),"")</f>
        <v/>
      </c>
      <c r="P142" s="189" t="str">
        <f ca="1">IFERROR(__xludf.DUMMYFUNCTION("""COMPUTED_VALUE"""),"")</f>
        <v/>
      </c>
      <c r="Q142" s="189" t="str">
        <f ca="1">IFERROR(__xludf.DUMMYFUNCTION("""COMPUTED_VALUE"""),"")</f>
        <v/>
      </c>
      <c r="R142" s="189" t="str">
        <f ca="1">IFERROR(__xludf.DUMMYFUNCTION("""COMPUTED_VALUE"""),"")</f>
        <v/>
      </c>
      <c r="S142" s="189" t="str">
        <f ca="1">IFERROR(__xludf.DUMMYFUNCTION("""COMPUTED_VALUE"""),"")</f>
        <v/>
      </c>
      <c r="T142" s="189" t="str">
        <f ca="1">IFERROR(__xludf.DUMMYFUNCTION("""COMPUTED_VALUE"""),"")</f>
        <v/>
      </c>
      <c r="U142" s="189" t="str">
        <f ca="1">IFERROR(__xludf.DUMMYFUNCTION("""COMPUTED_VALUE"""),"")</f>
        <v/>
      </c>
      <c r="V142" s="189" t="str">
        <f ca="1">IFERROR(__xludf.DUMMYFUNCTION("""COMPUTED_VALUE"""),"")</f>
        <v/>
      </c>
      <c r="W142" s="189" t="str">
        <f ca="1">IFERROR(__xludf.DUMMYFUNCTION("""COMPUTED_VALUE"""),"")</f>
        <v/>
      </c>
      <c r="X142" s="189" t="str">
        <f ca="1">IFERROR(__xludf.DUMMYFUNCTION("""COMPUTED_VALUE"""),"")</f>
        <v/>
      </c>
      <c r="Y142" s="189" t="str">
        <f ca="1">IFERROR(__xludf.DUMMYFUNCTION("""COMPUTED_VALUE"""),"")</f>
        <v/>
      </c>
      <c r="Z142" s="189"/>
    </row>
    <row r="143" spans="1:26" ht="12.75">
      <c r="A143" s="189" t="str">
        <f ca="1">IFERROR(__xludf.DUMMYFUNCTION("""COMPUTED_VALUE"""),"")</f>
        <v/>
      </c>
      <c r="B143" s="189" t="str">
        <f ca="1">IFERROR(__xludf.DUMMYFUNCTION("""COMPUTED_VALUE"""),"")</f>
        <v/>
      </c>
      <c r="C143" s="189" t="str">
        <f ca="1">IFERROR(__xludf.DUMMYFUNCTION("""COMPUTED_VALUE"""),"")</f>
        <v/>
      </c>
      <c r="D143" s="189" t="str">
        <f ca="1">IFERROR(__xludf.DUMMYFUNCTION("""COMPUTED_VALUE"""),"")</f>
        <v/>
      </c>
      <c r="E143" s="189" t="str">
        <f ca="1">IFERROR(__xludf.DUMMYFUNCTION("""COMPUTED_VALUE"""),"")</f>
        <v/>
      </c>
      <c r="F143" s="189" t="str">
        <f ca="1">IFERROR(__xludf.DUMMYFUNCTION("""COMPUTED_VALUE"""),"")</f>
        <v/>
      </c>
      <c r="G143" s="189" t="str">
        <f ca="1">IFERROR(__xludf.DUMMYFUNCTION("""COMPUTED_VALUE"""),"")</f>
        <v/>
      </c>
      <c r="H143" s="189" t="str">
        <f ca="1">IFERROR(__xludf.DUMMYFUNCTION("""COMPUTED_VALUE"""),"")</f>
        <v/>
      </c>
      <c r="I143" s="120" t="str">
        <f ca="1">IFERROR(__xludf.DUMMYFUNCTION("""COMPUTED_VALUE"""),"")</f>
        <v/>
      </c>
      <c r="J143" s="189" t="str">
        <f ca="1">IFERROR(__xludf.DUMMYFUNCTION("""COMPUTED_VALUE"""),"")</f>
        <v/>
      </c>
      <c r="K143" s="189" t="str">
        <f ca="1">IFERROR(__xludf.DUMMYFUNCTION("""COMPUTED_VALUE"""),"")</f>
        <v/>
      </c>
      <c r="L143" s="189" t="str">
        <f ca="1">IFERROR(__xludf.DUMMYFUNCTION("""COMPUTED_VALUE"""),"")</f>
        <v/>
      </c>
      <c r="M143" s="189" t="str">
        <f ca="1">IFERROR(__xludf.DUMMYFUNCTION("""COMPUTED_VALUE"""),"")</f>
        <v/>
      </c>
      <c r="N143" s="189" t="str">
        <f ca="1">IFERROR(__xludf.DUMMYFUNCTION("""COMPUTED_VALUE"""),"")</f>
        <v/>
      </c>
      <c r="O143" s="189" t="str">
        <f ca="1">IFERROR(__xludf.DUMMYFUNCTION("""COMPUTED_VALUE"""),"")</f>
        <v/>
      </c>
      <c r="P143" s="189" t="str">
        <f ca="1">IFERROR(__xludf.DUMMYFUNCTION("""COMPUTED_VALUE"""),"")</f>
        <v/>
      </c>
      <c r="Q143" s="189" t="str">
        <f ca="1">IFERROR(__xludf.DUMMYFUNCTION("""COMPUTED_VALUE"""),"")</f>
        <v/>
      </c>
      <c r="R143" s="189" t="str">
        <f ca="1">IFERROR(__xludf.DUMMYFUNCTION("""COMPUTED_VALUE"""),"")</f>
        <v/>
      </c>
      <c r="S143" s="189" t="str">
        <f ca="1">IFERROR(__xludf.DUMMYFUNCTION("""COMPUTED_VALUE"""),"")</f>
        <v/>
      </c>
      <c r="T143" s="189" t="str">
        <f ca="1">IFERROR(__xludf.DUMMYFUNCTION("""COMPUTED_VALUE"""),"")</f>
        <v/>
      </c>
      <c r="U143" s="189" t="str">
        <f ca="1">IFERROR(__xludf.DUMMYFUNCTION("""COMPUTED_VALUE"""),"")</f>
        <v/>
      </c>
      <c r="V143" s="189" t="str">
        <f ca="1">IFERROR(__xludf.DUMMYFUNCTION("""COMPUTED_VALUE"""),"")</f>
        <v/>
      </c>
      <c r="W143" s="189" t="str">
        <f ca="1">IFERROR(__xludf.DUMMYFUNCTION("""COMPUTED_VALUE"""),"")</f>
        <v/>
      </c>
      <c r="X143" s="189" t="str">
        <f ca="1">IFERROR(__xludf.DUMMYFUNCTION("""COMPUTED_VALUE"""),"")</f>
        <v/>
      </c>
      <c r="Y143" s="189" t="str">
        <f ca="1">IFERROR(__xludf.DUMMYFUNCTION("""COMPUTED_VALUE"""),"")</f>
        <v/>
      </c>
      <c r="Z143" s="189"/>
    </row>
    <row r="144" spans="1:26" ht="12.75">
      <c r="A144" s="189" t="str">
        <f ca="1">IFERROR(__xludf.DUMMYFUNCTION("""COMPUTED_VALUE"""),"")</f>
        <v/>
      </c>
      <c r="B144" s="189" t="str">
        <f ca="1">IFERROR(__xludf.DUMMYFUNCTION("""COMPUTED_VALUE"""),"")</f>
        <v/>
      </c>
      <c r="C144" s="189" t="str">
        <f ca="1">IFERROR(__xludf.DUMMYFUNCTION("""COMPUTED_VALUE"""),"")</f>
        <v/>
      </c>
      <c r="D144" s="189" t="str">
        <f ca="1">IFERROR(__xludf.DUMMYFUNCTION("""COMPUTED_VALUE"""),"")</f>
        <v/>
      </c>
      <c r="E144" s="189" t="str">
        <f ca="1">IFERROR(__xludf.DUMMYFUNCTION("""COMPUTED_VALUE"""),"")</f>
        <v/>
      </c>
      <c r="F144" s="189" t="str">
        <f ca="1">IFERROR(__xludf.DUMMYFUNCTION("""COMPUTED_VALUE"""),"")</f>
        <v/>
      </c>
      <c r="G144" s="189" t="str">
        <f ca="1">IFERROR(__xludf.DUMMYFUNCTION("""COMPUTED_VALUE"""),"")</f>
        <v/>
      </c>
      <c r="H144" s="189" t="str">
        <f ca="1">IFERROR(__xludf.DUMMYFUNCTION("""COMPUTED_VALUE"""),"")</f>
        <v/>
      </c>
      <c r="I144" s="120" t="str">
        <f ca="1">IFERROR(__xludf.DUMMYFUNCTION("""COMPUTED_VALUE"""),"")</f>
        <v/>
      </c>
      <c r="J144" s="189" t="str">
        <f ca="1">IFERROR(__xludf.DUMMYFUNCTION("""COMPUTED_VALUE"""),"")</f>
        <v/>
      </c>
      <c r="K144" s="189" t="str">
        <f ca="1">IFERROR(__xludf.DUMMYFUNCTION("""COMPUTED_VALUE"""),"")</f>
        <v/>
      </c>
      <c r="L144" s="189" t="str">
        <f ca="1">IFERROR(__xludf.DUMMYFUNCTION("""COMPUTED_VALUE"""),"")</f>
        <v/>
      </c>
      <c r="M144" s="189" t="str">
        <f ca="1">IFERROR(__xludf.DUMMYFUNCTION("""COMPUTED_VALUE"""),"")</f>
        <v/>
      </c>
      <c r="N144" s="189" t="str">
        <f ca="1">IFERROR(__xludf.DUMMYFUNCTION("""COMPUTED_VALUE"""),"")</f>
        <v/>
      </c>
      <c r="O144" s="189" t="str">
        <f ca="1">IFERROR(__xludf.DUMMYFUNCTION("""COMPUTED_VALUE"""),"")</f>
        <v/>
      </c>
      <c r="P144" s="189" t="str">
        <f ca="1">IFERROR(__xludf.DUMMYFUNCTION("""COMPUTED_VALUE"""),"")</f>
        <v/>
      </c>
      <c r="Q144" s="189" t="str">
        <f ca="1">IFERROR(__xludf.DUMMYFUNCTION("""COMPUTED_VALUE"""),"")</f>
        <v/>
      </c>
      <c r="R144" s="189" t="str">
        <f ca="1">IFERROR(__xludf.DUMMYFUNCTION("""COMPUTED_VALUE"""),"")</f>
        <v/>
      </c>
      <c r="S144" s="189" t="str">
        <f ca="1">IFERROR(__xludf.DUMMYFUNCTION("""COMPUTED_VALUE"""),"")</f>
        <v/>
      </c>
      <c r="T144" s="189" t="str">
        <f ca="1">IFERROR(__xludf.DUMMYFUNCTION("""COMPUTED_VALUE"""),"")</f>
        <v/>
      </c>
      <c r="U144" s="189" t="str">
        <f ca="1">IFERROR(__xludf.DUMMYFUNCTION("""COMPUTED_VALUE"""),"")</f>
        <v/>
      </c>
      <c r="V144" s="189" t="str">
        <f ca="1">IFERROR(__xludf.DUMMYFUNCTION("""COMPUTED_VALUE"""),"")</f>
        <v/>
      </c>
      <c r="W144" s="189" t="str">
        <f ca="1">IFERROR(__xludf.DUMMYFUNCTION("""COMPUTED_VALUE"""),"")</f>
        <v/>
      </c>
      <c r="X144" s="189" t="str">
        <f ca="1">IFERROR(__xludf.DUMMYFUNCTION("""COMPUTED_VALUE"""),"")</f>
        <v/>
      </c>
      <c r="Y144" s="189" t="str">
        <f ca="1">IFERROR(__xludf.DUMMYFUNCTION("""COMPUTED_VALUE"""),"")</f>
        <v/>
      </c>
      <c r="Z144" s="189"/>
    </row>
    <row r="145" spans="1:26" ht="12.75">
      <c r="A145" s="189" t="str">
        <f ca="1">IFERROR(__xludf.DUMMYFUNCTION("""COMPUTED_VALUE"""),"")</f>
        <v/>
      </c>
      <c r="B145" s="189" t="str">
        <f ca="1">IFERROR(__xludf.DUMMYFUNCTION("""COMPUTED_VALUE"""),"")</f>
        <v/>
      </c>
      <c r="C145" s="189" t="str">
        <f ca="1">IFERROR(__xludf.DUMMYFUNCTION("""COMPUTED_VALUE"""),"")</f>
        <v/>
      </c>
      <c r="D145" s="189" t="str">
        <f ca="1">IFERROR(__xludf.DUMMYFUNCTION("""COMPUTED_VALUE"""),"")</f>
        <v/>
      </c>
      <c r="E145" s="189" t="str">
        <f ca="1">IFERROR(__xludf.DUMMYFUNCTION("""COMPUTED_VALUE"""),"")</f>
        <v/>
      </c>
      <c r="F145" s="189" t="str">
        <f ca="1">IFERROR(__xludf.DUMMYFUNCTION("""COMPUTED_VALUE"""),"")</f>
        <v/>
      </c>
      <c r="G145" s="189" t="str">
        <f ca="1">IFERROR(__xludf.DUMMYFUNCTION("""COMPUTED_VALUE"""),"")</f>
        <v/>
      </c>
      <c r="H145" s="189" t="str">
        <f ca="1">IFERROR(__xludf.DUMMYFUNCTION("""COMPUTED_VALUE"""),"")</f>
        <v/>
      </c>
      <c r="I145" s="120" t="str">
        <f ca="1">IFERROR(__xludf.DUMMYFUNCTION("""COMPUTED_VALUE"""),"")</f>
        <v/>
      </c>
      <c r="J145" s="189" t="str">
        <f ca="1">IFERROR(__xludf.DUMMYFUNCTION("""COMPUTED_VALUE"""),"")</f>
        <v/>
      </c>
      <c r="K145" s="189" t="str">
        <f ca="1">IFERROR(__xludf.DUMMYFUNCTION("""COMPUTED_VALUE"""),"")</f>
        <v/>
      </c>
      <c r="L145" s="189" t="str">
        <f ca="1">IFERROR(__xludf.DUMMYFUNCTION("""COMPUTED_VALUE"""),"")</f>
        <v/>
      </c>
      <c r="M145" s="189" t="str">
        <f ca="1">IFERROR(__xludf.DUMMYFUNCTION("""COMPUTED_VALUE"""),"")</f>
        <v/>
      </c>
      <c r="N145" s="189" t="str">
        <f ca="1">IFERROR(__xludf.DUMMYFUNCTION("""COMPUTED_VALUE"""),"")</f>
        <v/>
      </c>
      <c r="O145" s="189" t="str">
        <f ca="1">IFERROR(__xludf.DUMMYFUNCTION("""COMPUTED_VALUE"""),"")</f>
        <v/>
      </c>
      <c r="P145" s="189" t="str">
        <f ca="1">IFERROR(__xludf.DUMMYFUNCTION("""COMPUTED_VALUE"""),"")</f>
        <v/>
      </c>
      <c r="Q145" s="189" t="str">
        <f ca="1">IFERROR(__xludf.DUMMYFUNCTION("""COMPUTED_VALUE"""),"")</f>
        <v/>
      </c>
      <c r="R145" s="189" t="str">
        <f ca="1">IFERROR(__xludf.DUMMYFUNCTION("""COMPUTED_VALUE"""),"")</f>
        <v/>
      </c>
      <c r="S145" s="189" t="str">
        <f ca="1">IFERROR(__xludf.DUMMYFUNCTION("""COMPUTED_VALUE"""),"")</f>
        <v/>
      </c>
      <c r="T145" s="189" t="str">
        <f ca="1">IFERROR(__xludf.DUMMYFUNCTION("""COMPUTED_VALUE"""),"")</f>
        <v/>
      </c>
      <c r="U145" s="189" t="str">
        <f ca="1">IFERROR(__xludf.DUMMYFUNCTION("""COMPUTED_VALUE"""),"")</f>
        <v/>
      </c>
      <c r="V145" s="189" t="str">
        <f ca="1">IFERROR(__xludf.DUMMYFUNCTION("""COMPUTED_VALUE"""),"")</f>
        <v/>
      </c>
      <c r="W145" s="189" t="str">
        <f ca="1">IFERROR(__xludf.DUMMYFUNCTION("""COMPUTED_VALUE"""),"")</f>
        <v/>
      </c>
      <c r="X145" s="189" t="str">
        <f ca="1">IFERROR(__xludf.DUMMYFUNCTION("""COMPUTED_VALUE"""),"")</f>
        <v/>
      </c>
      <c r="Y145" s="189" t="str">
        <f ca="1">IFERROR(__xludf.DUMMYFUNCTION("""COMPUTED_VALUE"""),"")</f>
        <v/>
      </c>
      <c r="Z145" s="189"/>
    </row>
    <row r="146" spans="1:26" ht="12.75">
      <c r="A146" s="189" t="str">
        <f ca="1">IFERROR(__xludf.DUMMYFUNCTION("""COMPUTED_VALUE"""),"")</f>
        <v/>
      </c>
      <c r="B146" s="189" t="str">
        <f ca="1">IFERROR(__xludf.DUMMYFUNCTION("""COMPUTED_VALUE"""),"")</f>
        <v/>
      </c>
      <c r="C146" s="189" t="str">
        <f ca="1">IFERROR(__xludf.DUMMYFUNCTION("""COMPUTED_VALUE"""),"")</f>
        <v/>
      </c>
      <c r="D146" s="189" t="str">
        <f ca="1">IFERROR(__xludf.DUMMYFUNCTION("""COMPUTED_VALUE"""),"")</f>
        <v/>
      </c>
      <c r="E146" s="189" t="str">
        <f ca="1">IFERROR(__xludf.DUMMYFUNCTION("""COMPUTED_VALUE"""),"")</f>
        <v/>
      </c>
      <c r="F146" s="189" t="str">
        <f ca="1">IFERROR(__xludf.DUMMYFUNCTION("""COMPUTED_VALUE"""),"")</f>
        <v/>
      </c>
      <c r="G146" s="189" t="str">
        <f ca="1">IFERROR(__xludf.DUMMYFUNCTION("""COMPUTED_VALUE"""),"")</f>
        <v/>
      </c>
      <c r="H146" s="189" t="str">
        <f ca="1">IFERROR(__xludf.DUMMYFUNCTION("""COMPUTED_VALUE"""),"")</f>
        <v/>
      </c>
      <c r="I146" s="120" t="str">
        <f ca="1">IFERROR(__xludf.DUMMYFUNCTION("""COMPUTED_VALUE"""),"")</f>
        <v/>
      </c>
      <c r="J146" s="189" t="str">
        <f ca="1">IFERROR(__xludf.DUMMYFUNCTION("""COMPUTED_VALUE"""),"")</f>
        <v/>
      </c>
      <c r="K146" s="189" t="str">
        <f ca="1">IFERROR(__xludf.DUMMYFUNCTION("""COMPUTED_VALUE"""),"")</f>
        <v/>
      </c>
      <c r="L146" s="189" t="str">
        <f ca="1">IFERROR(__xludf.DUMMYFUNCTION("""COMPUTED_VALUE"""),"")</f>
        <v/>
      </c>
      <c r="M146" s="189" t="str">
        <f ca="1">IFERROR(__xludf.DUMMYFUNCTION("""COMPUTED_VALUE"""),"")</f>
        <v/>
      </c>
      <c r="N146" s="189" t="str">
        <f ca="1">IFERROR(__xludf.DUMMYFUNCTION("""COMPUTED_VALUE"""),"")</f>
        <v/>
      </c>
      <c r="O146" s="189" t="str">
        <f ca="1">IFERROR(__xludf.DUMMYFUNCTION("""COMPUTED_VALUE"""),"")</f>
        <v/>
      </c>
      <c r="P146" s="189" t="str">
        <f ca="1">IFERROR(__xludf.DUMMYFUNCTION("""COMPUTED_VALUE"""),"")</f>
        <v/>
      </c>
      <c r="Q146" s="189" t="str">
        <f ca="1">IFERROR(__xludf.DUMMYFUNCTION("""COMPUTED_VALUE"""),"")</f>
        <v/>
      </c>
      <c r="R146" s="189" t="str">
        <f ca="1">IFERROR(__xludf.DUMMYFUNCTION("""COMPUTED_VALUE"""),"")</f>
        <v/>
      </c>
      <c r="S146" s="189" t="str">
        <f ca="1">IFERROR(__xludf.DUMMYFUNCTION("""COMPUTED_VALUE"""),"")</f>
        <v/>
      </c>
      <c r="T146" s="189" t="str">
        <f ca="1">IFERROR(__xludf.DUMMYFUNCTION("""COMPUTED_VALUE"""),"")</f>
        <v/>
      </c>
      <c r="U146" s="189" t="str">
        <f ca="1">IFERROR(__xludf.DUMMYFUNCTION("""COMPUTED_VALUE"""),"")</f>
        <v/>
      </c>
      <c r="V146" s="189" t="str">
        <f ca="1">IFERROR(__xludf.DUMMYFUNCTION("""COMPUTED_VALUE"""),"")</f>
        <v/>
      </c>
      <c r="W146" s="189" t="str">
        <f ca="1">IFERROR(__xludf.DUMMYFUNCTION("""COMPUTED_VALUE"""),"")</f>
        <v/>
      </c>
      <c r="X146" s="189" t="str">
        <f ca="1">IFERROR(__xludf.DUMMYFUNCTION("""COMPUTED_VALUE"""),"")</f>
        <v/>
      </c>
      <c r="Y146" s="189" t="str">
        <f ca="1">IFERROR(__xludf.DUMMYFUNCTION("""COMPUTED_VALUE"""),"")</f>
        <v/>
      </c>
      <c r="Z146" s="189"/>
    </row>
    <row r="147" spans="1:26" ht="12.75">
      <c r="A147" s="189" t="str">
        <f ca="1">IFERROR(__xludf.DUMMYFUNCTION("""COMPUTED_VALUE"""),"")</f>
        <v/>
      </c>
      <c r="B147" s="189" t="str">
        <f ca="1">IFERROR(__xludf.DUMMYFUNCTION("""COMPUTED_VALUE"""),"")</f>
        <v/>
      </c>
      <c r="C147" s="189" t="str">
        <f ca="1">IFERROR(__xludf.DUMMYFUNCTION("""COMPUTED_VALUE"""),"")</f>
        <v/>
      </c>
      <c r="D147" s="189" t="str">
        <f ca="1">IFERROR(__xludf.DUMMYFUNCTION("""COMPUTED_VALUE"""),"")</f>
        <v/>
      </c>
      <c r="E147" s="189" t="str">
        <f ca="1">IFERROR(__xludf.DUMMYFUNCTION("""COMPUTED_VALUE"""),"")</f>
        <v/>
      </c>
      <c r="F147" s="189" t="str">
        <f ca="1">IFERROR(__xludf.DUMMYFUNCTION("""COMPUTED_VALUE"""),"")</f>
        <v/>
      </c>
      <c r="G147" s="189" t="str">
        <f ca="1">IFERROR(__xludf.DUMMYFUNCTION("""COMPUTED_VALUE"""),"")</f>
        <v/>
      </c>
      <c r="H147" s="189" t="str">
        <f ca="1">IFERROR(__xludf.DUMMYFUNCTION("""COMPUTED_VALUE"""),"")</f>
        <v/>
      </c>
      <c r="I147" s="120" t="str">
        <f ca="1">IFERROR(__xludf.DUMMYFUNCTION("""COMPUTED_VALUE"""),"")</f>
        <v/>
      </c>
      <c r="J147" s="189" t="str">
        <f ca="1">IFERROR(__xludf.DUMMYFUNCTION("""COMPUTED_VALUE"""),"")</f>
        <v/>
      </c>
      <c r="K147" s="189" t="str">
        <f ca="1">IFERROR(__xludf.DUMMYFUNCTION("""COMPUTED_VALUE"""),"")</f>
        <v/>
      </c>
      <c r="L147" s="189" t="str">
        <f ca="1">IFERROR(__xludf.DUMMYFUNCTION("""COMPUTED_VALUE"""),"")</f>
        <v/>
      </c>
      <c r="M147" s="189" t="str">
        <f ca="1">IFERROR(__xludf.DUMMYFUNCTION("""COMPUTED_VALUE"""),"")</f>
        <v/>
      </c>
      <c r="N147" s="189" t="str">
        <f ca="1">IFERROR(__xludf.DUMMYFUNCTION("""COMPUTED_VALUE"""),"")</f>
        <v/>
      </c>
      <c r="O147" s="189" t="str">
        <f ca="1">IFERROR(__xludf.DUMMYFUNCTION("""COMPUTED_VALUE"""),"")</f>
        <v/>
      </c>
      <c r="P147" s="189" t="str">
        <f ca="1">IFERROR(__xludf.DUMMYFUNCTION("""COMPUTED_VALUE"""),"")</f>
        <v/>
      </c>
      <c r="Q147" s="189" t="str">
        <f ca="1">IFERROR(__xludf.DUMMYFUNCTION("""COMPUTED_VALUE"""),"")</f>
        <v/>
      </c>
      <c r="R147" s="189" t="str">
        <f ca="1">IFERROR(__xludf.DUMMYFUNCTION("""COMPUTED_VALUE"""),"")</f>
        <v/>
      </c>
      <c r="S147" s="189" t="str">
        <f ca="1">IFERROR(__xludf.DUMMYFUNCTION("""COMPUTED_VALUE"""),"")</f>
        <v/>
      </c>
      <c r="T147" s="189" t="str">
        <f ca="1">IFERROR(__xludf.DUMMYFUNCTION("""COMPUTED_VALUE"""),"")</f>
        <v/>
      </c>
      <c r="U147" s="189" t="str">
        <f ca="1">IFERROR(__xludf.DUMMYFUNCTION("""COMPUTED_VALUE"""),"")</f>
        <v/>
      </c>
      <c r="V147" s="189" t="str">
        <f ca="1">IFERROR(__xludf.DUMMYFUNCTION("""COMPUTED_VALUE"""),"")</f>
        <v/>
      </c>
      <c r="W147" s="189" t="str">
        <f ca="1">IFERROR(__xludf.DUMMYFUNCTION("""COMPUTED_VALUE"""),"")</f>
        <v/>
      </c>
      <c r="X147" s="189" t="str">
        <f ca="1">IFERROR(__xludf.DUMMYFUNCTION("""COMPUTED_VALUE"""),"")</f>
        <v/>
      </c>
      <c r="Y147" s="189" t="str">
        <f ca="1">IFERROR(__xludf.DUMMYFUNCTION("""COMPUTED_VALUE"""),"")</f>
        <v/>
      </c>
      <c r="Z147" s="189"/>
    </row>
    <row r="148" spans="1:26" ht="12.75">
      <c r="A148" s="189" t="str">
        <f ca="1">IFERROR(__xludf.DUMMYFUNCTION("""COMPUTED_VALUE"""),"")</f>
        <v/>
      </c>
      <c r="B148" s="189" t="str">
        <f ca="1">IFERROR(__xludf.DUMMYFUNCTION("""COMPUTED_VALUE"""),"")</f>
        <v/>
      </c>
      <c r="C148" s="189" t="str">
        <f ca="1">IFERROR(__xludf.DUMMYFUNCTION("""COMPUTED_VALUE"""),"")</f>
        <v/>
      </c>
      <c r="D148" s="189" t="str">
        <f ca="1">IFERROR(__xludf.DUMMYFUNCTION("""COMPUTED_VALUE"""),"")</f>
        <v/>
      </c>
      <c r="E148" s="189" t="str">
        <f ca="1">IFERROR(__xludf.DUMMYFUNCTION("""COMPUTED_VALUE"""),"")</f>
        <v/>
      </c>
      <c r="F148" s="189" t="str">
        <f ca="1">IFERROR(__xludf.DUMMYFUNCTION("""COMPUTED_VALUE"""),"")</f>
        <v/>
      </c>
      <c r="G148" s="189" t="str">
        <f ca="1">IFERROR(__xludf.DUMMYFUNCTION("""COMPUTED_VALUE"""),"")</f>
        <v/>
      </c>
      <c r="H148" s="189" t="str">
        <f ca="1">IFERROR(__xludf.DUMMYFUNCTION("""COMPUTED_VALUE"""),"")</f>
        <v/>
      </c>
      <c r="I148" s="120" t="str">
        <f ca="1">IFERROR(__xludf.DUMMYFUNCTION("""COMPUTED_VALUE"""),"")</f>
        <v/>
      </c>
      <c r="J148" s="189" t="str">
        <f ca="1">IFERROR(__xludf.DUMMYFUNCTION("""COMPUTED_VALUE"""),"")</f>
        <v/>
      </c>
      <c r="K148" s="189" t="str">
        <f ca="1">IFERROR(__xludf.DUMMYFUNCTION("""COMPUTED_VALUE"""),"")</f>
        <v/>
      </c>
      <c r="L148" s="189" t="str">
        <f ca="1">IFERROR(__xludf.DUMMYFUNCTION("""COMPUTED_VALUE"""),"")</f>
        <v/>
      </c>
      <c r="M148" s="189" t="str">
        <f ca="1">IFERROR(__xludf.DUMMYFUNCTION("""COMPUTED_VALUE"""),"")</f>
        <v/>
      </c>
      <c r="N148" s="189" t="str">
        <f ca="1">IFERROR(__xludf.DUMMYFUNCTION("""COMPUTED_VALUE"""),"")</f>
        <v/>
      </c>
      <c r="O148" s="189" t="str">
        <f ca="1">IFERROR(__xludf.DUMMYFUNCTION("""COMPUTED_VALUE"""),"")</f>
        <v/>
      </c>
      <c r="P148" s="189" t="str">
        <f ca="1">IFERROR(__xludf.DUMMYFUNCTION("""COMPUTED_VALUE"""),"")</f>
        <v/>
      </c>
      <c r="Q148" s="189" t="str">
        <f ca="1">IFERROR(__xludf.DUMMYFUNCTION("""COMPUTED_VALUE"""),"")</f>
        <v/>
      </c>
      <c r="R148" s="189" t="str">
        <f ca="1">IFERROR(__xludf.DUMMYFUNCTION("""COMPUTED_VALUE"""),"")</f>
        <v/>
      </c>
      <c r="S148" s="189" t="str">
        <f ca="1">IFERROR(__xludf.DUMMYFUNCTION("""COMPUTED_VALUE"""),"")</f>
        <v/>
      </c>
      <c r="T148" s="189" t="str">
        <f ca="1">IFERROR(__xludf.DUMMYFUNCTION("""COMPUTED_VALUE"""),"")</f>
        <v/>
      </c>
      <c r="U148" s="189" t="str">
        <f ca="1">IFERROR(__xludf.DUMMYFUNCTION("""COMPUTED_VALUE"""),"")</f>
        <v/>
      </c>
      <c r="V148" s="189" t="str">
        <f ca="1">IFERROR(__xludf.DUMMYFUNCTION("""COMPUTED_VALUE"""),"")</f>
        <v/>
      </c>
      <c r="W148" s="189" t="str">
        <f ca="1">IFERROR(__xludf.DUMMYFUNCTION("""COMPUTED_VALUE"""),"")</f>
        <v/>
      </c>
      <c r="X148" s="189" t="str">
        <f ca="1">IFERROR(__xludf.DUMMYFUNCTION("""COMPUTED_VALUE"""),"")</f>
        <v/>
      </c>
      <c r="Y148" s="189" t="str">
        <f ca="1">IFERROR(__xludf.DUMMYFUNCTION("""COMPUTED_VALUE"""),"")</f>
        <v/>
      </c>
      <c r="Z148" s="189"/>
    </row>
    <row r="149" spans="1:26" ht="12.75">
      <c r="A149" s="189" t="str">
        <f ca="1">IFERROR(__xludf.DUMMYFUNCTION("""COMPUTED_VALUE"""),"")</f>
        <v/>
      </c>
      <c r="B149" s="189" t="str">
        <f ca="1">IFERROR(__xludf.DUMMYFUNCTION("""COMPUTED_VALUE"""),"")</f>
        <v/>
      </c>
      <c r="C149" s="189" t="str">
        <f ca="1">IFERROR(__xludf.DUMMYFUNCTION("""COMPUTED_VALUE"""),"")</f>
        <v/>
      </c>
      <c r="D149" s="189" t="str">
        <f ca="1">IFERROR(__xludf.DUMMYFUNCTION("""COMPUTED_VALUE"""),"")</f>
        <v/>
      </c>
      <c r="E149" s="189" t="str">
        <f ca="1">IFERROR(__xludf.DUMMYFUNCTION("""COMPUTED_VALUE"""),"")</f>
        <v/>
      </c>
      <c r="F149" s="189" t="str">
        <f ca="1">IFERROR(__xludf.DUMMYFUNCTION("""COMPUTED_VALUE"""),"")</f>
        <v/>
      </c>
      <c r="G149" s="189" t="str">
        <f ca="1">IFERROR(__xludf.DUMMYFUNCTION("""COMPUTED_VALUE"""),"")</f>
        <v/>
      </c>
      <c r="H149" s="189" t="str">
        <f ca="1">IFERROR(__xludf.DUMMYFUNCTION("""COMPUTED_VALUE"""),"")</f>
        <v/>
      </c>
      <c r="I149" s="120" t="str">
        <f ca="1">IFERROR(__xludf.DUMMYFUNCTION("""COMPUTED_VALUE"""),"")</f>
        <v/>
      </c>
      <c r="J149" s="189" t="str">
        <f ca="1">IFERROR(__xludf.DUMMYFUNCTION("""COMPUTED_VALUE"""),"")</f>
        <v/>
      </c>
      <c r="K149" s="189" t="str">
        <f ca="1">IFERROR(__xludf.DUMMYFUNCTION("""COMPUTED_VALUE"""),"")</f>
        <v/>
      </c>
      <c r="L149" s="189" t="str">
        <f ca="1">IFERROR(__xludf.DUMMYFUNCTION("""COMPUTED_VALUE"""),"")</f>
        <v/>
      </c>
      <c r="M149" s="189" t="str">
        <f ca="1">IFERROR(__xludf.DUMMYFUNCTION("""COMPUTED_VALUE"""),"")</f>
        <v/>
      </c>
      <c r="N149" s="189" t="str">
        <f ca="1">IFERROR(__xludf.DUMMYFUNCTION("""COMPUTED_VALUE"""),"")</f>
        <v/>
      </c>
      <c r="O149" s="189" t="str">
        <f ca="1">IFERROR(__xludf.DUMMYFUNCTION("""COMPUTED_VALUE"""),"")</f>
        <v/>
      </c>
      <c r="P149" s="189" t="str">
        <f ca="1">IFERROR(__xludf.DUMMYFUNCTION("""COMPUTED_VALUE"""),"")</f>
        <v/>
      </c>
      <c r="Q149" s="189" t="str">
        <f ca="1">IFERROR(__xludf.DUMMYFUNCTION("""COMPUTED_VALUE"""),"")</f>
        <v/>
      </c>
      <c r="R149" s="189" t="str">
        <f ca="1">IFERROR(__xludf.DUMMYFUNCTION("""COMPUTED_VALUE"""),"")</f>
        <v/>
      </c>
      <c r="S149" s="189" t="str">
        <f ca="1">IFERROR(__xludf.DUMMYFUNCTION("""COMPUTED_VALUE"""),"")</f>
        <v/>
      </c>
      <c r="T149" s="189" t="str">
        <f ca="1">IFERROR(__xludf.DUMMYFUNCTION("""COMPUTED_VALUE"""),"")</f>
        <v/>
      </c>
      <c r="U149" s="189" t="str">
        <f ca="1">IFERROR(__xludf.DUMMYFUNCTION("""COMPUTED_VALUE"""),"")</f>
        <v/>
      </c>
      <c r="V149" s="189" t="str">
        <f ca="1">IFERROR(__xludf.DUMMYFUNCTION("""COMPUTED_VALUE"""),"")</f>
        <v/>
      </c>
      <c r="W149" s="189" t="str">
        <f ca="1">IFERROR(__xludf.DUMMYFUNCTION("""COMPUTED_VALUE"""),"")</f>
        <v/>
      </c>
      <c r="X149" s="189" t="str">
        <f ca="1">IFERROR(__xludf.DUMMYFUNCTION("""COMPUTED_VALUE"""),"")</f>
        <v/>
      </c>
      <c r="Y149" s="189" t="str">
        <f ca="1">IFERROR(__xludf.DUMMYFUNCTION("""COMPUTED_VALUE"""),"")</f>
        <v/>
      </c>
      <c r="Z149" s="189"/>
    </row>
    <row r="150" spans="1:26" ht="12.75">
      <c r="A150" s="189" t="str">
        <f ca="1">IFERROR(__xludf.DUMMYFUNCTION("""COMPUTED_VALUE"""),"")</f>
        <v/>
      </c>
      <c r="B150" s="189" t="str">
        <f ca="1">IFERROR(__xludf.DUMMYFUNCTION("""COMPUTED_VALUE"""),"")</f>
        <v/>
      </c>
      <c r="C150" s="189" t="str">
        <f ca="1">IFERROR(__xludf.DUMMYFUNCTION("""COMPUTED_VALUE"""),"")</f>
        <v/>
      </c>
      <c r="D150" s="189" t="str">
        <f ca="1">IFERROR(__xludf.DUMMYFUNCTION("""COMPUTED_VALUE"""),"")</f>
        <v/>
      </c>
      <c r="E150" s="189" t="str">
        <f ca="1">IFERROR(__xludf.DUMMYFUNCTION("""COMPUTED_VALUE"""),"")</f>
        <v/>
      </c>
      <c r="F150" s="189" t="str">
        <f ca="1">IFERROR(__xludf.DUMMYFUNCTION("""COMPUTED_VALUE"""),"")</f>
        <v/>
      </c>
      <c r="G150" s="189" t="str">
        <f ca="1">IFERROR(__xludf.DUMMYFUNCTION("""COMPUTED_VALUE"""),"")</f>
        <v/>
      </c>
      <c r="H150" s="189" t="str">
        <f ca="1">IFERROR(__xludf.DUMMYFUNCTION("""COMPUTED_VALUE"""),"")</f>
        <v/>
      </c>
      <c r="I150" s="120" t="str">
        <f ca="1">IFERROR(__xludf.DUMMYFUNCTION("""COMPUTED_VALUE"""),"")</f>
        <v/>
      </c>
      <c r="J150" s="189" t="str">
        <f ca="1">IFERROR(__xludf.DUMMYFUNCTION("""COMPUTED_VALUE"""),"")</f>
        <v/>
      </c>
      <c r="K150" s="189" t="str">
        <f ca="1">IFERROR(__xludf.DUMMYFUNCTION("""COMPUTED_VALUE"""),"")</f>
        <v/>
      </c>
      <c r="L150" s="189" t="str">
        <f ca="1">IFERROR(__xludf.DUMMYFUNCTION("""COMPUTED_VALUE"""),"")</f>
        <v/>
      </c>
      <c r="M150" s="189" t="str">
        <f ca="1">IFERROR(__xludf.DUMMYFUNCTION("""COMPUTED_VALUE"""),"")</f>
        <v/>
      </c>
      <c r="N150" s="189" t="str">
        <f ca="1">IFERROR(__xludf.DUMMYFUNCTION("""COMPUTED_VALUE"""),"")</f>
        <v/>
      </c>
      <c r="O150" s="189" t="str">
        <f ca="1">IFERROR(__xludf.DUMMYFUNCTION("""COMPUTED_VALUE"""),"")</f>
        <v/>
      </c>
      <c r="P150" s="189" t="str">
        <f ca="1">IFERROR(__xludf.DUMMYFUNCTION("""COMPUTED_VALUE"""),"")</f>
        <v/>
      </c>
      <c r="Q150" s="189" t="str">
        <f ca="1">IFERROR(__xludf.DUMMYFUNCTION("""COMPUTED_VALUE"""),"")</f>
        <v/>
      </c>
      <c r="R150" s="189" t="str">
        <f ca="1">IFERROR(__xludf.DUMMYFUNCTION("""COMPUTED_VALUE"""),"")</f>
        <v/>
      </c>
      <c r="S150" s="189" t="str">
        <f ca="1">IFERROR(__xludf.DUMMYFUNCTION("""COMPUTED_VALUE"""),"")</f>
        <v/>
      </c>
      <c r="T150" s="189" t="str">
        <f ca="1">IFERROR(__xludf.DUMMYFUNCTION("""COMPUTED_VALUE"""),"")</f>
        <v/>
      </c>
      <c r="U150" s="189" t="str">
        <f ca="1">IFERROR(__xludf.DUMMYFUNCTION("""COMPUTED_VALUE"""),"")</f>
        <v/>
      </c>
      <c r="V150" s="189" t="str">
        <f ca="1">IFERROR(__xludf.DUMMYFUNCTION("""COMPUTED_VALUE"""),"")</f>
        <v/>
      </c>
      <c r="W150" s="189" t="str">
        <f ca="1">IFERROR(__xludf.DUMMYFUNCTION("""COMPUTED_VALUE"""),"")</f>
        <v/>
      </c>
      <c r="X150" s="189" t="str">
        <f ca="1">IFERROR(__xludf.DUMMYFUNCTION("""COMPUTED_VALUE"""),"")</f>
        <v/>
      </c>
      <c r="Y150" s="189" t="str">
        <f ca="1">IFERROR(__xludf.DUMMYFUNCTION("""COMPUTED_VALUE"""),"")</f>
        <v/>
      </c>
      <c r="Z150" s="189"/>
    </row>
    <row r="151" spans="1:26" ht="12.75">
      <c r="A151" s="189" t="str">
        <f ca="1">IFERROR(__xludf.DUMMYFUNCTION("""COMPUTED_VALUE"""),"")</f>
        <v/>
      </c>
      <c r="B151" s="189" t="str">
        <f ca="1">IFERROR(__xludf.DUMMYFUNCTION("""COMPUTED_VALUE"""),"")</f>
        <v/>
      </c>
      <c r="C151" s="189" t="str">
        <f ca="1">IFERROR(__xludf.DUMMYFUNCTION("""COMPUTED_VALUE"""),"")</f>
        <v/>
      </c>
      <c r="D151" s="189" t="str">
        <f ca="1">IFERROR(__xludf.DUMMYFUNCTION("""COMPUTED_VALUE"""),"")</f>
        <v/>
      </c>
      <c r="E151" s="189" t="str">
        <f ca="1">IFERROR(__xludf.DUMMYFUNCTION("""COMPUTED_VALUE"""),"")</f>
        <v/>
      </c>
      <c r="F151" s="189" t="str">
        <f ca="1">IFERROR(__xludf.DUMMYFUNCTION("""COMPUTED_VALUE"""),"")</f>
        <v/>
      </c>
      <c r="G151" s="189" t="str">
        <f ca="1">IFERROR(__xludf.DUMMYFUNCTION("""COMPUTED_VALUE"""),"")</f>
        <v/>
      </c>
      <c r="H151" s="189" t="str">
        <f ca="1">IFERROR(__xludf.DUMMYFUNCTION("""COMPUTED_VALUE"""),"")</f>
        <v/>
      </c>
      <c r="I151" s="120" t="str">
        <f ca="1">IFERROR(__xludf.DUMMYFUNCTION("""COMPUTED_VALUE"""),"")</f>
        <v/>
      </c>
      <c r="J151" s="189" t="str">
        <f ca="1">IFERROR(__xludf.DUMMYFUNCTION("""COMPUTED_VALUE"""),"")</f>
        <v/>
      </c>
      <c r="K151" s="189" t="str">
        <f ca="1">IFERROR(__xludf.DUMMYFUNCTION("""COMPUTED_VALUE"""),"")</f>
        <v/>
      </c>
      <c r="L151" s="189" t="str">
        <f ca="1">IFERROR(__xludf.DUMMYFUNCTION("""COMPUTED_VALUE"""),"")</f>
        <v/>
      </c>
      <c r="M151" s="189" t="str">
        <f ca="1">IFERROR(__xludf.DUMMYFUNCTION("""COMPUTED_VALUE"""),"")</f>
        <v/>
      </c>
      <c r="N151" s="189" t="str">
        <f ca="1">IFERROR(__xludf.DUMMYFUNCTION("""COMPUTED_VALUE"""),"")</f>
        <v/>
      </c>
      <c r="O151" s="189" t="str">
        <f ca="1">IFERROR(__xludf.DUMMYFUNCTION("""COMPUTED_VALUE"""),"")</f>
        <v/>
      </c>
      <c r="P151" s="189" t="str">
        <f ca="1">IFERROR(__xludf.DUMMYFUNCTION("""COMPUTED_VALUE"""),"")</f>
        <v/>
      </c>
      <c r="Q151" s="189" t="str">
        <f ca="1">IFERROR(__xludf.DUMMYFUNCTION("""COMPUTED_VALUE"""),"")</f>
        <v/>
      </c>
      <c r="R151" s="189" t="str">
        <f ca="1">IFERROR(__xludf.DUMMYFUNCTION("""COMPUTED_VALUE"""),"")</f>
        <v/>
      </c>
      <c r="S151" s="189" t="str">
        <f ca="1">IFERROR(__xludf.DUMMYFUNCTION("""COMPUTED_VALUE"""),"")</f>
        <v/>
      </c>
      <c r="T151" s="189" t="str">
        <f ca="1">IFERROR(__xludf.DUMMYFUNCTION("""COMPUTED_VALUE"""),"")</f>
        <v/>
      </c>
      <c r="U151" s="189" t="str">
        <f ca="1">IFERROR(__xludf.DUMMYFUNCTION("""COMPUTED_VALUE"""),"")</f>
        <v/>
      </c>
      <c r="V151" s="189" t="str">
        <f ca="1">IFERROR(__xludf.DUMMYFUNCTION("""COMPUTED_VALUE"""),"")</f>
        <v/>
      </c>
      <c r="W151" s="189" t="str">
        <f ca="1">IFERROR(__xludf.DUMMYFUNCTION("""COMPUTED_VALUE"""),"")</f>
        <v/>
      </c>
      <c r="X151" s="189" t="str">
        <f ca="1">IFERROR(__xludf.DUMMYFUNCTION("""COMPUTED_VALUE"""),"")</f>
        <v/>
      </c>
      <c r="Y151" s="189" t="str">
        <f ca="1">IFERROR(__xludf.DUMMYFUNCTION("""COMPUTED_VALUE"""),"")</f>
        <v/>
      </c>
      <c r="Z151" s="189"/>
    </row>
    <row r="152" spans="1:26" ht="12.75">
      <c r="A152" s="189" t="str">
        <f ca="1">IFERROR(__xludf.DUMMYFUNCTION("""COMPUTED_VALUE"""),"")</f>
        <v/>
      </c>
      <c r="B152" s="189" t="str">
        <f ca="1">IFERROR(__xludf.DUMMYFUNCTION("""COMPUTED_VALUE"""),"")</f>
        <v/>
      </c>
      <c r="C152" s="189" t="str">
        <f ca="1">IFERROR(__xludf.DUMMYFUNCTION("""COMPUTED_VALUE"""),"")</f>
        <v/>
      </c>
      <c r="D152" s="189" t="str">
        <f ca="1">IFERROR(__xludf.DUMMYFUNCTION("""COMPUTED_VALUE"""),"")</f>
        <v/>
      </c>
      <c r="E152" s="189" t="str">
        <f ca="1">IFERROR(__xludf.DUMMYFUNCTION("""COMPUTED_VALUE"""),"")</f>
        <v/>
      </c>
      <c r="F152" s="189" t="str">
        <f ca="1">IFERROR(__xludf.DUMMYFUNCTION("""COMPUTED_VALUE"""),"")</f>
        <v/>
      </c>
      <c r="G152" s="189" t="str">
        <f ca="1">IFERROR(__xludf.DUMMYFUNCTION("""COMPUTED_VALUE"""),"")</f>
        <v/>
      </c>
      <c r="H152" s="189" t="str">
        <f ca="1">IFERROR(__xludf.DUMMYFUNCTION("""COMPUTED_VALUE"""),"")</f>
        <v/>
      </c>
      <c r="I152" s="120" t="str">
        <f ca="1">IFERROR(__xludf.DUMMYFUNCTION("""COMPUTED_VALUE"""),"")</f>
        <v/>
      </c>
      <c r="J152" s="189" t="str">
        <f ca="1">IFERROR(__xludf.DUMMYFUNCTION("""COMPUTED_VALUE"""),"")</f>
        <v/>
      </c>
      <c r="K152" s="189" t="str">
        <f ca="1">IFERROR(__xludf.DUMMYFUNCTION("""COMPUTED_VALUE"""),"")</f>
        <v/>
      </c>
      <c r="L152" s="189" t="str">
        <f ca="1">IFERROR(__xludf.DUMMYFUNCTION("""COMPUTED_VALUE"""),"")</f>
        <v/>
      </c>
      <c r="M152" s="189" t="str">
        <f ca="1">IFERROR(__xludf.DUMMYFUNCTION("""COMPUTED_VALUE"""),"")</f>
        <v/>
      </c>
      <c r="N152" s="189" t="str">
        <f ca="1">IFERROR(__xludf.DUMMYFUNCTION("""COMPUTED_VALUE"""),"")</f>
        <v/>
      </c>
      <c r="O152" s="189" t="str">
        <f ca="1">IFERROR(__xludf.DUMMYFUNCTION("""COMPUTED_VALUE"""),"")</f>
        <v/>
      </c>
      <c r="P152" s="189" t="str">
        <f ca="1">IFERROR(__xludf.DUMMYFUNCTION("""COMPUTED_VALUE"""),"")</f>
        <v/>
      </c>
      <c r="Q152" s="189" t="str">
        <f ca="1">IFERROR(__xludf.DUMMYFUNCTION("""COMPUTED_VALUE"""),"")</f>
        <v/>
      </c>
      <c r="R152" s="189" t="str">
        <f ca="1">IFERROR(__xludf.DUMMYFUNCTION("""COMPUTED_VALUE"""),"")</f>
        <v/>
      </c>
      <c r="S152" s="189" t="str">
        <f ca="1">IFERROR(__xludf.DUMMYFUNCTION("""COMPUTED_VALUE"""),"")</f>
        <v/>
      </c>
      <c r="T152" s="189" t="str">
        <f ca="1">IFERROR(__xludf.DUMMYFUNCTION("""COMPUTED_VALUE"""),"")</f>
        <v/>
      </c>
      <c r="U152" s="189" t="str">
        <f ca="1">IFERROR(__xludf.DUMMYFUNCTION("""COMPUTED_VALUE"""),"")</f>
        <v/>
      </c>
      <c r="V152" s="189" t="str">
        <f ca="1">IFERROR(__xludf.DUMMYFUNCTION("""COMPUTED_VALUE"""),"")</f>
        <v/>
      </c>
      <c r="W152" s="189" t="str">
        <f ca="1">IFERROR(__xludf.DUMMYFUNCTION("""COMPUTED_VALUE"""),"")</f>
        <v/>
      </c>
      <c r="X152" s="189" t="str">
        <f ca="1">IFERROR(__xludf.DUMMYFUNCTION("""COMPUTED_VALUE"""),"")</f>
        <v/>
      </c>
      <c r="Y152" s="189" t="str">
        <f ca="1">IFERROR(__xludf.DUMMYFUNCTION("""COMPUTED_VALUE"""),"")</f>
        <v/>
      </c>
      <c r="Z152" s="189"/>
    </row>
    <row r="153" spans="1:26" ht="12.75">
      <c r="A153" s="189" t="str">
        <f ca="1">IFERROR(__xludf.DUMMYFUNCTION("""COMPUTED_VALUE"""),"")</f>
        <v/>
      </c>
      <c r="B153" s="189" t="str">
        <f ca="1">IFERROR(__xludf.DUMMYFUNCTION("""COMPUTED_VALUE"""),"")</f>
        <v/>
      </c>
      <c r="C153" s="189" t="str">
        <f ca="1">IFERROR(__xludf.DUMMYFUNCTION("""COMPUTED_VALUE"""),"")</f>
        <v/>
      </c>
      <c r="D153" s="189" t="str">
        <f ca="1">IFERROR(__xludf.DUMMYFUNCTION("""COMPUTED_VALUE"""),"")</f>
        <v/>
      </c>
      <c r="E153" s="189" t="str">
        <f ca="1">IFERROR(__xludf.DUMMYFUNCTION("""COMPUTED_VALUE"""),"")</f>
        <v/>
      </c>
      <c r="F153" s="189" t="str">
        <f ca="1">IFERROR(__xludf.DUMMYFUNCTION("""COMPUTED_VALUE"""),"")</f>
        <v/>
      </c>
      <c r="G153" s="189" t="str">
        <f ca="1">IFERROR(__xludf.DUMMYFUNCTION("""COMPUTED_VALUE"""),"")</f>
        <v/>
      </c>
      <c r="H153" s="189" t="str">
        <f ca="1">IFERROR(__xludf.DUMMYFUNCTION("""COMPUTED_VALUE"""),"")</f>
        <v/>
      </c>
      <c r="I153" s="120" t="str">
        <f ca="1">IFERROR(__xludf.DUMMYFUNCTION("""COMPUTED_VALUE"""),"")</f>
        <v/>
      </c>
      <c r="J153" s="189" t="str">
        <f ca="1">IFERROR(__xludf.DUMMYFUNCTION("""COMPUTED_VALUE"""),"")</f>
        <v/>
      </c>
      <c r="K153" s="189" t="str">
        <f ca="1">IFERROR(__xludf.DUMMYFUNCTION("""COMPUTED_VALUE"""),"")</f>
        <v/>
      </c>
      <c r="L153" s="189" t="str">
        <f ca="1">IFERROR(__xludf.DUMMYFUNCTION("""COMPUTED_VALUE"""),"")</f>
        <v/>
      </c>
      <c r="M153" s="189" t="str">
        <f ca="1">IFERROR(__xludf.DUMMYFUNCTION("""COMPUTED_VALUE"""),"")</f>
        <v/>
      </c>
      <c r="N153" s="189" t="str">
        <f ca="1">IFERROR(__xludf.DUMMYFUNCTION("""COMPUTED_VALUE"""),"")</f>
        <v/>
      </c>
      <c r="O153" s="189" t="str">
        <f ca="1">IFERROR(__xludf.DUMMYFUNCTION("""COMPUTED_VALUE"""),"")</f>
        <v/>
      </c>
      <c r="P153" s="189" t="str">
        <f ca="1">IFERROR(__xludf.DUMMYFUNCTION("""COMPUTED_VALUE"""),"")</f>
        <v/>
      </c>
      <c r="Q153" s="189" t="str">
        <f ca="1">IFERROR(__xludf.DUMMYFUNCTION("""COMPUTED_VALUE"""),"")</f>
        <v/>
      </c>
      <c r="R153" s="189" t="str">
        <f ca="1">IFERROR(__xludf.DUMMYFUNCTION("""COMPUTED_VALUE"""),"")</f>
        <v/>
      </c>
      <c r="S153" s="189" t="str">
        <f ca="1">IFERROR(__xludf.DUMMYFUNCTION("""COMPUTED_VALUE"""),"")</f>
        <v/>
      </c>
      <c r="T153" s="189" t="str">
        <f ca="1">IFERROR(__xludf.DUMMYFUNCTION("""COMPUTED_VALUE"""),"")</f>
        <v/>
      </c>
      <c r="U153" s="189" t="str">
        <f ca="1">IFERROR(__xludf.DUMMYFUNCTION("""COMPUTED_VALUE"""),"")</f>
        <v/>
      </c>
      <c r="V153" s="189" t="str">
        <f ca="1">IFERROR(__xludf.DUMMYFUNCTION("""COMPUTED_VALUE"""),"")</f>
        <v/>
      </c>
      <c r="W153" s="189" t="str">
        <f ca="1">IFERROR(__xludf.DUMMYFUNCTION("""COMPUTED_VALUE"""),"")</f>
        <v/>
      </c>
      <c r="X153" s="189" t="str">
        <f ca="1">IFERROR(__xludf.DUMMYFUNCTION("""COMPUTED_VALUE"""),"")</f>
        <v/>
      </c>
      <c r="Y153" s="189" t="str">
        <f ca="1">IFERROR(__xludf.DUMMYFUNCTION("""COMPUTED_VALUE"""),"")</f>
        <v/>
      </c>
      <c r="Z153" s="189"/>
    </row>
    <row r="154" spans="1:26" ht="12.75">
      <c r="A154" s="189" t="str">
        <f ca="1">IFERROR(__xludf.DUMMYFUNCTION("""COMPUTED_VALUE"""),"")</f>
        <v/>
      </c>
      <c r="B154" s="189" t="str">
        <f ca="1">IFERROR(__xludf.DUMMYFUNCTION("""COMPUTED_VALUE"""),"")</f>
        <v/>
      </c>
      <c r="C154" s="189" t="str">
        <f ca="1">IFERROR(__xludf.DUMMYFUNCTION("""COMPUTED_VALUE"""),"")</f>
        <v/>
      </c>
      <c r="D154" s="189" t="str">
        <f ca="1">IFERROR(__xludf.DUMMYFUNCTION("""COMPUTED_VALUE"""),"")</f>
        <v/>
      </c>
      <c r="E154" s="189" t="str">
        <f ca="1">IFERROR(__xludf.DUMMYFUNCTION("""COMPUTED_VALUE"""),"")</f>
        <v/>
      </c>
      <c r="F154" s="189" t="str">
        <f ca="1">IFERROR(__xludf.DUMMYFUNCTION("""COMPUTED_VALUE"""),"")</f>
        <v/>
      </c>
      <c r="G154" s="189" t="str">
        <f ca="1">IFERROR(__xludf.DUMMYFUNCTION("""COMPUTED_VALUE"""),"")</f>
        <v/>
      </c>
      <c r="H154" s="189" t="str">
        <f ca="1">IFERROR(__xludf.DUMMYFUNCTION("""COMPUTED_VALUE"""),"")</f>
        <v/>
      </c>
      <c r="I154" s="120" t="str">
        <f ca="1">IFERROR(__xludf.DUMMYFUNCTION("""COMPUTED_VALUE"""),"")</f>
        <v/>
      </c>
      <c r="J154" s="189" t="str">
        <f ca="1">IFERROR(__xludf.DUMMYFUNCTION("""COMPUTED_VALUE"""),"")</f>
        <v/>
      </c>
      <c r="K154" s="189" t="str">
        <f ca="1">IFERROR(__xludf.DUMMYFUNCTION("""COMPUTED_VALUE"""),"")</f>
        <v/>
      </c>
      <c r="L154" s="189" t="str">
        <f ca="1">IFERROR(__xludf.DUMMYFUNCTION("""COMPUTED_VALUE"""),"")</f>
        <v/>
      </c>
      <c r="M154" s="189" t="str">
        <f ca="1">IFERROR(__xludf.DUMMYFUNCTION("""COMPUTED_VALUE"""),"")</f>
        <v/>
      </c>
      <c r="N154" s="189" t="str">
        <f ca="1">IFERROR(__xludf.DUMMYFUNCTION("""COMPUTED_VALUE"""),"")</f>
        <v/>
      </c>
      <c r="O154" s="189" t="str">
        <f ca="1">IFERROR(__xludf.DUMMYFUNCTION("""COMPUTED_VALUE"""),"")</f>
        <v/>
      </c>
      <c r="P154" s="189" t="str">
        <f ca="1">IFERROR(__xludf.DUMMYFUNCTION("""COMPUTED_VALUE"""),"")</f>
        <v/>
      </c>
      <c r="Q154" s="189" t="str">
        <f ca="1">IFERROR(__xludf.DUMMYFUNCTION("""COMPUTED_VALUE"""),"")</f>
        <v/>
      </c>
      <c r="R154" s="189" t="str">
        <f ca="1">IFERROR(__xludf.DUMMYFUNCTION("""COMPUTED_VALUE"""),"")</f>
        <v/>
      </c>
      <c r="S154" s="189" t="str">
        <f ca="1">IFERROR(__xludf.DUMMYFUNCTION("""COMPUTED_VALUE"""),"")</f>
        <v/>
      </c>
      <c r="T154" s="189" t="str">
        <f ca="1">IFERROR(__xludf.DUMMYFUNCTION("""COMPUTED_VALUE"""),"")</f>
        <v/>
      </c>
      <c r="U154" s="189" t="str">
        <f ca="1">IFERROR(__xludf.DUMMYFUNCTION("""COMPUTED_VALUE"""),"")</f>
        <v/>
      </c>
      <c r="V154" s="189" t="str">
        <f ca="1">IFERROR(__xludf.DUMMYFUNCTION("""COMPUTED_VALUE"""),"")</f>
        <v/>
      </c>
      <c r="W154" s="189" t="str">
        <f ca="1">IFERROR(__xludf.DUMMYFUNCTION("""COMPUTED_VALUE"""),"")</f>
        <v/>
      </c>
      <c r="X154" s="189" t="str">
        <f ca="1">IFERROR(__xludf.DUMMYFUNCTION("""COMPUTED_VALUE"""),"")</f>
        <v/>
      </c>
      <c r="Y154" s="189" t="str">
        <f ca="1">IFERROR(__xludf.DUMMYFUNCTION("""COMPUTED_VALUE"""),"")</f>
        <v/>
      </c>
      <c r="Z154" s="189"/>
    </row>
    <row r="155" spans="1:26" ht="12.75">
      <c r="A155" s="189" t="str">
        <f ca="1">IFERROR(__xludf.DUMMYFUNCTION("""COMPUTED_VALUE"""),"")</f>
        <v/>
      </c>
      <c r="B155" s="189" t="str">
        <f ca="1">IFERROR(__xludf.DUMMYFUNCTION("""COMPUTED_VALUE"""),"")</f>
        <v/>
      </c>
      <c r="C155" s="189" t="str">
        <f ca="1">IFERROR(__xludf.DUMMYFUNCTION("""COMPUTED_VALUE"""),"")</f>
        <v/>
      </c>
      <c r="D155" s="189" t="str">
        <f ca="1">IFERROR(__xludf.DUMMYFUNCTION("""COMPUTED_VALUE"""),"")</f>
        <v/>
      </c>
      <c r="E155" s="189" t="str">
        <f ca="1">IFERROR(__xludf.DUMMYFUNCTION("""COMPUTED_VALUE"""),"")</f>
        <v/>
      </c>
      <c r="F155" s="189" t="str">
        <f ca="1">IFERROR(__xludf.DUMMYFUNCTION("""COMPUTED_VALUE"""),"")</f>
        <v/>
      </c>
      <c r="G155" s="189" t="str">
        <f ca="1">IFERROR(__xludf.DUMMYFUNCTION("""COMPUTED_VALUE"""),"")</f>
        <v/>
      </c>
      <c r="H155" s="189" t="str">
        <f ca="1">IFERROR(__xludf.DUMMYFUNCTION("""COMPUTED_VALUE"""),"")</f>
        <v/>
      </c>
      <c r="I155" s="120" t="str">
        <f ca="1">IFERROR(__xludf.DUMMYFUNCTION("""COMPUTED_VALUE"""),"")</f>
        <v/>
      </c>
      <c r="J155" s="189" t="str">
        <f ca="1">IFERROR(__xludf.DUMMYFUNCTION("""COMPUTED_VALUE"""),"")</f>
        <v/>
      </c>
      <c r="K155" s="189" t="str">
        <f ca="1">IFERROR(__xludf.DUMMYFUNCTION("""COMPUTED_VALUE"""),"")</f>
        <v/>
      </c>
      <c r="L155" s="189" t="str">
        <f ca="1">IFERROR(__xludf.DUMMYFUNCTION("""COMPUTED_VALUE"""),"")</f>
        <v/>
      </c>
      <c r="M155" s="189" t="str">
        <f ca="1">IFERROR(__xludf.DUMMYFUNCTION("""COMPUTED_VALUE"""),"")</f>
        <v/>
      </c>
      <c r="N155" s="189" t="str">
        <f ca="1">IFERROR(__xludf.DUMMYFUNCTION("""COMPUTED_VALUE"""),"")</f>
        <v/>
      </c>
      <c r="O155" s="189" t="str">
        <f ca="1">IFERROR(__xludf.DUMMYFUNCTION("""COMPUTED_VALUE"""),"")</f>
        <v/>
      </c>
      <c r="P155" s="189" t="str">
        <f ca="1">IFERROR(__xludf.DUMMYFUNCTION("""COMPUTED_VALUE"""),"")</f>
        <v/>
      </c>
      <c r="Q155" s="189" t="str">
        <f ca="1">IFERROR(__xludf.DUMMYFUNCTION("""COMPUTED_VALUE"""),"")</f>
        <v/>
      </c>
      <c r="R155" s="189" t="str">
        <f ca="1">IFERROR(__xludf.DUMMYFUNCTION("""COMPUTED_VALUE"""),"")</f>
        <v/>
      </c>
      <c r="S155" s="189" t="str">
        <f ca="1">IFERROR(__xludf.DUMMYFUNCTION("""COMPUTED_VALUE"""),"")</f>
        <v/>
      </c>
      <c r="T155" s="189" t="str">
        <f ca="1">IFERROR(__xludf.DUMMYFUNCTION("""COMPUTED_VALUE"""),"")</f>
        <v/>
      </c>
      <c r="U155" s="189" t="str">
        <f ca="1">IFERROR(__xludf.DUMMYFUNCTION("""COMPUTED_VALUE"""),"")</f>
        <v/>
      </c>
      <c r="V155" s="189" t="str">
        <f ca="1">IFERROR(__xludf.DUMMYFUNCTION("""COMPUTED_VALUE"""),"")</f>
        <v/>
      </c>
      <c r="W155" s="189" t="str">
        <f ca="1">IFERROR(__xludf.DUMMYFUNCTION("""COMPUTED_VALUE"""),"")</f>
        <v/>
      </c>
      <c r="X155" s="189" t="str">
        <f ca="1">IFERROR(__xludf.DUMMYFUNCTION("""COMPUTED_VALUE"""),"")</f>
        <v/>
      </c>
      <c r="Y155" s="189" t="str">
        <f ca="1">IFERROR(__xludf.DUMMYFUNCTION("""COMPUTED_VALUE"""),"")</f>
        <v/>
      </c>
      <c r="Z155" s="189"/>
    </row>
    <row r="156" spans="1:26" ht="12.75">
      <c r="A156" s="189" t="str">
        <f ca="1">IFERROR(__xludf.DUMMYFUNCTION("""COMPUTED_VALUE"""),"")</f>
        <v/>
      </c>
      <c r="B156" s="189" t="str">
        <f ca="1">IFERROR(__xludf.DUMMYFUNCTION("""COMPUTED_VALUE"""),"")</f>
        <v/>
      </c>
      <c r="C156" s="189" t="str">
        <f ca="1">IFERROR(__xludf.DUMMYFUNCTION("""COMPUTED_VALUE"""),"")</f>
        <v/>
      </c>
      <c r="D156" s="189" t="str">
        <f ca="1">IFERROR(__xludf.DUMMYFUNCTION("""COMPUTED_VALUE"""),"")</f>
        <v/>
      </c>
      <c r="E156" s="189" t="str">
        <f ca="1">IFERROR(__xludf.DUMMYFUNCTION("""COMPUTED_VALUE"""),"")</f>
        <v/>
      </c>
      <c r="F156" s="189" t="str">
        <f ca="1">IFERROR(__xludf.DUMMYFUNCTION("""COMPUTED_VALUE"""),"")</f>
        <v/>
      </c>
      <c r="G156" s="189" t="str">
        <f ca="1">IFERROR(__xludf.DUMMYFUNCTION("""COMPUTED_VALUE"""),"")</f>
        <v/>
      </c>
      <c r="H156" s="189" t="str">
        <f ca="1">IFERROR(__xludf.DUMMYFUNCTION("""COMPUTED_VALUE"""),"")</f>
        <v/>
      </c>
      <c r="I156" s="120" t="str">
        <f ca="1">IFERROR(__xludf.DUMMYFUNCTION("""COMPUTED_VALUE"""),"")</f>
        <v/>
      </c>
      <c r="J156" s="189" t="str">
        <f ca="1">IFERROR(__xludf.DUMMYFUNCTION("""COMPUTED_VALUE"""),"")</f>
        <v/>
      </c>
      <c r="K156" s="189" t="str">
        <f ca="1">IFERROR(__xludf.DUMMYFUNCTION("""COMPUTED_VALUE"""),"")</f>
        <v/>
      </c>
      <c r="L156" s="189" t="str">
        <f ca="1">IFERROR(__xludf.DUMMYFUNCTION("""COMPUTED_VALUE"""),"")</f>
        <v/>
      </c>
      <c r="M156" s="189" t="str">
        <f ca="1">IFERROR(__xludf.DUMMYFUNCTION("""COMPUTED_VALUE"""),"")</f>
        <v/>
      </c>
      <c r="N156" s="189" t="str">
        <f ca="1">IFERROR(__xludf.DUMMYFUNCTION("""COMPUTED_VALUE"""),"")</f>
        <v/>
      </c>
      <c r="O156" s="189" t="str">
        <f ca="1">IFERROR(__xludf.DUMMYFUNCTION("""COMPUTED_VALUE"""),"")</f>
        <v/>
      </c>
      <c r="P156" s="189" t="str">
        <f ca="1">IFERROR(__xludf.DUMMYFUNCTION("""COMPUTED_VALUE"""),"")</f>
        <v/>
      </c>
      <c r="Q156" s="189" t="str">
        <f ca="1">IFERROR(__xludf.DUMMYFUNCTION("""COMPUTED_VALUE"""),"")</f>
        <v/>
      </c>
      <c r="R156" s="189" t="str">
        <f ca="1">IFERROR(__xludf.DUMMYFUNCTION("""COMPUTED_VALUE"""),"")</f>
        <v/>
      </c>
      <c r="S156" s="189" t="str">
        <f ca="1">IFERROR(__xludf.DUMMYFUNCTION("""COMPUTED_VALUE"""),"")</f>
        <v/>
      </c>
      <c r="T156" s="189" t="str">
        <f ca="1">IFERROR(__xludf.DUMMYFUNCTION("""COMPUTED_VALUE"""),"")</f>
        <v/>
      </c>
      <c r="U156" s="189" t="str">
        <f ca="1">IFERROR(__xludf.DUMMYFUNCTION("""COMPUTED_VALUE"""),"")</f>
        <v/>
      </c>
      <c r="V156" s="189" t="str">
        <f ca="1">IFERROR(__xludf.DUMMYFUNCTION("""COMPUTED_VALUE"""),"")</f>
        <v/>
      </c>
      <c r="W156" s="189" t="str">
        <f ca="1">IFERROR(__xludf.DUMMYFUNCTION("""COMPUTED_VALUE"""),"")</f>
        <v/>
      </c>
      <c r="X156" s="189" t="str">
        <f ca="1">IFERROR(__xludf.DUMMYFUNCTION("""COMPUTED_VALUE"""),"")</f>
        <v/>
      </c>
      <c r="Y156" s="189" t="str">
        <f ca="1">IFERROR(__xludf.DUMMYFUNCTION("""COMPUTED_VALUE"""),"")</f>
        <v/>
      </c>
      <c r="Z156" s="189"/>
    </row>
    <row r="157" spans="1:26" ht="12.75">
      <c r="A157" s="189" t="str">
        <f ca="1">IFERROR(__xludf.DUMMYFUNCTION("""COMPUTED_VALUE"""),"")</f>
        <v/>
      </c>
      <c r="B157" s="189" t="str">
        <f ca="1">IFERROR(__xludf.DUMMYFUNCTION("""COMPUTED_VALUE"""),"")</f>
        <v/>
      </c>
      <c r="C157" s="189" t="str">
        <f ca="1">IFERROR(__xludf.DUMMYFUNCTION("""COMPUTED_VALUE"""),"")</f>
        <v/>
      </c>
      <c r="D157" s="189" t="str">
        <f ca="1">IFERROR(__xludf.DUMMYFUNCTION("""COMPUTED_VALUE"""),"")</f>
        <v/>
      </c>
      <c r="E157" s="189" t="str">
        <f ca="1">IFERROR(__xludf.DUMMYFUNCTION("""COMPUTED_VALUE"""),"")</f>
        <v/>
      </c>
      <c r="F157" s="189" t="str">
        <f ca="1">IFERROR(__xludf.DUMMYFUNCTION("""COMPUTED_VALUE"""),"")</f>
        <v/>
      </c>
      <c r="G157" s="189" t="str">
        <f ca="1">IFERROR(__xludf.DUMMYFUNCTION("""COMPUTED_VALUE"""),"")</f>
        <v/>
      </c>
      <c r="H157" s="189" t="str">
        <f ca="1">IFERROR(__xludf.DUMMYFUNCTION("""COMPUTED_VALUE"""),"")</f>
        <v/>
      </c>
      <c r="I157" s="120" t="str">
        <f ca="1">IFERROR(__xludf.DUMMYFUNCTION("""COMPUTED_VALUE"""),"")</f>
        <v/>
      </c>
      <c r="J157" s="189" t="str">
        <f ca="1">IFERROR(__xludf.DUMMYFUNCTION("""COMPUTED_VALUE"""),"")</f>
        <v/>
      </c>
      <c r="K157" s="189" t="str">
        <f ca="1">IFERROR(__xludf.DUMMYFUNCTION("""COMPUTED_VALUE"""),"")</f>
        <v/>
      </c>
      <c r="L157" s="189" t="str">
        <f ca="1">IFERROR(__xludf.DUMMYFUNCTION("""COMPUTED_VALUE"""),"")</f>
        <v/>
      </c>
      <c r="M157" s="189" t="str">
        <f ca="1">IFERROR(__xludf.DUMMYFUNCTION("""COMPUTED_VALUE"""),"")</f>
        <v/>
      </c>
      <c r="N157" s="189" t="str">
        <f ca="1">IFERROR(__xludf.DUMMYFUNCTION("""COMPUTED_VALUE"""),"")</f>
        <v/>
      </c>
      <c r="O157" s="189" t="str">
        <f ca="1">IFERROR(__xludf.DUMMYFUNCTION("""COMPUTED_VALUE"""),"")</f>
        <v/>
      </c>
      <c r="P157" s="189" t="str">
        <f ca="1">IFERROR(__xludf.DUMMYFUNCTION("""COMPUTED_VALUE"""),"")</f>
        <v/>
      </c>
      <c r="Q157" s="189" t="str">
        <f ca="1">IFERROR(__xludf.DUMMYFUNCTION("""COMPUTED_VALUE"""),"")</f>
        <v/>
      </c>
      <c r="R157" s="189" t="str">
        <f ca="1">IFERROR(__xludf.DUMMYFUNCTION("""COMPUTED_VALUE"""),"")</f>
        <v/>
      </c>
      <c r="S157" s="189" t="str">
        <f ca="1">IFERROR(__xludf.DUMMYFUNCTION("""COMPUTED_VALUE"""),"")</f>
        <v/>
      </c>
      <c r="T157" s="189" t="str">
        <f ca="1">IFERROR(__xludf.DUMMYFUNCTION("""COMPUTED_VALUE"""),"")</f>
        <v/>
      </c>
      <c r="U157" s="189" t="str">
        <f ca="1">IFERROR(__xludf.DUMMYFUNCTION("""COMPUTED_VALUE"""),"")</f>
        <v/>
      </c>
      <c r="V157" s="189" t="str">
        <f ca="1">IFERROR(__xludf.DUMMYFUNCTION("""COMPUTED_VALUE"""),"")</f>
        <v/>
      </c>
      <c r="W157" s="189" t="str">
        <f ca="1">IFERROR(__xludf.DUMMYFUNCTION("""COMPUTED_VALUE"""),"")</f>
        <v/>
      </c>
      <c r="X157" s="189" t="str">
        <f ca="1">IFERROR(__xludf.DUMMYFUNCTION("""COMPUTED_VALUE"""),"")</f>
        <v/>
      </c>
      <c r="Y157" s="189" t="str">
        <f ca="1">IFERROR(__xludf.DUMMYFUNCTION("""COMPUTED_VALUE"""),"")</f>
        <v/>
      </c>
      <c r="Z157" s="189"/>
    </row>
    <row r="158" spans="1:26" ht="12.75">
      <c r="A158" s="189" t="str">
        <f ca="1">IFERROR(__xludf.DUMMYFUNCTION("""COMPUTED_VALUE"""),"")</f>
        <v/>
      </c>
      <c r="B158" s="189" t="str">
        <f ca="1">IFERROR(__xludf.DUMMYFUNCTION("""COMPUTED_VALUE"""),"")</f>
        <v/>
      </c>
      <c r="C158" s="189" t="str">
        <f ca="1">IFERROR(__xludf.DUMMYFUNCTION("""COMPUTED_VALUE"""),"")</f>
        <v/>
      </c>
      <c r="D158" s="189" t="str">
        <f ca="1">IFERROR(__xludf.DUMMYFUNCTION("""COMPUTED_VALUE"""),"")</f>
        <v/>
      </c>
      <c r="E158" s="189" t="str">
        <f ca="1">IFERROR(__xludf.DUMMYFUNCTION("""COMPUTED_VALUE"""),"")</f>
        <v/>
      </c>
      <c r="F158" s="189" t="str">
        <f ca="1">IFERROR(__xludf.DUMMYFUNCTION("""COMPUTED_VALUE"""),"")</f>
        <v/>
      </c>
      <c r="G158" s="189" t="str">
        <f ca="1">IFERROR(__xludf.DUMMYFUNCTION("""COMPUTED_VALUE"""),"")</f>
        <v/>
      </c>
      <c r="H158" s="189" t="str">
        <f ca="1">IFERROR(__xludf.DUMMYFUNCTION("""COMPUTED_VALUE"""),"")</f>
        <v/>
      </c>
      <c r="I158" s="120" t="str">
        <f ca="1">IFERROR(__xludf.DUMMYFUNCTION("""COMPUTED_VALUE"""),"")</f>
        <v/>
      </c>
      <c r="J158" s="189" t="str">
        <f ca="1">IFERROR(__xludf.DUMMYFUNCTION("""COMPUTED_VALUE"""),"")</f>
        <v/>
      </c>
      <c r="K158" s="189" t="str">
        <f ca="1">IFERROR(__xludf.DUMMYFUNCTION("""COMPUTED_VALUE"""),"")</f>
        <v/>
      </c>
      <c r="L158" s="189" t="str">
        <f ca="1">IFERROR(__xludf.DUMMYFUNCTION("""COMPUTED_VALUE"""),"")</f>
        <v/>
      </c>
      <c r="M158" s="189" t="str">
        <f ca="1">IFERROR(__xludf.DUMMYFUNCTION("""COMPUTED_VALUE"""),"")</f>
        <v/>
      </c>
      <c r="N158" s="189" t="str">
        <f ca="1">IFERROR(__xludf.DUMMYFUNCTION("""COMPUTED_VALUE"""),"")</f>
        <v/>
      </c>
      <c r="O158" s="189" t="str">
        <f ca="1">IFERROR(__xludf.DUMMYFUNCTION("""COMPUTED_VALUE"""),"")</f>
        <v/>
      </c>
      <c r="P158" s="189" t="str">
        <f ca="1">IFERROR(__xludf.DUMMYFUNCTION("""COMPUTED_VALUE"""),"")</f>
        <v/>
      </c>
      <c r="Q158" s="189" t="str">
        <f ca="1">IFERROR(__xludf.DUMMYFUNCTION("""COMPUTED_VALUE"""),"")</f>
        <v/>
      </c>
      <c r="R158" s="189" t="str">
        <f ca="1">IFERROR(__xludf.DUMMYFUNCTION("""COMPUTED_VALUE"""),"")</f>
        <v/>
      </c>
      <c r="S158" s="189" t="str">
        <f ca="1">IFERROR(__xludf.DUMMYFUNCTION("""COMPUTED_VALUE"""),"")</f>
        <v/>
      </c>
      <c r="T158" s="189" t="str">
        <f ca="1">IFERROR(__xludf.DUMMYFUNCTION("""COMPUTED_VALUE"""),"")</f>
        <v/>
      </c>
      <c r="U158" s="189" t="str">
        <f ca="1">IFERROR(__xludf.DUMMYFUNCTION("""COMPUTED_VALUE"""),"")</f>
        <v/>
      </c>
      <c r="V158" s="189" t="str">
        <f ca="1">IFERROR(__xludf.DUMMYFUNCTION("""COMPUTED_VALUE"""),"")</f>
        <v/>
      </c>
      <c r="W158" s="189" t="str">
        <f ca="1">IFERROR(__xludf.DUMMYFUNCTION("""COMPUTED_VALUE"""),"")</f>
        <v/>
      </c>
      <c r="X158" s="189" t="str">
        <f ca="1">IFERROR(__xludf.DUMMYFUNCTION("""COMPUTED_VALUE"""),"")</f>
        <v/>
      </c>
      <c r="Y158" s="189" t="str">
        <f ca="1">IFERROR(__xludf.DUMMYFUNCTION("""COMPUTED_VALUE"""),"")</f>
        <v/>
      </c>
      <c r="Z158" s="189"/>
    </row>
    <row r="159" spans="1:26" ht="12.75">
      <c r="A159" s="189" t="str">
        <f ca="1">IFERROR(__xludf.DUMMYFUNCTION("""COMPUTED_VALUE"""),"")</f>
        <v/>
      </c>
      <c r="B159" s="189" t="str">
        <f ca="1">IFERROR(__xludf.DUMMYFUNCTION("""COMPUTED_VALUE"""),"")</f>
        <v/>
      </c>
      <c r="C159" s="189" t="str">
        <f ca="1">IFERROR(__xludf.DUMMYFUNCTION("""COMPUTED_VALUE"""),"")</f>
        <v/>
      </c>
      <c r="D159" s="189" t="str">
        <f ca="1">IFERROR(__xludf.DUMMYFUNCTION("""COMPUTED_VALUE"""),"")</f>
        <v/>
      </c>
      <c r="E159" s="189" t="str">
        <f ca="1">IFERROR(__xludf.DUMMYFUNCTION("""COMPUTED_VALUE"""),"")</f>
        <v/>
      </c>
      <c r="F159" s="189" t="str">
        <f ca="1">IFERROR(__xludf.DUMMYFUNCTION("""COMPUTED_VALUE"""),"")</f>
        <v/>
      </c>
      <c r="G159" s="189" t="str">
        <f ca="1">IFERROR(__xludf.DUMMYFUNCTION("""COMPUTED_VALUE"""),"")</f>
        <v/>
      </c>
      <c r="H159" s="189" t="str">
        <f ca="1">IFERROR(__xludf.DUMMYFUNCTION("""COMPUTED_VALUE"""),"")</f>
        <v/>
      </c>
      <c r="I159" s="120" t="str">
        <f ca="1">IFERROR(__xludf.DUMMYFUNCTION("""COMPUTED_VALUE"""),"")</f>
        <v/>
      </c>
      <c r="J159" s="189" t="str">
        <f ca="1">IFERROR(__xludf.DUMMYFUNCTION("""COMPUTED_VALUE"""),"")</f>
        <v/>
      </c>
      <c r="K159" s="189" t="str">
        <f ca="1">IFERROR(__xludf.DUMMYFUNCTION("""COMPUTED_VALUE"""),"")</f>
        <v/>
      </c>
      <c r="L159" s="189" t="str">
        <f ca="1">IFERROR(__xludf.DUMMYFUNCTION("""COMPUTED_VALUE"""),"")</f>
        <v/>
      </c>
      <c r="M159" s="189" t="str">
        <f ca="1">IFERROR(__xludf.DUMMYFUNCTION("""COMPUTED_VALUE"""),"")</f>
        <v/>
      </c>
      <c r="N159" s="189" t="str">
        <f ca="1">IFERROR(__xludf.DUMMYFUNCTION("""COMPUTED_VALUE"""),"")</f>
        <v/>
      </c>
      <c r="O159" s="189" t="str">
        <f ca="1">IFERROR(__xludf.DUMMYFUNCTION("""COMPUTED_VALUE"""),"")</f>
        <v/>
      </c>
      <c r="P159" s="189" t="str">
        <f ca="1">IFERROR(__xludf.DUMMYFUNCTION("""COMPUTED_VALUE"""),"")</f>
        <v/>
      </c>
      <c r="Q159" s="189" t="str">
        <f ca="1">IFERROR(__xludf.DUMMYFUNCTION("""COMPUTED_VALUE"""),"")</f>
        <v/>
      </c>
      <c r="R159" s="189" t="str">
        <f ca="1">IFERROR(__xludf.DUMMYFUNCTION("""COMPUTED_VALUE"""),"")</f>
        <v/>
      </c>
      <c r="S159" s="189" t="str">
        <f ca="1">IFERROR(__xludf.DUMMYFUNCTION("""COMPUTED_VALUE"""),"")</f>
        <v/>
      </c>
      <c r="T159" s="189" t="str">
        <f ca="1">IFERROR(__xludf.DUMMYFUNCTION("""COMPUTED_VALUE"""),"")</f>
        <v/>
      </c>
      <c r="U159" s="189" t="str">
        <f ca="1">IFERROR(__xludf.DUMMYFUNCTION("""COMPUTED_VALUE"""),"")</f>
        <v/>
      </c>
      <c r="V159" s="189" t="str">
        <f ca="1">IFERROR(__xludf.DUMMYFUNCTION("""COMPUTED_VALUE"""),"")</f>
        <v/>
      </c>
      <c r="W159" s="189" t="str">
        <f ca="1">IFERROR(__xludf.DUMMYFUNCTION("""COMPUTED_VALUE"""),"")</f>
        <v/>
      </c>
      <c r="X159" s="189" t="str">
        <f ca="1">IFERROR(__xludf.DUMMYFUNCTION("""COMPUTED_VALUE"""),"")</f>
        <v/>
      </c>
      <c r="Y159" s="189" t="str">
        <f ca="1">IFERROR(__xludf.DUMMYFUNCTION("""COMPUTED_VALUE"""),"")</f>
        <v/>
      </c>
      <c r="Z159" s="189"/>
    </row>
    <row r="160" spans="1:26" ht="12.75">
      <c r="A160" s="189" t="str">
        <f ca="1">IFERROR(__xludf.DUMMYFUNCTION("""COMPUTED_VALUE"""),"")</f>
        <v/>
      </c>
      <c r="B160" s="189" t="str">
        <f ca="1">IFERROR(__xludf.DUMMYFUNCTION("""COMPUTED_VALUE"""),"")</f>
        <v/>
      </c>
      <c r="C160" s="189" t="str">
        <f ca="1">IFERROR(__xludf.DUMMYFUNCTION("""COMPUTED_VALUE"""),"")</f>
        <v/>
      </c>
      <c r="D160" s="189" t="str">
        <f ca="1">IFERROR(__xludf.DUMMYFUNCTION("""COMPUTED_VALUE"""),"")</f>
        <v/>
      </c>
      <c r="E160" s="189" t="str">
        <f ca="1">IFERROR(__xludf.DUMMYFUNCTION("""COMPUTED_VALUE"""),"")</f>
        <v/>
      </c>
      <c r="F160" s="189" t="str">
        <f ca="1">IFERROR(__xludf.DUMMYFUNCTION("""COMPUTED_VALUE"""),"")</f>
        <v/>
      </c>
      <c r="G160" s="189" t="str">
        <f ca="1">IFERROR(__xludf.DUMMYFUNCTION("""COMPUTED_VALUE"""),"")</f>
        <v/>
      </c>
      <c r="H160" s="189" t="str">
        <f ca="1">IFERROR(__xludf.DUMMYFUNCTION("""COMPUTED_VALUE"""),"")</f>
        <v/>
      </c>
      <c r="I160" s="120" t="str">
        <f ca="1">IFERROR(__xludf.DUMMYFUNCTION("""COMPUTED_VALUE"""),"")</f>
        <v/>
      </c>
      <c r="J160" s="189" t="str">
        <f ca="1">IFERROR(__xludf.DUMMYFUNCTION("""COMPUTED_VALUE"""),"")</f>
        <v/>
      </c>
      <c r="K160" s="189" t="str">
        <f ca="1">IFERROR(__xludf.DUMMYFUNCTION("""COMPUTED_VALUE"""),"")</f>
        <v/>
      </c>
      <c r="L160" s="189" t="str">
        <f ca="1">IFERROR(__xludf.DUMMYFUNCTION("""COMPUTED_VALUE"""),"")</f>
        <v/>
      </c>
      <c r="M160" s="189" t="str">
        <f ca="1">IFERROR(__xludf.DUMMYFUNCTION("""COMPUTED_VALUE"""),"")</f>
        <v/>
      </c>
      <c r="N160" s="189" t="str">
        <f ca="1">IFERROR(__xludf.DUMMYFUNCTION("""COMPUTED_VALUE"""),"")</f>
        <v/>
      </c>
      <c r="O160" s="189" t="str">
        <f ca="1">IFERROR(__xludf.DUMMYFUNCTION("""COMPUTED_VALUE"""),"")</f>
        <v/>
      </c>
      <c r="P160" s="189" t="str">
        <f ca="1">IFERROR(__xludf.DUMMYFUNCTION("""COMPUTED_VALUE"""),"")</f>
        <v/>
      </c>
      <c r="Q160" s="189" t="str">
        <f ca="1">IFERROR(__xludf.DUMMYFUNCTION("""COMPUTED_VALUE"""),"")</f>
        <v/>
      </c>
      <c r="R160" s="189" t="str">
        <f ca="1">IFERROR(__xludf.DUMMYFUNCTION("""COMPUTED_VALUE"""),"")</f>
        <v/>
      </c>
      <c r="S160" s="189" t="str">
        <f ca="1">IFERROR(__xludf.DUMMYFUNCTION("""COMPUTED_VALUE"""),"")</f>
        <v/>
      </c>
      <c r="T160" s="189" t="str">
        <f ca="1">IFERROR(__xludf.DUMMYFUNCTION("""COMPUTED_VALUE"""),"")</f>
        <v/>
      </c>
      <c r="U160" s="189" t="str">
        <f ca="1">IFERROR(__xludf.DUMMYFUNCTION("""COMPUTED_VALUE"""),"")</f>
        <v/>
      </c>
      <c r="V160" s="189" t="str">
        <f ca="1">IFERROR(__xludf.DUMMYFUNCTION("""COMPUTED_VALUE"""),"")</f>
        <v/>
      </c>
      <c r="W160" s="189" t="str">
        <f ca="1">IFERROR(__xludf.DUMMYFUNCTION("""COMPUTED_VALUE"""),"")</f>
        <v/>
      </c>
      <c r="X160" s="189" t="str">
        <f ca="1">IFERROR(__xludf.DUMMYFUNCTION("""COMPUTED_VALUE"""),"")</f>
        <v/>
      </c>
      <c r="Y160" s="189" t="str">
        <f ca="1">IFERROR(__xludf.DUMMYFUNCTION("""COMPUTED_VALUE"""),"")</f>
        <v/>
      </c>
      <c r="Z160" s="189"/>
    </row>
    <row r="161" spans="1:26" ht="12.75">
      <c r="A161" s="189" t="str">
        <f ca="1">IFERROR(__xludf.DUMMYFUNCTION("""COMPUTED_VALUE"""),"")</f>
        <v/>
      </c>
      <c r="B161" s="189" t="str">
        <f ca="1">IFERROR(__xludf.DUMMYFUNCTION("""COMPUTED_VALUE"""),"")</f>
        <v/>
      </c>
      <c r="C161" s="189" t="str">
        <f ca="1">IFERROR(__xludf.DUMMYFUNCTION("""COMPUTED_VALUE"""),"")</f>
        <v/>
      </c>
      <c r="D161" s="189" t="str">
        <f ca="1">IFERROR(__xludf.DUMMYFUNCTION("""COMPUTED_VALUE"""),"")</f>
        <v/>
      </c>
      <c r="E161" s="189" t="str">
        <f ca="1">IFERROR(__xludf.DUMMYFUNCTION("""COMPUTED_VALUE"""),"")</f>
        <v/>
      </c>
      <c r="F161" s="189" t="str">
        <f ca="1">IFERROR(__xludf.DUMMYFUNCTION("""COMPUTED_VALUE"""),"")</f>
        <v/>
      </c>
      <c r="G161" s="189" t="str">
        <f ca="1">IFERROR(__xludf.DUMMYFUNCTION("""COMPUTED_VALUE"""),"")</f>
        <v/>
      </c>
      <c r="H161" s="189" t="str">
        <f ca="1">IFERROR(__xludf.DUMMYFUNCTION("""COMPUTED_VALUE"""),"")</f>
        <v/>
      </c>
      <c r="I161" s="120" t="str">
        <f ca="1">IFERROR(__xludf.DUMMYFUNCTION("""COMPUTED_VALUE"""),"")</f>
        <v/>
      </c>
      <c r="J161" s="189" t="str">
        <f ca="1">IFERROR(__xludf.DUMMYFUNCTION("""COMPUTED_VALUE"""),"")</f>
        <v/>
      </c>
      <c r="K161" s="189" t="str">
        <f ca="1">IFERROR(__xludf.DUMMYFUNCTION("""COMPUTED_VALUE"""),"")</f>
        <v/>
      </c>
      <c r="L161" s="189" t="str">
        <f ca="1">IFERROR(__xludf.DUMMYFUNCTION("""COMPUTED_VALUE"""),"")</f>
        <v/>
      </c>
      <c r="M161" s="189" t="str">
        <f ca="1">IFERROR(__xludf.DUMMYFUNCTION("""COMPUTED_VALUE"""),"")</f>
        <v/>
      </c>
      <c r="N161" s="189" t="str">
        <f ca="1">IFERROR(__xludf.DUMMYFUNCTION("""COMPUTED_VALUE"""),"")</f>
        <v/>
      </c>
      <c r="O161" s="189" t="str">
        <f ca="1">IFERROR(__xludf.DUMMYFUNCTION("""COMPUTED_VALUE"""),"")</f>
        <v/>
      </c>
      <c r="P161" s="189" t="str">
        <f ca="1">IFERROR(__xludf.DUMMYFUNCTION("""COMPUTED_VALUE"""),"")</f>
        <v/>
      </c>
      <c r="Q161" s="189" t="str">
        <f ca="1">IFERROR(__xludf.DUMMYFUNCTION("""COMPUTED_VALUE"""),"")</f>
        <v/>
      </c>
      <c r="R161" s="189" t="str">
        <f ca="1">IFERROR(__xludf.DUMMYFUNCTION("""COMPUTED_VALUE"""),"")</f>
        <v/>
      </c>
      <c r="S161" s="189" t="str">
        <f ca="1">IFERROR(__xludf.DUMMYFUNCTION("""COMPUTED_VALUE"""),"")</f>
        <v/>
      </c>
      <c r="T161" s="189" t="str">
        <f ca="1">IFERROR(__xludf.DUMMYFUNCTION("""COMPUTED_VALUE"""),"")</f>
        <v/>
      </c>
      <c r="U161" s="189" t="str">
        <f ca="1">IFERROR(__xludf.DUMMYFUNCTION("""COMPUTED_VALUE"""),"")</f>
        <v/>
      </c>
      <c r="V161" s="189" t="str">
        <f ca="1">IFERROR(__xludf.DUMMYFUNCTION("""COMPUTED_VALUE"""),"")</f>
        <v/>
      </c>
      <c r="W161" s="189" t="str">
        <f ca="1">IFERROR(__xludf.DUMMYFUNCTION("""COMPUTED_VALUE"""),"")</f>
        <v/>
      </c>
      <c r="X161" s="189" t="str">
        <f ca="1">IFERROR(__xludf.DUMMYFUNCTION("""COMPUTED_VALUE"""),"")</f>
        <v/>
      </c>
      <c r="Y161" s="189" t="str">
        <f ca="1">IFERROR(__xludf.DUMMYFUNCTION("""COMPUTED_VALUE"""),"")</f>
        <v/>
      </c>
      <c r="Z161" s="189"/>
    </row>
    <row r="162" spans="1:26" ht="12.75">
      <c r="A162" s="189" t="str">
        <f ca="1">IFERROR(__xludf.DUMMYFUNCTION("""COMPUTED_VALUE"""),"")</f>
        <v/>
      </c>
      <c r="B162" s="189" t="str">
        <f ca="1">IFERROR(__xludf.DUMMYFUNCTION("""COMPUTED_VALUE"""),"")</f>
        <v/>
      </c>
      <c r="C162" s="189" t="str">
        <f ca="1">IFERROR(__xludf.DUMMYFUNCTION("""COMPUTED_VALUE"""),"")</f>
        <v/>
      </c>
      <c r="D162" s="189" t="str">
        <f ca="1">IFERROR(__xludf.DUMMYFUNCTION("""COMPUTED_VALUE"""),"")</f>
        <v/>
      </c>
      <c r="E162" s="189" t="str">
        <f ca="1">IFERROR(__xludf.DUMMYFUNCTION("""COMPUTED_VALUE"""),"")</f>
        <v/>
      </c>
      <c r="F162" s="189" t="str">
        <f ca="1">IFERROR(__xludf.DUMMYFUNCTION("""COMPUTED_VALUE"""),"")</f>
        <v/>
      </c>
      <c r="G162" s="189" t="str">
        <f ca="1">IFERROR(__xludf.DUMMYFUNCTION("""COMPUTED_VALUE"""),"")</f>
        <v/>
      </c>
      <c r="H162" s="189" t="str">
        <f ca="1">IFERROR(__xludf.DUMMYFUNCTION("""COMPUTED_VALUE"""),"")</f>
        <v/>
      </c>
      <c r="I162" s="120" t="str">
        <f ca="1">IFERROR(__xludf.DUMMYFUNCTION("""COMPUTED_VALUE"""),"")</f>
        <v/>
      </c>
      <c r="J162" s="189" t="str">
        <f ca="1">IFERROR(__xludf.DUMMYFUNCTION("""COMPUTED_VALUE"""),"")</f>
        <v/>
      </c>
      <c r="K162" s="189" t="str">
        <f ca="1">IFERROR(__xludf.DUMMYFUNCTION("""COMPUTED_VALUE"""),"")</f>
        <v/>
      </c>
      <c r="L162" s="189" t="str">
        <f ca="1">IFERROR(__xludf.DUMMYFUNCTION("""COMPUTED_VALUE"""),"")</f>
        <v/>
      </c>
      <c r="M162" s="189" t="str">
        <f ca="1">IFERROR(__xludf.DUMMYFUNCTION("""COMPUTED_VALUE"""),"")</f>
        <v/>
      </c>
      <c r="N162" s="189" t="str">
        <f ca="1">IFERROR(__xludf.DUMMYFUNCTION("""COMPUTED_VALUE"""),"")</f>
        <v/>
      </c>
      <c r="O162" s="189" t="str">
        <f ca="1">IFERROR(__xludf.DUMMYFUNCTION("""COMPUTED_VALUE"""),"")</f>
        <v/>
      </c>
      <c r="P162" s="189" t="str">
        <f ca="1">IFERROR(__xludf.DUMMYFUNCTION("""COMPUTED_VALUE"""),"")</f>
        <v/>
      </c>
      <c r="Q162" s="189" t="str">
        <f ca="1">IFERROR(__xludf.DUMMYFUNCTION("""COMPUTED_VALUE"""),"")</f>
        <v/>
      </c>
      <c r="R162" s="189" t="str">
        <f ca="1">IFERROR(__xludf.DUMMYFUNCTION("""COMPUTED_VALUE"""),"")</f>
        <v/>
      </c>
      <c r="S162" s="189" t="str">
        <f ca="1">IFERROR(__xludf.DUMMYFUNCTION("""COMPUTED_VALUE"""),"")</f>
        <v/>
      </c>
      <c r="T162" s="189" t="str">
        <f ca="1">IFERROR(__xludf.DUMMYFUNCTION("""COMPUTED_VALUE"""),"")</f>
        <v/>
      </c>
      <c r="U162" s="189" t="str">
        <f ca="1">IFERROR(__xludf.DUMMYFUNCTION("""COMPUTED_VALUE"""),"")</f>
        <v/>
      </c>
      <c r="V162" s="189" t="str">
        <f ca="1">IFERROR(__xludf.DUMMYFUNCTION("""COMPUTED_VALUE"""),"")</f>
        <v/>
      </c>
      <c r="W162" s="189" t="str">
        <f ca="1">IFERROR(__xludf.DUMMYFUNCTION("""COMPUTED_VALUE"""),"")</f>
        <v/>
      </c>
      <c r="X162" s="189" t="str">
        <f ca="1">IFERROR(__xludf.DUMMYFUNCTION("""COMPUTED_VALUE"""),"")</f>
        <v/>
      </c>
      <c r="Y162" s="189" t="str">
        <f ca="1">IFERROR(__xludf.DUMMYFUNCTION("""COMPUTED_VALUE"""),"")</f>
        <v/>
      </c>
      <c r="Z162" s="189"/>
    </row>
    <row r="163" spans="1:26" ht="12.75">
      <c r="A163" s="189" t="str">
        <f ca="1">IFERROR(__xludf.DUMMYFUNCTION("""COMPUTED_VALUE"""),"")</f>
        <v/>
      </c>
      <c r="B163" s="189" t="str">
        <f ca="1">IFERROR(__xludf.DUMMYFUNCTION("""COMPUTED_VALUE"""),"")</f>
        <v/>
      </c>
      <c r="C163" s="189" t="str">
        <f ca="1">IFERROR(__xludf.DUMMYFUNCTION("""COMPUTED_VALUE"""),"")</f>
        <v/>
      </c>
      <c r="D163" s="189" t="str">
        <f ca="1">IFERROR(__xludf.DUMMYFUNCTION("""COMPUTED_VALUE"""),"")</f>
        <v/>
      </c>
      <c r="E163" s="189" t="str">
        <f ca="1">IFERROR(__xludf.DUMMYFUNCTION("""COMPUTED_VALUE"""),"")</f>
        <v/>
      </c>
      <c r="F163" s="189" t="str">
        <f ca="1">IFERROR(__xludf.DUMMYFUNCTION("""COMPUTED_VALUE"""),"")</f>
        <v/>
      </c>
      <c r="G163" s="189" t="str">
        <f ca="1">IFERROR(__xludf.DUMMYFUNCTION("""COMPUTED_VALUE"""),"")</f>
        <v/>
      </c>
      <c r="H163" s="189" t="str">
        <f ca="1">IFERROR(__xludf.DUMMYFUNCTION("""COMPUTED_VALUE"""),"")</f>
        <v/>
      </c>
      <c r="I163" s="120" t="str">
        <f ca="1">IFERROR(__xludf.DUMMYFUNCTION("""COMPUTED_VALUE"""),"")</f>
        <v/>
      </c>
      <c r="J163" s="189" t="str">
        <f ca="1">IFERROR(__xludf.DUMMYFUNCTION("""COMPUTED_VALUE"""),"")</f>
        <v/>
      </c>
      <c r="K163" s="189" t="str">
        <f ca="1">IFERROR(__xludf.DUMMYFUNCTION("""COMPUTED_VALUE"""),"")</f>
        <v/>
      </c>
      <c r="L163" s="189" t="str">
        <f ca="1">IFERROR(__xludf.DUMMYFUNCTION("""COMPUTED_VALUE"""),"")</f>
        <v/>
      </c>
      <c r="M163" s="189" t="str">
        <f ca="1">IFERROR(__xludf.DUMMYFUNCTION("""COMPUTED_VALUE"""),"")</f>
        <v/>
      </c>
      <c r="N163" s="189" t="str">
        <f ca="1">IFERROR(__xludf.DUMMYFUNCTION("""COMPUTED_VALUE"""),"")</f>
        <v/>
      </c>
      <c r="O163" s="189" t="str">
        <f ca="1">IFERROR(__xludf.DUMMYFUNCTION("""COMPUTED_VALUE"""),"")</f>
        <v/>
      </c>
      <c r="P163" s="189" t="str">
        <f ca="1">IFERROR(__xludf.DUMMYFUNCTION("""COMPUTED_VALUE"""),"")</f>
        <v/>
      </c>
      <c r="Q163" s="189" t="str">
        <f ca="1">IFERROR(__xludf.DUMMYFUNCTION("""COMPUTED_VALUE"""),"")</f>
        <v/>
      </c>
      <c r="R163" s="189" t="str">
        <f ca="1">IFERROR(__xludf.DUMMYFUNCTION("""COMPUTED_VALUE"""),"")</f>
        <v/>
      </c>
      <c r="S163" s="189" t="str">
        <f ca="1">IFERROR(__xludf.DUMMYFUNCTION("""COMPUTED_VALUE"""),"")</f>
        <v/>
      </c>
      <c r="T163" s="189" t="str">
        <f ca="1">IFERROR(__xludf.DUMMYFUNCTION("""COMPUTED_VALUE"""),"")</f>
        <v/>
      </c>
      <c r="U163" s="189" t="str">
        <f ca="1">IFERROR(__xludf.DUMMYFUNCTION("""COMPUTED_VALUE"""),"")</f>
        <v/>
      </c>
      <c r="V163" s="189" t="str">
        <f ca="1">IFERROR(__xludf.DUMMYFUNCTION("""COMPUTED_VALUE"""),"")</f>
        <v/>
      </c>
      <c r="W163" s="189" t="str">
        <f ca="1">IFERROR(__xludf.DUMMYFUNCTION("""COMPUTED_VALUE"""),"")</f>
        <v/>
      </c>
      <c r="X163" s="189" t="str">
        <f ca="1">IFERROR(__xludf.DUMMYFUNCTION("""COMPUTED_VALUE"""),"")</f>
        <v/>
      </c>
      <c r="Y163" s="189" t="str">
        <f ca="1">IFERROR(__xludf.DUMMYFUNCTION("""COMPUTED_VALUE"""),"")</f>
        <v/>
      </c>
      <c r="Z163" s="189"/>
    </row>
    <row r="164" spans="1:26" ht="12.75">
      <c r="A164" s="189" t="str">
        <f ca="1">IFERROR(__xludf.DUMMYFUNCTION("""COMPUTED_VALUE"""),"")</f>
        <v/>
      </c>
      <c r="B164" s="189" t="str">
        <f ca="1">IFERROR(__xludf.DUMMYFUNCTION("""COMPUTED_VALUE"""),"")</f>
        <v/>
      </c>
      <c r="C164" s="189" t="str">
        <f ca="1">IFERROR(__xludf.DUMMYFUNCTION("""COMPUTED_VALUE"""),"")</f>
        <v/>
      </c>
      <c r="D164" s="189" t="str">
        <f ca="1">IFERROR(__xludf.DUMMYFUNCTION("""COMPUTED_VALUE"""),"")</f>
        <v/>
      </c>
      <c r="E164" s="189" t="str">
        <f ca="1">IFERROR(__xludf.DUMMYFUNCTION("""COMPUTED_VALUE"""),"")</f>
        <v/>
      </c>
      <c r="F164" s="189" t="str">
        <f ca="1">IFERROR(__xludf.DUMMYFUNCTION("""COMPUTED_VALUE"""),"")</f>
        <v/>
      </c>
      <c r="G164" s="189" t="str">
        <f ca="1">IFERROR(__xludf.DUMMYFUNCTION("""COMPUTED_VALUE"""),"")</f>
        <v/>
      </c>
      <c r="H164" s="189" t="str">
        <f ca="1">IFERROR(__xludf.DUMMYFUNCTION("""COMPUTED_VALUE"""),"")</f>
        <v/>
      </c>
      <c r="I164" s="120" t="str">
        <f ca="1">IFERROR(__xludf.DUMMYFUNCTION("""COMPUTED_VALUE"""),"")</f>
        <v/>
      </c>
      <c r="J164" s="189" t="str">
        <f ca="1">IFERROR(__xludf.DUMMYFUNCTION("""COMPUTED_VALUE"""),"")</f>
        <v/>
      </c>
      <c r="K164" s="189" t="str">
        <f ca="1">IFERROR(__xludf.DUMMYFUNCTION("""COMPUTED_VALUE"""),"")</f>
        <v/>
      </c>
      <c r="L164" s="189" t="str">
        <f ca="1">IFERROR(__xludf.DUMMYFUNCTION("""COMPUTED_VALUE"""),"")</f>
        <v/>
      </c>
      <c r="M164" s="189" t="str">
        <f ca="1">IFERROR(__xludf.DUMMYFUNCTION("""COMPUTED_VALUE"""),"")</f>
        <v/>
      </c>
      <c r="N164" s="189" t="str">
        <f ca="1">IFERROR(__xludf.DUMMYFUNCTION("""COMPUTED_VALUE"""),"")</f>
        <v/>
      </c>
      <c r="O164" s="189" t="str">
        <f ca="1">IFERROR(__xludf.DUMMYFUNCTION("""COMPUTED_VALUE"""),"")</f>
        <v/>
      </c>
      <c r="P164" s="189" t="str">
        <f ca="1">IFERROR(__xludf.DUMMYFUNCTION("""COMPUTED_VALUE"""),"")</f>
        <v/>
      </c>
      <c r="Q164" s="189" t="str">
        <f ca="1">IFERROR(__xludf.DUMMYFUNCTION("""COMPUTED_VALUE"""),"")</f>
        <v/>
      </c>
      <c r="R164" s="189" t="str">
        <f ca="1">IFERROR(__xludf.DUMMYFUNCTION("""COMPUTED_VALUE"""),"")</f>
        <v/>
      </c>
      <c r="S164" s="189" t="str">
        <f ca="1">IFERROR(__xludf.DUMMYFUNCTION("""COMPUTED_VALUE"""),"")</f>
        <v/>
      </c>
      <c r="T164" s="189" t="str">
        <f ca="1">IFERROR(__xludf.DUMMYFUNCTION("""COMPUTED_VALUE"""),"")</f>
        <v/>
      </c>
      <c r="U164" s="189" t="str">
        <f ca="1">IFERROR(__xludf.DUMMYFUNCTION("""COMPUTED_VALUE"""),"")</f>
        <v/>
      </c>
      <c r="V164" s="189" t="str">
        <f ca="1">IFERROR(__xludf.DUMMYFUNCTION("""COMPUTED_VALUE"""),"")</f>
        <v/>
      </c>
      <c r="W164" s="189" t="str">
        <f ca="1">IFERROR(__xludf.DUMMYFUNCTION("""COMPUTED_VALUE"""),"")</f>
        <v/>
      </c>
      <c r="X164" s="189" t="str">
        <f ca="1">IFERROR(__xludf.DUMMYFUNCTION("""COMPUTED_VALUE"""),"")</f>
        <v/>
      </c>
      <c r="Y164" s="189" t="str">
        <f ca="1">IFERROR(__xludf.DUMMYFUNCTION("""COMPUTED_VALUE"""),"")</f>
        <v/>
      </c>
      <c r="Z164" s="189"/>
    </row>
    <row r="165" spans="1:26" ht="12.75">
      <c r="A165" s="189" t="str">
        <f ca="1">IFERROR(__xludf.DUMMYFUNCTION("""COMPUTED_VALUE"""),"")</f>
        <v/>
      </c>
      <c r="B165" s="189" t="str">
        <f ca="1">IFERROR(__xludf.DUMMYFUNCTION("""COMPUTED_VALUE"""),"")</f>
        <v/>
      </c>
      <c r="C165" s="189" t="str">
        <f ca="1">IFERROR(__xludf.DUMMYFUNCTION("""COMPUTED_VALUE"""),"")</f>
        <v/>
      </c>
      <c r="D165" s="189" t="str">
        <f ca="1">IFERROR(__xludf.DUMMYFUNCTION("""COMPUTED_VALUE"""),"")</f>
        <v/>
      </c>
      <c r="E165" s="189" t="str">
        <f ca="1">IFERROR(__xludf.DUMMYFUNCTION("""COMPUTED_VALUE"""),"")</f>
        <v/>
      </c>
      <c r="F165" s="189" t="str">
        <f ca="1">IFERROR(__xludf.DUMMYFUNCTION("""COMPUTED_VALUE"""),"")</f>
        <v/>
      </c>
      <c r="G165" s="189" t="str">
        <f ca="1">IFERROR(__xludf.DUMMYFUNCTION("""COMPUTED_VALUE"""),"")</f>
        <v/>
      </c>
      <c r="H165" s="189" t="str">
        <f ca="1">IFERROR(__xludf.DUMMYFUNCTION("""COMPUTED_VALUE"""),"")</f>
        <v/>
      </c>
      <c r="I165" s="120" t="str">
        <f ca="1">IFERROR(__xludf.DUMMYFUNCTION("""COMPUTED_VALUE"""),"")</f>
        <v/>
      </c>
      <c r="J165" s="189" t="str">
        <f ca="1">IFERROR(__xludf.DUMMYFUNCTION("""COMPUTED_VALUE"""),"")</f>
        <v/>
      </c>
      <c r="K165" s="189" t="str">
        <f ca="1">IFERROR(__xludf.DUMMYFUNCTION("""COMPUTED_VALUE"""),"")</f>
        <v/>
      </c>
      <c r="L165" s="189" t="str">
        <f ca="1">IFERROR(__xludf.DUMMYFUNCTION("""COMPUTED_VALUE"""),"")</f>
        <v/>
      </c>
      <c r="M165" s="189" t="str">
        <f ca="1">IFERROR(__xludf.DUMMYFUNCTION("""COMPUTED_VALUE"""),"")</f>
        <v/>
      </c>
      <c r="N165" s="189" t="str">
        <f ca="1">IFERROR(__xludf.DUMMYFUNCTION("""COMPUTED_VALUE"""),"")</f>
        <v/>
      </c>
      <c r="O165" s="189" t="str">
        <f ca="1">IFERROR(__xludf.DUMMYFUNCTION("""COMPUTED_VALUE"""),"")</f>
        <v/>
      </c>
      <c r="P165" s="189" t="str">
        <f ca="1">IFERROR(__xludf.DUMMYFUNCTION("""COMPUTED_VALUE"""),"")</f>
        <v/>
      </c>
      <c r="Q165" s="189" t="str">
        <f ca="1">IFERROR(__xludf.DUMMYFUNCTION("""COMPUTED_VALUE"""),"")</f>
        <v/>
      </c>
      <c r="R165" s="189" t="str">
        <f ca="1">IFERROR(__xludf.DUMMYFUNCTION("""COMPUTED_VALUE"""),"")</f>
        <v/>
      </c>
      <c r="S165" s="189" t="str">
        <f ca="1">IFERROR(__xludf.DUMMYFUNCTION("""COMPUTED_VALUE"""),"")</f>
        <v/>
      </c>
      <c r="T165" s="189" t="str">
        <f ca="1">IFERROR(__xludf.DUMMYFUNCTION("""COMPUTED_VALUE"""),"")</f>
        <v/>
      </c>
      <c r="U165" s="189" t="str">
        <f ca="1">IFERROR(__xludf.DUMMYFUNCTION("""COMPUTED_VALUE"""),"")</f>
        <v/>
      </c>
      <c r="V165" s="189" t="str">
        <f ca="1">IFERROR(__xludf.DUMMYFUNCTION("""COMPUTED_VALUE"""),"")</f>
        <v/>
      </c>
      <c r="W165" s="189" t="str">
        <f ca="1">IFERROR(__xludf.DUMMYFUNCTION("""COMPUTED_VALUE"""),"")</f>
        <v/>
      </c>
      <c r="X165" s="189" t="str">
        <f ca="1">IFERROR(__xludf.DUMMYFUNCTION("""COMPUTED_VALUE"""),"")</f>
        <v/>
      </c>
      <c r="Y165" s="189" t="str">
        <f ca="1">IFERROR(__xludf.DUMMYFUNCTION("""COMPUTED_VALUE"""),"")</f>
        <v/>
      </c>
      <c r="Z165" s="189"/>
    </row>
    <row r="166" spans="1:26" ht="12.75">
      <c r="A166" s="189" t="str">
        <f ca="1">IFERROR(__xludf.DUMMYFUNCTION("""COMPUTED_VALUE"""),"")</f>
        <v/>
      </c>
      <c r="B166" s="189" t="str">
        <f ca="1">IFERROR(__xludf.DUMMYFUNCTION("""COMPUTED_VALUE"""),"")</f>
        <v/>
      </c>
      <c r="C166" s="189" t="str">
        <f ca="1">IFERROR(__xludf.DUMMYFUNCTION("""COMPUTED_VALUE"""),"")</f>
        <v/>
      </c>
      <c r="D166" s="189" t="str">
        <f ca="1">IFERROR(__xludf.DUMMYFUNCTION("""COMPUTED_VALUE"""),"")</f>
        <v/>
      </c>
      <c r="E166" s="189" t="str">
        <f ca="1">IFERROR(__xludf.DUMMYFUNCTION("""COMPUTED_VALUE"""),"")</f>
        <v/>
      </c>
      <c r="F166" s="189" t="str">
        <f ca="1">IFERROR(__xludf.DUMMYFUNCTION("""COMPUTED_VALUE"""),"")</f>
        <v/>
      </c>
      <c r="G166" s="189" t="str">
        <f ca="1">IFERROR(__xludf.DUMMYFUNCTION("""COMPUTED_VALUE"""),"")</f>
        <v/>
      </c>
      <c r="H166" s="189" t="str">
        <f ca="1">IFERROR(__xludf.DUMMYFUNCTION("""COMPUTED_VALUE"""),"")</f>
        <v/>
      </c>
      <c r="I166" s="120" t="str">
        <f ca="1">IFERROR(__xludf.DUMMYFUNCTION("""COMPUTED_VALUE"""),"")</f>
        <v/>
      </c>
      <c r="J166" s="189" t="str">
        <f ca="1">IFERROR(__xludf.DUMMYFUNCTION("""COMPUTED_VALUE"""),"")</f>
        <v/>
      </c>
      <c r="K166" s="189" t="str">
        <f ca="1">IFERROR(__xludf.DUMMYFUNCTION("""COMPUTED_VALUE"""),"")</f>
        <v/>
      </c>
      <c r="L166" s="189" t="str">
        <f ca="1">IFERROR(__xludf.DUMMYFUNCTION("""COMPUTED_VALUE"""),"")</f>
        <v/>
      </c>
      <c r="M166" s="189" t="str">
        <f ca="1">IFERROR(__xludf.DUMMYFUNCTION("""COMPUTED_VALUE"""),"")</f>
        <v/>
      </c>
      <c r="N166" s="189" t="str">
        <f ca="1">IFERROR(__xludf.DUMMYFUNCTION("""COMPUTED_VALUE"""),"")</f>
        <v/>
      </c>
      <c r="O166" s="189" t="str">
        <f ca="1">IFERROR(__xludf.DUMMYFUNCTION("""COMPUTED_VALUE"""),"")</f>
        <v/>
      </c>
      <c r="P166" s="189" t="str">
        <f ca="1">IFERROR(__xludf.DUMMYFUNCTION("""COMPUTED_VALUE"""),"")</f>
        <v/>
      </c>
      <c r="Q166" s="189" t="str">
        <f ca="1">IFERROR(__xludf.DUMMYFUNCTION("""COMPUTED_VALUE"""),"")</f>
        <v/>
      </c>
      <c r="R166" s="189" t="str">
        <f ca="1">IFERROR(__xludf.DUMMYFUNCTION("""COMPUTED_VALUE"""),"")</f>
        <v/>
      </c>
      <c r="S166" s="189" t="str">
        <f ca="1">IFERROR(__xludf.DUMMYFUNCTION("""COMPUTED_VALUE"""),"")</f>
        <v/>
      </c>
      <c r="T166" s="189" t="str">
        <f ca="1">IFERROR(__xludf.DUMMYFUNCTION("""COMPUTED_VALUE"""),"")</f>
        <v/>
      </c>
      <c r="U166" s="189" t="str">
        <f ca="1">IFERROR(__xludf.DUMMYFUNCTION("""COMPUTED_VALUE"""),"")</f>
        <v/>
      </c>
      <c r="V166" s="189" t="str">
        <f ca="1">IFERROR(__xludf.DUMMYFUNCTION("""COMPUTED_VALUE"""),"")</f>
        <v/>
      </c>
      <c r="W166" s="189" t="str">
        <f ca="1">IFERROR(__xludf.DUMMYFUNCTION("""COMPUTED_VALUE"""),"")</f>
        <v/>
      </c>
      <c r="X166" s="189" t="str">
        <f ca="1">IFERROR(__xludf.DUMMYFUNCTION("""COMPUTED_VALUE"""),"")</f>
        <v/>
      </c>
      <c r="Y166" s="189" t="str">
        <f ca="1">IFERROR(__xludf.DUMMYFUNCTION("""COMPUTED_VALUE"""),"")</f>
        <v/>
      </c>
      <c r="Z166" s="189"/>
    </row>
    <row r="167" spans="1:26" ht="12.75">
      <c r="A167" s="189" t="str">
        <f ca="1">IFERROR(__xludf.DUMMYFUNCTION("""COMPUTED_VALUE"""),"")</f>
        <v/>
      </c>
      <c r="B167" s="189" t="str">
        <f ca="1">IFERROR(__xludf.DUMMYFUNCTION("""COMPUTED_VALUE"""),"")</f>
        <v/>
      </c>
      <c r="C167" s="189" t="str">
        <f ca="1">IFERROR(__xludf.DUMMYFUNCTION("""COMPUTED_VALUE"""),"")</f>
        <v/>
      </c>
      <c r="D167" s="189" t="str">
        <f ca="1">IFERROR(__xludf.DUMMYFUNCTION("""COMPUTED_VALUE"""),"")</f>
        <v/>
      </c>
      <c r="E167" s="189" t="str">
        <f ca="1">IFERROR(__xludf.DUMMYFUNCTION("""COMPUTED_VALUE"""),"")</f>
        <v/>
      </c>
      <c r="F167" s="189" t="str">
        <f ca="1">IFERROR(__xludf.DUMMYFUNCTION("""COMPUTED_VALUE"""),"")</f>
        <v/>
      </c>
      <c r="G167" s="189" t="str">
        <f ca="1">IFERROR(__xludf.DUMMYFUNCTION("""COMPUTED_VALUE"""),"")</f>
        <v/>
      </c>
      <c r="H167" s="189" t="str">
        <f ca="1">IFERROR(__xludf.DUMMYFUNCTION("""COMPUTED_VALUE"""),"")</f>
        <v/>
      </c>
      <c r="I167" s="120" t="str">
        <f ca="1">IFERROR(__xludf.DUMMYFUNCTION("""COMPUTED_VALUE"""),"")</f>
        <v/>
      </c>
      <c r="J167" s="189" t="str">
        <f ca="1">IFERROR(__xludf.DUMMYFUNCTION("""COMPUTED_VALUE"""),"")</f>
        <v/>
      </c>
      <c r="K167" s="189" t="str">
        <f ca="1">IFERROR(__xludf.DUMMYFUNCTION("""COMPUTED_VALUE"""),"")</f>
        <v/>
      </c>
      <c r="L167" s="189" t="str">
        <f ca="1">IFERROR(__xludf.DUMMYFUNCTION("""COMPUTED_VALUE"""),"")</f>
        <v/>
      </c>
      <c r="M167" s="189" t="str">
        <f ca="1">IFERROR(__xludf.DUMMYFUNCTION("""COMPUTED_VALUE"""),"")</f>
        <v/>
      </c>
      <c r="N167" s="189" t="str">
        <f ca="1">IFERROR(__xludf.DUMMYFUNCTION("""COMPUTED_VALUE"""),"")</f>
        <v/>
      </c>
      <c r="O167" s="189" t="str">
        <f ca="1">IFERROR(__xludf.DUMMYFUNCTION("""COMPUTED_VALUE"""),"")</f>
        <v/>
      </c>
      <c r="P167" s="189" t="str">
        <f ca="1">IFERROR(__xludf.DUMMYFUNCTION("""COMPUTED_VALUE"""),"")</f>
        <v/>
      </c>
      <c r="Q167" s="189" t="str">
        <f ca="1">IFERROR(__xludf.DUMMYFUNCTION("""COMPUTED_VALUE"""),"")</f>
        <v/>
      </c>
      <c r="R167" s="189" t="str">
        <f ca="1">IFERROR(__xludf.DUMMYFUNCTION("""COMPUTED_VALUE"""),"")</f>
        <v/>
      </c>
      <c r="S167" s="189" t="str">
        <f ca="1">IFERROR(__xludf.DUMMYFUNCTION("""COMPUTED_VALUE"""),"")</f>
        <v/>
      </c>
      <c r="T167" s="189" t="str">
        <f ca="1">IFERROR(__xludf.DUMMYFUNCTION("""COMPUTED_VALUE"""),"")</f>
        <v/>
      </c>
      <c r="U167" s="189" t="str">
        <f ca="1">IFERROR(__xludf.DUMMYFUNCTION("""COMPUTED_VALUE"""),"")</f>
        <v/>
      </c>
      <c r="V167" s="189" t="str">
        <f ca="1">IFERROR(__xludf.DUMMYFUNCTION("""COMPUTED_VALUE"""),"")</f>
        <v/>
      </c>
      <c r="W167" s="189" t="str">
        <f ca="1">IFERROR(__xludf.DUMMYFUNCTION("""COMPUTED_VALUE"""),"")</f>
        <v/>
      </c>
      <c r="X167" s="189" t="str">
        <f ca="1">IFERROR(__xludf.DUMMYFUNCTION("""COMPUTED_VALUE"""),"")</f>
        <v/>
      </c>
      <c r="Y167" s="189" t="str">
        <f ca="1">IFERROR(__xludf.DUMMYFUNCTION("""COMPUTED_VALUE"""),"")</f>
        <v/>
      </c>
      <c r="Z167" s="189"/>
    </row>
    <row r="168" spans="1:26" ht="12.75">
      <c r="A168" s="189" t="str">
        <f ca="1">IFERROR(__xludf.DUMMYFUNCTION("""COMPUTED_VALUE"""),"")</f>
        <v/>
      </c>
      <c r="B168" s="189" t="str">
        <f ca="1">IFERROR(__xludf.DUMMYFUNCTION("""COMPUTED_VALUE"""),"")</f>
        <v/>
      </c>
      <c r="C168" s="189" t="str">
        <f ca="1">IFERROR(__xludf.DUMMYFUNCTION("""COMPUTED_VALUE"""),"")</f>
        <v/>
      </c>
      <c r="D168" s="189" t="str">
        <f ca="1">IFERROR(__xludf.DUMMYFUNCTION("""COMPUTED_VALUE"""),"")</f>
        <v/>
      </c>
      <c r="E168" s="189" t="str">
        <f ca="1">IFERROR(__xludf.DUMMYFUNCTION("""COMPUTED_VALUE"""),"")</f>
        <v/>
      </c>
      <c r="F168" s="189" t="str">
        <f ca="1">IFERROR(__xludf.DUMMYFUNCTION("""COMPUTED_VALUE"""),"")</f>
        <v/>
      </c>
      <c r="G168" s="189" t="str">
        <f ca="1">IFERROR(__xludf.DUMMYFUNCTION("""COMPUTED_VALUE"""),"")</f>
        <v/>
      </c>
      <c r="H168" s="189" t="str">
        <f ca="1">IFERROR(__xludf.DUMMYFUNCTION("""COMPUTED_VALUE"""),"")</f>
        <v/>
      </c>
      <c r="I168" s="120" t="str">
        <f ca="1">IFERROR(__xludf.DUMMYFUNCTION("""COMPUTED_VALUE"""),"")</f>
        <v/>
      </c>
      <c r="J168" s="189" t="str">
        <f ca="1">IFERROR(__xludf.DUMMYFUNCTION("""COMPUTED_VALUE"""),"")</f>
        <v/>
      </c>
      <c r="K168" s="189" t="str">
        <f ca="1">IFERROR(__xludf.DUMMYFUNCTION("""COMPUTED_VALUE"""),"")</f>
        <v/>
      </c>
      <c r="L168" s="189" t="str">
        <f ca="1">IFERROR(__xludf.DUMMYFUNCTION("""COMPUTED_VALUE"""),"")</f>
        <v/>
      </c>
      <c r="M168" s="189" t="str">
        <f ca="1">IFERROR(__xludf.DUMMYFUNCTION("""COMPUTED_VALUE"""),"")</f>
        <v/>
      </c>
      <c r="N168" s="189" t="str">
        <f ca="1">IFERROR(__xludf.DUMMYFUNCTION("""COMPUTED_VALUE"""),"")</f>
        <v/>
      </c>
      <c r="O168" s="189" t="str">
        <f ca="1">IFERROR(__xludf.DUMMYFUNCTION("""COMPUTED_VALUE"""),"")</f>
        <v/>
      </c>
      <c r="P168" s="189" t="str">
        <f ca="1">IFERROR(__xludf.DUMMYFUNCTION("""COMPUTED_VALUE"""),"")</f>
        <v/>
      </c>
      <c r="Q168" s="189" t="str">
        <f ca="1">IFERROR(__xludf.DUMMYFUNCTION("""COMPUTED_VALUE"""),"")</f>
        <v/>
      </c>
      <c r="R168" s="189" t="str">
        <f ca="1">IFERROR(__xludf.DUMMYFUNCTION("""COMPUTED_VALUE"""),"")</f>
        <v/>
      </c>
      <c r="S168" s="189" t="str">
        <f ca="1">IFERROR(__xludf.DUMMYFUNCTION("""COMPUTED_VALUE"""),"")</f>
        <v/>
      </c>
      <c r="T168" s="189" t="str">
        <f ca="1">IFERROR(__xludf.DUMMYFUNCTION("""COMPUTED_VALUE"""),"")</f>
        <v/>
      </c>
      <c r="U168" s="189" t="str">
        <f ca="1">IFERROR(__xludf.DUMMYFUNCTION("""COMPUTED_VALUE"""),"")</f>
        <v/>
      </c>
      <c r="V168" s="189" t="str">
        <f ca="1">IFERROR(__xludf.DUMMYFUNCTION("""COMPUTED_VALUE"""),"")</f>
        <v/>
      </c>
      <c r="W168" s="189" t="str">
        <f ca="1">IFERROR(__xludf.DUMMYFUNCTION("""COMPUTED_VALUE"""),"")</f>
        <v/>
      </c>
      <c r="X168" s="189" t="str">
        <f ca="1">IFERROR(__xludf.DUMMYFUNCTION("""COMPUTED_VALUE"""),"")</f>
        <v/>
      </c>
      <c r="Y168" s="189" t="str">
        <f ca="1">IFERROR(__xludf.DUMMYFUNCTION("""COMPUTED_VALUE"""),"")</f>
        <v/>
      </c>
      <c r="Z168" s="189"/>
    </row>
    <row r="169" spans="1:26" ht="12.75">
      <c r="A169" s="189" t="str">
        <f ca="1">IFERROR(__xludf.DUMMYFUNCTION("""COMPUTED_VALUE"""),"")</f>
        <v/>
      </c>
      <c r="B169" s="189" t="str">
        <f ca="1">IFERROR(__xludf.DUMMYFUNCTION("""COMPUTED_VALUE"""),"")</f>
        <v/>
      </c>
      <c r="C169" s="189" t="str">
        <f ca="1">IFERROR(__xludf.DUMMYFUNCTION("""COMPUTED_VALUE"""),"")</f>
        <v/>
      </c>
      <c r="D169" s="189" t="str">
        <f ca="1">IFERROR(__xludf.DUMMYFUNCTION("""COMPUTED_VALUE"""),"")</f>
        <v/>
      </c>
      <c r="E169" s="189" t="str">
        <f ca="1">IFERROR(__xludf.DUMMYFUNCTION("""COMPUTED_VALUE"""),"")</f>
        <v/>
      </c>
      <c r="F169" s="189" t="str">
        <f ca="1">IFERROR(__xludf.DUMMYFUNCTION("""COMPUTED_VALUE"""),"")</f>
        <v/>
      </c>
      <c r="G169" s="189" t="str">
        <f ca="1">IFERROR(__xludf.DUMMYFUNCTION("""COMPUTED_VALUE"""),"")</f>
        <v/>
      </c>
      <c r="H169" s="189" t="str">
        <f ca="1">IFERROR(__xludf.DUMMYFUNCTION("""COMPUTED_VALUE"""),"")</f>
        <v/>
      </c>
      <c r="I169" s="120" t="str">
        <f ca="1">IFERROR(__xludf.DUMMYFUNCTION("""COMPUTED_VALUE"""),"")</f>
        <v/>
      </c>
      <c r="J169" s="189" t="str">
        <f ca="1">IFERROR(__xludf.DUMMYFUNCTION("""COMPUTED_VALUE"""),"")</f>
        <v/>
      </c>
      <c r="K169" s="189" t="str">
        <f ca="1">IFERROR(__xludf.DUMMYFUNCTION("""COMPUTED_VALUE"""),"")</f>
        <v/>
      </c>
      <c r="L169" s="189" t="str">
        <f ca="1">IFERROR(__xludf.DUMMYFUNCTION("""COMPUTED_VALUE"""),"")</f>
        <v/>
      </c>
      <c r="M169" s="189" t="str">
        <f ca="1">IFERROR(__xludf.DUMMYFUNCTION("""COMPUTED_VALUE"""),"")</f>
        <v/>
      </c>
      <c r="N169" s="189" t="str">
        <f ca="1">IFERROR(__xludf.DUMMYFUNCTION("""COMPUTED_VALUE"""),"")</f>
        <v/>
      </c>
      <c r="O169" s="189" t="str">
        <f ca="1">IFERROR(__xludf.DUMMYFUNCTION("""COMPUTED_VALUE"""),"")</f>
        <v/>
      </c>
      <c r="P169" s="189" t="str">
        <f ca="1">IFERROR(__xludf.DUMMYFUNCTION("""COMPUTED_VALUE"""),"")</f>
        <v/>
      </c>
      <c r="Q169" s="189" t="str">
        <f ca="1">IFERROR(__xludf.DUMMYFUNCTION("""COMPUTED_VALUE"""),"")</f>
        <v/>
      </c>
      <c r="R169" s="189" t="str">
        <f ca="1">IFERROR(__xludf.DUMMYFUNCTION("""COMPUTED_VALUE"""),"")</f>
        <v/>
      </c>
      <c r="S169" s="189" t="str">
        <f ca="1">IFERROR(__xludf.DUMMYFUNCTION("""COMPUTED_VALUE"""),"")</f>
        <v/>
      </c>
      <c r="T169" s="189" t="str">
        <f ca="1">IFERROR(__xludf.DUMMYFUNCTION("""COMPUTED_VALUE"""),"")</f>
        <v/>
      </c>
      <c r="U169" s="189" t="str">
        <f ca="1">IFERROR(__xludf.DUMMYFUNCTION("""COMPUTED_VALUE"""),"")</f>
        <v/>
      </c>
      <c r="V169" s="189" t="str">
        <f ca="1">IFERROR(__xludf.DUMMYFUNCTION("""COMPUTED_VALUE"""),"")</f>
        <v/>
      </c>
      <c r="W169" s="189" t="str">
        <f ca="1">IFERROR(__xludf.DUMMYFUNCTION("""COMPUTED_VALUE"""),"")</f>
        <v/>
      </c>
      <c r="X169" s="189" t="str">
        <f ca="1">IFERROR(__xludf.DUMMYFUNCTION("""COMPUTED_VALUE"""),"")</f>
        <v/>
      </c>
      <c r="Y169" s="189" t="str">
        <f ca="1">IFERROR(__xludf.DUMMYFUNCTION("""COMPUTED_VALUE"""),"")</f>
        <v/>
      </c>
      <c r="Z169" s="189"/>
    </row>
    <row r="170" spans="1:26" ht="12.75">
      <c r="A170" s="189" t="str">
        <f ca="1">IFERROR(__xludf.DUMMYFUNCTION("""COMPUTED_VALUE"""),"")</f>
        <v/>
      </c>
      <c r="B170" s="189" t="str">
        <f ca="1">IFERROR(__xludf.DUMMYFUNCTION("""COMPUTED_VALUE"""),"")</f>
        <v/>
      </c>
      <c r="C170" s="189" t="str">
        <f ca="1">IFERROR(__xludf.DUMMYFUNCTION("""COMPUTED_VALUE"""),"")</f>
        <v/>
      </c>
      <c r="D170" s="189" t="str">
        <f ca="1">IFERROR(__xludf.DUMMYFUNCTION("""COMPUTED_VALUE"""),"")</f>
        <v/>
      </c>
      <c r="E170" s="189" t="str">
        <f ca="1">IFERROR(__xludf.DUMMYFUNCTION("""COMPUTED_VALUE"""),"")</f>
        <v/>
      </c>
      <c r="F170" s="189" t="str">
        <f ca="1">IFERROR(__xludf.DUMMYFUNCTION("""COMPUTED_VALUE"""),"")</f>
        <v/>
      </c>
      <c r="G170" s="189" t="str">
        <f ca="1">IFERROR(__xludf.DUMMYFUNCTION("""COMPUTED_VALUE"""),"")</f>
        <v/>
      </c>
      <c r="H170" s="189" t="str">
        <f ca="1">IFERROR(__xludf.DUMMYFUNCTION("""COMPUTED_VALUE"""),"")</f>
        <v/>
      </c>
      <c r="I170" s="120" t="str">
        <f ca="1">IFERROR(__xludf.DUMMYFUNCTION("""COMPUTED_VALUE"""),"")</f>
        <v/>
      </c>
      <c r="J170" s="189" t="str">
        <f ca="1">IFERROR(__xludf.DUMMYFUNCTION("""COMPUTED_VALUE"""),"")</f>
        <v/>
      </c>
      <c r="K170" s="189" t="str">
        <f ca="1">IFERROR(__xludf.DUMMYFUNCTION("""COMPUTED_VALUE"""),"")</f>
        <v/>
      </c>
      <c r="L170" s="189" t="str">
        <f ca="1">IFERROR(__xludf.DUMMYFUNCTION("""COMPUTED_VALUE"""),"")</f>
        <v/>
      </c>
      <c r="M170" s="189" t="str">
        <f ca="1">IFERROR(__xludf.DUMMYFUNCTION("""COMPUTED_VALUE"""),"")</f>
        <v/>
      </c>
      <c r="N170" s="189" t="str">
        <f ca="1">IFERROR(__xludf.DUMMYFUNCTION("""COMPUTED_VALUE"""),"")</f>
        <v/>
      </c>
      <c r="O170" s="189" t="str">
        <f ca="1">IFERROR(__xludf.DUMMYFUNCTION("""COMPUTED_VALUE"""),"")</f>
        <v/>
      </c>
      <c r="P170" s="189" t="str">
        <f ca="1">IFERROR(__xludf.DUMMYFUNCTION("""COMPUTED_VALUE"""),"")</f>
        <v/>
      </c>
      <c r="Q170" s="189" t="str">
        <f ca="1">IFERROR(__xludf.DUMMYFUNCTION("""COMPUTED_VALUE"""),"")</f>
        <v/>
      </c>
      <c r="R170" s="189" t="str">
        <f ca="1">IFERROR(__xludf.DUMMYFUNCTION("""COMPUTED_VALUE"""),"")</f>
        <v/>
      </c>
      <c r="S170" s="189" t="str">
        <f ca="1">IFERROR(__xludf.DUMMYFUNCTION("""COMPUTED_VALUE"""),"")</f>
        <v/>
      </c>
      <c r="T170" s="189" t="str">
        <f ca="1">IFERROR(__xludf.DUMMYFUNCTION("""COMPUTED_VALUE"""),"")</f>
        <v/>
      </c>
      <c r="U170" s="189" t="str">
        <f ca="1">IFERROR(__xludf.DUMMYFUNCTION("""COMPUTED_VALUE"""),"")</f>
        <v/>
      </c>
      <c r="V170" s="189" t="str">
        <f ca="1">IFERROR(__xludf.DUMMYFUNCTION("""COMPUTED_VALUE"""),"")</f>
        <v/>
      </c>
      <c r="W170" s="189" t="str">
        <f ca="1">IFERROR(__xludf.DUMMYFUNCTION("""COMPUTED_VALUE"""),"")</f>
        <v/>
      </c>
      <c r="X170" s="189" t="str">
        <f ca="1">IFERROR(__xludf.DUMMYFUNCTION("""COMPUTED_VALUE"""),"")</f>
        <v/>
      </c>
      <c r="Y170" s="189" t="str">
        <f ca="1">IFERROR(__xludf.DUMMYFUNCTION("""COMPUTED_VALUE"""),"")</f>
        <v/>
      </c>
      <c r="Z170" s="189"/>
    </row>
    <row r="171" spans="1:26" ht="12.75">
      <c r="A171" s="189" t="str">
        <f ca="1">IFERROR(__xludf.DUMMYFUNCTION("""COMPUTED_VALUE"""),"")</f>
        <v/>
      </c>
      <c r="B171" s="189" t="str">
        <f ca="1">IFERROR(__xludf.DUMMYFUNCTION("""COMPUTED_VALUE"""),"")</f>
        <v/>
      </c>
      <c r="C171" s="189" t="str">
        <f ca="1">IFERROR(__xludf.DUMMYFUNCTION("""COMPUTED_VALUE"""),"")</f>
        <v/>
      </c>
      <c r="D171" s="189" t="str">
        <f ca="1">IFERROR(__xludf.DUMMYFUNCTION("""COMPUTED_VALUE"""),"")</f>
        <v/>
      </c>
      <c r="E171" s="189" t="str">
        <f ca="1">IFERROR(__xludf.DUMMYFUNCTION("""COMPUTED_VALUE"""),"")</f>
        <v/>
      </c>
      <c r="F171" s="189" t="str">
        <f ca="1">IFERROR(__xludf.DUMMYFUNCTION("""COMPUTED_VALUE"""),"")</f>
        <v/>
      </c>
      <c r="G171" s="189" t="str">
        <f ca="1">IFERROR(__xludf.DUMMYFUNCTION("""COMPUTED_VALUE"""),"")</f>
        <v/>
      </c>
      <c r="H171" s="189" t="str">
        <f ca="1">IFERROR(__xludf.DUMMYFUNCTION("""COMPUTED_VALUE"""),"")</f>
        <v/>
      </c>
      <c r="I171" s="120" t="str">
        <f ca="1">IFERROR(__xludf.DUMMYFUNCTION("""COMPUTED_VALUE"""),"")</f>
        <v/>
      </c>
      <c r="J171" s="189" t="str">
        <f ca="1">IFERROR(__xludf.DUMMYFUNCTION("""COMPUTED_VALUE"""),"")</f>
        <v/>
      </c>
      <c r="K171" s="189" t="str">
        <f ca="1">IFERROR(__xludf.DUMMYFUNCTION("""COMPUTED_VALUE"""),"")</f>
        <v/>
      </c>
      <c r="L171" s="189" t="str">
        <f ca="1">IFERROR(__xludf.DUMMYFUNCTION("""COMPUTED_VALUE"""),"")</f>
        <v/>
      </c>
      <c r="M171" s="189" t="str">
        <f ca="1">IFERROR(__xludf.DUMMYFUNCTION("""COMPUTED_VALUE"""),"")</f>
        <v/>
      </c>
      <c r="N171" s="189" t="str">
        <f ca="1">IFERROR(__xludf.DUMMYFUNCTION("""COMPUTED_VALUE"""),"")</f>
        <v/>
      </c>
      <c r="O171" s="189" t="str">
        <f ca="1">IFERROR(__xludf.DUMMYFUNCTION("""COMPUTED_VALUE"""),"")</f>
        <v/>
      </c>
      <c r="P171" s="189" t="str">
        <f ca="1">IFERROR(__xludf.DUMMYFUNCTION("""COMPUTED_VALUE"""),"")</f>
        <v/>
      </c>
      <c r="Q171" s="189" t="str">
        <f ca="1">IFERROR(__xludf.DUMMYFUNCTION("""COMPUTED_VALUE"""),"")</f>
        <v/>
      </c>
      <c r="R171" s="189" t="str">
        <f ca="1">IFERROR(__xludf.DUMMYFUNCTION("""COMPUTED_VALUE"""),"")</f>
        <v/>
      </c>
      <c r="S171" s="189" t="str">
        <f ca="1">IFERROR(__xludf.DUMMYFUNCTION("""COMPUTED_VALUE"""),"")</f>
        <v/>
      </c>
      <c r="T171" s="189" t="str">
        <f ca="1">IFERROR(__xludf.DUMMYFUNCTION("""COMPUTED_VALUE"""),"")</f>
        <v/>
      </c>
      <c r="U171" s="189" t="str">
        <f ca="1">IFERROR(__xludf.DUMMYFUNCTION("""COMPUTED_VALUE"""),"")</f>
        <v/>
      </c>
      <c r="V171" s="189" t="str">
        <f ca="1">IFERROR(__xludf.DUMMYFUNCTION("""COMPUTED_VALUE"""),"")</f>
        <v/>
      </c>
      <c r="W171" s="189" t="str">
        <f ca="1">IFERROR(__xludf.DUMMYFUNCTION("""COMPUTED_VALUE"""),"")</f>
        <v/>
      </c>
      <c r="X171" s="189" t="str">
        <f ca="1">IFERROR(__xludf.DUMMYFUNCTION("""COMPUTED_VALUE"""),"")</f>
        <v/>
      </c>
      <c r="Y171" s="189" t="str">
        <f ca="1">IFERROR(__xludf.DUMMYFUNCTION("""COMPUTED_VALUE"""),"")</f>
        <v/>
      </c>
      <c r="Z171" s="189"/>
    </row>
    <row r="172" spans="1:26" ht="12.75">
      <c r="A172" s="189" t="str">
        <f ca="1">IFERROR(__xludf.DUMMYFUNCTION("""COMPUTED_VALUE"""),"")</f>
        <v/>
      </c>
      <c r="B172" s="189" t="str">
        <f ca="1">IFERROR(__xludf.DUMMYFUNCTION("""COMPUTED_VALUE"""),"")</f>
        <v/>
      </c>
      <c r="C172" s="189" t="str">
        <f ca="1">IFERROR(__xludf.DUMMYFUNCTION("""COMPUTED_VALUE"""),"")</f>
        <v/>
      </c>
      <c r="D172" s="189" t="str">
        <f ca="1">IFERROR(__xludf.DUMMYFUNCTION("""COMPUTED_VALUE"""),"")</f>
        <v/>
      </c>
      <c r="E172" s="189" t="str">
        <f ca="1">IFERROR(__xludf.DUMMYFUNCTION("""COMPUTED_VALUE"""),"")</f>
        <v/>
      </c>
      <c r="F172" s="189" t="str">
        <f ca="1">IFERROR(__xludf.DUMMYFUNCTION("""COMPUTED_VALUE"""),"")</f>
        <v/>
      </c>
      <c r="G172" s="189" t="str">
        <f ca="1">IFERROR(__xludf.DUMMYFUNCTION("""COMPUTED_VALUE"""),"")</f>
        <v/>
      </c>
      <c r="H172" s="189" t="str">
        <f ca="1">IFERROR(__xludf.DUMMYFUNCTION("""COMPUTED_VALUE"""),"")</f>
        <v/>
      </c>
      <c r="I172" s="120" t="str">
        <f ca="1">IFERROR(__xludf.DUMMYFUNCTION("""COMPUTED_VALUE"""),"")</f>
        <v/>
      </c>
      <c r="J172" s="189" t="str">
        <f ca="1">IFERROR(__xludf.DUMMYFUNCTION("""COMPUTED_VALUE"""),"")</f>
        <v/>
      </c>
      <c r="K172" s="189" t="str">
        <f ca="1">IFERROR(__xludf.DUMMYFUNCTION("""COMPUTED_VALUE"""),"")</f>
        <v/>
      </c>
      <c r="L172" s="189" t="str">
        <f ca="1">IFERROR(__xludf.DUMMYFUNCTION("""COMPUTED_VALUE"""),"")</f>
        <v/>
      </c>
      <c r="M172" s="189" t="str">
        <f ca="1">IFERROR(__xludf.DUMMYFUNCTION("""COMPUTED_VALUE"""),"")</f>
        <v/>
      </c>
      <c r="N172" s="189" t="str">
        <f ca="1">IFERROR(__xludf.DUMMYFUNCTION("""COMPUTED_VALUE"""),"")</f>
        <v/>
      </c>
      <c r="O172" s="189" t="str">
        <f ca="1">IFERROR(__xludf.DUMMYFUNCTION("""COMPUTED_VALUE"""),"")</f>
        <v/>
      </c>
      <c r="P172" s="189" t="str">
        <f ca="1">IFERROR(__xludf.DUMMYFUNCTION("""COMPUTED_VALUE"""),"")</f>
        <v/>
      </c>
      <c r="Q172" s="189" t="str">
        <f ca="1">IFERROR(__xludf.DUMMYFUNCTION("""COMPUTED_VALUE"""),"")</f>
        <v/>
      </c>
      <c r="R172" s="189" t="str">
        <f ca="1">IFERROR(__xludf.DUMMYFUNCTION("""COMPUTED_VALUE"""),"")</f>
        <v/>
      </c>
      <c r="S172" s="189" t="str">
        <f ca="1">IFERROR(__xludf.DUMMYFUNCTION("""COMPUTED_VALUE"""),"")</f>
        <v/>
      </c>
      <c r="T172" s="189" t="str">
        <f ca="1">IFERROR(__xludf.DUMMYFUNCTION("""COMPUTED_VALUE"""),"")</f>
        <v/>
      </c>
      <c r="U172" s="189" t="str">
        <f ca="1">IFERROR(__xludf.DUMMYFUNCTION("""COMPUTED_VALUE"""),"")</f>
        <v/>
      </c>
      <c r="V172" s="189" t="str">
        <f ca="1">IFERROR(__xludf.DUMMYFUNCTION("""COMPUTED_VALUE"""),"")</f>
        <v/>
      </c>
      <c r="W172" s="189" t="str">
        <f ca="1">IFERROR(__xludf.DUMMYFUNCTION("""COMPUTED_VALUE"""),"")</f>
        <v/>
      </c>
      <c r="X172" s="189" t="str">
        <f ca="1">IFERROR(__xludf.DUMMYFUNCTION("""COMPUTED_VALUE"""),"")</f>
        <v/>
      </c>
      <c r="Y172" s="189" t="str">
        <f ca="1">IFERROR(__xludf.DUMMYFUNCTION("""COMPUTED_VALUE"""),"")</f>
        <v/>
      </c>
      <c r="Z172" s="189"/>
    </row>
    <row r="173" spans="1:26" ht="12.75">
      <c r="A173" s="189" t="str">
        <f ca="1">IFERROR(__xludf.DUMMYFUNCTION("""COMPUTED_VALUE"""),"")</f>
        <v/>
      </c>
      <c r="B173" s="189" t="str">
        <f ca="1">IFERROR(__xludf.DUMMYFUNCTION("""COMPUTED_VALUE"""),"")</f>
        <v/>
      </c>
      <c r="C173" s="189" t="str">
        <f ca="1">IFERROR(__xludf.DUMMYFUNCTION("""COMPUTED_VALUE"""),"")</f>
        <v/>
      </c>
      <c r="D173" s="189" t="str">
        <f ca="1">IFERROR(__xludf.DUMMYFUNCTION("""COMPUTED_VALUE"""),"")</f>
        <v/>
      </c>
      <c r="E173" s="189" t="str">
        <f ca="1">IFERROR(__xludf.DUMMYFUNCTION("""COMPUTED_VALUE"""),"")</f>
        <v/>
      </c>
      <c r="F173" s="189" t="str">
        <f ca="1">IFERROR(__xludf.DUMMYFUNCTION("""COMPUTED_VALUE"""),"")</f>
        <v/>
      </c>
      <c r="G173" s="189" t="str">
        <f ca="1">IFERROR(__xludf.DUMMYFUNCTION("""COMPUTED_VALUE"""),"")</f>
        <v/>
      </c>
      <c r="H173" s="189" t="str">
        <f ca="1">IFERROR(__xludf.DUMMYFUNCTION("""COMPUTED_VALUE"""),"")</f>
        <v/>
      </c>
      <c r="I173" s="120" t="str">
        <f ca="1">IFERROR(__xludf.DUMMYFUNCTION("""COMPUTED_VALUE"""),"")</f>
        <v/>
      </c>
      <c r="J173" s="189" t="str">
        <f ca="1">IFERROR(__xludf.DUMMYFUNCTION("""COMPUTED_VALUE"""),"")</f>
        <v/>
      </c>
      <c r="K173" s="189" t="str">
        <f ca="1">IFERROR(__xludf.DUMMYFUNCTION("""COMPUTED_VALUE"""),"")</f>
        <v/>
      </c>
      <c r="L173" s="189" t="str">
        <f ca="1">IFERROR(__xludf.DUMMYFUNCTION("""COMPUTED_VALUE"""),"")</f>
        <v/>
      </c>
      <c r="M173" s="189" t="str">
        <f ca="1">IFERROR(__xludf.DUMMYFUNCTION("""COMPUTED_VALUE"""),"")</f>
        <v/>
      </c>
      <c r="N173" s="189" t="str">
        <f ca="1">IFERROR(__xludf.DUMMYFUNCTION("""COMPUTED_VALUE"""),"")</f>
        <v/>
      </c>
      <c r="O173" s="189" t="str">
        <f ca="1">IFERROR(__xludf.DUMMYFUNCTION("""COMPUTED_VALUE"""),"")</f>
        <v/>
      </c>
      <c r="P173" s="189" t="str">
        <f ca="1">IFERROR(__xludf.DUMMYFUNCTION("""COMPUTED_VALUE"""),"")</f>
        <v/>
      </c>
      <c r="Q173" s="189" t="str">
        <f ca="1">IFERROR(__xludf.DUMMYFUNCTION("""COMPUTED_VALUE"""),"")</f>
        <v/>
      </c>
      <c r="R173" s="189" t="str">
        <f ca="1">IFERROR(__xludf.DUMMYFUNCTION("""COMPUTED_VALUE"""),"")</f>
        <v/>
      </c>
      <c r="S173" s="189" t="str">
        <f ca="1">IFERROR(__xludf.DUMMYFUNCTION("""COMPUTED_VALUE"""),"")</f>
        <v/>
      </c>
      <c r="T173" s="189" t="str">
        <f ca="1">IFERROR(__xludf.DUMMYFUNCTION("""COMPUTED_VALUE"""),"")</f>
        <v/>
      </c>
      <c r="U173" s="189" t="str">
        <f ca="1">IFERROR(__xludf.DUMMYFUNCTION("""COMPUTED_VALUE"""),"")</f>
        <v/>
      </c>
      <c r="V173" s="189" t="str">
        <f ca="1">IFERROR(__xludf.DUMMYFUNCTION("""COMPUTED_VALUE"""),"")</f>
        <v/>
      </c>
      <c r="W173" s="189" t="str">
        <f ca="1">IFERROR(__xludf.DUMMYFUNCTION("""COMPUTED_VALUE"""),"")</f>
        <v/>
      </c>
      <c r="X173" s="189" t="str">
        <f ca="1">IFERROR(__xludf.DUMMYFUNCTION("""COMPUTED_VALUE"""),"")</f>
        <v/>
      </c>
      <c r="Y173" s="189" t="str">
        <f ca="1">IFERROR(__xludf.DUMMYFUNCTION("""COMPUTED_VALUE"""),"")</f>
        <v/>
      </c>
      <c r="Z173" s="189"/>
    </row>
    <row r="174" spans="1:26" ht="12.75">
      <c r="A174" s="189" t="str">
        <f ca="1">IFERROR(__xludf.DUMMYFUNCTION("""COMPUTED_VALUE"""),"")</f>
        <v/>
      </c>
      <c r="B174" s="189" t="str">
        <f ca="1">IFERROR(__xludf.DUMMYFUNCTION("""COMPUTED_VALUE"""),"")</f>
        <v/>
      </c>
      <c r="C174" s="189" t="str">
        <f ca="1">IFERROR(__xludf.DUMMYFUNCTION("""COMPUTED_VALUE"""),"")</f>
        <v/>
      </c>
      <c r="D174" s="189" t="str">
        <f ca="1">IFERROR(__xludf.DUMMYFUNCTION("""COMPUTED_VALUE"""),"")</f>
        <v/>
      </c>
      <c r="E174" s="189" t="str">
        <f ca="1">IFERROR(__xludf.DUMMYFUNCTION("""COMPUTED_VALUE"""),"")</f>
        <v/>
      </c>
      <c r="F174" s="189" t="str">
        <f ca="1">IFERROR(__xludf.DUMMYFUNCTION("""COMPUTED_VALUE"""),"")</f>
        <v/>
      </c>
      <c r="G174" s="189" t="str">
        <f ca="1">IFERROR(__xludf.DUMMYFUNCTION("""COMPUTED_VALUE"""),"")</f>
        <v/>
      </c>
      <c r="H174" s="189" t="str">
        <f ca="1">IFERROR(__xludf.DUMMYFUNCTION("""COMPUTED_VALUE"""),"")</f>
        <v/>
      </c>
      <c r="I174" s="120" t="str">
        <f ca="1">IFERROR(__xludf.DUMMYFUNCTION("""COMPUTED_VALUE"""),"")</f>
        <v/>
      </c>
      <c r="J174" s="189" t="str">
        <f ca="1">IFERROR(__xludf.DUMMYFUNCTION("""COMPUTED_VALUE"""),"")</f>
        <v/>
      </c>
      <c r="K174" s="189" t="str">
        <f ca="1">IFERROR(__xludf.DUMMYFUNCTION("""COMPUTED_VALUE"""),"")</f>
        <v/>
      </c>
      <c r="L174" s="189" t="str">
        <f ca="1">IFERROR(__xludf.DUMMYFUNCTION("""COMPUTED_VALUE"""),"")</f>
        <v/>
      </c>
      <c r="M174" s="189" t="str">
        <f ca="1">IFERROR(__xludf.DUMMYFUNCTION("""COMPUTED_VALUE"""),"")</f>
        <v/>
      </c>
      <c r="N174" s="189" t="str">
        <f ca="1">IFERROR(__xludf.DUMMYFUNCTION("""COMPUTED_VALUE"""),"")</f>
        <v/>
      </c>
      <c r="O174" s="189" t="str">
        <f ca="1">IFERROR(__xludf.DUMMYFUNCTION("""COMPUTED_VALUE"""),"")</f>
        <v/>
      </c>
      <c r="P174" s="189" t="str">
        <f ca="1">IFERROR(__xludf.DUMMYFUNCTION("""COMPUTED_VALUE"""),"")</f>
        <v/>
      </c>
      <c r="Q174" s="189" t="str">
        <f ca="1">IFERROR(__xludf.DUMMYFUNCTION("""COMPUTED_VALUE"""),"")</f>
        <v/>
      </c>
      <c r="R174" s="189" t="str">
        <f ca="1">IFERROR(__xludf.DUMMYFUNCTION("""COMPUTED_VALUE"""),"")</f>
        <v/>
      </c>
      <c r="S174" s="189" t="str">
        <f ca="1">IFERROR(__xludf.DUMMYFUNCTION("""COMPUTED_VALUE"""),"")</f>
        <v/>
      </c>
      <c r="T174" s="189" t="str">
        <f ca="1">IFERROR(__xludf.DUMMYFUNCTION("""COMPUTED_VALUE"""),"")</f>
        <v/>
      </c>
      <c r="U174" s="189" t="str">
        <f ca="1">IFERROR(__xludf.DUMMYFUNCTION("""COMPUTED_VALUE"""),"")</f>
        <v/>
      </c>
      <c r="V174" s="189" t="str">
        <f ca="1">IFERROR(__xludf.DUMMYFUNCTION("""COMPUTED_VALUE"""),"")</f>
        <v/>
      </c>
      <c r="W174" s="189" t="str">
        <f ca="1">IFERROR(__xludf.DUMMYFUNCTION("""COMPUTED_VALUE"""),"")</f>
        <v/>
      </c>
      <c r="X174" s="189" t="str">
        <f ca="1">IFERROR(__xludf.DUMMYFUNCTION("""COMPUTED_VALUE"""),"")</f>
        <v/>
      </c>
      <c r="Y174" s="189" t="str">
        <f ca="1">IFERROR(__xludf.DUMMYFUNCTION("""COMPUTED_VALUE"""),"")</f>
        <v/>
      </c>
      <c r="Z174" s="189"/>
    </row>
    <row r="175" spans="1:26" ht="12.75">
      <c r="A175" s="189" t="str">
        <f ca="1">IFERROR(__xludf.DUMMYFUNCTION("""COMPUTED_VALUE"""),"")</f>
        <v/>
      </c>
      <c r="B175" s="189" t="str">
        <f ca="1">IFERROR(__xludf.DUMMYFUNCTION("""COMPUTED_VALUE"""),"")</f>
        <v/>
      </c>
      <c r="C175" s="189" t="str">
        <f ca="1">IFERROR(__xludf.DUMMYFUNCTION("""COMPUTED_VALUE"""),"")</f>
        <v/>
      </c>
      <c r="D175" s="189" t="str">
        <f ca="1">IFERROR(__xludf.DUMMYFUNCTION("""COMPUTED_VALUE"""),"")</f>
        <v/>
      </c>
      <c r="E175" s="189" t="str">
        <f ca="1">IFERROR(__xludf.DUMMYFUNCTION("""COMPUTED_VALUE"""),"")</f>
        <v/>
      </c>
      <c r="F175" s="189" t="str">
        <f ca="1">IFERROR(__xludf.DUMMYFUNCTION("""COMPUTED_VALUE"""),"")</f>
        <v/>
      </c>
      <c r="G175" s="189" t="str">
        <f ca="1">IFERROR(__xludf.DUMMYFUNCTION("""COMPUTED_VALUE"""),"")</f>
        <v/>
      </c>
      <c r="H175" s="189" t="str">
        <f ca="1">IFERROR(__xludf.DUMMYFUNCTION("""COMPUTED_VALUE"""),"")</f>
        <v/>
      </c>
      <c r="I175" s="120" t="str">
        <f ca="1">IFERROR(__xludf.DUMMYFUNCTION("""COMPUTED_VALUE"""),"")</f>
        <v/>
      </c>
      <c r="J175" s="189" t="str">
        <f ca="1">IFERROR(__xludf.DUMMYFUNCTION("""COMPUTED_VALUE"""),"")</f>
        <v/>
      </c>
      <c r="K175" s="189" t="str">
        <f ca="1">IFERROR(__xludf.DUMMYFUNCTION("""COMPUTED_VALUE"""),"")</f>
        <v/>
      </c>
      <c r="L175" s="189" t="str">
        <f ca="1">IFERROR(__xludf.DUMMYFUNCTION("""COMPUTED_VALUE"""),"")</f>
        <v/>
      </c>
      <c r="M175" s="189" t="str">
        <f ca="1">IFERROR(__xludf.DUMMYFUNCTION("""COMPUTED_VALUE"""),"")</f>
        <v/>
      </c>
      <c r="N175" s="189" t="str">
        <f ca="1">IFERROR(__xludf.DUMMYFUNCTION("""COMPUTED_VALUE"""),"")</f>
        <v/>
      </c>
      <c r="O175" s="189" t="str">
        <f ca="1">IFERROR(__xludf.DUMMYFUNCTION("""COMPUTED_VALUE"""),"")</f>
        <v/>
      </c>
      <c r="P175" s="189" t="str">
        <f ca="1">IFERROR(__xludf.DUMMYFUNCTION("""COMPUTED_VALUE"""),"")</f>
        <v/>
      </c>
      <c r="Q175" s="189" t="str">
        <f ca="1">IFERROR(__xludf.DUMMYFUNCTION("""COMPUTED_VALUE"""),"")</f>
        <v/>
      </c>
      <c r="R175" s="189" t="str">
        <f ca="1">IFERROR(__xludf.DUMMYFUNCTION("""COMPUTED_VALUE"""),"")</f>
        <v/>
      </c>
      <c r="S175" s="189" t="str">
        <f ca="1">IFERROR(__xludf.DUMMYFUNCTION("""COMPUTED_VALUE"""),"")</f>
        <v/>
      </c>
      <c r="T175" s="189" t="str">
        <f ca="1">IFERROR(__xludf.DUMMYFUNCTION("""COMPUTED_VALUE"""),"")</f>
        <v/>
      </c>
      <c r="U175" s="189" t="str">
        <f ca="1">IFERROR(__xludf.DUMMYFUNCTION("""COMPUTED_VALUE"""),"")</f>
        <v/>
      </c>
      <c r="V175" s="189" t="str">
        <f ca="1">IFERROR(__xludf.DUMMYFUNCTION("""COMPUTED_VALUE"""),"")</f>
        <v/>
      </c>
      <c r="W175" s="189" t="str">
        <f ca="1">IFERROR(__xludf.DUMMYFUNCTION("""COMPUTED_VALUE"""),"")</f>
        <v/>
      </c>
      <c r="X175" s="189" t="str">
        <f ca="1">IFERROR(__xludf.DUMMYFUNCTION("""COMPUTED_VALUE"""),"")</f>
        <v/>
      </c>
      <c r="Y175" s="189" t="str">
        <f ca="1">IFERROR(__xludf.DUMMYFUNCTION("""COMPUTED_VALUE"""),"")</f>
        <v/>
      </c>
      <c r="Z175" s="189"/>
    </row>
    <row r="176" spans="1:26" ht="12.75">
      <c r="A176" s="189" t="str">
        <f ca="1">IFERROR(__xludf.DUMMYFUNCTION("""COMPUTED_VALUE"""),"")</f>
        <v/>
      </c>
      <c r="B176" s="189" t="str">
        <f ca="1">IFERROR(__xludf.DUMMYFUNCTION("""COMPUTED_VALUE"""),"")</f>
        <v/>
      </c>
      <c r="C176" s="189" t="str">
        <f ca="1">IFERROR(__xludf.DUMMYFUNCTION("""COMPUTED_VALUE"""),"")</f>
        <v/>
      </c>
      <c r="D176" s="189" t="str">
        <f ca="1">IFERROR(__xludf.DUMMYFUNCTION("""COMPUTED_VALUE"""),"")</f>
        <v/>
      </c>
      <c r="E176" s="189" t="str">
        <f ca="1">IFERROR(__xludf.DUMMYFUNCTION("""COMPUTED_VALUE"""),"")</f>
        <v/>
      </c>
      <c r="F176" s="189" t="str">
        <f ca="1">IFERROR(__xludf.DUMMYFUNCTION("""COMPUTED_VALUE"""),"")</f>
        <v/>
      </c>
      <c r="G176" s="189" t="str">
        <f ca="1">IFERROR(__xludf.DUMMYFUNCTION("""COMPUTED_VALUE"""),"")</f>
        <v/>
      </c>
      <c r="H176" s="189" t="str">
        <f ca="1">IFERROR(__xludf.DUMMYFUNCTION("""COMPUTED_VALUE"""),"")</f>
        <v/>
      </c>
      <c r="I176" s="120" t="str">
        <f ca="1">IFERROR(__xludf.DUMMYFUNCTION("""COMPUTED_VALUE"""),"")</f>
        <v/>
      </c>
      <c r="J176" s="189" t="str">
        <f ca="1">IFERROR(__xludf.DUMMYFUNCTION("""COMPUTED_VALUE"""),"")</f>
        <v/>
      </c>
      <c r="K176" s="189" t="str">
        <f ca="1">IFERROR(__xludf.DUMMYFUNCTION("""COMPUTED_VALUE"""),"")</f>
        <v/>
      </c>
      <c r="L176" s="189" t="str">
        <f ca="1">IFERROR(__xludf.DUMMYFUNCTION("""COMPUTED_VALUE"""),"")</f>
        <v/>
      </c>
      <c r="M176" s="189" t="str">
        <f ca="1">IFERROR(__xludf.DUMMYFUNCTION("""COMPUTED_VALUE"""),"")</f>
        <v/>
      </c>
      <c r="N176" s="189" t="str">
        <f ca="1">IFERROR(__xludf.DUMMYFUNCTION("""COMPUTED_VALUE"""),"")</f>
        <v/>
      </c>
      <c r="O176" s="189" t="str">
        <f ca="1">IFERROR(__xludf.DUMMYFUNCTION("""COMPUTED_VALUE"""),"")</f>
        <v/>
      </c>
      <c r="P176" s="189" t="str">
        <f ca="1">IFERROR(__xludf.DUMMYFUNCTION("""COMPUTED_VALUE"""),"")</f>
        <v/>
      </c>
      <c r="Q176" s="189" t="str">
        <f ca="1">IFERROR(__xludf.DUMMYFUNCTION("""COMPUTED_VALUE"""),"")</f>
        <v/>
      </c>
      <c r="R176" s="189" t="str">
        <f ca="1">IFERROR(__xludf.DUMMYFUNCTION("""COMPUTED_VALUE"""),"")</f>
        <v/>
      </c>
      <c r="S176" s="189" t="str">
        <f ca="1">IFERROR(__xludf.DUMMYFUNCTION("""COMPUTED_VALUE"""),"")</f>
        <v/>
      </c>
      <c r="T176" s="189" t="str">
        <f ca="1">IFERROR(__xludf.DUMMYFUNCTION("""COMPUTED_VALUE"""),"")</f>
        <v/>
      </c>
      <c r="U176" s="189" t="str">
        <f ca="1">IFERROR(__xludf.DUMMYFUNCTION("""COMPUTED_VALUE"""),"")</f>
        <v/>
      </c>
      <c r="V176" s="189" t="str">
        <f ca="1">IFERROR(__xludf.DUMMYFUNCTION("""COMPUTED_VALUE"""),"")</f>
        <v/>
      </c>
      <c r="W176" s="189" t="str">
        <f ca="1">IFERROR(__xludf.DUMMYFUNCTION("""COMPUTED_VALUE"""),"")</f>
        <v/>
      </c>
      <c r="X176" s="189" t="str">
        <f ca="1">IFERROR(__xludf.DUMMYFUNCTION("""COMPUTED_VALUE"""),"")</f>
        <v/>
      </c>
      <c r="Y176" s="189" t="str">
        <f ca="1">IFERROR(__xludf.DUMMYFUNCTION("""COMPUTED_VALUE"""),"")</f>
        <v/>
      </c>
      <c r="Z176" s="189"/>
    </row>
    <row r="177" spans="1:26" ht="12.75">
      <c r="A177" s="189" t="str">
        <f ca="1">IFERROR(__xludf.DUMMYFUNCTION("""COMPUTED_VALUE"""),"")</f>
        <v/>
      </c>
      <c r="B177" s="189" t="str">
        <f ca="1">IFERROR(__xludf.DUMMYFUNCTION("""COMPUTED_VALUE"""),"")</f>
        <v/>
      </c>
      <c r="C177" s="189" t="str">
        <f ca="1">IFERROR(__xludf.DUMMYFUNCTION("""COMPUTED_VALUE"""),"")</f>
        <v/>
      </c>
      <c r="D177" s="189" t="str">
        <f ca="1">IFERROR(__xludf.DUMMYFUNCTION("""COMPUTED_VALUE"""),"")</f>
        <v/>
      </c>
      <c r="E177" s="189" t="str">
        <f ca="1">IFERROR(__xludf.DUMMYFUNCTION("""COMPUTED_VALUE"""),"")</f>
        <v/>
      </c>
      <c r="F177" s="189" t="str">
        <f ca="1">IFERROR(__xludf.DUMMYFUNCTION("""COMPUTED_VALUE"""),"")</f>
        <v/>
      </c>
      <c r="G177" s="189" t="str">
        <f ca="1">IFERROR(__xludf.DUMMYFUNCTION("""COMPUTED_VALUE"""),"")</f>
        <v/>
      </c>
      <c r="H177" s="189" t="str">
        <f ca="1">IFERROR(__xludf.DUMMYFUNCTION("""COMPUTED_VALUE"""),"")</f>
        <v/>
      </c>
      <c r="I177" s="120" t="str">
        <f ca="1">IFERROR(__xludf.DUMMYFUNCTION("""COMPUTED_VALUE"""),"")</f>
        <v/>
      </c>
      <c r="J177" s="189" t="str">
        <f ca="1">IFERROR(__xludf.DUMMYFUNCTION("""COMPUTED_VALUE"""),"")</f>
        <v/>
      </c>
      <c r="K177" s="189" t="str">
        <f ca="1">IFERROR(__xludf.DUMMYFUNCTION("""COMPUTED_VALUE"""),"")</f>
        <v/>
      </c>
      <c r="L177" s="189" t="str">
        <f ca="1">IFERROR(__xludf.DUMMYFUNCTION("""COMPUTED_VALUE"""),"")</f>
        <v/>
      </c>
      <c r="M177" s="189" t="str">
        <f ca="1">IFERROR(__xludf.DUMMYFUNCTION("""COMPUTED_VALUE"""),"")</f>
        <v/>
      </c>
      <c r="N177" s="189" t="str">
        <f ca="1">IFERROR(__xludf.DUMMYFUNCTION("""COMPUTED_VALUE"""),"")</f>
        <v/>
      </c>
      <c r="O177" s="189" t="str">
        <f ca="1">IFERROR(__xludf.DUMMYFUNCTION("""COMPUTED_VALUE"""),"")</f>
        <v/>
      </c>
      <c r="P177" s="189" t="str">
        <f ca="1">IFERROR(__xludf.DUMMYFUNCTION("""COMPUTED_VALUE"""),"")</f>
        <v/>
      </c>
      <c r="Q177" s="189" t="str">
        <f ca="1">IFERROR(__xludf.DUMMYFUNCTION("""COMPUTED_VALUE"""),"")</f>
        <v/>
      </c>
      <c r="R177" s="189" t="str">
        <f ca="1">IFERROR(__xludf.DUMMYFUNCTION("""COMPUTED_VALUE"""),"")</f>
        <v/>
      </c>
      <c r="S177" s="189" t="str">
        <f ca="1">IFERROR(__xludf.DUMMYFUNCTION("""COMPUTED_VALUE"""),"")</f>
        <v/>
      </c>
      <c r="T177" s="189" t="str">
        <f ca="1">IFERROR(__xludf.DUMMYFUNCTION("""COMPUTED_VALUE"""),"")</f>
        <v/>
      </c>
      <c r="U177" s="189" t="str">
        <f ca="1">IFERROR(__xludf.DUMMYFUNCTION("""COMPUTED_VALUE"""),"")</f>
        <v/>
      </c>
      <c r="V177" s="189" t="str">
        <f ca="1">IFERROR(__xludf.DUMMYFUNCTION("""COMPUTED_VALUE"""),"")</f>
        <v/>
      </c>
      <c r="W177" s="189" t="str">
        <f ca="1">IFERROR(__xludf.DUMMYFUNCTION("""COMPUTED_VALUE"""),"")</f>
        <v/>
      </c>
      <c r="X177" s="189" t="str">
        <f ca="1">IFERROR(__xludf.DUMMYFUNCTION("""COMPUTED_VALUE"""),"")</f>
        <v/>
      </c>
      <c r="Y177" s="189" t="str">
        <f ca="1">IFERROR(__xludf.DUMMYFUNCTION("""COMPUTED_VALUE"""),"")</f>
        <v/>
      </c>
      <c r="Z177" s="189"/>
    </row>
    <row r="178" spans="1:26" ht="12.75">
      <c r="A178" s="189" t="str">
        <f ca="1">IFERROR(__xludf.DUMMYFUNCTION("""COMPUTED_VALUE"""),"")</f>
        <v/>
      </c>
      <c r="B178" s="189" t="str">
        <f ca="1">IFERROR(__xludf.DUMMYFUNCTION("""COMPUTED_VALUE"""),"")</f>
        <v/>
      </c>
      <c r="C178" s="189" t="str">
        <f ca="1">IFERROR(__xludf.DUMMYFUNCTION("""COMPUTED_VALUE"""),"")</f>
        <v/>
      </c>
      <c r="D178" s="189" t="str">
        <f ca="1">IFERROR(__xludf.DUMMYFUNCTION("""COMPUTED_VALUE"""),"")</f>
        <v/>
      </c>
      <c r="E178" s="189" t="str">
        <f ca="1">IFERROR(__xludf.DUMMYFUNCTION("""COMPUTED_VALUE"""),"")</f>
        <v/>
      </c>
      <c r="F178" s="189" t="str">
        <f ca="1">IFERROR(__xludf.DUMMYFUNCTION("""COMPUTED_VALUE"""),"")</f>
        <v/>
      </c>
      <c r="G178" s="189" t="str">
        <f ca="1">IFERROR(__xludf.DUMMYFUNCTION("""COMPUTED_VALUE"""),"")</f>
        <v/>
      </c>
      <c r="H178" s="189" t="str">
        <f ca="1">IFERROR(__xludf.DUMMYFUNCTION("""COMPUTED_VALUE"""),"")</f>
        <v/>
      </c>
      <c r="I178" s="120" t="str">
        <f ca="1">IFERROR(__xludf.DUMMYFUNCTION("""COMPUTED_VALUE"""),"")</f>
        <v/>
      </c>
      <c r="J178" s="189" t="str">
        <f ca="1">IFERROR(__xludf.DUMMYFUNCTION("""COMPUTED_VALUE"""),"")</f>
        <v/>
      </c>
      <c r="K178" s="189" t="str">
        <f ca="1">IFERROR(__xludf.DUMMYFUNCTION("""COMPUTED_VALUE"""),"")</f>
        <v/>
      </c>
      <c r="L178" s="189" t="str">
        <f ca="1">IFERROR(__xludf.DUMMYFUNCTION("""COMPUTED_VALUE"""),"")</f>
        <v/>
      </c>
      <c r="M178" s="189" t="str">
        <f ca="1">IFERROR(__xludf.DUMMYFUNCTION("""COMPUTED_VALUE"""),"")</f>
        <v/>
      </c>
      <c r="N178" s="189" t="str">
        <f ca="1">IFERROR(__xludf.DUMMYFUNCTION("""COMPUTED_VALUE"""),"")</f>
        <v/>
      </c>
      <c r="O178" s="189" t="str">
        <f ca="1">IFERROR(__xludf.DUMMYFUNCTION("""COMPUTED_VALUE"""),"")</f>
        <v/>
      </c>
      <c r="P178" s="189" t="str">
        <f ca="1">IFERROR(__xludf.DUMMYFUNCTION("""COMPUTED_VALUE"""),"")</f>
        <v/>
      </c>
      <c r="Q178" s="189" t="str">
        <f ca="1">IFERROR(__xludf.DUMMYFUNCTION("""COMPUTED_VALUE"""),"")</f>
        <v/>
      </c>
      <c r="R178" s="189" t="str">
        <f ca="1">IFERROR(__xludf.DUMMYFUNCTION("""COMPUTED_VALUE"""),"")</f>
        <v/>
      </c>
      <c r="S178" s="189" t="str">
        <f ca="1">IFERROR(__xludf.DUMMYFUNCTION("""COMPUTED_VALUE"""),"")</f>
        <v/>
      </c>
      <c r="T178" s="189" t="str">
        <f ca="1">IFERROR(__xludf.DUMMYFUNCTION("""COMPUTED_VALUE"""),"")</f>
        <v/>
      </c>
      <c r="U178" s="189" t="str">
        <f ca="1">IFERROR(__xludf.DUMMYFUNCTION("""COMPUTED_VALUE"""),"")</f>
        <v/>
      </c>
      <c r="V178" s="189" t="str">
        <f ca="1">IFERROR(__xludf.DUMMYFUNCTION("""COMPUTED_VALUE"""),"")</f>
        <v/>
      </c>
      <c r="W178" s="189" t="str">
        <f ca="1">IFERROR(__xludf.DUMMYFUNCTION("""COMPUTED_VALUE"""),"")</f>
        <v/>
      </c>
      <c r="X178" s="189" t="str">
        <f ca="1">IFERROR(__xludf.DUMMYFUNCTION("""COMPUTED_VALUE"""),"")</f>
        <v/>
      </c>
      <c r="Y178" s="189" t="str">
        <f ca="1">IFERROR(__xludf.DUMMYFUNCTION("""COMPUTED_VALUE"""),"")</f>
        <v/>
      </c>
      <c r="Z178" s="189"/>
    </row>
    <row r="179" spans="1:26" ht="12.75">
      <c r="A179" s="189" t="str">
        <f ca="1">IFERROR(__xludf.DUMMYFUNCTION("""COMPUTED_VALUE"""),"")</f>
        <v/>
      </c>
      <c r="B179" s="189" t="str">
        <f ca="1">IFERROR(__xludf.DUMMYFUNCTION("""COMPUTED_VALUE"""),"")</f>
        <v/>
      </c>
      <c r="C179" s="189" t="str">
        <f ca="1">IFERROR(__xludf.DUMMYFUNCTION("""COMPUTED_VALUE"""),"")</f>
        <v/>
      </c>
      <c r="D179" s="189" t="str">
        <f ca="1">IFERROR(__xludf.DUMMYFUNCTION("""COMPUTED_VALUE"""),"")</f>
        <v/>
      </c>
      <c r="E179" s="189" t="str">
        <f ca="1">IFERROR(__xludf.DUMMYFUNCTION("""COMPUTED_VALUE"""),"")</f>
        <v/>
      </c>
      <c r="F179" s="189" t="str">
        <f ca="1">IFERROR(__xludf.DUMMYFUNCTION("""COMPUTED_VALUE"""),"")</f>
        <v/>
      </c>
      <c r="G179" s="189" t="str">
        <f ca="1">IFERROR(__xludf.DUMMYFUNCTION("""COMPUTED_VALUE"""),"")</f>
        <v/>
      </c>
      <c r="H179" s="189" t="str">
        <f ca="1">IFERROR(__xludf.DUMMYFUNCTION("""COMPUTED_VALUE"""),"")</f>
        <v/>
      </c>
      <c r="I179" s="120" t="str">
        <f ca="1">IFERROR(__xludf.DUMMYFUNCTION("""COMPUTED_VALUE"""),"")</f>
        <v/>
      </c>
      <c r="J179" s="189" t="str">
        <f ca="1">IFERROR(__xludf.DUMMYFUNCTION("""COMPUTED_VALUE"""),"")</f>
        <v/>
      </c>
      <c r="K179" s="189" t="str">
        <f ca="1">IFERROR(__xludf.DUMMYFUNCTION("""COMPUTED_VALUE"""),"")</f>
        <v/>
      </c>
      <c r="L179" s="189" t="str">
        <f ca="1">IFERROR(__xludf.DUMMYFUNCTION("""COMPUTED_VALUE"""),"")</f>
        <v/>
      </c>
      <c r="M179" s="189" t="str">
        <f ca="1">IFERROR(__xludf.DUMMYFUNCTION("""COMPUTED_VALUE"""),"")</f>
        <v/>
      </c>
      <c r="N179" s="189" t="str">
        <f ca="1">IFERROR(__xludf.DUMMYFUNCTION("""COMPUTED_VALUE"""),"")</f>
        <v/>
      </c>
      <c r="O179" s="189" t="str">
        <f ca="1">IFERROR(__xludf.DUMMYFUNCTION("""COMPUTED_VALUE"""),"")</f>
        <v/>
      </c>
      <c r="P179" s="189" t="str">
        <f ca="1">IFERROR(__xludf.DUMMYFUNCTION("""COMPUTED_VALUE"""),"")</f>
        <v/>
      </c>
      <c r="Q179" s="189" t="str">
        <f ca="1">IFERROR(__xludf.DUMMYFUNCTION("""COMPUTED_VALUE"""),"")</f>
        <v/>
      </c>
      <c r="R179" s="189" t="str">
        <f ca="1">IFERROR(__xludf.DUMMYFUNCTION("""COMPUTED_VALUE"""),"")</f>
        <v/>
      </c>
      <c r="S179" s="189" t="str">
        <f ca="1">IFERROR(__xludf.DUMMYFUNCTION("""COMPUTED_VALUE"""),"")</f>
        <v/>
      </c>
      <c r="T179" s="189" t="str">
        <f ca="1">IFERROR(__xludf.DUMMYFUNCTION("""COMPUTED_VALUE"""),"")</f>
        <v/>
      </c>
      <c r="U179" s="189" t="str">
        <f ca="1">IFERROR(__xludf.DUMMYFUNCTION("""COMPUTED_VALUE"""),"")</f>
        <v/>
      </c>
      <c r="V179" s="189" t="str">
        <f ca="1">IFERROR(__xludf.DUMMYFUNCTION("""COMPUTED_VALUE"""),"")</f>
        <v/>
      </c>
      <c r="W179" s="189" t="str">
        <f ca="1">IFERROR(__xludf.DUMMYFUNCTION("""COMPUTED_VALUE"""),"")</f>
        <v/>
      </c>
      <c r="X179" s="189" t="str">
        <f ca="1">IFERROR(__xludf.DUMMYFUNCTION("""COMPUTED_VALUE"""),"")</f>
        <v/>
      </c>
      <c r="Y179" s="189" t="str">
        <f ca="1">IFERROR(__xludf.DUMMYFUNCTION("""COMPUTED_VALUE"""),"")</f>
        <v/>
      </c>
      <c r="Z179" s="189"/>
    </row>
    <row r="180" spans="1:26" ht="12.75">
      <c r="A180" s="189" t="str">
        <f ca="1">IFERROR(__xludf.DUMMYFUNCTION("""COMPUTED_VALUE"""),"")</f>
        <v/>
      </c>
      <c r="B180" s="189" t="str">
        <f ca="1">IFERROR(__xludf.DUMMYFUNCTION("""COMPUTED_VALUE"""),"")</f>
        <v/>
      </c>
      <c r="C180" s="189" t="str">
        <f ca="1">IFERROR(__xludf.DUMMYFUNCTION("""COMPUTED_VALUE"""),"")</f>
        <v/>
      </c>
      <c r="D180" s="189" t="str">
        <f ca="1">IFERROR(__xludf.DUMMYFUNCTION("""COMPUTED_VALUE"""),"")</f>
        <v/>
      </c>
      <c r="E180" s="189" t="str">
        <f ca="1">IFERROR(__xludf.DUMMYFUNCTION("""COMPUTED_VALUE"""),"")</f>
        <v/>
      </c>
      <c r="F180" s="189" t="str">
        <f ca="1">IFERROR(__xludf.DUMMYFUNCTION("""COMPUTED_VALUE"""),"")</f>
        <v/>
      </c>
      <c r="G180" s="189" t="str">
        <f ca="1">IFERROR(__xludf.DUMMYFUNCTION("""COMPUTED_VALUE"""),"")</f>
        <v/>
      </c>
      <c r="H180" s="189" t="str">
        <f ca="1">IFERROR(__xludf.DUMMYFUNCTION("""COMPUTED_VALUE"""),"")</f>
        <v/>
      </c>
      <c r="I180" s="120" t="str">
        <f ca="1">IFERROR(__xludf.DUMMYFUNCTION("""COMPUTED_VALUE"""),"")</f>
        <v/>
      </c>
      <c r="J180" s="189" t="str">
        <f ca="1">IFERROR(__xludf.DUMMYFUNCTION("""COMPUTED_VALUE"""),"")</f>
        <v/>
      </c>
      <c r="K180" s="189" t="str">
        <f ca="1">IFERROR(__xludf.DUMMYFUNCTION("""COMPUTED_VALUE"""),"")</f>
        <v/>
      </c>
      <c r="L180" s="189" t="str">
        <f ca="1">IFERROR(__xludf.DUMMYFUNCTION("""COMPUTED_VALUE"""),"")</f>
        <v/>
      </c>
      <c r="M180" s="189" t="str">
        <f ca="1">IFERROR(__xludf.DUMMYFUNCTION("""COMPUTED_VALUE"""),"")</f>
        <v/>
      </c>
      <c r="N180" s="189" t="str">
        <f ca="1">IFERROR(__xludf.DUMMYFUNCTION("""COMPUTED_VALUE"""),"")</f>
        <v/>
      </c>
      <c r="O180" s="189" t="str">
        <f ca="1">IFERROR(__xludf.DUMMYFUNCTION("""COMPUTED_VALUE"""),"")</f>
        <v/>
      </c>
      <c r="P180" s="189" t="str">
        <f ca="1">IFERROR(__xludf.DUMMYFUNCTION("""COMPUTED_VALUE"""),"")</f>
        <v/>
      </c>
      <c r="Q180" s="189" t="str">
        <f ca="1">IFERROR(__xludf.DUMMYFUNCTION("""COMPUTED_VALUE"""),"")</f>
        <v/>
      </c>
      <c r="R180" s="189" t="str">
        <f ca="1">IFERROR(__xludf.DUMMYFUNCTION("""COMPUTED_VALUE"""),"")</f>
        <v/>
      </c>
      <c r="S180" s="189" t="str">
        <f ca="1">IFERROR(__xludf.DUMMYFUNCTION("""COMPUTED_VALUE"""),"")</f>
        <v/>
      </c>
      <c r="T180" s="189" t="str">
        <f ca="1">IFERROR(__xludf.DUMMYFUNCTION("""COMPUTED_VALUE"""),"")</f>
        <v/>
      </c>
      <c r="U180" s="189" t="str">
        <f ca="1">IFERROR(__xludf.DUMMYFUNCTION("""COMPUTED_VALUE"""),"")</f>
        <v/>
      </c>
      <c r="V180" s="189" t="str">
        <f ca="1">IFERROR(__xludf.DUMMYFUNCTION("""COMPUTED_VALUE"""),"")</f>
        <v/>
      </c>
      <c r="W180" s="189" t="str">
        <f ca="1">IFERROR(__xludf.DUMMYFUNCTION("""COMPUTED_VALUE"""),"")</f>
        <v/>
      </c>
      <c r="X180" s="189" t="str">
        <f ca="1">IFERROR(__xludf.DUMMYFUNCTION("""COMPUTED_VALUE"""),"")</f>
        <v/>
      </c>
      <c r="Y180" s="189" t="str">
        <f ca="1">IFERROR(__xludf.DUMMYFUNCTION("""COMPUTED_VALUE"""),"")</f>
        <v/>
      </c>
      <c r="Z180" s="189"/>
    </row>
    <row r="181" spans="1:26" ht="12.75">
      <c r="A181" s="189" t="str">
        <f ca="1">IFERROR(__xludf.DUMMYFUNCTION("""COMPUTED_VALUE"""),"")</f>
        <v/>
      </c>
      <c r="B181" s="189" t="str">
        <f ca="1">IFERROR(__xludf.DUMMYFUNCTION("""COMPUTED_VALUE"""),"")</f>
        <v/>
      </c>
      <c r="C181" s="189" t="str">
        <f ca="1">IFERROR(__xludf.DUMMYFUNCTION("""COMPUTED_VALUE"""),"")</f>
        <v/>
      </c>
      <c r="D181" s="189" t="str">
        <f ca="1">IFERROR(__xludf.DUMMYFUNCTION("""COMPUTED_VALUE"""),"")</f>
        <v/>
      </c>
      <c r="E181" s="189" t="str">
        <f ca="1">IFERROR(__xludf.DUMMYFUNCTION("""COMPUTED_VALUE"""),"")</f>
        <v/>
      </c>
      <c r="F181" s="189" t="str">
        <f ca="1">IFERROR(__xludf.DUMMYFUNCTION("""COMPUTED_VALUE"""),"")</f>
        <v/>
      </c>
      <c r="G181" s="189" t="str">
        <f ca="1">IFERROR(__xludf.DUMMYFUNCTION("""COMPUTED_VALUE"""),"")</f>
        <v/>
      </c>
      <c r="H181" s="189" t="str">
        <f ca="1">IFERROR(__xludf.DUMMYFUNCTION("""COMPUTED_VALUE"""),"")</f>
        <v/>
      </c>
      <c r="I181" s="120" t="str">
        <f ca="1">IFERROR(__xludf.DUMMYFUNCTION("""COMPUTED_VALUE"""),"")</f>
        <v/>
      </c>
      <c r="J181" s="189" t="str">
        <f ca="1">IFERROR(__xludf.DUMMYFUNCTION("""COMPUTED_VALUE"""),"")</f>
        <v/>
      </c>
      <c r="K181" s="189" t="str">
        <f ca="1">IFERROR(__xludf.DUMMYFUNCTION("""COMPUTED_VALUE"""),"")</f>
        <v/>
      </c>
      <c r="L181" s="189" t="str">
        <f ca="1">IFERROR(__xludf.DUMMYFUNCTION("""COMPUTED_VALUE"""),"")</f>
        <v/>
      </c>
      <c r="M181" s="189" t="str">
        <f ca="1">IFERROR(__xludf.DUMMYFUNCTION("""COMPUTED_VALUE"""),"")</f>
        <v/>
      </c>
      <c r="N181" s="189" t="str">
        <f ca="1">IFERROR(__xludf.DUMMYFUNCTION("""COMPUTED_VALUE"""),"")</f>
        <v/>
      </c>
      <c r="O181" s="189" t="str">
        <f ca="1">IFERROR(__xludf.DUMMYFUNCTION("""COMPUTED_VALUE"""),"")</f>
        <v/>
      </c>
      <c r="P181" s="189" t="str">
        <f ca="1">IFERROR(__xludf.DUMMYFUNCTION("""COMPUTED_VALUE"""),"")</f>
        <v/>
      </c>
      <c r="Q181" s="189" t="str">
        <f ca="1">IFERROR(__xludf.DUMMYFUNCTION("""COMPUTED_VALUE"""),"")</f>
        <v/>
      </c>
      <c r="R181" s="189" t="str">
        <f ca="1">IFERROR(__xludf.DUMMYFUNCTION("""COMPUTED_VALUE"""),"")</f>
        <v/>
      </c>
      <c r="S181" s="189" t="str">
        <f ca="1">IFERROR(__xludf.DUMMYFUNCTION("""COMPUTED_VALUE"""),"")</f>
        <v/>
      </c>
      <c r="T181" s="189" t="str">
        <f ca="1">IFERROR(__xludf.DUMMYFUNCTION("""COMPUTED_VALUE"""),"")</f>
        <v/>
      </c>
      <c r="U181" s="189" t="str">
        <f ca="1">IFERROR(__xludf.DUMMYFUNCTION("""COMPUTED_VALUE"""),"")</f>
        <v/>
      </c>
      <c r="V181" s="189" t="str">
        <f ca="1">IFERROR(__xludf.DUMMYFUNCTION("""COMPUTED_VALUE"""),"")</f>
        <v/>
      </c>
      <c r="W181" s="189" t="str">
        <f ca="1">IFERROR(__xludf.DUMMYFUNCTION("""COMPUTED_VALUE"""),"")</f>
        <v/>
      </c>
      <c r="X181" s="189" t="str">
        <f ca="1">IFERROR(__xludf.DUMMYFUNCTION("""COMPUTED_VALUE"""),"")</f>
        <v/>
      </c>
      <c r="Y181" s="189" t="str">
        <f ca="1">IFERROR(__xludf.DUMMYFUNCTION("""COMPUTED_VALUE"""),"")</f>
        <v/>
      </c>
      <c r="Z181" s="189"/>
    </row>
    <row r="182" spans="1:26" ht="12.75">
      <c r="A182" s="189" t="str">
        <f ca="1">IFERROR(__xludf.DUMMYFUNCTION("""COMPUTED_VALUE"""),"")</f>
        <v/>
      </c>
      <c r="B182" s="189" t="str">
        <f ca="1">IFERROR(__xludf.DUMMYFUNCTION("""COMPUTED_VALUE"""),"")</f>
        <v/>
      </c>
      <c r="C182" s="189" t="str">
        <f ca="1">IFERROR(__xludf.DUMMYFUNCTION("""COMPUTED_VALUE"""),"")</f>
        <v/>
      </c>
      <c r="D182" s="189" t="str">
        <f ca="1">IFERROR(__xludf.DUMMYFUNCTION("""COMPUTED_VALUE"""),"")</f>
        <v/>
      </c>
      <c r="E182" s="189" t="str">
        <f ca="1">IFERROR(__xludf.DUMMYFUNCTION("""COMPUTED_VALUE"""),"")</f>
        <v/>
      </c>
      <c r="F182" s="189" t="str">
        <f ca="1">IFERROR(__xludf.DUMMYFUNCTION("""COMPUTED_VALUE"""),"")</f>
        <v/>
      </c>
      <c r="G182" s="189" t="str">
        <f ca="1">IFERROR(__xludf.DUMMYFUNCTION("""COMPUTED_VALUE"""),"")</f>
        <v/>
      </c>
      <c r="H182" s="189" t="str">
        <f ca="1">IFERROR(__xludf.DUMMYFUNCTION("""COMPUTED_VALUE"""),"")</f>
        <v/>
      </c>
      <c r="I182" s="120" t="str">
        <f ca="1">IFERROR(__xludf.DUMMYFUNCTION("""COMPUTED_VALUE"""),"")</f>
        <v/>
      </c>
      <c r="J182" s="189" t="str">
        <f ca="1">IFERROR(__xludf.DUMMYFUNCTION("""COMPUTED_VALUE"""),"")</f>
        <v/>
      </c>
      <c r="K182" s="189" t="str">
        <f ca="1">IFERROR(__xludf.DUMMYFUNCTION("""COMPUTED_VALUE"""),"")</f>
        <v/>
      </c>
      <c r="L182" s="189" t="str">
        <f ca="1">IFERROR(__xludf.DUMMYFUNCTION("""COMPUTED_VALUE"""),"")</f>
        <v/>
      </c>
      <c r="M182" s="189" t="str">
        <f ca="1">IFERROR(__xludf.DUMMYFUNCTION("""COMPUTED_VALUE"""),"")</f>
        <v/>
      </c>
      <c r="N182" s="189" t="str">
        <f ca="1">IFERROR(__xludf.DUMMYFUNCTION("""COMPUTED_VALUE"""),"")</f>
        <v/>
      </c>
      <c r="O182" s="189" t="str">
        <f ca="1">IFERROR(__xludf.DUMMYFUNCTION("""COMPUTED_VALUE"""),"")</f>
        <v/>
      </c>
      <c r="P182" s="189" t="str">
        <f ca="1">IFERROR(__xludf.DUMMYFUNCTION("""COMPUTED_VALUE"""),"")</f>
        <v/>
      </c>
      <c r="Q182" s="189" t="str">
        <f ca="1">IFERROR(__xludf.DUMMYFUNCTION("""COMPUTED_VALUE"""),"")</f>
        <v/>
      </c>
      <c r="R182" s="189" t="str">
        <f ca="1">IFERROR(__xludf.DUMMYFUNCTION("""COMPUTED_VALUE"""),"")</f>
        <v/>
      </c>
      <c r="S182" s="189" t="str">
        <f ca="1">IFERROR(__xludf.DUMMYFUNCTION("""COMPUTED_VALUE"""),"")</f>
        <v/>
      </c>
      <c r="T182" s="189" t="str">
        <f ca="1">IFERROR(__xludf.DUMMYFUNCTION("""COMPUTED_VALUE"""),"")</f>
        <v/>
      </c>
      <c r="U182" s="189" t="str">
        <f ca="1">IFERROR(__xludf.DUMMYFUNCTION("""COMPUTED_VALUE"""),"")</f>
        <v/>
      </c>
      <c r="V182" s="189" t="str">
        <f ca="1">IFERROR(__xludf.DUMMYFUNCTION("""COMPUTED_VALUE"""),"")</f>
        <v/>
      </c>
      <c r="W182" s="189" t="str">
        <f ca="1">IFERROR(__xludf.DUMMYFUNCTION("""COMPUTED_VALUE"""),"")</f>
        <v/>
      </c>
      <c r="X182" s="189" t="str">
        <f ca="1">IFERROR(__xludf.DUMMYFUNCTION("""COMPUTED_VALUE"""),"")</f>
        <v/>
      </c>
      <c r="Y182" s="189" t="str">
        <f ca="1">IFERROR(__xludf.DUMMYFUNCTION("""COMPUTED_VALUE"""),"")</f>
        <v/>
      </c>
      <c r="Z182" s="189"/>
    </row>
    <row r="183" spans="1:26" ht="12.75">
      <c r="A183" s="189" t="str">
        <f ca="1">IFERROR(__xludf.DUMMYFUNCTION("""COMPUTED_VALUE"""),"")</f>
        <v/>
      </c>
      <c r="B183" s="189" t="str">
        <f ca="1">IFERROR(__xludf.DUMMYFUNCTION("""COMPUTED_VALUE"""),"")</f>
        <v/>
      </c>
      <c r="C183" s="189" t="str">
        <f ca="1">IFERROR(__xludf.DUMMYFUNCTION("""COMPUTED_VALUE"""),"")</f>
        <v/>
      </c>
      <c r="D183" s="189" t="str">
        <f ca="1">IFERROR(__xludf.DUMMYFUNCTION("""COMPUTED_VALUE"""),"")</f>
        <v/>
      </c>
      <c r="E183" s="189" t="str">
        <f ca="1">IFERROR(__xludf.DUMMYFUNCTION("""COMPUTED_VALUE"""),"")</f>
        <v/>
      </c>
      <c r="F183" s="189" t="str">
        <f ca="1">IFERROR(__xludf.DUMMYFUNCTION("""COMPUTED_VALUE"""),"")</f>
        <v/>
      </c>
      <c r="G183" s="189" t="str">
        <f ca="1">IFERROR(__xludf.DUMMYFUNCTION("""COMPUTED_VALUE"""),"")</f>
        <v/>
      </c>
      <c r="H183" s="189" t="str">
        <f ca="1">IFERROR(__xludf.DUMMYFUNCTION("""COMPUTED_VALUE"""),"")</f>
        <v/>
      </c>
      <c r="I183" s="120" t="str">
        <f ca="1">IFERROR(__xludf.DUMMYFUNCTION("""COMPUTED_VALUE"""),"")</f>
        <v/>
      </c>
      <c r="J183" s="189" t="str">
        <f ca="1">IFERROR(__xludf.DUMMYFUNCTION("""COMPUTED_VALUE"""),"")</f>
        <v/>
      </c>
      <c r="K183" s="189" t="str">
        <f ca="1">IFERROR(__xludf.DUMMYFUNCTION("""COMPUTED_VALUE"""),"")</f>
        <v/>
      </c>
      <c r="L183" s="189" t="str">
        <f ca="1">IFERROR(__xludf.DUMMYFUNCTION("""COMPUTED_VALUE"""),"")</f>
        <v/>
      </c>
      <c r="M183" s="189" t="str">
        <f ca="1">IFERROR(__xludf.DUMMYFUNCTION("""COMPUTED_VALUE"""),"")</f>
        <v/>
      </c>
      <c r="N183" s="189" t="str">
        <f ca="1">IFERROR(__xludf.DUMMYFUNCTION("""COMPUTED_VALUE"""),"")</f>
        <v/>
      </c>
      <c r="O183" s="189" t="str">
        <f ca="1">IFERROR(__xludf.DUMMYFUNCTION("""COMPUTED_VALUE"""),"")</f>
        <v/>
      </c>
      <c r="P183" s="189" t="str">
        <f ca="1">IFERROR(__xludf.DUMMYFUNCTION("""COMPUTED_VALUE"""),"")</f>
        <v/>
      </c>
      <c r="Q183" s="189" t="str">
        <f ca="1">IFERROR(__xludf.DUMMYFUNCTION("""COMPUTED_VALUE"""),"")</f>
        <v/>
      </c>
      <c r="R183" s="189" t="str">
        <f ca="1">IFERROR(__xludf.DUMMYFUNCTION("""COMPUTED_VALUE"""),"")</f>
        <v/>
      </c>
      <c r="S183" s="189" t="str">
        <f ca="1">IFERROR(__xludf.DUMMYFUNCTION("""COMPUTED_VALUE"""),"")</f>
        <v/>
      </c>
      <c r="T183" s="189" t="str">
        <f ca="1">IFERROR(__xludf.DUMMYFUNCTION("""COMPUTED_VALUE"""),"")</f>
        <v/>
      </c>
      <c r="U183" s="189" t="str">
        <f ca="1">IFERROR(__xludf.DUMMYFUNCTION("""COMPUTED_VALUE"""),"")</f>
        <v/>
      </c>
      <c r="V183" s="189" t="str">
        <f ca="1">IFERROR(__xludf.DUMMYFUNCTION("""COMPUTED_VALUE"""),"")</f>
        <v/>
      </c>
      <c r="W183" s="189" t="str">
        <f ca="1">IFERROR(__xludf.DUMMYFUNCTION("""COMPUTED_VALUE"""),"")</f>
        <v/>
      </c>
      <c r="X183" s="189" t="str">
        <f ca="1">IFERROR(__xludf.DUMMYFUNCTION("""COMPUTED_VALUE"""),"")</f>
        <v/>
      </c>
      <c r="Y183" s="189" t="str">
        <f ca="1">IFERROR(__xludf.DUMMYFUNCTION("""COMPUTED_VALUE"""),"")</f>
        <v/>
      </c>
      <c r="Z183" s="189"/>
    </row>
    <row r="184" spans="1:26" ht="12.75">
      <c r="A184" s="189" t="str">
        <f ca="1">IFERROR(__xludf.DUMMYFUNCTION("""COMPUTED_VALUE"""),"")</f>
        <v/>
      </c>
      <c r="B184" s="189" t="str">
        <f ca="1">IFERROR(__xludf.DUMMYFUNCTION("""COMPUTED_VALUE"""),"")</f>
        <v/>
      </c>
      <c r="C184" s="189" t="str">
        <f ca="1">IFERROR(__xludf.DUMMYFUNCTION("""COMPUTED_VALUE"""),"")</f>
        <v/>
      </c>
      <c r="D184" s="189" t="str">
        <f ca="1">IFERROR(__xludf.DUMMYFUNCTION("""COMPUTED_VALUE"""),"")</f>
        <v/>
      </c>
      <c r="E184" s="189" t="str">
        <f ca="1">IFERROR(__xludf.DUMMYFUNCTION("""COMPUTED_VALUE"""),"")</f>
        <v/>
      </c>
      <c r="F184" s="189" t="str">
        <f ca="1">IFERROR(__xludf.DUMMYFUNCTION("""COMPUTED_VALUE"""),"")</f>
        <v/>
      </c>
      <c r="G184" s="189" t="str">
        <f ca="1">IFERROR(__xludf.DUMMYFUNCTION("""COMPUTED_VALUE"""),"")</f>
        <v/>
      </c>
      <c r="H184" s="189" t="str">
        <f ca="1">IFERROR(__xludf.DUMMYFUNCTION("""COMPUTED_VALUE"""),"")</f>
        <v/>
      </c>
      <c r="I184" s="120" t="str">
        <f ca="1">IFERROR(__xludf.DUMMYFUNCTION("""COMPUTED_VALUE"""),"")</f>
        <v/>
      </c>
      <c r="J184" s="189" t="str">
        <f ca="1">IFERROR(__xludf.DUMMYFUNCTION("""COMPUTED_VALUE"""),"")</f>
        <v/>
      </c>
      <c r="K184" s="189" t="str">
        <f ca="1">IFERROR(__xludf.DUMMYFUNCTION("""COMPUTED_VALUE"""),"")</f>
        <v/>
      </c>
      <c r="L184" s="189" t="str">
        <f ca="1">IFERROR(__xludf.DUMMYFUNCTION("""COMPUTED_VALUE"""),"")</f>
        <v/>
      </c>
      <c r="M184" s="189" t="str">
        <f ca="1">IFERROR(__xludf.DUMMYFUNCTION("""COMPUTED_VALUE"""),"")</f>
        <v/>
      </c>
      <c r="N184" s="189" t="str">
        <f ca="1">IFERROR(__xludf.DUMMYFUNCTION("""COMPUTED_VALUE"""),"")</f>
        <v/>
      </c>
      <c r="O184" s="189" t="str">
        <f ca="1">IFERROR(__xludf.DUMMYFUNCTION("""COMPUTED_VALUE"""),"")</f>
        <v/>
      </c>
      <c r="P184" s="189" t="str">
        <f ca="1">IFERROR(__xludf.DUMMYFUNCTION("""COMPUTED_VALUE"""),"")</f>
        <v/>
      </c>
      <c r="Q184" s="189" t="str">
        <f ca="1">IFERROR(__xludf.DUMMYFUNCTION("""COMPUTED_VALUE"""),"")</f>
        <v/>
      </c>
      <c r="R184" s="189" t="str">
        <f ca="1">IFERROR(__xludf.DUMMYFUNCTION("""COMPUTED_VALUE"""),"")</f>
        <v/>
      </c>
      <c r="S184" s="189" t="str">
        <f ca="1">IFERROR(__xludf.DUMMYFUNCTION("""COMPUTED_VALUE"""),"")</f>
        <v/>
      </c>
      <c r="T184" s="189" t="str">
        <f ca="1">IFERROR(__xludf.DUMMYFUNCTION("""COMPUTED_VALUE"""),"")</f>
        <v/>
      </c>
      <c r="U184" s="189" t="str">
        <f ca="1">IFERROR(__xludf.DUMMYFUNCTION("""COMPUTED_VALUE"""),"")</f>
        <v/>
      </c>
      <c r="V184" s="189" t="str">
        <f ca="1">IFERROR(__xludf.DUMMYFUNCTION("""COMPUTED_VALUE"""),"")</f>
        <v/>
      </c>
      <c r="W184" s="189" t="str">
        <f ca="1">IFERROR(__xludf.DUMMYFUNCTION("""COMPUTED_VALUE"""),"")</f>
        <v/>
      </c>
      <c r="X184" s="189" t="str">
        <f ca="1">IFERROR(__xludf.DUMMYFUNCTION("""COMPUTED_VALUE"""),"")</f>
        <v/>
      </c>
      <c r="Y184" s="189" t="str">
        <f ca="1">IFERROR(__xludf.DUMMYFUNCTION("""COMPUTED_VALUE"""),"")</f>
        <v/>
      </c>
      <c r="Z184" s="189"/>
    </row>
    <row r="185" spans="1:26" ht="12.75">
      <c r="A185" s="189" t="str">
        <f ca="1">IFERROR(__xludf.DUMMYFUNCTION("""COMPUTED_VALUE"""),"")</f>
        <v/>
      </c>
      <c r="B185" s="189" t="str">
        <f ca="1">IFERROR(__xludf.DUMMYFUNCTION("""COMPUTED_VALUE"""),"")</f>
        <v/>
      </c>
      <c r="C185" s="189" t="str">
        <f ca="1">IFERROR(__xludf.DUMMYFUNCTION("""COMPUTED_VALUE"""),"")</f>
        <v/>
      </c>
      <c r="D185" s="189" t="str">
        <f ca="1">IFERROR(__xludf.DUMMYFUNCTION("""COMPUTED_VALUE"""),"")</f>
        <v/>
      </c>
      <c r="E185" s="189" t="str">
        <f ca="1">IFERROR(__xludf.DUMMYFUNCTION("""COMPUTED_VALUE"""),"")</f>
        <v/>
      </c>
      <c r="F185" s="189" t="str">
        <f ca="1">IFERROR(__xludf.DUMMYFUNCTION("""COMPUTED_VALUE"""),"")</f>
        <v/>
      </c>
      <c r="G185" s="189" t="str">
        <f ca="1">IFERROR(__xludf.DUMMYFUNCTION("""COMPUTED_VALUE"""),"")</f>
        <v/>
      </c>
      <c r="H185" s="189" t="str">
        <f ca="1">IFERROR(__xludf.DUMMYFUNCTION("""COMPUTED_VALUE"""),"")</f>
        <v/>
      </c>
      <c r="I185" s="120" t="str">
        <f ca="1">IFERROR(__xludf.DUMMYFUNCTION("""COMPUTED_VALUE"""),"")</f>
        <v/>
      </c>
      <c r="J185" s="189" t="str">
        <f ca="1">IFERROR(__xludf.DUMMYFUNCTION("""COMPUTED_VALUE"""),"")</f>
        <v/>
      </c>
      <c r="K185" s="189" t="str">
        <f ca="1">IFERROR(__xludf.DUMMYFUNCTION("""COMPUTED_VALUE"""),"")</f>
        <v/>
      </c>
      <c r="L185" s="189" t="str">
        <f ca="1">IFERROR(__xludf.DUMMYFUNCTION("""COMPUTED_VALUE"""),"")</f>
        <v/>
      </c>
      <c r="M185" s="189" t="str">
        <f ca="1">IFERROR(__xludf.DUMMYFUNCTION("""COMPUTED_VALUE"""),"")</f>
        <v/>
      </c>
      <c r="N185" s="189" t="str">
        <f ca="1">IFERROR(__xludf.DUMMYFUNCTION("""COMPUTED_VALUE"""),"")</f>
        <v/>
      </c>
      <c r="O185" s="189" t="str">
        <f ca="1">IFERROR(__xludf.DUMMYFUNCTION("""COMPUTED_VALUE"""),"")</f>
        <v/>
      </c>
      <c r="P185" s="189" t="str">
        <f ca="1">IFERROR(__xludf.DUMMYFUNCTION("""COMPUTED_VALUE"""),"")</f>
        <v/>
      </c>
      <c r="Q185" s="189" t="str">
        <f ca="1">IFERROR(__xludf.DUMMYFUNCTION("""COMPUTED_VALUE"""),"")</f>
        <v/>
      </c>
      <c r="R185" s="189" t="str">
        <f ca="1">IFERROR(__xludf.DUMMYFUNCTION("""COMPUTED_VALUE"""),"")</f>
        <v/>
      </c>
      <c r="S185" s="189" t="str">
        <f ca="1">IFERROR(__xludf.DUMMYFUNCTION("""COMPUTED_VALUE"""),"")</f>
        <v/>
      </c>
      <c r="T185" s="189" t="str">
        <f ca="1">IFERROR(__xludf.DUMMYFUNCTION("""COMPUTED_VALUE"""),"")</f>
        <v/>
      </c>
      <c r="U185" s="189" t="str">
        <f ca="1">IFERROR(__xludf.DUMMYFUNCTION("""COMPUTED_VALUE"""),"")</f>
        <v/>
      </c>
      <c r="V185" s="189" t="str">
        <f ca="1">IFERROR(__xludf.DUMMYFUNCTION("""COMPUTED_VALUE"""),"")</f>
        <v/>
      </c>
      <c r="W185" s="189" t="str">
        <f ca="1">IFERROR(__xludf.DUMMYFUNCTION("""COMPUTED_VALUE"""),"")</f>
        <v/>
      </c>
      <c r="X185" s="189" t="str">
        <f ca="1">IFERROR(__xludf.DUMMYFUNCTION("""COMPUTED_VALUE"""),"")</f>
        <v/>
      </c>
      <c r="Y185" s="189" t="str">
        <f ca="1">IFERROR(__xludf.DUMMYFUNCTION("""COMPUTED_VALUE"""),"")</f>
        <v/>
      </c>
      <c r="Z185" s="189"/>
    </row>
    <row r="186" spans="1:26" ht="12.75">
      <c r="A186" s="189" t="str">
        <f ca="1">IFERROR(__xludf.DUMMYFUNCTION("""COMPUTED_VALUE"""),"")</f>
        <v/>
      </c>
      <c r="B186" s="189" t="str">
        <f ca="1">IFERROR(__xludf.DUMMYFUNCTION("""COMPUTED_VALUE"""),"")</f>
        <v/>
      </c>
      <c r="C186" s="189" t="str">
        <f ca="1">IFERROR(__xludf.DUMMYFUNCTION("""COMPUTED_VALUE"""),"")</f>
        <v/>
      </c>
      <c r="D186" s="189" t="str">
        <f ca="1">IFERROR(__xludf.DUMMYFUNCTION("""COMPUTED_VALUE"""),"")</f>
        <v/>
      </c>
      <c r="E186" s="189" t="str">
        <f ca="1">IFERROR(__xludf.DUMMYFUNCTION("""COMPUTED_VALUE"""),"")</f>
        <v/>
      </c>
      <c r="F186" s="189" t="str">
        <f ca="1">IFERROR(__xludf.DUMMYFUNCTION("""COMPUTED_VALUE"""),"")</f>
        <v/>
      </c>
      <c r="G186" s="189" t="str">
        <f ca="1">IFERROR(__xludf.DUMMYFUNCTION("""COMPUTED_VALUE"""),"")</f>
        <v/>
      </c>
      <c r="H186" s="189" t="str">
        <f ca="1">IFERROR(__xludf.DUMMYFUNCTION("""COMPUTED_VALUE"""),"")</f>
        <v/>
      </c>
      <c r="I186" s="120" t="str">
        <f ca="1">IFERROR(__xludf.DUMMYFUNCTION("""COMPUTED_VALUE"""),"")</f>
        <v/>
      </c>
      <c r="J186" s="189" t="str">
        <f ca="1">IFERROR(__xludf.DUMMYFUNCTION("""COMPUTED_VALUE"""),"")</f>
        <v/>
      </c>
      <c r="K186" s="189" t="str">
        <f ca="1">IFERROR(__xludf.DUMMYFUNCTION("""COMPUTED_VALUE"""),"")</f>
        <v/>
      </c>
      <c r="L186" s="189" t="str">
        <f ca="1">IFERROR(__xludf.DUMMYFUNCTION("""COMPUTED_VALUE"""),"")</f>
        <v/>
      </c>
      <c r="M186" s="189" t="str">
        <f ca="1">IFERROR(__xludf.DUMMYFUNCTION("""COMPUTED_VALUE"""),"")</f>
        <v/>
      </c>
      <c r="N186" s="189" t="str">
        <f ca="1">IFERROR(__xludf.DUMMYFUNCTION("""COMPUTED_VALUE"""),"")</f>
        <v/>
      </c>
      <c r="O186" s="189" t="str">
        <f ca="1">IFERROR(__xludf.DUMMYFUNCTION("""COMPUTED_VALUE"""),"")</f>
        <v/>
      </c>
      <c r="P186" s="189" t="str">
        <f ca="1">IFERROR(__xludf.DUMMYFUNCTION("""COMPUTED_VALUE"""),"")</f>
        <v/>
      </c>
      <c r="Q186" s="189" t="str">
        <f ca="1">IFERROR(__xludf.DUMMYFUNCTION("""COMPUTED_VALUE"""),"")</f>
        <v/>
      </c>
      <c r="R186" s="189" t="str">
        <f ca="1">IFERROR(__xludf.DUMMYFUNCTION("""COMPUTED_VALUE"""),"")</f>
        <v/>
      </c>
      <c r="S186" s="189" t="str">
        <f ca="1">IFERROR(__xludf.DUMMYFUNCTION("""COMPUTED_VALUE"""),"")</f>
        <v/>
      </c>
      <c r="T186" s="189" t="str">
        <f ca="1">IFERROR(__xludf.DUMMYFUNCTION("""COMPUTED_VALUE"""),"")</f>
        <v/>
      </c>
      <c r="U186" s="189" t="str">
        <f ca="1">IFERROR(__xludf.DUMMYFUNCTION("""COMPUTED_VALUE"""),"")</f>
        <v/>
      </c>
      <c r="V186" s="189" t="str">
        <f ca="1">IFERROR(__xludf.DUMMYFUNCTION("""COMPUTED_VALUE"""),"")</f>
        <v/>
      </c>
      <c r="W186" s="189" t="str">
        <f ca="1">IFERROR(__xludf.DUMMYFUNCTION("""COMPUTED_VALUE"""),"")</f>
        <v/>
      </c>
      <c r="X186" s="189" t="str">
        <f ca="1">IFERROR(__xludf.DUMMYFUNCTION("""COMPUTED_VALUE"""),"")</f>
        <v/>
      </c>
      <c r="Y186" s="189" t="str">
        <f ca="1">IFERROR(__xludf.DUMMYFUNCTION("""COMPUTED_VALUE"""),"")</f>
        <v/>
      </c>
      <c r="Z186" s="189"/>
    </row>
    <row r="187" spans="1:26" ht="12.75">
      <c r="A187" s="189" t="str">
        <f ca="1">IFERROR(__xludf.DUMMYFUNCTION("""COMPUTED_VALUE"""),"")</f>
        <v/>
      </c>
      <c r="B187" s="189" t="str">
        <f ca="1">IFERROR(__xludf.DUMMYFUNCTION("""COMPUTED_VALUE"""),"")</f>
        <v/>
      </c>
      <c r="C187" s="189" t="str">
        <f ca="1">IFERROR(__xludf.DUMMYFUNCTION("""COMPUTED_VALUE"""),"")</f>
        <v/>
      </c>
      <c r="D187" s="189" t="str">
        <f ca="1">IFERROR(__xludf.DUMMYFUNCTION("""COMPUTED_VALUE"""),"")</f>
        <v/>
      </c>
      <c r="E187" s="189" t="str">
        <f ca="1">IFERROR(__xludf.DUMMYFUNCTION("""COMPUTED_VALUE"""),"")</f>
        <v/>
      </c>
      <c r="F187" s="189" t="str">
        <f ca="1">IFERROR(__xludf.DUMMYFUNCTION("""COMPUTED_VALUE"""),"")</f>
        <v/>
      </c>
      <c r="G187" s="189" t="str">
        <f ca="1">IFERROR(__xludf.DUMMYFUNCTION("""COMPUTED_VALUE"""),"")</f>
        <v/>
      </c>
      <c r="H187" s="189" t="str">
        <f ca="1">IFERROR(__xludf.DUMMYFUNCTION("""COMPUTED_VALUE"""),"")</f>
        <v/>
      </c>
      <c r="I187" s="120" t="str">
        <f ca="1">IFERROR(__xludf.DUMMYFUNCTION("""COMPUTED_VALUE"""),"")</f>
        <v/>
      </c>
      <c r="J187" s="189" t="str">
        <f ca="1">IFERROR(__xludf.DUMMYFUNCTION("""COMPUTED_VALUE"""),"")</f>
        <v/>
      </c>
      <c r="K187" s="189" t="str">
        <f ca="1">IFERROR(__xludf.DUMMYFUNCTION("""COMPUTED_VALUE"""),"")</f>
        <v/>
      </c>
      <c r="L187" s="189" t="str">
        <f ca="1">IFERROR(__xludf.DUMMYFUNCTION("""COMPUTED_VALUE"""),"")</f>
        <v/>
      </c>
      <c r="M187" s="189" t="str">
        <f ca="1">IFERROR(__xludf.DUMMYFUNCTION("""COMPUTED_VALUE"""),"")</f>
        <v/>
      </c>
      <c r="N187" s="189" t="str">
        <f ca="1">IFERROR(__xludf.DUMMYFUNCTION("""COMPUTED_VALUE"""),"")</f>
        <v/>
      </c>
      <c r="O187" s="189" t="str">
        <f ca="1">IFERROR(__xludf.DUMMYFUNCTION("""COMPUTED_VALUE"""),"")</f>
        <v/>
      </c>
      <c r="P187" s="189" t="str">
        <f ca="1">IFERROR(__xludf.DUMMYFUNCTION("""COMPUTED_VALUE"""),"")</f>
        <v/>
      </c>
      <c r="Q187" s="189" t="str">
        <f ca="1">IFERROR(__xludf.DUMMYFUNCTION("""COMPUTED_VALUE"""),"")</f>
        <v/>
      </c>
      <c r="R187" s="189" t="str">
        <f ca="1">IFERROR(__xludf.DUMMYFUNCTION("""COMPUTED_VALUE"""),"")</f>
        <v/>
      </c>
      <c r="S187" s="189" t="str">
        <f ca="1">IFERROR(__xludf.DUMMYFUNCTION("""COMPUTED_VALUE"""),"")</f>
        <v/>
      </c>
      <c r="T187" s="189" t="str">
        <f ca="1">IFERROR(__xludf.DUMMYFUNCTION("""COMPUTED_VALUE"""),"")</f>
        <v/>
      </c>
      <c r="U187" s="189" t="str">
        <f ca="1">IFERROR(__xludf.DUMMYFUNCTION("""COMPUTED_VALUE"""),"")</f>
        <v/>
      </c>
      <c r="V187" s="189" t="str">
        <f ca="1">IFERROR(__xludf.DUMMYFUNCTION("""COMPUTED_VALUE"""),"")</f>
        <v/>
      </c>
      <c r="W187" s="189" t="str">
        <f ca="1">IFERROR(__xludf.DUMMYFUNCTION("""COMPUTED_VALUE"""),"")</f>
        <v/>
      </c>
      <c r="X187" s="189" t="str">
        <f ca="1">IFERROR(__xludf.DUMMYFUNCTION("""COMPUTED_VALUE"""),"")</f>
        <v/>
      </c>
      <c r="Y187" s="189" t="str">
        <f ca="1">IFERROR(__xludf.DUMMYFUNCTION("""COMPUTED_VALUE"""),"")</f>
        <v/>
      </c>
      <c r="Z187" s="189"/>
    </row>
    <row r="188" spans="1:26" ht="12.75">
      <c r="A188" s="189" t="str">
        <f ca="1">IFERROR(__xludf.DUMMYFUNCTION("""COMPUTED_VALUE"""),"")</f>
        <v/>
      </c>
      <c r="B188" s="189" t="str">
        <f ca="1">IFERROR(__xludf.DUMMYFUNCTION("""COMPUTED_VALUE"""),"")</f>
        <v/>
      </c>
      <c r="C188" s="189" t="str">
        <f ca="1">IFERROR(__xludf.DUMMYFUNCTION("""COMPUTED_VALUE"""),"")</f>
        <v/>
      </c>
      <c r="D188" s="189" t="str">
        <f ca="1">IFERROR(__xludf.DUMMYFUNCTION("""COMPUTED_VALUE"""),"")</f>
        <v/>
      </c>
      <c r="E188" s="189" t="str">
        <f ca="1">IFERROR(__xludf.DUMMYFUNCTION("""COMPUTED_VALUE"""),"")</f>
        <v/>
      </c>
      <c r="F188" s="189" t="str">
        <f ca="1">IFERROR(__xludf.DUMMYFUNCTION("""COMPUTED_VALUE"""),"")</f>
        <v/>
      </c>
      <c r="G188" s="189" t="str">
        <f ca="1">IFERROR(__xludf.DUMMYFUNCTION("""COMPUTED_VALUE"""),"")</f>
        <v/>
      </c>
      <c r="H188" s="189" t="str">
        <f ca="1">IFERROR(__xludf.DUMMYFUNCTION("""COMPUTED_VALUE"""),"")</f>
        <v/>
      </c>
      <c r="I188" s="120" t="str">
        <f ca="1">IFERROR(__xludf.DUMMYFUNCTION("""COMPUTED_VALUE"""),"")</f>
        <v/>
      </c>
      <c r="J188" s="189" t="str">
        <f ca="1">IFERROR(__xludf.DUMMYFUNCTION("""COMPUTED_VALUE"""),"")</f>
        <v/>
      </c>
      <c r="K188" s="189" t="str">
        <f ca="1">IFERROR(__xludf.DUMMYFUNCTION("""COMPUTED_VALUE"""),"")</f>
        <v/>
      </c>
      <c r="L188" s="189" t="str">
        <f ca="1">IFERROR(__xludf.DUMMYFUNCTION("""COMPUTED_VALUE"""),"")</f>
        <v/>
      </c>
      <c r="M188" s="189" t="str">
        <f ca="1">IFERROR(__xludf.DUMMYFUNCTION("""COMPUTED_VALUE"""),"")</f>
        <v/>
      </c>
      <c r="N188" s="189" t="str">
        <f ca="1">IFERROR(__xludf.DUMMYFUNCTION("""COMPUTED_VALUE"""),"")</f>
        <v/>
      </c>
      <c r="O188" s="189" t="str">
        <f ca="1">IFERROR(__xludf.DUMMYFUNCTION("""COMPUTED_VALUE"""),"")</f>
        <v/>
      </c>
      <c r="P188" s="189" t="str">
        <f ca="1">IFERROR(__xludf.DUMMYFUNCTION("""COMPUTED_VALUE"""),"")</f>
        <v/>
      </c>
      <c r="Q188" s="189" t="str">
        <f ca="1">IFERROR(__xludf.DUMMYFUNCTION("""COMPUTED_VALUE"""),"")</f>
        <v/>
      </c>
      <c r="R188" s="189" t="str">
        <f ca="1">IFERROR(__xludf.DUMMYFUNCTION("""COMPUTED_VALUE"""),"")</f>
        <v/>
      </c>
      <c r="S188" s="189" t="str">
        <f ca="1">IFERROR(__xludf.DUMMYFUNCTION("""COMPUTED_VALUE"""),"")</f>
        <v/>
      </c>
      <c r="T188" s="189" t="str">
        <f ca="1">IFERROR(__xludf.DUMMYFUNCTION("""COMPUTED_VALUE"""),"")</f>
        <v/>
      </c>
      <c r="U188" s="189" t="str">
        <f ca="1">IFERROR(__xludf.DUMMYFUNCTION("""COMPUTED_VALUE"""),"")</f>
        <v/>
      </c>
      <c r="V188" s="189" t="str">
        <f ca="1">IFERROR(__xludf.DUMMYFUNCTION("""COMPUTED_VALUE"""),"")</f>
        <v/>
      </c>
      <c r="W188" s="189" t="str">
        <f ca="1">IFERROR(__xludf.DUMMYFUNCTION("""COMPUTED_VALUE"""),"")</f>
        <v/>
      </c>
      <c r="X188" s="189" t="str">
        <f ca="1">IFERROR(__xludf.DUMMYFUNCTION("""COMPUTED_VALUE"""),"")</f>
        <v/>
      </c>
      <c r="Y188" s="189" t="str">
        <f ca="1">IFERROR(__xludf.DUMMYFUNCTION("""COMPUTED_VALUE"""),"")</f>
        <v/>
      </c>
      <c r="Z188" s="189"/>
    </row>
    <row r="189" spans="1:26" ht="12.75">
      <c r="A189" s="189" t="str">
        <f ca="1">IFERROR(__xludf.DUMMYFUNCTION("""COMPUTED_VALUE"""),"")</f>
        <v/>
      </c>
      <c r="B189" s="189" t="str">
        <f ca="1">IFERROR(__xludf.DUMMYFUNCTION("""COMPUTED_VALUE"""),"")</f>
        <v/>
      </c>
      <c r="C189" s="189" t="str">
        <f ca="1">IFERROR(__xludf.DUMMYFUNCTION("""COMPUTED_VALUE"""),"")</f>
        <v/>
      </c>
      <c r="D189" s="189" t="str">
        <f ca="1">IFERROR(__xludf.DUMMYFUNCTION("""COMPUTED_VALUE"""),"")</f>
        <v/>
      </c>
      <c r="E189" s="189" t="str">
        <f ca="1">IFERROR(__xludf.DUMMYFUNCTION("""COMPUTED_VALUE"""),"")</f>
        <v/>
      </c>
      <c r="F189" s="189" t="str">
        <f ca="1">IFERROR(__xludf.DUMMYFUNCTION("""COMPUTED_VALUE"""),"")</f>
        <v/>
      </c>
      <c r="G189" s="189" t="str">
        <f ca="1">IFERROR(__xludf.DUMMYFUNCTION("""COMPUTED_VALUE"""),"")</f>
        <v/>
      </c>
      <c r="H189" s="189" t="str">
        <f ca="1">IFERROR(__xludf.DUMMYFUNCTION("""COMPUTED_VALUE"""),"")</f>
        <v/>
      </c>
      <c r="I189" s="120" t="str">
        <f ca="1">IFERROR(__xludf.DUMMYFUNCTION("""COMPUTED_VALUE"""),"")</f>
        <v/>
      </c>
      <c r="J189" s="189" t="str">
        <f ca="1">IFERROR(__xludf.DUMMYFUNCTION("""COMPUTED_VALUE"""),"")</f>
        <v/>
      </c>
      <c r="K189" s="189" t="str">
        <f ca="1">IFERROR(__xludf.DUMMYFUNCTION("""COMPUTED_VALUE"""),"")</f>
        <v/>
      </c>
      <c r="L189" s="189" t="str">
        <f ca="1">IFERROR(__xludf.DUMMYFUNCTION("""COMPUTED_VALUE"""),"")</f>
        <v/>
      </c>
      <c r="M189" s="189" t="str">
        <f ca="1">IFERROR(__xludf.DUMMYFUNCTION("""COMPUTED_VALUE"""),"")</f>
        <v/>
      </c>
      <c r="N189" s="189" t="str">
        <f ca="1">IFERROR(__xludf.DUMMYFUNCTION("""COMPUTED_VALUE"""),"")</f>
        <v/>
      </c>
      <c r="O189" s="189" t="str">
        <f ca="1">IFERROR(__xludf.DUMMYFUNCTION("""COMPUTED_VALUE"""),"")</f>
        <v/>
      </c>
      <c r="P189" s="189" t="str">
        <f ca="1">IFERROR(__xludf.DUMMYFUNCTION("""COMPUTED_VALUE"""),"")</f>
        <v/>
      </c>
      <c r="Q189" s="189" t="str">
        <f ca="1">IFERROR(__xludf.DUMMYFUNCTION("""COMPUTED_VALUE"""),"")</f>
        <v/>
      </c>
      <c r="R189" s="189" t="str">
        <f ca="1">IFERROR(__xludf.DUMMYFUNCTION("""COMPUTED_VALUE"""),"")</f>
        <v/>
      </c>
      <c r="S189" s="189" t="str">
        <f ca="1">IFERROR(__xludf.DUMMYFUNCTION("""COMPUTED_VALUE"""),"")</f>
        <v/>
      </c>
      <c r="T189" s="189" t="str">
        <f ca="1">IFERROR(__xludf.DUMMYFUNCTION("""COMPUTED_VALUE"""),"")</f>
        <v/>
      </c>
      <c r="U189" s="189" t="str">
        <f ca="1">IFERROR(__xludf.DUMMYFUNCTION("""COMPUTED_VALUE"""),"")</f>
        <v/>
      </c>
      <c r="V189" s="189" t="str">
        <f ca="1">IFERROR(__xludf.DUMMYFUNCTION("""COMPUTED_VALUE"""),"")</f>
        <v/>
      </c>
      <c r="W189" s="189" t="str">
        <f ca="1">IFERROR(__xludf.DUMMYFUNCTION("""COMPUTED_VALUE"""),"")</f>
        <v/>
      </c>
      <c r="X189" s="189" t="str">
        <f ca="1">IFERROR(__xludf.DUMMYFUNCTION("""COMPUTED_VALUE"""),"")</f>
        <v/>
      </c>
      <c r="Y189" s="189" t="str">
        <f ca="1">IFERROR(__xludf.DUMMYFUNCTION("""COMPUTED_VALUE"""),"")</f>
        <v/>
      </c>
      <c r="Z189" s="189"/>
    </row>
    <row r="190" spans="1:26" ht="12.75">
      <c r="A190" s="189" t="str">
        <f ca="1">IFERROR(__xludf.DUMMYFUNCTION("""COMPUTED_VALUE"""),"")</f>
        <v/>
      </c>
      <c r="B190" s="189" t="str">
        <f ca="1">IFERROR(__xludf.DUMMYFUNCTION("""COMPUTED_VALUE"""),"")</f>
        <v/>
      </c>
      <c r="C190" s="189" t="str">
        <f ca="1">IFERROR(__xludf.DUMMYFUNCTION("""COMPUTED_VALUE"""),"")</f>
        <v/>
      </c>
      <c r="D190" s="189" t="str">
        <f ca="1">IFERROR(__xludf.DUMMYFUNCTION("""COMPUTED_VALUE"""),"")</f>
        <v/>
      </c>
      <c r="E190" s="189" t="str">
        <f ca="1">IFERROR(__xludf.DUMMYFUNCTION("""COMPUTED_VALUE"""),"")</f>
        <v/>
      </c>
      <c r="F190" s="189" t="str">
        <f ca="1">IFERROR(__xludf.DUMMYFUNCTION("""COMPUTED_VALUE"""),"")</f>
        <v/>
      </c>
      <c r="G190" s="189" t="str">
        <f ca="1">IFERROR(__xludf.DUMMYFUNCTION("""COMPUTED_VALUE"""),"")</f>
        <v/>
      </c>
      <c r="H190" s="189" t="str">
        <f ca="1">IFERROR(__xludf.DUMMYFUNCTION("""COMPUTED_VALUE"""),"")</f>
        <v/>
      </c>
      <c r="I190" s="120" t="str">
        <f ca="1">IFERROR(__xludf.DUMMYFUNCTION("""COMPUTED_VALUE"""),"")</f>
        <v/>
      </c>
      <c r="J190" s="189" t="str">
        <f ca="1">IFERROR(__xludf.DUMMYFUNCTION("""COMPUTED_VALUE"""),"")</f>
        <v/>
      </c>
      <c r="K190" s="189" t="str">
        <f ca="1">IFERROR(__xludf.DUMMYFUNCTION("""COMPUTED_VALUE"""),"")</f>
        <v/>
      </c>
      <c r="L190" s="189" t="str">
        <f ca="1">IFERROR(__xludf.DUMMYFUNCTION("""COMPUTED_VALUE"""),"")</f>
        <v/>
      </c>
      <c r="M190" s="189" t="str">
        <f ca="1">IFERROR(__xludf.DUMMYFUNCTION("""COMPUTED_VALUE"""),"")</f>
        <v/>
      </c>
      <c r="N190" s="189" t="str">
        <f ca="1">IFERROR(__xludf.DUMMYFUNCTION("""COMPUTED_VALUE"""),"")</f>
        <v/>
      </c>
      <c r="O190" s="189" t="str">
        <f ca="1">IFERROR(__xludf.DUMMYFUNCTION("""COMPUTED_VALUE"""),"")</f>
        <v/>
      </c>
      <c r="P190" s="189" t="str">
        <f ca="1">IFERROR(__xludf.DUMMYFUNCTION("""COMPUTED_VALUE"""),"")</f>
        <v/>
      </c>
      <c r="Q190" s="189" t="str">
        <f ca="1">IFERROR(__xludf.DUMMYFUNCTION("""COMPUTED_VALUE"""),"")</f>
        <v/>
      </c>
      <c r="R190" s="189" t="str">
        <f ca="1">IFERROR(__xludf.DUMMYFUNCTION("""COMPUTED_VALUE"""),"")</f>
        <v/>
      </c>
      <c r="S190" s="189" t="str">
        <f ca="1">IFERROR(__xludf.DUMMYFUNCTION("""COMPUTED_VALUE"""),"")</f>
        <v/>
      </c>
      <c r="T190" s="189" t="str">
        <f ca="1">IFERROR(__xludf.DUMMYFUNCTION("""COMPUTED_VALUE"""),"")</f>
        <v/>
      </c>
      <c r="U190" s="189" t="str">
        <f ca="1">IFERROR(__xludf.DUMMYFUNCTION("""COMPUTED_VALUE"""),"")</f>
        <v/>
      </c>
      <c r="V190" s="189" t="str">
        <f ca="1">IFERROR(__xludf.DUMMYFUNCTION("""COMPUTED_VALUE"""),"")</f>
        <v/>
      </c>
      <c r="W190" s="189" t="str">
        <f ca="1">IFERROR(__xludf.DUMMYFUNCTION("""COMPUTED_VALUE"""),"")</f>
        <v/>
      </c>
      <c r="X190" s="189" t="str">
        <f ca="1">IFERROR(__xludf.DUMMYFUNCTION("""COMPUTED_VALUE"""),"")</f>
        <v/>
      </c>
      <c r="Y190" s="189" t="str">
        <f ca="1">IFERROR(__xludf.DUMMYFUNCTION("""COMPUTED_VALUE"""),"")</f>
        <v/>
      </c>
      <c r="Z190" s="189"/>
    </row>
    <row r="191" spans="1:26" ht="12.75">
      <c r="A191" s="189" t="str">
        <f ca="1">IFERROR(__xludf.DUMMYFUNCTION("""COMPUTED_VALUE"""),"")</f>
        <v/>
      </c>
      <c r="B191" s="189" t="str">
        <f ca="1">IFERROR(__xludf.DUMMYFUNCTION("""COMPUTED_VALUE"""),"")</f>
        <v/>
      </c>
      <c r="C191" s="189" t="str">
        <f ca="1">IFERROR(__xludf.DUMMYFUNCTION("""COMPUTED_VALUE"""),"")</f>
        <v/>
      </c>
      <c r="D191" s="189" t="str">
        <f ca="1">IFERROR(__xludf.DUMMYFUNCTION("""COMPUTED_VALUE"""),"")</f>
        <v/>
      </c>
      <c r="E191" s="189" t="str">
        <f ca="1">IFERROR(__xludf.DUMMYFUNCTION("""COMPUTED_VALUE"""),"")</f>
        <v/>
      </c>
      <c r="F191" s="189" t="str">
        <f ca="1">IFERROR(__xludf.DUMMYFUNCTION("""COMPUTED_VALUE"""),"")</f>
        <v/>
      </c>
      <c r="G191" s="189" t="str">
        <f ca="1">IFERROR(__xludf.DUMMYFUNCTION("""COMPUTED_VALUE"""),"")</f>
        <v/>
      </c>
      <c r="H191" s="189" t="str">
        <f ca="1">IFERROR(__xludf.DUMMYFUNCTION("""COMPUTED_VALUE"""),"")</f>
        <v/>
      </c>
      <c r="I191" s="120" t="str">
        <f ca="1">IFERROR(__xludf.DUMMYFUNCTION("""COMPUTED_VALUE"""),"")</f>
        <v/>
      </c>
      <c r="J191" s="189" t="str">
        <f ca="1">IFERROR(__xludf.DUMMYFUNCTION("""COMPUTED_VALUE"""),"")</f>
        <v/>
      </c>
      <c r="K191" s="189" t="str">
        <f ca="1">IFERROR(__xludf.DUMMYFUNCTION("""COMPUTED_VALUE"""),"")</f>
        <v/>
      </c>
      <c r="L191" s="189" t="str">
        <f ca="1">IFERROR(__xludf.DUMMYFUNCTION("""COMPUTED_VALUE"""),"")</f>
        <v/>
      </c>
      <c r="M191" s="189" t="str">
        <f ca="1">IFERROR(__xludf.DUMMYFUNCTION("""COMPUTED_VALUE"""),"")</f>
        <v/>
      </c>
      <c r="N191" s="189" t="str">
        <f ca="1">IFERROR(__xludf.DUMMYFUNCTION("""COMPUTED_VALUE"""),"")</f>
        <v/>
      </c>
      <c r="O191" s="189" t="str">
        <f ca="1">IFERROR(__xludf.DUMMYFUNCTION("""COMPUTED_VALUE"""),"")</f>
        <v/>
      </c>
      <c r="P191" s="189" t="str">
        <f ca="1">IFERROR(__xludf.DUMMYFUNCTION("""COMPUTED_VALUE"""),"")</f>
        <v/>
      </c>
      <c r="Q191" s="189" t="str">
        <f ca="1">IFERROR(__xludf.DUMMYFUNCTION("""COMPUTED_VALUE"""),"")</f>
        <v/>
      </c>
      <c r="R191" s="189" t="str">
        <f ca="1">IFERROR(__xludf.DUMMYFUNCTION("""COMPUTED_VALUE"""),"")</f>
        <v/>
      </c>
      <c r="S191" s="189" t="str">
        <f ca="1">IFERROR(__xludf.DUMMYFUNCTION("""COMPUTED_VALUE"""),"")</f>
        <v/>
      </c>
      <c r="T191" s="189" t="str">
        <f ca="1">IFERROR(__xludf.DUMMYFUNCTION("""COMPUTED_VALUE"""),"")</f>
        <v/>
      </c>
      <c r="U191" s="189" t="str">
        <f ca="1">IFERROR(__xludf.DUMMYFUNCTION("""COMPUTED_VALUE"""),"")</f>
        <v/>
      </c>
      <c r="V191" s="189" t="str">
        <f ca="1">IFERROR(__xludf.DUMMYFUNCTION("""COMPUTED_VALUE"""),"")</f>
        <v/>
      </c>
      <c r="W191" s="189" t="str">
        <f ca="1">IFERROR(__xludf.DUMMYFUNCTION("""COMPUTED_VALUE"""),"")</f>
        <v/>
      </c>
      <c r="X191" s="189" t="str">
        <f ca="1">IFERROR(__xludf.DUMMYFUNCTION("""COMPUTED_VALUE"""),"")</f>
        <v/>
      </c>
      <c r="Y191" s="189" t="str">
        <f ca="1">IFERROR(__xludf.DUMMYFUNCTION("""COMPUTED_VALUE"""),"")</f>
        <v/>
      </c>
      <c r="Z191" s="189"/>
    </row>
    <row r="192" spans="1:26" ht="12.75">
      <c r="A192" s="189" t="str">
        <f ca="1">IFERROR(__xludf.DUMMYFUNCTION("""COMPUTED_VALUE"""),"")</f>
        <v/>
      </c>
      <c r="B192" s="189" t="str">
        <f ca="1">IFERROR(__xludf.DUMMYFUNCTION("""COMPUTED_VALUE"""),"")</f>
        <v/>
      </c>
      <c r="C192" s="189" t="str">
        <f ca="1">IFERROR(__xludf.DUMMYFUNCTION("""COMPUTED_VALUE"""),"")</f>
        <v/>
      </c>
      <c r="D192" s="189" t="str">
        <f ca="1">IFERROR(__xludf.DUMMYFUNCTION("""COMPUTED_VALUE"""),"")</f>
        <v/>
      </c>
      <c r="E192" s="189" t="str">
        <f ca="1">IFERROR(__xludf.DUMMYFUNCTION("""COMPUTED_VALUE"""),"")</f>
        <v/>
      </c>
      <c r="F192" s="189" t="str">
        <f ca="1">IFERROR(__xludf.DUMMYFUNCTION("""COMPUTED_VALUE"""),"")</f>
        <v/>
      </c>
      <c r="G192" s="189" t="str">
        <f ca="1">IFERROR(__xludf.DUMMYFUNCTION("""COMPUTED_VALUE"""),"")</f>
        <v/>
      </c>
      <c r="H192" s="189" t="str">
        <f ca="1">IFERROR(__xludf.DUMMYFUNCTION("""COMPUTED_VALUE"""),"")</f>
        <v/>
      </c>
      <c r="I192" s="120" t="str">
        <f ca="1">IFERROR(__xludf.DUMMYFUNCTION("""COMPUTED_VALUE"""),"")</f>
        <v/>
      </c>
      <c r="J192" s="189" t="str">
        <f ca="1">IFERROR(__xludf.DUMMYFUNCTION("""COMPUTED_VALUE"""),"")</f>
        <v/>
      </c>
      <c r="K192" s="189" t="str">
        <f ca="1">IFERROR(__xludf.DUMMYFUNCTION("""COMPUTED_VALUE"""),"")</f>
        <v/>
      </c>
      <c r="L192" s="189" t="str">
        <f ca="1">IFERROR(__xludf.DUMMYFUNCTION("""COMPUTED_VALUE"""),"")</f>
        <v/>
      </c>
      <c r="M192" s="189" t="str">
        <f ca="1">IFERROR(__xludf.DUMMYFUNCTION("""COMPUTED_VALUE"""),"")</f>
        <v/>
      </c>
      <c r="N192" s="189" t="str">
        <f ca="1">IFERROR(__xludf.DUMMYFUNCTION("""COMPUTED_VALUE"""),"")</f>
        <v/>
      </c>
      <c r="O192" s="189" t="str">
        <f ca="1">IFERROR(__xludf.DUMMYFUNCTION("""COMPUTED_VALUE"""),"")</f>
        <v/>
      </c>
      <c r="P192" s="189" t="str">
        <f ca="1">IFERROR(__xludf.DUMMYFUNCTION("""COMPUTED_VALUE"""),"")</f>
        <v/>
      </c>
      <c r="Q192" s="189" t="str">
        <f ca="1">IFERROR(__xludf.DUMMYFUNCTION("""COMPUTED_VALUE"""),"")</f>
        <v/>
      </c>
      <c r="R192" s="189" t="str">
        <f ca="1">IFERROR(__xludf.DUMMYFUNCTION("""COMPUTED_VALUE"""),"")</f>
        <v/>
      </c>
      <c r="S192" s="189" t="str">
        <f ca="1">IFERROR(__xludf.DUMMYFUNCTION("""COMPUTED_VALUE"""),"")</f>
        <v/>
      </c>
      <c r="T192" s="189" t="str">
        <f ca="1">IFERROR(__xludf.DUMMYFUNCTION("""COMPUTED_VALUE"""),"")</f>
        <v/>
      </c>
      <c r="U192" s="189" t="str">
        <f ca="1">IFERROR(__xludf.DUMMYFUNCTION("""COMPUTED_VALUE"""),"")</f>
        <v/>
      </c>
      <c r="V192" s="189" t="str">
        <f ca="1">IFERROR(__xludf.DUMMYFUNCTION("""COMPUTED_VALUE"""),"")</f>
        <v/>
      </c>
      <c r="W192" s="189" t="str">
        <f ca="1">IFERROR(__xludf.DUMMYFUNCTION("""COMPUTED_VALUE"""),"")</f>
        <v/>
      </c>
      <c r="X192" s="189" t="str">
        <f ca="1">IFERROR(__xludf.DUMMYFUNCTION("""COMPUTED_VALUE"""),"")</f>
        <v/>
      </c>
      <c r="Y192" s="189" t="str">
        <f ca="1">IFERROR(__xludf.DUMMYFUNCTION("""COMPUTED_VALUE"""),"")</f>
        <v/>
      </c>
      <c r="Z192" s="189"/>
    </row>
    <row r="193" spans="1:26" ht="12.75">
      <c r="A193" s="189" t="str">
        <f ca="1">IFERROR(__xludf.DUMMYFUNCTION("""COMPUTED_VALUE"""),"")</f>
        <v/>
      </c>
      <c r="B193" s="189" t="str">
        <f ca="1">IFERROR(__xludf.DUMMYFUNCTION("""COMPUTED_VALUE"""),"")</f>
        <v/>
      </c>
      <c r="C193" s="189" t="str">
        <f ca="1">IFERROR(__xludf.DUMMYFUNCTION("""COMPUTED_VALUE"""),"")</f>
        <v/>
      </c>
      <c r="D193" s="189" t="str">
        <f ca="1">IFERROR(__xludf.DUMMYFUNCTION("""COMPUTED_VALUE"""),"")</f>
        <v/>
      </c>
      <c r="E193" s="189" t="str">
        <f ca="1">IFERROR(__xludf.DUMMYFUNCTION("""COMPUTED_VALUE"""),"")</f>
        <v/>
      </c>
      <c r="F193" s="189" t="str">
        <f ca="1">IFERROR(__xludf.DUMMYFUNCTION("""COMPUTED_VALUE"""),"")</f>
        <v/>
      </c>
      <c r="G193" s="189" t="str">
        <f ca="1">IFERROR(__xludf.DUMMYFUNCTION("""COMPUTED_VALUE"""),"")</f>
        <v/>
      </c>
      <c r="H193" s="189" t="str">
        <f ca="1">IFERROR(__xludf.DUMMYFUNCTION("""COMPUTED_VALUE"""),"")</f>
        <v/>
      </c>
      <c r="I193" s="120" t="str">
        <f ca="1">IFERROR(__xludf.DUMMYFUNCTION("""COMPUTED_VALUE"""),"")</f>
        <v/>
      </c>
      <c r="J193" s="189" t="str">
        <f ca="1">IFERROR(__xludf.DUMMYFUNCTION("""COMPUTED_VALUE"""),"")</f>
        <v/>
      </c>
      <c r="K193" s="189" t="str">
        <f ca="1">IFERROR(__xludf.DUMMYFUNCTION("""COMPUTED_VALUE"""),"")</f>
        <v/>
      </c>
      <c r="L193" s="189" t="str">
        <f ca="1">IFERROR(__xludf.DUMMYFUNCTION("""COMPUTED_VALUE"""),"")</f>
        <v/>
      </c>
      <c r="M193" s="189" t="str">
        <f ca="1">IFERROR(__xludf.DUMMYFUNCTION("""COMPUTED_VALUE"""),"")</f>
        <v/>
      </c>
      <c r="N193" s="189" t="str">
        <f ca="1">IFERROR(__xludf.DUMMYFUNCTION("""COMPUTED_VALUE"""),"")</f>
        <v/>
      </c>
      <c r="O193" s="189" t="str">
        <f ca="1">IFERROR(__xludf.DUMMYFUNCTION("""COMPUTED_VALUE"""),"")</f>
        <v/>
      </c>
      <c r="P193" s="189" t="str">
        <f ca="1">IFERROR(__xludf.DUMMYFUNCTION("""COMPUTED_VALUE"""),"")</f>
        <v/>
      </c>
      <c r="Q193" s="189" t="str">
        <f ca="1">IFERROR(__xludf.DUMMYFUNCTION("""COMPUTED_VALUE"""),"")</f>
        <v/>
      </c>
      <c r="R193" s="189" t="str">
        <f ca="1">IFERROR(__xludf.DUMMYFUNCTION("""COMPUTED_VALUE"""),"")</f>
        <v/>
      </c>
      <c r="S193" s="189" t="str">
        <f ca="1">IFERROR(__xludf.DUMMYFUNCTION("""COMPUTED_VALUE"""),"")</f>
        <v/>
      </c>
      <c r="T193" s="189" t="str">
        <f ca="1">IFERROR(__xludf.DUMMYFUNCTION("""COMPUTED_VALUE"""),"")</f>
        <v/>
      </c>
      <c r="U193" s="189" t="str">
        <f ca="1">IFERROR(__xludf.DUMMYFUNCTION("""COMPUTED_VALUE"""),"")</f>
        <v/>
      </c>
      <c r="V193" s="189" t="str">
        <f ca="1">IFERROR(__xludf.DUMMYFUNCTION("""COMPUTED_VALUE"""),"")</f>
        <v/>
      </c>
      <c r="W193" s="189" t="str">
        <f ca="1">IFERROR(__xludf.DUMMYFUNCTION("""COMPUTED_VALUE"""),"")</f>
        <v/>
      </c>
      <c r="X193" s="189" t="str">
        <f ca="1">IFERROR(__xludf.DUMMYFUNCTION("""COMPUTED_VALUE"""),"")</f>
        <v/>
      </c>
      <c r="Y193" s="189" t="str">
        <f ca="1">IFERROR(__xludf.DUMMYFUNCTION("""COMPUTED_VALUE"""),"")</f>
        <v/>
      </c>
      <c r="Z193" s="189"/>
    </row>
    <row r="194" spans="1:26" ht="12.75">
      <c r="A194" s="189" t="str">
        <f ca="1">IFERROR(__xludf.DUMMYFUNCTION("""COMPUTED_VALUE"""),"")</f>
        <v/>
      </c>
      <c r="B194" s="189" t="str">
        <f ca="1">IFERROR(__xludf.DUMMYFUNCTION("""COMPUTED_VALUE"""),"")</f>
        <v/>
      </c>
      <c r="C194" s="189" t="str">
        <f ca="1">IFERROR(__xludf.DUMMYFUNCTION("""COMPUTED_VALUE"""),"")</f>
        <v/>
      </c>
      <c r="D194" s="189" t="str">
        <f ca="1">IFERROR(__xludf.DUMMYFUNCTION("""COMPUTED_VALUE"""),"")</f>
        <v/>
      </c>
      <c r="E194" s="189" t="str">
        <f ca="1">IFERROR(__xludf.DUMMYFUNCTION("""COMPUTED_VALUE"""),"")</f>
        <v/>
      </c>
      <c r="F194" s="189" t="str">
        <f ca="1">IFERROR(__xludf.DUMMYFUNCTION("""COMPUTED_VALUE"""),"")</f>
        <v/>
      </c>
      <c r="G194" s="189" t="str">
        <f ca="1">IFERROR(__xludf.DUMMYFUNCTION("""COMPUTED_VALUE"""),"")</f>
        <v/>
      </c>
      <c r="H194" s="189" t="str">
        <f ca="1">IFERROR(__xludf.DUMMYFUNCTION("""COMPUTED_VALUE"""),"")</f>
        <v/>
      </c>
      <c r="I194" s="120" t="str">
        <f ca="1">IFERROR(__xludf.DUMMYFUNCTION("""COMPUTED_VALUE"""),"")</f>
        <v/>
      </c>
      <c r="J194" s="189" t="str">
        <f ca="1">IFERROR(__xludf.DUMMYFUNCTION("""COMPUTED_VALUE"""),"")</f>
        <v/>
      </c>
      <c r="K194" s="189" t="str">
        <f ca="1">IFERROR(__xludf.DUMMYFUNCTION("""COMPUTED_VALUE"""),"")</f>
        <v/>
      </c>
      <c r="L194" s="189" t="str">
        <f ca="1">IFERROR(__xludf.DUMMYFUNCTION("""COMPUTED_VALUE"""),"")</f>
        <v/>
      </c>
      <c r="M194" s="189" t="str">
        <f ca="1">IFERROR(__xludf.DUMMYFUNCTION("""COMPUTED_VALUE"""),"")</f>
        <v/>
      </c>
      <c r="N194" s="189" t="str">
        <f ca="1">IFERROR(__xludf.DUMMYFUNCTION("""COMPUTED_VALUE"""),"")</f>
        <v/>
      </c>
      <c r="O194" s="189" t="str">
        <f ca="1">IFERROR(__xludf.DUMMYFUNCTION("""COMPUTED_VALUE"""),"")</f>
        <v/>
      </c>
      <c r="P194" s="189" t="str">
        <f ca="1">IFERROR(__xludf.DUMMYFUNCTION("""COMPUTED_VALUE"""),"")</f>
        <v/>
      </c>
      <c r="Q194" s="189" t="str">
        <f ca="1">IFERROR(__xludf.DUMMYFUNCTION("""COMPUTED_VALUE"""),"")</f>
        <v/>
      </c>
      <c r="R194" s="189" t="str">
        <f ca="1">IFERROR(__xludf.DUMMYFUNCTION("""COMPUTED_VALUE"""),"")</f>
        <v/>
      </c>
      <c r="S194" s="189" t="str">
        <f ca="1">IFERROR(__xludf.DUMMYFUNCTION("""COMPUTED_VALUE"""),"")</f>
        <v/>
      </c>
      <c r="T194" s="189" t="str">
        <f ca="1">IFERROR(__xludf.DUMMYFUNCTION("""COMPUTED_VALUE"""),"")</f>
        <v/>
      </c>
      <c r="U194" s="189" t="str">
        <f ca="1">IFERROR(__xludf.DUMMYFUNCTION("""COMPUTED_VALUE"""),"")</f>
        <v/>
      </c>
      <c r="V194" s="189" t="str">
        <f ca="1">IFERROR(__xludf.DUMMYFUNCTION("""COMPUTED_VALUE"""),"")</f>
        <v/>
      </c>
      <c r="W194" s="189" t="str">
        <f ca="1">IFERROR(__xludf.DUMMYFUNCTION("""COMPUTED_VALUE"""),"")</f>
        <v/>
      </c>
      <c r="X194" s="189" t="str">
        <f ca="1">IFERROR(__xludf.DUMMYFUNCTION("""COMPUTED_VALUE"""),"")</f>
        <v/>
      </c>
      <c r="Y194" s="189" t="str">
        <f ca="1">IFERROR(__xludf.DUMMYFUNCTION("""COMPUTED_VALUE"""),"")</f>
        <v/>
      </c>
      <c r="Z194" s="189"/>
    </row>
    <row r="195" spans="1:26" ht="12.75">
      <c r="A195" s="189" t="str">
        <f ca="1">IFERROR(__xludf.DUMMYFUNCTION("""COMPUTED_VALUE"""),"")</f>
        <v/>
      </c>
      <c r="B195" s="189" t="str">
        <f ca="1">IFERROR(__xludf.DUMMYFUNCTION("""COMPUTED_VALUE"""),"")</f>
        <v/>
      </c>
      <c r="C195" s="189" t="str">
        <f ca="1">IFERROR(__xludf.DUMMYFUNCTION("""COMPUTED_VALUE"""),"")</f>
        <v/>
      </c>
      <c r="D195" s="189" t="str">
        <f ca="1">IFERROR(__xludf.DUMMYFUNCTION("""COMPUTED_VALUE"""),"")</f>
        <v/>
      </c>
      <c r="E195" s="189" t="str">
        <f ca="1">IFERROR(__xludf.DUMMYFUNCTION("""COMPUTED_VALUE"""),"")</f>
        <v/>
      </c>
      <c r="F195" s="189" t="str">
        <f ca="1">IFERROR(__xludf.DUMMYFUNCTION("""COMPUTED_VALUE"""),"")</f>
        <v/>
      </c>
      <c r="G195" s="189" t="str">
        <f ca="1">IFERROR(__xludf.DUMMYFUNCTION("""COMPUTED_VALUE"""),"")</f>
        <v/>
      </c>
      <c r="H195" s="189" t="str">
        <f ca="1">IFERROR(__xludf.DUMMYFUNCTION("""COMPUTED_VALUE"""),"")</f>
        <v/>
      </c>
      <c r="I195" s="120" t="str">
        <f ca="1">IFERROR(__xludf.DUMMYFUNCTION("""COMPUTED_VALUE"""),"")</f>
        <v/>
      </c>
      <c r="J195" s="189" t="str">
        <f ca="1">IFERROR(__xludf.DUMMYFUNCTION("""COMPUTED_VALUE"""),"")</f>
        <v/>
      </c>
      <c r="K195" s="189" t="str">
        <f ca="1">IFERROR(__xludf.DUMMYFUNCTION("""COMPUTED_VALUE"""),"")</f>
        <v/>
      </c>
      <c r="L195" s="189" t="str">
        <f ca="1">IFERROR(__xludf.DUMMYFUNCTION("""COMPUTED_VALUE"""),"")</f>
        <v/>
      </c>
      <c r="M195" s="189" t="str">
        <f ca="1">IFERROR(__xludf.DUMMYFUNCTION("""COMPUTED_VALUE"""),"")</f>
        <v/>
      </c>
      <c r="N195" s="189" t="str">
        <f ca="1">IFERROR(__xludf.DUMMYFUNCTION("""COMPUTED_VALUE"""),"")</f>
        <v/>
      </c>
      <c r="O195" s="189" t="str">
        <f ca="1">IFERROR(__xludf.DUMMYFUNCTION("""COMPUTED_VALUE"""),"")</f>
        <v/>
      </c>
      <c r="P195" s="189" t="str">
        <f ca="1">IFERROR(__xludf.DUMMYFUNCTION("""COMPUTED_VALUE"""),"")</f>
        <v/>
      </c>
      <c r="Q195" s="189" t="str">
        <f ca="1">IFERROR(__xludf.DUMMYFUNCTION("""COMPUTED_VALUE"""),"")</f>
        <v/>
      </c>
      <c r="R195" s="189" t="str">
        <f ca="1">IFERROR(__xludf.DUMMYFUNCTION("""COMPUTED_VALUE"""),"")</f>
        <v/>
      </c>
      <c r="S195" s="189" t="str">
        <f ca="1">IFERROR(__xludf.DUMMYFUNCTION("""COMPUTED_VALUE"""),"")</f>
        <v/>
      </c>
      <c r="T195" s="189" t="str">
        <f ca="1">IFERROR(__xludf.DUMMYFUNCTION("""COMPUTED_VALUE"""),"")</f>
        <v/>
      </c>
      <c r="U195" s="189" t="str">
        <f ca="1">IFERROR(__xludf.DUMMYFUNCTION("""COMPUTED_VALUE"""),"")</f>
        <v/>
      </c>
      <c r="V195" s="189" t="str">
        <f ca="1">IFERROR(__xludf.DUMMYFUNCTION("""COMPUTED_VALUE"""),"")</f>
        <v/>
      </c>
      <c r="W195" s="189" t="str">
        <f ca="1">IFERROR(__xludf.DUMMYFUNCTION("""COMPUTED_VALUE"""),"")</f>
        <v/>
      </c>
      <c r="X195" s="189" t="str">
        <f ca="1">IFERROR(__xludf.DUMMYFUNCTION("""COMPUTED_VALUE"""),"")</f>
        <v/>
      </c>
      <c r="Y195" s="189" t="str">
        <f ca="1">IFERROR(__xludf.DUMMYFUNCTION("""COMPUTED_VALUE"""),"")</f>
        <v/>
      </c>
      <c r="Z195" s="189"/>
    </row>
    <row r="196" spans="1:26" ht="12.75">
      <c r="A196" s="189" t="str">
        <f ca="1">IFERROR(__xludf.DUMMYFUNCTION("""COMPUTED_VALUE"""),"")</f>
        <v/>
      </c>
      <c r="B196" s="189" t="str">
        <f ca="1">IFERROR(__xludf.DUMMYFUNCTION("""COMPUTED_VALUE"""),"")</f>
        <v/>
      </c>
      <c r="C196" s="189" t="str">
        <f ca="1">IFERROR(__xludf.DUMMYFUNCTION("""COMPUTED_VALUE"""),"")</f>
        <v/>
      </c>
      <c r="D196" s="189" t="str">
        <f ca="1">IFERROR(__xludf.DUMMYFUNCTION("""COMPUTED_VALUE"""),"")</f>
        <v/>
      </c>
      <c r="E196" s="189" t="str">
        <f ca="1">IFERROR(__xludf.DUMMYFUNCTION("""COMPUTED_VALUE"""),"")</f>
        <v/>
      </c>
      <c r="F196" s="189" t="str">
        <f ca="1">IFERROR(__xludf.DUMMYFUNCTION("""COMPUTED_VALUE"""),"")</f>
        <v/>
      </c>
      <c r="G196" s="189" t="str">
        <f ca="1">IFERROR(__xludf.DUMMYFUNCTION("""COMPUTED_VALUE"""),"")</f>
        <v/>
      </c>
      <c r="H196" s="189" t="str">
        <f ca="1">IFERROR(__xludf.DUMMYFUNCTION("""COMPUTED_VALUE"""),"")</f>
        <v/>
      </c>
      <c r="I196" s="120" t="str">
        <f ca="1">IFERROR(__xludf.DUMMYFUNCTION("""COMPUTED_VALUE"""),"")</f>
        <v/>
      </c>
      <c r="J196" s="189" t="str">
        <f ca="1">IFERROR(__xludf.DUMMYFUNCTION("""COMPUTED_VALUE"""),"")</f>
        <v/>
      </c>
      <c r="K196" s="189" t="str">
        <f ca="1">IFERROR(__xludf.DUMMYFUNCTION("""COMPUTED_VALUE"""),"")</f>
        <v/>
      </c>
      <c r="L196" s="189" t="str">
        <f ca="1">IFERROR(__xludf.DUMMYFUNCTION("""COMPUTED_VALUE"""),"")</f>
        <v/>
      </c>
      <c r="M196" s="189" t="str">
        <f ca="1">IFERROR(__xludf.DUMMYFUNCTION("""COMPUTED_VALUE"""),"")</f>
        <v/>
      </c>
      <c r="N196" s="189" t="str">
        <f ca="1">IFERROR(__xludf.DUMMYFUNCTION("""COMPUTED_VALUE"""),"")</f>
        <v/>
      </c>
      <c r="O196" s="189" t="str">
        <f ca="1">IFERROR(__xludf.DUMMYFUNCTION("""COMPUTED_VALUE"""),"")</f>
        <v/>
      </c>
      <c r="P196" s="189" t="str">
        <f ca="1">IFERROR(__xludf.DUMMYFUNCTION("""COMPUTED_VALUE"""),"")</f>
        <v/>
      </c>
      <c r="Q196" s="189" t="str">
        <f ca="1">IFERROR(__xludf.DUMMYFUNCTION("""COMPUTED_VALUE"""),"")</f>
        <v/>
      </c>
      <c r="R196" s="189" t="str">
        <f ca="1">IFERROR(__xludf.DUMMYFUNCTION("""COMPUTED_VALUE"""),"")</f>
        <v/>
      </c>
      <c r="S196" s="189" t="str">
        <f ca="1">IFERROR(__xludf.DUMMYFUNCTION("""COMPUTED_VALUE"""),"")</f>
        <v/>
      </c>
      <c r="T196" s="189" t="str">
        <f ca="1">IFERROR(__xludf.DUMMYFUNCTION("""COMPUTED_VALUE"""),"")</f>
        <v/>
      </c>
      <c r="U196" s="189" t="str">
        <f ca="1">IFERROR(__xludf.DUMMYFUNCTION("""COMPUTED_VALUE"""),"")</f>
        <v/>
      </c>
      <c r="V196" s="189" t="str">
        <f ca="1">IFERROR(__xludf.DUMMYFUNCTION("""COMPUTED_VALUE"""),"")</f>
        <v/>
      </c>
      <c r="W196" s="189" t="str">
        <f ca="1">IFERROR(__xludf.DUMMYFUNCTION("""COMPUTED_VALUE"""),"")</f>
        <v/>
      </c>
      <c r="X196" s="189" t="str">
        <f ca="1">IFERROR(__xludf.DUMMYFUNCTION("""COMPUTED_VALUE"""),"")</f>
        <v/>
      </c>
      <c r="Y196" s="189" t="str">
        <f ca="1">IFERROR(__xludf.DUMMYFUNCTION("""COMPUTED_VALUE"""),"")</f>
        <v/>
      </c>
      <c r="Z196" s="189"/>
    </row>
    <row r="197" spans="1:26" ht="12.75">
      <c r="A197" s="189" t="str">
        <f ca="1">IFERROR(__xludf.DUMMYFUNCTION("""COMPUTED_VALUE"""),"")</f>
        <v/>
      </c>
      <c r="B197" s="189" t="str">
        <f ca="1">IFERROR(__xludf.DUMMYFUNCTION("""COMPUTED_VALUE"""),"")</f>
        <v/>
      </c>
      <c r="C197" s="189" t="str">
        <f ca="1">IFERROR(__xludf.DUMMYFUNCTION("""COMPUTED_VALUE"""),"")</f>
        <v/>
      </c>
      <c r="D197" s="189" t="str">
        <f ca="1">IFERROR(__xludf.DUMMYFUNCTION("""COMPUTED_VALUE"""),"")</f>
        <v/>
      </c>
      <c r="E197" s="189" t="str">
        <f ca="1">IFERROR(__xludf.DUMMYFUNCTION("""COMPUTED_VALUE"""),"")</f>
        <v/>
      </c>
      <c r="F197" s="189" t="str">
        <f ca="1">IFERROR(__xludf.DUMMYFUNCTION("""COMPUTED_VALUE"""),"")</f>
        <v/>
      </c>
      <c r="G197" s="189" t="str">
        <f ca="1">IFERROR(__xludf.DUMMYFUNCTION("""COMPUTED_VALUE"""),"")</f>
        <v/>
      </c>
      <c r="H197" s="189" t="str">
        <f ca="1">IFERROR(__xludf.DUMMYFUNCTION("""COMPUTED_VALUE"""),"")</f>
        <v/>
      </c>
      <c r="I197" s="120" t="str">
        <f ca="1">IFERROR(__xludf.DUMMYFUNCTION("""COMPUTED_VALUE"""),"")</f>
        <v/>
      </c>
      <c r="J197" s="189" t="str">
        <f ca="1">IFERROR(__xludf.DUMMYFUNCTION("""COMPUTED_VALUE"""),"")</f>
        <v/>
      </c>
      <c r="K197" s="189" t="str">
        <f ca="1">IFERROR(__xludf.DUMMYFUNCTION("""COMPUTED_VALUE"""),"")</f>
        <v/>
      </c>
      <c r="L197" s="189" t="str">
        <f ca="1">IFERROR(__xludf.DUMMYFUNCTION("""COMPUTED_VALUE"""),"")</f>
        <v/>
      </c>
      <c r="M197" s="189" t="str">
        <f ca="1">IFERROR(__xludf.DUMMYFUNCTION("""COMPUTED_VALUE"""),"")</f>
        <v/>
      </c>
      <c r="N197" s="189" t="str">
        <f ca="1">IFERROR(__xludf.DUMMYFUNCTION("""COMPUTED_VALUE"""),"")</f>
        <v/>
      </c>
      <c r="O197" s="189" t="str">
        <f ca="1">IFERROR(__xludf.DUMMYFUNCTION("""COMPUTED_VALUE"""),"")</f>
        <v/>
      </c>
      <c r="P197" s="189" t="str">
        <f ca="1">IFERROR(__xludf.DUMMYFUNCTION("""COMPUTED_VALUE"""),"")</f>
        <v/>
      </c>
      <c r="Q197" s="189" t="str">
        <f ca="1">IFERROR(__xludf.DUMMYFUNCTION("""COMPUTED_VALUE"""),"")</f>
        <v/>
      </c>
      <c r="R197" s="189" t="str">
        <f ca="1">IFERROR(__xludf.DUMMYFUNCTION("""COMPUTED_VALUE"""),"")</f>
        <v/>
      </c>
      <c r="S197" s="189" t="str">
        <f ca="1">IFERROR(__xludf.DUMMYFUNCTION("""COMPUTED_VALUE"""),"")</f>
        <v/>
      </c>
      <c r="T197" s="189" t="str">
        <f ca="1">IFERROR(__xludf.DUMMYFUNCTION("""COMPUTED_VALUE"""),"")</f>
        <v/>
      </c>
      <c r="U197" s="189" t="str">
        <f ca="1">IFERROR(__xludf.DUMMYFUNCTION("""COMPUTED_VALUE"""),"")</f>
        <v/>
      </c>
      <c r="V197" s="189" t="str">
        <f ca="1">IFERROR(__xludf.DUMMYFUNCTION("""COMPUTED_VALUE"""),"")</f>
        <v/>
      </c>
      <c r="W197" s="189" t="str">
        <f ca="1">IFERROR(__xludf.DUMMYFUNCTION("""COMPUTED_VALUE"""),"")</f>
        <v/>
      </c>
      <c r="X197" s="189" t="str">
        <f ca="1">IFERROR(__xludf.DUMMYFUNCTION("""COMPUTED_VALUE"""),"")</f>
        <v/>
      </c>
      <c r="Y197" s="189" t="str">
        <f ca="1">IFERROR(__xludf.DUMMYFUNCTION("""COMPUTED_VALUE"""),"")</f>
        <v/>
      </c>
      <c r="Z197" s="189"/>
    </row>
    <row r="198" spans="1:26" ht="12.75">
      <c r="A198" s="189" t="str">
        <f ca="1">IFERROR(__xludf.DUMMYFUNCTION("""COMPUTED_VALUE"""),"")</f>
        <v/>
      </c>
      <c r="B198" s="189" t="str">
        <f ca="1">IFERROR(__xludf.DUMMYFUNCTION("""COMPUTED_VALUE"""),"")</f>
        <v/>
      </c>
      <c r="C198" s="189" t="str">
        <f ca="1">IFERROR(__xludf.DUMMYFUNCTION("""COMPUTED_VALUE"""),"")</f>
        <v/>
      </c>
      <c r="D198" s="189" t="str">
        <f ca="1">IFERROR(__xludf.DUMMYFUNCTION("""COMPUTED_VALUE"""),"")</f>
        <v/>
      </c>
      <c r="E198" s="189" t="str">
        <f ca="1">IFERROR(__xludf.DUMMYFUNCTION("""COMPUTED_VALUE"""),"")</f>
        <v/>
      </c>
      <c r="F198" s="189" t="str">
        <f ca="1">IFERROR(__xludf.DUMMYFUNCTION("""COMPUTED_VALUE"""),"")</f>
        <v/>
      </c>
      <c r="G198" s="189" t="str">
        <f ca="1">IFERROR(__xludf.DUMMYFUNCTION("""COMPUTED_VALUE"""),"")</f>
        <v/>
      </c>
      <c r="H198" s="189" t="str">
        <f ca="1">IFERROR(__xludf.DUMMYFUNCTION("""COMPUTED_VALUE"""),"")</f>
        <v/>
      </c>
      <c r="I198" s="120" t="str">
        <f ca="1">IFERROR(__xludf.DUMMYFUNCTION("""COMPUTED_VALUE"""),"")</f>
        <v/>
      </c>
      <c r="J198" s="189" t="str">
        <f ca="1">IFERROR(__xludf.DUMMYFUNCTION("""COMPUTED_VALUE"""),"")</f>
        <v/>
      </c>
      <c r="K198" s="189" t="str">
        <f ca="1">IFERROR(__xludf.DUMMYFUNCTION("""COMPUTED_VALUE"""),"")</f>
        <v/>
      </c>
      <c r="L198" s="189" t="str">
        <f ca="1">IFERROR(__xludf.DUMMYFUNCTION("""COMPUTED_VALUE"""),"")</f>
        <v/>
      </c>
      <c r="M198" s="189" t="str">
        <f ca="1">IFERROR(__xludf.DUMMYFUNCTION("""COMPUTED_VALUE"""),"")</f>
        <v/>
      </c>
      <c r="N198" s="189" t="str">
        <f ca="1">IFERROR(__xludf.DUMMYFUNCTION("""COMPUTED_VALUE"""),"")</f>
        <v/>
      </c>
      <c r="O198" s="189" t="str">
        <f ca="1">IFERROR(__xludf.DUMMYFUNCTION("""COMPUTED_VALUE"""),"")</f>
        <v/>
      </c>
      <c r="P198" s="189" t="str">
        <f ca="1">IFERROR(__xludf.DUMMYFUNCTION("""COMPUTED_VALUE"""),"")</f>
        <v/>
      </c>
      <c r="Q198" s="189" t="str">
        <f ca="1">IFERROR(__xludf.DUMMYFUNCTION("""COMPUTED_VALUE"""),"")</f>
        <v/>
      </c>
      <c r="R198" s="189" t="str">
        <f ca="1">IFERROR(__xludf.DUMMYFUNCTION("""COMPUTED_VALUE"""),"")</f>
        <v/>
      </c>
      <c r="S198" s="189" t="str">
        <f ca="1">IFERROR(__xludf.DUMMYFUNCTION("""COMPUTED_VALUE"""),"")</f>
        <v/>
      </c>
      <c r="T198" s="189" t="str">
        <f ca="1">IFERROR(__xludf.DUMMYFUNCTION("""COMPUTED_VALUE"""),"")</f>
        <v/>
      </c>
      <c r="U198" s="189" t="str">
        <f ca="1">IFERROR(__xludf.DUMMYFUNCTION("""COMPUTED_VALUE"""),"")</f>
        <v/>
      </c>
      <c r="V198" s="189" t="str">
        <f ca="1">IFERROR(__xludf.DUMMYFUNCTION("""COMPUTED_VALUE"""),"")</f>
        <v/>
      </c>
      <c r="W198" s="189" t="str">
        <f ca="1">IFERROR(__xludf.DUMMYFUNCTION("""COMPUTED_VALUE"""),"")</f>
        <v/>
      </c>
      <c r="X198" s="189" t="str">
        <f ca="1">IFERROR(__xludf.DUMMYFUNCTION("""COMPUTED_VALUE"""),"")</f>
        <v/>
      </c>
      <c r="Y198" s="189" t="str">
        <f ca="1">IFERROR(__xludf.DUMMYFUNCTION("""COMPUTED_VALUE"""),"")</f>
        <v/>
      </c>
      <c r="Z198" s="189"/>
    </row>
    <row r="199" spans="1:26" ht="12.75">
      <c r="A199" s="189" t="str">
        <f ca="1">IFERROR(__xludf.DUMMYFUNCTION("""COMPUTED_VALUE"""),"")</f>
        <v/>
      </c>
      <c r="B199" s="189" t="str">
        <f ca="1">IFERROR(__xludf.DUMMYFUNCTION("""COMPUTED_VALUE"""),"")</f>
        <v/>
      </c>
      <c r="C199" s="189" t="str">
        <f ca="1">IFERROR(__xludf.DUMMYFUNCTION("""COMPUTED_VALUE"""),"")</f>
        <v/>
      </c>
      <c r="D199" s="189" t="str">
        <f ca="1">IFERROR(__xludf.DUMMYFUNCTION("""COMPUTED_VALUE"""),"")</f>
        <v/>
      </c>
      <c r="E199" s="189" t="str">
        <f ca="1">IFERROR(__xludf.DUMMYFUNCTION("""COMPUTED_VALUE"""),"")</f>
        <v/>
      </c>
      <c r="F199" s="189" t="str">
        <f ca="1">IFERROR(__xludf.DUMMYFUNCTION("""COMPUTED_VALUE"""),"")</f>
        <v/>
      </c>
      <c r="G199" s="189" t="str">
        <f ca="1">IFERROR(__xludf.DUMMYFUNCTION("""COMPUTED_VALUE"""),"")</f>
        <v/>
      </c>
      <c r="H199" s="189" t="str">
        <f ca="1">IFERROR(__xludf.DUMMYFUNCTION("""COMPUTED_VALUE"""),"")</f>
        <v/>
      </c>
      <c r="I199" s="120" t="str">
        <f ca="1">IFERROR(__xludf.DUMMYFUNCTION("""COMPUTED_VALUE"""),"")</f>
        <v/>
      </c>
      <c r="J199" s="189" t="str">
        <f ca="1">IFERROR(__xludf.DUMMYFUNCTION("""COMPUTED_VALUE"""),"")</f>
        <v/>
      </c>
      <c r="K199" s="189" t="str">
        <f ca="1">IFERROR(__xludf.DUMMYFUNCTION("""COMPUTED_VALUE"""),"")</f>
        <v/>
      </c>
      <c r="L199" s="189" t="str">
        <f ca="1">IFERROR(__xludf.DUMMYFUNCTION("""COMPUTED_VALUE"""),"")</f>
        <v/>
      </c>
      <c r="M199" s="189" t="str">
        <f ca="1">IFERROR(__xludf.DUMMYFUNCTION("""COMPUTED_VALUE"""),"")</f>
        <v/>
      </c>
      <c r="N199" s="189" t="str">
        <f ca="1">IFERROR(__xludf.DUMMYFUNCTION("""COMPUTED_VALUE"""),"")</f>
        <v/>
      </c>
      <c r="O199" s="189" t="str">
        <f ca="1">IFERROR(__xludf.DUMMYFUNCTION("""COMPUTED_VALUE"""),"")</f>
        <v/>
      </c>
      <c r="P199" s="189" t="str">
        <f ca="1">IFERROR(__xludf.DUMMYFUNCTION("""COMPUTED_VALUE"""),"")</f>
        <v/>
      </c>
      <c r="Q199" s="189" t="str">
        <f ca="1">IFERROR(__xludf.DUMMYFUNCTION("""COMPUTED_VALUE"""),"")</f>
        <v/>
      </c>
      <c r="R199" s="189" t="str">
        <f ca="1">IFERROR(__xludf.DUMMYFUNCTION("""COMPUTED_VALUE"""),"")</f>
        <v/>
      </c>
      <c r="S199" s="189" t="str">
        <f ca="1">IFERROR(__xludf.DUMMYFUNCTION("""COMPUTED_VALUE"""),"")</f>
        <v/>
      </c>
      <c r="T199" s="189" t="str">
        <f ca="1">IFERROR(__xludf.DUMMYFUNCTION("""COMPUTED_VALUE"""),"")</f>
        <v/>
      </c>
      <c r="U199" s="189" t="str">
        <f ca="1">IFERROR(__xludf.DUMMYFUNCTION("""COMPUTED_VALUE"""),"")</f>
        <v/>
      </c>
      <c r="V199" s="189" t="str">
        <f ca="1">IFERROR(__xludf.DUMMYFUNCTION("""COMPUTED_VALUE"""),"")</f>
        <v/>
      </c>
      <c r="W199" s="189" t="str">
        <f ca="1">IFERROR(__xludf.DUMMYFUNCTION("""COMPUTED_VALUE"""),"")</f>
        <v/>
      </c>
      <c r="X199" s="189" t="str">
        <f ca="1">IFERROR(__xludf.DUMMYFUNCTION("""COMPUTED_VALUE"""),"")</f>
        <v/>
      </c>
      <c r="Y199" s="189" t="str">
        <f ca="1">IFERROR(__xludf.DUMMYFUNCTION("""COMPUTED_VALUE"""),"")</f>
        <v/>
      </c>
      <c r="Z199" s="189"/>
    </row>
    <row r="200" spans="1:26" ht="12.75">
      <c r="A200" s="189" t="str">
        <f ca="1">IFERROR(__xludf.DUMMYFUNCTION("""COMPUTED_VALUE"""),"")</f>
        <v/>
      </c>
      <c r="B200" s="189" t="str">
        <f ca="1">IFERROR(__xludf.DUMMYFUNCTION("""COMPUTED_VALUE"""),"")</f>
        <v/>
      </c>
      <c r="C200" s="189" t="str">
        <f ca="1">IFERROR(__xludf.DUMMYFUNCTION("""COMPUTED_VALUE"""),"")</f>
        <v/>
      </c>
      <c r="D200" s="189" t="str">
        <f ca="1">IFERROR(__xludf.DUMMYFUNCTION("""COMPUTED_VALUE"""),"")</f>
        <v/>
      </c>
      <c r="E200" s="189" t="str">
        <f ca="1">IFERROR(__xludf.DUMMYFUNCTION("""COMPUTED_VALUE"""),"")</f>
        <v/>
      </c>
      <c r="F200" s="189" t="str">
        <f ca="1">IFERROR(__xludf.DUMMYFUNCTION("""COMPUTED_VALUE"""),"")</f>
        <v/>
      </c>
      <c r="G200" s="189" t="str">
        <f ca="1">IFERROR(__xludf.DUMMYFUNCTION("""COMPUTED_VALUE"""),"")</f>
        <v/>
      </c>
      <c r="H200" s="189" t="str">
        <f ca="1">IFERROR(__xludf.DUMMYFUNCTION("""COMPUTED_VALUE"""),"")</f>
        <v/>
      </c>
      <c r="I200" s="120" t="str">
        <f ca="1">IFERROR(__xludf.DUMMYFUNCTION("""COMPUTED_VALUE"""),"")</f>
        <v/>
      </c>
      <c r="J200" s="189" t="str">
        <f ca="1">IFERROR(__xludf.DUMMYFUNCTION("""COMPUTED_VALUE"""),"")</f>
        <v/>
      </c>
      <c r="K200" s="189" t="str">
        <f ca="1">IFERROR(__xludf.DUMMYFUNCTION("""COMPUTED_VALUE"""),"")</f>
        <v/>
      </c>
      <c r="L200" s="189" t="str">
        <f ca="1">IFERROR(__xludf.DUMMYFUNCTION("""COMPUTED_VALUE"""),"")</f>
        <v/>
      </c>
      <c r="M200" s="189" t="str">
        <f ca="1">IFERROR(__xludf.DUMMYFUNCTION("""COMPUTED_VALUE"""),"")</f>
        <v/>
      </c>
      <c r="N200" s="189" t="str">
        <f ca="1">IFERROR(__xludf.DUMMYFUNCTION("""COMPUTED_VALUE"""),"")</f>
        <v/>
      </c>
      <c r="O200" s="189" t="str">
        <f ca="1">IFERROR(__xludf.DUMMYFUNCTION("""COMPUTED_VALUE"""),"")</f>
        <v/>
      </c>
      <c r="P200" s="189" t="str">
        <f ca="1">IFERROR(__xludf.DUMMYFUNCTION("""COMPUTED_VALUE"""),"")</f>
        <v/>
      </c>
      <c r="Q200" s="189" t="str">
        <f ca="1">IFERROR(__xludf.DUMMYFUNCTION("""COMPUTED_VALUE"""),"")</f>
        <v/>
      </c>
      <c r="R200" s="189" t="str">
        <f ca="1">IFERROR(__xludf.DUMMYFUNCTION("""COMPUTED_VALUE"""),"")</f>
        <v/>
      </c>
      <c r="S200" s="189" t="str">
        <f ca="1">IFERROR(__xludf.DUMMYFUNCTION("""COMPUTED_VALUE"""),"")</f>
        <v/>
      </c>
      <c r="T200" s="189" t="str">
        <f ca="1">IFERROR(__xludf.DUMMYFUNCTION("""COMPUTED_VALUE"""),"")</f>
        <v/>
      </c>
      <c r="U200" s="189" t="str">
        <f ca="1">IFERROR(__xludf.DUMMYFUNCTION("""COMPUTED_VALUE"""),"")</f>
        <v/>
      </c>
      <c r="V200" s="189" t="str">
        <f ca="1">IFERROR(__xludf.DUMMYFUNCTION("""COMPUTED_VALUE"""),"")</f>
        <v/>
      </c>
      <c r="W200" s="189" t="str">
        <f ca="1">IFERROR(__xludf.DUMMYFUNCTION("""COMPUTED_VALUE"""),"")</f>
        <v/>
      </c>
      <c r="X200" s="189" t="str">
        <f ca="1">IFERROR(__xludf.DUMMYFUNCTION("""COMPUTED_VALUE"""),"")</f>
        <v/>
      </c>
      <c r="Y200" s="189" t="str">
        <f ca="1">IFERROR(__xludf.DUMMYFUNCTION("""COMPUTED_VALUE"""),"")</f>
        <v/>
      </c>
      <c r="Z200" s="189"/>
    </row>
    <row r="201" spans="1:26" ht="12.75">
      <c r="A201" s="189" t="str">
        <f ca="1">IFERROR(__xludf.DUMMYFUNCTION("""COMPUTED_VALUE"""),"")</f>
        <v/>
      </c>
      <c r="B201" s="189" t="str">
        <f ca="1">IFERROR(__xludf.DUMMYFUNCTION("""COMPUTED_VALUE"""),"")</f>
        <v/>
      </c>
      <c r="C201" s="189" t="str">
        <f ca="1">IFERROR(__xludf.DUMMYFUNCTION("""COMPUTED_VALUE"""),"")</f>
        <v/>
      </c>
      <c r="D201" s="189" t="str">
        <f ca="1">IFERROR(__xludf.DUMMYFUNCTION("""COMPUTED_VALUE"""),"")</f>
        <v/>
      </c>
      <c r="E201" s="189" t="str">
        <f ca="1">IFERROR(__xludf.DUMMYFUNCTION("""COMPUTED_VALUE"""),"")</f>
        <v/>
      </c>
      <c r="F201" s="189" t="str">
        <f ca="1">IFERROR(__xludf.DUMMYFUNCTION("""COMPUTED_VALUE"""),"")</f>
        <v/>
      </c>
      <c r="G201" s="189" t="str">
        <f ca="1">IFERROR(__xludf.DUMMYFUNCTION("""COMPUTED_VALUE"""),"")</f>
        <v/>
      </c>
      <c r="H201" s="189" t="str">
        <f ca="1">IFERROR(__xludf.DUMMYFUNCTION("""COMPUTED_VALUE"""),"")</f>
        <v/>
      </c>
      <c r="I201" s="120" t="str">
        <f ca="1">IFERROR(__xludf.DUMMYFUNCTION("""COMPUTED_VALUE"""),"")</f>
        <v/>
      </c>
      <c r="J201" s="189" t="str">
        <f ca="1">IFERROR(__xludf.DUMMYFUNCTION("""COMPUTED_VALUE"""),"")</f>
        <v/>
      </c>
      <c r="K201" s="189" t="str">
        <f ca="1">IFERROR(__xludf.DUMMYFUNCTION("""COMPUTED_VALUE"""),"")</f>
        <v/>
      </c>
      <c r="L201" s="189" t="str">
        <f ca="1">IFERROR(__xludf.DUMMYFUNCTION("""COMPUTED_VALUE"""),"")</f>
        <v/>
      </c>
      <c r="M201" s="189" t="str">
        <f ca="1">IFERROR(__xludf.DUMMYFUNCTION("""COMPUTED_VALUE"""),"")</f>
        <v/>
      </c>
      <c r="N201" s="189" t="str">
        <f ca="1">IFERROR(__xludf.DUMMYFUNCTION("""COMPUTED_VALUE"""),"")</f>
        <v/>
      </c>
      <c r="O201" s="189" t="str">
        <f ca="1">IFERROR(__xludf.DUMMYFUNCTION("""COMPUTED_VALUE"""),"")</f>
        <v/>
      </c>
      <c r="P201" s="189" t="str">
        <f ca="1">IFERROR(__xludf.DUMMYFUNCTION("""COMPUTED_VALUE"""),"")</f>
        <v/>
      </c>
      <c r="Q201" s="189" t="str">
        <f ca="1">IFERROR(__xludf.DUMMYFUNCTION("""COMPUTED_VALUE"""),"")</f>
        <v/>
      </c>
      <c r="R201" s="189" t="str">
        <f ca="1">IFERROR(__xludf.DUMMYFUNCTION("""COMPUTED_VALUE"""),"")</f>
        <v/>
      </c>
      <c r="S201" s="189" t="str">
        <f ca="1">IFERROR(__xludf.DUMMYFUNCTION("""COMPUTED_VALUE"""),"")</f>
        <v/>
      </c>
      <c r="T201" s="189" t="str">
        <f ca="1">IFERROR(__xludf.DUMMYFUNCTION("""COMPUTED_VALUE"""),"")</f>
        <v/>
      </c>
      <c r="U201" s="189" t="str">
        <f ca="1">IFERROR(__xludf.DUMMYFUNCTION("""COMPUTED_VALUE"""),"")</f>
        <v/>
      </c>
      <c r="V201" s="189" t="str">
        <f ca="1">IFERROR(__xludf.DUMMYFUNCTION("""COMPUTED_VALUE"""),"")</f>
        <v/>
      </c>
      <c r="W201" s="189" t="str">
        <f ca="1">IFERROR(__xludf.DUMMYFUNCTION("""COMPUTED_VALUE"""),"")</f>
        <v/>
      </c>
      <c r="X201" s="189" t="str">
        <f ca="1">IFERROR(__xludf.DUMMYFUNCTION("""COMPUTED_VALUE"""),"")</f>
        <v/>
      </c>
      <c r="Y201" s="189" t="str">
        <f ca="1">IFERROR(__xludf.DUMMYFUNCTION("""COMPUTED_VALUE"""),"")</f>
        <v/>
      </c>
      <c r="Z201" s="189"/>
    </row>
    <row r="202" spans="1:26" ht="12.75">
      <c r="A202" s="189" t="str">
        <f ca="1">IFERROR(__xludf.DUMMYFUNCTION("""COMPUTED_VALUE"""),"")</f>
        <v/>
      </c>
      <c r="B202" s="189" t="str">
        <f ca="1">IFERROR(__xludf.DUMMYFUNCTION("""COMPUTED_VALUE"""),"")</f>
        <v/>
      </c>
      <c r="C202" s="189" t="str">
        <f ca="1">IFERROR(__xludf.DUMMYFUNCTION("""COMPUTED_VALUE"""),"")</f>
        <v/>
      </c>
      <c r="D202" s="189" t="str">
        <f ca="1">IFERROR(__xludf.DUMMYFUNCTION("""COMPUTED_VALUE"""),"")</f>
        <v/>
      </c>
      <c r="E202" s="189" t="str">
        <f ca="1">IFERROR(__xludf.DUMMYFUNCTION("""COMPUTED_VALUE"""),"")</f>
        <v/>
      </c>
      <c r="F202" s="189" t="str">
        <f ca="1">IFERROR(__xludf.DUMMYFUNCTION("""COMPUTED_VALUE"""),"")</f>
        <v/>
      </c>
      <c r="G202" s="189" t="str">
        <f ca="1">IFERROR(__xludf.DUMMYFUNCTION("""COMPUTED_VALUE"""),"")</f>
        <v/>
      </c>
      <c r="H202" s="189" t="str">
        <f ca="1">IFERROR(__xludf.DUMMYFUNCTION("""COMPUTED_VALUE"""),"")</f>
        <v/>
      </c>
      <c r="I202" s="120" t="str">
        <f ca="1">IFERROR(__xludf.DUMMYFUNCTION("""COMPUTED_VALUE"""),"")</f>
        <v/>
      </c>
      <c r="J202" s="189" t="str">
        <f ca="1">IFERROR(__xludf.DUMMYFUNCTION("""COMPUTED_VALUE"""),"")</f>
        <v/>
      </c>
      <c r="K202" s="189" t="str">
        <f ca="1">IFERROR(__xludf.DUMMYFUNCTION("""COMPUTED_VALUE"""),"")</f>
        <v/>
      </c>
      <c r="L202" s="189" t="str">
        <f ca="1">IFERROR(__xludf.DUMMYFUNCTION("""COMPUTED_VALUE"""),"")</f>
        <v/>
      </c>
      <c r="M202" s="189" t="str">
        <f ca="1">IFERROR(__xludf.DUMMYFUNCTION("""COMPUTED_VALUE"""),"")</f>
        <v/>
      </c>
      <c r="N202" s="189" t="str">
        <f ca="1">IFERROR(__xludf.DUMMYFUNCTION("""COMPUTED_VALUE"""),"")</f>
        <v/>
      </c>
      <c r="O202" s="189" t="str">
        <f ca="1">IFERROR(__xludf.DUMMYFUNCTION("""COMPUTED_VALUE"""),"")</f>
        <v/>
      </c>
      <c r="P202" s="189" t="str">
        <f ca="1">IFERROR(__xludf.DUMMYFUNCTION("""COMPUTED_VALUE"""),"")</f>
        <v/>
      </c>
      <c r="Q202" s="189" t="str">
        <f ca="1">IFERROR(__xludf.DUMMYFUNCTION("""COMPUTED_VALUE"""),"")</f>
        <v/>
      </c>
      <c r="R202" s="189" t="str">
        <f ca="1">IFERROR(__xludf.DUMMYFUNCTION("""COMPUTED_VALUE"""),"")</f>
        <v/>
      </c>
      <c r="S202" s="189" t="str">
        <f ca="1">IFERROR(__xludf.DUMMYFUNCTION("""COMPUTED_VALUE"""),"")</f>
        <v/>
      </c>
      <c r="T202" s="189" t="str">
        <f ca="1">IFERROR(__xludf.DUMMYFUNCTION("""COMPUTED_VALUE"""),"")</f>
        <v/>
      </c>
      <c r="U202" s="189" t="str">
        <f ca="1">IFERROR(__xludf.DUMMYFUNCTION("""COMPUTED_VALUE"""),"")</f>
        <v/>
      </c>
      <c r="V202" s="189" t="str">
        <f ca="1">IFERROR(__xludf.DUMMYFUNCTION("""COMPUTED_VALUE"""),"")</f>
        <v/>
      </c>
      <c r="W202" s="189" t="str">
        <f ca="1">IFERROR(__xludf.DUMMYFUNCTION("""COMPUTED_VALUE"""),"")</f>
        <v/>
      </c>
      <c r="X202" s="189" t="str">
        <f ca="1">IFERROR(__xludf.DUMMYFUNCTION("""COMPUTED_VALUE"""),"")</f>
        <v/>
      </c>
      <c r="Y202" s="189" t="str">
        <f ca="1">IFERROR(__xludf.DUMMYFUNCTION("""COMPUTED_VALUE"""),"")</f>
        <v/>
      </c>
      <c r="Z202" s="189"/>
    </row>
    <row r="203" spans="1:26" ht="12.75">
      <c r="A203" s="189" t="str">
        <f ca="1">IFERROR(__xludf.DUMMYFUNCTION("""COMPUTED_VALUE"""),"")</f>
        <v/>
      </c>
      <c r="B203" s="189" t="str">
        <f ca="1">IFERROR(__xludf.DUMMYFUNCTION("""COMPUTED_VALUE"""),"")</f>
        <v/>
      </c>
      <c r="C203" s="189" t="str">
        <f ca="1">IFERROR(__xludf.DUMMYFUNCTION("""COMPUTED_VALUE"""),"")</f>
        <v/>
      </c>
      <c r="D203" s="189" t="str">
        <f ca="1">IFERROR(__xludf.DUMMYFUNCTION("""COMPUTED_VALUE"""),"")</f>
        <v/>
      </c>
      <c r="E203" s="189" t="str">
        <f ca="1">IFERROR(__xludf.DUMMYFUNCTION("""COMPUTED_VALUE"""),"")</f>
        <v/>
      </c>
      <c r="F203" s="189" t="str">
        <f ca="1">IFERROR(__xludf.DUMMYFUNCTION("""COMPUTED_VALUE"""),"")</f>
        <v/>
      </c>
      <c r="G203" s="189" t="str">
        <f ca="1">IFERROR(__xludf.DUMMYFUNCTION("""COMPUTED_VALUE"""),"")</f>
        <v/>
      </c>
      <c r="H203" s="189" t="str">
        <f ca="1">IFERROR(__xludf.DUMMYFUNCTION("""COMPUTED_VALUE"""),"")</f>
        <v/>
      </c>
      <c r="I203" s="120" t="str">
        <f ca="1">IFERROR(__xludf.DUMMYFUNCTION("""COMPUTED_VALUE"""),"")</f>
        <v/>
      </c>
      <c r="J203" s="189" t="str">
        <f ca="1">IFERROR(__xludf.DUMMYFUNCTION("""COMPUTED_VALUE"""),"")</f>
        <v/>
      </c>
      <c r="K203" s="189" t="str">
        <f ca="1">IFERROR(__xludf.DUMMYFUNCTION("""COMPUTED_VALUE"""),"")</f>
        <v/>
      </c>
      <c r="L203" s="189" t="str">
        <f ca="1">IFERROR(__xludf.DUMMYFUNCTION("""COMPUTED_VALUE"""),"")</f>
        <v/>
      </c>
      <c r="M203" s="189" t="str">
        <f ca="1">IFERROR(__xludf.DUMMYFUNCTION("""COMPUTED_VALUE"""),"")</f>
        <v/>
      </c>
      <c r="N203" s="189" t="str">
        <f ca="1">IFERROR(__xludf.DUMMYFUNCTION("""COMPUTED_VALUE"""),"")</f>
        <v/>
      </c>
      <c r="O203" s="189" t="str">
        <f ca="1">IFERROR(__xludf.DUMMYFUNCTION("""COMPUTED_VALUE"""),"")</f>
        <v/>
      </c>
      <c r="P203" s="189" t="str">
        <f ca="1">IFERROR(__xludf.DUMMYFUNCTION("""COMPUTED_VALUE"""),"")</f>
        <v/>
      </c>
      <c r="Q203" s="189" t="str">
        <f ca="1">IFERROR(__xludf.DUMMYFUNCTION("""COMPUTED_VALUE"""),"")</f>
        <v/>
      </c>
      <c r="R203" s="189" t="str">
        <f ca="1">IFERROR(__xludf.DUMMYFUNCTION("""COMPUTED_VALUE"""),"")</f>
        <v/>
      </c>
      <c r="S203" s="189" t="str">
        <f ca="1">IFERROR(__xludf.DUMMYFUNCTION("""COMPUTED_VALUE"""),"")</f>
        <v/>
      </c>
      <c r="T203" s="189" t="str">
        <f ca="1">IFERROR(__xludf.DUMMYFUNCTION("""COMPUTED_VALUE"""),"")</f>
        <v/>
      </c>
      <c r="U203" s="189" t="str">
        <f ca="1">IFERROR(__xludf.DUMMYFUNCTION("""COMPUTED_VALUE"""),"")</f>
        <v/>
      </c>
      <c r="V203" s="189" t="str">
        <f ca="1">IFERROR(__xludf.DUMMYFUNCTION("""COMPUTED_VALUE"""),"")</f>
        <v/>
      </c>
      <c r="W203" s="189" t="str">
        <f ca="1">IFERROR(__xludf.DUMMYFUNCTION("""COMPUTED_VALUE"""),"")</f>
        <v/>
      </c>
      <c r="X203" s="189" t="str">
        <f ca="1">IFERROR(__xludf.DUMMYFUNCTION("""COMPUTED_VALUE"""),"")</f>
        <v/>
      </c>
      <c r="Y203" s="189" t="str">
        <f ca="1">IFERROR(__xludf.DUMMYFUNCTION("""COMPUTED_VALUE"""),"")</f>
        <v/>
      </c>
      <c r="Z203" s="189"/>
    </row>
    <row r="204" spans="1:26" ht="12.75">
      <c r="A204" s="189" t="str">
        <f ca="1">IFERROR(__xludf.DUMMYFUNCTION("""COMPUTED_VALUE"""),"")</f>
        <v/>
      </c>
      <c r="B204" s="189" t="str">
        <f ca="1">IFERROR(__xludf.DUMMYFUNCTION("""COMPUTED_VALUE"""),"")</f>
        <v/>
      </c>
      <c r="C204" s="189" t="str">
        <f ca="1">IFERROR(__xludf.DUMMYFUNCTION("""COMPUTED_VALUE"""),"")</f>
        <v/>
      </c>
      <c r="D204" s="189" t="str">
        <f ca="1">IFERROR(__xludf.DUMMYFUNCTION("""COMPUTED_VALUE"""),"")</f>
        <v/>
      </c>
      <c r="E204" s="189" t="str">
        <f ca="1">IFERROR(__xludf.DUMMYFUNCTION("""COMPUTED_VALUE"""),"")</f>
        <v/>
      </c>
      <c r="F204" s="189" t="str">
        <f ca="1">IFERROR(__xludf.DUMMYFUNCTION("""COMPUTED_VALUE"""),"")</f>
        <v/>
      </c>
      <c r="G204" s="189" t="str">
        <f ca="1">IFERROR(__xludf.DUMMYFUNCTION("""COMPUTED_VALUE"""),"")</f>
        <v/>
      </c>
      <c r="H204" s="189" t="str">
        <f ca="1">IFERROR(__xludf.DUMMYFUNCTION("""COMPUTED_VALUE"""),"")</f>
        <v/>
      </c>
      <c r="I204" s="120" t="str">
        <f ca="1">IFERROR(__xludf.DUMMYFUNCTION("""COMPUTED_VALUE"""),"")</f>
        <v/>
      </c>
      <c r="J204" s="189" t="str">
        <f ca="1">IFERROR(__xludf.DUMMYFUNCTION("""COMPUTED_VALUE"""),"")</f>
        <v/>
      </c>
      <c r="K204" s="189" t="str">
        <f ca="1">IFERROR(__xludf.DUMMYFUNCTION("""COMPUTED_VALUE"""),"")</f>
        <v/>
      </c>
      <c r="L204" s="189" t="str">
        <f ca="1">IFERROR(__xludf.DUMMYFUNCTION("""COMPUTED_VALUE"""),"")</f>
        <v/>
      </c>
      <c r="M204" s="189" t="str">
        <f ca="1">IFERROR(__xludf.DUMMYFUNCTION("""COMPUTED_VALUE"""),"")</f>
        <v/>
      </c>
      <c r="N204" s="189" t="str">
        <f ca="1">IFERROR(__xludf.DUMMYFUNCTION("""COMPUTED_VALUE"""),"")</f>
        <v/>
      </c>
      <c r="O204" s="189" t="str">
        <f ca="1">IFERROR(__xludf.DUMMYFUNCTION("""COMPUTED_VALUE"""),"")</f>
        <v/>
      </c>
      <c r="P204" s="189" t="str">
        <f ca="1">IFERROR(__xludf.DUMMYFUNCTION("""COMPUTED_VALUE"""),"")</f>
        <v/>
      </c>
      <c r="Q204" s="189" t="str">
        <f ca="1">IFERROR(__xludf.DUMMYFUNCTION("""COMPUTED_VALUE"""),"")</f>
        <v/>
      </c>
      <c r="R204" s="189" t="str">
        <f ca="1">IFERROR(__xludf.DUMMYFUNCTION("""COMPUTED_VALUE"""),"")</f>
        <v/>
      </c>
      <c r="S204" s="189" t="str">
        <f ca="1">IFERROR(__xludf.DUMMYFUNCTION("""COMPUTED_VALUE"""),"")</f>
        <v/>
      </c>
      <c r="T204" s="189" t="str">
        <f ca="1">IFERROR(__xludf.DUMMYFUNCTION("""COMPUTED_VALUE"""),"")</f>
        <v/>
      </c>
      <c r="U204" s="189" t="str">
        <f ca="1">IFERROR(__xludf.DUMMYFUNCTION("""COMPUTED_VALUE"""),"")</f>
        <v/>
      </c>
      <c r="V204" s="189" t="str">
        <f ca="1">IFERROR(__xludf.DUMMYFUNCTION("""COMPUTED_VALUE"""),"")</f>
        <v/>
      </c>
      <c r="W204" s="189" t="str">
        <f ca="1">IFERROR(__xludf.DUMMYFUNCTION("""COMPUTED_VALUE"""),"")</f>
        <v/>
      </c>
      <c r="X204" s="189" t="str">
        <f ca="1">IFERROR(__xludf.DUMMYFUNCTION("""COMPUTED_VALUE"""),"")</f>
        <v/>
      </c>
      <c r="Y204" s="189" t="str">
        <f ca="1">IFERROR(__xludf.DUMMYFUNCTION("""COMPUTED_VALUE"""),"")</f>
        <v/>
      </c>
      <c r="Z204" s="189"/>
    </row>
    <row r="205" spans="1:26" ht="12.75">
      <c r="A205" s="189" t="str">
        <f ca="1">IFERROR(__xludf.DUMMYFUNCTION("""COMPUTED_VALUE"""),"")</f>
        <v/>
      </c>
      <c r="B205" s="189" t="str">
        <f ca="1">IFERROR(__xludf.DUMMYFUNCTION("""COMPUTED_VALUE"""),"")</f>
        <v/>
      </c>
      <c r="C205" s="189" t="str">
        <f ca="1">IFERROR(__xludf.DUMMYFUNCTION("""COMPUTED_VALUE"""),"")</f>
        <v/>
      </c>
      <c r="D205" s="189" t="str">
        <f ca="1">IFERROR(__xludf.DUMMYFUNCTION("""COMPUTED_VALUE"""),"")</f>
        <v/>
      </c>
      <c r="E205" s="189" t="str">
        <f ca="1">IFERROR(__xludf.DUMMYFUNCTION("""COMPUTED_VALUE"""),"")</f>
        <v/>
      </c>
      <c r="F205" s="189" t="str">
        <f ca="1">IFERROR(__xludf.DUMMYFUNCTION("""COMPUTED_VALUE"""),"")</f>
        <v/>
      </c>
      <c r="G205" s="189" t="str">
        <f ca="1">IFERROR(__xludf.DUMMYFUNCTION("""COMPUTED_VALUE"""),"")</f>
        <v/>
      </c>
      <c r="H205" s="189" t="str">
        <f ca="1">IFERROR(__xludf.DUMMYFUNCTION("""COMPUTED_VALUE"""),"")</f>
        <v/>
      </c>
      <c r="I205" s="120" t="str">
        <f ca="1">IFERROR(__xludf.DUMMYFUNCTION("""COMPUTED_VALUE"""),"")</f>
        <v/>
      </c>
      <c r="J205" s="189" t="str">
        <f ca="1">IFERROR(__xludf.DUMMYFUNCTION("""COMPUTED_VALUE"""),"")</f>
        <v/>
      </c>
      <c r="K205" s="189" t="str">
        <f ca="1">IFERROR(__xludf.DUMMYFUNCTION("""COMPUTED_VALUE"""),"")</f>
        <v/>
      </c>
      <c r="L205" s="189" t="str">
        <f ca="1">IFERROR(__xludf.DUMMYFUNCTION("""COMPUTED_VALUE"""),"")</f>
        <v/>
      </c>
      <c r="M205" s="189" t="str">
        <f ca="1">IFERROR(__xludf.DUMMYFUNCTION("""COMPUTED_VALUE"""),"")</f>
        <v/>
      </c>
      <c r="N205" s="189" t="str">
        <f ca="1">IFERROR(__xludf.DUMMYFUNCTION("""COMPUTED_VALUE"""),"")</f>
        <v/>
      </c>
      <c r="O205" s="189" t="str">
        <f ca="1">IFERROR(__xludf.DUMMYFUNCTION("""COMPUTED_VALUE"""),"")</f>
        <v/>
      </c>
      <c r="P205" s="189" t="str">
        <f ca="1">IFERROR(__xludf.DUMMYFUNCTION("""COMPUTED_VALUE"""),"")</f>
        <v/>
      </c>
      <c r="Q205" s="189" t="str">
        <f ca="1">IFERROR(__xludf.DUMMYFUNCTION("""COMPUTED_VALUE"""),"")</f>
        <v/>
      </c>
      <c r="R205" s="189" t="str">
        <f ca="1">IFERROR(__xludf.DUMMYFUNCTION("""COMPUTED_VALUE"""),"")</f>
        <v/>
      </c>
      <c r="S205" s="189" t="str">
        <f ca="1">IFERROR(__xludf.DUMMYFUNCTION("""COMPUTED_VALUE"""),"")</f>
        <v/>
      </c>
      <c r="T205" s="189" t="str">
        <f ca="1">IFERROR(__xludf.DUMMYFUNCTION("""COMPUTED_VALUE"""),"")</f>
        <v/>
      </c>
      <c r="U205" s="189" t="str">
        <f ca="1">IFERROR(__xludf.DUMMYFUNCTION("""COMPUTED_VALUE"""),"")</f>
        <v/>
      </c>
      <c r="V205" s="189" t="str">
        <f ca="1">IFERROR(__xludf.DUMMYFUNCTION("""COMPUTED_VALUE"""),"")</f>
        <v/>
      </c>
      <c r="W205" s="189" t="str">
        <f ca="1">IFERROR(__xludf.DUMMYFUNCTION("""COMPUTED_VALUE"""),"")</f>
        <v/>
      </c>
      <c r="X205" s="189" t="str">
        <f ca="1">IFERROR(__xludf.DUMMYFUNCTION("""COMPUTED_VALUE"""),"")</f>
        <v/>
      </c>
      <c r="Y205" s="189" t="str">
        <f ca="1">IFERROR(__xludf.DUMMYFUNCTION("""COMPUTED_VALUE"""),"")</f>
        <v/>
      </c>
      <c r="Z205" s="189"/>
    </row>
    <row r="206" spans="1:26" ht="12.75">
      <c r="A206" s="189" t="str">
        <f ca="1">IFERROR(__xludf.DUMMYFUNCTION("""COMPUTED_VALUE"""),"")</f>
        <v/>
      </c>
      <c r="B206" s="189" t="str">
        <f ca="1">IFERROR(__xludf.DUMMYFUNCTION("""COMPUTED_VALUE"""),"")</f>
        <v/>
      </c>
      <c r="C206" s="189" t="str">
        <f ca="1">IFERROR(__xludf.DUMMYFUNCTION("""COMPUTED_VALUE"""),"")</f>
        <v/>
      </c>
      <c r="D206" s="189" t="str">
        <f ca="1">IFERROR(__xludf.DUMMYFUNCTION("""COMPUTED_VALUE"""),"")</f>
        <v/>
      </c>
      <c r="E206" s="189" t="str">
        <f ca="1">IFERROR(__xludf.DUMMYFUNCTION("""COMPUTED_VALUE"""),"")</f>
        <v/>
      </c>
      <c r="F206" s="189" t="str">
        <f ca="1">IFERROR(__xludf.DUMMYFUNCTION("""COMPUTED_VALUE"""),"")</f>
        <v/>
      </c>
      <c r="G206" s="189" t="str">
        <f ca="1">IFERROR(__xludf.DUMMYFUNCTION("""COMPUTED_VALUE"""),"")</f>
        <v/>
      </c>
      <c r="H206" s="189" t="str">
        <f ca="1">IFERROR(__xludf.DUMMYFUNCTION("""COMPUTED_VALUE"""),"")</f>
        <v/>
      </c>
      <c r="I206" s="120" t="str">
        <f ca="1">IFERROR(__xludf.DUMMYFUNCTION("""COMPUTED_VALUE"""),"")</f>
        <v/>
      </c>
      <c r="J206" s="189" t="str">
        <f ca="1">IFERROR(__xludf.DUMMYFUNCTION("""COMPUTED_VALUE"""),"")</f>
        <v/>
      </c>
      <c r="K206" s="189" t="str">
        <f ca="1">IFERROR(__xludf.DUMMYFUNCTION("""COMPUTED_VALUE"""),"")</f>
        <v/>
      </c>
      <c r="L206" s="189" t="str">
        <f ca="1">IFERROR(__xludf.DUMMYFUNCTION("""COMPUTED_VALUE"""),"")</f>
        <v/>
      </c>
      <c r="M206" s="189" t="str">
        <f ca="1">IFERROR(__xludf.DUMMYFUNCTION("""COMPUTED_VALUE"""),"")</f>
        <v/>
      </c>
      <c r="N206" s="189" t="str">
        <f ca="1">IFERROR(__xludf.DUMMYFUNCTION("""COMPUTED_VALUE"""),"")</f>
        <v/>
      </c>
      <c r="O206" s="189" t="str">
        <f ca="1">IFERROR(__xludf.DUMMYFUNCTION("""COMPUTED_VALUE"""),"")</f>
        <v/>
      </c>
      <c r="P206" s="189" t="str">
        <f ca="1">IFERROR(__xludf.DUMMYFUNCTION("""COMPUTED_VALUE"""),"")</f>
        <v/>
      </c>
      <c r="Q206" s="189" t="str">
        <f ca="1">IFERROR(__xludf.DUMMYFUNCTION("""COMPUTED_VALUE"""),"")</f>
        <v/>
      </c>
      <c r="R206" s="189" t="str">
        <f ca="1">IFERROR(__xludf.DUMMYFUNCTION("""COMPUTED_VALUE"""),"")</f>
        <v/>
      </c>
      <c r="S206" s="189" t="str">
        <f ca="1">IFERROR(__xludf.DUMMYFUNCTION("""COMPUTED_VALUE"""),"")</f>
        <v/>
      </c>
      <c r="T206" s="189" t="str">
        <f ca="1">IFERROR(__xludf.DUMMYFUNCTION("""COMPUTED_VALUE"""),"")</f>
        <v/>
      </c>
      <c r="U206" s="189" t="str">
        <f ca="1">IFERROR(__xludf.DUMMYFUNCTION("""COMPUTED_VALUE"""),"")</f>
        <v/>
      </c>
      <c r="V206" s="189" t="str">
        <f ca="1">IFERROR(__xludf.DUMMYFUNCTION("""COMPUTED_VALUE"""),"")</f>
        <v/>
      </c>
      <c r="W206" s="189" t="str">
        <f ca="1">IFERROR(__xludf.DUMMYFUNCTION("""COMPUTED_VALUE"""),"")</f>
        <v/>
      </c>
      <c r="X206" s="189" t="str">
        <f ca="1">IFERROR(__xludf.DUMMYFUNCTION("""COMPUTED_VALUE"""),"")</f>
        <v/>
      </c>
      <c r="Y206" s="189" t="str">
        <f ca="1">IFERROR(__xludf.DUMMYFUNCTION("""COMPUTED_VALUE"""),"")</f>
        <v/>
      </c>
      <c r="Z206" s="189"/>
    </row>
    <row r="207" spans="1:26" ht="12.75">
      <c r="A207" s="189" t="str">
        <f ca="1">IFERROR(__xludf.DUMMYFUNCTION("""COMPUTED_VALUE"""),"")</f>
        <v/>
      </c>
      <c r="B207" s="189" t="str">
        <f ca="1">IFERROR(__xludf.DUMMYFUNCTION("""COMPUTED_VALUE"""),"")</f>
        <v/>
      </c>
      <c r="C207" s="189" t="str">
        <f ca="1">IFERROR(__xludf.DUMMYFUNCTION("""COMPUTED_VALUE"""),"")</f>
        <v/>
      </c>
      <c r="D207" s="189" t="str">
        <f ca="1">IFERROR(__xludf.DUMMYFUNCTION("""COMPUTED_VALUE"""),"")</f>
        <v/>
      </c>
      <c r="E207" s="189" t="str">
        <f ca="1">IFERROR(__xludf.DUMMYFUNCTION("""COMPUTED_VALUE"""),"")</f>
        <v/>
      </c>
      <c r="F207" s="189" t="str">
        <f ca="1">IFERROR(__xludf.DUMMYFUNCTION("""COMPUTED_VALUE"""),"")</f>
        <v/>
      </c>
      <c r="G207" s="189" t="str">
        <f ca="1">IFERROR(__xludf.DUMMYFUNCTION("""COMPUTED_VALUE"""),"")</f>
        <v/>
      </c>
      <c r="H207" s="189" t="str">
        <f ca="1">IFERROR(__xludf.DUMMYFUNCTION("""COMPUTED_VALUE"""),"")</f>
        <v/>
      </c>
      <c r="I207" s="120" t="str">
        <f ca="1">IFERROR(__xludf.DUMMYFUNCTION("""COMPUTED_VALUE"""),"")</f>
        <v/>
      </c>
      <c r="J207" s="189" t="str">
        <f ca="1">IFERROR(__xludf.DUMMYFUNCTION("""COMPUTED_VALUE"""),"")</f>
        <v/>
      </c>
      <c r="K207" s="189" t="str">
        <f ca="1">IFERROR(__xludf.DUMMYFUNCTION("""COMPUTED_VALUE"""),"")</f>
        <v/>
      </c>
      <c r="L207" s="189" t="str">
        <f ca="1">IFERROR(__xludf.DUMMYFUNCTION("""COMPUTED_VALUE"""),"")</f>
        <v/>
      </c>
      <c r="M207" s="189" t="str">
        <f ca="1">IFERROR(__xludf.DUMMYFUNCTION("""COMPUTED_VALUE"""),"")</f>
        <v/>
      </c>
      <c r="N207" s="189" t="str">
        <f ca="1">IFERROR(__xludf.DUMMYFUNCTION("""COMPUTED_VALUE"""),"")</f>
        <v/>
      </c>
      <c r="O207" s="189" t="str">
        <f ca="1">IFERROR(__xludf.DUMMYFUNCTION("""COMPUTED_VALUE"""),"")</f>
        <v/>
      </c>
      <c r="P207" s="189" t="str">
        <f ca="1">IFERROR(__xludf.DUMMYFUNCTION("""COMPUTED_VALUE"""),"")</f>
        <v/>
      </c>
      <c r="Q207" s="189" t="str">
        <f ca="1">IFERROR(__xludf.DUMMYFUNCTION("""COMPUTED_VALUE"""),"")</f>
        <v/>
      </c>
      <c r="R207" s="189" t="str">
        <f ca="1">IFERROR(__xludf.DUMMYFUNCTION("""COMPUTED_VALUE"""),"")</f>
        <v/>
      </c>
      <c r="S207" s="189" t="str">
        <f ca="1">IFERROR(__xludf.DUMMYFUNCTION("""COMPUTED_VALUE"""),"")</f>
        <v/>
      </c>
      <c r="T207" s="189" t="str">
        <f ca="1">IFERROR(__xludf.DUMMYFUNCTION("""COMPUTED_VALUE"""),"")</f>
        <v/>
      </c>
      <c r="U207" s="189" t="str">
        <f ca="1">IFERROR(__xludf.DUMMYFUNCTION("""COMPUTED_VALUE"""),"")</f>
        <v/>
      </c>
      <c r="V207" s="189" t="str">
        <f ca="1">IFERROR(__xludf.DUMMYFUNCTION("""COMPUTED_VALUE"""),"")</f>
        <v/>
      </c>
      <c r="W207" s="189" t="str">
        <f ca="1">IFERROR(__xludf.DUMMYFUNCTION("""COMPUTED_VALUE"""),"")</f>
        <v/>
      </c>
      <c r="X207" s="189" t="str">
        <f ca="1">IFERROR(__xludf.DUMMYFUNCTION("""COMPUTED_VALUE"""),"")</f>
        <v/>
      </c>
      <c r="Y207" s="189" t="str">
        <f ca="1">IFERROR(__xludf.DUMMYFUNCTION("""COMPUTED_VALUE"""),"")</f>
        <v/>
      </c>
      <c r="Z207" s="189"/>
    </row>
    <row r="208" spans="1:26" ht="12.75">
      <c r="A208" s="189" t="str">
        <f ca="1">IFERROR(__xludf.DUMMYFUNCTION("""COMPUTED_VALUE"""),"")</f>
        <v/>
      </c>
      <c r="B208" s="189" t="str">
        <f ca="1">IFERROR(__xludf.DUMMYFUNCTION("""COMPUTED_VALUE"""),"")</f>
        <v/>
      </c>
      <c r="C208" s="189" t="str">
        <f ca="1">IFERROR(__xludf.DUMMYFUNCTION("""COMPUTED_VALUE"""),"")</f>
        <v/>
      </c>
      <c r="D208" s="189" t="str">
        <f ca="1">IFERROR(__xludf.DUMMYFUNCTION("""COMPUTED_VALUE"""),"")</f>
        <v/>
      </c>
      <c r="E208" s="189" t="str">
        <f ca="1">IFERROR(__xludf.DUMMYFUNCTION("""COMPUTED_VALUE"""),"")</f>
        <v/>
      </c>
      <c r="F208" s="189" t="str">
        <f ca="1">IFERROR(__xludf.DUMMYFUNCTION("""COMPUTED_VALUE"""),"")</f>
        <v/>
      </c>
      <c r="G208" s="189" t="str">
        <f ca="1">IFERROR(__xludf.DUMMYFUNCTION("""COMPUTED_VALUE"""),"")</f>
        <v/>
      </c>
      <c r="H208" s="189" t="str">
        <f ca="1">IFERROR(__xludf.DUMMYFUNCTION("""COMPUTED_VALUE"""),"")</f>
        <v/>
      </c>
      <c r="I208" s="120" t="str">
        <f ca="1">IFERROR(__xludf.DUMMYFUNCTION("""COMPUTED_VALUE"""),"")</f>
        <v/>
      </c>
      <c r="J208" s="189" t="str">
        <f ca="1">IFERROR(__xludf.DUMMYFUNCTION("""COMPUTED_VALUE"""),"")</f>
        <v/>
      </c>
      <c r="K208" s="189" t="str">
        <f ca="1">IFERROR(__xludf.DUMMYFUNCTION("""COMPUTED_VALUE"""),"")</f>
        <v/>
      </c>
      <c r="L208" s="189" t="str">
        <f ca="1">IFERROR(__xludf.DUMMYFUNCTION("""COMPUTED_VALUE"""),"")</f>
        <v/>
      </c>
      <c r="M208" s="189" t="str">
        <f ca="1">IFERROR(__xludf.DUMMYFUNCTION("""COMPUTED_VALUE"""),"")</f>
        <v/>
      </c>
      <c r="N208" s="189" t="str">
        <f ca="1">IFERROR(__xludf.DUMMYFUNCTION("""COMPUTED_VALUE"""),"")</f>
        <v/>
      </c>
      <c r="O208" s="189" t="str">
        <f ca="1">IFERROR(__xludf.DUMMYFUNCTION("""COMPUTED_VALUE"""),"")</f>
        <v/>
      </c>
      <c r="P208" s="189" t="str">
        <f ca="1">IFERROR(__xludf.DUMMYFUNCTION("""COMPUTED_VALUE"""),"")</f>
        <v/>
      </c>
      <c r="Q208" s="189" t="str">
        <f ca="1">IFERROR(__xludf.DUMMYFUNCTION("""COMPUTED_VALUE"""),"")</f>
        <v/>
      </c>
      <c r="R208" s="189" t="str">
        <f ca="1">IFERROR(__xludf.DUMMYFUNCTION("""COMPUTED_VALUE"""),"")</f>
        <v/>
      </c>
      <c r="S208" s="189" t="str">
        <f ca="1">IFERROR(__xludf.DUMMYFUNCTION("""COMPUTED_VALUE"""),"")</f>
        <v/>
      </c>
      <c r="T208" s="189" t="str">
        <f ca="1">IFERROR(__xludf.DUMMYFUNCTION("""COMPUTED_VALUE"""),"")</f>
        <v/>
      </c>
      <c r="U208" s="189" t="str">
        <f ca="1">IFERROR(__xludf.DUMMYFUNCTION("""COMPUTED_VALUE"""),"")</f>
        <v/>
      </c>
      <c r="V208" s="189" t="str">
        <f ca="1">IFERROR(__xludf.DUMMYFUNCTION("""COMPUTED_VALUE"""),"")</f>
        <v/>
      </c>
      <c r="W208" s="189" t="str">
        <f ca="1">IFERROR(__xludf.DUMMYFUNCTION("""COMPUTED_VALUE"""),"")</f>
        <v/>
      </c>
      <c r="X208" s="189" t="str">
        <f ca="1">IFERROR(__xludf.DUMMYFUNCTION("""COMPUTED_VALUE"""),"")</f>
        <v/>
      </c>
      <c r="Y208" s="189" t="str">
        <f ca="1">IFERROR(__xludf.DUMMYFUNCTION("""COMPUTED_VALUE"""),"")</f>
        <v/>
      </c>
      <c r="Z208" s="189"/>
    </row>
    <row r="209" spans="1:26" ht="12.75">
      <c r="A209" s="189" t="str">
        <f ca="1">IFERROR(__xludf.DUMMYFUNCTION("""COMPUTED_VALUE"""),"")</f>
        <v/>
      </c>
      <c r="B209" s="189" t="str">
        <f ca="1">IFERROR(__xludf.DUMMYFUNCTION("""COMPUTED_VALUE"""),"")</f>
        <v/>
      </c>
      <c r="C209" s="189" t="str">
        <f ca="1">IFERROR(__xludf.DUMMYFUNCTION("""COMPUTED_VALUE"""),"")</f>
        <v/>
      </c>
      <c r="D209" s="189" t="str">
        <f ca="1">IFERROR(__xludf.DUMMYFUNCTION("""COMPUTED_VALUE"""),"")</f>
        <v/>
      </c>
      <c r="E209" s="189" t="str">
        <f ca="1">IFERROR(__xludf.DUMMYFUNCTION("""COMPUTED_VALUE"""),"")</f>
        <v/>
      </c>
      <c r="F209" s="189" t="str">
        <f ca="1">IFERROR(__xludf.DUMMYFUNCTION("""COMPUTED_VALUE"""),"")</f>
        <v/>
      </c>
      <c r="G209" s="189" t="str">
        <f ca="1">IFERROR(__xludf.DUMMYFUNCTION("""COMPUTED_VALUE"""),"")</f>
        <v/>
      </c>
      <c r="H209" s="189" t="str">
        <f ca="1">IFERROR(__xludf.DUMMYFUNCTION("""COMPUTED_VALUE"""),"")</f>
        <v/>
      </c>
      <c r="I209" s="120" t="str">
        <f ca="1">IFERROR(__xludf.DUMMYFUNCTION("""COMPUTED_VALUE"""),"")</f>
        <v/>
      </c>
      <c r="J209" s="189" t="str">
        <f ca="1">IFERROR(__xludf.DUMMYFUNCTION("""COMPUTED_VALUE"""),"")</f>
        <v/>
      </c>
      <c r="K209" s="189" t="str">
        <f ca="1">IFERROR(__xludf.DUMMYFUNCTION("""COMPUTED_VALUE"""),"")</f>
        <v/>
      </c>
      <c r="L209" s="189" t="str">
        <f ca="1">IFERROR(__xludf.DUMMYFUNCTION("""COMPUTED_VALUE"""),"")</f>
        <v/>
      </c>
      <c r="M209" s="189" t="str">
        <f ca="1">IFERROR(__xludf.DUMMYFUNCTION("""COMPUTED_VALUE"""),"")</f>
        <v/>
      </c>
      <c r="N209" s="189" t="str">
        <f ca="1">IFERROR(__xludf.DUMMYFUNCTION("""COMPUTED_VALUE"""),"")</f>
        <v/>
      </c>
      <c r="O209" s="189" t="str">
        <f ca="1">IFERROR(__xludf.DUMMYFUNCTION("""COMPUTED_VALUE"""),"")</f>
        <v/>
      </c>
      <c r="P209" s="189" t="str">
        <f ca="1">IFERROR(__xludf.DUMMYFUNCTION("""COMPUTED_VALUE"""),"")</f>
        <v/>
      </c>
      <c r="Q209" s="189" t="str">
        <f ca="1">IFERROR(__xludf.DUMMYFUNCTION("""COMPUTED_VALUE"""),"")</f>
        <v/>
      </c>
      <c r="R209" s="189" t="str">
        <f ca="1">IFERROR(__xludf.DUMMYFUNCTION("""COMPUTED_VALUE"""),"")</f>
        <v/>
      </c>
      <c r="S209" s="189" t="str">
        <f ca="1">IFERROR(__xludf.DUMMYFUNCTION("""COMPUTED_VALUE"""),"")</f>
        <v/>
      </c>
      <c r="T209" s="189" t="str">
        <f ca="1">IFERROR(__xludf.DUMMYFUNCTION("""COMPUTED_VALUE"""),"")</f>
        <v/>
      </c>
      <c r="U209" s="189" t="str">
        <f ca="1">IFERROR(__xludf.DUMMYFUNCTION("""COMPUTED_VALUE"""),"")</f>
        <v/>
      </c>
      <c r="V209" s="189" t="str">
        <f ca="1">IFERROR(__xludf.DUMMYFUNCTION("""COMPUTED_VALUE"""),"")</f>
        <v/>
      </c>
      <c r="W209" s="189" t="str">
        <f ca="1">IFERROR(__xludf.DUMMYFUNCTION("""COMPUTED_VALUE"""),"")</f>
        <v/>
      </c>
      <c r="X209" s="189" t="str">
        <f ca="1">IFERROR(__xludf.DUMMYFUNCTION("""COMPUTED_VALUE"""),"")</f>
        <v/>
      </c>
      <c r="Y209" s="189" t="str">
        <f ca="1">IFERROR(__xludf.DUMMYFUNCTION("""COMPUTED_VALUE"""),"")</f>
        <v/>
      </c>
      <c r="Z209" s="189"/>
    </row>
    <row r="210" spans="1:26" ht="12.75">
      <c r="A210" s="189" t="str">
        <f ca="1">IFERROR(__xludf.DUMMYFUNCTION("""COMPUTED_VALUE"""),"")</f>
        <v/>
      </c>
      <c r="B210" s="189" t="str">
        <f ca="1">IFERROR(__xludf.DUMMYFUNCTION("""COMPUTED_VALUE"""),"")</f>
        <v/>
      </c>
      <c r="C210" s="189" t="str">
        <f ca="1">IFERROR(__xludf.DUMMYFUNCTION("""COMPUTED_VALUE"""),"")</f>
        <v/>
      </c>
      <c r="D210" s="189" t="str">
        <f ca="1">IFERROR(__xludf.DUMMYFUNCTION("""COMPUTED_VALUE"""),"")</f>
        <v/>
      </c>
      <c r="E210" s="189" t="str">
        <f ca="1">IFERROR(__xludf.DUMMYFUNCTION("""COMPUTED_VALUE"""),"")</f>
        <v/>
      </c>
      <c r="F210" s="189" t="str">
        <f ca="1">IFERROR(__xludf.DUMMYFUNCTION("""COMPUTED_VALUE"""),"")</f>
        <v/>
      </c>
      <c r="G210" s="189" t="str">
        <f ca="1">IFERROR(__xludf.DUMMYFUNCTION("""COMPUTED_VALUE"""),"")</f>
        <v/>
      </c>
      <c r="H210" s="189" t="str">
        <f ca="1">IFERROR(__xludf.DUMMYFUNCTION("""COMPUTED_VALUE"""),"")</f>
        <v/>
      </c>
      <c r="I210" s="120" t="str">
        <f ca="1">IFERROR(__xludf.DUMMYFUNCTION("""COMPUTED_VALUE"""),"")</f>
        <v/>
      </c>
      <c r="J210" s="189" t="str">
        <f ca="1">IFERROR(__xludf.DUMMYFUNCTION("""COMPUTED_VALUE"""),"")</f>
        <v/>
      </c>
      <c r="K210" s="189" t="str">
        <f ca="1">IFERROR(__xludf.DUMMYFUNCTION("""COMPUTED_VALUE"""),"")</f>
        <v/>
      </c>
      <c r="L210" s="189" t="str">
        <f ca="1">IFERROR(__xludf.DUMMYFUNCTION("""COMPUTED_VALUE"""),"")</f>
        <v/>
      </c>
      <c r="M210" s="189" t="str">
        <f ca="1">IFERROR(__xludf.DUMMYFUNCTION("""COMPUTED_VALUE"""),"")</f>
        <v/>
      </c>
      <c r="N210" s="189" t="str">
        <f ca="1">IFERROR(__xludf.DUMMYFUNCTION("""COMPUTED_VALUE"""),"")</f>
        <v/>
      </c>
      <c r="O210" s="189" t="str">
        <f ca="1">IFERROR(__xludf.DUMMYFUNCTION("""COMPUTED_VALUE"""),"")</f>
        <v/>
      </c>
      <c r="P210" s="189" t="str">
        <f ca="1">IFERROR(__xludf.DUMMYFUNCTION("""COMPUTED_VALUE"""),"")</f>
        <v/>
      </c>
      <c r="Q210" s="189" t="str">
        <f ca="1">IFERROR(__xludf.DUMMYFUNCTION("""COMPUTED_VALUE"""),"")</f>
        <v/>
      </c>
      <c r="R210" s="189" t="str">
        <f ca="1">IFERROR(__xludf.DUMMYFUNCTION("""COMPUTED_VALUE"""),"")</f>
        <v/>
      </c>
      <c r="S210" s="189" t="str">
        <f ca="1">IFERROR(__xludf.DUMMYFUNCTION("""COMPUTED_VALUE"""),"")</f>
        <v/>
      </c>
      <c r="T210" s="189" t="str">
        <f ca="1">IFERROR(__xludf.DUMMYFUNCTION("""COMPUTED_VALUE"""),"")</f>
        <v/>
      </c>
      <c r="U210" s="189" t="str">
        <f ca="1">IFERROR(__xludf.DUMMYFUNCTION("""COMPUTED_VALUE"""),"")</f>
        <v/>
      </c>
      <c r="V210" s="189" t="str">
        <f ca="1">IFERROR(__xludf.DUMMYFUNCTION("""COMPUTED_VALUE"""),"")</f>
        <v/>
      </c>
      <c r="W210" s="189" t="str">
        <f ca="1">IFERROR(__xludf.DUMMYFUNCTION("""COMPUTED_VALUE"""),"")</f>
        <v/>
      </c>
      <c r="X210" s="189" t="str">
        <f ca="1">IFERROR(__xludf.DUMMYFUNCTION("""COMPUTED_VALUE"""),"")</f>
        <v/>
      </c>
      <c r="Y210" s="189" t="str">
        <f ca="1">IFERROR(__xludf.DUMMYFUNCTION("""COMPUTED_VALUE"""),"")</f>
        <v/>
      </c>
      <c r="Z210" s="189"/>
    </row>
    <row r="211" spans="1:26" ht="12.75">
      <c r="A211" s="189" t="str">
        <f ca="1">IFERROR(__xludf.DUMMYFUNCTION("""COMPUTED_VALUE"""),"")</f>
        <v/>
      </c>
      <c r="B211" s="189" t="str">
        <f ca="1">IFERROR(__xludf.DUMMYFUNCTION("""COMPUTED_VALUE"""),"")</f>
        <v/>
      </c>
      <c r="C211" s="189" t="str">
        <f ca="1">IFERROR(__xludf.DUMMYFUNCTION("""COMPUTED_VALUE"""),"")</f>
        <v/>
      </c>
      <c r="D211" s="189" t="str">
        <f ca="1">IFERROR(__xludf.DUMMYFUNCTION("""COMPUTED_VALUE"""),"")</f>
        <v/>
      </c>
      <c r="E211" s="189" t="str">
        <f ca="1">IFERROR(__xludf.DUMMYFUNCTION("""COMPUTED_VALUE"""),"")</f>
        <v/>
      </c>
      <c r="F211" s="189" t="str">
        <f ca="1">IFERROR(__xludf.DUMMYFUNCTION("""COMPUTED_VALUE"""),"")</f>
        <v/>
      </c>
      <c r="G211" s="189" t="str">
        <f ca="1">IFERROR(__xludf.DUMMYFUNCTION("""COMPUTED_VALUE"""),"")</f>
        <v/>
      </c>
      <c r="H211" s="189" t="str">
        <f ca="1">IFERROR(__xludf.DUMMYFUNCTION("""COMPUTED_VALUE"""),"")</f>
        <v/>
      </c>
      <c r="I211" s="120" t="str">
        <f ca="1">IFERROR(__xludf.DUMMYFUNCTION("""COMPUTED_VALUE"""),"")</f>
        <v/>
      </c>
      <c r="J211" s="189" t="str">
        <f ca="1">IFERROR(__xludf.DUMMYFUNCTION("""COMPUTED_VALUE"""),"")</f>
        <v/>
      </c>
      <c r="K211" s="189" t="str">
        <f ca="1">IFERROR(__xludf.DUMMYFUNCTION("""COMPUTED_VALUE"""),"")</f>
        <v/>
      </c>
      <c r="L211" s="189" t="str">
        <f ca="1">IFERROR(__xludf.DUMMYFUNCTION("""COMPUTED_VALUE"""),"")</f>
        <v/>
      </c>
      <c r="M211" s="189" t="str">
        <f ca="1">IFERROR(__xludf.DUMMYFUNCTION("""COMPUTED_VALUE"""),"")</f>
        <v/>
      </c>
      <c r="N211" s="189" t="str">
        <f ca="1">IFERROR(__xludf.DUMMYFUNCTION("""COMPUTED_VALUE"""),"")</f>
        <v/>
      </c>
      <c r="O211" s="189" t="str">
        <f ca="1">IFERROR(__xludf.DUMMYFUNCTION("""COMPUTED_VALUE"""),"")</f>
        <v/>
      </c>
      <c r="P211" s="189" t="str">
        <f ca="1">IFERROR(__xludf.DUMMYFUNCTION("""COMPUTED_VALUE"""),"")</f>
        <v/>
      </c>
      <c r="Q211" s="189" t="str">
        <f ca="1">IFERROR(__xludf.DUMMYFUNCTION("""COMPUTED_VALUE"""),"")</f>
        <v/>
      </c>
      <c r="R211" s="189" t="str">
        <f ca="1">IFERROR(__xludf.DUMMYFUNCTION("""COMPUTED_VALUE"""),"")</f>
        <v/>
      </c>
      <c r="S211" s="189" t="str">
        <f ca="1">IFERROR(__xludf.DUMMYFUNCTION("""COMPUTED_VALUE"""),"")</f>
        <v/>
      </c>
      <c r="T211" s="189" t="str">
        <f ca="1">IFERROR(__xludf.DUMMYFUNCTION("""COMPUTED_VALUE"""),"")</f>
        <v/>
      </c>
      <c r="U211" s="189" t="str">
        <f ca="1">IFERROR(__xludf.DUMMYFUNCTION("""COMPUTED_VALUE"""),"")</f>
        <v/>
      </c>
      <c r="V211" s="189" t="str">
        <f ca="1">IFERROR(__xludf.DUMMYFUNCTION("""COMPUTED_VALUE"""),"")</f>
        <v/>
      </c>
      <c r="W211" s="189" t="str">
        <f ca="1">IFERROR(__xludf.DUMMYFUNCTION("""COMPUTED_VALUE"""),"")</f>
        <v/>
      </c>
      <c r="X211" s="189" t="str">
        <f ca="1">IFERROR(__xludf.DUMMYFUNCTION("""COMPUTED_VALUE"""),"")</f>
        <v/>
      </c>
      <c r="Y211" s="189" t="str">
        <f ca="1">IFERROR(__xludf.DUMMYFUNCTION("""COMPUTED_VALUE"""),"")</f>
        <v/>
      </c>
      <c r="Z211" s="189"/>
    </row>
    <row r="212" spans="1:26" ht="12.75">
      <c r="A212" s="189" t="str">
        <f ca="1">IFERROR(__xludf.DUMMYFUNCTION("""COMPUTED_VALUE"""),"")</f>
        <v/>
      </c>
      <c r="B212" s="189" t="str">
        <f ca="1">IFERROR(__xludf.DUMMYFUNCTION("""COMPUTED_VALUE"""),"")</f>
        <v/>
      </c>
      <c r="C212" s="189" t="str">
        <f ca="1">IFERROR(__xludf.DUMMYFUNCTION("""COMPUTED_VALUE"""),"")</f>
        <v/>
      </c>
      <c r="D212" s="189" t="str">
        <f ca="1">IFERROR(__xludf.DUMMYFUNCTION("""COMPUTED_VALUE"""),"")</f>
        <v/>
      </c>
      <c r="E212" s="189" t="str">
        <f ca="1">IFERROR(__xludf.DUMMYFUNCTION("""COMPUTED_VALUE"""),"")</f>
        <v/>
      </c>
      <c r="F212" s="189" t="str">
        <f ca="1">IFERROR(__xludf.DUMMYFUNCTION("""COMPUTED_VALUE"""),"")</f>
        <v/>
      </c>
      <c r="G212" s="189" t="str">
        <f ca="1">IFERROR(__xludf.DUMMYFUNCTION("""COMPUTED_VALUE"""),"")</f>
        <v/>
      </c>
      <c r="H212" s="189" t="str">
        <f ca="1">IFERROR(__xludf.DUMMYFUNCTION("""COMPUTED_VALUE"""),"")</f>
        <v/>
      </c>
      <c r="I212" s="120" t="str">
        <f ca="1">IFERROR(__xludf.DUMMYFUNCTION("""COMPUTED_VALUE"""),"")</f>
        <v/>
      </c>
      <c r="J212" s="189" t="str">
        <f ca="1">IFERROR(__xludf.DUMMYFUNCTION("""COMPUTED_VALUE"""),"")</f>
        <v/>
      </c>
      <c r="K212" s="189" t="str">
        <f ca="1">IFERROR(__xludf.DUMMYFUNCTION("""COMPUTED_VALUE"""),"")</f>
        <v/>
      </c>
      <c r="L212" s="189" t="str">
        <f ca="1">IFERROR(__xludf.DUMMYFUNCTION("""COMPUTED_VALUE"""),"")</f>
        <v/>
      </c>
      <c r="M212" s="189" t="str">
        <f ca="1">IFERROR(__xludf.DUMMYFUNCTION("""COMPUTED_VALUE"""),"")</f>
        <v/>
      </c>
      <c r="N212" s="189" t="str">
        <f ca="1">IFERROR(__xludf.DUMMYFUNCTION("""COMPUTED_VALUE"""),"")</f>
        <v/>
      </c>
      <c r="O212" s="189" t="str">
        <f ca="1">IFERROR(__xludf.DUMMYFUNCTION("""COMPUTED_VALUE"""),"")</f>
        <v/>
      </c>
      <c r="P212" s="189" t="str">
        <f ca="1">IFERROR(__xludf.DUMMYFUNCTION("""COMPUTED_VALUE"""),"")</f>
        <v/>
      </c>
      <c r="Q212" s="189" t="str">
        <f ca="1">IFERROR(__xludf.DUMMYFUNCTION("""COMPUTED_VALUE"""),"")</f>
        <v/>
      </c>
      <c r="R212" s="189" t="str">
        <f ca="1">IFERROR(__xludf.DUMMYFUNCTION("""COMPUTED_VALUE"""),"")</f>
        <v/>
      </c>
      <c r="S212" s="189" t="str">
        <f ca="1">IFERROR(__xludf.DUMMYFUNCTION("""COMPUTED_VALUE"""),"")</f>
        <v/>
      </c>
      <c r="T212" s="189" t="str">
        <f ca="1">IFERROR(__xludf.DUMMYFUNCTION("""COMPUTED_VALUE"""),"")</f>
        <v/>
      </c>
      <c r="U212" s="189" t="str">
        <f ca="1">IFERROR(__xludf.DUMMYFUNCTION("""COMPUTED_VALUE"""),"")</f>
        <v/>
      </c>
      <c r="V212" s="189" t="str">
        <f ca="1">IFERROR(__xludf.DUMMYFUNCTION("""COMPUTED_VALUE"""),"")</f>
        <v/>
      </c>
      <c r="W212" s="189" t="str">
        <f ca="1">IFERROR(__xludf.DUMMYFUNCTION("""COMPUTED_VALUE"""),"")</f>
        <v/>
      </c>
      <c r="X212" s="189" t="str">
        <f ca="1">IFERROR(__xludf.DUMMYFUNCTION("""COMPUTED_VALUE"""),"")</f>
        <v/>
      </c>
      <c r="Y212" s="189" t="str">
        <f ca="1">IFERROR(__xludf.DUMMYFUNCTION("""COMPUTED_VALUE"""),"")</f>
        <v/>
      </c>
      <c r="Z212" s="189"/>
    </row>
    <row r="213" spans="1:26" ht="12.75">
      <c r="A213" s="189" t="str">
        <f ca="1">IFERROR(__xludf.DUMMYFUNCTION("""COMPUTED_VALUE"""),"")</f>
        <v/>
      </c>
      <c r="B213" s="189" t="str">
        <f ca="1">IFERROR(__xludf.DUMMYFUNCTION("""COMPUTED_VALUE"""),"")</f>
        <v/>
      </c>
      <c r="C213" s="189" t="str">
        <f ca="1">IFERROR(__xludf.DUMMYFUNCTION("""COMPUTED_VALUE"""),"")</f>
        <v/>
      </c>
      <c r="D213" s="189" t="str">
        <f ca="1">IFERROR(__xludf.DUMMYFUNCTION("""COMPUTED_VALUE"""),"")</f>
        <v/>
      </c>
      <c r="E213" s="189" t="str">
        <f ca="1">IFERROR(__xludf.DUMMYFUNCTION("""COMPUTED_VALUE"""),"")</f>
        <v/>
      </c>
      <c r="F213" s="189" t="str">
        <f ca="1">IFERROR(__xludf.DUMMYFUNCTION("""COMPUTED_VALUE"""),"")</f>
        <v/>
      </c>
      <c r="G213" s="189" t="str">
        <f ca="1">IFERROR(__xludf.DUMMYFUNCTION("""COMPUTED_VALUE"""),"")</f>
        <v/>
      </c>
      <c r="H213" s="189" t="str">
        <f ca="1">IFERROR(__xludf.DUMMYFUNCTION("""COMPUTED_VALUE"""),"")</f>
        <v/>
      </c>
      <c r="I213" s="120" t="str">
        <f ca="1">IFERROR(__xludf.DUMMYFUNCTION("""COMPUTED_VALUE"""),"")</f>
        <v/>
      </c>
      <c r="J213" s="189" t="str">
        <f ca="1">IFERROR(__xludf.DUMMYFUNCTION("""COMPUTED_VALUE"""),"")</f>
        <v/>
      </c>
      <c r="K213" s="189" t="str">
        <f ca="1">IFERROR(__xludf.DUMMYFUNCTION("""COMPUTED_VALUE"""),"")</f>
        <v/>
      </c>
      <c r="L213" s="189" t="str">
        <f ca="1">IFERROR(__xludf.DUMMYFUNCTION("""COMPUTED_VALUE"""),"")</f>
        <v/>
      </c>
      <c r="M213" s="189" t="str">
        <f ca="1">IFERROR(__xludf.DUMMYFUNCTION("""COMPUTED_VALUE"""),"")</f>
        <v/>
      </c>
      <c r="N213" s="189" t="str">
        <f ca="1">IFERROR(__xludf.DUMMYFUNCTION("""COMPUTED_VALUE"""),"")</f>
        <v/>
      </c>
      <c r="O213" s="189" t="str">
        <f ca="1">IFERROR(__xludf.DUMMYFUNCTION("""COMPUTED_VALUE"""),"")</f>
        <v/>
      </c>
      <c r="P213" s="189" t="str">
        <f ca="1">IFERROR(__xludf.DUMMYFUNCTION("""COMPUTED_VALUE"""),"")</f>
        <v/>
      </c>
      <c r="Q213" s="189" t="str">
        <f ca="1">IFERROR(__xludf.DUMMYFUNCTION("""COMPUTED_VALUE"""),"")</f>
        <v/>
      </c>
      <c r="R213" s="189" t="str">
        <f ca="1">IFERROR(__xludf.DUMMYFUNCTION("""COMPUTED_VALUE"""),"")</f>
        <v/>
      </c>
      <c r="S213" s="189" t="str">
        <f ca="1">IFERROR(__xludf.DUMMYFUNCTION("""COMPUTED_VALUE"""),"")</f>
        <v/>
      </c>
      <c r="T213" s="189" t="str">
        <f ca="1">IFERROR(__xludf.DUMMYFUNCTION("""COMPUTED_VALUE"""),"")</f>
        <v/>
      </c>
      <c r="U213" s="189" t="str">
        <f ca="1">IFERROR(__xludf.DUMMYFUNCTION("""COMPUTED_VALUE"""),"")</f>
        <v/>
      </c>
      <c r="V213" s="189" t="str">
        <f ca="1">IFERROR(__xludf.DUMMYFUNCTION("""COMPUTED_VALUE"""),"")</f>
        <v/>
      </c>
      <c r="W213" s="189" t="str">
        <f ca="1">IFERROR(__xludf.DUMMYFUNCTION("""COMPUTED_VALUE"""),"")</f>
        <v/>
      </c>
      <c r="X213" s="189" t="str">
        <f ca="1">IFERROR(__xludf.DUMMYFUNCTION("""COMPUTED_VALUE"""),"")</f>
        <v/>
      </c>
      <c r="Y213" s="189" t="str">
        <f ca="1">IFERROR(__xludf.DUMMYFUNCTION("""COMPUTED_VALUE"""),"")</f>
        <v/>
      </c>
      <c r="Z213" s="189"/>
    </row>
    <row r="214" spans="1:26" ht="12.75">
      <c r="A214" s="189" t="str">
        <f ca="1">IFERROR(__xludf.DUMMYFUNCTION("""COMPUTED_VALUE"""),"")</f>
        <v/>
      </c>
      <c r="B214" s="189" t="str">
        <f ca="1">IFERROR(__xludf.DUMMYFUNCTION("""COMPUTED_VALUE"""),"")</f>
        <v/>
      </c>
      <c r="C214" s="189" t="str">
        <f ca="1">IFERROR(__xludf.DUMMYFUNCTION("""COMPUTED_VALUE"""),"")</f>
        <v/>
      </c>
      <c r="D214" s="189" t="str">
        <f ca="1">IFERROR(__xludf.DUMMYFUNCTION("""COMPUTED_VALUE"""),"")</f>
        <v/>
      </c>
      <c r="E214" s="189" t="str">
        <f ca="1">IFERROR(__xludf.DUMMYFUNCTION("""COMPUTED_VALUE"""),"")</f>
        <v/>
      </c>
      <c r="F214" s="189" t="str">
        <f ca="1">IFERROR(__xludf.DUMMYFUNCTION("""COMPUTED_VALUE"""),"")</f>
        <v/>
      </c>
      <c r="G214" s="189" t="str">
        <f ca="1">IFERROR(__xludf.DUMMYFUNCTION("""COMPUTED_VALUE"""),"")</f>
        <v/>
      </c>
      <c r="H214" s="189" t="str">
        <f ca="1">IFERROR(__xludf.DUMMYFUNCTION("""COMPUTED_VALUE"""),"")</f>
        <v/>
      </c>
      <c r="I214" s="120" t="str">
        <f ca="1">IFERROR(__xludf.DUMMYFUNCTION("""COMPUTED_VALUE"""),"")</f>
        <v/>
      </c>
      <c r="J214" s="189" t="str">
        <f ca="1">IFERROR(__xludf.DUMMYFUNCTION("""COMPUTED_VALUE"""),"")</f>
        <v/>
      </c>
      <c r="K214" s="189" t="str">
        <f ca="1">IFERROR(__xludf.DUMMYFUNCTION("""COMPUTED_VALUE"""),"")</f>
        <v/>
      </c>
      <c r="L214" s="189" t="str">
        <f ca="1">IFERROR(__xludf.DUMMYFUNCTION("""COMPUTED_VALUE"""),"")</f>
        <v/>
      </c>
      <c r="M214" s="189" t="str">
        <f ca="1">IFERROR(__xludf.DUMMYFUNCTION("""COMPUTED_VALUE"""),"")</f>
        <v/>
      </c>
      <c r="N214" s="189" t="str">
        <f ca="1">IFERROR(__xludf.DUMMYFUNCTION("""COMPUTED_VALUE"""),"")</f>
        <v/>
      </c>
      <c r="O214" s="189" t="str">
        <f ca="1">IFERROR(__xludf.DUMMYFUNCTION("""COMPUTED_VALUE"""),"")</f>
        <v/>
      </c>
      <c r="P214" s="189" t="str">
        <f ca="1">IFERROR(__xludf.DUMMYFUNCTION("""COMPUTED_VALUE"""),"")</f>
        <v/>
      </c>
      <c r="Q214" s="189" t="str">
        <f ca="1">IFERROR(__xludf.DUMMYFUNCTION("""COMPUTED_VALUE"""),"")</f>
        <v/>
      </c>
      <c r="R214" s="189" t="str">
        <f ca="1">IFERROR(__xludf.DUMMYFUNCTION("""COMPUTED_VALUE"""),"")</f>
        <v/>
      </c>
      <c r="S214" s="189" t="str">
        <f ca="1">IFERROR(__xludf.DUMMYFUNCTION("""COMPUTED_VALUE"""),"")</f>
        <v/>
      </c>
      <c r="T214" s="189" t="str">
        <f ca="1">IFERROR(__xludf.DUMMYFUNCTION("""COMPUTED_VALUE"""),"")</f>
        <v/>
      </c>
      <c r="U214" s="189" t="str">
        <f ca="1">IFERROR(__xludf.DUMMYFUNCTION("""COMPUTED_VALUE"""),"")</f>
        <v/>
      </c>
      <c r="V214" s="189" t="str">
        <f ca="1">IFERROR(__xludf.DUMMYFUNCTION("""COMPUTED_VALUE"""),"")</f>
        <v/>
      </c>
      <c r="W214" s="189" t="str">
        <f ca="1">IFERROR(__xludf.DUMMYFUNCTION("""COMPUTED_VALUE"""),"")</f>
        <v/>
      </c>
      <c r="X214" s="189" t="str">
        <f ca="1">IFERROR(__xludf.DUMMYFUNCTION("""COMPUTED_VALUE"""),"")</f>
        <v/>
      </c>
      <c r="Y214" s="189" t="str">
        <f ca="1">IFERROR(__xludf.DUMMYFUNCTION("""COMPUTED_VALUE"""),"")</f>
        <v/>
      </c>
      <c r="Z214" s="189"/>
    </row>
    <row r="215" spans="1:26" ht="12.75">
      <c r="A215" s="189" t="str">
        <f ca="1">IFERROR(__xludf.DUMMYFUNCTION("""COMPUTED_VALUE"""),"")</f>
        <v/>
      </c>
      <c r="B215" s="189" t="str">
        <f ca="1">IFERROR(__xludf.DUMMYFUNCTION("""COMPUTED_VALUE"""),"")</f>
        <v/>
      </c>
      <c r="C215" s="189" t="str">
        <f ca="1">IFERROR(__xludf.DUMMYFUNCTION("""COMPUTED_VALUE"""),"")</f>
        <v/>
      </c>
      <c r="D215" s="189" t="str">
        <f ca="1">IFERROR(__xludf.DUMMYFUNCTION("""COMPUTED_VALUE"""),"")</f>
        <v/>
      </c>
      <c r="E215" s="189" t="str">
        <f ca="1">IFERROR(__xludf.DUMMYFUNCTION("""COMPUTED_VALUE"""),"")</f>
        <v/>
      </c>
      <c r="F215" s="189" t="str">
        <f ca="1">IFERROR(__xludf.DUMMYFUNCTION("""COMPUTED_VALUE"""),"")</f>
        <v/>
      </c>
      <c r="G215" s="189" t="str">
        <f ca="1">IFERROR(__xludf.DUMMYFUNCTION("""COMPUTED_VALUE"""),"")</f>
        <v/>
      </c>
      <c r="H215" s="189" t="str">
        <f ca="1">IFERROR(__xludf.DUMMYFUNCTION("""COMPUTED_VALUE"""),"")</f>
        <v/>
      </c>
      <c r="I215" s="120" t="str">
        <f ca="1">IFERROR(__xludf.DUMMYFUNCTION("""COMPUTED_VALUE"""),"")</f>
        <v/>
      </c>
      <c r="J215" s="189" t="str">
        <f ca="1">IFERROR(__xludf.DUMMYFUNCTION("""COMPUTED_VALUE"""),"")</f>
        <v/>
      </c>
      <c r="K215" s="189" t="str">
        <f ca="1">IFERROR(__xludf.DUMMYFUNCTION("""COMPUTED_VALUE"""),"")</f>
        <v/>
      </c>
      <c r="L215" s="189" t="str">
        <f ca="1">IFERROR(__xludf.DUMMYFUNCTION("""COMPUTED_VALUE"""),"")</f>
        <v/>
      </c>
      <c r="M215" s="189" t="str">
        <f ca="1">IFERROR(__xludf.DUMMYFUNCTION("""COMPUTED_VALUE"""),"")</f>
        <v/>
      </c>
      <c r="N215" s="189" t="str">
        <f ca="1">IFERROR(__xludf.DUMMYFUNCTION("""COMPUTED_VALUE"""),"")</f>
        <v/>
      </c>
      <c r="O215" s="189" t="str">
        <f ca="1">IFERROR(__xludf.DUMMYFUNCTION("""COMPUTED_VALUE"""),"")</f>
        <v/>
      </c>
      <c r="P215" s="189" t="str">
        <f ca="1">IFERROR(__xludf.DUMMYFUNCTION("""COMPUTED_VALUE"""),"")</f>
        <v/>
      </c>
      <c r="Q215" s="189" t="str">
        <f ca="1">IFERROR(__xludf.DUMMYFUNCTION("""COMPUTED_VALUE"""),"")</f>
        <v/>
      </c>
      <c r="R215" s="189" t="str">
        <f ca="1">IFERROR(__xludf.DUMMYFUNCTION("""COMPUTED_VALUE"""),"")</f>
        <v/>
      </c>
      <c r="S215" s="189" t="str">
        <f ca="1">IFERROR(__xludf.DUMMYFUNCTION("""COMPUTED_VALUE"""),"")</f>
        <v/>
      </c>
      <c r="T215" s="189" t="str">
        <f ca="1">IFERROR(__xludf.DUMMYFUNCTION("""COMPUTED_VALUE"""),"")</f>
        <v/>
      </c>
      <c r="U215" s="189" t="str">
        <f ca="1">IFERROR(__xludf.DUMMYFUNCTION("""COMPUTED_VALUE"""),"")</f>
        <v/>
      </c>
      <c r="V215" s="189" t="str">
        <f ca="1">IFERROR(__xludf.DUMMYFUNCTION("""COMPUTED_VALUE"""),"")</f>
        <v/>
      </c>
      <c r="W215" s="189" t="str">
        <f ca="1">IFERROR(__xludf.DUMMYFUNCTION("""COMPUTED_VALUE"""),"")</f>
        <v/>
      </c>
      <c r="X215" s="189" t="str">
        <f ca="1">IFERROR(__xludf.DUMMYFUNCTION("""COMPUTED_VALUE"""),"")</f>
        <v/>
      </c>
      <c r="Y215" s="189" t="str">
        <f ca="1">IFERROR(__xludf.DUMMYFUNCTION("""COMPUTED_VALUE"""),"")</f>
        <v/>
      </c>
      <c r="Z215" s="189"/>
    </row>
    <row r="216" spans="1:26" ht="12.75">
      <c r="A216" s="189" t="str">
        <f ca="1">IFERROR(__xludf.DUMMYFUNCTION("""COMPUTED_VALUE"""),"")</f>
        <v/>
      </c>
      <c r="B216" s="189" t="str">
        <f ca="1">IFERROR(__xludf.DUMMYFUNCTION("""COMPUTED_VALUE"""),"")</f>
        <v/>
      </c>
      <c r="C216" s="189" t="str">
        <f ca="1">IFERROR(__xludf.DUMMYFUNCTION("""COMPUTED_VALUE"""),"")</f>
        <v/>
      </c>
      <c r="D216" s="189" t="str">
        <f ca="1">IFERROR(__xludf.DUMMYFUNCTION("""COMPUTED_VALUE"""),"")</f>
        <v/>
      </c>
      <c r="E216" s="189" t="str">
        <f ca="1">IFERROR(__xludf.DUMMYFUNCTION("""COMPUTED_VALUE"""),"")</f>
        <v/>
      </c>
      <c r="F216" s="189" t="str">
        <f ca="1">IFERROR(__xludf.DUMMYFUNCTION("""COMPUTED_VALUE"""),"")</f>
        <v/>
      </c>
      <c r="G216" s="189" t="str">
        <f ca="1">IFERROR(__xludf.DUMMYFUNCTION("""COMPUTED_VALUE"""),"")</f>
        <v/>
      </c>
      <c r="H216" s="189" t="str">
        <f ca="1">IFERROR(__xludf.DUMMYFUNCTION("""COMPUTED_VALUE"""),"")</f>
        <v/>
      </c>
      <c r="I216" s="120" t="str">
        <f ca="1">IFERROR(__xludf.DUMMYFUNCTION("""COMPUTED_VALUE"""),"")</f>
        <v/>
      </c>
      <c r="J216" s="189" t="str">
        <f ca="1">IFERROR(__xludf.DUMMYFUNCTION("""COMPUTED_VALUE"""),"")</f>
        <v/>
      </c>
      <c r="K216" s="189" t="str">
        <f ca="1">IFERROR(__xludf.DUMMYFUNCTION("""COMPUTED_VALUE"""),"")</f>
        <v/>
      </c>
      <c r="L216" s="189" t="str">
        <f ca="1">IFERROR(__xludf.DUMMYFUNCTION("""COMPUTED_VALUE"""),"")</f>
        <v/>
      </c>
      <c r="M216" s="189" t="str">
        <f ca="1">IFERROR(__xludf.DUMMYFUNCTION("""COMPUTED_VALUE"""),"")</f>
        <v/>
      </c>
      <c r="N216" s="189" t="str">
        <f ca="1">IFERROR(__xludf.DUMMYFUNCTION("""COMPUTED_VALUE"""),"")</f>
        <v/>
      </c>
      <c r="O216" s="189" t="str">
        <f ca="1">IFERROR(__xludf.DUMMYFUNCTION("""COMPUTED_VALUE"""),"")</f>
        <v/>
      </c>
      <c r="P216" s="189" t="str">
        <f ca="1">IFERROR(__xludf.DUMMYFUNCTION("""COMPUTED_VALUE"""),"")</f>
        <v/>
      </c>
      <c r="Q216" s="189" t="str">
        <f ca="1">IFERROR(__xludf.DUMMYFUNCTION("""COMPUTED_VALUE"""),"")</f>
        <v/>
      </c>
      <c r="R216" s="189" t="str">
        <f ca="1">IFERROR(__xludf.DUMMYFUNCTION("""COMPUTED_VALUE"""),"")</f>
        <v/>
      </c>
      <c r="S216" s="189" t="str">
        <f ca="1">IFERROR(__xludf.DUMMYFUNCTION("""COMPUTED_VALUE"""),"")</f>
        <v/>
      </c>
      <c r="T216" s="189" t="str">
        <f ca="1">IFERROR(__xludf.DUMMYFUNCTION("""COMPUTED_VALUE"""),"")</f>
        <v/>
      </c>
      <c r="U216" s="189" t="str">
        <f ca="1">IFERROR(__xludf.DUMMYFUNCTION("""COMPUTED_VALUE"""),"")</f>
        <v/>
      </c>
      <c r="V216" s="189" t="str">
        <f ca="1">IFERROR(__xludf.DUMMYFUNCTION("""COMPUTED_VALUE"""),"")</f>
        <v/>
      </c>
      <c r="W216" s="189" t="str">
        <f ca="1">IFERROR(__xludf.DUMMYFUNCTION("""COMPUTED_VALUE"""),"")</f>
        <v/>
      </c>
      <c r="X216" s="189" t="str">
        <f ca="1">IFERROR(__xludf.DUMMYFUNCTION("""COMPUTED_VALUE"""),"")</f>
        <v/>
      </c>
      <c r="Y216" s="189" t="str">
        <f ca="1">IFERROR(__xludf.DUMMYFUNCTION("""COMPUTED_VALUE"""),"")</f>
        <v/>
      </c>
      <c r="Z216" s="189"/>
    </row>
    <row r="217" spans="1:26" ht="12.75">
      <c r="A217" s="189" t="str">
        <f ca="1">IFERROR(__xludf.DUMMYFUNCTION("""COMPUTED_VALUE"""),"")</f>
        <v/>
      </c>
      <c r="B217" s="189" t="str">
        <f ca="1">IFERROR(__xludf.DUMMYFUNCTION("""COMPUTED_VALUE"""),"")</f>
        <v/>
      </c>
      <c r="C217" s="189" t="str">
        <f ca="1">IFERROR(__xludf.DUMMYFUNCTION("""COMPUTED_VALUE"""),"")</f>
        <v/>
      </c>
      <c r="D217" s="189" t="str">
        <f ca="1">IFERROR(__xludf.DUMMYFUNCTION("""COMPUTED_VALUE"""),"")</f>
        <v/>
      </c>
      <c r="E217" s="189" t="str">
        <f ca="1">IFERROR(__xludf.DUMMYFUNCTION("""COMPUTED_VALUE"""),"")</f>
        <v/>
      </c>
      <c r="F217" s="189" t="str">
        <f ca="1">IFERROR(__xludf.DUMMYFUNCTION("""COMPUTED_VALUE"""),"")</f>
        <v/>
      </c>
      <c r="G217" s="189" t="str">
        <f ca="1">IFERROR(__xludf.DUMMYFUNCTION("""COMPUTED_VALUE"""),"")</f>
        <v/>
      </c>
      <c r="H217" s="189" t="str">
        <f ca="1">IFERROR(__xludf.DUMMYFUNCTION("""COMPUTED_VALUE"""),"")</f>
        <v/>
      </c>
      <c r="I217" s="120" t="str">
        <f ca="1">IFERROR(__xludf.DUMMYFUNCTION("""COMPUTED_VALUE"""),"")</f>
        <v/>
      </c>
      <c r="J217" s="189" t="str">
        <f ca="1">IFERROR(__xludf.DUMMYFUNCTION("""COMPUTED_VALUE"""),"")</f>
        <v/>
      </c>
      <c r="K217" s="189" t="str">
        <f ca="1">IFERROR(__xludf.DUMMYFUNCTION("""COMPUTED_VALUE"""),"")</f>
        <v/>
      </c>
      <c r="L217" s="189" t="str">
        <f ca="1">IFERROR(__xludf.DUMMYFUNCTION("""COMPUTED_VALUE"""),"")</f>
        <v/>
      </c>
      <c r="M217" s="189" t="str">
        <f ca="1">IFERROR(__xludf.DUMMYFUNCTION("""COMPUTED_VALUE"""),"")</f>
        <v/>
      </c>
      <c r="N217" s="189" t="str">
        <f ca="1">IFERROR(__xludf.DUMMYFUNCTION("""COMPUTED_VALUE"""),"")</f>
        <v/>
      </c>
      <c r="O217" s="189" t="str">
        <f ca="1">IFERROR(__xludf.DUMMYFUNCTION("""COMPUTED_VALUE"""),"")</f>
        <v/>
      </c>
      <c r="P217" s="189" t="str">
        <f ca="1">IFERROR(__xludf.DUMMYFUNCTION("""COMPUTED_VALUE"""),"")</f>
        <v/>
      </c>
      <c r="Q217" s="189" t="str">
        <f ca="1">IFERROR(__xludf.DUMMYFUNCTION("""COMPUTED_VALUE"""),"")</f>
        <v/>
      </c>
      <c r="R217" s="189" t="str">
        <f ca="1">IFERROR(__xludf.DUMMYFUNCTION("""COMPUTED_VALUE"""),"")</f>
        <v/>
      </c>
      <c r="S217" s="189" t="str">
        <f ca="1">IFERROR(__xludf.DUMMYFUNCTION("""COMPUTED_VALUE"""),"")</f>
        <v/>
      </c>
      <c r="T217" s="189" t="str">
        <f ca="1">IFERROR(__xludf.DUMMYFUNCTION("""COMPUTED_VALUE"""),"")</f>
        <v/>
      </c>
      <c r="U217" s="189" t="str">
        <f ca="1">IFERROR(__xludf.DUMMYFUNCTION("""COMPUTED_VALUE"""),"")</f>
        <v/>
      </c>
      <c r="V217" s="189" t="str">
        <f ca="1">IFERROR(__xludf.DUMMYFUNCTION("""COMPUTED_VALUE"""),"")</f>
        <v/>
      </c>
      <c r="W217" s="189" t="str">
        <f ca="1">IFERROR(__xludf.DUMMYFUNCTION("""COMPUTED_VALUE"""),"")</f>
        <v/>
      </c>
      <c r="X217" s="189" t="str">
        <f ca="1">IFERROR(__xludf.DUMMYFUNCTION("""COMPUTED_VALUE"""),"")</f>
        <v/>
      </c>
      <c r="Y217" s="189" t="str">
        <f ca="1">IFERROR(__xludf.DUMMYFUNCTION("""COMPUTED_VALUE"""),"")</f>
        <v/>
      </c>
      <c r="Z217" s="189"/>
    </row>
    <row r="218" spans="1:26" ht="12.75">
      <c r="A218" s="189" t="str">
        <f ca="1">IFERROR(__xludf.DUMMYFUNCTION("""COMPUTED_VALUE"""),"")</f>
        <v/>
      </c>
      <c r="B218" s="189" t="str">
        <f ca="1">IFERROR(__xludf.DUMMYFUNCTION("""COMPUTED_VALUE"""),"")</f>
        <v/>
      </c>
      <c r="C218" s="189" t="str">
        <f ca="1">IFERROR(__xludf.DUMMYFUNCTION("""COMPUTED_VALUE"""),"")</f>
        <v/>
      </c>
      <c r="D218" s="189" t="str">
        <f ca="1">IFERROR(__xludf.DUMMYFUNCTION("""COMPUTED_VALUE"""),"")</f>
        <v/>
      </c>
      <c r="E218" s="189" t="str">
        <f ca="1">IFERROR(__xludf.DUMMYFUNCTION("""COMPUTED_VALUE"""),"")</f>
        <v/>
      </c>
      <c r="F218" s="189" t="str">
        <f ca="1">IFERROR(__xludf.DUMMYFUNCTION("""COMPUTED_VALUE"""),"")</f>
        <v/>
      </c>
      <c r="G218" s="189" t="str">
        <f ca="1">IFERROR(__xludf.DUMMYFUNCTION("""COMPUTED_VALUE"""),"")</f>
        <v/>
      </c>
      <c r="H218" s="189" t="str">
        <f ca="1">IFERROR(__xludf.DUMMYFUNCTION("""COMPUTED_VALUE"""),"")</f>
        <v/>
      </c>
      <c r="I218" s="120" t="str">
        <f ca="1">IFERROR(__xludf.DUMMYFUNCTION("""COMPUTED_VALUE"""),"")</f>
        <v/>
      </c>
      <c r="J218" s="189" t="str">
        <f ca="1">IFERROR(__xludf.DUMMYFUNCTION("""COMPUTED_VALUE"""),"")</f>
        <v/>
      </c>
      <c r="K218" s="189" t="str">
        <f ca="1">IFERROR(__xludf.DUMMYFUNCTION("""COMPUTED_VALUE"""),"")</f>
        <v/>
      </c>
      <c r="L218" s="189" t="str">
        <f ca="1">IFERROR(__xludf.DUMMYFUNCTION("""COMPUTED_VALUE"""),"")</f>
        <v/>
      </c>
      <c r="M218" s="189" t="str">
        <f ca="1">IFERROR(__xludf.DUMMYFUNCTION("""COMPUTED_VALUE"""),"")</f>
        <v/>
      </c>
      <c r="N218" s="189" t="str">
        <f ca="1">IFERROR(__xludf.DUMMYFUNCTION("""COMPUTED_VALUE"""),"")</f>
        <v/>
      </c>
      <c r="O218" s="189" t="str">
        <f ca="1">IFERROR(__xludf.DUMMYFUNCTION("""COMPUTED_VALUE"""),"")</f>
        <v/>
      </c>
      <c r="P218" s="189" t="str">
        <f ca="1">IFERROR(__xludf.DUMMYFUNCTION("""COMPUTED_VALUE"""),"")</f>
        <v/>
      </c>
      <c r="Q218" s="189" t="str">
        <f ca="1">IFERROR(__xludf.DUMMYFUNCTION("""COMPUTED_VALUE"""),"")</f>
        <v/>
      </c>
      <c r="R218" s="189" t="str">
        <f ca="1">IFERROR(__xludf.DUMMYFUNCTION("""COMPUTED_VALUE"""),"")</f>
        <v/>
      </c>
      <c r="S218" s="189" t="str">
        <f ca="1">IFERROR(__xludf.DUMMYFUNCTION("""COMPUTED_VALUE"""),"")</f>
        <v/>
      </c>
      <c r="T218" s="189" t="str">
        <f ca="1">IFERROR(__xludf.DUMMYFUNCTION("""COMPUTED_VALUE"""),"")</f>
        <v/>
      </c>
      <c r="U218" s="189" t="str">
        <f ca="1">IFERROR(__xludf.DUMMYFUNCTION("""COMPUTED_VALUE"""),"")</f>
        <v/>
      </c>
      <c r="V218" s="189" t="str">
        <f ca="1">IFERROR(__xludf.DUMMYFUNCTION("""COMPUTED_VALUE"""),"")</f>
        <v/>
      </c>
      <c r="W218" s="189" t="str">
        <f ca="1">IFERROR(__xludf.DUMMYFUNCTION("""COMPUTED_VALUE"""),"")</f>
        <v/>
      </c>
      <c r="X218" s="189" t="str">
        <f ca="1">IFERROR(__xludf.DUMMYFUNCTION("""COMPUTED_VALUE"""),"")</f>
        <v/>
      </c>
      <c r="Y218" s="189" t="str">
        <f ca="1">IFERROR(__xludf.DUMMYFUNCTION("""COMPUTED_VALUE"""),"")</f>
        <v/>
      </c>
      <c r="Z218" s="189"/>
    </row>
    <row r="219" spans="1:26" ht="12.75">
      <c r="A219" s="189" t="str">
        <f ca="1">IFERROR(__xludf.DUMMYFUNCTION("""COMPUTED_VALUE"""),"")</f>
        <v/>
      </c>
      <c r="B219" s="189" t="str">
        <f ca="1">IFERROR(__xludf.DUMMYFUNCTION("""COMPUTED_VALUE"""),"")</f>
        <v/>
      </c>
      <c r="C219" s="189" t="str">
        <f ca="1">IFERROR(__xludf.DUMMYFUNCTION("""COMPUTED_VALUE"""),"")</f>
        <v/>
      </c>
      <c r="D219" s="189" t="str">
        <f ca="1">IFERROR(__xludf.DUMMYFUNCTION("""COMPUTED_VALUE"""),"")</f>
        <v/>
      </c>
      <c r="E219" s="189" t="str">
        <f ca="1">IFERROR(__xludf.DUMMYFUNCTION("""COMPUTED_VALUE"""),"")</f>
        <v/>
      </c>
      <c r="F219" s="189" t="str">
        <f ca="1">IFERROR(__xludf.DUMMYFUNCTION("""COMPUTED_VALUE"""),"")</f>
        <v/>
      </c>
      <c r="G219" s="189" t="str">
        <f ca="1">IFERROR(__xludf.DUMMYFUNCTION("""COMPUTED_VALUE"""),"")</f>
        <v/>
      </c>
      <c r="H219" s="189" t="str">
        <f ca="1">IFERROR(__xludf.DUMMYFUNCTION("""COMPUTED_VALUE"""),"")</f>
        <v/>
      </c>
      <c r="I219" s="120" t="str">
        <f ca="1">IFERROR(__xludf.DUMMYFUNCTION("""COMPUTED_VALUE"""),"")</f>
        <v/>
      </c>
      <c r="J219" s="189" t="str">
        <f ca="1">IFERROR(__xludf.DUMMYFUNCTION("""COMPUTED_VALUE"""),"")</f>
        <v/>
      </c>
      <c r="K219" s="189" t="str">
        <f ca="1">IFERROR(__xludf.DUMMYFUNCTION("""COMPUTED_VALUE"""),"")</f>
        <v/>
      </c>
      <c r="L219" s="189" t="str">
        <f ca="1">IFERROR(__xludf.DUMMYFUNCTION("""COMPUTED_VALUE"""),"")</f>
        <v/>
      </c>
      <c r="M219" s="189" t="str">
        <f ca="1">IFERROR(__xludf.DUMMYFUNCTION("""COMPUTED_VALUE"""),"")</f>
        <v/>
      </c>
      <c r="N219" s="189" t="str">
        <f ca="1">IFERROR(__xludf.DUMMYFUNCTION("""COMPUTED_VALUE"""),"")</f>
        <v/>
      </c>
      <c r="O219" s="189" t="str">
        <f ca="1">IFERROR(__xludf.DUMMYFUNCTION("""COMPUTED_VALUE"""),"")</f>
        <v/>
      </c>
      <c r="P219" s="189" t="str">
        <f ca="1">IFERROR(__xludf.DUMMYFUNCTION("""COMPUTED_VALUE"""),"")</f>
        <v/>
      </c>
      <c r="Q219" s="189" t="str">
        <f ca="1">IFERROR(__xludf.DUMMYFUNCTION("""COMPUTED_VALUE"""),"")</f>
        <v/>
      </c>
      <c r="R219" s="189" t="str">
        <f ca="1">IFERROR(__xludf.DUMMYFUNCTION("""COMPUTED_VALUE"""),"")</f>
        <v/>
      </c>
      <c r="S219" s="189" t="str">
        <f ca="1">IFERROR(__xludf.DUMMYFUNCTION("""COMPUTED_VALUE"""),"")</f>
        <v/>
      </c>
      <c r="T219" s="189" t="str">
        <f ca="1">IFERROR(__xludf.DUMMYFUNCTION("""COMPUTED_VALUE"""),"")</f>
        <v/>
      </c>
      <c r="U219" s="189" t="str">
        <f ca="1">IFERROR(__xludf.DUMMYFUNCTION("""COMPUTED_VALUE"""),"")</f>
        <v/>
      </c>
      <c r="V219" s="189" t="str">
        <f ca="1">IFERROR(__xludf.DUMMYFUNCTION("""COMPUTED_VALUE"""),"")</f>
        <v/>
      </c>
      <c r="W219" s="189" t="str">
        <f ca="1">IFERROR(__xludf.DUMMYFUNCTION("""COMPUTED_VALUE"""),"")</f>
        <v/>
      </c>
      <c r="X219" s="189" t="str">
        <f ca="1">IFERROR(__xludf.DUMMYFUNCTION("""COMPUTED_VALUE"""),"")</f>
        <v/>
      </c>
      <c r="Y219" s="189" t="str">
        <f ca="1">IFERROR(__xludf.DUMMYFUNCTION("""COMPUTED_VALUE"""),"")</f>
        <v/>
      </c>
      <c r="Z219" s="189"/>
    </row>
    <row r="220" spans="1:26" ht="12.75">
      <c r="A220" s="189" t="str">
        <f ca="1">IFERROR(__xludf.DUMMYFUNCTION("""COMPUTED_VALUE"""),"")</f>
        <v/>
      </c>
      <c r="B220" s="189" t="str">
        <f ca="1">IFERROR(__xludf.DUMMYFUNCTION("""COMPUTED_VALUE"""),"")</f>
        <v/>
      </c>
      <c r="C220" s="189" t="str">
        <f ca="1">IFERROR(__xludf.DUMMYFUNCTION("""COMPUTED_VALUE"""),"")</f>
        <v/>
      </c>
      <c r="D220" s="189" t="str">
        <f ca="1">IFERROR(__xludf.DUMMYFUNCTION("""COMPUTED_VALUE"""),"")</f>
        <v/>
      </c>
      <c r="E220" s="189" t="str">
        <f ca="1">IFERROR(__xludf.DUMMYFUNCTION("""COMPUTED_VALUE"""),"")</f>
        <v/>
      </c>
      <c r="F220" s="189" t="str">
        <f ca="1">IFERROR(__xludf.DUMMYFUNCTION("""COMPUTED_VALUE"""),"")</f>
        <v/>
      </c>
      <c r="G220" s="189" t="str">
        <f ca="1">IFERROR(__xludf.DUMMYFUNCTION("""COMPUTED_VALUE"""),"")</f>
        <v/>
      </c>
      <c r="H220" s="189" t="str">
        <f ca="1">IFERROR(__xludf.DUMMYFUNCTION("""COMPUTED_VALUE"""),"")</f>
        <v/>
      </c>
      <c r="I220" s="120" t="str">
        <f ca="1">IFERROR(__xludf.DUMMYFUNCTION("""COMPUTED_VALUE"""),"")</f>
        <v/>
      </c>
      <c r="J220" s="189" t="str">
        <f ca="1">IFERROR(__xludf.DUMMYFUNCTION("""COMPUTED_VALUE"""),"")</f>
        <v/>
      </c>
      <c r="K220" s="189" t="str">
        <f ca="1">IFERROR(__xludf.DUMMYFUNCTION("""COMPUTED_VALUE"""),"")</f>
        <v/>
      </c>
      <c r="L220" s="189" t="str">
        <f ca="1">IFERROR(__xludf.DUMMYFUNCTION("""COMPUTED_VALUE"""),"")</f>
        <v/>
      </c>
      <c r="M220" s="189" t="str">
        <f ca="1">IFERROR(__xludf.DUMMYFUNCTION("""COMPUTED_VALUE"""),"")</f>
        <v/>
      </c>
      <c r="N220" s="189" t="str">
        <f ca="1">IFERROR(__xludf.DUMMYFUNCTION("""COMPUTED_VALUE"""),"")</f>
        <v/>
      </c>
      <c r="O220" s="189" t="str">
        <f ca="1">IFERROR(__xludf.DUMMYFUNCTION("""COMPUTED_VALUE"""),"")</f>
        <v/>
      </c>
      <c r="P220" s="189" t="str">
        <f ca="1">IFERROR(__xludf.DUMMYFUNCTION("""COMPUTED_VALUE"""),"")</f>
        <v/>
      </c>
      <c r="Q220" s="189" t="str">
        <f ca="1">IFERROR(__xludf.DUMMYFUNCTION("""COMPUTED_VALUE"""),"")</f>
        <v/>
      </c>
      <c r="R220" s="189" t="str">
        <f ca="1">IFERROR(__xludf.DUMMYFUNCTION("""COMPUTED_VALUE"""),"")</f>
        <v/>
      </c>
      <c r="S220" s="189" t="str">
        <f ca="1">IFERROR(__xludf.DUMMYFUNCTION("""COMPUTED_VALUE"""),"")</f>
        <v/>
      </c>
      <c r="T220" s="189" t="str">
        <f ca="1">IFERROR(__xludf.DUMMYFUNCTION("""COMPUTED_VALUE"""),"")</f>
        <v/>
      </c>
      <c r="U220" s="189" t="str">
        <f ca="1">IFERROR(__xludf.DUMMYFUNCTION("""COMPUTED_VALUE"""),"")</f>
        <v/>
      </c>
      <c r="V220" s="189" t="str">
        <f ca="1">IFERROR(__xludf.DUMMYFUNCTION("""COMPUTED_VALUE"""),"")</f>
        <v/>
      </c>
      <c r="W220" s="189" t="str">
        <f ca="1">IFERROR(__xludf.DUMMYFUNCTION("""COMPUTED_VALUE"""),"")</f>
        <v/>
      </c>
      <c r="X220" s="189" t="str">
        <f ca="1">IFERROR(__xludf.DUMMYFUNCTION("""COMPUTED_VALUE"""),"")</f>
        <v/>
      </c>
      <c r="Y220" s="189" t="str">
        <f ca="1">IFERROR(__xludf.DUMMYFUNCTION("""COMPUTED_VALUE"""),"")</f>
        <v/>
      </c>
      <c r="Z220" s="189"/>
    </row>
    <row r="221" spans="1:26" ht="12.75">
      <c r="A221" s="189" t="str">
        <f ca="1">IFERROR(__xludf.DUMMYFUNCTION("""COMPUTED_VALUE"""),"")</f>
        <v/>
      </c>
      <c r="B221" s="189" t="str">
        <f ca="1">IFERROR(__xludf.DUMMYFUNCTION("""COMPUTED_VALUE"""),"")</f>
        <v/>
      </c>
      <c r="C221" s="189" t="str">
        <f ca="1">IFERROR(__xludf.DUMMYFUNCTION("""COMPUTED_VALUE"""),"")</f>
        <v/>
      </c>
      <c r="D221" s="189" t="str">
        <f ca="1">IFERROR(__xludf.DUMMYFUNCTION("""COMPUTED_VALUE"""),"")</f>
        <v/>
      </c>
      <c r="E221" s="189" t="str">
        <f ca="1">IFERROR(__xludf.DUMMYFUNCTION("""COMPUTED_VALUE"""),"")</f>
        <v/>
      </c>
      <c r="F221" s="189" t="str">
        <f ca="1">IFERROR(__xludf.DUMMYFUNCTION("""COMPUTED_VALUE"""),"")</f>
        <v/>
      </c>
      <c r="G221" s="189" t="str">
        <f ca="1">IFERROR(__xludf.DUMMYFUNCTION("""COMPUTED_VALUE"""),"")</f>
        <v/>
      </c>
      <c r="H221" s="189" t="str">
        <f ca="1">IFERROR(__xludf.DUMMYFUNCTION("""COMPUTED_VALUE"""),"")</f>
        <v/>
      </c>
      <c r="I221" s="120" t="str">
        <f ca="1">IFERROR(__xludf.DUMMYFUNCTION("""COMPUTED_VALUE"""),"")</f>
        <v/>
      </c>
      <c r="J221" s="189" t="str">
        <f ca="1">IFERROR(__xludf.DUMMYFUNCTION("""COMPUTED_VALUE"""),"")</f>
        <v/>
      </c>
      <c r="K221" s="189" t="str">
        <f ca="1">IFERROR(__xludf.DUMMYFUNCTION("""COMPUTED_VALUE"""),"")</f>
        <v/>
      </c>
      <c r="L221" s="189" t="str">
        <f ca="1">IFERROR(__xludf.DUMMYFUNCTION("""COMPUTED_VALUE"""),"")</f>
        <v/>
      </c>
      <c r="M221" s="189" t="str">
        <f ca="1">IFERROR(__xludf.DUMMYFUNCTION("""COMPUTED_VALUE"""),"")</f>
        <v/>
      </c>
      <c r="N221" s="189" t="str">
        <f ca="1">IFERROR(__xludf.DUMMYFUNCTION("""COMPUTED_VALUE"""),"")</f>
        <v/>
      </c>
      <c r="O221" s="189" t="str">
        <f ca="1">IFERROR(__xludf.DUMMYFUNCTION("""COMPUTED_VALUE"""),"")</f>
        <v/>
      </c>
      <c r="P221" s="189" t="str">
        <f ca="1">IFERROR(__xludf.DUMMYFUNCTION("""COMPUTED_VALUE"""),"")</f>
        <v/>
      </c>
      <c r="Q221" s="189" t="str">
        <f ca="1">IFERROR(__xludf.DUMMYFUNCTION("""COMPUTED_VALUE"""),"")</f>
        <v/>
      </c>
      <c r="R221" s="189" t="str">
        <f ca="1">IFERROR(__xludf.DUMMYFUNCTION("""COMPUTED_VALUE"""),"")</f>
        <v/>
      </c>
      <c r="S221" s="189" t="str">
        <f ca="1">IFERROR(__xludf.DUMMYFUNCTION("""COMPUTED_VALUE"""),"")</f>
        <v/>
      </c>
      <c r="T221" s="189" t="str">
        <f ca="1">IFERROR(__xludf.DUMMYFUNCTION("""COMPUTED_VALUE"""),"")</f>
        <v/>
      </c>
      <c r="U221" s="189" t="str">
        <f ca="1">IFERROR(__xludf.DUMMYFUNCTION("""COMPUTED_VALUE"""),"")</f>
        <v/>
      </c>
      <c r="V221" s="189" t="str">
        <f ca="1">IFERROR(__xludf.DUMMYFUNCTION("""COMPUTED_VALUE"""),"")</f>
        <v/>
      </c>
      <c r="W221" s="189" t="str">
        <f ca="1">IFERROR(__xludf.DUMMYFUNCTION("""COMPUTED_VALUE"""),"")</f>
        <v/>
      </c>
      <c r="X221" s="189" t="str">
        <f ca="1">IFERROR(__xludf.DUMMYFUNCTION("""COMPUTED_VALUE"""),"")</f>
        <v/>
      </c>
      <c r="Y221" s="189" t="str">
        <f ca="1">IFERROR(__xludf.DUMMYFUNCTION("""COMPUTED_VALUE"""),"")</f>
        <v/>
      </c>
      <c r="Z221" s="189"/>
    </row>
    <row r="222" spans="1:26" ht="12.75">
      <c r="A222" s="189" t="str">
        <f ca="1">IFERROR(__xludf.DUMMYFUNCTION("""COMPUTED_VALUE"""),"")</f>
        <v/>
      </c>
      <c r="B222" s="189" t="str">
        <f ca="1">IFERROR(__xludf.DUMMYFUNCTION("""COMPUTED_VALUE"""),"")</f>
        <v/>
      </c>
      <c r="C222" s="189" t="str">
        <f ca="1">IFERROR(__xludf.DUMMYFUNCTION("""COMPUTED_VALUE"""),"")</f>
        <v/>
      </c>
      <c r="D222" s="189" t="str">
        <f ca="1">IFERROR(__xludf.DUMMYFUNCTION("""COMPUTED_VALUE"""),"")</f>
        <v/>
      </c>
      <c r="E222" s="189" t="str">
        <f ca="1">IFERROR(__xludf.DUMMYFUNCTION("""COMPUTED_VALUE"""),"")</f>
        <v/>
      </c>
      <c r="F222" s="189" t="str">
        <f ca="1">IFERROR(__xludf.DUMMYFUNCTION("""COMPUTED_VALUE"""),"")</f>
        <v/>
      </c>
      <c r="G222" s="189" t="str">
        <f ca="1">IFERROR(__xludf.DUMMYFUNCTION("""COMPUTED_VALUE"""),"")</f>
        <v/>
      </c>
      <c r="H222" s="189" t="str">
        <f ca="1">IFERROR(__xludf.DUMMYFUNCTION("""COMPUTED_VALUE"""),"")</f>
        <v/>
      </c>
      <c r="I222" s="120" t="str">
        <f ca="1">IFERROR(__xludf.DUMMYFUNCTION("""COMPUTED_VALUE"""),"")</f>
        <v/>
      </c>
      <c r="J222" s="189" t="str">
        <f ca="1">IFERROR(__xludf.DUMMYFUNCTION("""COMPUTED_VALUE"""),"")</f>
        <v/>
      </c>
      <c r="K222" s="189" t="str">
        <f ca="1">IFERROR(__xludf.DUMMYFUNCTION("""COMPUTED_VALUE"""),"")</f>
        <v/>
      </c>
      <c r="L222" s="189" t="str">
        <f ca="1">IFERROR(__xludf.DUMMYFUNCTION("""COMPUTED_VALUE"""),"")</f>
        <v/>
      </c>
      <c r="M222" s="189" t="str">
        <f ca="1">IFERROR(__xludf.DUMMYFUNCTION("""COMPUTED_VALUE"""),"")</f>
        <v/>
      </c>
      <c r="N222" s="189" t="str">
        <f ca="1">IFERROR(__xludf.DUMMYFUNCTION("""COMPUTED_VALUE"""),"")</f>
        <v/>
      </c>
      <c r="O222" s="189" t="str">
        <f ca="1">IFERROR(__xludf.DUMMYFUNCTION("""COMPUTED_VALUE"""),"")</f>
        <v/>
      </c>
      <c r="P222" s="189" t="str">
        <f ca="1">IFERROR(__xludf.DUMMYFUNCTION("""COMPUTED_VALUE"""),"")</f>
        <v/>
      </c>
      <c r="Q222" s="189" t="str">
        <f ca="1">IFERROR(__xludf.DUMMYFUNCTION("""COMPUTED_VALUE"""),"")</f>
        <v/>
      </c>
      <c r="R222" s="189" t="str">
        <f ca="1">IFERROR(__xludf.DUMMYFUNCTION("""COMPUTED_VALUE"""),"")</f>
        <v/>
      </c>
      <c r="S222" s="189" t="str">
        <f ca="1">IFERROR(__xludf.DUMMYFUNCTION("""COMPUTED_VALUE"""),"")</f>
        <v/>
      </c>
      <c r="T222" s="189" t="str">
        <f ca="1">IFERROR(__xludf.DUMMYFUNCTION("""COMPUTED_VALUE"""),"")</f>
        <v/>
      </c>
      <c r="U222" s="189" t="str">
        <f ca="1">IFERROR(__xludf.DUMMYFUNCTION("""COMPUTED_VALUE"""),"")</f>
        <v/>
      </c>
      <c r="V222" s="189" t="str">
        <f ca="1">IFERROR(__xludf.DUMMYFUNCTION("""COMPUTED_VALUE"""),"")</f>
        <v/>
      </c>
      <c r="W222" s="189" t="str">
        <f ca="1">IFERROR(__xludf.DUMMYFUNCTION("""COMPUTED_VALUE"""),"")</f>
        <v/>
      </c>
      <c r="X222" s="189" t="str">
        <f ca="1">IFERROR(__xludf.DUMMYFUNCTION("""COMPUTED_VALUE"""),"")</f>
        <v/>
      </c>
      <c r="Y222" s="189" t="str">
        <f ca="1">IFERROR(__xludf.DUMMYFUNCTION("""COMPUTED_VALUE"""),"")</f>
        <v/>
      </c>
      <c r="Z222" s="189"/>
    </row>
    <row r="223" spans="1:26" ht="12.75">
      <c r="A223" s="189" t="str">
        <f ca="1">IFERROR(__xludf.DUMMYFUNCTION("""COMPUTED_VALUE"""),"")</f>
        <v/>
      </c>
      <c r="B223" s="189" t="str">
        <f ca="1">IFERROR(__xludf.DUMMYFUNCTION("""COMPUTED_VALUE"""),"")</f>
        <v/>
      </c>
      <c r="C223" s="189" t="str">
        <f ca="1">IFERROR(__xludf.DUMMYFUNCTION("""COMPUTED_VALUE"""),"")</f>
        <v/>
      </c>
      <c r="D223" s="189" t="str">
        <f ca="1">IFERROR(__xludf.DUMMYFUNCTION("""COMPUTED_VALUE"""),"")</f>
        <v/>
      </c>
      <c r="E223" s="189" t="str">
        <f ca="1">IFERROR(__xludf.DUMMYFUNCTION("""COMPUTED_VALUE"""),"")</f>
        <v/>
      </c>
      <c r="F223" s="189" t="str">
        <f ca="1">IFERROR(__xludf.DUMMYFUNCTION("""COMPUTED_VALUE"""),"")</f>
        <v/>
      </c>
      <c r="G223" s="189" t="str">
        <f ca="1">IFERROR(__xludf.DUMMYFUNCTION("""COMPUTED_VALUE"""),"")</f>
        <v/>
      </c>
      <c r="H223" s="189" t="str">
        <f ca="1">IFERROR(__xludf.DUMMYFUNCTION("""COMPUTED_VALUE"""),"")</f>
        <v/>
      </c>
      <c r="I223" s="120" t="str">
        <f ca="1">IFERROR(__xludf.DUMMYFUNCTION("""COMPUTED_VALUE"""),"")</f>
        <v/>
      </c>
      <c r="J223" s="189" t="str">
        <f ca="1">IFERROR(__xludf.DUMMYFUNCTION("""COMPUTED_VALUE"""),"")</f>
        <v/>
      </c>
      <c r="K223" s="189" t="str">
        <f ca="1">IFERROR(__xludf.DUMMYFUNCTION("""COMPUTED_VALUE"""),"")</f>
        <v/>
      </c>
      <c r="L223" s="189" t="str">
        <f ca="1">IFERROR(__xludf.DUMMYFUNCTION("""COMPUTED_VALUE"""),"")</f>
        <v/>
      </c>
      <c r="M223" s="189" t="str">
        <f ca="1">IFERROR(__xludf.DUMMYFUNCTION("""COMPUTED_VALUE"""),"")</f>
        <v/>
      </c>
      <c r="N223" s="189" t="str">
        <f ca="1">IFERROR(__xludf.DUMMYFUNCTION("""COMPUTED_VALUE"""),"")</f>
        <v/>
      </c>
      <c r="O223" s="189" t="str">
        <f ca="1">IFERROR(__xludf.DUMMYFUNCTION("""COMPUTED_VALUE"""),"")</f>
        <v/>
      </c>
      <c r="P223" s="189" t="str">
        <f ca="1">IFERROR(__xludf.DUMMYFUNCTION("""COMPUTED_VALUE"""),"")</f>
        <v/>
      </c>
      <c r="Q223" s="189" t="str">
        <f ca="1">IFERROR(__xludf.DUMMYFUNCTION("""COMPUTED_VALUE"""),"")</f>
        <v/>
      </c>
      <c r="R223" s="189" t="str">
        <f ca="1">IFERROR(__xludf.DUMMYFUNCTION("""COMPUTED_VALUE"""),"")</f>
        <v/>
      </c>
      <c r="S223" s="189" t="str">
        <f ca="1">IFERROR(__xludf.DUMMYFUNCTION("""COMPUTED_VALUE"""),"")</f>
        <v/>
      </c>
      <c r="T223" s="189" t="str">
        <f ca="1">IFERROR(__xludf.DUMMYFUNCTION("""COMPUTED_VALUE"""),"")</f>
        <v/>
      </c>
      <c r="U223" s="189" t="str">
        <f ca="1">IFERROR(__xludf.DUMMYFUNCTION("""COMPUTED_VALUE"""),"")</f>
        <v/>
      </c>
      <c r="V223" s="189" t="str">
        <f ca="1">IFERROR(__xludf.DUMMYFUNCTION("""COMPUTED_VALUE"""),"")</f>
        <v/>
      </c>
      <c r="W223" s="189" t="str">
        <f ca="1">IFERROR(__xludf.DUMMYFUNCTION("""COMPUTED_VALUE"""),"")</f>
        <v/>
      </c>
      <c r="X223" s="189" t="str">
        <f ca="1">IFERROR(__xludf.DUMMYFUNCTION("""COMPUTED_VALUE"""),"")</f>
        <v/>
      </c>
      <c r="Y223" s="189" t="str">
        <f ca="1">IFERROR(__xludf.DUMMYFUNCTION("""COMPUTED_VALUE"""),"")</f>
        <v/>
      </c>
      <c r="Z223" s="189"/>
    </row>
    <row r="224" spans="1:26" ht="12.75">
      <c r="A224" s="189" t="str">
        <f ca="1">IFERROR(__xludf.DUMMYFUNCTION("""COMPUTED_VALUE"""),"")</f>
        <v/>
      </c>
      <c r="B224" s="189" t="str">
        <f ca="1">IFERROR(__xludf.DUMMYFUNCTION("""COMPUTED_VALUE"""),"")</f>
        <v/>
      </c>
      <c r="C224" s="189" t="str">
        <f ca="1">IFERROR(__xludf.DUMMYFUNCTION("""COMPUTED_VALUE"""),"")</f>
        <v/>
      </c>
      <c r="D224" s="189" t="str">
        <f ca="1">IFERROR(__xludf.DUMMYFUNCTION("""COMPUTED_VALUE"""),"")</f>
        <v/>
      </c>
      <c r="E224" s="189" t="str">
        <f ca="1">IFERROR(__xludf.DUMMYFUNCTION("""COMPUTED_VALUE"""),"")</f>
        <v/>
      </c>
      <c r="F224" s="189" t="str">
        <f ca="1">IFERROR(__xludf.DUMMYFUNCTION("""COMPUTED_VALUE"""),"")</f>
        <v/>
      </c>
      <c r="G224" s="189" t="str">
        <f ca="1">IFERROR(__xludf.DUMMYFUNCTION("""COMPUTED_VALUE"""),"")</f>
        <v/>
      </c>
      <c r="H224" s="189" t="str">
        <f ca="1">IFERROR(__xludf.DUMMYFUNCTION("""COMPUTED_VALUE"""),"")</f>
        <v/>
      </c>
      <c r="I224" s="120" t="str">
        <f ca="1">IFERROR(__xludf.DUMMYFUNCTION("""COMPUTED_VALUE"""),"")</f>
        <v/>
      </c>
      <c r="J224" s="189" t="str">
        <f ca="1">IFERROR(__xludf.DUMMYFUNCTION("""COMPUTED_VALUE"""),"")</f>
        <v/>
      </c>
      <c r="K224" s="189" t="str">
        <f ca="1">IFERROR(__xludf.DUMMYFUNCTION("""COMPUTED_VALUE"""),"")</f>
        <v/>
      </c>
      <c r="L224" s="189" t="str">
        <f ca="1">IFERROR(__xludf.DUMMYFUNCTION("""COMPUTED_VALUE"""),"")</f>
        <v/>
      </c>
      <c r="M224" s="189" t="str">
        <f ca="1">IFERROR(__xludf.DUMMYFUNCTION("""COMPUTED_VALUE"""),"")</f>
        <v/>
      </c>
      <c r="N224" s="189" t="str">
        <f ca="1">IFERROR(__xludf.DUMMYFUNCTION("""COMPUTED_VALUE"""),"")</f>
        <v/>
      </c>
      <c r="O224" s="189" t="str">
        <f ca="1">IFERROR(__xludf.DUMMYFUNCTION("""COMPUTED_VALUE"""),"")</f>
        <v/>
      </c>
      <c r="P224" s="189" t="str">
        <f ca="1">IFERROR(__xludf.DUMMYFUNCTION("""COMPUTED_VALUE"""),"")</f>
        <v/>
      </c>
      <c r="Q224" s="189" t="str">
        <f ca="1">IFERROR(__xludf.DUMMYFUNCTION("""COMPUTED_VALUE"""),"")</f>
        <v/>
      </c>
      <c r="R224" s="189" t="str">
        <f ca="1">IFERROR(__xludf.DUMMYFUNCTION("""COMPUTED_VALUE"""),"")</f>
        <v/>
      </c>
      <c r="S224" s="189" t="str">
        <f ca="1">IFERROR(__xludf.DUMMYFUNCTION("""COMPUTED_VALUE"""),"")</f>
        <v/>
      </c>
      <c r="T224" s="189" t="str">
        <f ca="1">IFERROR(__xludf.DUMMYFUNCTION("""COMPUTED_VALUE"""),"")</f>
        <v/>
      </c>
      <c r="U224" s="189" t="str">
        <f ca="1">IFERROR(__xludf.DUMMYFUNCTION("""COMPUTED_VALUE"""),"")</f>
        <v/>
      </c>
      <c r="V224" s="189" t="str">
        <f ca="1">IFERROR(__xludf.DUMMYFUNCTION("""COMPUTED_VALUE"""),"")</f>
        <v/>
      </c>
      <c r="W224" s="189" t="str">
        <f ca="1">IFERROR(__xludf.DUMMYFUNCTION("""COMPUTED_VALUE"""),"")</f>
        <v/>
      </c>
      <c r="X224" s="189" t="str">
        <f ca="1">IFERROR(__xludf.DUMMYFUNCTION("""COMPUTED_VALUE"""),"")</f>
        <v/>
      </c>
      <c r="Y224" s="189" t="str">
        <f ca="1">IFERROR(__xludf.DUMMYFUNCTION("""COMPUTED_VALUE"""),"")</f>
        <v/>
      </c>
      <c r="Z224" s="189"/>
    </row>
    <row r="225" spans="1:26" ht="12.75">
      <c r="A225" s="189" t="str">
        <f ca="1">IFERROR(__xludf.DUMMYFUNCTION("""COMPUTED_VALUE"""),"")</f>
        <v/>
      </c>
      <c r="B225" s="189" t="str">
        <f ca="1">IFERROR(__xludf.DUMMYFUNCTION("""COMPUTED_VALUE"""),"")</f>
        <v/>
      </c>
      <c r="C225" s="189" t="str">
        <f ca="1">IFERROR(__xludf.DUMMYFUNCTION("""COMPUTED_VALUE"""),"")</f>
        <v/>
      </c>
      <c r="D225" s="189" t="str">
        <f ca="1">IFERROR(__xludf.DUMMYFUNCTION("""COMPUTED_VALUE"""),"")</f>
        <v/>
      </c>
      <c r="E225" s="189" t="str">
        <f ca="1">IFERROR(__xludf.DUMMYFUNCTION("""COMPUTED_VALUE"""),"")</f>
        <v/>
      </c>
      <c r="F225" s="189" t="str">
        <f ca="1">IFERROR(__xludf.DUMMYFUNCTION("""COMPUTED_VALUE"""),"")</f>
        <v/>
      </c>
      <c r="G225" s="189" t="str">
        <f ca="1">IFERROR(__xludf.DUMMYFUNCTION("""COMPUTED_VALUE"""),"")</f>
        <v/>
      </c>
      <c r="H225" s="189" t="str">
        <f ca="1">IFERROR(__xludf.DUMMYFUNCTION("""COMPUTED_VALUE"""),"")</f>
        <v/>
      </c>
      <c r="I225" s="120" t="str">
        <f ca="1">IFERROR(__xludf.DUMMYFUNCTION("""COMPUTED_VALUE"""),"")</f>
        <v/>
      </c>
      <c r="J225" s="189" t="str">
        <f ca="1">IFERROR(__xludf.DUMMYFUNCTION("""COMPUTED_VALUE"""),"")</f>
        <v/>
      </c>
      <c r="K225" s="189" t="str">
        <f ca="1">IFERROR(__xludf.DUMMYFUNCTION("""COMPUTED_VALUE"""),"")</f>
        <v/>
      </c>
      <c r="L225" s="189" t="str">
        <f ca="1">IFERROR(__xludf.DUMMYFUNCTION("""COMPUTED_VALUE"""),"")</f>
        <v/>
      </c>
      <c r="M225" s="189" t="str">
        <f ca="1">IFERROR(__xludf.DUMMYFUNCTION("""COMPUTED_VALUE"""),"")</f>
        <v/>
      </c>
      <c r="N225" s="189" t="str">
        <f ca="1">IFERROR(__xludf.DUMMYFUNCTION("""COMPUTED_VALUE"""),"")</f>
        <v/>
      </c>
      <c r="O225" s="189" t="str">
        <f ca="1">IFERROR(__xludf.DUMMYFUNCTION("""COMPUTED_VALUE"""),"")</f>
        <v/>
      </c>
      <c r="P225" s="189" t="str">
        <f ca="1">IFERROR(__xludf.DUMMYFUNCTION("""COMPUTED_VALUE"""),"")</f>
        <v/>
      </c>
      <c r="Q225" s="189" t="str">
        <f ca="1">IFERROR(__xludf.DUMMYFUNCTION("""COMPUTED_VALUE"""),"")</f>
        <v/>
      </c>
      <c r="R225" s="189" t="str">
        <f ca="1">IFERROR(__xludf.DUMMYFUNCTION("""COMPUTED_VALUE"""),"")</f>
        <v/>
      </c>
      <c r="S225" s="189" t="str">
        <f ca="1">IFERROR(__xludf.DUMMYFUNCTION("""COMPUTED_VALUE"""),"")</f>
        <v/>
      </c>
      <c r="T225" s="189" t="str">
        <f ca="1">IFERROR(__xludf.DUMMYFUNCTION("""COMPUTED_VALUE"""),"")</f>
        <v/>
      </c>
      <c r="U225" s="189" t="str">
        <f ca="1">IFERROR(__xludf.DUMMYFUNCTION("""COMPUTED_VALUE"""),"")</f>
        <v/>
      </c>
      <c r="V225" s="189" t="str">
        <f ca="1">IFERROR(__xludf.DUMMYFUNCTION("""COMPUTED_VALUE"""),"")</f>
        <v/>
      </c>
      <c r="W225" s="189" t="str">
        <f ca="1">IFERROR(__xludf.DUMMYFUNCTION("""COMPUTED_VALUE"""),"")</f>
        <v/>
      </c>
      <c r="X225" s="189" t="str">
        <f ca="1">IFERROR(__xludf.DUMMYFUNCTION("""COMPUTED_VALUE"""),"")</f>
        <v/>
      </c>
      <c r="Y225" s="189" t="str">
        <f ca="1">IFERROR(__xludf.DUMMYFUNCTION("""COMPUTED_VALUE"""),"")</f>
        <v/>
      </c>
      <c r="Z225" s="189"/>
    </row>
    <row r="226" spans="1:26" ht="12.75">
      <c r="A226" s="189" t="str">
        <f ca="1">IFERROR(__xludf.DUMMYFUNCTION("""COMPUTED_VALUE"""),"")</f>
        <v/>
      </c>
      <c r="B226" s="189" t="str">
        <f ca="1">IFERROR(__xludf.DUMMYFUNCTION("""COMPUTED_VALUE"""),"")</f>
        <v/>
      </c>
      <c r="C226" s="189" t="str">
        <f ca="1">IFERROR(__xludf.DUMMYFUNCTION("""COMPUTED_VALUE"""),"")</f>
        <v/>
      </c>
      <c r="D226" s="189" t="str">
        <f ca="1">IFERROR(__xludf.DUMMYFUNCTION("""COMPUTED_VALUE"""),"")</f>
        <v/>
      </c>
      <c r="E226" s="189" t="str">
        <f ca="1">IFERROR(__xludf.DUMMYFUNCTION("""COMPUTED_VALUE"""),"")</f>
        <v/>
      </c>
      <c r="F226" s="189" t="str">
        <f ca="1">IFERROR(__xludf.DUMMYFUNCTION("""COMPUTED_VALUE"""),"")</f>
        <v/>
      </c>
      <c r="G226" s="189" t="str">
        <f ca="1">IFERROR(__xludf.DUMMYFUNCTION("""COMPUTED_VALUE"""),"")</f>
        <v/>
      </c>
      <c r="H226" s="189" t="str">
        <f ca="1">IFERROR(__xludf.DUMMYFUNCTION("""COMPUTED_VALUE"""),"")</f>
        <v/>
      </c>
      <c r="I226" s="120" t="str">
        <f ca="1">IFERROR(__xludf.DUMMYFUNCTION("""COMPUTED_VALUE"""),"")</f>
        <v/>
      </c>
      <c r="J226" s="189" t="str">
        <f ca="1">IFERROR(__xludf.DUMMYFUNCTION("""COMPUTED_VALUE"""),"")</f>
        <v/>
      </c>
      <c r="K226" s="189" t="str">
        <f ca="1">IFERROR(__xludf.DUMMYFUNCTION("""COMPUTED_VALUE"""),"")</f>
        <v/>
      </c>
      <c r="L226" s="189" t="str">
        <f ca="1">IFERROR(__xludf.DUMMYFUNCTION("""COMPUTED_VALUE"""),"")</f>
        <v/>
      </c>
      <c r="M226" s="189" t="str">
        <f ca="1">IFERROR(__xludf.DUMMYFUNCTION("""COMPUTED_VALUE"""),"")</f>
        <v/>
      </c>
      <c r="N226" s="189" t="str">
        <f ca="1">IFERROR(__xludf.DUMMYFUNCTION("""COMPUTED_VALUE"""),"")</f>
        <v/>
      </c>
      <c r="O226" s="189" t="str">
        <f ca="1">IFERROR(__xludf.DUMMYFUNCTION("""COMPUTED_VALUE"""),"")</f>
        <v/>
      </c>
      <c r="P226" s="189" t="str">
        <f ca="1">IFERROR(__xludf.DUMMYFUNCTION("""COMPUTED_VALUE"""),"")</f>
        <v/>
      </c>
      <c r="Q226" s="189" t="str">
        <f ca="1">IFERROR(__xludf.DUMMYFUNCTION("""COMPUTED_VALUE"""),"")</f>
        <v/>
      </c>
      <c r="R226" s="189" t="str">
        <f ca="1">IFERROR(__xludf.DUMMYFUNCTION("""COMPUTED_VALUE"""),"")</f>
        <v/>
      </c>
      <c r="S226" s="189" t="str">
        <f ca="1">IFERROR(__xludf.DUMMYFUNCTION("""COMPUTED_VALUE"""),"")</f>
        <v/>
      </c>
      <c r="T226" s="189" t="str">
        <f ca="1">IFERROR(__xludf.DUMMYFUNCTION("""COMPUTED_VALUE"""),"")</f>
        <v/>
      </c>
      <c r="U226" s="189" t="str">
        <f ca="1">IFERROR(__xludf.DUMMYFUNCTION("""COMPUTED_VALUE"""),"")</f>
        <v/>
      </c>
      <c r="V226" s="189" t="str">
        <f ca="1">IFERROR(__xludf.DUMMYFUNCTION("""COMPUTED_VALUE"""),"")</f>
        <v/>
      </c>
      <c r="W226" s="189" t="str">
        <f ca="1">IFERROR(__xludf.DUMMYFUNCTION("""COMPUTED_VALUE"""),"")</f>
        <v/>
      </c>
      <c r="X226" s="189" t="str">
        <f ca="1">IFERROR(__xludf.DUMMYFUNCTION("""COMPUTED_VALUE"""),"")</f>
        <v/>
      </c>
      <c r="Y226" s="189" t="str">
        <f ca="1">IFERROR(__xludf.DUMMYFUNCTION("""COMPUTED_VALUE"""),"")</f>
        <v/>
      </c>
      <c r="Z226" s="189"/>
    </row>
    <row r="227" spans="1:26" ht="12.75">
      <c r="A227" s="189" t="str">
        <f ca="1">IFERROR(__xludf.DUMMYFUNCTION("""COMPUTED_VALUE"""),"")</f>
        <v/>
      </c>
      <c r="B227" s="189" t="str">
        <f ca="1">IFERROR(__xludf.DUMMYFUNCTION("""COMPUTED_VALUE"""),"")</f>
        <v/>
      </c>
      <c r="C227" s="189" t="str">
        <f ca="1">IFERROR(__xludf.DUMMYFUNCTION("""COMPUTED_VALUE"""),"")</f>
        <v/>
      </c>
      <c r="D227" s="189" t="str">
        <f ca="1">IFERROR(__xludf.DUMMYFUNCTION("""COMPUTED_VALUE"""),"")</f>
        <v/>
      </c>
      <c r="E227" s="189" t="str">
        <f ca="1">IFERROR(__xludf.DUMMYFUNCTION("""COMPUTED_VALUE"""),"")</f>
        <v/>
      </c>
      <c r="F227" s="189" t="str">
        <f ca="1">IFERROR(__xludf.DUMMYFUNCTION("""COMPUTED_VALUE"""),"")</f>
        <v/>
      </c>
      <c r="G227" s="189" t="str">
        <f ca="1">IFERROR(__xludf.DUMMYFUNCTION("""COMPUTED_VALUE"""),"")</f>
        <v/>
      </c>
      <c r="H227" s="189" t="str">
        <f ca="1">IFERROR(__xludf.DUMMYFUNCTION("""COMPUTED_VALUE"""),"")</f>
        <v/>
      </c>
      <c r="I227" s="120" t="str">
        <f ca="1">IFERROR(__xludf.DUMMYFUNCTION("""COMPUTED_VALUE"""),"")</f>
        <v/>
      </c>
      <c r="J227" s="189" t="str">
        <f ca="1">IFERROR(__xludf.DUMMYFUNCTION("""COMPUTED_VALUE"""),"")</f>
        <v/>
      </c>
      <c r="K227" s="189" t="str">
        <f ca="1">IFERROR(__xludf.DUMMYFUNCTION("""COMPUTED_VALUE"""),"")</f>
        <v/>
      </c>
      <c r="L227" s="189" t="str">
        <f ca="1">IFERROR(__xludf.DUMMYFUNCTION("""COMPUTED_VALUE"""),"")</f>
        <v/>
      </c>
      <c r="M227" s="189" t="str">
        <f ca="1">IFERROR(__xludf.DUMMYFUNCTION("""COMPUTED_VALUE"""),"")</f>
        <v/>
      </c>
      <c r="N227" s="189" t="str">
        <f ca="1">IFERROR(__xludf.DUMMYFUNCTION("""COMPUTED_VALUE"""),"")</f>
        <v/>
      </c>
      <c r="O227" s="189" t="str">
        <f ca="1">IFERROR(__xludf.DUMMYFUNCTION("""COMPUTED_VALUE"""),"")</f>
        <v/>
      </c>
      <c r="P227" s="189" t="str">
        <f ca="1">IFERROR(__xludf.DUMMYFUNCTION("""COMPUTED_VALUE"""),"")</f>
        <v/>
      </c>
      <c r="Q227" s="189" t="str">
        <f ca="1">IFERROR(__xludf.DUMMYFUNCTION("""COMPUTED_VALUE"""),"")</f>
        <v/>
      </c>
      <c r="R227" s="189" t="str">
        <f ca="1">IFERROR(__xludf.DUMMYFUNCTION("""COMPUTED_VALUE"""),"")</f>
        <v/>
      </c>
      <c r="S227" s="189" t="str">
        <f ca="1">IFERROR(__xludf.DUMMYFUNCTION("""COMPUTED_VALUE"""),"")</f>
        <v/>
      </c>
      <c r="T227" s="189" t="str">
        <f ca="1">IFERROR(__xludf.DUMMYFUNCTION("""COMPUTED_VALUE"""),"")</f>
        <v/>
      </c>
      <c r="U227" s="189" t="str">
        <f ca="1">IFERROR(__xludf.DUMMYFUNCTION("""COMPUTED_VALUE"""),"")</f>
        <v/>
      </c>
      <c r="V227" s="189" t="str">
        <f ca="1">IFERROR(__xludf.DUMMYFUNCTION("""COMPUTED_VALUE"""),"")</f>
        <v/>
      </c>
      <c r="W227" s="189" t="str">
        <f ca="1">IFERROR(__xludf.DUMMYFUNCTION("""COMPUTED_VALUE"""),"")</f>
        <v/>
      </c>
      <c r="X227" s="189" t="str">
        <f ca="1">IFERROR(__xludf.DUMMYFUNCTION("""COMPUTED_VALUE"""),"")</f>
        <v/>
      </c>
      <c r="Y227" s="189" t="str">
        <f ca="1">IFERROR(__xludf.DUMMYFUNCTION("""COMPUTED_VALUE"""),"")</f>
        <v/>
      </c>
      <c r="Z227" s="189"/>
    </row>
    <row r="228" spans="1:26" ht="12.75">
      <c r="A228" s="189" t="str">
        <f ca="1">IFERROR(__xludf.DUMMYFUNCTION("""COMPUTED_VALUE"""),"")</f>
        <v/>
      </c>
      <c r="B228" s="189" t="str">
        <f ca="1">IFERROR(__xludf.DUMMYFUNCTION("""COMPUTED_VALUE"""),"")</f>
        <v/>
      </c>
      <c r="C228" s="189" t="str">
        <f ca="1">IFERROR(__xludf.DUMMYFUNCTION("""COMPUTED_VALUE"""),"")</f>
        <v/>
      </c>
      <c r="D228" s="189" t="str">
        <f ca="1">IFERROR(__xludf.DUMMYFUNCTION("""COMPUTED_VALUE"""),"")</f>
        <v/>
      </c>
      <c r="E228" s="189" t="str">
        <f ca="1">IFERROR(__xludf.DUMMYFUNCTION("""COMPUTED_VALUE"""),"")</f>
        <v/>
      </c>
      <c r="F228" s="189" t="str">
        <f ca="1">IFERROR(__xludf.DUMMYFUNCTION("""COMPUTED_VALUE"""),"")</f>
        <v/>
      </c>
      <c r="G228" s="189" t="str">
        <f ca="1">IFERROR(__xludf.DUMMYFUNCTION("""COMPUTED_VALUE"""),"")</f>
        <v/>
      </c>
      <c r="H228" s="189" t="str">
        <f ca="1">IFERROR(__xludf.DUMMYFUNCTION("""COMPUTED_VALUE"""),"")</f>
        <v/>
      </c>
      <c r="I228" s="120" t="str">
        <f ca="1">IFERROR(__xludf.DUMMYFUNCTION("""COMPUTED_VALUE"""),"")</f>
        <v/>
      </c>
      <c r="J228" s="189" t="str">
        <f ca="1">IFERROR(__xludf.DUMMYFUNCTION("""COMPUTED_VALUE"""),"")</f>
        <v/>
      </c>
      <c r="K228" s="189" t="str">
        <f ca="1">IFERROR(__xludf.DUMMYFUNCTION("""COMPUTED_VALUE"""),"")</f>
        <v/>
      </c>
      <c r="L228" s="189" t="str">
        <f ca="1">IFERROR(__xludf.DUMMYFUNCTION("""COMPUTED_VALUE"""),"")</f>
        <v/>
      </c>
      <c r="M228" s="189" t="str">
        <f ca="1">IFERROR(__xludf.DUMMYFUNCTION("""COMPUTED_VALUE"""),"")</f>
        <v/>
      </c>
      <c r="N228" s="189" t="str">
        <f ca="1">IFERROR(__xludf.DUMMYFUNCTION("""COMPUTED_VALUE"""),"")</f>
        <v/>
      </c>
      <c r="O228" s="189" t="str">
        <f ca="1">IFERROR(__xludf.DUMMYFUNCTION("""COMPUTED_VALUE"""),"")</f>
        <v/>
      </c>
      <c r="P228" s="189" t="str">
        <f ca="1">IFERROR(__xludf.DUMMYFUNCTION("""COMPUTED_VALUE"""),"")</f>
        <v/>
      </c>
      <c r="Q228" s="189" t="str">
        <f ca="1">IFERROR(__xludf.DUMMYFUNCTION("""COMPUTED_VALUE"""),"")</f>
        <v/>
      </c>
      <c r="R228" s="189" t="str">
        <f ca="1">IFERROR(__xludf.DUMMYFUNCTION("""COMPUTED_VALUE"""),"")</f>
        <v/>
      </c>
      <c r="S228" s="189" t="str">
        <f ca="1">IFERROR(__xludf.DUMMYFUNCTION("""COMPUTED_VALUE"""),"")</f>
        <v/>
      </c>
      <c r="T228" s="189" t="str">
        <f ca="1">IFERROR(__xludf.DUMMYFUNCTION("""COMPUTED_VALUE"""),"")</f>
        <v/>
      </c>
      <c r="U228" s="189" t="str">
        <f ca="1">IFERROR(__xludf.DUMMYFUNCTION("""COMPUTED_VALUE"""),"")</f>
        <v/>
      </c>
      <c r="V228" s="189" t="str">
        <f ca="1">IFERROR(__xludf.DUMMYFUNCTION("""COMPUTED_VALUE"""),"")</f>
        <v/>
      </c>
      <c r="W228" s="189" t="str">
        <f ca="1">IFERROR(__xludf.DUMMYFUNCTION("""COMPUTED_VALUE"""),"")</f>
        <v/>
      </c>
      <c r="X228" s="189" t="str">
        <f ca="1">IFERROR(__xludf.DUMMYFUNCTION("""COMPUTED_VALUE"""),"")</f>
        <v/>
      </c>
      <c r="Y228" s="189" t="str">
        <f ca="1">IFERROR(__xludf.DUMMYFUNCTION("""COMPUTED_VALUE"""),"")</f>
        <v/>
      </c>
      <c r="Z228" s="189"/>
    </row>
    <row r="229" spans="1:26" ht="12.75">
      <c r="A229" s="189" t="str">
        <f ca="1">IFERROR(__xludf.DUMMYFUNCTION("""COMPUTED_VALUE"""),"")</f>
        <v/>
      </c>
      <c r="B229" s="189" t="str">
        <f ca="1">IFERROR(__xludf.DUMMYFUNCTION("""COMPUTED_VALUE"""),"")</f>
        <v/>
      </c>
      <c r="C229" s="189" t="str">
        <f ca="1">IFERROR(__xludf.DUMMYFUNCTION("""COMPUTED_VALUE"""),"")</f>
        <v/>
      </c>
      <c r="D229" s="189" t="str">
        <f ca="1">IFERROR(__xludf.DUMMYFUNCTION("""COMPUTED_VALUE"""),"")</f>
        <v/>
      </c>
      <c r="E229" s="189" t="str">
        <f ca="1">IFERROR(__xludf.DUMMYFUNCTION("""COMPUTED_VALUE"""),"")</f>
        <v/>
      </c>
      <c r="F229" s="189" t="str">
        <f ca="1">IFERROR(__xludf.DUMMYFUNCTION("""COMPUTED_VALUE"""),"")</f>
        <v/>
      </c>
      <c r="G229" s="189" t="str">
        <f ca="1">IFERROR(__xludf.DUMMYFUNCTION("""COMPUTED_VALUE"""),"")</f>
        <v/>
      </c>
      <c r="H229" s="189" t="str">
        <f ca="1">IFERROR(__xludf.DUMMYFUNCTION("""COMPUTED_VALUE"""),"")</f>
        <v/>
      </c>
      <c r="I229" s="120" t="str">
        <f ca="1">IFERROR(__xludf.DUMMYFUNCTION("""COMPUTED_VALUE"""),"")</f>
        <v/>
      </c>
      <c r="J229" s="189" t="str">
        <f ca="1">IFERROR(__xludf.DUMMYFUNCTION("""COMPUTED_VALUE"""),"")</f>
        <v/>
      </c>
      <c r="K229" s="189" t="str">
        <f ca="1">IFERROR(__xludf.DUMMYFUNCTION("""COMPUTED_VALUE"""),"")</f>
        <v/>
      </c>
      <c r="L229" s="189" t="str">
        <f ca="1">IFERROR(__xludf.DUMMYFUNCTION("""COMPUTED_VALUE"""),"")</f>
        <v/>
      </c>
      <c r="M229" s="189" t="str">
        <f ca="1">IFERROR(__xludf.DUMMYFUNCTION("""COMPUTED_VALUE"""),"")</f>
        <v/>
      </c>
      <c r="N229" s="189" t="str">
        <f ca="1">IFERROR(__xludf.DUMMYFUNCTION("""COMPUTED_VALUE"""),"")</f>
        <v/>
      </c>
      <c r="O229" s="189" t="str">
        <f ca="1">IFERROR(__xludf.DUMMYFUNCTION("""COMPUTED_VALUE"""),"")</f>
        <v/>
      </c>
      <c r="P229" s="189" t="str">
        <f ca="1">IFERROR(__xludf.DUMMYFUNCTION("""COMPUTED_VALUE"""),"")</f>
        <v/>
      </c>
      <c r="Q229" s="189" t="str">
        <f ca="1">IFERROR(__xludf.DUMMYFUNCTION("""COMPUTED_VALUE"""),"")</f>
        <v/>
      </c>
      <c r="R229" s="189" t="str">
        <f ca="1">IFERROR(__xludf.DUMMYFUNCTION("""COMPUTED_VALUE"""),"")</f>
        <v/>
      </c>
      <c r="S229" s="189" t="str">
        <f ca="1">IFERROR(__xludf.DUMMYFUNCTION("""COMPUTED_VALUE"""),"")</f>
        <v/>
      </c>
      <c r="T229" s="189" t="str">
        <f ca="1">IFERROR(__xludf.DUMMYFUNCTION("""COMPUTED_VALUE"""),"")</f>
        <v/>
      </c>
      <c r="U229" s="189" t="str">
        <f ca="1">IFERROR(__xludf.DUMMYFUNCTION("""COMPUTED_VALUE"""),"")</f>
        <v/>
      </c>
      <c r="V229" s="189" t="str">
        <f ca="1">IFERROR(__xludf.DUMMYFUNCTION("""COMPUTED_VALUE"""),"")</f>
        <v/>
      </c>
      <c r="W229" s="189" t="str">
        <f ca="1">IFERROR(__xludf.DUMMYFUNCTION("""COMPUTED_VALUE"""),"")</f>
        <v/>
      </c>
      <c r="X229" s="189" t="str">
        <f ca="1">IFERROR(__xludf.DUMMYFUNCTION("""COMPUTED_VALUE"""),"")</f>
        <v/>
      </c>
      <c r="Y229" s="189" t="str">
        <f ca="1">IFERROR(__xludf.DUMMYFUNCTION("""COMPUTED_VALUE"""),"")</f>
        <v/>
      </c>
      <c r="Z229" s="189"/>
    </row>
    <row r="230" spans="1:26" ht="12.75">
      <c r="A230" s="189" t="str">
        <f ca="1">IFERROR(__xludf.DUMMYFUNCTION("""COMPUTED_VALUE"""),"")</f>
        <v/>
      </c>
      <c r="B230" s="189" t="str">
        <f ca="1">IFERROR(__xludf.DUMMYFUNCTION("""COMPUTED_VALUE"""),"")</f>
        <v/>
      </c>
      <c r="C230" s="189" t="str">
        <f ca="1">IFERROR(__xludf.DUMMYFUNCTION("""COMPUTED_VALUE"""),"")</f>
        <v/>
      </c>
      <c r="D230" s="189" t="str">
        <f ca="1">IFERROR(__xludf.DUMMYFUNCTION("""COMPUTED_VALUE"""),"")</f>
        <v/>
      </c>
      <c r="E230" s="189" t="str">
        <f ca="1">IFERROR(__xludf.DUMMYFUNCTION("""COMPUTED_VALUE"""),"")</f>
        <v/>
      </c>
      <c r="F230" s="189" t="str">
        <f ca="1">IFERROR(__xludf.DUMMYFUNCTION("""COMPUTED_VALUE"""),"")</f>
        <v/>
      </c>
      <c r="G230" s="189" t="str">
        <f ca="1">IFERROR(__xludf.DUMMYFUNCTION("""COMPUTED_VALUE"""),"")</f>
        <v/>
      </c>
      <c r="H230" s="189" t="str">
        <f ca="1">IFERROR(__xludf.DUMMYFUNCTION("""COMPUTED_VALUE"""),"")</f>
        <v/>
      </c>
      <c r="I230" s="120" t="str">
        <f ca="1">IFERROR(__xludf.DUMMYFUNCTION("""COMPUTED_VALUE"""),"")</f>
        <v/>
      </c>
      <c r="J230" s="189" t="str">
        <f ca="1">IFERROR(__xludf.DUMMYFUNCTION("""COMPUTED_VALUE"""),"")</f>
        <v/>
      </c>
      <c r="K230" s="189" t="str">
        <f ca="1">IFERROR(__xludf.DUMMYFUNCTION("""COMPUTED_VALUE"""),"")</f>
        <v/>
      </c>
      <c r="L230" s="189" t="str">
        <f ca="1">IFERROR(__xludf.DUMMYFUNCTION("""COMPUTED_VALUE"""),"")</f>
        <v/>
      </c>
      <c r="M230" s="189" t="str">
        <f ca="1">IFERROR(__xludf.DUMMYFUNCTION("""COMPUTED_VALUE"""),"")</f>
        <v/>
      </c>
      <c r="N230" s="189" t="str">
        <f ca="1">IFERROR(__xludf.DUMMYFUNCTION("""COMPUTED_VALUE"""),"")</f>
        <v/>
      </c>
      <c r="O230" s="189" t="str">
        <f ca="1">IFERROR(__xludf.DUMMYFUNCTION("""COMPUTED_VALUE"""),"")</f>
        <v/>
      </c>
      <c r="P230" s="189" t="str">
        <f ca="1">IFERROR(__xludf.DUMMYFUNCTION("""COMPUTED_VALUE"""),"")</f>
        <v/>
      </c>
      <c r="Q230" s="189" t="str">
        <f ca="1">IFERROR(__xludf.DUMMYFUNCTION("""COMPUTED_VALUE"""),"")</f>
        <v/>
      </c>
      <c r="R230" s="189" t="str">
        <f ca="1">IFERROR(__xludf.DUMMYFUNCTION("""COMPUTED_VALUE"""),"")</f>
        <v/>
      </c>
      <c r="S230" s="189" t="str">
        <f ca="1">IFERROR(__xludf.DUMMYFUNCTION("""COMPUTED_VALUE"""),"")</f>
        <v/>
      </c>
      <c r="T230" s="189" t="str">
        <f ca="1">IFERROR(__xludf.DUMMYFUNCTION("""COMPUTED_VALUE"""),"")</f>
        <v/>
      </c>
      <c r="U230" s="189" t="str">
        <f ca="1">IFERROR(__xludf.DUMMYFUNCTION("""COMPUTED_VALUE"""),"")</f>
        <v/>
      </c>
      <c r="V230" s="189" t="str">
        <f ca="1">IFERROR(__xludf.DUMMYFUNCTION("""COMPUTED_VALUE"""),"")</f>
        <v/>
      </c>
      <c r="W230" s="189" t="str">
        <f ca="1">IFERROR(__xludf.DUMMYFUNCTION("""COMPUTED_VALUE"""),"")</f>
        <v/>
      </c>
      <c r="X230" s="189" t="str">
        <f ca="1">IFERROR(__xludf.DUMMYFUNCTION("""COMPUTED_VALUE"""),"")</f>
        <v/>
      </c>
      <c r="Y230" s="189" t="str">
        <f ca="1">IFERROR(__xludf.DUMMYFUNCTION("""COMPUTED_VALUE"""),"")</f>
        <v/>
      </c>
      <c r="Z230" s="189"/>
    </row>
    <row r="231" spans="1:26" ht="12.75">
      <c r="A231" s="189" t="str">
        <f ca="1">IFERROR(__xludf.DUMMYFUNCTION("""COMPUTED_VALUE"""),"")</f>
        <v/>
      </c>
      <c r="B231" s="189" t="str">
        <f ca="1">IFERROR(__xludf.DUMMYFUNCTION("""COMPUTED_VALUE"""),"")</f>
        <v/>
      </c>
      <c r="C231" s="189" t="str">
        <f ca="1">IFERROR(__xludf.DUMMYFUNCTION("""COMPUTED_VALUE"""),"")</f>
        <v/>
      </c>
      <c r="D231" s="189" t="str">
        <f ca="1">IFERROR(__xludf.DUMMYFUNCTION("""COMPUTED_VALUE"""),"")</f>
        <v/>
      </c>
      <c r="E231" s="189" t="str">
        <f ca="1">IFERROR(__xludf.DUMMYFUNCTION("""COMPUTED_VALUE"""),"")</f>
        <v/>
      </c>
      <c r="F231" s="189" t="str">
        <f ca="1">IFERROR(__xludf.DUMMYFUNCTION("""COMPUTED_VALUE"""),"")</f>
        <v/>
      </c>
      <c r="G231" s="189" t="str">
        <f ca="1">IFERROR(__xludf.DUMMYFUNCTION("""COMPUTED_VALUE"""),"")</f>
        <v/>
      </c>
      <c r="H231" s="189" t="str">
        <f ca="1">IFERROR(__xludf.DUMMYFUNCTION("""COMPUTED_VALUE"""),"")</f>
        <v/>
      </c>
      <c r="I231" s="120" t="str">
        <f ca="1">IFERROR(__xludf.DUMMYFUNCTION("""COMPUTED_VALUE"""),"")</f>
        <v/>
      </c>
      <c r="J231" s="189" t="str">
        <f ca="1">IFERROR(__xludf.DUMMYFUNCTION("""COMPUTED_VALUE"""),"")</f>
        <v/>
      </c>
      <c r="K231" s="189" t="str">
        <f ca="1">IFERROR(__xludf.DUMMYFUNCTION("""COMPUTED_VALUE"""),"")</f>
        <v/>
      </c>
      <c r="L231" s="189" t="str">
        <f ca="1">IFERROR(__xludf.DUMMYFUNCTION("""COMPUTED_VALUE"""),"")</f>
        <v/>
      </c>
      <c r="M231" s="189" t="str">
        <f ca="1">IFERROR(__xludf.DUMMYFUNCTION("""COMPUTED_VALUE"""),"")</f>
        <v/>
      </c>
      <c r="N231" s="189" t="str">
        <f ca="1">IFERROR(__xludf.DUMMYFUNCTION("""COMPUTED_VALUE"""),"")</f>
        <v/>
      </c>
      <c r="O231" s="189" t="str">
        <f ca="1">IFERROR(__xludf.DUMMYFUNCTION("""COMPUTED_VALUE"""),"")</f>
        <v/>
      </c>
      <c r="P231" s="189" t="str">
        <f ca="1">IFERROR(__xludf.DUMMYFUNCTION("""COMPUTED_VALUE"""),"")</f>
        <v/>
      </c>
      <c r="Q231" s="189" t="str">
        <f ca="1">IFERROR(__xludf.DUMMYFUNCTION("""COMPUTED_VALUE"""),"")</f>
        <v/>
      </c>
      <c r="R231" s="189" t="str">
        <f ca="1">IFERROR(__xludf.DUMMYFUNCTION("""COMPUTED_VALUE"""),"")</f>
        <v/>
      </c>
      <c r="S231" s="189" t="str">
        <f ca="1">IFERROR(__xludf.DUMMYFUNCTION("""COMPUTED_VALUE"""),"")</f>
        <v/>
      </c>
      <c r="T231" s="189" t="str">
        <f ca="1">IFERROR(__xludf.DUMMYFUNCTION("""COMPUTED_VALUE"""),"")</f>
        <v/>
      </c>
      <c r="U231" s="189" t="str">
        <f ca="1">IFERROR(__xludf.DUMMYFUNCTION("""COMPUTED_VALUE"""),"")</f>
        <v/>
      </c>
      <c r="V231" s="189" t="str">
        <f ca="1">IFERROR(__xludf.DUMMYFUNCTION("""COMPUTED_VALUE"""),"")</f>
        <v/>
      </c>
      <c r="W231" s="189" t="str">
        <f ca="1">IFERROR(__xludf.DUMMYFUNCTION("""COMPUTED_VALUE"""),"")</f>
        <v/>
      </c>
      <c r="X231" s="189" t="str">
        <f ca="1">IFERROR(__xludf.DUMMYFUNCTION("""COMPUTED_VALUE"""),"")</f>
        <v/>
      </c>
      <c r="Y231" s="189" t="str">
        <f ca="1">IFERROR(__xludf.DUMMYFUNCTION("""COMPUTED_VALUE"""),"")</f>
        <v/>
      </c>
      <c r="Z231" s="189"/>
    </row>
    <row r="232" spans="1:26" ht="12.75">
      <c r="A232" s="189" t="str">
        <f ca="1">IFERROR(__xludf.DUMMYFUNCTION("""COMPUTED_VALUE"""),"")</f>
        <v/>
      </c>
      <c r="B232" s="189" t="str">
        <f ca="1">IFERROR(__xludf.DUMMYFUNCTION("""COMPUTED_VALUE"""),"")</f>
        <v/>
      </c>
      <c r="C232" s="189" t="str">
        <f ca="1">IFERROR(__xludf.DUMMYFUNCTION("""COMPUTED_VALUE"""),"")</f>
        <v/>
      </c>
      <c r="D232" s="189" t="str">
        <f ca="1">IFERROR(__xludf.DUMMYFUNCTION("""COMPUTED_VALUE"""),"")</f>
        <v/>
      </c>
      <c r="E232" s="189" t="str">
        <f ca="1">IFERROR(__xludf.DUMMYFUNCTION("""COMPUTED_VALUE"""),"")</f>
        <v/>
      </c>
      <c r="F232" s="189" t="str">
        <f ca="1">IFERROR(__xludf.DUMMYFUNCTION("""COMPUTED_VALUE"""),"")</f>
        <v/>
      </c>
      <c r="G232" s="189" t="str">
        <f ca="1">IFERROR(__xludf.DUMMYFUNCTION("""COMPUTED_VALUE"""),"")</f>
        <v/>
      </c>
      <c r="H232" s="189" t="str">
        <f ca="1">IFERROR(__xludf.DUMMYFUNCTION("""COMPUTED_VALUE"""),"")</f>
        <v/>
      </c>
      <c r="I232" s="120" t="str">
        <f ca="1">IFERROR(__xludf.DUMMYFUNCTION("""COMPUTED_VALUE"""),"")</f>
        <v/>
      </c>
      <c r="J232" s="189" t="str">
        <f ca="1">IFERROR(__xludf.DUMMYFUNCTION("""COMPUTED_VALUE"""),"")</f>
        <v/>
      </c>
      <c r="K232" s="189" t="str">
        <f ca="1">IFERROR(__xludf.DUMMYFUNCTION("""COMPUTED_VALUE"""),"")</f>
        <v/>
      </c>
      <c r="L232" s="189" t="str">
        <f ca="1">IFERROR(__xludf.DUMMYFUNCTION("""COMPUTED_VALUE"""),"")</f>
        <v/>
      </c>
      <c r="M232" s="189" t="str">
        <f ca="1">IFERROR(__xludf.DUMMYFUNCTION("""COMPUTED_VALUE"""),"")</f>
        <v/>
      </c>
      <c r="N232" s="189" t="str">
        <f ca="1">IFERROR(__xludf.DUMMYFUNCTION("""COMPUTED_VALUE"""),"")</f>
        <v/>
      </c>
      <c r="O232" s="189" t="str">
        <f ca="1">IFERROR(__xludf.DUMMYFUNCTION("""COMPUTED_VALUE"""),"")</f>
        <v/>
      </c>
      <c r="P232" s="189" t="str">
        <f ca="1">IFERROR(__xludf.DUMMYFUNCTION("""COMPUTED_VALUE"""),"")</f>
        <v/>
      </c>
      <c r="Q232" s="189" t="str">
        <f ca="1">IFERROR(__xludf.DUMMYFUNCTION("""COMPUTED_VALUE"""),"")</f>
        <v/>
      </c>
      <c r="R232" s="189" t="str">
        <f ca="1">IFERROR(__xludf.DUMMYFUNCTION("""COMPUTED_VALUE"""),"")</f>
        <v/>
      </c>
      <c r="S232" s="189" t="str">
        <f ca="1">IFERROR(__xludf.DUMMYFUNCTION("""COMPUTED_VALUE"""),"")</f>
        <v/>
      </c>
      <c r="T232" s="189" t="str">
        <f ca="1">IFERROR(__xludf.DUMMYFUNCTION("""COMPUTED_VALUE"""),"")</f>
        <v/>
      </c>
      <c r="U232" s="189" t="str">
        <f ca="1">IFERROR(__xludf.DUMMYFUNCTION("""COMPUTED_VALUE"""),"")</f>
        <v/>
      </c>
      <c r="V232" s="189" t="str">
        <f ca="1">IFERROR(__xludf.DUMMYFUNCTION("""COMPUTED_VALUE"""),"")</f>
        <v/>
      </c>
      <c r="W232" s="189" t="str">
        <f ca="1">IFERROR(__xludf.DUMMYFUNCTION("""COMPUTED_VALUE"""),"")</f>
        <v/>
      </c>
      <c r="X232" s="189" t="str">
        <f ca="1">IFERROR(__xludf.DUMMYFUNCTION("""COMPUTED_VALUE"""),"")</f>
        <v/>
      </c>
      <c r="Y232" s="189" t="str">
        <f ca="1">IFERROR(__xludf.DUMMYFUNCTION("""COMPUTED_VALUE"""),"")</f>
        <v/>
      </c>
      <c r="Z232" s="189"/>
    </row>
    <row r="233" spans="1:26" ht="12.75">
      <c r="A233" s="189" t="str">
        <f ca="1">IFERROR(__xludf.DUMMYFUNCTION("""COMPUTED_VALUE"""),"")</f>
        <v/>
      </c>
      <c r="B233" s="189" t="str">
        <f ca="1">IFERROR(__xludf.DUMMYFUNCTION("""COMPUTED_VALUE"""),"")</f>
        <v/>
      </c>
      <c r="C233" s="189" t="str">
        <f ca="1">IFERROR(__xludf.DUMMYFUNCTION("""COMPUTED_VALUE"""),"")</f>
        <v/>
      </c>
      <c r="D233" s="189" t="str">
        <f ca="1">IFERROR(__xludf.DUMMYFUNCTION("""COMPUTED_VALUE"""),"")</f>
        <v/>
      </c>
      <c r="E233" s="189" t="str">
        <f ca="1">IFERROR(__xludf.DUMMYFUNCTION("""COMPUTED_VALUE"""),"")</f>
        <v/>
      </c>
      <c r="F233" s="189" t="str">
        <f ca="1">IFERROR(__xludf.DUMMYFUNCTION("""COMPUTED_VALUE"""),"")</f>
        <v/>
      </c>
      <c r="G233" s="189" t="str">
        <f ca="1">IFERROR(__xludf.DUMMYFUNCTION("""COMPUTED_VALUE"""),"")</f>
        <v/>
      </c>
      <c r="H233" s="189" t="str">
        <f ca="1">IFERROR(__xludf.DUMMYFUNCTION("""COMPUTED_VALUE"""),"")</f>
        <v/>
      </c>
      <c r="I233" s="120" t="str">
        <f ca="1">IFERROR(__xludf.DUMMYFUNCTION("""COMPUTED_VALUE"""),"")</f>
        <v/>
      </c>
      <c r="J233" s="189" t="str">
        <f ca="1">IFERROR(__xludf.DUMMYFUNCTION("""COMPUTED_VALUE"""),"")</f>
        <v/>
      </c>
      <c r="K233" s="189" t="str">
        <f ca="1">IFERROR(__xludf.DUMMYFUNCTION("""COMPUTED_VALUE"""),"")</f>
        <v/>
      </c>
      <c r="L233" s="189" t="str">
        <f ca="1">IFERROR(__xludf.DUMMYFUNCTION("""COMPUTED_VALUE"""),"")</f>
        <v/>
      </c>
      <c r="M233" s="189" t="str">
        <f ca="1">IFERROR(__xludf.DUMMYFUNCTION("""COMPUTED_VALUE"""),"")</f>
        <v/>
      </c>
      <c r="N233" s="189" t="str">
        <f ca="1">IFERROR(__xludf.DUMMYFUNCTION("""COMPUTED_VALUE"""),"")</f>
        <v/>
      </c>
      <c r="O233" s="189" t="str">
        <f ca="1">IFERROR(__xludf.DUMMYFUNCTION("""COMPUTED_VALUE"""),"")</f>
        <v/>
      </c>
      <c r="P233" s="189" t="str">
        <f ca="1">IFERROR(__xludf.DUMMYFUNCTION("""COMPUTED_VALUE"""),"")</f>
        <v/>
      </c>
      <c r="Q233" s="189" t="str">
        <f ca="1">IFERROR(__xludf.DUMMYFUNCTION("""COMPUTED_VALUE"""),"")</f>
        <v/>
      </c>
      <c r="R233" s="189" t="str">
        <f ca="1">IFERROR(__xludf.DUMMYFUNCTION("""COMPUTED_VALUE"""),"")</f>
        <v/>
      </c>
      <c r="S233" s="189" t="str">
        <f ca="1">IFERROR(__xludf.DUMMYFUNCTION("""COMPUTED_VALUE"""),"")</f>
        <v/>
      </c>
      <c r="T233" s="189" t="str">
        <f ca="1">IFERROR(__xludf.DUMMYFUNCTION("""COMPUTED_VALUE"""),"")</f>
        <v/>
      </c>
      <c r="U233" s="189" t="str">
        <f ca="1">IFERROR(__xludf.DUMMYFUNCTION("""COMPUTED_VALUE"""),"")</f>
        <v/>
      </c>
      <c r="V233" s="189" t="str">
        <f ca="1">IFERROR(__xludf.DUMMYFUNCTION("""COMPUTED_VALUE"""),"")</f>
        <v/>
      </c>
      <c r="W233" s="189" t="str">
        <f ca="1">IFERROR(__xludf.DUMMYFUNCTION("""COMPUTED_VALUE"""),"")</f>
        <v/>
      </c>
      <c r="X233" s="189" t="str">
        <f ca="1">IFERROR(__xludf.DUMMYFUNCTION("""COMPUTED_VALUE"""),"")</f>
        <v/>
      </c>
      <c r="Y233" s="189" t="str">
        <f ca="1">IFERROR(__xludf.DUMMYFUNCTION("""COMPUTED_VALUE"""),"")</f>
        <v/>
      </c>
      <c r="Z233" s="189"/>
    </row>
    <row r="234" spans="1:26" ht="12.75">
      <c r="A234" s="189" t="str">
        <f ca="1">IFERROR(__xludf.DUMMYFUNCTION("""COMPUTED_VALUE"""),"")</f>
        <v/>
      </c>
      <c r="B234" s="189" t="str">
        <f ca="1">IFERROR(__xludf.DUMMYFUNCTION("""COMPUTED_VALUE"""),"")</f>
        <v/>
      </c>
      <c r="C234" s="189" t="str">
        <f ca="1">IFERROR(__xludf.DUMMYFUNCTION("""COMPUTED_VALUE"""),"")</f>
        <v/>
      </c>
      <c r="D234" s="189" t="str">
        <f ca="1">IFERROR(__xludf.DUMMYFUNCTION("""COMPUTED_VALUE"""),"")</f>
        <v/>
      </c>
      <c r="E234" s="189" t="str">
        <f ca="1">IFERROR(__xludf.DUMMYFUNCTION("""COMPUTED_VALUE"""),"")</f>
        <v/>
      </c>
      <c r="F234" s="189" t="str">
        <f ca="1">IFERROR(__xludf.DUMMYFUNCTION("""COMPUTED_VALUE"""),"")</f>
        <v/>
      </c>
      <c r="G234" s="189" t="str">
        <f ca="1">IFERROR(__xludf.DUMMYFUNCTION("""COMPUTED_VALUE"""),"")</f>
        <v/>
      </c>
      <c r="H234" s="189" t="str">
        <f ca="1">IFERROR(__xludf.DUMMYFUNCTION("""COMPUTED_VALUE"""),"")</f>
        <v/>
      </c>
      <c r="I234" s="120" t="str">
        <f ca="1">IFERROR(__xludf.DUMMYFUNCTION("""COMPUTED_VALUE"""),"")</f>
        <v/>
      </c>
      <c r="J234" s="189" t="str">
        <f ca="1">IFERROR(__xludf.DUMMYFUNCTION("""COMPUTED_VALUE"""),"")</f>
        <v/>
      </c>
      <c r="K234" s="189" t="str">
        <f ca="1">IFERROR(__xludf.DUMMYFUNCTION("""COMPUTED_VALUE"""),"")</f>
        <v/>
      </c>
      <c r="L234" s="189" t="str">
        <f ca="1">IFERROR(__xludf.DUMMYFUNCTION("""COMPUTED_VALUE"""),"")</f>
        <v/>
      </c>
      <c r="M234" s="189" t="str">
        <f ca="1">IFERROR(__xludf.DUMMYFUNCTION("""COMPUTED_VALUE"""),"")</f>
        <v/>
      </c>
      <c r="N234" s="189" t="str">
        <f ca="1">IFERROR(__xludf.DUMMYFUNCTION("""COMPUTED_VALUE"""),"")</f>
        <v/>
      </c>
      <c r="O234" s="189" t="str">
        <f ca="1">IFERROR(__xludf.DUMMYFUNCTION("""COMPUTED_VALUE"""),"")</f>
        <v/>
      </c>
      <c r="P234" s="189" t="str">
        <f ca="1">IFERROR(__xludf.DUMMYFUNCTION("""COMPUTED_VALUE"""),"")</f>
        <v/>
      </c>
      <c r="Q234" s="189" t="str">
        <f ca="1">IFERROR(__xludf.DUMMYFUNCTION("""COMPUTED_VALUE"""),"")</f>
        <v/>
      </c>
      <c r="R234" s="189" t="str">
        <f ca="1">IFERROR(__xludf.DUMMYFUNCTION("""COMPUTED_VALUE"""),"")</f>
        <v/>
      </c>
      <c r="S234" s="189" t="str">
        <f ca="1">IFERROR(__xludf.DUMMYFUNCTION("""COMPUTED_VALUE"""),"")</f>
        <v/>
      </c>
      <c r="T234" s="189" t="str">
        <f ca="1">IFERROR(__xludf.DUMMYFUNCTION("""COMPUTED_VALUE"""),"")</f>
        <v/>
      </c>
      <c r="U234" s="189" t="str">
        <f ca="1">IFERROR(__xludf.DUMMYFUNCTION("""COMPUTED_VALUE"""),"")</f>
        <v/>
      </c>
      <c r="V234" s="189" t="str">
        <f ca="1">IFERROR(__xludf.DUMMYFUNCTION("""COMPUTED_VALUE"""),"")</f>
        <v/>
      </c>
      <c r="W234" s="189" t="str">
        <f ca="1">IFERROR(__xludf.DUMMYFUNCTION("""COMPUTED_VALUE"""),"")</f>
        <v/>
      </c>
      <c r="X234" s="189" t="str">
        <f ca="1">IFERROR(__xludf.DUMMYFUNCTION("""COMPUTED_VALUE"""),"")</f>
        <v/>
      </c>
      <c r="Y234" s="189" t="str">
        <f ca="1">IFERROR(__xludf.DUMMYFUNCTION("""COMPUTED_VALUE"""),"")</f>
        <v/>
      </c>
      <c r="Z234" s="189"/>
    </row>
    <row r="235" spans="1:26" ht="12.75">
      <c r="A235" s="189" t="str">
        <f ca="1">IFERROR(__xludf.DUMMYFUNCTION("""COMPUTED_VALUE"""),"")</f>
        <v/>
      </c>
      <c r="B235" s="189" t="str">
        <f ca="1">IFERROR(__xludf.DUMMYFUNCTION("""COMPUTED_VALUE"""),"")</f>
        <v/>
      </c>
      <c r="C235" s="189" t="str">
        <f ca="1">IFERROR(__xludf.DUMMYFUNCTION("""COMPUTED_VALUE"""),"")</f>
        <v/>
      </c>
      <c r="D235" s="189" t="str">
        <f ca="1">IFERROR(__xludf.DUMMYFUNCTION("""COMPUTED_VALUE"""),"")</f>
        <v/>
      </c>
      <c r="E235" s="189" t="str">
        <f ca="1">IFERROR(__xludf.DUMMYFUNCTION("""COMPUTED_VALUE"""),"")</f>
        <v/>
      </c>
      <c r="F235" s="189" t="str">
        <f ca="1">IFERROR(__xludf.DUMMYFUNCTION("""COMPUTED_VALUE"""),"")</f>
        <v/>
      </c>
      <c r="G235" s="189" t="str">
        <f ca="1">IFERROR(__xludf.DUMMYFUNCTION("""COMPUTED_VALUE"""),"")</f>
        <v/>
      </c>
      <c r="H235" s="189" t="str">
        <f ca="1">IFERROR(__xludf.DUMMYFUNCTION("""COMPUTED_VALUE"""),"")</f>
        <v/>
      </c>
      <c r="I235" s="120" t="str">
        <f ca="1">IFERROR(__xludf.DUMMYFUNCTION("""COMPUTED_VALUE"""),"")</f>
        <v/>
      </c>
      <c r="J235" s="189" t="str">
        <f ca="1">IFERROR(__xludf.DUMMYFUNCTION("""COMPUTED_VALUE"""),"")</f>
        <v/>
      </c>
      <c r="K235" s="189" t="str">
        <f ca="1">IFERROR(__xludf.DUMMYFUNCTION("""COMPUTED_VALUE"""),"")</f>
        <v/>
      </c>
      <c r="L235" s="189" t="str">
        <f ca="1">IFERROR(__xludf.DUMMYFUNCTION("""COMPUTED_VALUE"""),"")</f>
        <v/>
      </c>
      <c r="M235" s="189" t="str">
        <f ca="1">IFERROR(__xludf.DUMMYFUNCTION("""COMPUTED_VALUE"""),"")</f>
        <v/>
      </c>
      <c r="N235" s="189" t="str">
        <f ca="1">IFERROR(__xludf.DUMMYFUNCTION("""COMPUTED_VALUE"""),"")</f>
        <v/>
      </c>
      <c r="O235" s="189" t="str">
        <f ca="1">IFERROR(__xludf.DUMMYFUNCTION("""COMPUTED_VALUE"""),"")</f>
        <v/>
      </c>
      <c r="P235" s="189" t="str">
        <f ca="1">IFERROR(__xludf.DUMMYFUNCTION("""COMPUTED_VALUE"""),"")</f>
        <v/>
      </c>
      <c r="Q235" s="189" t="str">
        <f ca="1">IFERROR(__xludf.DUMMYFUNCTION("""COMPUTED_VALUE"""),"")</f>
        <v/>
      </c>
      <c r="R235" s="189" t="str">
        <f ca="1">IFERROR(__xludf.DUMMYFUNCTION("""COMPUTED_VALUE"""),"")</f>
        <v/>
      </c>
      <c r="S235" s="189" t="str">
        <f ca="1">IFERROR(__xludf.DUMMYFUNCTION("""COMPUTED_VALUE"""),"")</f>
        <v/>
      </c>
      <c r="T235" s="189" t="str">
        <f ca="1">IFERROR(__xludf.DUMMYFUNCTION("""COMPUTED_VALUE"""),"")</f>
        <v/>
      </c>
      <c r="U235" s="189" t="str">
        <f ca="1">IFERROR(__xludf.DUMMYFUNCTION("""COMPUTED_VALUE"""),"")</f>
        <v/>
      </c>
      <c r="V235" s="189" t="str">
        <f ca="1">IFERROR(__xludf.DUMMYFUNCTION("""COMPUTED_VALUE"""),"")</f>
        <v/>
      </c>
      <c r="W235" s="189" t="str">
        <f ca="1">IFERROR(__xludf.DUMMYFUNCTION("""COMPUTED_VALUE"""),"")</f>
        <v/>
      </c>
      <c r="X235" s="189" t="str">
        <f ca="1">IFERROR(__xludf.DUMMYFUNCTION("""COMPUTED_VALUE"""),"")</f>
        <v/>
      </c>
      <c r="Y235" s="189" t="str">
        <f ca="1">IFERROR(__xludf.DUMMYFUNCTION("""COMPUTED_VALUE"""),"")</f>
        <v/>
      </c>
      <c r="Z235" s="189"/>
    </row>
    <row r="236" spans="1:26" ht="12.75">
      <c r="A236" s="189" t="str">
        <f ca="1">IFERROR(__xludf.DUMMYFUNCTION("""COMPUTED_VALUE"""),"")</f>
        <v/>
      </c>
      <c r="B236" s="189" t="str">
        <f ca="1">IFERROR(__xludf.DUMMYFUNCTION("""COMPUTED_VALUE"""),"")</f>
        <v/>
      </c>
      <c r="C236" s="189" t="str">
        <f ca="1">IFERROR(__xludf.DUMMYFUNCTION("""COMPUTED_VALUE"""),"")</f>
        <v/>
      </c>
      <c r="D236" s="189" t="str">
        <f ca="1">IFERROR(__xludf.DUMMYFUNCTION("""COMPUTED_VALUE"""),"")</f>
        <v/>
      </c>
      <c r="E236" s="189" t="str">
        <f ca="1">IFERROR(__xludf.DUMMYFUNCTION("""COMPUTED_VALUE"""),"")</f>
        <v/>
      </c>
      <c r="F236" s="189" t="str">
        <f ca="1">IFERROR(__xludf.DUMMYFUNCTION("""COMPUTED_VALUE"""),"")</f>
        <v/>
      </c>
      <c r="G236" s="189" t="str">
        <f ca="1">IFERROR(__xludf.DUMMYFUNCTION("""COMPUTED_VALUE"""),"")</f>
        <v/>
      </c>
      <c r="H236" s="189" t="str">
        <f ca="1">IFERROR(__xludf.DUMMYFUNCTION("""COMPUTED_VALUE"""),"")</f>
        <v/>
      </c>
      <c r="I236" s="120" t="str">
        <f ca="1">IFERROR(__xludf.DUMMYFUNCTION("""COMPUTED_VALUE"""),"")</f>
        <v/>
      </c>
      <c r="J236" s="189" t="str">
        <f ca="1">IFERROR(__xludf.DUMMYFUNCTION("""COMPUTED_VALUE"""),"")</f>
        <v/>
      </c>
      <c r="K236" s="189" t="str">
        <f ca="1">IFERROR(__xludf.DUMMYFUNCTION("""COMPUTED_VALUE"""),"")</f>
        <v/>
      </c>
      <c r="L236" s="189" t="str">
        <f ca="1">IFERROR(__xludf.DUMMYFUNCTION("""COMPUTED_VALUE"""),"")</f>
        <v/>
      </c>
      <c r="M236" s="189" t="str">
        <f ca="1">IFERROR(__xludf.DUMMYFUNCTION("""COMPUTED_VALUE"""),"")</f>
        <v/>
      </c>
      <c r="N236" s="189" t="str">
        <f ca="1">IFERROR(__xludf.DUMMYFUNCTION("""COMPUTED_VALUE"""),"")</f>
        <v/>
      </c>
      <c r="O236" s="189" t="str">
        <f ca="1">IFERROR(__xludf.DUMMYFUNCTION("""COMPUTED_VALUE"""),"")</f>
        <v/>
      </c>
      <c r="P236" s="189" t="str">
        <f ca="1">IFERROR(__xludf.DUMMYFUNCTION("""COMPUTED_VALUE"""),"")</f>
        <v/>
      </c>
      <c r="Q236" s="189" t="str">
        <f ca="1">IFERROR(__xludf.DUMMYFUNCTION("""COMPUTED_VALUE"""),"")</f>
        <v/>
      </c>
      <c r="R236" s="189" t="str">
        <f ca="1">IFERROR(__xludf.DUMMYFUNCTION("""COMPUTED_VALUE"""),"")</f>
        <v/>
      </c>
      <c r="S236" s="189" t="str">
        <f ca="1">IFERROR(__xludf.DUMMYFUNCTION("""COMPUTED_VALUE"""),"")</f>
        <v/>
      </c>
      <c r="T236" s="189" t="str">
        <f ca="1">IFERROR(__xludf.DUMMYFUNCTION("""COMPUTED_VALUE"""),"")</f>
        <v/>
      </c>
      <c r="U236" s="189" t="str">
        <f ca="1">IFERROR(__xludf.DUMMYFUNCTION("""COMPUTED_VALUE"""),"")</f>
        <v/>
      </c>
      <c r="V236" s="189" t="str">
        <f ca="1">IFERROR(__xludf.DUMMYFUNCTION("""COMPUTED_VALUE"""),"")</f>
        <v/>
      </c>
      <c r="W236" s="189" t="str">
        <f ca="1">IFERROR(__xludf.DUMMYFUNCTION("""COMPUTED_VALUE"""),"")</f>
        <v/>
      </c>
      <c r="X236" s="189" t="str">
        <f ca="1">IFERROR(__xludf.DUMMYFUNCTION("""COMPUTED_VALUE"""),"")</f>
        <v/>
      </c>
      <c r="Y236" s="189" t="str">
        <f ca="1">IFERROR(__xludf.DUMMYFUNCTION("""COMPUTED_VALUE"""),"")</f>
        <v/>
      </c>
      <c r="Z236" s="189"/>
    </row>
    <row r="237" spans="1:26" ht="12.75">
      <c r="A237" s="189" t="str">
        <f ca="1">IFERROR(__xludf.DUMMYFUNCTION("""COMPUTED_VALUE"""),"")</f>
        <v/>
      </c>
      <c r="B237" s="189" t="str">
        <f ca="1">IFERROR(__xludf.DUMMYFUNCTION("""COMPUTED_VALUE"""),"")</f>
        <v/>
      </c>
      <c r="C237" s="189" t="str">
        <f ca="1">IFERROR(__xludf.DUMMYFUNCTION("""COMPUTED_VALUE"""),"")</f>
        <v/>
      </c>
      <c r="D237" s="189" t="str">
        <f ca="1">IFERROR(__xludf.DUMMYFUNCTION("""COMPUTED_VALUE"""),"")</f>
        <v/>
      </c>
      <c r="E237" s="189" t="str">
        <f ca="1">IFERROR(__xludf.DUMMYFUNCTION("""COMPUTED_VALUE"""),"")</f>
        <v/>
      </c>
      <c r="F237" s="189" t="str">
        <f ca="1">IFERROR(__xludf.DUMMYFUNCTION("""COMPUTED_VALUE"""),"")</f>
        <v/>
      </c>
      <c r="G237" s="189" t="str">
        <f ca="1">IFERROR(__xludf.DUMMYFUNCTION("""COMPUTED_VALUE"""),"")</f>
        <v/>
      </c>
      <c r="H237" s="189" t="str">
        <f ca="1">IFERROR(__xludf.DUMMYFUNCTION("""COMPUTED_VALUE"""),"")</f>
        <v/>
      </c>
      <c r="I237" s="120" t="str">
        <f ca="1">IFERROR(__xludf.DUMMYFUNCTION("""COMPUTED_VALUE"""),"")</f>
        <v/>
      </c>
      <c r="J237" s="189" t="str">
        <f ca="1">IFERROR(__xludf.DUMMYFUNCTION("""COMPUTED_VALUE"""),"")</f>
        <v/>
      </c>
      <c r="K237" s="189" t="str">
        <f ca="1">IFERROR(__xludf.DUMMYFUNCTION("""COMPUTED_VALUE"""),"")</f>
        <v/>
      </c>
      <c r="L237" s="189" t="str">
        <f ca="1">IFERROR(__xludf.DUMMYFUNCTION("""COMPUTED_VALUE"""),"")</f>
        <v/>
      </c>
      <c r="M237" s="189" t="str">
        <f ca="1">IFERROR(__xludf.DUMMYFUNCTION("""COMPUTED_VALUE"""),"")</f>
        <v/>
      </c>
      <c r="N237" s="189" t="str">
        <f ca="1">IFERROR(__xludf.DUMMYFUNCTION("""COMPUTED_VALUE"""),"")</f>
        <v/>
      </c>
      <c r="O237" s="189" t="str">
        <f ca="1">IFERROR(__xludf.DUMMYFUNCTION("""COMPUTED_VALUE"""),"")</f>
        <v/>
      </c>
      <c r="P237" s="189" t="str">
        <f ca="1">IFERROR(__xludf.DUMMYFUNCTION("""COMPUTED_VALUE"""),"")</f>
        <v/>
      </c>
      <c r="Q237" s="189" t="str">
        <f ca="1">IFERROR(__xludf.DUMMYFUNCTION("""COMPUTED_VALUE"""),"")</f>
        <v/>
      </c>
      <c r="R237" s="189" t="str">
        <f ca="1">IFERROR(__xludf.DUMMYFUNCTION("""COMPUTED_VALUE"""),"")</f>
        <v/>
      </c>
      <c r="S237" s="189" t="str">
        <f ca="1">IFERROR(__xludf.DUMMYFUNCTION("""COMPUTED_VALUE"""),"")</f>
        <v/>
      </c>
      <c r="T237" s="189" t="str">
        <f ca="1">IFERROR(__xludf.DUMMYFUNCTION("""COMPUTED_VALUE"""),"")</f>
        <v/>
      </c>
      <c r="U237" s="189" t="str">
        <f ca="1">IFERROR(__xludf.DUMMYFUNCTION("""COMPUTED_VALUE"""),"")</f>
        <v/>
      </c>
      <c r="V237" s="189" t="str">
        <f ca="1">IFERROR(__xludf.DUMMYFUNCTION("""COMPUTED_VALUE"""),"")</f>
        <v/>
      </c>
      <c r="W237" s="189" t="str">
        <f ca="1">IFERROR(__xludf.DUMMYFUNCTION("""COMPUTED_VALUE"""),"")</f>
        <v/>
      </c>
      <c r="X237" s="189" t="str">
        <f ca="1">IFERROR(__xludf.DUMMYFUNCTION("""COMPUTED_VALUE"""),"")</f>
        <v/>
      </c>
      <c r="Y237" s="189" t="str">
        <f ca="1">IFERROR(__xludf.DUMMYFUNCTION("""COMPUTED_VALUE"""),"")</f>
        <v/>
      </c>
      <c r="Z237" s="189"/>
    </row>
    <row r="238" spans="1:26" ht="12.75">
      <c r="A238" s="189" t="str">
        <f ca="1">IFERROR(__xludf.DUMMYFUNCTION("""COMPUTED_VALUE"""),"")</f>
        <v/>
      </c>
      <c r="B238" s="189" t="str">
        <f ca="1">IFERROR(__xludf.DUMMYFUNCTION("""COMPUTED_VALUE"""),"")</f>
        <v/>
      </c>
      <c r="C238" s="189" t="str">
        <f ca="1">IFERROR(__xludf.DUMMYFUNCTION("""COMPUTED_VALUE"""),"")</f>
        <v/>
      </c>
      <c r="D238" s="189" t="str">
        <f ca="1">IFERROR(__xludf.DUMMYFUNCTION("""COMPUTED_VALUE"""),"")</f>
        <v/>
      </c>
      <c r="E238" s="189" t="str">
        <f ca="1">IFERROR(__xludf.DUMMYFUNCTION("""COMPUTED_VALUE"""),"")</f>
        <v/>
      </c>
      <c r="F238" s="189" t="str">
        <f ca="1">IFERROR(__xludf.DUMMYFUNCTION("""COMPUTED_VALUE"""),"")</f>
        <v/>
      </c>
      <c r="G238" s="189" t="str">
        <f ca="1">IFERROR(__xludf.DUMMYFUNCTION("""COMPUTED_VALUE"""),"")</f>
        <v/>
      </c>
      <c r="H238" s="189" t="str">
        <f ca="1">IFERROR(__xludf.DUMMYFUNCTION("""COMPUTED_VALUE"""),"")</f>
        <v/>
      </c>
      <c r="I238" s="120" t="str">
        <f ca="1">IFERROR(__xludf.DUMMYFUNCTION("""COMPUTED_VALUE"""),"")</f>
        <v/>
      </c>
      <c r="J238" s="189" t="str">
        <f ca="1">IFERROR(__xludf.DUMMYFUNCTION("""COMPUTED_VALUE"""),"")</f>
        <v/>
      </c>
      <c r="K238" s="189" t="str">
        <f ca="1">IFERROR(__xludf.DUMMYFUNCTION("""COMPUTED_VALUE"""),"")</f>
        <v/>
      </c>
      <c r="L238" s="189" t="str">
        <f ca="1">IFERROR(__xludf.DUMMYFUNCTION("""COMPUTED_VALUE"""),"")</f>
        <v/>
      </c>
      <c r="M238" s="189" t="str">
        <f ca="1">IFERROR(__xludf.DUMMYFUNCTION("""COMPUTED_VALUE"""),"")</f>
        <v/>
      </c>
      <c r="N238" s="189" t="str">
        <f ca="1">IFERROR(__xludf.DUMMYFUNCTION("""COMPUTED_VALUE"""),"")</f>
        <v/>
      </c>
      <c r="O238" s="189" t="str">
        <f ca="1">IFERROR(__xludf.DUMMYFUNCTION("""COMPUTED_VALUE"""),"")</f>
        <v/>
      </c>
      <c r="P238" s="189" t="str">
        <f ca="1">IFERROR(__xludf.DUMMYFUNCTION("""COMPUTED_VALUE"""),"")</f>
        <v/>
      </c>
      <c r="Q238" s="189" t="str">
        <f ca="1">IFERROR(__xludf.DUMMYFUNCTION("""COMPUTED_VALUE"""),"")</f>
        <v/>
      </c>
      <c r="R238" s="189" t="str">
        <f ca="1">IFERROR(__xludf.DUMMYFUNCTION("""COMPUTED_VALUE"""),"")</f>
        <v/>
      </c>
      <c r="S238" s="189" t="str">
        <f ca="1">IFERROR(__xludf.DUMMYFUNCTION("""COMPUTED_VALUE"""),"")</f>
        <v/>
      </c>
      <c r="T238" s="189" t="str">
        <f ca="1">IFERROR(__xludf.DUMMYFUNCTION("""COMPUTED_VALUE"""),"")</f>
        <v/>
      </c>
      <c r="U238" s="189" t="str">
        <f ca="1">IFERROR(__xludf.DUMMYFUNCTION("""COMPUTED_VALUE"""),"")</f>
        <v/>
      </c>
      <c r="V238" s="189" t="str">
        <f ca="1">IFERROR(__xludf.DUMMYFUNCTION("""COMPUTED_VALUE"""),"")</f>
        <v/>
      </c>
      <c r="W238" s="189" t="str">
        <f ca="1">IFERROR(__xludf.DUMMYFUNCTION("""COMPUTED_VALUE"""),"")</f>
        <v/>
      </c>
      <c r="X238" s="189" t="str">
        <f ca="1">IFERROR(__xludf.DUMMYFUNCTION("""COMPUTED_VALUE"""),"")</f>
        <v/>
      </c>
      <c r="Y238" s="189" t="str">
        <f ca="1">IFERROR(__xludf.DUMMYFUNCTION("""COMPUTED_VALUE"""),"")</f>
        <v/>
      </c>
      <c r="Z238" s="189"/>
    </row>
    <row r="239" spans="1:26" ht="12.75">
      <c r="A239" s="189" t="str">
        <f ca="1">IFERROR(__xludf.DUMMYFUNCTION("""COMPUTED_VALUE"""),"")</f>
        <v/>
      </c>
      <c r="B239" s="189" t="str">
        <f ca="1">IFERROR(__xludf.DUMMYFUNCTION("""COMPUTED_VALUE"""),"")</f>
        <v/>
      </c>
      <c r="C239" s="189" t="str">
        <f ca="1">IFERROR(__xludf.DUMMYFUNCTION("""COMPUTED_VALUE"""),"")</f>
        <v/>
      </c>
      <c r="D239" s="189" t="str">
        <f ca="1">IFERROR(__xludf.DUMMYFUNCTION("""COMPUTED_VALUE"""),"")</f>
        <v/>
      </c>
      <c r="E239" s="189" t="str">
        <f ca="1">IFERROR(__xludf.DUMMYFUNCTION("""COMPUTED_VALUE"""),"")</f>
        <v/>
      </c>
      <c r="F239" s="189" t="str">
        <f ca="1">IFERROR(__xludf.DUMMYFUNCTION("""COMPUTED_VALUE"""),"")</f>
        <v/>
      </c>
      <c r="G239" s="189" t="str">
        <f ca="1">IFERROR(__xludf.DUMMYFUNCTION("""COMPUTED_VALUE"""),"")</f>
        <v/>
      </c>
      <c r="H239" s="189" t="str">
        <f ca="1">IFERROR(__xludf.DUMMYFUNCTION("""COMPUTED_VALUE"""),"")</f>
        <v/>
      </c>
      <c r="I239" s="120" t="str">
        <f ca="1">IFERROR(__xludf.DUMMYFUNCTION("""COMPUTED_VALUE"""),"")</f>
        <v/>
      </c>
      <c r="J239" s="189" t="str">
        <f ca="1">IFERROR(__xludf.DUMMYFUNCTION("""COMPUTED_VALUE"""),"")</f>
        <v/>
      </c>
      <c r="K239" s="189" t="str">
        <f ca="1">IFERROR(__xludf.DUMMYFUNCTION("""COMPUTED_VALUE"""),"")</f>
        <v/>
      </c>
      <c r="L239" s="189" t="str">
        <f ca="1">IFERROR(__xludf.DUMMYFUNCTION("""COMPUTED_VALUE"""),"")</f>
        <v/>
      </c>
      <c r="M239" s="189" t="str">
        <f ca="1">IFERROR(__xludf.DUMMYFUNCTION("""COMPUTED_VALUE"""),"")</f>
        <v/>
      </c>
      <c r="N239" s="189" t="str">
        <f ca="1">IFERROR(__xludf.DUMMYFUNCTION("""COMPUTED_VALUE"""),"")</f>
        <v/>
      </c>
      <c r="O239" s="189" t="str">
        <f ca="1">IFERROR(__xludf.DUMMYFUNCTION("""COMPUTED_VALUE"""),"")</f>
        <v/>
      </c>
      <c r="P239" s="189" t="str">
        <f ca="1">IFERROR(__xludf.DUMMYFUNCTION("""COMPUTED_VALUE"""),"")</f>
        <v/>
      </c>
      <c r="Q239" s="189" t="str">
        <f ca="1">IFERROR(__xludf.DUMMYFUNCTION("""COMPUTED_VALUE"""),"")</f>
        <v/>
      </c>
      <c r="R239" s="189" t="str">
        <f ca="1">IFERROR(__xludf.DUMMYFUNCTION("""COMPUTED_VALUE"""),"")</f>
        <v/>
      </c>
      <c r="S239" s="189" t="str">
        <f ca="1">IFERROR(__xludf.DUMMYFUNCTION("""COMPUTED_VALUE"""),"")</f>
        <v/>
      </c>
      <c r="T239" s="189" t="str">
        <f ca="1">IFERROR(__xludf.DUMMYFUNCTION("""COMPUTED_VALUE"""),"")</f>
        <v/>
      </c>
      <c r="U239" s="189" t="str">
        <f ca="1">IFERROR(__xludf.DUMMYFUNCTION("""COMPUTED_VALUE"""),"")</f>
        <v/>
      </c>
      <c r="V239" s="189" t="str">
        <f ca="1">IFERROR(__xludf.DUMMYFUNCTION("""COMPUTED_VALUE"""),"")</f>
        <v/>
      </c>
      <c r="W239" s="189" t="str">
        <f ca="1">IFERROR(__xludf.DUMMYFUNCTION("""COMPUTED_VALUE"""),"")</f>
        <v/>
      </c>
      <c r="X239" s="189" t="str">
        <f ca="1">IFERROR(__xludf.DUMMYFUNCTION("""COMPUTED_VALUE"""),"")</f>
        <v/>
      </c>
      <c r="Y239" s="189" t="str">
        <f ca="1">IFERROR(__xludf.DUMMYFUNCTION("""COMPUTED_VALUE"""),"")</f>
        <v/>
      </c>
      <c r="Z239" s="189"/>
    </row>
    <row r="240" spans="1:26" ht="12.75">
      <c r="A240" s="189" t="str">
        <f ca="1">IFERROR(__xludf.DUMMYFUNCTION("""COMPUTED_VALUE"""),"")</f>
        <v/>
      </c>
      <c r="B240" s="189" t="str">
        <f ca="1">IFERROR(__xludf.DUMMYFUNCTION("""COMPUTED_VALUE"""),"")</f>
        <v/>
      </c>
      <c r="C240" s="189" t="str">
        <f ca="1">IFERROR(__xludf.DUMMYFUNCTION("""COMPUTED_VALUE"""),"")</f>
        <v/>
      </c>
      <c r="D240" s="189" t="str">
        <f ca="1">IFERROR(__xludf.DUMMYFUNCTION("""COMPUTED_VALUE"""),"")</f>
        <v/>
      </c>
      <c r="E240" s="189" t="str">
        <f ca="1">IFERROR(__xludf.DUMMYFUNCTION("""COMPUTED_VALUE"""),"")</f>
        <v/>
      </c>
      <c r="F240" s="189" t="str">
        <f ca="1">IFERROR(__xludf.DUMMYFUNCTION("""COMPUTED_VALUE"""),"")</f>
        <v/>
      </c>
      <c r="G240" s="189" t="str">
        <f ca="1">IFERROR(__xludf.DUMMYFUNCTION("""COMPUTED_VALUE"""),"")</f>
        <v/>
      </c>
      <c r="H240" s="189" t="str">
        <f ca="1">IFERROR(__xludf.DUMMYFUNCTION("""COMPUTED_VALUE"""),"")</f>
        <v/>
      </c>
      <c r="I240" s="120" t="str">
        <f ca="1">IFERROR(__xludf.DUMMYFUNCTION("""COMPUTED_VALUE"""),"")</f>
        <v/>
      </c>
      <c r="J240" s="189" t="str">
        <f ca="1">IFERROR(__xludf.DUMMYFUNCTION("""COMPUTED_VALUE"""),"")</f>
        <v/>
      </c>
      <c r="K240" s="189" t="str">
        <f ca="1">IFERROR(__xludf.DUMMYFUNCTION("""COMPUTED_VALUE"""),"")</f>
        <v/>
      </c>
      <c r="L240" s="189" t="str">
        <f ca="1">IFERROR(__xludf.DUMMYFUNCTION("""COMPUTED_VALUE"""),"")</f>
        <v/>
      </c>
      <c r="M240" s="189" t="str">
        <f ca="1">IFERROR(__xludf.DUMMYFUNCTION("""COMPUTED_VALUE"""),"")</f>
        <v/>
      </c>
      <c r="N240" s="189" t="str">
        <f ca="1">IFERROR(__xludf.DUMMYFUNCTION("""COMPUTED_VALUE"""),"")</f>
        <v/>
      </c>
      <c r="O240" s="189" t="str">
        <f ca="1">IFERROR(__xludf.DUMMYFUNCTION("""COMPUTED_VALUE"""),"")</f>
        <v/>
      </c>
      <c r="P240" s="189" t="str">
        <f ca="1">IFERROR(__xludf.DUMMYFUNCTION("""COMPUTED_VALUE"""),"")</f>
        <v/>
      </c>
      <c r="Q240" s="189" t="str">
        <f ca="1">IFERROR(__xludf.DUMMYFUNCTION("""COMPUTED_VALUE"""),"")</f>
        <v/>
      </c>
      <c r="R240" s="189" t="str">
        <f ca="1">IFERROR(__xludf.DUMMYFUNCTION("""COMPUTED_VALUE"""),"")</f>
        <v/>
      </c>
      <c r="S240" s="189" t="str">
        <f ca="1">IFERROR(__xludf.DUMMYFUNCTION("""COMPUTED_VALUE"""),"")</f>
        <v/>
      </c>
      <c r="T240" s="189" t="str">
        <f ca="1">IFERROR(__xludf.DUMMYFUNCTION("""COMPUTED_VALUE"""),"")</f>
        <v/>
      </c>
      <c r="U240" s="189" t="str">
        <f ca="1">IFERROR(__xludf.DUMMYFUNCTION("""COMPUTED_VALUE"""),"")</f>
        <v/>
      </c>
      <c r="V240" s="189" t="str">
        <f ca="1">IFERROR(__xludf.DUMMYFUNCTION("""COMPUTED_VALUE"""),"")</f>
        <v/>
      </c>
      <c r="W240" s="189" t="str">
        <f ca="1">IFERROR(__xludf.DUMMYFUNCTION("""COMPUTED_VALUE"""),"")</f>
        <v/>
      </c>
      <c r="X240" s="189" t="str">
        <f ca="1">IFERROR(__xludf.DUMMYFUNCTION("""COMPUTED_VALUE"""),"")</f>
        <v/>
      </c>
      <c r="Y240" s="189" t="str">
        <f ca="1">IFERROR(__xludf.DUMMYFUNCTION("""COMPUTED_VALUE"""),"")</f>
        <v/>
      </c>
      <c r="Z240" s="189"/>
    </row>
    <row r="241" spans="1:26" ht="12.75">
      <c r="A241" s="189" t="str">
        <f ca="1">IFERROR(__xludf.DUMMYFUNCTION("""COMPUTED_VALUE"""),"")</f>
        <v/>
      </c>
      <c r="B241" s="189" t="str">
        <f ca="1">IFERROR(__xludf.DUMMYFUNCTION("""COMPUTED_VALUE"""),"")</f>
        <v/>
      </c>
      <c r="C241" s="189" t="str">
        <f ca="1">IFERROR(__xludf.DUMMYFUNCTION("""COMPUTED_VALUE"""),"")</f>
        <v/>
      </c>
      <c r="D241" s="189" t="str">
        <f ca="1">IFERROR(__xludf.DUMMYFUNCTION("""COMPUTED_VALUE"""),"")</f>
        <v/>
      </c>
      <c r="E241" s="189" t="str">
        <f ca="1">IFERROR(__xludf.DUMMYFUNCTION("""COMPUTED_VALUE"""),"")</f>
        <v/>
      </c>
      <c r="F241" s="189" t="str">
        <f ca="1">IFERROR(__xludf.DUMMYFUNCTION("""COMPUTED_VALUE"""),"")</f>
        <v/>
      </c>
      <c r="G241" s="189" t="str">
        <f ca="1">IFERROR(__xludf.DUMMYFUNCTION("""COMPUTED_VALUE"""),"")</f>
        <v/>
      </c>
      <c r="H241" s="189" t="str">
        <f ca="1">IFERROR(__xludf.DUMMYFUNCTION("""COMPUTED_VALUE"""),"")</f>
        <v/>
      </c>
      <c r="I241" s="120" t="str">
        <f ca="1">IFERROR(__xludf.DUMMYFUNCTION("""COMPUTED_VALUE"""),"")</f>
        <v/>
      </c>
      <c r="J241" s="189" t="str">
        <f ca="1">IFERROR(__xludf.DUMMYFUNCTION("""COMPUTED_VALUE"""),"")</f>
        <v/>
      </c>
      <c r="K241" s="189" t="str">
        <f ca="1">IFERROR(__xludf.DUMMYFUNCTION("""COMPUTED_VALUE"""),"")</f>
        <v/>
      </c>
      <c r="L241" s="189" t="str">
        <f ca="1">IFERROR(__xludf.DUMMYFUNCTION("""COMPUTED_VALUE"""),"")</f>
        <v/>
      </c>
      <c r="M241" s="189" t="str">
        <f ca="1">IFERROR(__xludf.DUMMYFUNCTION("""COMPUTED_VALUE"""),"")</f>
        <v/>
      </c>
      <c r="N241" s="189" t="str">
        <f ca="1">IFERROR(__xludf.DUMMYFUNCTION("""COMPUTED_VALUE"""),"")</f>
        <v/>
      </c>
      <c r="O241" s="189" t="str">
        <f ca="1">IFERROR(__xludf.DUMMYFUNCTION("""COMPUTED_VALUE"""),"")</f>
        <v/>
      </c>
      <c r="P241" s="189" t="str">
        <f ca="1">IFERROR(__xludf.DUMMYFUNCTION("""COMPUTED_VALUE"""),"")</f>
        <v/>
      </c>
      <c r="Q241" s="189" t="str">
        <f ca="1">IFERROR(__xludf.DUMMYFUNCTION("""COMPUTED_VALUE"""),"")</f>
        <v/>
      </c>
      <c r="R241" s="189" t="str">
        <f ca="1">IFERROR(__xludf.DUMMYFUNCTION("""COMPUTED_VALUE"""),"")</f>
        <v/>
      </c>
      <c r="S241" s="189" t="str">
        <f ca="1">IFERROR(__xludf.DUMMYFUNCTION("""COMPUTED_VALUE"""),"")</f>
        <v/>
      </c>
      <c r="T241" s="189" t="str">
        <f ca="1">IFERROR(__xludf.DUMMYFUNCTION("""COMPUTED_VALUE"""),"")</f>
        <v/>
      </c>
      <c r="U241" s="189" t="str">
        <f ca="1">IFERROR(__xludf.DUMMYFUNCTION("""COMPUTED_VALUE"""),"")</f>
        <v/>
      </c>
      <c r="V241" s="189" t="str">
        <f ca="1">IFERROR(__xludf.DUMMYFUNCTION("""COMPUTED_VALUE"""),"")</f>
        <v/>
      </c>
      <c r="W241" s="189" t="str">
        <f ca="1">IFERROR(__xludf.DUMMYFUNCTION("""COMPUTED_VALUE"""),"")</f>
        <v/>
      </c>
      <c r="X241" s="189" t="str">
        <f ca="1">IFERROR(__xludf.DUMMYFUNCTION("""COMPUTED_VALUE"""),"")</f>
        <v/>
      </c>
      <c r="Y241" s="189" t="str">
        <f ca="1">IFERROR(__xludf.DUMMYFUNCTION("""COMPUTED_VALUE"""),"")</f>
        <v/>
      </c>
      <c r="Z241" s="189"/>
    </row>
    <row r="242" spans="1:26" ht="12.75">
      <c r="A242" s="189" t="str">
        <f ca="1">IFERROR(__xludf.DUMMYFUNCTION("""COMPUTED_VALUE"""),"")</f>
        <v/>
      </c>
      <c r="B242" s="189" t="str">
        <f ca="1">IFERROR(__xludf.DUMMYFUNCTION("""COMPUTED_VALUE"""),"")</f>
        <v/>
      </c>
      <c r="C242" s="189" t="str">
        <f ca="1">IFERROR(__xludf.DUMMYFUNCTION("""COMPUTED_VALUE"""),"")</f>
        <v/>
      </c>
      <c r="D242" s="189" t="str">
        <f ca="1">IFERROR(__xludf.DUMMYFUNCTION("""COMPUTED_VALUE"""),"")</f>
        <v/>
      </c>
      <c r="E242" s="189" t="str">
        <f ca="1">IFERROR(__xludf.DUMMYFUNCTION("""COMPUTED_VALUE"""),"")</f>
        <v/>
      </c>
      <c r="F242" s="189" t="str">
        <f ca="1">IFERROR(__xludf.DUMMYFUNCTION("""COMPUTED_VALUE"""),"")</f>
        <v/>
      </c>
      <c r="G242" s="189" t="str">
        <f ca="1">IFERROR(__xludf.DUMMYFUNCTION("""COMPUTED_VALUE"""),"")</f>
        <v/>
      </c>
      <c r="H242" s="189" t="str">
        <f ca="1">IFERROR(__xludf.DUMMYFUNCTION("""COMPUTED_VALUE"""),"")</f>
        <v/>
      </c>
      <c r="I242" s="120" t="str">
        <f ca="1">IFERROR(__xludf.DUMMYFUNCTION("""COMPUTED_VALUE"""),"")</f>
        <v/>
      </c>
      <c r="J242" s="189" t="str">
        <f ca="1">IFERROR(__xludf.DUMMYFUNCTION("""COMPUTED_VALUE"""),"")</f>
        <v/>
      </c>
      <c r="K242" s="189" t="str">
        <f ca="1">IFERROR(__xludf.DUMMYFUNCTION("""COMPUTED_VALUE"""),"")</f>
        <v/>
      </c>
      <c r="L242" s="189" t="str">
        <f ca="1">IFERROR(__xludf.DUMMYFUNCTION("""COMPUTED_VALUE"""),"")</f>
        <v/>
      </c>
      <c r="M242" s="189" t="str">
        <f ca="1">IFERROR(__xludf.DUMMYFUNCTION("""COMPUTED_VALUE"""),"")</f>
        <v/>
      </c>
      <c r="N242" s="189" t="str">
        <f ca="1">IFERROR(__xludf.DUMMYFUNCTION("""COMPUTED_VALUE"""),"")</f>
        <v/>
      </c>
      <c r="O242" s="189" t="str">
        <f ca="1">IFERROR(__xludf.DUMMYFUNCTION("""COMPUTED_VALUE"""),"")</f>
        <v/>
      </c>
      <c r="P242" s="189" t="str">
        <f ca="1">IFERROR(__xludf.DUMMYFUNCTION("""COMPUTED_VALUE"""),"")</f>
        <v/>
      </c>
      <c r="Q242" s="189" t="str">
        <f ca="1">IFERROR(__xludf.DUMMYFUNCTION("""COMPUTED_VALUE"""),"")</f>
        <v/>
      </c>
      <c r="R242" s="189" t="str">
        <f ca="1">IFERROR(__xludf.DUMMYFUNCTION("""COMPUTED_VALUE"""),"")</f>
        <v/>
      </c>
      <c r="S242" s="189" t="str">
        <f ca="1">IFERROR(__xludf.DUMMYFUNCTION("""COMPUTED_VALUE"""),"")</f>
        <v/>
      </c>
      <c r="T242" s="189" t="str">
        <f ca="1">IFERROR(__xludf.DUMMYFUNCTION("""COMPUTED_VALUE"""),"")</f>
        <v/>
      </c>
      <c r="U242" s="189" t="str">
        <f ca="1">IFERROR(__xludf.DUMMYFUNCTION("""COMPUTED_VALUE"""),"")</f>
        <v/>
      </c>
      <c r="V242" s="189" t="str">
        <f ca="1">IFERROR(__xludf.DUMMYFUNCTION("""COMPUTED_VALUE"""),"")</f>
        <v/>
      </c>
      <c r="W242" s="189" t="str">
        <f ca="1">IFERROR(__xludf.DUMMYFUNCTION("""COMPUTED_VALUE"""),"")</f>
        <v/>
      </c>
      <c r="X242" s="189" t="str">
        <f ca="1">IFERROR(__xludf.DUMMYFUNCTION("""COMPUTED_VALUE"""),"")</f>
        <v/>
      </c>
      <c r="Y242" s="189" t="str">
        <f ca="1">IFERROR(__xludf.DUMMYFUNCTION("""COMPUTED_VALUE"""),"")</f>
        <v/>
      </c>
      <c r="Z242" s="189"/>
    </row>
    <row r="243" spans="1:26" ht="12.75">
      <c r="A243" s="189" t="str">
        <f ca="1">IFERROR(__xludf.DUMMYFUNCTION("""COMPUTED_VALUE"""),"")</f>
        <v/>
      </c>
      <c r="B243" s="189" t="str">
        <f ca="1">IFERROR(__xludf.DUMMYFUNCTION("""COMPUTED_VALUE"""),"")</f>
        <v/>
      </c>
      <c r="C243" s="189" t="str">
        <f ca="1">IFERROR(__xludf.DUMMYFUNCTION("""COMPUTED_VALUE"""),"")</f>
        <v/>
      </c>
      <c r="D243" s="189" t="str">
        <f ca="1">IFERROR(__xludf.DUMMYFUNCTION("""COMPUTED_VALUE"""),"")</f>
        <v/>
      </c>
      <c r="E243" s="189" t="str">
        <f ca="1">IFERROR(__xludf.DUMMYFUNCTION("""COMPUTED_VALUE"""),"")</f>
        <v/>
      </c>
      <c r="F243" s="189" t="str">
        <f ca="1">IFERROR(__xludf.DUMMYFUNCTION("""COMPUTED_VALUE"""),"")</f>
        <v/>
      </c>
      <c r="G243" s="189" t="str">
        <f ca="1">IFERROR(__xludf.DUMMYFUNCTION("""COMPUTED_VALUE"""),"")</f>
        <v/>
      </c>
      <c r="H243" s="189" t="str">
        <f ca="1">IFERROR(__xludf.DUMMYFUNCTION("""COMPUTED_VALUE"""),"")</f>
        <v/>
      </c>
      <c r="I243" s="120" t="str">
        <f ca="1">IFERROR(__xludf.DUMMYFUNCTION("""COMPUTED_VALUE"""),"")</f>
        <v/>
      </c>
      <c r="J243" s="189" t="str">
        <f ca="1">IFERROR(__xludf.DUMMYFUNCTION("""COMPUTED_VALUE"""),"")</f>
        <v/>
      </c>
      <c r="K243" s="189" t="str">
        <f ca="1">IFERROR(__xludf.DUMMYFUNCTION("""COMPUTED_VALUE"""),"")</f>
        <v/>
      </c>
      <c r="L243" s="189" t="str">
        <f ca="1">IFERROR(__xludf.DUMMYFUNCTION("""COMPUTED_VALUE"""),"")</f>
        <v/>
      </c>
      <c r="M243" s="189" t="str">
        <f ca="1">IFERROR(__xludf.DUMMYFUNCTION("""COMPUTED_VALUE"""),"")</f>
        <v/>
      </c>
      <c r="N243" s="189" t="str">
        <f ca="1">IFERROR(__xludf.DUMMYFUNCTION("""COMPUTED_VALUE"""),"")</f>
        <v/>
      </c>
      <c r="O243" s="189" t="str">
        <f ca="1">IFERROR(__xludf.DUMMYFUNCTION("""COMPUTED_VALUE"""),"")</f>
        <v/>
      </c>
      <c r="P243" s="189" t="str">
        <f ca="1">IFERROR(__xludf.DUMMYFUNCTION("""COMPUTED_VALUE"""),"")</f>
        <v/>
      </c>
      <c r="Q243" s="189" t="str">
        <f ca="1">IFERROR(__xludf.DUMMYFUNCTION("""COMPUTED_VALUE"""),"")</f>
        <v/>
      </c>
      <c r="R243" s="189" t="str">
        <f ca="1">IFERROR(__xludf.DUMMYFUNCTION("""COMPUTED_VALUE"""),"")</f>
        <v/>
      </c>
      <c r="S243" s="189" t="str">
        <f ca="1">IFERROR(__xludf.DUMMYFUNCTION("""COMPUTED_VALUE"""),"")</f>
        <v/>
      </c>
      <c r="T243" s="189" t="str">
        <f ca="1">IFERROR(__xludf.DUMMYFUNCTION("""COMPUTED_VALUE"""),"")</f>
        <v/>
      </c>
      <c r="U243" s="189" t="str">
        <f ca="1">IFERROR(__xludf.DUMMYFUNCTION("""COMPUTED_VALUE"""),"")</f>
        <v/>
      </c>
      <c r="V243" s="189" t="str">
        <f ca="1">IFERROR(__xludf.DUMMYFUNCTION("""COMPUTED_VALUE"""),"")</f>
        <v/>
      </c>
      <c r="W243" s="189" t="str">
        <f ca="1">IFERROR(__xludf.DUMMYFUNCTION("""COMPUTED_VALUE"""),"")</f>
        <v/>
      </c>
      <c r="X243" s="189" t="str">
        <f ca="1">IFERROR(__xludf.DUMMYFUNCTION("""COMPUTED_VALUE"""),"")</f>
        <v/>
      </c>
      <c r="Y243" s="189" t="str">
        <f ca="1">IFERROR(__xludf.DUMMYFUNCTION("""COMPUTED_VALUE"""),"")</f>
        <v/>
      </c>
      <c r="Z243" s="189"/>
    </row>
    <row r="244" spans="1:26" ht="12.75">
      <c r="A244" s="189" t="str">
        <f ca="1">IFERROR(__xludf.DUMMYFUNCTION("""COMPUTED_VALUE"""),"")</f>
        <v/>
      </c>
      <c r="B244" s="189" t="str">
        <f ca="1">IFERROR(__xludf.DUMMYFUNCTION("""COMPUTED_VALUE"""),"")</f>
        <v/>
      </c>
      <c r="C244" s="189" t="str">
        <f ca="1">IFERROR(__xludf.DUMMYFUNCTION("""COMPUTED_VALUE"""),"")</f>
        <v/>
      </c>
      <c r="D244" s="189" t="str">
        <f ca="1">IFERROR(__xludf.DUMMYFUNCTION("""COMPUTED_VALUE"""),"")</f>
        <v/>
      </c>
      <c r="E244" s="189" t="str">
        <f ca="1">IFERROR(__xludf.DUMMYFUNCTION("""COMPUTED_VALUE"""),"")</f>
        <v/>
      </c>
      <c r="F244" s="189" t="str">
        <f ca="1">IFERROR(__xludf.DUMMYFUNCTION("""COMPUTED_VALUE"""),"")</f>
        <v/>
      </c>
      <c r="G244" s="189" t="str">
        <f ca="1">IFERROR(__xludf.DUMMYFUNCTION("""COMPUTED_VALUE"""),"")</f>
        <v/>
      </c>
      <c r="H244" s="189" t="str">
        <f ca="1">IFERROR(__xludf.DUMMYFUNCTION("""COMPUTED_VALUE"""),"")</f>
        <v/>
      </c>
      <c r="I244" s="120" t="str">
        <f ca="1">IFERROR(__xludf.DUMMYFUNCTION("""COMPUTED_VALUE"""),"")</f>
        <v/>
      </c>
      <c r="J244" s="189" t="str">
        <f ca="1">IFERROR(__xludf.DUMMYFUNCTION("""COMPUTED_VALUE"""),"")</f>
        <v/>
      </c>
      <c r="K244" s="189" t="str">
        <f ca="1">IFERROR(__xludf.DUMMYFUNCTION("""COMPUTED_VALUE"""),"")</f>
        <v/>
      </c>
      <c r="L244" s="189" t="str">
        <f ca="1">IFERROR(__xludf.DUMMYFUNCTION("""COMPUTED_VALUE"""),"")</f>
        <v/>
      </c>
      <c r="M244" s="189" t="str">
        <f ca="1">IFERROR(__xludf.DUMMYFUNCTION("""COMPUTED_VALUE"""),"")</f>
        <v/>
      </c>
      <c r="N244" s="189" t="str">
        <f ca="1">IFERROR(__xludf.DUMMYFUNCTION("""COMPUTED_VALUE"""),"")</f>
        <v/>
      </c>
      <c r="O244" s="189" t="str">
        <f ca="1">IFERROR(__xludf.DUMMYFUNCTION("""COMPUTED_VALUE"""),"")</f>
        <v/>
      </c>
      <c r="P244" s="189" t="str">
        <f ca="1">IFERROR(__xludf.DUMMYFUNCTION("""COMPUTED_VALUE"""),"")</f>
        <v/>
      </c>
      <c r="Q244" s="189" t="str">
        <f ca="1">IFERROR(__xludf.DUMMYFUNCTION("""COMPUTED_VALUE"""),"")</f>
        <v/>
      </c>
      <c r="R244" s="189" t="str">
        <f ca="1">IFERROR(__xludf.DUMMYFUNCTION("""COMPUTED_VALUE"""),"")</f>
        <v/>
      </c>
      <c r="S244" s="189" t="str">
        <f ca="1">IFERROR(__xludf.DUMMYFUNCTION("""COMPUTED_VALUE"""),"")</f>
        <v/>
      </c>
      <c r="T244" s="189" t="str">
        <f ca="1">IFERROR(__xludf.DUMMYFUNCTION("""COMPUTED_VALUE"""),"")</f>
        <v/>
      </c>
      <c r="U244" s="189" t="str">
        <f ca="1">IFERROR(__xludf.DUMMYFUNCTION("""COMPUTED_VALUE"""),"")</f>
        <v/>
      </c>
      <c r="V244" s="189" t="str">
        <f ca="1">IFERROR(__xludf.DUMMYFUNCTION("""COMPUTED_VALUE"""),"")</f>
        <v/>
      </c>
      <c r="W244" s="189" t="str">
        <f ca="1">IFERROR(__xludf.DUMMYFUNCTION("""COMPUTED_VALUE"""),"")</f>
        <v/>
      </c>
      <c r="X244" s="189" t="str">
        <f ca="1">IFERROR(__xludf.DUMMYFUNCTION("""COMPUTED_VALUE"""),"")</f>
        <v/>
      </c>
      <c r="Y244" s="189" t="str">
        <f ca="1">IFERROR(__xludf.DUMMYFUNCTION("""COMPUTED_VALUE"""),"")</f>
        <v/>
      </c>
      <c r="Z244" s="189"/>
    </row>
    <row r="245" spans="1:26" ht="12.75">
      <c r="A245" s="189" t="str">
        <f ca="1">IFERROR(__xludf.DUMMYFUNCTION("""COMPUTED_VALUE"""),"")</f>
        <v/>
      </c>
      <c r="B245" s="189" t="str">
        <f ca="1">IFERROR(__xludf.DUMMYFUNCTION("""COMPUTED_VALUE"""),"")</f>
        <v/>
      </c>
      <c r="C245" s="189" t="str">
        <f ca="1">IFERROR(__xludf.DUMMYFUNCTION("""COMPUTED_VALUE"""),"")</f>
        <v/>
      </c>
      <c r="D245" s="189" t="str">
        <f ca="1">IFERROR(__xludf.DUMMYFUNCTION("""COMPUTED_VALUE"""),"")</f>
        <v/>
      </c>
      <c r="E245" s="189" t="str">
        <f ca="1">IFERROR(__xludf.DUMMYFUNCTION("""COMPUTED_VALUE"""),"")</f>
        <v/>
      </c>
      <c r="F245" s="189" t="str">
        <f ca="1">IFERROR(__xludf.DUMMYFUNCTION("""COMPUTED_VALUE"""),"")</f>
        <v/>
      </c>
      <c r="G245" s="189" t="str">
        <f ca="1">IFERROR(__xludf.DUMMYFUNCTION("""COMPUTED_VALUE"""),"")</f>
        <v/>
      </c>
      <c r="H245" s="189" t="str">
        <f ca="1">IFERROR(__xludf.DUMMYFUNCTION("""COMPUTED_VALUE"""),"")</f>
        <v/>
      </c>
      <c r="I245" s="120" t="str">
        <f ca="1">IFERROR(__xludf.DUMMYFUNCTION("""COMPUTED_VALUE"""),"")</f>
        <v/>
      </c>
      <c r="J245" s="189" t="str">
        <f ca="1">IFERROR(__xludf.DUMMYFUNCTION("""COMPUTED_VALUE"""),"")</f>
        <v/>
      </c>
      <c r="K245" s="189" t="str">
        <f ca="1">IFERROR(__xludf.DUMMYFUNCTION("""COMPUTED_VALUE"""),"")</f>
        <v/>
      </c>
      <c r="L245" s="189" t="str">
        <f ca="1">IFERROR(__xludf.DUMMYFUNCTION("""COMPUTED_VALUE"""),"")</f>
        <v/>
      </c>
      <c r="M245" s="189" t="str">
        <f ca="1">IFERROR(__xludf.DUMMYFUNCTION("""COMPUTED_VALUE"""),"")</f>
        <v/>
      </c>
      <c r="N245" s="189" t="str">
        <f ca="1">IFERROR(__xludf.DUMMYFUNCTION("""COMPUTED_VALUE"""),"")</f>
        <v/>
      </c>
      <c r="O245" s="189" t="str">
        <f ca="1">IFERROR(__xludf.DUMMYFUNCTION("""COMPUTED_VALUE"""),"")</f>
        <v/>
      </c>
      <c r="P245" s="189" t="str">
        <f ca="1">IFERROR(__xludf.DUMMYFUNCTION("""COMPUTED_VALUE"""),"")</f>
        <v/>
      </c>
      <c r="Q245" s="189" t="str">
        <f ca="1">IFERROR(__xludf.DUMMYFUNCTION("""COMPUTED_VALUE"""),"")</f>
        <v/>
      </c>
      <c r="R245" s="189" t="str">
        <f ca="1">IFERROR(__xludf.DUMMYFUNCTION("""COMPUTED_VALUE"""),"")</f>
        <v/>
      </c>
      <c r="S245" s="189" t="str">
        <f ca="1">IFERROR(__xludf.DUMMYFUNCTION("""COMPUTED_VALUE"""),"")</f>
        <v/>
      </c>
      <c r="T245" s="189" t="str">
        <f ca="1">IFERROR(__xludf.DUMMYFUNCTION("""COMPUTED_VALUE"""),"")</f>
        <v/>
      </c>
      <c r="U245" s="189" t="str">
        <f ca="1">IFERROR(__xludf.DUMMYFUNCTION("""COMPUTED_VALUE"""),"")</f>
        <v/>
      </c>
      <c r="V245" s="189" t="str">
        <f ca="1">IFERROR(__xludf.DUMMYFUNCTION("""COMPUTED_VALUE"""),"")</f>
        <v/>
      </c>
      <c r="W245" s="189" t="str">
        <f ca="1">IFERROR(__xludf.DUMMYFUNCTION("""COMPUTED_VALUE"""),"")</f>
        <v/>
      </c>
      <c r="X245" s="189" t="str">
        <f ca="1">IFERROR(__xludf.DUMMYFUNCTION("""COMPUTED_VALUE"""),"")</f>
        <v/>
      </c>
      <c r="Y245" s="189" t="str">
        <f ca="1">IFERROR(__xludf.DUMMYFUNCTION("""COMPUTED_VALUE"""),"")</f>
        <v/>
      </c>
      <c r="Z245" s="189"/>
    </row>
    <row r="246" spans="1:26" ht="12.75">
      <c r="A246" s="189" t="str">
        <f ca="1">IFERROR(__xludf.DUMMYFUNCTION("""COMPUTED_VALUE"""),"")</f>
        <v/>
      </c>
      <c r="B246" s="189" t="str">
        <f ca="1">IFERROR(__xludf.DUMMYFUNCTION("""COMPUTED_VALUE"""),"")</f>
        <v/>
      </c>
      <c r="C246" s="189" t="str">
        <f ca="1">IFERROR(__xludf.DUMMYFUNCTION("""COMPUTED_VALUE"""),"")</f>
        <v/>
      </c>
      <c r="D246" s="189" t="str">
        <f ca="1">IFERROR(__xludf.DUMMYFUNCTION("""COMPUTED_VALUE"""),"")</f>
        <v/>
      </c>
      <c r="E246" s="189" t="str">
        <f ca="1">IFERROR(__xludf.DUMMYFUNCTION("""COMPUTED_VALUE"""),"")</f>
        <v/>
      </c>
      <c r="F246" s="189" t="str">
        <f ca="1">IFERROR(__xludf.DUMMYFUNCTION("""COMPUTED_VALUE"""),"")</f>
        <v/>
      </c>
      <c r="G246" s="189" t="str">
        <f ca="1">IFERROR(__xludf.DUMMYFUNCTION("""COMPUTED_VALUE"""),"")</f>
        <v/>
      </c>
      <c r="H246" s="189" t="str">
        <f ca="1">IFERROR(__xludf.DUMMYFUNCTION("""COMPUTED_VALUE"""),"")</f>
        <v/>
      </c>
      <c r="I246" s="120" t="str">
        <f ca="1">IFERROR(__xludf.DUMMYFUNCTION("""COMPUTED_VALUE"""),"")</f>
        <v/>
      </c>
      <c r="J246" s="189" t="str">
        <f ca="1">IFERROR(__xludf.DUMMYFUNCTION("""COMPUTED_VALUE"""),"")</f>
        <v/>
      </c>
      <c r="K246" s="189" t="str">
        <f ca="1">IFERROR(__xludf.DUMMYFUNCTION("""COMPUTED_VALUE"""),"")</f>
        <v/>
      </c>
      <c r="L246" s="189" t="str">
        <f ca="1">IFERROR(__xludf.DUMMYFUNCTION("""COMPUTED_VALUE"""),"")</f>
        <v/>
      </c>
      <c r="M246" s="189" t="str">
        <f ca="1">IFERROR(__xludf.DUMMYFUNCTION("""COMPUTED_VALUE"""),"")</f>
        <v/>
      </c>
      <c r="N246" s="189" t="str">
        <f ca="1">IFERROR(__xludf.DUMMYFUNCTION("""COMPUTED_VALUE"""),"")</f>
        <v/>
      </c>
      <c r="O246" s="189" t="str">
        <f ca="1">IFERROR(__xludf.DUMMYFUNCTION("""COMPUTED_VALUE"""),"")</f>
        <v/>
      </c>
      <c r="P246" s="189" t="str">
        <f ca="1">IFERROR(__xludf.DUMMYFUNCTION("""COMPUTED_VALUE"""),"")</f>
        <v/>
      </c>
      <c r="Q246" s="189" t="str">
        <f ca="1">IFERROR(__xludf.DUMMYFUNCTION("""COMPUTED_VALUE"""),"")</f>
        <v/>
      </c>
      <c r="R246" s="189" t="str">
        <f ca="1">IFERROR(__xludf.DUMMYFUNCTION("""COMPUTED_VALUE"""),"")</f>
        <v/>
      </c>
      <c r="S246" s="189" t="str">
        <f ca="1">IFERROR(__xludf.DUMMYFUNCTION("""COMPUTED_VALUE"""),"")</f>
        <v/>
      </c>
      <c r="T246" s="189" t="str">
        <f ca="1">IFERROR(__xludf.DUMMYFUNCTION("""COMPUTED_VALUE"""),"")</f>
        <v/>
      </c>
      <c r="U246" s="189" t="str">
        <f ca="1">IFERROR(__xludf.DUMMYFUNCTION("""COMPUTED_VALUE"""),"")</f>
        <v/>
      </c>
      <c r="V246" s="189" t="str">
        <f ca="1">IFERROR(__xludf.DUMMYFUNCTION("""COMPUTED_VALUE"""),"")</f>
        <v/>
      </c>
      <c r="W246" s="189" t="str">
        <f ca="1">IFERROR(__xludf.DUMMYFUNCTION("""COMPUTED_VALUE"""),"")</f>
        <v/>
      </c>
      <c r="X246" s="189" t="str">
        <f ca="1">IFERROR(__xludf.DUMMYFUNCTION("""COMPUTED_VALUE"""),"")</f>
        <v/>
      </c>
      <c r="Y246" s="189" t="str">
        <f ca="1">IFERROR(__xludf.DUMMYFUNCTION("""COMPUTED_VALUE"""),"")</f>
        <v/>
      </c>
      <c r="Z246" s="189"/>
    </row>
    <row r="247" spans="1:26" ht="12.75">
      <c r="A247" s="189" t="str">
        <f ca="1">IFERROR(__xludf.DUMMYFUNCTION("""COMPUTED_VALUE"""),"")</f>
        <v/>
      </c>
      <c r="B247" s="189" t="str">
        <f ca="1">IFERROR(__xludf.DUMMYFUNCTION("""COMPUTED_VALUE"""),"")</f>
        <v/>
      </c>
      <c r="C247" s="189" t="str">
        <f ca="1">IFERROR(__xludf.DUMMYFUNCTION("""COMPUTED_VALUE"""),"")</f>
        <v/>
      </c>
      <c r="D247" s="189" t="str">
        <f ca="1">IFERROR(__xludf.DUMMYFUNCTION("""COMPUTED_VALUE"""),"")</f>
        <v/>
      </c>
      <c r="E247" s="189" t="str">
        <f ca="1">IFERROR(__xludf.DUMMYFUNCTION("""COMPUTED_VALUE"""),"")</f>
        <v/>
      </c>
      <c r="F247" s="189" t="str">
        <f ca="1">IFERROR(__xludf.DUMMYFUNCTION("""COMPUTED_VALUE"""),"")</f>
        <v/>
      </c>
      <c r="G247" s="189" t="str">
        <f ca="1">IFERROR(__xludf.DUMMYFUNCTION("""COMPUTED_VALUE"""),"")</f>
        <v/>
      </c>
      <c r="H247" s="189" t="str">
        <f ca="1">IFERROR(__xludf.DUMMYFUNCTION("""COMPUTED_VALUE"""),"")</f>
        <v/>
      </c>
      <c r="I247" s="120" t="str">
        <f ca="1">IFERROR(__xludf.DUMMYFUNCTION("""COMPUTED_VALUE"""),"")</f>
        <v/>
      </c>
      <c r="J247" s="189" t="str">
        <f ca="1">IFERROR(__xludf.DUMMYFUNCTION("""COMPUTED_VALUE"""),"")</f>
        <v/>
      </c>
      <c r="K247" s="189" t="str">
        <f ca="1">IFERROR(__xludf.DUMMYFUNCTION("""COMPUTED_VALUE"""),"")</f>
        <v/>
      </c>
      <c r="L247" s="189" t="str">
        <f ca="1">IFERROR(__xludf.DUMMYFUNCTION("""COMPUTED_VALUE"""),"")</f>
        <v/>
      </c>
      <c r="M247" s="189" t="str">
        <f ca="1">IFERROR(__xludf.DUMMYFUNCTION("""COMPUTED_VALUE"""),"")</f>
        <v/>
      </c>
      <c r="N247" s="189" t="str">
        <f ca="1">IFERROR(__xludf.DUMMYFUNCTION("""COMPUTED_VALUE"""),"")</f>
        <v/>
      </c>
      <c r="O247" s="189" t="str">
        <f ca="1">IFERROR(__xludf.DUMMYFUNCTION("""COMPUTED_VALUE"""),"")</f>
        <v/>
      </c>
      <c r="P247" s="189" t="str">
        <f ca="1">IFERROR(__xludf.DUMMYFUNCTION("""COMPUTED_VALUE"""),"")</f>
        <v/>
      </c>
      <c r="Q247" s="189" t="str">
        <f ca="1">IFERROR(__xludf.DUMMYFUNCTION("""COMPUTED_VALUE"""),"")</f>
        <v/>
      </c>
      <c r="R247" s="189" t="str">
        <f ca="1">IFERROR(__xludf.DUMMYFUNCTION("""COMPUTED_VALUE"""),"")</f>
        <v/>
      </c>
      <c r="S247" s="189" t="str">
        <f ca="1">IFERROR(__xludf.DUMMYFUNCTION("""COMPUTED_VALUE"""),"")</f>
        <v/>
      </c>
      <c r="T247" s="189" t="str">
        <f ca="1">IFERROR(__xludf.DUMMYFUNCTION("""COMPUTED_VALUE"""),"")</f>
        <v/>
      </c>
      <c r="U247" s="189" t="str">
        <f ca="1">IFERROR(__xludf.DUMMYFUNCTION("""COMPUTED_VALUE"""),"")</f>
        <v/>
      </c>
      <c r="V247" s="189" t="str">
        <f ca="1">IFERROR(__xludf.DUMMYFUNCTION("""COMPUTED_VALUE"""),"")</f>
        <v/>
      </c>
      <c r="W247" s="189" t="str">
        <f ca="1">IFERROR(__xludf.DUMMYFUNCTION("""COMPUTED_VALUE"""),"")</f>
        <v/>
      </c>
      <c r="X247" s="189" t="str">
        <f ca="1">IFERROR(__xludf.DUMMYFUNCTION("""COMPUTED_VALUE"""),"")</f>
        <v/>
      </c>
      <c r="Y247" s="189" t="str">
        <f ca="1">IFERROR(__xludf.DUMMYFUNCTION("""COMPUTED_VALUE"""),"")</f>
        <v/>
      </c>
      <c r="Z247" s="189"/>
    </row>
    <row r="248" spans="1:26" ht="12.75">
      <c r="A248" s="189" t="str">
        <f ca="1">IFERROR(__xludf.DUMMYFUNCTION("""COMPUTED_VALUE"""),"")</f>
        <v/>
      </c>
      <c r="B248" s="189" t="str">
        <f ca="1">IFERROR(__xludf.DUMMYFUNCTION("""COMPUTED_VALUE"""),"")</f>
        <v/>
      </c>
      <c r="C248" s="189" t="str">
        <f ca="1">IFERROR(__xludf.DUMMYFUNCTION("""COMPUTED_VALUE"""),"")</f>
        <v/>
      </c>
      <c r="D248" s="189" t="str">
        <f ca="1">IFERROR(__xludf.DUMMYFUNCTION("""COMPUTED_VALUE"""),"")</f>
        <v/>
      </c>
      <c r="E248" s="189" t="str">
        <f ca="1">IFERROR(__xludf.DUMMYFUNCTION("""COMPUTED_VALUE"""),"")</f>
        <v/>
      </c>
      <c r="F248" s="189" t="str">
        <f ca="1">IFERROR(__xludf.DUMMYFUNCTION("""COMPUTED_VALUE"""),"")</f>
        <v/>
      </c>
      <c r="G248" s="189" t="str">
        <f ca="1">IFERROR(__xludf.DUMMYFUNCTION("""COMPUTED_VALUE"""),"")</f>
        <v/>
      </c>
      <c r="H248" s="189" t="str">
        <f ca="1">IFERROR(__xludf.DUMMYFUNCTION("""COMPUTED_VALUE"""),"")</f>
        <v/>
      </c>
      <c r="I248" s="120" t="str">
        <f ca="1">IFERROR(__xludf.DUMMYFUNCTION("""COMPUTED_VALUE"""),"")</f>
        <v/>
      </c>
      <c r="J248" s="189" t="str">
        <f ca="1">IFERROR(__xludf.DUMMYFUNCTION("""COMPUTED_VALUE"""),"")</f>
        <v/>
      </c>
      <c r="K248" s="189" t="str">
        <f ca="1">IFERROR(__xludf.DUMMYFUNCTION("""COMPUTED_VALUE"""),"")</f>
        <v/>
      </c>
      <c r="L248" s="189" t="str">
        <f ca="1">IFERROR(__xludf.DUMMYFUNCTION("""COMPUTED_VALUE"""),"")</f>
        <v/>
      </c>
      <c r="M248" s="189" t="str">
        <f ca="1">IFERROR(__xludf.DUMMYFUNCTION("""COMPUTED_VALUE"""),"")</f>
        <v/>
      </c>
      <c r="N248" s="189" t="str">
        <f ca="1">IFERROR(__xludf.DUMMYFUNCTION("""COMPUTED_VALUE"""),"")</f>
        <v/>
      </c>
      <c r="O248" s="189" t="str">
        <f ca="1">IFERROR(__xludf.DUMMYFUNCTION("""COMPUTED_VALUE"""),"")</f>
        <v/>
      </c>
      <c r="P248" s="189" t="str">
        <f ca="1">IFERROR(__xludf.DUMMYFUNCTION("""COMPUTED_VALUE"""),"")</f>
        <v/>
      </c>
      <c r="Q248" s="189" t="str">
        <f ca="1">IFERROR(__xludf.DUMMYFUNCTION("""COMPUTED_VALUE"""),"")</f>
        <v/>
      </c>
      <c r="R248" s="189" t="str">
        <f ca="1">IFERROR(__xludf.DUMMYFUNCTION("""COMPUTED_VALUE"""),"")</f>
        <v/>
      </c>
      <c r="S248" s="189" t="str">
        <f ca="1">IFERROR(__xludf.DUMMYFUNCTION("""COMPUTED_VALUE"""),"")</f>
        <v/>
      </c>
      <c r="T248" s="189" t="str">
        <f ca="1">IFERROR(__xludf.DUMMYFUNCTION("""COMPUTED_VALUE"""),"")</f>
        <v/>
      </c>
      <c r="U248" s="189" t="str">
        <f ca="1">IFERROR(__xludf.DUMMYFUNCTION("""COMPUTED_VALUE"""),"")</f>
        <v/>
      </c>
      <c r="V248" s="189" t="str">
        <f ca="1">IFERROR(__xludf.DUMMYFUNCTION("""COMPUTED_VALUE"""),"")</f>
        <v/>
      </c>
      <c r="W248" s="189" t="str">
        <f ca="1">IFERROR(__xludf.DUMMYFUNCTION("""COMPUTED_VALUE"""),"")</f>
        <v/>
      </c>
      <c r="X248" s="189" t="str">
        <f ca="1">IFERROR(__xludf.DUMMYFUNCTION("""COMPUTED_VALUE"""),"")</f>
        <v/>
      </c>
      <c r="Y248" s="189" t="str">
        <f ca="1">IFERROR(__xludf.DUMMYFUNCTION("""COMPUTED_VALUE"""),"")</f>
        <v/>
      </c>
      <c r="Z248" s="189"/>
    </row>
    <row r="249" spans="1:26" ht="12.75">
      <c r="A249" s="189" t="str">
        <f ca="1">IFERROR(__xludf.DUMMYFUNCTION("""COMPUTED_VALUE"""),"")</f>
        <v/>
      </c>
      <c r="B249" s="189" t="str">
        <f ca="1">IFERROR(__xludf.DUMMYFUNCTION("""COMPUTED_VALUE"""),"")</f>
        <v/>
      </c>
      <c r="C249" s="189" t="str">
        <f ca="1">IFERROR(__xludf.DUMMYFUNCTION("""COMPUTED_VALUE"""),"")</f>
        <v/>
      </c>
      <c r="D249" s="189" t="str">
        <f ca="1">IFERROR(__xludf.DUMMYFUNCTION("""COMPUTED_VALUE"""),"")</f>
        <v/>
      </c>
      <c r="E249" s="189" t="str">
        <f ca="1">IFERROR(__xludf.DUMMYFUNCTION("""COMPUTED_VALUE"""),"")</f>
        <v/>
      </c>
      <c r="F249" s="189" t="str">
        <f ca="1">IFERROR(__xludf.DUMMYFUNCTION("""COMPUTED_VALUE"""),"")</f>
        <v/>
      </c>
      <c r="G249" s="189" t="str">
        <f ca="1">IFERROR(__xludf.DUMMYFUNCTION("""COMPUTED_VALUE"""),"")</f>
        <v/>
      </c>
      <c r="H249" s="189" t="str">
        <f ca="1">IFERROR(__xludf.DUMMYFUNCTION("""COMPUTED_VALUE"""),"")</f>
        <v/>
      </c>
      <c r="I249" s="120" t="str">
        <f ca="1">IFERROR(__xludf.DUMMYFUNCTION("""COMPUTED_VALUE"""),"")</f>
        <v/>
      </c>
      <c r="J249" s="189" t="str">
        <f ca="1">IFERROR(__xludf.DUMMYFUNCTION("""COMPUTED_VALUE"""),"")</f>
        <v/>
      </c>
      <c r="K249" s="189" t="str">
        <f ca="1">IFERROR(__xludf.DUMMYFUNCTION("""COMPUTED_VALUE"""),"")</f>
        <v/>
      </c>
      <c r="L249" s="189" t="str">
        <f ca="1">IFERROR(__xludf.DUMMYFUNCTION("""COMPUTED_VALUE"""),"")</f>
        <v/>
      </c>
      <c r="M249" s="189" t="str">
        <f ca="1">IFERROR(__xludf.DUMMYFUNCTION("""COMPUTED_VALUE"""),"")</f>
        <v/>
      </c>
      <c r="N249" s="189" t="str">
        <f ca="1">IFERROR(__xludf.DUMMYFUNCTION("""COMPUTED_VALUE"""),"")</f>
        <v/>
      </c>
      <c r="O249" s="189" t="str">
        <f ca="1">IFERROR(__xludf.DUMMYFUNCTION("""COMPUTED_VALUE"""),"")</f>
        <v/>
      </c>
      <c r="P249" s="189" t="str">
        <f ca="1">IFERROR(__xludf.DUMMYFUNCTION("""COMPUTED_VALUE"""),"")</f>
        <v/>
      </c>
      <c r="Q249" s="189" t="str">
        <f ca="1">IFERROR(__xludf.DUMMYFUNCTION("""COMPUTED_VALUE"""),"")</f>
        <v/>
      </c>
      <c r="R249" s="189" t="str">
        <f ca="1">IFERROR(__xludf.DUMMYFUNCTION("""COMPUTED_VALUE"""),"")</f>
        <v/>
      </c>
      <c r="S249" s="189" t="str">
        <f ca="1">IFERROR(__xludf.DUMMYFUNCTION("""COMPUTED_VALUE"""),"")</f>
        <v/>
      </c>
      <c r="T249" s="189" t="str">
        <f ca="1">IFERROR(__xludf.DUMMYFUNCTION("""COMPUTED_VALUE"""),"")</f>
        <v/>
      </c>
      <c r="U249" s="189" t="str">
        <f ca="1">IFERROR(__xludf.DUMMYFUNCTION("""COMPUTED_VALUE"""),"")</f>
        <v/>
      </c>
      <c r="V249" s="189" t="str">
        <f ca="1">IFERROR(__xludf.DUMMYFUNCTION("""COMPUTED_VALUE"""),"")</f>
        <v/>
      </c>
      <c r="W249" s="189" t="str">
        <f ca="1">IFERROR(__xludf.DUMMYFUNCTION("""COMPUTED_VALUE"""),"")</f>
        <v/>
      </c>
      <c r="X249" s="189" t="str">
        <f ca="1">IFERROR(__xludf.DUMMYFUNCTION("""COMPUTED_VALUE"""),"")</f>
        <v/>
      </c>
      <c r="Y249" s="189" t="str">
        <f ca="1">IFERROR(__xludf.DUMMYFUNCTION("""COMPUTED_VALUE"""),"")</f>
        <v/>
      </c>
      <c r="Z249" s="189"/>
    </row>
    <row r="250" spans="1:26" ht="12.75">
      <c r="A250" s="189" t="str">
        <f ca="1">IFERROR(__xludf.DUMMYFUNCTION("""COMPUTED_VALUE"""),"")</f>
        <v/>
      </c>
      <c r="B250" s="189" t="str">
        <f ca="1">IFERROR(__xludf.DUMMYFUNCTION("""COMPUTED_VALUE"""),"")</f>
        <v/>
      </c>
      <c r="C250" s="189" t="str">
        <f ca="1">IFERROR(__xludf.DUMMYFUNCTION("""COMPUTED_VALUE"""),"")</f>
        <v/>
      </c>
      <c r="D250" s="189" t="str">
        <f ca="1">IFERROR(__xludf.DUMMYFUNCTION("""COMPUTED_VALUE"""),"")</f>
        <v/>
      </c>
      <c r="E250" s="189" t="str">
        <f ca="1">IFERROR(__xludf.DUMMYFUNCTION("""COMPUTED_VALUE"""),"")</f>
        <v/>
      </c>
      <c r="F250" s="189" t="str">
        <f ca="1">IFERROR(__xludf.DUMMYFUNCTION("""COMPUTED_VALUE"""),"")</f>
        <v/>
      </c>
      <c r="G250" s="189" t="str">
        <f ca="1">IFERROR(__xludf.DUMMYFUNCTION("""COMPUTED_VALUE"""),"")</f>
        <v/>
      </c>
      <c r="H250" s="189" t="str">
        <f ca="1">IFERROR(__xludf.DUMMYFUNCTION("""COMPUTED_VALUE"""),"")</f>
        <v/>
      </c>
      <c r="I250" s="120" t="str">
        <f ca="1">IFERROR(__xludf.DUMMYFUNCTION("""COMPUTED_VALUE"""),"")</f>
        <v/>
      </c>
      <c r="J250" s="189" t="str">
        <f ca="1">IFERROR(__xludf.DUMMYFUNCTION("""COMPUTED_VALUE"""),"")</f>
        <v/>
      </c>
      <c r="K250" s="189" t="str">
        <f ca="1">IFERROR(__xludf.DUMMYFUNCTION("""COMPUTED_VALUE"""),"")</f>
        <v/>
      </c>
      <c r="L250" s="189" t="str">
        <f ca="1">IFERROR(__xludf.DUMMYFUNCTION("""COMPUTED_VALUE"""),"")</f>
        <v/>
      </c>
      <c r="M250" s="189" t="str">
        <f ca="1">IFERROR(__xludf.DUMMYFUNCTION("""COMPUTED_VALUE"""),"")</f>
        <v/>
      </c>
      <c r="N250" s="189" t="str">
        <f ca="1">IFERROR(__xludf.DUMMYFUNCTION("""COMPUTED_VALUE"""),"")</f>
        <v/>
      </c>
      <c r="O250" s="189" t="str">
        <f ca="1">IFERROR(__xludf.DUMMYFUNCTION("""COMPUTED_VALUE"""),"")</f>
        <v/>
      </c>
      <c r="P250" s="189" t="str">
        <f ca="1">IFERROR(__xludf.DUMMYFUNCTION("""COMPUTED_VALUE"""),"")</f>
        <v/>
      </c>
      <c r="Q250" s="189" t="str">
        <f ca="1">IFERROR(__xludf.DUMMYFUNCTION("""COMPUTED_VALUE"""),"")</f>
        <v/>
      </c>
      <c r="R250" s="189" t="str">
        <f ca="1">IFERROR(__xludf.DUMMYFUNCTION("""COMPUTED_VALUE"""),"")</f>
        <v/>
      </c>
      <c r="S250" s="189" t="str">
        <f ca="1">IFERROR(__xludf.DUMMYFUNCTION("""COMPUTED_VALUE"""),"")</f>
        <v/>
      </c>
      <c r="T250" s="189" t="str">
        <f ca="1">IFERROR(__xludf.DUMMYFUNCTION("""COMPUTED_VALUE"""),"")</f>
        <v/>
      </c>
      <c r="U250" s="189" t="str">
        <f ca="1">IFERROR(__xludf.DUMMYFUNCTION("""COMPUTED_VALUE"""),"")</f>
        <v/>
      </c>
      <c r="V250" s="189" t="str">
        <f ca="1">IFERROR(__xludf.DUMMYFUNCTION("""COMPUTED_VALUE"""),"")</f>
        <v/>
      </c>
      <c r="W250" s="189" t="str">
        <f ca="1">IFERROR(__xludf.DUMMYFUNCTION("""COMPUTED_VALUE"""),"")</f>
        <v/>
      </c>
      <c r="X250" s="189" t="str">
        <f ca="1">IFERROR(__xludf.DUMMYFUNCTION("""COMPUTED_VALUE"""),"")</f>
        <v/>
      </c>
      <c r="Y250" s="189" t="str">
        <f ca="1">IFERROR(__xludf.DUMMYFUNCTION("""COMPUTED_VALUE"""),"")</f>
        <v/>
      </c>
      <c r="Z250" s="189"/>
    </row>
    <row r="251" spans="1:26" ht="12.75">
      <c r="A251" s="189" t="str">
        <f ca="1">IFERROR(__xludf.DUMMYFUNCTION("""COMPUTED_VALUE"""),"")</f>
        <v/>
      </c>
      <c r="B251" s="189" t="str">
        <f ca="1">IFERROR(__xludf.DUMMYFUNCTION("""COMPUTED_VALUE"""),"")</f>
        <v/>
      </c>
      <c r="C251" s="189" t="str">
        <f ca="1">IFERROR(__xludf.DUMMYFUNCTION("""COMPUTED_VALUE"""),"")</f>
        <v/>
      </c>
      <c r="D251" s="189" t="str">
        <f ca="1">IFERROR(__xludf.DUMMYFUNCTION("""COMPUTED_VALUE"""),"")</f>
        <v/>
      </c>
      <c r="E251" s="189" t="str">
        <f ca="1">IFERROR(__xludf.DUMMYFUNCTION("""COMPUTED_VALUE"""),"")</f>
        <v/>
      </c>
      <c r="F251" s="189" t="str">
        <f ca="1">IFERROR(__xludf.DUMMYFUNCTION("""COMPUTED_VALUE"""),"")</f>
        <v/>
      </c>
      <c r="G251" s="189" t="str">
        <f ca="1">IFERROR(__xludf.DUMMYFUNCTION("""COMPUTED_VALUE"""),"")</f>
        <v/>
      </c>
      <c r="H251" s="189" t="str">
        <f ca="1">IFERROR(__xludf.DUMMYFUNCTION("""COMPUTED_VALUE"""),"")</f>
        <v/>
      </c>
      <c r="I251" s="120" t="str">
        <f ca="1">IFERROR(__xludf.DUMMYFUNCTION("""COMPUTED_VALUE"""),"")</f>
        <v/>
      </c>
      <c r="J251" s="189" t="str">
        <f ca="1">IFERROR(__xludf.DUMMYFUNCTION("""COMPUTED_VALUE"""),"")</f>
        <v/>
      </c>
      <c r="K251" s="189" t="str">
        <f ca="1">IFERROR(__xludf.DUMMYFUNCTION("""COMPUTED_VALUE"""),"")</f>
        <v/>
      </c>
      <c r="L251" s="189" t="str">
        <f ca="1">IFERROR(__xludf.DUMMYFUNCTION("""COMPUTED_VALUE"""),"")</f>
        <v/>
      </c>
      <c r="M251" s="189" t="str">
        <f ca="1">IFERROR(__xludf.DUMMYFUNCTION("""COMPUTED_VALUE"""),"")</f>
        <v/>
      </c>
      <c r="N251" s="189" t="str">
        <f ca="1">IFERROR(__xludf.DUMMYFUNCTION("""COMPUTED_VALUE"""),"")</f>
        <v/>
      </c>
      <c r="O251" s="189" t="str">
        <f ca="1">IFERROR(__xludf.DUMMYFUNCTION("""COMPUTED_VALUE"""),"")</f>
        <v/>
      </c>
      <c r="P251" s="189" t="str">
        <f ca="1">IFERROR(__xludf.DUMMYFUNCTION("""COMPUTED_VALUE"""),"")</f>
        <v/>
      </c>
      <c r="Q251" s="189" t="str">
        <f ca="1">IFERROR(__xludf.DUMMYFUNCTION("""COMPUTED_VALUE"""),"")</f>
        <v/>
      </c>
      <c r="R251" s="189" t="str">
        <f ca="1">IFERROR(__xludf.DUMMYFUNCTION("""COMPUTED_VALUE"""),"")</f>
        <v/>
      </c>
      <c r="S251" s="189" t="str">
        <f ca="1">IFERROR(__xludf.DUMMYFUNCTION("""COMPUTED_VALUE"""),"")</f>
        <v/>
      </c>
      <c r="T251" s="189" t="str">
        <f ca="1">IFERROR(__xludf.DUMMYFUNCTION("""COMPUTED_VALUE"""),"")</f>
        <v/>
      </c>
      <c r="U251" s="189" t="str">
        <f ca="1">IFERROR(__xludf.DUMMYFUNCTION("""COMPUTED_VALUE"""),"")</f>
        <v/>
      </c>
      <c r="V251" s="189" t="str">
        <f ca="1">IFERROR(__xludf.DUMMYFUNCTION("""COMPUTED_VALUE"""),"")</f>
        <v/>
      </c>
      <c r="W251" s="189" t="str">
        <f ca="1">IFERROR(__xludf.DUMMYFUNCTION("""COMPUTED_VALUE"""),"")</f>
        <v/>
      </c>
      <c r="X251" s="189" t="str">
        <f ca="1">IFERROR(__xludf.DUMMYFUNCTION("""COMPUTED_VALUE"""),"")</f>
        <v/>
      </c>
      <c r="Y251" s="189" t="str">
        <f ca="1">IFERROR(__xludf.DUMMYFUNCTION("""COMPUTED_VALUE"""),"")</f>
        <v/>
      </c>
      <c r="Z251" s="189"/>
    </row>
    <row r="252" spans="1:26" ht="12.75">
      <c r="A252" s="189" t="str">
        <f ca="1">IFERROR(__xludf.DUMMYFUNCTION("""COMPUTED_VALUE"""),"")</f>
        <v/>
      </c>
      <c r="B252" s="189" t="str">
        <f ca="1">IFERROR(__xludf.DUMMYFUNCTION("""COMPUTED_VALUE"""),"")</f>
        <v/>
      </c>
      <c r="C252" s="189" t="str">
        <f ca="1">IFERROR(__xludf.DUMMYFUNCTION("""COMPUTED_VALUE"""),"")</f>
        <v/>
      </c>
      <c r="D252" s="189" t="str">
        <f ca="1">IFERROR(__xludf.DUMMYFUNCTION("""COMPUTED_VALUE"""),"")</f>
        <v/>
      </c>
      <c r="E252" s="189" t="str">
        <f ca="1">IFERROR(__xludf.DUMMYFUNCTION("""COMPUTED_VALUE"""),"")</f>
        <v/>
      </c>
      <c r="F252" s="189" t="str">
        <f ca="1">IFERROR(__xludf.DUMMYFUNCTION("""COMPUTED_VALUE"""),"")</f>
        <v/>
      </c>
      <c r="G252" s="189" t="str">
        <f ca="1">IFERROR(__xludf.DUMMYFUNCTION("""COMPUTED_VALUE"""),"")</f>
        <v/>
      </c>
      <c r="H252" s="189" t="str">
        <f ca="1">IFERROR(__xludf.DUMMYFUNCTION("""COMPUTED_VALUE"""),"")</f>
        <v/>
      </c>
      <c r="I252" s="120" t="str">
        <f ca="1">IFERROR(__xludf.DUMMYFUNCTION("""COMPUTED_VALUE"""),"")</f>
        <v/>
      </c>
      <c r="J252" s="189" t="str">
        <f ca="1">IFERROR(__xludf.DUMMYFUNCTION("""COMPUTED_VALUE"""),"")</f>
        <v/>
      </c>
      <c r="K252" s="189" t="str">
        <f ca="1">IFERROR(__xludf.DUMMYFUNCTION("""COMPUTED_VALUE"""),"")</f>
        <v/>
      </c>
      <c r="L252" s="189" t="str">
        <f ca="1">IFERROR(__xludf.DUMMYFUNCTION("""COMPUTED_VALUE"""),"")</f>
        <v/>
      </c>
      <c r="M252" s="189" t="str">
        <f ca="1">IFERROR(__xludf.DUMMYFUNCTION("""COMPUTED_VALUE"""),"")</f>
        <v/>
      </c>
      <c r="N252" s="189" t="str">
        <f ca="1">IFERROR(__xludf.DUMMYFUNCTION("""COMPUTED_VALUE"""),"")</f>
        <v/>
      </c>
      <c r="O252" s="189" t="str">
        <f ca="1">IFERROR(__xludf.DUMMYFUNCTION("""COMPUTED_VALUE"""),"")</f>
        <v/>
      </c>
      <c r="P252" s="189" t="str">
        <f ca="1">IFERROR(__xludf.DUMMYFUNCTION("""COMPUTED_VALUE"""),"")</f>
        <v/>
      </c>
      <c r="Q252" s="189" t="str">
        <f ca="1">IFERROR(__xludf.DUMMYFUNCTION("""COMPUTED_VALUE"""),"")</f>
        <v/>
      </c>
      <c r="R252" s="189" t="str">
        <f ca="1">IFERROR(__xludf.DUMMYFUNCTION("""COMPUTED_VALUE"""),"")</f>
        <v/>
      </c>
      <c r="S252" s="189" t="str">
        <f ca="1">IFERROR(__xludf.DUMMYFUNCTION("""COMPUTED_VALUE"""),"")</f>
        <v/>
      </c>
      <c r="T252" s="189" t="str">
        <f ca="1">IFERROR(__xludf.DUMMYFUNCTION("""COMPUTED_VALUE"""),"")</f>
        <v/>
      </c>
      <c r="U252" s="189" t="str">
        <f ca="1">IFERROR(__xludf.DUMMYFUNCTION("""COMPUTED_VALUE"""),"")</f>
        <v/>
      </c>
      <c r="V252" s="189" t="str">
        <f ca="1">IFERROR(__xludf.DUMMYFUNCTION("""COMPUTED_VALUE"""),"")</f>
        <v/>
      </c>
      <c r="W252" s="189" t="str">
        <f ca="1">IFERROR(__xludf.DUMMYFUNCTION("""COMPUTED_VALUE"""),"")</f>
        <v/>
      </c>
      <c r="X252" s="189" t="str">
        <f ca="1">IFERROR(__xludf.DUMMYFUNCTION("""COMPUTED_VALUE"""),"")</f>
        <v/>
      </c>
      <c r="Y252" s="189" t="str">
        <f ca="1">IFERROR(__xludf.DUMMYFUNCTION("""COMPUTED_VALUE"""),"")</f>
        <v/>
      </c>
      <c r="Z252" s="189"/>
    </row>
    <row r="253" spans="1:26" ht="12.75">
      <c r="A253" s="189" t="str">
        <f ca="1">IFERROR(__xludf.DUMMYFUNCTION("""COMPUTED_VALUE"""),"")</f>
        <v/>
      </c>
      <c r="B253" s="189" t="str">
        <f ca="1">IFERROR(__xludf.DUMMYFUNCTION("""COMPUTED_VALUE"""),"")</f>
        <v/>
      </c>
      <c r="C253" s="189" t="str">
        <f ca="1">IFERROR(__xludf.DUMMYFUNCTION("""COMPUTED_VALUE"""),"")</f>
        <v/>
      </c>
      <c r="D253" s="189" t="str">
        <f ca="1">IFERROR(__xludf.DUMMYFUNCTION("""COMPUTED_VALUE"""),"")</f>
        <v/>
      </c>
      <c r="E253" s="189" t="str">
        <f ca="1">IFERROR(__xludf.DUMMYFUNCTION("""COMPUTED_VALUE"""),"")</f>
        <v/>
      </c>
      <c r="F253" s="189" t="str">
        <f ca="1">IFERROR(__xludf.DUMMYFUNCTION("""COMPUTED_VALUE"""),"")</f>
        <v/>
      </c>
      <c r="G253" s="189" t="str">
        <f ca="1">IFERROR(__xludf.DUMMYFUNCTION("""COMPUTED_VALUE"""),"")</f>
        <v/>
      </c>
      <c r="H253" s="189" t="str">
        <f ca="1">IFERROR(__xludf.DUMMYFUNCTION("""COMPUTED_VALUE"""),"")</f>
        <v/>
      </c>
      <c r="I253" s="120" t="str">
        <f ca="1">IFERROR(__xludf.DUMMYFUNCTION("""COMPUTED_VALUE"""),"")</f>
        <v/>
      </c>
      <c r="J253" s="189" t="str">
        <f ca="1">IFERROR(__xludf.DUMMYFUNCTION("""COMPUTED_VALUE"""),"")</f>
        <v/>
      </c>
      <c r="K253" s="189" t="str">
        <f ca="1">IFERROR(__xludf.DUMMYFUNCTION("""COMPUTED_VALUE"""),"")</f>
        <v/>
      </c>
      <c r="L253" s="189" t="str">
        <f ca="1">IFERROR(__xludf.DUMMYFUNCTION("""COMPUTED_VALUE"""),"")</f>
        <v/>
      </c>
      <c r="M253" s="189" t="str">
        <f ca="1">IFERROR(__xludf.DUMMYFUNCTION("""COMPUTED_VALUE"""),"")</f>
        <v/>
      </c>
      <c r="N253" s="189" t="str">
        <f ca="1">IFERROR(__xludf.DUMMYFUNCTION("""COMPUTED_VALUE"""),"")</f>
        <v/>
      </c>
      <c r="O253" s="189" t="str">
        <f ca="1">IFERROR(__xludf.DUMMYFUNCTION("""COMPUTED_VALUE"""),"")</f>
        <v/>
      </c>
      <c r="P253" s="189" t="str">
        <f ca="1">IFERROR(__xludf.DUMMYFUNCTION("""COMPUTED_VALUE"""),"")</f>
        <v/>
      </c>
      <c r="Q253" s="189" t="str">
        <f ca="1">IFERROR(__xludf.DUMMYFUNCTION("""COMPUTED_VALUE"""),"")</f>
        <v/>
      </c>
      <c r="R253" s="189" t="str">
        <f ca="1">IFERROR(__xludf.DUMMYFUNCTION("""COMPUTED_VALUE"""),"")</f>
        <v/>
      </c>
      <c r="S253" s="189" t="str">
        <f ca="1">IFERROR(__xludf.DUMMYFUNCTION("""COMPUTED_VALUE"""),"")</f>
        <v/>
      </c>
      <c r="T253" s="189" t="str">
        <f ca="1">IFERROR(__xludf.DUMMYFUNCTION("""COMPUTED_VALUE"""),"")</f>
        <v/>
      </c>
      <c r="U253" s="189" t="str">
        <f ca="1">IFERROR(__xludf.DUMMYFUNCTION("""COMPUTED_VALUE"""),"")</f>
        <v/>
      </c>
      <c r="V253" s="189" t="str">
        <f ca="1">IFERROR(__xludf.DUMMYFUNCTION("""COMPUTED_VALUE"""),"")</f>
        <v/>
      </c>
      <c r="W253" s="189" t="str">
        <f ca="1">IFERROR(__xludf.DUMMYFUNCTION("""COMPUTED_VALUE"""),"")</f>
        <v/>
      </c>
      <c r="X253" s="189" t="str">
        <f ca="1">IFERROR(__xludf.DUMMYFUNCTION("""COMPUTED_VALUE"""),"")</f>
        <v/>
      </c>
      <c r="Y253" s="189" t="str">
        <f ca="1">IFERROR(__xludf.DUMMYFUNCTION("""COMPUTED_VALUE"""),"")</f>
        <v/>
      </c>
      <c r="Z253" s="189"/>
    </row>
    <row r="254" spans="1:26" ht="12.75">
      <c r="A254" s="189" t="str">
        <f ca="1">IFERROR(__xludf.DUMMYFUNCTION("""COMPUTED_VALUE"""),"")</f>
        <v/>
      </c>
      <c r="B254" s="189" t="str">
        <f ca="1">IFERROR(__xludf.DUMMYFUNCTION("""COMPUTED_VALUE"""),"")</f>
        <v/>
      </c>
      <c r="C254" s="189" t="str">
        <f ca="1">IFERROR(__xludf.DUMMYFUNCTION("""COMPUTED_VALUE"""),"")</f>
        <v/>
      </c>
      <c r="D254" s="189" t="str">
        <f ca="1">IFERROR(__xludf.DUMMYFUNCTION("""COMPUTED_VALUE"""),"")</f>
        <v/>
      </c>
      <c r="E254" s="189" t="str">
        <f ca="1">IFERROR(__xludf.DUMMYFUNCTION("""COMPUTED_VALUE"""),"")</f>
        <v/>
      </c>
      <c r="F254" s="189" t="str">
        <f ca="1">IFERROR(__xludf.DUMMYFUNCTION("""COMPUTED_VALUE"""),"")</f>
        <v/>
      </c>
      <c r="G254" s="189" t="str">
        <f ca="1">IFERROR(__xludf.DUMMYFUNCTION("""COMPUTED_VALUE"""),"")</f>
        <v/>
      </c>
      <c r="H254" s="189" t="str">
        <f ca="1">IFERROR(__xludf.DUMMYFUNCTION("""COMPUTED_VALUE"""),"")</f>
        <v/>
      </c>
      <c r="I254" s="120" t="str">
        <f ca="1">IFERROR(__xludf.DUMMYFUNCTION("""COMPUTED_VALUE"""),"")</f>
        <v/>
      </c>
      <c r="J254" s="189" t="str">
        <f ca="1">IFERROR(__xludf.DUMMYFUNCTION("""COMPUTED_VALUE"""),"")</f>
        <v/>
      </c>
      <c r="K254" s="189" t="str">
        <f ca="1">IFERROR(__xludf.DUMMYFUNCTION("""COMPUTED_VALUE"""),"")</f>
        <v/>
      </c>
      <c r="L254" s="189" t="str">
        <f ca="1">IFERROR(__xludf.DUMMYFUNCTION("""COMPUTED_VALUE"""),"")</f>
        <v/>
      </c>
      <c r="M254" s="189" t="str">
        <f ca="1">IFERROR(__xludf.DUMMYFUNCTION("""COMPUTED_VALUE"""),"")</f>
        <v/>
      </c>
      <c r="N254" s="189" t="str">
        <f ca="1">IFERROR(__xludf.DUMMYFUNCTION("""COMPUTED_VALUE"""),"")</f>
        <v/>
      </c>
      <c r="O254" s="189" t="str">
        <f ca="1">IFERROR(__xludf.DUMMYFUNCTION("""COMPUTED_VALUE"""),"")</f>
        <v/>
      </c>
      <c r="P254" s="189" t="str">
        <f ca="1">IFERROR(__xludf.DUMMYFUNCTION("""COMPUTED_VALUE"""),"")</f>
        <v/>
      </c>
      <c r="Q254" s="189" t="str">
        <f ca="1">IFERROR(__xludf.DUMMYFUNCTION("""COMPUTED_VALUE"""),"")</f>
        <v/>
      </c>
      <c r="R254" s="189" t="str">
        <f ca="1">IFERROR(__xludf.DUMMYFUNCTION("""COMPUTED_VALUE"""),"")</f>
        <v/>
      </c>
      <c r="S254" s="189" t="str">
        <f ca="1">IFERROR(__xludf.DUMMYFUNCTION("""COMPUTED_VALUE"""),"")</f>
        <v/>
      </c>
      <c r="T254" s="189" t="str">
        <f ca="1">IFERROR(__xludf.DUMMYFUNCTION("""COMPUTED_VALUE"""),"")</f>
        <v/>
      </c>
      <c r="U254" s="189" t="str">
        <f ca="1">IFERROR(__xludf.DUMMYFUNCTION("""COMPUTED_VALUE"""),"")</f>
        <v/>
      </c>
      <c r="V254" s="189" t="str">
        <f ca="1">IFERROR(__xludf.DUMMYFUNCTION("""COMPUTED_VALUE"""),"")</f>
        <v/>
      </c>
      <c r="W254" s="189" t="str">
        <f ca="1">IFERROR(__xludf.DUMMYFUNCTION("""COMPUTED_VALUE"""),"")</f>
        <v/>
      </c>
      <c r="X254" s="189" t="str">
        <f ca="1">IFERROR(__xludf.DUMMYFUNCTION("""COMPUTED_VALUE"""),"")</f>
        <v/>
      </c>
      <c r="Y254" s="189" t="str">
        <f ca="1">IFERROR(__xludf.DUMMYFUNCTION("""COMPUTED_VALUE"""),"")</f>
        <v/>
      </c>
      <c r="Z254" s="189"/>
    </row>
    <row r="255" spans="1:26" ht="12.75">
      <c r="A255" s="189" t="str">
        <f ca="1">IFERROR(__xludf.DUMMYFUNCTION("""COMPUTED_VALUE"""),"")</f>
        <v/>
      </c>
      <c r="B255" s="189" t="str">
        <f ca="1">IFERROR(__xludf.DUMMYFUNCTION("""COMPUTED_VALUE"""),"")</f>
        <v/>
      </c>
      <c r="C255" s="189" t="str">
        <f ca="1">IFERROR(__xludf.DUMMYFUNCTION("""COMPUTED_VALUE"""),"")</f>
        <v/>
      </c>
      <c r="D255" s="189" t="str">
        <f ca="1">IFERROR(__xludf.DUMMYFUNCTION("""COMPUTED_VALUE"""),"")</f>
        <v/>
      </c>
      <c r="E255" s="189" t="str">
        <f ca="1">IFERROR(__xludf.DUMMYFUNCTION("""COMPUTED_VALUE"""),"")</f>
        <v/>
      </c>
      <c r="F255" s="189" t="str">
        <f ca="1">IFERROR(__xludf.DUMMYFUNCTION("""COMPUTED_VALUE"""),"")</f>
        <v/>
      </c>
      <c r="G255" s="189" t="str">
        <f ca="1">IFERROR(__xludf.DUMMYFUNCTION("""COMPUTED_VALUE"""),"")</f>
        <v/>
      </c>
      <c r="H255" s="189" t="str">
        <f ca="1">IFERROR(__xludf.DUMMYFUNCTION("""COMPUTED_VALUE"""),"")</f>
        <v/>
      </c>
      <c r="I255" s="120" t="str">
        <f ca="1">IFERROR(__xludf.DUMMYFUNCTION("""COMPUTED_VALUE"""),"")</f>
        <v/>
      </c>
      <c r="J255" s="189" t="str">
        <f ca="1">IFERROR(__xludf.DUMMYFUNCTION("""COMPUTED_VALUE"""),"")</f>
        <v/>
      </c>
      <c r="K255" s="189" t="str">
        <f ca="1">IFERROR(__xludf.DUMMYFUNCTION("""COMPUTED_VALUE"""),"")</f>
        <v/>
      </c>
      <c r="L255" s="189" t="str">
        <f ca="1">IFERROR(__xludf.DUMMYFUNCTION("""COMPUTED_VALUE"""),"")</f>
        <v/>
      </c>
      <c r="M255" s="189" t="str">
        <f ca="1">IFERROR(__xludf.DUMMYFUNCTION("""COMPUTED_VALUE"""),"")</f>
        <v/>
      </c>
      <c r="N255" s="189" t="str">
        <f ca="1">IFERROR(__xludf.DUMMYFUNCTION("""COMPUTED_VALUE"""),"")</f>
        <v/>
      </c>
      <c r="O255" s="189" t="str">
        <f ca="1">IFERROR(__xludf.DUMMYFUNCTION("""COMPUTED_VALUE"""),"")</f>
        <v/>
      </c>
      <c r="P255" s="189" t="str">
        <f ca="1">IFERROR(__xludf.DUMMYFUNCTION("""COMPUTED_VALUE"""),"")</f>
        <v/>
      </c>
      <c r="Q255" s="189" t="str">
        <f ca="1">IFERROR(__xludf.DUMMYFUNCTION("""COMPUTED_VALUE"""),"")</f>
        <v/>
      </c>
      <c r="R255" s="189" t="str">
        <f ca="1">IFERROR(__xludf.DUMMYFUNCTION("""COMPUTED_VALUE"""),"")</f>
        <v/>
      </c>
      <c r="S255" s="189" t="str">
        <f ca="1">IFERROR(__xludf.DUMMYFUNCTION("""COMPUTED_VALUE"""),"")</f>
        <v/>
      </c>
      <c r="T255" s="189" t="str">
        <f ca="1">IFERROR(__xludf.DUMMYFUNCTION("""COMPUTED_VALUE"""),"")</f>
        <v/>
      </c>
      <c r="U255" s="189" t="str">
        <f ca="1">IFERROR(__xludf.DUMMYFUNCTION("""COMPUTED_VALUE"""),"")</f>
        <v/>
      </c>
      <c r="V255" s="189" t="str">
        <f ca="1">IFERROR(__xludf.DUMMYFUNCTION("""COMPUTED_VALUE"""),"")</f>
        <v/>
      </c>
      <c r="W255" s="189" t="str">
        <f ca="1">IFERROR(__xludf.DUMMYFUNCTION("""COMPUTED_VALUE"""),"")</f>
        <v/>
      </c>
      <c r="X255" s="189" t="str">
        <f ca="1">IFERROR(__xludf.DUMMYFUNCTION("""COMPUTED_VALUE"""),"")</f>
        <v/>
      </c>
      <c r="Y255" s="189" t="str">
        <f ca="1">IFERROR(__xludf.DUMMYFUNCTION("""COMPUTED_VALUE"""),"")</f>
        <v/>
      </c>
      <c r="Z255" s="189"/>
    </row>
    <row r="256" spans="1:26" ht="12.75">
      <c r="A256" s="189" t="str">
        <f ca="1">IFERROR(__xludf.DUMMYFUNCTION("""COMPUTED_VALUE"""),"")</f>
        <v/>
      </c>
      <c r="B256" s="189" t="str">
        <f ca="1">IFERROR(__xludf.DUMMYFUNCTION("""COMPUTED_VALUE"""),"")</f>
        <v/>
      </c>
      <c r="C256" s="189" t="str">
        <f ca="1">IFERROR(__xludf.DUMMYFUNCTION("""COMPUTED_VALUE"""),"")</f>
        <v/>
      </c>
      <c r="D256" s="189" t="str">
        <f ca="1">IFERROR(__xludf.DUMMYFUNCTION("""COMPUTED_VALUE"""),"")</f>
        <v/>
      </c>
      <c r="E256" s="189" t="str">
        <f ca="1">IFERROR(__xludf.DUMMYFUNCTION("""COMPUTED_VALUE"""),"")</f>
        <v/>
      </c>
      <c r="F256" s="189" t="str">
        <f ca="1">IFERROR(__xludf.DUMMYFUNCTION("""COMPUTED_VALUE"""),"")</f>
        <v/>
      </c>
      <c r="G256" s="189" t="str">
        <f ca="1">IFERROR(__xludf.DUMMYFUNCTION("""COMPUTED_VALUE"""),"")</f>
        <v/>
      </c>
      <c r="H256" s="189" t="str">
        <f ca="1">IFERROR(__xludf.DUMMYFUNCTION("""COMPUTED_VALUE"""),"")</f>
        <v/>
      </c>
      <c r="I256" s="120" t="str">
        <f ca="1">IFERROR(__xludf.DUMMYFUNCTION("""COMPUTED_VALUE"""),"")</f>
        <v/>
      </c>
      <c r="J256" s="189" t="str">
        <f ca="1">IFERROR(__xludf.DUMMYFUNCTION("""COMPUTED_VALUE"""),"")</f>
        <v/>
      </c>
      <c r="K256" s="189" t="str">
        <f ca="1">IFERROR(__xludf.DUMMYFUNCTION("""COMPUTED_VALUE"""),"")</f>
        <v/>
      </c>
      <c r="L256" s="189" t="str">
        <f ca="1">IFERROR(__xludf.DUMMYFUNCTION("""COMPUTED_VALUE"""),"")</f>
        <v/>
      </c>
      <c r="M256" s="189" t="str">
        <f ca="1">IFERROR(__xludf.DUMMYFUNCTION("""COMPUTED_VALUE"""),"")</f>
        <v/>
      </c>
      <c r="N256" s="189" t="str">
        <f ca="1">IFERROR(__xludf.DUMMYFUNCTION("""COMPUTED_VALUE"""),"")</f>
        <v/>
      </c>
      <c r="O256" s="189" t="str">
        <f ca="1">IFERROR(__xludf.DUMMYFUNCTION("""COMPUTED_VALUE"""),"")</f>
        <v/>
      </c>
      <c r="P256" s="189" t="str">
        <f ca="1">IFERROR(__xludf.DUMMYFUNCTION("""COMPUTED_VALUE"""),"")</f>
        <v/>
      </c>
      <c r="Q256" s="189" t="str">
        <f ca="1">IFERROR(__xludf.DUMMYFUNCTION("""COMPUTED_VALUE"""),"")</f>
        <v/>
      </c>
      <c r="R256" s="189" t="str">
        <f ca="1">IFERROR(__xludf.DUMMYFUNCTION("""COMPUTED_VALUE"""),"")</f>
        <v/>
      </c>
      <c r="S256" s="189" t="str">
        <f ca="1">IFERROR(__xludf.DUMMYFUNCTION("""COMPUTED_VALUE"""),"")</f>
        <v/>
      </c>
      <c r="T256" s="189" t="str">
        <f ca="1">IFERROR(__xludf.DUMMYFUNCTION("""COMPUTED_VALUE"""),"")</f>
        <v/>
      </c>
      <c r="U256" s="189" t="str">
        <f ca="1">IFERROR(__xludf.DUMMYFUNCTION("""COMPUTED_VALUE"""),"")</f>
        <v/>
      </c>
      <c r="V256" s="189" t="str">
        <f ca="1">IFERROR(__xludf.DUMMYFUNCTION("""COMPUTED_VALUE"""),"")</f>
        <v/>
      </c>
      <c r="W256" s="189" t="str">
        <f ca="1">IFERROR(__xludf.DUMMYFUNCTION("""COMPUTED_VALUE"""),"")</f>
        <v/>
      </c>
      <c r="X256" s="189" t="str">
        <f ca="1">IFERROR(__xludf.DUMMYFUNCTION("""COMPUTED_VALUE"""),"")</f>
        <v/>
      </c>
      <c r="Y256" s="189" t="str">
        <f ca="1">IFERROR(__xludf.DUMMYFUNCTION("""COMPUTED_VALUE"""),"")</f>
        <v/>
      </c>
      <c r="Z256" s="189"/>
    </row>
    <row r="257" spans="1:26" ht="12.75">
      <c r="A257" s="189" t="str">
        <f ca="1">IFERROR(__xludf.DUMMYFUNCTION("""COMPUTED_VALUE"""),"")</f>
        <v/>
      </c>
      <c r="B257" s="189" t="str">
        <f ca="1">IFERROR(__xludf.DUMMYFUNCTION("""COMPUTED_VALUE"""),"")</f>
        <v/>
      </c>
      <c r="C257" s="189" t="str">
        <f ca="1">IFERROR(__xludf.DUMMYFUNCTION("""COMPUTED_VALUE"""),"")</f>
        <v/>
      </c>
      <c r="D257" s="189" t="str">
        <f ca="1">IFERROR(__xludf.DUMMYFUNCTION("""COMPUTED_VALUE"""),"")</f>
        <v/>
      </c>
      <c r="E257" s="189" t="str">
        <f ca="1">IFERROR(__xludf.DUMMYFUNCTION("""COMPUTED_VALUE"""),"")</f>
        <v/>
      </c>
      <c r="F257" s="189" t="str">
        <f ca="1">IFERROR(__xludf.DUMMYFUNCTION("""COMPUTED_VALUE"""),"")</f>
        <v/>
      </c>
      <c r="G257" s="189" t="str">
        <f ca="1">IFERROR(__xludf.DUMMYFUNCTION("""COMPUTED_VALUE"""),"")</f>
        <v/>
      </c>
      <c r="H257" s="189" t="str">
        <f ca="1">IFERROR(__xludf.DUMMYFUNCTION("""COMPUTED_VALUE"""),"")</f>
        <v/>
      </c>
      <c r="I257" s="120" t="str">
        <f ca="1">IFERROR(__xludf.DUMMYFUNCTION("""COMPUTED_VALUE"""),"")</f>
        <v/>
      </c>
      <c r="J257" s="189" t="str">
        <f ca="1">IFERROR(__xludf.DUMMYFUNCTION("""COMPUTED_VALUE"""),"")</f>
        <v/>
      </c>
      <c r="K257" s="189" t="str">
        <f ca="1">IFERROR(__xludf.DUMMYFUNCTION("""COMPUTED_VALUE"""),"")</f>
        <v/>
      </c>
      <c r="L257" s="189" t="str">
        <f ca="1">IFERROR(__xludf.DUMMYFUNCTION("""COMPUTED_VALUE"""),"")</f>
        <v/>
      </c>
      <c r="M257" s="189" t="str">
        <f ca="1">IFERROR(__xludf.DUMMYFUNCTION("""COMPUTED_VALUE"""),"")</f>
        <v/>
      </c>
      <c r="N257" s="189" t="str">
        <f ca="1">IFERROR(__xludf.DUMMYFUNCTION("""COMPUTED_VALUE"""),"")</f>
        <v/>
      </c>
      <c r="O257" s="189" t="str">
        <f ca="1">IFERROR(__xludf.DUMMYFUNCTION("""COMPUTED_VALUE"""),"")</f>
        <v/>
      </c>
      <c r="P257" s="189" t="str">
        <f ca="1">IFERROR(__xludf.DUMMYFUNCTION("""COMPUTED_VALUE"""),"")</f>
        <v/>
      </c>
      <c r="Q257" s="189" t="str">
        <f ca="1">IFERROR(__xludf.DUMMYFUNCTION("""COMPUTED_VALUE"""),"")</f>
        <v/>
      </c>
      <c r="R257" s="189" t="str">
        <f ca="1">IFERROR(__xludf.DUMMYFUNCTION("""COMPUTED_VALUE"""),"")</f>
        <v/>
      </c>
      <c r="S257" s="189" t="str">
        <f ca="1">IFERROR(__xludf.DUMMYFUNCTION("""COMPUTED_VALUE"""),"")</f>
        <v/>
      </c>
      <c r="T257" s="189" t="str">
        <f ca="1">IFERROR(__xludf.DUMMYFUNCTION("""COMPUTED_VALUE"""),"")</f>
        <v/>
      </c>
      <c r="U257" s="189" t="str">
        <f ca="1">IFERROR(__xludf.DUMMYFUNCTION("""COMPUTED_VALUE"""),"")</f>
        <v/>
      </c>
      <c r="V257" s="189" t="str">
        <f ca="1">IFERROR(__xludf.DUMMYFUNCTION("""COMPUTED_VALUE"""),"")</f>
        <v/>
      </c>
      <c r="W257" s="189" t="str">
        <f ca="1">IFERROR(__xludf.DUMMYFUNCTION("""COMPUTED_VALUE"""),"")</f>
        <v/>
      </c>
      <c r="X257" s="189" t="str">
        <f ca="1">IFERROR(__xludf.DUMMYFUNCTION("""COMPUTED_VALUE"""),"")</f>
        <v/>
      </c>
      <c r="Y257" s="189" t="str">
        <f ca="1">IFERROR(__xludf.DUMMYFUNCTION("""COMPUTED_VALUE"""),"")</f>
        <v/>
      </c>
      <c r="Z257" s="189"/>
    </row>
    <row r="258" spans="1:26" ht="12.75">
      <c r="A258" s="189" t="str">
        <f ca="1">IFERROR(__xludf.DUMMYFUNCTION("""COMPUTED_VALUE"""),"")</f>
        <v/>
      </c>
      <c r="B258" s="189" t="str">
        <f ca="1">IFERROR(__xludf.DUMMYFUNCTION("""COMPUTED_VALUE"""),"")</f>
        <v/>
      </c>
      <c r="C258" s="189" t="str">
        <f ca="1">IFERROR(__xludf.DUMMYFUNCTION("""COMPUTED_VALUE"""),"")</f>
        <v/>
      </c>
      <c r="D258" s="189" t="str">
        <f ca="1">IFERROR(__xludf.DUMMYFUNCTION("""COMPUTED_VALUE"""),"")</f>
        <v/>
      </c>
      <c r="E258" s="189" t="str">
        <f ca="1">IFERROR(__xludf.DUMMYFUNCTION("""COMPUTED_VALUE"""),"")</f>
        <v/>
      </c>
      <c r="F258" s="189" t="str">
        <f ca="1">IFERROR(__xludf.DUMMYFUNCTION("""COMPUTED_VALUE"""),"")</f>
        <v/>
      </c>
      <c r="G258" s="189" t="str">
        <f ca="1">IFERROR(__xludf.DUMMYFUNCTION("""COMPUTED_VALUE"""),"")</f>
        <v/>
      </c>
      <c r="H258" s="189" t="str">
        <f ca="1">IFERROR(__xludf.DUMMYFUNCTION("""COMPUTED_VALUE"""),"")</f>
        <v/>
      </c>
      <c r="I258" s="120" t="str">
        <f ca="1">IFERROR(__xludf.DUMMYFUNCTION("""COMPUTED_VALUE"""),"")</f>
        <v/>
      </c>
      <c r="J258" s="189" t="str">
        <f ca="1">IFERROR(__xludf.DUMMYFUNCTION("""COMPUTED_VALUE"""),"")</f>
        <v/>
      </c>
      <c r="K258" s="189" t="str">
        <f ca="1">IFERROR(__xludf.DUMMYFUNCTION("""COMPUTED_VALUE"""),"")</f>
        <v/>
      </c>
      <c r="L258" s="189" t="str">
        <f ca="1">IFERROR(__xludf.DUMMYFUNCTION("""COMPUTED_VALUE"""),"")</f>
        <v/>
      </c>
      <c r="M258" s="189" t="str">
        <f ca="1">IFERROR(__xludf.DUMMYFUNCTION("""COMPUTED_VALUE"""),"")</f>
        <v/>
      </c>
      <c r="N258" s="189" t="str">
        <f ca="1">IFERROR(__xludf.DUMMYFUNCTION("""COMPUTED_VALUE"""),"")</f>
        <v/>
      </c>
      <c r="O258" s="189" t="str">
        <f ca="1">IFERROR(__xludf.DUMMYFUNCTION("""COMPUTED_VALUE"""),"")</f>
        <v/>
      </c>
      <c r="P258" s="189" t="str">
        <f ca="1">IFERROR(__xludf.DUMMYFUNCTION("""COMPUTED_VALUE"""),"")</f>
        <v/>
      </c>
      <c r="Q258" s="189" t="str">
        <f ca="1">IFERROR(__xludf.DUMMYFUNCTION("""COMPUTED_VALUE"""),"")</f>
        <v/>
      </c>
      <c r="R258" s="189" t="str">
        <f ca="1">IFERROR(__xludf.DUMMYFUNCTION("""COMPUTED_VALUE"""),"")</f>
        <v/>
      </c>
      <c r="S258" s="189" t="str">
        <f ca="1">IFERROR(__xludf.DUMMYFUNCTION("""COMPUTED_VALUE"""),"")</f>
        <v/>
      </c>
      <c r="T258" s="189" t="str">
        <f ca="1">IFERROR(__xludf.DUMMYFUNCTION("""COMPUTED_VALUE"""),"")</f>
        <v/>
      </c>
      <c r="U258" s="189" t="str">
        <f ca="1">IFERROR(__xludf.DUMMYFUNCTION("""COMPUTED_VALUE"""),"")</f>
        <v/>
      </c>
      <c r="V258" s="189" t="str">
        <f ca="1">IFERROR(__xludf.DUMMYFUNCTION("""COMPUTED_VALUE"""),"")</f>
        <v/>
      </c>
      <c r="W258" s="189" t="str">
        <f ca="1">IFERROR(__xludf.DUMMYFUNCTION("""COMPUTED_VALUE"""),"")</f>
        <v/>
      </c>
      <c r="X258" s="189" t="str">
        <f ca="1">IFERROR(__xludf.DUMMYFUNCTION("""COMPUTED_VALUE"""),"")</f>
        <v/>
      </c>
      <c r="Y258" s="189" t="str">
        <f ca="1">IFERROR(__xludf.DUMMYFUNCTION("""COMPUTED_VALUE"""),"")</f>
        <v/>
      </c>
      <c r="Z258" s="189"/>
    </row>
    <row r="259" spans="1:26" ht="12.75">
      <c r="A259" s="189" t="str">
        <f ca="1">IFERROR(__xludf.DUMMYFUNCTION("""COMPUTED_VALUE"""),"")</f>
        <v/>
      </c>
      <c r="B259" s="189" t="str">
        <f ca="1">IFERROR(__xludf.DUMMYFUNCTION("""COMPUTED_VALUE"""),"")</f>
        <v/>
      </c>
      <c r="C259" s="189" t="str">
        <f ca="1">IFERROR(__xludf.DUMMYFUNCTION("""COMPUTED_VALUE"""),"")</f>
        <v/>
      </c>
      <c r="D259" s="189" t="str">
        <f ca="1">IFERROR(__xludf.DUMMYFUNCTION("""COMPUTED_VALUE"""),"")</f>
        <v/>
      </c>
      <c r="E259" s="189" t="str">
        <f ca="1">IFERROR(__xludf.DUMMYFUNCTION("""COMPUTED_VALUE"""),"")</f>
        <v/>
      </c>
      <c r="F259" s="189" t="str">
        <f ca="1">IFERROR(__xludf.DUMMYFUNCTION("""COMPUTED_VALUE"""),"")</f>
        <v/>
      </c>
      <c r="G259" s="189" t="str">
        <f ca="1">IFERROR(__xludf.DUMMYFUNCTION("""COMPUTED_VALUE"""),"")</f>
        <v/>
      </c>
      <c r="H259" s="189" t="str">
        <f ca="1">IFERROR(__xludf.DUMMYFUNCTION("""COMPUTED_VALUE"""),"")</f>
        <v/>
      </c>
      <c r="I259" s="120" t="str">
        <f ca="1">IFERROR(__xludf.DUMMYFUNCTION("""COMPUTED_VALUE"""),"")</f>
        <v/>
      </c>
      <c r="J259" s="189" t="str">
        <f ca="1">IFERROR(__xludf.DUMMYFUNCTION("""COMPUTED_VALUE"""),"")</f>
        <v/>
      </c>
      <c r="K259" s="189" t="str">
        <f ca="1">IFERROR(__xludf.DUMMYFUNCTION("""COMPUTED_VALUE"""),"")</f>
        <v/>
      </c>
      <c r="L259" s="189" t="str">
        <f ca="1">IFERROR(__xludf.DUMMYFUNCTION("""COMPUTED_VALUE"""),"")</f>
        <v/>
      </c>
      <c r="M259" s="189" t="str">
        <f ca="1">IFERROR(__xludf.DUMMYFUNCTION("""COMPUTED_VALUE"""),"")</f>
        <v/>
      </c>
      <c r="N259" s="189" t="str">
        <f ca="1">IFERROR(__xludf.DUMMYFUNCTION("""COMPUTED_VALUE"""),"")</f>
        <v/>
      </c>
      <c r="O259" s="189" t="str">
        <f ca="1">IFERROR(__xludf.DUMMYFUNCTION("""COMPUTED_VALUE"""),"")</f>
        <v/>
      </c>
      <c r="P259" s="189" t="str">
        <f ca="1">IFERROR(__xludf.DUMMYFUNCTION("""COMPUTED_VALUE"""),"")</f>
        <v/>
      </c>
      <c r="Q259" s="189" t="str">
        <f ca="1">IFERROR(__xludf.DUMMYFUNCTION("""COMPUTED_VALUE"""),"")</f>
        <v/>
      </c>
      <c r="R259" s="189" t="str">
        <f ca="1">IFERROR(__xludf.DUMMYFUNCTION("""COMPUTED_VALUE"""),"")</f>
        <v/>
      </c>
      <c r="S259" s="189" t="str">
        <f ca="1">IFERROR(__xludf.DUMMYFUNCTION("""COMPUTED_VALUE"""),"")</f>
        <v/>
      </c>
      <c r="T259" s="189" t="str">
        <f ca="1">IFERROR(__xludf.DUMMYFUNCTION("""COMPUTED_VALUE"""),"")</f>
        <v/>
      </c>
      <c r="U259" s="189" t="str">
        <f ca="1">IFERROR(__xludf.DUMMYFUNCTION("""COMPUTED_VALUE"""),"")</f>
        <v/>
      </c>
      <c r="V259" s="189" t="str">
        <f ca="1">IFERROR(__xludf.DUMMYFUNCTION("""COMPUTED_VALUE"""),"")</f>
        <v/>
      </c>
      <c r="W259" s="189" t="str">
        <f ca="1">IFERROR(__xludf.DUMMYFUNCTION("""COMPUTED_VALUE"""),"")</f>
        <v/>
      </c>
      <c r="X259" s="189" t="str">
        <f ca="1">IFERROR(__xludf.DUMMYFUNCTION("""COMPUTED_VALUE"""),"")</f>
        <v/>
      </c>
      <c r="Y259" s="189" t="str">
        <f ca="1">IFERROR(__xludf.DUMMYFUNCTION("""COMPUTED_VALUE"""),"")</f>
        <v/>
      </c>
      <c r="Z259" s="189"/>
    </row>
    <row r="260" spans="1:26" ht="12.75">
      <c r="A260" s="189" t="str">
        <f ca="1">IFERROR(__xludf.DUMMYFUNCTION("""COMPUTED_VALUE"""),"")</f>
        <v/>
      </c>
      <c r="B260" s="189" t="str">
        <f ca="1">IFERROR(__xludf.DUMMYFUNCTION("""COMPUTED_VALUE"""),"")</f>
        <v/>
      </c>
      <c r="C260" s="189" t="str">
        <f ca="1">IFERROR(__xludf.DUMMYFUNCTION("""COMPUTED_VALUE"""),"")</f>
        <v/>
      </c>
      <c r="D260" s="189" t="str">
        <f ca="1">IFERROR(__xludf.DUMMYFUNCTION("""COMPUTED_VALUE"""),"")</f>
        <v/>
      </c>
      <c r="E260" s="189" t="str">
        <f ca="1">IFERROR(__xludf.DUMMYFUNCTION("""COMPUTED_VALUE"""),"")</f>
        <v/>
      </c>
      <c r="F260" s="189" t="str">
        <f ca="1">IFERROR(__xludf.DUMMYFUNCTION("""COMPUTED_VALUE"""),"")</f>
        <v/>
      </c>
      <c r="G260" s="189" t="str">
        <f ca="1">IFERROR(__xludf.DUMMYFUNCTION("""COMPUTED_VALUE"""),"")</f>
        <v/>
      </c>
      <c r="H260" s="189" t="str">
        <f ca="1">IFERROR(__xludf.DUMMYFUNCTION("""COMPUTED_VALUE"""),"")</f>
        <v/>
      </c>
      <c r="I260" s="120" t="str">
        <f ca="1">IFERROR(__xludf.DUMMYFUNCTION("""COMPUTED_VALUE"""),"")</f>
        <v/>
      </c>
      <c r="J260" s="189" t="str">
        <f ca="1">IFERROR(__xludf.DUMMYFUNCTION("""COMPUTED_VALUE"""),"")</f>
        <v/>
      </c>
      <c r="K260" s="189" t="str">
        <f ca="1">IFERROR(__xludf.DUMMYFUNCTION("""COMPUTED_VALUE"""),"")</f>
        <v/>
      </c>
      <c r="L260" s="189" t="str">
        <f ca="1">IFERROR(__xludf.DUMMYFUNCTION("""COMPUTED_VALUE"""),"")</f>
        <v/>
      </c>
      <c r="M260" s="189" t="str">
        <f ca="1">IFERROR(__xludf.DUMMYFUNCTION("""COMPUTED_VALUE"""),"")</f>
        <v/>
      </c>
      <c r="N260" s="189" t="str">
        <f ca="1">IFERROR(__xludf.DUMMYFUNCTION("""COMPUTED_VALUE"""),"")</f>
        <v/>
      </c>
      <c r="O260" s="189" t="str">
        <f ca="1">IFERROR(__xludf.DUMMYFUNCTION("""COMPUTED_VALUE"""),"")</f>
        <v/>
      </c>
      <c r="P260" s="189" t="str">
        <f ca="1">IFERROR(__xludf.DUMMYFUNCTION("""COMPUTED_VALUE"""),"")</f>
        <v/>
      </c>
      <c r="Q260" s="189" t="str">
        <f ca="1">IFERROR(__xludf.DUMMYFUNCTION("""COMPUTED_VALUE"""),"")</f>
        <v/>
      </c>
      <c r="R260" s="189" t="str">
        <f ca="1">IFERROR(__xludf.DUMMYFUNCTION("""COMPUTED_VALUE"""),"")</f>
        <v/>
      </c>
      <c r="S260" s="189" t="str">
        <f ca="1">IFERROR(__xludf.DUMMYFUNCTION("""COMPUTED_VALUE"""),"")</f>
        <v/>
      </c>
      <c r="T260" s="189" t="str">
        <f ca="1">IFERROR(__xludf.DUMMYFUNCTION("""COMPUTED_VALUE"""),"")</f>
        <v/>
      </c>
      <c r="U260" s="189" t="str">
        <f ca="1">IFERROR(__xludf.DUMMYFUNCTION("""COMPUTED_VALUE"""),"")</f>
        <v/>
      </c>
      <c r="V260" s="189" t="str">
        <f ca="1">IFERROR(__xludf.DUMMYFUNCTION("""COMPUTED_VALUE"""),"")</f>
        <v/>
      </c>
      <c r="W260" s="189" t="str">
        <f ca="1">IFERROR(__xludf.DUMMYFUNCTION("""COMPUTED_VALUE"""),"")</f>
        <v/>
      </c>
      <c r="X260" s="189" t="str">
        <f ca="1">IFERROR(__xludf.DUMMYFUNCTION("""COMPUTED_VALUE"""),"")</f>
        <v/>
      </c>
      <c r="Y260" s="189" t="str">
        <f ca="1">IFERROR(__xludf.DUMMYFUNCTION("""COMPUTED_VALUE"""),"")</f>
        <v/>
      </c>
      <c r="Z260" s="189"/>
    </row>
    <row r="261" spans="1:26" ht="12.75">
      <c r="A261" s="189" t="str">
        <f ca="1">IFERROR(__xludf.DUMMYFUNCTION("""COMPUTED_VALUE"""),"")</f>
        <v/>
      </c>
      <c r="B261" s="189" t="str">
        <f ca="1">IFERROR(__xludf.DUMMYFUNCTION("""COMPUTED_VALUE"""),"")</f>
        <v/>
      </c>
      <c r="C261" s="189" t="str">
        <f ca="1">IFERROR(__xludf.DUMMYFUNCTION("""COMPUTED_VALUE"""),"")</f>
        <v/>
      </c>
      <c r="D261" s="189" t="str">
        <f ca="1">IFERROR(__xludf.DUMMYFUNCTION("""COMPUTED_VALUE"""),"")</f>
        <v/>
      </c>
      <c r="E261" s="189" t="str">
        <f ca="1">IFERROR(__xludf.DUMMYFUNCTION("""COMPUTED_VALUE"""),"")</f>
        <v/>
      </c>
      <c r="F261" s="189" t="str">
        <f ca="1">IFERROR(__xludf.DUMMYFUNCTION("""COMPUTED_VALUE"""),"")</f>
        <v/>
      </c>
      <c r="G261" s="189" t="str">
        <f ca="1">IFERROR(__xludf.DUMMYFUNCTION("""COMPUTED_VALUE"""),"")</f>
        <v/>
      </c>
      <c r="H261" s="189" t="str">
        <f ca="1">IFERROR(__xludf.DUMMYFUNCTION("""COMPUTED_VALUE"""),"")</f>
        <v/>
      </c>
      <c r="I261" s="120" t="str">
        <f ca="1">IFERROR(__xludf.DUMMYFUNCTION("""COMPUTED_VALUE"""),"")</f>
        <v/>
      </c>
      <c r="J261" s="189" t="str">
        <f ca="1">IFERROR(__xludf.DUMMYFUNCTION("""COMPUTED_VALUE"""),"")</f>
        <v/>
      </c>
      <c r="K261" s="189" t="str">
        <f ca="1">IFERROR(__xludf.DUMMYFUNCTION("""COMPUTED_VALUE"""),"")</f>
        <v/>
      </c>
      <c r="L261" s="189" t="str">
        <f ca="1">IFERROR(__xludf.DUMMYFUNCTION("""COMPUTED_VALUE"""),"")</f>
        <v/>
      </c>
      <c r="M261" s="189" t="str">
        <f ca="1">IFERROR(__xludf.DUMMYFUNCTION("""COMPUTED_VALUE"""),"")</f>
        <v/>
      </c>
      <c r="N261" s="189" t="str">
        <f ca="1">IFERROR(__xludf.DUMMYFUNCTION("""COMPUTED_VALUE"""),"")</f>
        <v/>
      </c>
      <c r="O261" s="189" t="str">
        <f ca="1">IFERROR(__xludf.DUMMYFUNCTION("""COMPUTED_VALUE"""),"")</f>
        <v/>
      </c>
      <c r="P261" s="189" t="str">
        <f ca="1">IFERROR(__xludf.DUMMYFUNCTION("""COMPUTED_VALUE"""),"")</f>
        <v/>
      </c>
      <c r="Q261" s="189" t="str">
        <f ca="1">IFERROR(__xludf.DUMMYFUNCTION("""COMPUTED_VALUE"""),"")</f>
        <v/>
      </c>
      <c r="R261" s="189" t="str">
        <f ca="1">IFERROR(__xludf.DUMMYFUNCTION("""COMPUTED_VALUE"""),"")</f>
        <v/>
      </c>
      <c r="S261" s="189" t="str">
        <f ca="1">IFERROR(__xludf.DUMMYFUNCTION("""COMPUTED_VALUE"""),"")</f>
        <v/>
      </c>
      <c r="T261" s="189" t="str">
        <f ca="1">IFERROR(__xludf.DUMMYFUNCTION("""COMPUTED_VALUE"""),"")</f>
        <v/>
      </c>
      <c r="U261" s="189" t="str">
        <f ca="1">IFERROR(__xludf.DUMMYFUNCTION("""COMPUTED_VALUE"""),"")</f>
        <v/>
      </c>
      <c r="V261" s="189" t="str">
        <f ca="1">IFERROR(__xludf.DUMMYFUNCTION("""COMPUTED_VALUE"""),"")</f>
        <v/>
      </c>
      <c r="W261" s="189" t="str">
        <f ca="1">IFERROR(__xludf.DUMMYFUNCTION("""COMPUTED_VALUE"""),"")</f>
        <v/>
      </c>
      <c r="X261" s="189" t="str">
        <f ca="1">IFERROR(__xludf.DUMMYFUNCTION("""COMPUTED_VALUE"""),"")</f>
        <v/>
      </c>
      <c r="Y261" s="189" t="str">
        <f ca="1">IFERROR(__xludf.DUMMYFUNCTION("""COMPUTED_VALUE"""),"")</f>
        <v/>
      </c>
      <c r="Z261" s="189"/>
    </row>
    <row r="262" spans="1:26" ht="12.75">
      <c r="A262" s="189" t="str">
        <f ca="1">IFERROR(__xludf.DUMMYFUNCTION("""COMPUTED_VALUE"""),"")</f>
        <v/>
      </c>
      <c r="B262" s="189" t="str">
        <f ca="1">IFERROR(__xludf.DUMMYFUNCTION("""COMPUTED_VALUE"""),"")</f>
        <v/>
      </c>
      <c r="C262" s="189" t="str">
        <f ca="1">IFERROR(__xludf.DUMMYFUNCTION("""COMPUTED_VALUE"""),"")</f>
        <v/>
      </c>
      <c r="D262" s="189" t="str">
        <f ca="1">IFERROR(__xludf.DUMMYFUNCTION("""COMPUTED_VALUE"""),"")</f>
        <v/>
      </c>
      <c r="E262" s="189" t="str">
        <f ca="1">IFERROR(__xludf.DUMMYFUNCTION("""COMPUTED_VALUE"""),"")</f>
        <v/>
      </c>
      <c r="F262" s="189" t="str">
        <f ca="1">IFERROR(__xludf.DUMMYFUNCTION("""COMPUTED_VALUE"""),"")</f>
        <v/>
      </c>
      <c r="G262" s="189" t="str">
        <f ca="1">IFERROR(__xludf.DUMMYFUNCTION("""COMPUTED_VALUE"""),"")</f>
        <v/>
      </c>
      <c r="H262" s="189" t="str">
        <f ca="1">IFERROR(__xludf.DUMMYFUNCTION("""COMPUTED_VALUE"""),"")</f>
        <v/>
      </c>
      <c r="I262" s="120" t="str">
        <f ca="1">IFERROR(__xludf.DUMMYFUNCTION("""COMPUTED_VALUE"""),"")</f>
        <v/>
      </c>
      <c r="J262" s="189" t="str">
        <f ca="1">IFERROR(__xludf.DUMMYFUNCTION("""COMPUTED_VALUE"""),"")</f>
        <v/>
      </c>
      <c r="K262" s="189" t="str">
        <f ca="1">IFERROR(__xludf.DUMMYFUNCTION("""COMPUTED_VALUE"""),"")</f>
        <v/>
      </c>
      <c r="L262" s="189" t="str">
        <f ca="1">IFERROR(__xludf.DUMMYFUNCTION("""COMPUTED_VALUE"""),"")</f>
        <v/>
      </c>
      <c r="M262" s="189" t="str">
        <f ca="1">IFERROR(__xludf.DUMMYFUNCTION("""COMPUTED_VALUE"""),"")</f>
        <v/>
      </c>
      <c r="N262" s="189" t="str">
        <f ca="1">IFERROR(__xludf.DUMMYFUNCTION("""COMPUTED_VALUE"""),"")</f>
        <v/>
      </c>
      <c r="O262" s="189" t="str">
        <f ca="1">IFERROR(__xludf.DUMMYFUNCTION("""COMPUTED_VALUE"""),"")</f>
        <v/>
      </c>
      <c r="P262" s="189" t="str">
        <f ca="1">IFERROR(__xludf.DUMMYFUNCTION("""COMPUTED_VALUE"""),"")</f>
        <v/>
      </c>
      <c r="Q262" s="189" t="str">
        <f ca="1">IFERROR(__xludf.DUMMYFUNCTION("""COMPUTED_VALUE"""),"")</f>
        <v/>
      </c>
      <c r="R262" s="189" t="str">
        <f ca="1">IFERROR(__xludf.DUMMYFUNCTION("""COMPUTED_VALUE"""),"")</f>
        <v/>
      </c>
      <c r="S262" s="189" t="str">
        <f ca="1">IFERROR(__xludf.DUMMYFUNCTION("""COMPUTED_VALUE"""),"")</f>
        <v/>
      </c>
      <c r="T262" s="189" t="str">
        <f ca="1">IFERROR(__xludf.DUMMYFUNCTION("""COMPUTED_VALUE"""),"")</f>
        <v/>
      </c>
      <c r="U262" s="189" t="str">
        <f ca="1">IFERROR(__xludf.DUMMYFUNCTION("""COMPUTED_VALUE"""),"")</f>
        <v/>
      </c>
      <c r="V262" s="189" t="str">
        <f ca="1">IFERROR(__xludf.DUMMYFUNCTION("""COMPUTED_VALUE"""),"")</f>
        <v/>
      </c>
      <c r="W262" s="189" t="str">
        <f ca="1">IFERROR(__xludf.DUMMYFUNCTION("""COMPUTED_VALUE"""),"")</f>
        <v/>
      </c>
      <c r="X262" s="189" t="str">
        <f ca="1">IFERROR(__xludf.DUMMYFUNCTION("""COMPUTED_VALUE"""),"")</f>
        <v/>
      </c>
      <c r="Y262" s="189" t="str">
        <f ca="1">IFERROR(__xludf.DUMMYFUNCTION("""COMPUTED_VALUE"""),"")</f>
        <v/>
      </c>
      <c r="Z262" s="189"/>
    </row>
    <row r="263" spans="1:26" ht="12.75">
      <c r="A263" s="189" t="str">
        <f ca="1">IFERROR(__xludf.DUMMYFUNCTION("""COMPUTED_VALUE"""),"")</f>
        <v/>
      </c>
      <c r="B263" s="189" t="str">
        <f ca="1">IFERROR(__xludf.DUMMYFUNCTION("""COMPUTED_VALUE"""),"")</f>
        <v/>
      </c>
      <c r="C263" s="189" t="str">
        <f ca="1">IFERROR(__xludf.DUMMYFUNCTION("""COMPUTED_VALUE"""),"")</f>
        <v/>
      </c>
      <c r="D263" s="189" t="str">
        <f ca="1">IFERROR(__xludf.DUMMYFUNCTION("""COMPUTED_VALUE"""),"")</f>
        <v/>
      </c>
      <c r="E263" s="189" t="str">
        <f ca="1">IFERROR(__xludf.DUMMYFUNCTION("""COMPUTED_VALUE"""),"")</f>
        <v/>
      </c>
      <c r="F263" s="189" t="str">
        <f ca="1">IFERROR(__xludf.DUMMYFUNCTION("""COMPUTED_VALUE"""),"")</f>
        <v/>
      </c>
      <c r="G263" s="189" t="str">
        <f ca="1">IFERROR(__xludf.DUMMYFUNCTION("""COMPUTED_VALUE"""),"")</f>
        <v/>
      </c>
      <c r="H263" s="189" t="str">
        <f ca="1">IFERROR(__xludf.DUMMYFUNCTION("""COMPUTED_VALUE"""),"")</f>
        <v/>
      </c>
      <c r="I263" s="120" t="str">
        <f ca="1">IFERROR(__xludf.DUMMYFUNCTION("""COMPUTED_VALUE"""),"")</f>
        <v/>
      </c>
      <c r="J263" s="189" t="str">
        <f ca="1">IFERROR(__xludf.DUMMYFUNCTION("""COMPUTED_VALUE"""),"")</f>
        <v/>
      </c>
      <c r="K263" s="189" t="str">
        <f ca="1">IFERROR(__xludf.DUMMYFUNCTION("""COMPUTED_VALUE"""),"")</f>
        <v/>
      </c>
      <c r="L263" s="189" t="str">
        <f ca="1">IFERROR(__xludf.DUMMYFUNCTION("""COMPUTED_VALUE"""),"")</f>
        <v/>
      </c>
      <c r="M263" s="189" t="str">
        <f ca="1">IFERROR(__xludf.DUMMYFUNCTION("""COMPUTED_VALUE"""),"")</f>
        <v/>
      </c>
      <c r="N263" s="189" t="str">
        <f ca="1">IFERROR(__xludf.DUMMYFUNCTION("""COMPUTED_VALUE"""),"")</f>
        <v/>
      </c>
      <c r="O263" s="189" t="str">
        <f ca="1">IFERROR(__xludf.DUMMYFUNCTION("""COMPUTED_VALUE"""),"")</f>
        <v/>
      </c>
      <c r="P263" s="189" t="str">
        <f ca="1">IFERROR(__xludf.DUMMYFUNCTION("""COMPUTED_VALUE"""),"")</f>
        <v/>
      </c>
      <c r="Q263" s="189" t="str">
        <f ca="1">IFERROR(__xludf.DUMMYFUNCTION("""COMPUTED_VALUE"""),"")</f>
        <v/>
      </c>
      <c r="R263" s="189" t="str">
        <f ca="1">IFERROR(__xludf.DUMMYFUNCTION("""COMPUTED_VALUE"""),"")</f>
        <v/>
      </c>
      <c r="S263" s="189" t="str">
        <f ca="1">IFERROR(__xludf.DUMMYFUNCTION("""COMPUTED_VALUE"""),"")</f>
        <v/>
      </c>
      <c r="T263" s="189" t="str">
        <f ca="1">IFERROR(__xludf.DUMMYFUNCTION("""COMPUTED_VALUE"""),"")</f>
        <v/>
      </c>
      <c r="U263" s="189" t="str">
        <f ca="1">IFERROR(__xludf.DUMMYFUNCTION("""COMPUTED_VALUE"""),"")</f>
        <v/>
      </c>
      <c r="V263" s="189" t="str">
        <f ca="1">IFERROR(__xludf.DUMMYFUNCTION("""COMPUTED_VALUE"""),"")</f>
        <v/>
      </c>
      <c r="W263" s="189" t="str">
        <f ca="1">IFERROR(__xludf.DUMMYFUNCTION("""COMPUTED_VALUE"""),"")</f>
        <v/>
      </c>
      <c r="X263" s="189" t="str">
        <f ca="1">IFERROR(__xludf.DUMMYFUNCTION("""COMPUTED_VALUE"""),"")</f>
        <v/>
      </c>
      <c r="Y263" s="189" t="str">
        <f ca="1">IFERROR(__xludf.DUMMYFUNCTION("""COMPUTED_VALUE"""),"")</f>
        <v/>
      </c>
      <c r="Z263" s="189"/>
    </row>
    <row r="264" spans="1:26" ht="12.75">
      <c r="A264" s="189" t="str">
        <f ca="1">IFERROR(__xludf.DUMMYFUNCTION("""COMPUTED_VALUE"""),"")</f>
        <v/>
      </c>
      <c r="B264" s="189" t="str">
        <f ca="1">IFERROR(__xludf.DUMMYFUNCTION("""COMPUTED_VALUE"""),"")</f>
        <v/>
      </c>
      <c r="C264" s="189" t="str">
        <f ca="1">IFERROR(__xludf.DUMMYFUNCTION("""COMPUTED_VALUE"""),"")</f>
        <v/>
      </c>
      <c r="D264" s="189" t="str">
        <f ca="1">IFERROR(__xludf.DUMMYFUNCTION("""COMPUTED_VALUE"""),"")</f>
        <v/>
      </c>
      <c r="E264" s="189" t="str">
        <f ca="1">IFERROR(__xludf.DUMMYFUNCTION("""COMPUTED_VALUE"""),"")</f>
        <v/>
      </c>
      <c r="F264" s="189" t="str">
        <f ca="1">IFERROR(__xludf.DUMMYFUNCTION("""COMPUTED_VALUE"""),"")</f>
        <v/>
      </c>
      <c r="G264" s="189" t="str">
        <f ca="1">IFERROR(__xludf.DUMMYFUNCTION("""COMPUTED_VALUE"""),"")</f>
        <v/>
      </c>
      <c r="H264" s="189" t="str">
        <f ca="1">IFERROR(__xludf.DUMMYFUNCTION("""COMPUTED_VALUE"""),"")</f>
        <v/>
      </c>
      <c r="I264" s="120" t="str">
        <f ca="1">IFERROR(__xludf.DUMMYFUNCTION("""COMPUTED_VALUE"""),"")</f>
        <v/>
      </c>
      <c r="J264" s="189" t="str">
        <f ca="1">IFERROR(__xludf.DUMMYFUNCTION("""COMPUTED_VALUE"""),"")</f>
        <v/>
      </c>
      <c r="K264" s="189" t="str">
        <f ca="1">IFERROR(__xludf.DUMMYFUNCTION("""COMPUTED_VALUE"""),"")</f>
        <v/>
      </c>
      <c r="L264" s="189" t="str">
        <f ca="1">IFERROR(__xludf.DUMMYFUNCTION("""COMPUTED_VALUE"""),"")</f>
        <v/>
      </c>
      <c r="M264" s="189" t="str">
        <f ca="1">IFERROR(__xludf.DUMMYFUNCTION("""COMPUTED_VALUE"""),"")</f>
        <v/>
      </c>
      <c r="N264" s="189" t="str">
        <f ca="1">IFERROR(__xludf.DUMMYFUNCTION("""COMPUTED_VALUE"""),"")</f>
        <v/>
      </c>
      <c r="O264" s="189" t="str">
        <f ca="1">IFERROR(__xludf.DUMMYFUNCTION("""COMPUTED_VALUE"""),"")</f>
        <v/>
      </c>
      <c r="P264" s="189" t="str">
        <f ca="1">IFERROR(__xludf.DUMMYFUNCTION("""COMPUTED_VALUE"""),"")</f>
        <v/>
      </c>
      <c r="Q264" s="189" t="str">
        <f ca="1">IFERROR(__xludf.DUMMYFUNCTION("""COMPUTED_VALUE"""),"")</f>
        <v/>
      </c>
      <c r="R264" s="189" t="str">
        <f ca="1">IFERROR(__xludf.DUMMYFUNCTION("""COMPUTED_VALUE"""),"")</f>
        <v/>
      </c>
      <c r="S264" s="189" t="str">
        <f ca="1">IFERROR(__xludf.DUMMYFUNCTION("""COMPUTED_VALUE"""),"")</f>
        <v/>
      </c>
      <c r="T264" s="189" t="str">
        <f ca="1">IFERROR(__xludf.DUMMYFUNCTION("""COMPUTED_VALUE"""),"")</f>
        <v/>
      </c>
      <c r="U264" s="189" t="str">
        <f ca="1">IFERROR(__xludf.DUMMYFUNCTION("""COMPUTED_VALUE"""),"")</f>
        <v/>
      </c>
      <c r="V264" s="189" t="str">
        <f ca="1">IFERROR(__xludf.DUMMYFUNCTION("""COMPUTED_VALUE"""),"")</f>
        <v/>
      </c>
      <c r="W264" s="189" t="str">
        <f ca="1">IFERROR(__xludf.DUMMYFUNCTION("""COMPUTED_VALUE"""),"")</f>
        <v/>
      </c>
      <c r="X264" s="189" t="str">
        <f ca="1">IFERROR(__xludf.DUMMYFUNCTION("""COMPUTED_VALUE"""),"")</f>
        <v/>
      </c>
      <c r="Y264" s="189" t="str">
        <f ca="1">IFERROR(__xludf.DUMMYFUNCTION("""COMPUTED_VALUE"""),"")</f>
        <v/>
      </c>
      <c r="Z264" s="189"/>
    </row>
    <row r="265" spans="1:26" ht="12.75">
      <c r="A265" s="189" t="str">
        <f ca="1">IFERROR(__xludf.DUMMYFUNCTION("""COMPUTED_VALUE"""),"")</f>
        <v/>
      </c>
      <c r="B265" s="189" t="str">
        <f ca="1">IFERROR(__xludf.DUMMYFUNCTION("""COMPUTED_VALUE"""),"")</f>
        <v/>
      </c>
      <c r="C265" s="189" t="str">
        <f ca="1">IFERROR(__xludf.DUMMYFUNCTION("""COMPUTED_VALUE"""),"")</f>
        <v/>
      </c>
      <c r="D265" s="189" t="str">
        <f ca="1">IFERROR(__xludf.DUMMYFUNCTION("""COMPUTED_VALUE"""),"")</f>
        <v/>
      </c>
      <c r="E265" s="189" t="str">
        <f ca="1">IFERROR(__xludf.DUMMYFUNCTION("""COMPUTED_VALUE"""),"")</f>
        <v/>
      </c>
      <c r="F265" s="189" t="str">
        <f ca="1">IFERROR(__xludf.DUMMYFUNCTION("""COMPUTED_VALUE"""),"")</f>
        <v/>
      </c>
      <c r="G265" s="189" t="str">
        <f ca="1">IFERROR(__xludf.DUMMYFUNCTION("""COMPUTED_VALUE"""),"")</f>
        <v/>
      </c>
      <c r="H265" s="189" t="str">
        <f ca="1">IFERROR(__xludf.DUMMYFUNCTION("""COMPUTED_VALUE"""),"")</f>
        <v/>
      </c>
      <c r="I265" s="120" t="str">
        <f ca="1">IFERROR(__xludf.DUMMYFUNCTION("""COMPUTED_VALUE"""),"")</f>
        <v/>
      </c>
      <c r="J265" s="189" t="str">
        <f ca="1">IFERROR(__xludf.DUMMYFUNCTION("""COMPUTED_VALUE"""),"")</f>
        <v/>
      </c>
      <c r="K265" s="189" t="str">
        <f ca="1">IFERROR(__xludf.DUMMYFUNCTION("""COMPUTED_VALUE"""),"")</f>
        <v/>
      </c>
      <c r="L265" s="189" t="str">
        <f ca="1">IFERROR(__xludf.DUMMYFUNCTION("""COMPUTED_VALUE"""),"")</f>
        <v/>
      </c>
      <c r="M265" s="189" t="str">
        <f ca="1">IFERROR(__xludf.DUMMYFUNCTION("""COMPUTED_VALUE"""),"")</f>
        <v/>
      </c>
      <c r="N265" s="189" t="str">
        <f ca="1">IFERROR(__xludf.DUMMYFUNCTION("""COMPUTED_VALUE"""),"")</f>
        <v/>
      </c>
      <c r="O265" s="189" t="str">
        <f ca="1">IFERROR(__xludf.DUMMYFUNCTION("""COMPUTED_VALUE"""),"")</f>
        <v/>
      </c>
      <c r="P265" s="189" t="str">
        <f ca="1">IFERROR(__xludf.DUMMYFUNCTION("""COMPUTED_VALUE"""),"")</f>
        <v/>
      </c>
      <c r="Q265" s="189" t="str">
        <f ca="1">IFERROR(__xludf.DUMMYFUNCTION("""COMPUTED_VALUE"""),"")</f>
        <v/>
      </c>
      <c r="R265" s="189" t="str">
        <f ca="1">IFERROR(__xludf.DUMMYFUNCTION("""COMPUTED_VALUE"""),"")</f>
        <v/>
      </c>
      <c r="S265" s="189" t="str">
        <f ca="1">IFERROR(__xludf.DUMMYFUNCTION("""COMPUTED_VALUE"""),"")</f>
        <v/>
      </c>
      <c r="T265" s="189" t="str">
        <f ca="1">IFERROR(__xludf.DUMMYFUNCTION("""COMPUTED_VALUE"""),"")</f>
        <v/>
      </c>
      <c r="U265" s="189" t="str">
        <f ca="1">IFERROR(__xludf.DUMMYFUNCTION("""COMPUTED_VALUE"""),"")</f>
        <v/>
      </c>
      <c r="V265" s="189" t="str">
        <f ca="1">IFERROR(__xludf.DUMMYFUNCTION("""COMPUTED_VALUE"""),"")</f>
        <v/>
      </c>
      <c r="W265" s="189" t="str">
        <f ca="1">IFERROR(__xludf.DUMMYFUNCTION("""COMPUTED_VALUE"""),"")</f>
        <v/>
      </c>
      <c r="X265" s="189" t="str">
        <f ca="1">IFERROR(__xludf.DUMMYFUNCTION("""COMPUTED_VALUE"""),"")</f>
        <v/>
      </c>
      <c r="Y265" s="189" t="str">
        <f ca="1">IFERROR(__xludf.DUMMYFUNCTION("""COMPUTED_VALUE"""),"")</f>
        <v/>
      </c>
      <c r="Z265" s="189"/>
    </row>
    <row r="266" spans="1:26" ht="12.75">
      <c r="A266" s="189" t="str">
        <f ca="1">IFERROR(__xludf.DUMMYFUNCTION("""COMPUTED_VALUE"""),"")</f>
        <v/>
      </c>
      <c r="B266" s="189" t="str">
        <f ca="1">IFERROR(__xludf.DUMMYFUNCTION("""COMPUTED_VALUE"""),"")</f>
        <v/>
      </c>
      <c r="C266" s="189" t="str">
        <f ca="1">IFERROR(__xludf.DUMMYFUNCTION("""COMPUTED_VALUE"""),"")</f>
        <v/>
      </c>
      <c r="D266" s="189" t="str">
        <f ca="1">IFERROR(__xludf.DUMMYFUNCTION("""COMPUTED_VALUE"""),"")</f>
        <v/>
      </c>
      <c r="E266" s="189" t="str">
        <f ca="1">IFERROR(__xludf.DUMMYFUNCTION("""COMPUTED_VALUE"""),"")</f>
        <v/>
      </c>
      <c r="F266" s="189" t="str">
        <f ca="1">IFERROR(__xludf.DUMMYFUNCTION("""COMPUTED_VALUE"""),"")</f>
        <v/>
      </c>
      <c r="G266" s="189" t="str">
        <f ca="1">IFERROR(__xludf.DUMMYFUNCTION("""COMPUTED_VALUE"""),"")</f>
        <v/>
      </c>
      <c r="H266" s="189" t="str">
        <f ca="1">IFERROR(__xludf.DUMMYFUNCTION("""COMPUTED_VALUE"""),"")</f>
        <v/>
      </c>
      <c r="I266" s="120" t="str">
        <f ca="1">IFERROR(__xludf.DUMMYFUNCTION("""COMPUTED_VALUE"""),"")</f>
        <v/>
      </c>
      <c r="J266" s="189" t="str">
        <f ca="1">IFERROR(__xludf.DUMMYFUNCTION("""COMPUTED_VALUE"""),"")</f>
        <v/>
      </c>
      <c r="K266" s="189" t="str">
        <f ca="1">IFERROR(__xludf.DUMMYFUNCTION("""COMPUTED_VALUE"""),"")</f>
        <v/>
      </c>
      <c r="L266" s="189" t="str">
        <f ca="1">IFERROR(__xludf.DUMMYFUNCTION("""COMPUTED_VALUE"""),"")</f>
        <v/>
      </c>
      <c r="M266" s="189" t="str">
        <f ca="1">IFERROR(__xludf.DUMMYFUNCTION("""COMPUTED_VALUE"""),"")</f>
        <v/>
      </c>
      <c r="N266" s="189" t="str">
        <f ca="1">IFERROR(__xludf.DUMMYFUNCTION("""COMPUTED_VALUE"""),"")</f>
        <v/>
      </c>
      <c r="O266" s="189" t="str">
        <f ca="1">IFERROR(__xludf.DUMMYFUNCTION("""COMPUTED_VALUE"""),"")</f>
        <v/>
      </c>
      <c r="P266" s="189" t="str">
        <f ca="1">IFERROR(__xludf.DUMMYFUNCTION("""COMPUTED_VALUE"""),"")</f>
        <v/>
      </c>
      <c r="Q266" s="189" t="str">
        <f ca="1">IFERROR(__xludf.DUMMYFUNCTION("""COMPUTED_VALUE"""),"")</f>
        <v/>
      </c>
      <c r="R266" s="189" t="str">
        <f ca="1">IFERROR(__xludf.DUMMYFUNCTION("""COMPUTED_VALUE"""),"")</f>
        <v/>
      </c>
      <c r="S266" s="189" t="str">
        <f ca="1">IFERROR(__xludf.DUMMYFUNCTION("""COMPUTED_VALUE"""),"")</f>
        <v/>
      </c>
      <c r="T266" s="189" t="str">
        <f ca="1">IFERROR(__xludf.DUMMYFUNCTION("""COMPUTED_VALUE"""),"")</f>
        <v/>
      </c>
      <c r="U266" s="189" t="str">
        <f ca="1">IFERROR(__xludf.DUMMYFUNCTION("""COMPUTED_VALUE"""),"")</f>
        <v/>
      </c>
      <c r="V266" s="189" t="str">
        <f ca="1">IFERROR(__xludf.DUMMYFUNCTION("""COMPUTED_VALUE"""),"")</f>
        <v/>
      </c>
      <c r="W266" s="189" t="str">
        <f ca="1">IFERROR(__xludf.DUMMYFUNCTION("""COMPUTED_VALUE"""),"")</f>
        <v/>
      </c>
      <c r="X266" s="189" t="str">
        <f ca="1">IFERROR(__xludf.DUMMYFUNCTION("""COMPUTED_VALUE"""),"")</f>
        <v/>
      </c>
      <c r="Y266" s="189" t="str">
        <f ca="1">IFERROR(__xludf.DUMMYFUNCTION("""COMPUTED_VALUE"""),"")</f>
        <v/>
      </c>
      <c r="Z266" s="189"/>
    </row>
    <row r="267" spans="1:26" ht="12.75">
      <c r="A267" s="189" t="str">
        <f ca="1">IFERROR(__xludf.DUMMYFUNCTION("""COMPUTED_VALUE"""),"")</f>
        <v/>
      </c>
      <c r="B267" s="189" t="str">
        <f ca="1">IFERROR(__xludf.DUMMYFUNCTION("""COMPUTED_VALUE"""),"")</f>
        <v/>
      </c>
      <c r="C267" s="189" t="str">
        <f ca="1">IFERROR(__xludf.DUMMYFUNCTION("""COMPUTED_VALUE"""),"")</f>
        <v/>
      </c>
      <c r="D267" s="189" t="str">
        <f ca="1">IFERROR(__xludf.DUMMYFUNCTION("""COMPUTED_VALUE"""),"")</f>
        <v/>
      </c>
      <c r="E267" s="189" t="str">
        <f ca="1">IFERROR(__xludf.DUMMYFUNCTION("""COMPUTED_VALUE"""),"")</f>
        <v/>
      </c>
      <c r="F267" s="189" t="str">
        <f ca="1">IFERROR(__xludf.DUMMYFUNCTION("""COMPUTED_VALUE"""),"")</f>
        <v/>
      </c>
      <c r="G267" s="189" t="str">
        <f ca="1">IFERROR(__xludf.DUMMYFUNCTION("""COMPUTED_VALUE"""),"")</f>
        <v/>
      </c>
      <c r="H267" s="189" t="str">
        <f ca="1">IFERROR(__xludf.DUMMYFUNCTION("""COMPUTED_VALUE"""),"")</f>
        <v/>
      </c>
      <c r="I267" s="120" t="str">
        <f ca="1">IFERROR(__xludf.DUMMYFUNCTION("""COMPUTED_VALUE"""),"")</f>
        <v/>
      </c>
      <c r="J267" s="189" t="str">
        <f ca="1">IFERROR(__xludf.DUMMYFUNCTION("""COMPUTED_VALUE"""),"")</f>
        <v/>
      </c>
      <c r="K267" s="189" t="str">
        <f ca="1">IFERROR(__xludf.DUMMYFUNCTION("""COMPUTED_VALUE"""),"")</f>
        <v/>
      </c>
      <c r="L267" s="189" t="str">
        <f ca="1">IFERROR(__xludf.DUMMYFUNCTION("""COMPUTED_VALUE"""),"")</f>
        <v/>
      </c>
      <c r="M267" s="189" t="str">
        <f ca="1">IFERROR(__xludf.DUMMYFUNCTION("""COMPUTED_VALUE"""),"")</f>
        <v/>
      </c>
      <c r="N267" s="189" t="str">
        <f ca="1">IFERROR(__xludf.DUMMYFUNCTION("""COMPUTED_VALUE"""),"")</f>
        <v/>
      </c>
      <c r="O267" s="189" t="str">
        <f ca="1">IFERROR(__xludf.DUMMYFUNCTION("""COMPUTED_VALUE"""),"")</f>
        <v/>
      </c>
      <c r="P267" s="189" t="str">
        <f ca="1">IFERROR(__xludf.DUMMYFUNCTION("""COMPUTED_VALUE"""),"")</f>
        <v/>
      </c>
      <c r="Q267" s="189" t="str">
        <f ca="1">IFERROR(__xludf.DUMMYFUNCTION("""COMPUTED_VALUE"""),"")</f>
        <v/>
      </c>
      <c r="R267" s="189" t="str">
        <f ca="1">IFERROR(__xludf.DUMMYFUNCTION("""COMPUTED_VALUE"""),"")</f>
        <v/>
      </c>
      <c r="S267" s="189" t="str">
        <f ca="1">IFERROR(__xludf.DUMMYFUNCTION("""COMPUTED_VALUE"""),"")</f>
        <v/>
      </c>
      <c r="T267" s="189" t="str">
        <f ca="1">IFERROR(__xludf.DUMMYFUNCTION("""COMPUTED_VALUE"""),"")</f>
        <v/>
      </c>
      <c r="U267" s="189" t="str">
        <f ca="1">IFERROR(__xludf.DUMMYFUNCTION("""COMPUTED_VALUE"""),"")</f>
        <v/>
      </c>
      <c r="V267" s="189" t="str">
        <f ca="1">IFERROR(__xludf.DUMMYFUNCTION("""COMPUTED_VALUE"""),"")</f>
        <v/>
      </c>
      <c r="W267" s="189" t="str">
        <f ca="1">IFERROR(__xludf.DUMMYFUNCTION("""COMPUTED_VALUE"""),"")</f>
        <v/>
      </c>
      <c r="X267" s="189" t="str">
        <f ca="1">IFERROR(__xludf.DUMMYFUNCTION("""COMPUTED_VALUE"""),"")</f>
        <v/>
      </c>
      <c r="Y267" s="189" t="str">
        <f ca="1">IFERROR(__xludf.DUMMYFUNCTION("""COMPUTED_VALUE"""),"")</f>
        <v/>
      </c>
      <c r="Z267" s="189"/>
    </row>
    <row r="268" spans="1:26" ht="12.75">
      <c r="A268" s="189" t="str">
        <f ca="1">IFERROR(__xludf.DUMMYFUNCTION("""COMPUTED_VALUE"""),"")</f>
        <v/>
      </c>
      <c r="B268" s="189" t="str">
        <f ca="1">IFERROR(__xludf.DUMMYFUNCTION("""COMPUTED_VALUE"""),"")</f>
        <v/>
      </c>
      <c r="C268" s="189" t="str">
        <f ca="1">IFERROR(__xludf.DUMMYFUNCTION("""COMPUTED_VALUE"""),"")</f>
        <v/>
      </c>
      <c r="D268" s="189" t="str">
        <f ca="1">IFERROR(__xludf.DUMMYFUNCTION("""COMPUTED_VALUE"""),"")</f>
        <v/>
      </c>
      <c r="E268" s="189" t="str">
        <f ca="1">IFERROR(__xludf.DUMMYFUNCTION("""COMPUTED_VALUE"""),"")</f>
        <v/>
      </c>
      <c r="F268" s="189" t="str">
        <f ca="1">IFERROR(__xludf.DUMMYFUNCTION("""COMPUTED_VALUE"""),"")</f>
        <v/>
      </c>
      <c r="G268" s="189" t="str">
        <f ca="1">IFERROR(__xludf.DUMMYFUNCTION("""COMPUTED_VALUE"""),"")</f>
        <v/>
      </c>
      <c r="H268" s="189" t="str">
        <f ca="1">IFERROR(__xludf.DUMMYFUNCTION("""COMPUTED_VALUE"""),"")</f>
        <v/>
      </c>
      <c r="I268" s="120" t="str">
        <f ca="1">IFERROR(__xludf.DUMMYFUNCTION("""COMPUTED_VALUE"""),"")</f>
        <v/>
      </c>
      <c r="J268" s="189" t="str">
        <f ca="1">IFERROR(__xludf.DUMMYFUNCTION("""COMPUTED_VALUE"""),"")</f>
        <v/>
      </c>
      <c r="K268" s="189" t="str">
        <f ca="1">IFERROR(__xludf.DUMMYFUNCTION("""COMPUTED_VALUE"""),"")</f>
        <v/>
      </c>
      <c r="L268" s="189" t="str">
        <f ca="1">IFERROR(__xludf.DUMMYFUNCTION("""COMPUTED_VALUE"""),"")</f>
        <v/>
      </c>
      <c r="M268" s="189" t="str">
        <f ca="1">IFERROR(__xludf.DUMMYFUNCTION("""COMPUTED_VALUE"""),"")</f>
        <v/>
      </c>
      <c r="N268" s="189" t="str">
        <f ca="1">IFERROR(__xludf.DUMMYFUNCTION("""COMPUTED_VALUE"""),"")</f>
        <v/>
      </c>
      <c r="O268" s="189" t="str">
        <f ca="1">IFERROR(__xludf.DUMMYFUNCTION("""COMPUTED_VALUE"""),"")</f>
        <v/>
      </c>
      <c r="P268" s="189" t="str">
        <f ca="1">IFERROR(__xludf.DUMMYFUNCTION("""COMPUTED_VALUE"""),"")</f>
        <v/>
      </c>
      <c r="Q268" s="189" t="str">
        <f ca="1">IFERROR(__xludf.DUMMYFUNCTION("""COMPUTED_VALUE"""),"")</f>
        <v/>
      </c>
      <c r="R268" s="189" t="str">
        <f ca="1">IFERROR(__xludf.DUMMYFUNCTION("""COMPUTED_VALUE"""),"")</f>
        <v/>
      </c>
      <c r="S268" s="189" t="str">
        <f ca="1">IFERROR(__xludf.DUMMYFUNCTION("""COMPUTED_VALUE"""),"")</f>
        <v/>
      </c>
      <c r="T268" s="189" t="str">
        <f ca="1">IFERROR(__xludf.DUMMYFUNCTION("""COMPUTED_VALUE"""),"")</f>
        <v/>
      </c>
      <c r="U268" s="189" t="str">
        <f ca="1">IFERROR(__xludf.DUMMYFUNCTION("""COMPUTED_VALUE"""),"")</f>
        <v/>
      </c>
      <c r="V268" s="189" t="str">
        <f ca="1">IFERROR(__xludf.DUMMYFUNCTION("""COMPUTED_VALUE"""),"")</f>
        <v/>
      </c>
      <c r="W268" s="189" t="str">
        <f ca="1">IFERROR(__xludf.DUMMYFUNCTION("""COMPUTED_VALUE"""),"")</f>
        <v/>
      </c>
      <c r="X268" s="189" t="str">
        <f ca="1">IFERROR(__xludf.DUMMYFUNCTION("""COMPUTED_VALUE"""),"")</f>
        <v/>
      </c>
      <c r="Y268" s="189" t="str">
        <f ca="1">IFERROR(__xludf.DUMMYFUNCTION("""COMPUTED_VALUE"""),"")</f>
        <v/>
      </c>
      <c r="Z268" s="189"/>
    </row>
    <row r="269" spans="1:26" ht="12.75">
      <c r="A269" s="189" t="str">
        <f ca="1">IFERROR(__xludf.DUMMYFUNCTION("""COMPUTED_VALUE"""),"")</f>
        <v/>
      </c>
      <c r="B269" s="189" t="str">
        <f ca="1">IFERROR(__xludf.DUMMYFUNCTION("""COMPUTED_VALUE"""),"")</f>
        <v/>
      </c>
      <c r="C269" s="189" t="str">
        <f ca="1">IFERROR(__xludf.DUMMYFUNCTION("""COMPUTED_VALUE"""),"")</f>
        <v/>
      </c>
      <c r="D269" s="189" t="str">
        <f ca="1">IFERROR(__xludf.DUMMYFUNCTION("""COMPUTED_VALUE"""),"")</f>
        <v/>
      </c>
      <c r="E269" s="189" t="str">
        <f ca="1">IFERROR(__xludf.DUMMYFUNCTION("""COMPUTED_VALUE"""),"")</f>
        <v/>
      </c>
      <c r="F269" s="189" t="str">
        <f ca="1">IFERROR(__xludf.DUMMYFUNCTION("""COMPUTED_VALUE"""),"")</f>
        <v/>
      </c>
      <c r="G269" s="189" t="str">
        <f ca="1">IFERROR(__xludf.DUMMYFUNCTION("""COMPUTED_VALUE"""),"")</f>
        <v/>
      </c>
      <c r="H269" s="189" t="str">
        <f ca="1">IFERROR(__xludf.DUMMYFUNCTION("""COMPUTED_VALUE"""),"")</f>
        <v/>
      </c>
      <c r="I269" s="120" t="str">
        <f ca="1">IFERROR(__xludf.DUMMYFUNCTION("""COMPUTED_VALUE"""),"")</f>
        <v/>
      </c>
      <c r="J269" s="189" t="str">
        <f ca="1">IFERROR(__xludf.DUMMYFUNCTION("""COMPUTED_VALUE"""),"")</f>
        <v/>
      </c>
      <c r="K269" s="189" t="str">
        <f ca="1">IFERROR(__xludf.DUMMYFUNCTION("""COMPUTED_VALUE"""),"")</f>
        <v/>
      </c>
      <c r="L269" s="189" t="str">
        <f ca="1">IFERROR(__xludf.DUMMYFUNCTION("""COMPUTED_VALUE"""),"")</f>
        <v/>
      </c>
      <c r="M269" s="189" t="str">
        <f ca="1">IFERROR(__xludf.DUMMYFUNCTION("""COMPUTED_VALUE"""),"")</f>
        <v/>
      </c>
      <c r="N269" s="189" t="str">
        <f ca="1">IFERROR(__xludf.DUMMYFUNCTION("""COMPUTED_VALUE"""),"")</f>
        <v/>
      </c>
      <c r="O269" s="189" t="str">
        <f ca="1">IFERROR(__xludf.DUMMYFUNCTION("""COMPUTED_VALUE"""),"")</f>
        <v/>
      </c>
      <c r="P269" s="189" t="str">
        <f ca="1">IFERROR(__xludf.DUMMYFUNCTION("""COMPUTED_VALUE"""),"")</f>
        <v/>
      </c>
      <c r="Q269" s="189" t="str">
        <f ca="1">IFERROR(__xludf.DUMMYFUNCTION("""COMPUTED_VALUE"""),"")</f>
        <v/>
      </c>
      <c r="R269" s="189" t="str">
        <f ca="1">IFERROR(__xludf.DUMMYFUNCTION("""COMPUTED_VALUE"""),"")</f>
        <v/>
      </c>
      <c r="S269" s="189" t="str">
        <f ca="1">IFERROR(__xludf.DUMMYFUNCTION("""COMPUTED_VALUE"""),"")</f>
        <v/>
      </c>
      <c r="T269" s="189" t="str">
        <f ca="1">IFERROR(__xludf.DUMMYFUNCTION("""COMPUTED_VALUE"""),"")</f>
        <v/>
      </c>
      <c r="U269" s="189" t="str">
        <f ca="1">IFERROR(__xludf.DUMMYFUNCTION("""COMPUTED_VALUE"""),"")</f>
        <v/>
      </c>
      <c r="V269" s="189" t="str">
        <f ca="1">IFERROR(__xludf.DUMMYFUNCTION("""COMPUTED_VALUE"""),"")</f>
        <v/>
      </c>
      <c r="W269" s="189" t="str">
        <f ca="1">IFERROR(__xludf.DUMMYFUNCTION("""COMPUTED_VALUE"""),"")</f>
        <v/>
      </c>
      <c r="X269" s="189" t="str">
        <f ca="1">IFERROR(__xludf.DUMMYFUNCTION("""COMPUTED_VALUE"""),"")</f>
        <v/>
      </c>
      <c r="Y269" s="189" t="str">
        <f ca="1">IFERROR(__xludf.DUMMYFUNCTION("""COMPUTED_VALUE"""),"")</f>
        <v/>
      </c>
      <c r="Z269" s="189"/>
    </row>
    <row r="270" spans="1:26" ht="12.75">
      <c r="A270" s="189" t="str">
        <f ca="1">IFERROR(__xludf.DUMMYFUNCTION("""COMPUTED_VALUE"""),"")</f>
        <v/>
      </c>
      <c r="B270" s="189" t="str">
        <f ca="1">IFERROR(__xludf.DUMMYFUNCTION("""COMPUTED_VALUE"""),"")</f>
        <v/>
      </c>
      <c r="C270" s="189" t="str">
        <f ca="1">IFERROR(__xludf.DUMMYFUNCTION("""COMPUTED_VALUE"""),"")</f>
        <v/>
      </c>
      <c r="D270" s="189" t="str">
        <f ca="1">IFERROR(__xludf.DUMMYFUNCTION("""COMPUTED_VALUE"""),"")</f>
        <v/>
      </c>
      <c r="E270" s="189" t="str">
        <f ca="1">IFERROR(__xludf.DUMMYFUNCTION("""COMPUTED_VALUE"""),"")</f>
        <v/>
      </c>
      <c r="F270" s="189" t="str">
        <f ca="1">IFERROR(__xludf.DUMMYFUNCTION("""COMPUTED_VALUE"""),"")</f>
        <v/>
      </c>
      <c r="G270" s="189" t="str">
        <f ca="1">IFERROR(__xludf.DUMMYFUNCTION("""COMPUTED_VALUE"""),"")</f>
        <v/>
      </c>
      <c r="H270" s="189" t="str">
        <f ca="1">IFERROR(__xludf.DUMMYFUNCTION("""COMPUTED_VALUE"""),"")</f>
        <v/>
      </c>
      <c r="I270" s="120" t="str">
        <f ca="1">IFERROR(__xludf.DUMMYFUNCTION("""COMPUTED_VALUE"""),"")</f>
        <v/>
      </c>
      <c r="J270" s="189" t="str">
        <f ca="1">IFERROR(__xludf.DUMMYFUNCTION("""COMPUTED_VALUE"""),"")</f>
        <v/>
      </c>
      <c r="K270" s="189" t="str">
        <f ca="1">IFERROR(__xludf.DUMMYFUNCTION("""COMPUTED_VALUE"""),"")</f>
        <v/>
      </c>
      <c r="L270" s="189" t="str">
        <f ca="1">IFERROR(__xludf.DUMMYFUNCTION("""COMPUTED_VALUE"""),"")</f>
        <v/>
      </c>
      <c r="M270" s="189" t="str">
        <f ca="1">IFERROR(__xludf.DUMMYFUNCTION("""COMPUTED_VALUE"""),"")</f>
        <v/>
      </c>
      <c r="N270" s="189" t="str">
        <f ca="1">IFERROR(__xludf.DUMMYFUNCTION("""COMPUTED_VALUE"""),"")</f>
        <v/>
      </c>
      <c r="O270" s="189" t="str">
        <f ca="1">IFERROR(__xludf.DUMMYFUNCTION("""COMPUTED_VALUE"""),"")</f>
        <v/>
      </c>
      <c r="P270" s="189" t="str">
        <f ca="1">IFERROR(__xludf.DUMMYFUNCTION("""COMPUTED_VALUE"""),"")</f>
        <v/>
      </c>
      <c r="Q270" s="189" t="str">
        <f ca="1">IFERROR(__xludf.DUMMYFUNCTION("""COMPUTED_VALUE"""),"")</f>
        <v/>
      </c>
      <c r="R270" s="189" t="str">
        <f ca="1">IFERROR(__xludf.DUMMYFUNCTION("""COMPUTED_VALUE"""),"")</f>
        <v/>
      </c>
      <c r="S270" s="189" t="str">
        <f ca="1">IFERROR(__xludf.DUMMYFUNCTION("""COMPUTED_VALUE"""),"")</f>
        <v/>
      </c>
      <c r="T270" s="189" t="str">
        <f ca="1">IFERROR(__xludf.DUMMYFUNCTION("""COMPUTED_VALUE"""),"")</f>
        <v/>
      </c>
      <c r="U270" s="189" t="str">
        <f ca="1">IFERROR(__xludf.DUMMYFUNCTION("""COMPUTED_VALUE"""),"")</f>
        <v/>
      </c>
      <c r="V270" s="189" t="str">
        <f ca="1">IFERROR(__xludf.DUMMYFUNCTION("""COMPUTED_VALUE"""),"")</f>
        <v/>
      </c>
      <c r="W270" s="189" t="str">
        <f ca="1">IFERROR(__xludf.DUMMYFUNCTION("""COMPUTED_VALUE"""),"")</f>
        <v/>
      </c>
      <c r="X270" s="189" t="str">
        <f ca="1">IFERROR(__xludf.DUMMYFUNCTION("""COMPUTED_VALUE"""),"")</f>
        <v/>
      </c>
      <c r="Y270" s="189" t="str">
        <f ca="1">IFERROR(__xludf.DUMMYFUNCTION("""COMPUTED_VALUE"""),"")</f>
        <v/>
      </c>
      <c r="Z270" s="189"/>
    </row>
    <row r="271" spans="1:26" ht="12.75">
      <c r="A271" s="189" t="str">
        <f ca="1">IFERROR(__xludf.DUMMYFUNCTION("""COMPUTED_VALUE"""),"")</f>
        <v/>
      </c>
      <c r="B271" s="189" t="str">
        <f ca="1">IFERROR(__xludf.DUMMYFUNCTION("""COMPUTED_VALUE"""),"")</f>
        <v/>
      </c>
      <c r="C271" s="189" t="str">
        <f ca="1">IFERROR(__xludf.DUMMYFUNCTION("""COMPUTED_VALUE"""),"")</f>
        <v/>
      </c>
      <c r="D271" s="189" t="str">
        <f ca="1">IFERROR(__xludf.DUMMYFUNCTION("""COMPUTED_VALUE"""),"")</f>
        <v/>
      </c>
      <c r="E271" s="189" t="str">
        <f ca="1">IFERROR(__xludf.DUMMYFUNCTION("""COMPUTED_VALUE"""),"")</f>
        <v/>
      </c>
      <c r="F271" s="189" t="str">
        <f ca="1">IFERROR(__xludf.DUMMYFUNCTION("""COMPUTED_VALUE"""),"")</f>
        <v/>
      </c>
      <c r="G271" s="189" t="str">
        <f ca="1">IFERROR(__xludf.DUMMYFUNCTION("""COMPUTED_VALUE"""),"")</f>
        <v/>
      </c>
      <c r="H271" s="189" t="str">
        <f ca="1">IFERROR(__xludf.DUMMYFUNCTION("""COMPUTED_VALUE"""),"")</f>
        <v/>
      </c>
      <c r="I271" s="120" t="str">
        <f ca="1">IFERROR(__xludf.DUMMYFUNCTION("""COMPUTED_VALUE"""),"")</f>
        <v/>
      </c>
      <c r="J271" s="189" t="str">
        <f ca="1">IFERROR(__xludf.DUMMYFUNCTION("""COMPUTED_VALUE"""),"")</f>
        <v/>
      </c>
      <c r="K271" s="189" t="str">
        <f ca="1">IFERROR(__xludf.DUMMYFUNCTION("""COMPUTED_VALUE"""),"")</f>
        <v/>
      </c>
      <c r="L271" s="189" t="str">
        <f ca="1">IFERROR(__xludf.DUMMYFUNCTION("""COMPUTED_VALUE"""),"")</f>
        <v/>
      </c>
      <c r="M271" s="189" t="str">
        <f ca="1">IFERROR(__xludf.DUMMYFUNCTION("""COMPUTED_VALUE"""),"")</f>
        <v/>
      </c>
      <c r="N271" s="189" t="str">
        <f ca="1">IFERROR(__xludf.DUMMYFUNCTION("""COMPUTED_VALUE"""),"")</f>
        <v/>
      </c>
      <c r="O271" s="189" t="str">
        <f ca="1">IFERROR(__xludf.DUMMYFUNCTION("""COMPUTED_VALUE"""),"")</f>
        <v/>
      </c>
      <c r="P271" s="189" t="str">
        <f ca="1">IFERROR(__xludf.DUMMYFUNCTION("""COMPUTED_VALUE"""),"")</f>
        <v/>
      </c>
      <c r="Q271" s="189" t="str">
        <f ca="1">IFERROR(__xludf.DUMMYFUNCTION("""COMPUTED_VALUE"""),"")</f>
        <v/>
      </c>
      <c r="R271" s="189" t="str">
        <f ca="1">IFERROR(__xludf.DUMMYFUNCTION("""COMPUTED_VALUE"""),"")</f>
        <v/>
      </c>
      <c r="S271" s="189" t="str">
        <f ca="1">IFERROR(__xludf.DUMMYFUNCTION("""COMPUTED_VALUE"""),"")</f>
        <v/>
      </c>
      <c r="T271" s="189" t="str">
        <f ca="1">IFERROR(__xludf.DUMMYFUNCTION("""COMPUTED_VALUE"""),"")</f>
        <v/>
      </c>
      <c r="U271" s="189" t="str">
        <f ca="1">IFERROR(__xludf.DUMMYFUNCTION("""COMPUTED_VALUE"""),"")</f>
        <v/>
      </c>
      <c r="V271" s="189" t="str">
        <f ca="1">IFERROR(__xludf.DUMMYFUNCTION("""COMPUTED_VALUE"""),"")</f>
        <v/>
      </c>
      <c r="W271" s="189" t="str">
        <f ca="1">IFERROR(__xludf.DUMMYFUNCTION("""COMPUTED_VALUE"""),"")</f>
        <v/>
      </c>
      <c r="X271" s="189" t="str">
        <f ca="1">IFERROR(__xludf.DUMMYFUNCTION("""COMPUTED_VALUE"""),"")</f>
        <v/>
      </c>
      <c r="Y271" s="189" t="str">
        <f ca="1">IFERROR(__xludf.DUMMYFUNCTION("""COMPUTED_VALUE"""),"")</f>
        <v/>
      </c>
      <c r="Z271" s="189"/>
    </row>
    <row r="272" spans="1:26" ht="12.75">
      <c r="A272" s="189" t="str">
        <f ca="1">IFERROR(__xludf.DUMMYFUNCTION("""COMPUTED_VALUE"""),"")</f>
        <v/>
      </c>
      <c r="B272" s="189" t="str">
        <f ca="1">IFERROR(__xludf.DUMMYFUNCTION("""COMPUTED_VALUE"""),"")</f>
        <v/>
      </c>
      <c r="C272" s="189" t="str">
        <f ca="1">IFERROR(__xludf.DUMMYFUNCTION("""COMPUTED_VALUE"""),"")</f>
        <v/>
      </c>
      <c r="D272" s="189" t="str">
        <f ca="1">IFERROR(__xludf.DUMMYFUNCTION("""COMPUTED_VALUE"""),"")</f>
        <v/>
      </c>
      <c r="E272" s="189" t="str">
        <f ca="1">IFERROR(__xludf.DUMMYFUNCTION("""COMPUTED_VALUE"""),"")</f>
        <v/>
      </c>
      <c r="F272" s="189" t="str">
        <f ca="1">IFERROR(__xludf.DUMMYFUNCTION("""COMPUTED_VALUE"""),"")</f>
        <v/>
      </c>
      <c r="G272" s="189" t="str">
        <f ca="1">IFERROR(__xludf.DUMMYFUNCTION("""COMPUTED_VALUE"""),"")</f>
        <v/>
      </c>
      <c r="H272" s="189" t="str">
        <f ca="1">IFERROR(__xludf.DUMMYFUNCTION("""COMPUTED_VALUE"""),"")</f>
        <v/>
      </c>
      <c r="I272" s="120" t="str">
        <f ca="1">IFERROR(__xludf.DUMMYFUNCTION("""COMPUTED_VALUE"""),"")</f>
        <v/>
      </c>
      <c r="J272" s="189" t="str">
        <f ca="1">IFERROR(__xludf.DUMMYFUNCTION("""COMPUTED_VALUE"""),"")</f>
        <v/>
      </c>
      <c r="K272" s="189" t="str">
        <f ca="1">IFERROR(__xludf.DUMMYFUNCTION("""COMPUTED_VALUE"""),"")</f>
        <v/>
      </c>
      <c r="L272" s="189" t="str">
        <f ca="1">IFERROR(__xludf.DUMMYFUNCTION("""COMPUTED_VALUE"""),"")</f>
        <v/>
      </c>
      <c r="M272" s="189" t="str">
        <f ca="1">IFERROR(__xludf.DUMMYFUNCTION("""COMPUTED_VALUE"""),"")</f>
        <v/>
      </c>
      <c r="N272" s="189" t="str">
        <f ca="1">IFERROR(__xludf.DUMMYFUNCTION("""COMPUTED_VALUE"""),"")</f>
        <v/>
      </c>
      <c r="O272" s="189" t="str">
        <f ca="1">IFERROR(__xludf.DUMMYFUNCTION("""COMPUTED_VALUE"""),"")</f>
        <v/>
      </c>
      <c r="P272" s="189" t="str">
        <f ca="1">IFERROR(__xludf.DUMMYFUNCTION("""COMPUTED_VALUE"""),"")</f>
        <v/>
      </c>
      <c r="Q272" s="189" t="str">
        <f ca="1">IFERROR(__xludf.DUMMYFUNCTION("""COMPUTED_VALUE"""),"")</f>
        <v/>
      </c>
      <c r="R272" s="189" t="str">
        <f ca="1">IFERROR(__xludf.DUMMYFUNCTION("""COMPUTED_VALUE"""),"")</f>
        <v/>
      </c>
      <c r="S272" s="189" t="str">
        <f ca="1">IFERROR(__xludf.DUMMYFUNCTION("""COMPUTED_VALUE"""),"")</f>
        <v/>
      </c>
      <c r="T272" s="189" t="str">
        <f ca="1">IFERROR(__xludf.DUMMYFUNCTION("""COMPUTED_VALUE"""),"")</f>
        <v/>
      </c>
      <c r="U272" s="189" t="str">
        <f ca="1">IFERROR(__xludf.DUMMYFUNCTION("""COMPUTED_VALUE"""),"")</f>
        <v/>
      </c>
      <c r="V272" s="189" t="str">
        <f ca="1">IFERROR(__xludf.DUMMYFUNCTION("""COMPUTED_VALUE"""),"")</f>
        <v/>
      </c>
      <c r="W272" s="189" t="str">
        <f ca="1">IFERROR(__xludf.DUMMYFUNCTION("""COMPUTED_VALUE"""),"")</f>
        <v/>
      </c>
      <c r="X272" s="189" t="str">
        <f ca="1">IFERROR(__xludf.DUMMYFUNCTION("""COMPUTED_VALUE"""),"")</f>
        <v/>
      </c>
      <c r="Y272" s="189" t="str">
        <f ca="1">IFERROR(__xludf.DUMMYFUNCTION("""COMPUTED_VALUE"""),"")</f>
        <v/>
      </c>
      <c r="Z272" s="189"/>
    </row>
    <row r="273" spans="1:26" ht="12.75">
      <c r="A273" s="189" t="str">
        <f ca="1">IFERROR(__xludf.DUMMYFUNCTION("""COMPUTED_VALUE"""),"")</f>
        <v/>
      </c>
      <c r="B273" s="189" t="str">
        <f ca="1">IFERROR(__xludf.DUMMYFUNCTION("""COMPUTED_VALUE"""),"")</f>
        <v/>
      </c>
      <c r="C273" s="189" t="str">
        <f ca="1">IFERROR(__xludf.DUMMYFUNCTION("""COMPUTED_VALUE"""),"")</f>
        <v/>
      </c>
      <c r="D273" s="189" t="str">
        <f ca="1">IFERROR(__xludf.DUMMYFUNCTION("""COMPUTED_VALUE"""),"")</f>
        <v/>
      </c>
      <c r="E273" s="189" t="str">
        <f ca="1">IFERROR(__xludf.DUMMYFUNCTION("""COMPUTED_VALUE"""),"")</f>
        <v/>
      </c>
      <c r="F273" s="189" t="str">
        <f ca="1">IFERROR(__xludf.DUMMYFUNCTION("""COMPUTED_VALUE"""),"")</f>
        <v/>
      </c>
      <c r="G273" s="189" t="str">
        <f ca="1">IFERROR(__xludf.DUMMYFUNCTION("""COMPUTED_VALUE"""),"")</f>
        <v/>
      </c>
      <c r="H273" s="189" t="str">
        <f ca="1">IFERROR(__xludf.DUMMYFUNCTION("""COMPUTED_VALUE"""),"")</f>
        <v/>
      </c>
      <c r="I273" s="120" t="str">
        <f ca="1">IFERROR(__xludf.DUMMYFUNCTION("""COMPUTED_VALUE"""),"")</f>
        <v/>
      </c>
      <c r="J273" s="189" t="str">
        <f ca="1">IFERROR(__xludf.DUMMYFUNCTION("""COMPUTED_VALUE"""),"")</f>
        <v/>
      </c>
      <c r="K273" s="189" t="str">
        <f ca="1">IFERROR(__xludf.DUMMYFUNCTION("""COMPUTED_VALUE"""),"")</f>
        <v/>
      </c>
      <c r="L273" s="189" t="str">
        <f ca="1">IFERROR(__xludf.DUMMYFUNCTION("""COMPUTED_VALUE"""),"")</f>
        <v/>
      </c>
      <c r="M273" s="189" t="str">
        <f ca="1">IFERROR(__xludf.DUMMYFUNCTION("""COMPUTED_VALUE"""),"")</f>
        <v/>
      </c>
      <c r="N273" s="189" t="str">
        <f ca="1">IFERROR(__xludf.DUMMYFUNCTION("""COMPUTED_VALUE"""),"")</f>
        <v/>
      </c>
      <c r="O273" s="189" t="str">
        <f ca="1">IFERROR(__xludf.DUMMYFUNCTION("""COMPUTED_VALUE"""),"")</f>
        <v/>
      </c>
      <c r="P273" s="189" t="str">
        <f ca="1">IFERROR(__xludf.DUMMYFUNCTION("""COMPUTED_VALUE"""),"")</f>
        <v/>
      </c>
      <c r="Q273" s="189" t="str">
        <f ca="1">IFERROR(__xludf.DUMMYFUNCTION("""COMPUTED_VALUE"""),"")</f>
        <v/>
      </c>
      <c r="R273" s="189" t="str">
        <f ca="1">IFERROR(__xludf.DUMMYFUNCTION("""COMPUTED_VALUE"""),"")</f>
        <v/>
      </c>
      <c r="S273" s="189" t="str">
        <f ca="1">IFERROR(__xludf.DUMMYFUNCTION("""COMPUTED_VALUE"""),"")</f>
        <v/>
      </c>
      <c r="T273" s="189" t="str">
        <f ca="1">IFERROR(__xludf.DUMMYFUNCTION("""COMPUTED_VALUE"""),"")</f>
        <v/>
      </c>
      <c r="U273" s="189" t="str">
        <f ca="1">IFERROR(__xludf.DUMMYFUNCTION("""COMPUTED_VALUE"""),"")</f>
        <v/>
      </c>
      <c r="V273" s="189" t="str">
        <f ca="1">IFERROR(__xludf.DUMMYFUNCTION("""COMPUTED_VALUE"""),"")</f>
        <v/>
      </c>
      <c r="W273" s="189" t="str">
        <f ca="1">IFERROR(__xludf.DUMMYFUNCTION("""COMPUTED_VALUE"""),"")</f>
        <v/>
      </c>
      <c r="X273" s="189" t="str">
        <f ca="1">IFERROR(__xludf.DUMMYFUNCTION("""COMPUTED_VALUE"""),"")</f>
        <v/>
      </c>
      <c r="Y273" s="189" t="str">
        <f ca="1">IFERROR(__xludf.DUMMYFUNCTION("""COMPUTED_VALUE"""),"")</f>
        <v/>
      </c>
      <c r="Z273" s="189"/>
    </row>
    <row r="274" spans="1:26" ht="12.75">
      <c r="A274" s="189" t="str">
        <f ca="1">IFERROR(__xludf.DUMMYFUNCTION("""COMPUTED_VALUE"""),"")</f>
        <v/>
      </c>
      <c r="B274" s="189" t="str">
        <f ca="1">IFERROR(__xludf.DUMMYFUNCTION("""COMPUTED_VALUE"""),"")</f>
        <v/>
      </c>
      <c r="C274" s="189" t="str">
        <f ca="1">IFERROR(__xludf.DUMMYFUNCTION("""COMPUTED_VALUE"""),"")</f>
        <v/>
      </c>
      <c r="D274" s="189" t="str">
        <f ca="1">IFERROR(__xludf.DUMMYFUNCTION("""COMPUTED_VALUE"""),"")</f>
        <v/>
      </c>
      <c r="E274" s="189" t="str">
        <f ca="1">IFERROR(__xludf.DUMMYFUNCTION("""COMPUTED_VALUE"""),"")</f>
        <v/>
      </c>
      <c r="F274" s="189" t="str">
        <f ca="1">IFERROR(__xludf.DUMMYFUNCTION("""COMPUTED_VALUE"""),"")</f>
        <v/>
      </c>
      <c r="G274" s="189" t="str">
        <f ca="1">IFERROR(__xludf.DUMMYFUNCTION("""COMPUTED_VALUE"""),"")</f>
        <v/>
      </c>
      <c r="H274" s="189" t="str">
        <f ca="1">IFERROR(__xludf.DUMMYFUNCTION("""COMPUTED_VALUE"""),"")</f>
        <v/>
      </c>
      <c r="I274" s="120" t="str">
        <f ca="1">IFERROR(__xludf.DUMMYFUNCTION("""COMPUTED_VALUE"""),"")</f>
        <v/>
      </c>
      <c r="J274" s="189" t="str">
        <f ca="1">IFERROR(__xludf.DUMMYFUNCTION("""COMPUTED_VALUE"""),"")</f>
        <v/>
      </c>
      <c r="K274" s="189" t="str">
        <f ca="1">IFERROR(__xludf.DUMMYFUNCTION("""COMPUTED_VALUE"""),"")</f>
        <v/>
      </c>
      <c r="L274" s="189" t="str">
        <f ca="1">IFERROR(__xludf.DUMMYFUNCTION("""COMPUTED_VALUE"""),"")</f>
        <v/>
      </c>
      <c r="M274" s="189" t="str">
        <f ca="1">IFERROR(__xludf.DUMMYFUNCTION("""COMPUTED_VALUE"""),"")</f>
        <v/>
      </c>
      <c r="N274" s="189" t="str">
        <f ca="1">IFERROR(__xludf.DUMMYFUNCTION("""COMPUTED_VALUE"""),"")</f>
        <v/>
      </c>
      <c r="O274" s="189" t="str">
        <f ca="1">IFERROR(__xludf.DUMMYFUNCTION("""COMPUTED_VALUE"""),"")</f>
        <v/>
      </c>
      <c r="P274" s="189" t="str">
        <f ca="1">IFERROR(__xludf.DUMMYFUNCTION("""COMPUTED_VALUE"""),"")</f>
        <v/>
      </c>
      <c r="Q274" s="189" t="str">
        <f ca="1">IFERROR(__xludf.DUMMYFUNCTION("""COMPUTED_VALUE"""),"")</f>
        <v/>
      </c>
      <c r="R274" s="189" t="str">
        <f ca="1">IFERROR(__xludf.DUMMYFUNCTION("""COMPUTED_VALUE"""),"")</f>
        <v/>
      </c>
      <c r="S274" s="189" t="str">
        <f ca="1">IFERROR(__xludf.DUMMYFUNCTION("""COMPUTED_VALUE"""),"")</f>
        <v/>
      </c>
      <c r="T274" s="189" t="str">
        <f ca="1">IFERROR(__xludf.DUMMYFUNCTION("""COMPUTED_VALUE"""),"")</f>
        <v/>
      </c>
      <c r="U274" s="189" t="str">
        <f ca="1">IFERROR(__xludf.DUMMYFUNCTION("""COMPUTED_VALUE"""),"")</f>
        <v/>
      </c>
      <c r="V274" s="189" t="str">
        <f ca="1">IFERROR(__xludf.DUMMYFUNCTION("""COMPUTED_VALUE"""),"")</f>
        <v/>
      </c>
      <c r="W274" s="189" t="str">
        <f ca="1">IFERROR(__xludf.DUMMYFUNCTION("""COMPUTED_VALUE"""),"")</f>
        <v/>
      </c>
      <c r="X274" s="189" t="str">
        <f ca="1">IFERROR(__xludf.DUMMYFUNCTION("""COMPUTED_VALUE"""),"")</f>
        <v/>
      </c>
      <c r="Y274" s="189" t="str">
        <f ca="1">IFERROR(__xludf.DUMMYFUNCTION("""COMPUTED_VALUE"""),"")</f>
        <v/>
      </c>
      <c r="Z274" s="189"/>
    </row>
    <row r="275" spans="1:26" ht="12.75">
      <c r="A275" s="189" t="str">
        <f ca="1">IFERROR(__xludf.DUMMYFUNCTION("""COMPUTED_VALUE"""),"")</f>
        <v/>
      </c>
      <c r="B275" s="189" t="str">
        <f ca="1">IFERROR(__xludf.DUMMYFUNCTION("""COMPUTED_VALUE"""),"")</f>
        <v/>
      </c>
      <c r="C275" s="189" t="str">
        <f ca="1">IFERROR(__xludf.DUMMYFUNCTION("""COMPUTED_VALUE"""),"")</f>
        <v/>
      </c>
      <c r="D275" s="189" t="str">
        <f ca="1">IFERROR(__xludf.DUMMYFUNCTION("""COMPUTED_VALUE"""),"")</f>
        <v/>
      </c>
      <c r="E275" s="189" t="str">
        <f ca="1">IFERROR(__xludf.DUMMYFUNCTION("""COMPUTED_VALUE"""),"")</f>
        <v/>
      </c>
      <c r="F275" s="189" t="str">
        <f ca="1">IFERROR(__xludf.DUMMYFUNCTION("""COMPUTED_VALUE"""),"")</f>
        <v/>
      </c>
      <c r="G275" s="189" t="str">
        <f ca="1">IFERROR(__xludf.DUMMYFUNCTION("""COMPUTED_VALUE"""),"")</f>
        <v/>
      </c>
      <c r="H275" s="189" t="str">
        <f ca="1">IFERROR(__xludf.DUMMYFUNCTION("""COMPUTED_VALUE"""),"")</f>
        <v/>
      </c>
      <c r="I275" s="120" t="str">
        <f ca="1">IFERROR(__xludf.DUMMYFUNCTION("""COMPUTED_VALUE"""),"")</f>
        <v/>
      </c>
      <c r="J275" s="189" t="str">
        <f ca="1">IFERROR(__xludf.DUMMYFUNCTION("""COMPUTED_VALUE"""),"")</f>
        <v/>
      </c>
      <c r="K275" s="189" t="str">
        <f ca="1">IFERROR(__xludf.DUMMYFUNCTION("""COMPUTED_VALUE"""),"")</f>
        <v/>
      </c>
      <c r="L275" s="189" t="str">
        <f ca="1">IFERROR(__xludf.DUMMYFUNCTION("""COMPUTED_VALUE"""),"")</f>
        <v/>
      </c>
      <c r="M275" s="189" t="str">
        <f ca="1">IFERROR(__xludf.DUMMYFUNCTION("""COMPUTED_VALUE"""),"")</f>
        <v/>
      </c>
      <c r="N275" s="189" t="str">
        <f ca="1">IFERROR(__xludf.DUMMYFUNCTION("""COMPUTED_VALUE"""),"")</f>
        <v/>
      </c>
      <c r="O275" s="189" t="str">
        <f ca="1">IFERROR(__xludf.DUMMYFUNCTION("""COMPUTED_VALUE"""),"")</f>
        <v/>
      </c>
      <c r="P275" s="189" t="str">
        <f ca="1">IFERROR(__xludf.DUMMYFUNCTION("""COMPUTED_VALUE"""),"")</f>
        <v/>
      </c>
      <c r="Q275" s="189" t="str">
        <f ca="1">IFERROR(__xludf.DUMMYFUNCTION("""COMPUTED_VALUE"""),"")</f>
        <v/>
      </c>
      <c r="R275" s="189" t="str">
        <f ca="1">IFERROR(__xludf.DUMMYFUNCTION("""COMPUTED_VALUE"""),"")</f>
        <v/>
      </c>
      <c r="S275" s="189" t="str">
        <f ca="1">IFERROR(__xludf.DUMMYFUNCTION("""COMPUTED_VALUE"""),"")</f>
        <v/>
      </c>
      <c r="T275" s="189" t="str">
        <f ca="1">IFERROR(__xludf.DUMMYFUNCTION("""COMPUTED_VALUE"""),"")</f>
        <v/>
      </c>
      <c r="U275" s="189" t="str">
        <f ca="1">IFERROR(__xludf.DUMMYFUNCTION("""COMPUTED_VALUE"""),"")</f>
        <v/>
      </c>
      <c r="V275" s="189" t="str">
        <f ca="1">IFERROR(__xludf.DUMMYFUNCTION("""COMPUTED_VALUE"""),"")</f>
        <v/>
      </c>
      <c r="W275" s="189" t="str">
        <f ca="1">IFERROR(__xludf.DUMMYFUNCTION("""COMPUTED_VALUE"""),"")</f>
        <v/>
      </c>
      <c r="X275" s="189" t="str">
        <f ca="1">IFERROR(__xludf.DUMMYFUNCTION("""COMPUTED_VALUE"""),"")</f>
        <v/>
      </c>
      <c r="Y275" s="189" t="str">
        <f ca="1">IFERROR(__xludf.DUMMYFUNCTION("""COMPUTED_VALUE"""),"")</f>
        <v/>
      </c>
      <c r="Z275" s="189"/>
    </row>
    <row r="276" spans="1:26" ht="12.75">
      <c r="A276" s="189" t="str">
        <f ca="1">IFERROR(__xludf.DUMMYFUNCTION("""COMPUTED_VALUE"""),"")</f>
        <v/>
      </c>
      <c r="B276" s="189" t="str">
        <f ca="1">IFERROR(__xludf.DUMMYFUNCTION("""COMPUTED_VALUE"""),"")</f>
        <v/>
      </c>
      <c r="C276" s="189" t="str">
        <f ca="1">IFERROR(__xludf.DUMMYFUNCTION("""COMPUTED_VALUE"""),"")</f>
        <v/>
      </c>
      <c r="D276" s="189" t="str">
        <f ca="1">IFERROR(__xludf.DUMMYFUNCTION("""COMPUTED_VALUE"""),"")</f>
        <v/>
      </c>
      <c r="E276" s="189" t="str">
        <f ca="1">IFERROR(__xludf.DUMMYFUNCTION("""COMPUTED_VALUE"""),"")</f>
        <v/>
      </c>
      <c r="F276" s="189" t="str">
        <f ca="1">IFERROR(__xludf.DUMMYFUNCTION("""COMPUTED_VALUE"""),"")</f>
        <v/>
      </c>
      <c r="G276" s="189" t="str">
        <f ca="1">IFERROR(__xludf.DUMMYFUNCTION("""COMPUTED_VALUE"""),"")</f>
        <v/>
      </c>
      <c r="H276" s="189" t="str">
        <f ca="1">IFERROR(__xludf.DUMMYFUNCTION("""COMPUTED_VALUE"""),"")</f>
        <v/>
      </c>
      <c r="I276" s="120" t="str">
        <f ca="1">IFERROR(__xludf.DUMMYFUNCTION("""COMPUTED_VALUE"""),"")</f>
        <v/>
      </c>
      <c r="J276" s="189" t="str">
        <f ca="1">IFERROR(__xludf.DUMMYFUNCTION("""COMPUTED_VALUE"""),"")</f>
        <v/>
      </c>
      <c r="K276" s="189" t="str">
        <f ca="1">IFERROR(__xludf.DUMMYFUNCTION("""COMPUTED_VALUE"""),"")</f>
        <v/>
      </c>
      <c r="L276" s="189" t="str">
        <f ca="1">IFERROR(__xludf.DUMMYFUNCTION("""COMPUTED_VALUE"""),"")</f>
        <v/>
      </c>
      <c r="M276" s="189" t="str">
        <f ca="1">IFERROR(__xludf.DUMMYFUNCTION("""COMPUTED_VALUE"""),"")</f>
        <v/>
      </c>
      <c r="N276" s="189" t="str">
        <f ca="1">IFERROR(__xludf.DUMMYFUNCTION("""COMPUTED_VALUE"""),"")</f>
        <v/>
      </c>
      <c r="O276" s="189" t="str">
        <f ca="1">IFERROR(__xludf.DUMMYFUNCTION("""COMPUTED_VALUE"""),"")</f>
        <v/>
      </c>
      <c r="P276" s="189" t="str">
        <f ca="1">IFERROR(__xludf.DUMMYFUNCTION("""COMPUTED_VALUE"""),"")</f>
        <v/>
      </c>
      <c r="Q276" s="189" t="str">
        <f ca="1">IFERROR(__xludf.DUMMYFUNCTION("""COMPUTED_VALUE"""),"")</f>
        <v/>
      </c>
      <c r="R276" s="189" t="str">
        <f ca="1">IFERROR(__xludf.DUMMYFUNCTION("""COMPUTED_VALUE"""),"")</f>
        <v/>
      </c>
      <c r="S276" s="189" t="str">
        <f ca="1">IFERROR(__xludf.DUMMYFUNCTION("""COMPUTED_VALUE"""),"")</f>
        <v/>
      </c>
      <c r="T276" s="189" t="str">
        <f ca="1">IFERROR(__xludf.DUMMYFUNCTION("""COMPUTED_VALUE"""),"")</f>
        <v/>
      </c>
      <c r="U276" s="189" t="str">
        <f ca="1">IFERROR(__xludf.DUMMYFUNCTION("""COMPUTED_VALUE"""),"")</f>
        <v/>
      </c>
      <c r="V276" s="189" t="str">
        <f ca="1">IFERROR(__xludf.DUMMYFUNCTION("""COMPUTED_VALUE"""),"")</f>
        <v/>
      </c>
      <c r="W276" s="189" t="str">
        <f ca="1">IFERROR(__xludf.DUMMYFUNCTION("""COMPUTED_VALUE"""),"")</f>
        <v/>
      </c>
      <c r="X276" s="189" t="str">
        <f ca="1">IFERROR(__xludf.DUMMYFUNCTION("""COMPUTED_VALUE"""),"")</f>
        <v/>
      </c>
      <c r="Y276" s="189" t="str">
        <f ca="1">IFERROR(__xludf.DUMMYFUNCTION("""COMPUTED_VALUE"""),"")</f>
        <v/>
      </c>
      <c r="Z276" s="189"/>
    </row>
    <row r="277" spans="1:26" ht="12.75">
      <c r="A277" s="189" t="str">
        <f ca="1">IFERROR(__xludf.DUMMYFUNCTION("""COMPUTED_VALUE"""),"")</f>
        <v/>
      </c>
      <c r="B277" s="189" t="str">
        <f ca="1">IFERROR(__xludf.DUMMYFUNCTION("""COMPUTED_VALUE"""),"")</f>
        <v/>
      </c>
      <c r="C277" s="189" t="str">
        <f ca="1">IFERROR(__xludf.DUMMYFUNCTION("""COMPUTED_VALUE"""),"")</f>
        <v/>
      </c>
      <c r="D277" s="189" t="str">
        <f ca="1">IFERROR(__xludf.DUMMYFUNCTION("""COMPUTED_VALUE"""),"")</f>
        <v/>
      </c>
      <c r="E277" s="189" t="str">
        <f ca="1">IFERROR(__xludf.DUMMYFUNCTION("""COMPUTED_VALUE"""),"")</f>
        <v/>
      </c>
      <c r="F277" s="189" t="str">
        <f ca="1">IFERROR(__xludf.DUMMYFUNCTION("""COMPUTED_VALUE"""),"")</f>
        <v/>
      </c>
      <c r="G277" s="189" t="str">
        <f ca="1">IFERROR(__xludf.DUMMYFUNCTION("""COMPUTED_VALUE"""),"")</f>
        <v/>
      </c>
      <c r="H277" s="189" t="str">
        <f ca="1">IFERROR(__xludf.DUMMYFUNCTION("""COMPUTED_VALUE"""),"")</f>
        <v/>
      </c>
      <c r="I277" s="120" t="str">
        <f ca="1">IFERROR(__xludf.DUMMYFUNCTION("""COMPUTED_VALUE"""),"")</f>
        <v/>
      </c>
      <c r="J277" s="189" t="str">
        <f ca="1">IFERROR(__xludf.DUMMYFUNCTION("""COMPUTED_VALUE"""),"")</f>
        <v/>
      </c>
      <c r="K277" s="189" t="str">
        <f ca="1">IFERROR(__xludf.DUMMYFUNCTION("""COMPUTED_VALUE"""),"")</f>
        <v/>
      </c>
      <c r="L277" s="189" t="str">
        <f ca="1">IFERROR(__xludf.DUMMYFUNCTION("""COMPUTED_VALUE"""),"")</f>
        <v/>
      </c>
      <c r="M277" s="189" t="str">
        <f ca="1">IFERROR(__xludf.DUMMYFUNCTION("""COMPUTED_VALUE"""),"")</f>
        <v/>
      </c>
      <c r="N277" s="189" t="str">
        <f ca="1">IFERROR(__xludf.DUMMYFUNCTION("""COMPUTED_VALUE"""),"")</f>
        <v/>
      </c>
      <c r="O277" s="189" t="str">
        <f ca="1">IFERROR(__xludf.DUMMYFUNCTION("""COMPUTED_VALUE"""),"")</f>
        <v/>
      </c>
      <c r="P277" s="189" t="str">
        <f ca="1">IFERROR(__xludf.DUMMYFUNCTION("""COMPUTED_VALUE"""),"")</f>
        <v/>
      </c>
      <c r="Q277" s="189" t="str">
        <f ca="1">IFERROR(__xludf.DUMMYFUNCTION("""COMPUTED_VALUE"""),"")</f>
        <v/>
      </c>
      <c r="R277" s="189" t="str">
        <f ca="1">IFERROR(__xludf.DUMMYFUNCTION("""COMPUTED_VALUE"""),"")</f>
        <v/>
      </c>
      <c r="S277" s="189" t="str">
        <f ca="1">IFERROR(__xludf.DUMMYFUNCTION("""COMPUTED_VALUE"""),"")</f>
        <v/>
      </c>
      <c r="T277" s="189" t="str">
        <f ca="1">IFERROR(__xludf.DUMMYFUNCTION("""COMPUTED_VALUE"""),"")</f>
        <v/>
      </c>
      <c r="U277" s="189" t="str">
        <f ca="1">IFERROR(__xludf.DUMMYFUNCTION("""COMPUTED_VALUE"""),"")</f>
        <v/>
      </c>
      <c r="V277" s="189" t="str">
        <f ca="1">IFERROR(__xludf.DUMMYFUNCTION("""COMPUTED_VALUE"""),"")</f>
        <v/>
      </c>
      <c r="W277" s="189" t="str">
        <f ca="1">IFERROR(__xludf.DUMMYFUNCTION("""COMPUTED_VALUE"""),"")</f>
        <v/>
      </c>
      <c r="X277" s="189" t="str">
        <f ca="1">IFERROR(__xludf.DUMMYFUNCTION("""COMPUTED_VALUE"""),"")</f>
        <v/>
      </c>
      <c r="Y277" s="189" t="str">
        <f ca="1">IFERROR(__xludf.DUMMYFUNCTION("""COMPUTED_VALUE"""),"")</f>
        <v/>
      </c>
      <c r="Z277" s="189"/>
    </row>
    <row r="278" spans="1:26" ht="12.75">
      <c r="A278" s="189" t="str">
        <f ca="1">IFERROR(__xludf.DUMMYFUNCTION("""COMPUTED_VALUE"""),"")</f>
        <v/>
      </c>
      <c r="B278" s="189" t="str">
        <f ca="1">IFERROR(__xludf.DUMMYFUNCTION("""COMPUTED_VALUE"""),"")</f>
        <v/>
      </c>
      <c r="C278" s="189" t="str">
        <f ca="1">IFERROR(__xludf.DUMMYFUNCTION("""COMPUTED_VALUE"""),"")</f>
        <v/>
      </c>
      <c r="D278" s="189" t="str">
        <f ca="1">IFERROR(__xludf.DUMMYFUNCTION("""COMPUTED_VALUE"""),"")</f>
        <v/>
      </c>
      <c r="E278" s="189" t="str">
        <f ca="1">IFERROR(__xludf.DUMMYFUNCTION("""COMPUTED_VALUE"""),"")</f>
        <v/>
      </c>
      <c r="F278" s="189" t="str">
        <f ca="1">IFERROR(__xludf.DUMMYFUNCTION("""COMPUTED_VALUE"""),"")</f>
        <v/>
      </c>
      <c r="G278" s="189" t="str">
        <f ca="1">IFERROR(__xludf.DUMMYFUNCTION("""COMPUTED_VALUE"""),"")</f>
        <v/>
      </c>
      <c r="H278" s="189" t="str">
        <f ca="1">IFERROR(__xludf.DUMMYFUNCTION("""COMPUTED_VALUE"""),"")</f>
        <v/>
      </c>
      <c r="I278" s="120" t="str">
        <f ca="1">IFERROR(__xludf.DUMMYFUNCTION("""COMPUTED_VALUE"""),"")</f>
        <v/>
      </c>
      <c r="J278" s="189" t="str">
        <f ca="1">IFERROR(__xludf.DUMMYFUNCTION("""COMPUTED_VALUE"""),"")</f>
        <v/>
      </c>
      <c r="K278" s="189" t="str">
        <f ca="1">IFERROR(__xludf.DUMMYFUNCTION("""COMPUTED_VALUE"""),"")</f>
        <v/>
      </c>
      <c r="L278" s="189" t="str">
        <f ca="1">IFERROR(__xludf.DUMMYFUNCTION("""COMPUTED_VALUE"""),"")</f>
        <v/>
      </c>
      <c r="M278" s="189" t="str">
        <f ca="1">IFERROR(__xludf.DUMMYFUNCTION("""COMPUTED_VALUE"""),"")</f>
        <v/>
      </c>
      <c r="N278" s="189" t="str">
        <f ca="1">IFERROR(__xludf.DUMMYFUNCTION("""COMPUTED_VALUE"""),"")</f>
        <v/>
      </c>
      <c r="O278" s="189" t="str">
        <f ca="1">IFERROR(__xludf.DUMMYFUNCTION("""COMPUTED_VALUE"""),"")</f>
        <v/>
      </c>
      <c r="P278" s="189" t="str">
        <f ca="1">IFERROR(__xludf.DUMMYFUNCTION("""COMPUTED_VALUE"""),"")</f>
        <v/>
      </c>
      <c r="Q278" s="189" t="str">
        <f ca="1">IFERROR(__xludf.DUMMYFUNCTION("""COMPUTED_VALUE"""),"")</f>
        <v/>
      </c>
      <c r="R278" s="189" t="str">
        <f ca="1">IFERROR(__xludf.DUMMYFUNCTION("""COMPUTED_VALUE"""),"")</f>
        <v/>
      </c>
      <c r="S278" s="189" t="str">
        <f ca="1">IFERROR(__xludf.DUMMYFUNCTION("""COMPUTED_VALUE"""),"")</f>
        <v/>
      </c>
      <c r="T278" s="189" t="str">
        <f ca="1">IFERROR(__xludf.DUMMYFUNCTION("""COMPUTED_VALUE"""),"")</f>
        <v/>
      </c>
      <c r="U278" s="189" t="str">
        <f ca="1">IFERROR(__xludf.DUMMYFUNCTION("""COMPUTED_VALUE"""),"")</f>
        <v/>
      </c>
      <c r="V278" s="189" t="str">
        <f ca="1">IFERROR(__xludf.DUMMYFUNCTION("""COMPUTED_VALUE"""),"")</f>
        <v/>
      </c>
      <c r="W278" s="189" t="str">
        <f ca="1">IFERROR(__xludf.DUMMYFUNCTION("""COMPUTED_VALUE"""),"")</f>
        <v/>
      </c>
      <c r="X278" s="189" t="str">
        <f ca="1">IFERROR(__xludf.DUMMYFUNCTION("""COMPUTED_VALUE"""),"")</f>
        <v/>
      </c>
      <c r="Y278" s="189" t="str">
        <f ca="1">IFERROR(__xludf.DUMMYFUNCTION("""COMPUTED_VALUE"""),"")</f>
        <v/>
      </c>
      <c r="Z278" s="189"/>
    </row>
    <row r="279" spans="1:26" ht="12.75">
      <c r="A279" s="189" t="str">
        <f ca="1">IFERROR(__xludf.DUMMYFUNCTION("""COMPUTED_VALUE"""),"")</f>
        <v/>
      </c>
      <c r="B279" s="189" t="str">
        <f ca="1">IFERROR(__xludf.DUMMYFUNCTION("""COMPUTED_VALUE"""),"")</f>
        <v/>
      </c>
      <c r="C279" s="189" t="str">
        <f ca="1">IFERROR(__xludf.DUMMYFUNCTION("""COMPUTED_VALUE"""),"")</f>
        <v/>
      </c>
      <c r="D279" s="189" t="str">
        <f ca="1">IFERROR(__xludf.DUMMYFUNCTION("""COMPUTED_VALUE"""),"")</f>
        <v/>
      </c>
      <c r="E279" s="189" t="str">
        <f ca="1">IFERROR(__xludf.DUMMYFUNCTION("""COMPUTED_VALUE"""),"")</f>
        <v/>
      </c>
      <c r="F279" s="189" t="str">
        <f ca="1">IFERROR(__xludf.DUMMYFUNCTION("""COMPUTED_VALUE"""),"")</f>
        <v/>
      </c>
      <c r="G279" s="189" t="str">
        <f ca="1">IFERROR(__xludf.DUMMYFUNCTION("""COMPUTED_VALUE"""),"")</f>
        <v/>
      </c>
      <c r="H279" s="189" t="str">
        <f ca="1">IFERROR(__xludf.DUMMYFUNCTION("""COMPUTED_VALUE"""),"")</f>
        <v/>
      </c>
      <c r="I279" s="120" t="str">
        <f ca="1">IFERROR(__xludf.DUMMYFUNCTION("""COMPUTED_VALUE"""),"")</f>
        <v/>
      </c>
      <c r="J279" s="189" t="str">
        <f ca="1">IFERROR(__xludf.DUMMYFUNCTION("""COMPUTED_VALUE"""),"")</f>
        <v/>
      </c>
      <c r="K279" s="189" t="str">
        <f ca="1">IFERROR(__xludf.DUMMYFUNCTION("""COMPUTED_VALUE"""),"")</f>
        <v/>
      </c>
      <c r="L279" s="189" t="str">
        <f ca="1">IFERROR(__xludf.DUMMYFUNCTION("""COMPUTED_VALUE"""),"")</f>
        <v/>
      </c>
      <c r="M279" s="189" t="str">
        <f ca="1">IFERROR(__xludf.DUMMYFUNCTION("""COMPUTED_VALUE"""),"")</f>
        <v/>
      </c>
      <c r="N279" s="189" t="str">
        <f ca="1">IFERROR(__xludf.DUMMYFUNCTION("""COMPUTED_VALUE"""),"")</f>
        <v/>
      </c>
      <c r="O279" s="189" t="str">
        <f ca="1">IFERROR(__xludf.DUMMYFUNCTION("""COMPUTED_VALUE"""),"")</f>
        <v/>
      </c>
      <c r="P279" s="189" t="str">
        <f ca="1">IFERROR(__xludf.DUMMYFUNCTION("""COMPUTED_VALUE"""),"")</f>
        <v/>
      </c>
      <c r="Q279" s="189" t="str">
        <f ca="1">IFERROR(__xludf.DUMMYFUNCTION("""COMPUTED_VALUE"""),"")</f>
        <v/>
      </c>
      <c r="R279" s="189" t="str">
        <f ca="1">IFERROR(__xludf.DUMMYFUNCTION("""COMPUTED_VALUE"""),"")</f>
        <v/>
      </c>
      <c r="S279" s="189" t="str">
        <f ca="1">IFERROR(__xludf.DUMMYFUNCTION("""COMPUTED_VALUE"""),"")</f>
        <v/>
      </c>
      <c r="T279" s="189" t="str">
        <f ca="1">IFERROR(__xludf.DUMMYFUNCTION("""COMPUTED_VALUE"""),"")</f>
        <v/>
      </c>
      <c r="U279" s="189" t="str">
        <f ca="1">IFERROR(__xludf.DUMMYFUNCTION("""COMPUTED_VALUE"""),"")</f>
        <v/>
      </c>
      <c r="V279" s="189" t="str">
        <f ca="1">IFERROR(__xludf.DUMMYFUNCTION("""COMPUTED_VALUE"""),"")</f>
        <v/>
      </c>
      <c r="W279" s="189" t="str">
        <f ca="1">IFERROR(__xludf.DUMMYFUNCTION("""COMPUTED_VALUE"""),"")</f>
        <v/>
      </c>
      <c r="X279" s="189" t="str">
        <f ca="1">IFERROR(__xludf.DUMMYFUNCTION("""COMPUTED_VALUE"""),"")</f>
        <v/>
      </c>
      <c r="Y279" s="189" t="str">
        <f ca="1">IFERROR(__xludf.DUMMYFUNCTION("""COMPUTED_VALUE"""),"")</f>
        <v/>
      </c>
      <c r="Z279" s="189"/>
    </row>
    <row r="280" spans="1:26" ht="12.75">
      <c r="A280" s="189" t="str">
        <f ca="1">IFERROR(__xludf.DUMMYFUNCTION("""COMPUTED_VALUE"""),"")</f>
        <v/>
      </c>
      <c r="B280" s="189" t="str">
        <f ca="1">IFERROR(__xludf.DUMMYFUNCTION("""COMPUTED_VALUE"""),"")</f>
        <v/>
      </c>
      <c r="C280" s="189" t="str">
        <f ca="1">IFERROR(__xludf.DUMMYFUNCTION("""COMPUTED_VALUE"""),"")</f>
        <v/>
      </c>
      <c r="D280" s="189" t="str">
        <f ca="1">IFERROR(__xludf.DUMMYFUNCTION("""COMPUTED_VALUE"""),"")</f>
        <v/>
      </c>
      <c r="E280" s="189" t="str">
        <f ca="1">IFERROR(__xludf.DUMMYFUNCTION("""COMPUTED_VALUE"""),"")</f>
        <v/>
      </c>
      <c r="F280" s="189" t="str">
        <f ca="1">IFERROR(__xludf.DUMMYFUNCTION("""COMPUTED_VALUE"""),"")</f>
        <v/>
      </c>
      <c r="G280" s="189" t="str">
        <f ca="1">IFERROR(__xludf.DUMMYFUNCTION("""COMPUTED_VALUE"""),"")</f>
        <v/>
      </c>
      <c r="H280" s="189" t="str">
        <f ca="1">IFERROR(__xludf.DUMMYFUNCTION("""COMPUTED_VALUE"""),"")</f>
        <v/>
      </c>
      <c r="I280" s="120" t="str">
        <f ca="1">IFERROR(__xludf.DUMMYFUNCTION("""COMPUTED_VALUE"""),"")</f>
        <v/>
      </c>
      <c r="J280" s="189" t="str">
        <f ca="1">IFERROR(__xludf.DUMMYFUNCTION("""COMPUTED_VALUE"""),"")</f>
        <v/>
      </c>
      <c r="K280" s="189" t="str">
        <f ca="1">IFERROR(__xludf.DUMMYFUNCTION("""COMPUTED_VALUE"""),"")</f>
        <v/>
      </c>
      <c r="L280" s="189" t="str">
        <f ca="1">IFERROR(__xludf.DUMMYFUNCTION("""COMPUTED_VALUE"""),"")</f>
        <v/>
      </c>
      <c r="M280" s="189" t="str">
        <f ca="1">IFERROR(__xludf.DUMMYFUNCTION("""COMPUTED_VALUE"""),"")</f>
        <v/>
      </c>
      <c r="N280" s="189" t="str">
        <f ca="1">IFERROR(__xludf.DUMMYFUNCTION("""COMPUTED_VALUE"""),"")</f>
        <v/>
      </c>
      <c r="O280" s="189" t="str">
        <f ca="1">IFERROR(__xludf.DUMMYFUNCTION("""COMPUTED_VALUE"""),"")</f>
        <v/>
      </c>
      <c r="P280" s="189" t="str">
        <f ca="1">IFERROR(__xludf.DUMMYFUNCTION("""COMPUTED_VALUE"""),"")</f>
        <v/>
      </c>
      <c r="Q280" s="189" t="str">
        <f ca="1">IFERROR(__xludf.DUMMYFUNCTION("""COMPUTED_VALUE"""),"")</f>
        <v/>
      </c>
      <c r="R280" s="189" t="str">
        <f ca="1">IFERROR(__xludf.DUMMYFUNCTION("""COMPUTED_VALUE"""),"")</f>
        <v/>
      </c>
      <c r="S280" s="189" t="str">
        <f ca="1">IFERROR(__xludf.DUMMYFUNCTION("""COMPUTED_VALUE"""),"")</f>
        <v/>
      </c>
      <c r="T280" s="189" t="str">
        <f ca="1">IFERROR(__xludf.DUMMYFUNCTION("""COMPUTED_VALUE"""),"")</f>
        <v/>
      </c>
      <c r="U280" s="189" t="str">
        <f ca="1">IFERROR(__xludf.DUMMYFUNCTION("""COMPUTED_VALUE"""),"")</f>
        <v/>
      </c>
      <c r="V280" s="189" t="str">
        <f ca="1">IFERROR(__xludf.DUMMYFUNCTION("""COMPUTED_VALUE"""),"")</f>
        <v/>
      </c>
      <c r="W280" s="189" t="str">
        <f ca="1">IFERROR(__xludf.DUMMYFUNCTION("""COMPUTED_VALUE"""),"")</f>
        <v/>
      </c>
      <c r="X280" s="189" t="str">
        <f ca="1">IFERROR(__xludf.DUMMYFUNCTION("""COMPUTED_VALUE"""),"")</f>
        <v/>
      </c>
      <c r="Y280" s="189" t="str">
        <f ca="1">IFERROR(__xludf.DUMMYFUNCTION("""COMPUTED_VALUE"""),"")</f>
        <v/>
      </c>
      <c r="Z280" s="189"/>
    </row>
    <row r="281" spans="1:26" ht="12.75">
      <c r="A281" s="189" t="str">
        <f ca="1">IFERROR(__xludf.DUMMYFUNCTION("""COMPUTED_VALUE"""),"")</f>
        <v/>
      </c>
      <c r="B281" s="189" t="str">
        <f ca="1">IFERROR(__xludf.DUMMYFUNCTION("""COMPUTED_VALUE"""),"")</f>
        <v/>
      </c>
      <c r="C281" s="189" t="str">
        <f ca="1">IFERROR(__xludf.DUMMYFUNCTION("""COMPUTED_VALUE"""),"")</f>
        <v/>
      </c>
      <c r="D281" s="189" t="str">
        <f ca="1">IFERROR(__xludf.DUMMYFUNCTION("""COMPUTED_VALUE"""),"")</f>
        <v/>
      </c>
      <c r="E281" s="189" t="str">
        <f ca="1">IFERROR(__xludf.DUMMYFUNCTION("""COMPUTED_VALUE"""),"")</f>
        <v/>
      </c>
      <c r="F281" s="189" t="str">
        <f ca="1">IFERROR(__xludf.DUMMYFUNCTION("""COMPUTED_VALUE"""),"")</f>
        <v/>
      </c>
      <c r="G281" s="189" t="str">
        <f ca="1">IFERROR(__xludf.DUMMYFUNCTION("""COMPUTED_VALUE"""),"")</f>
        <v/>
      </c>
      <c r="H281" s="189" t="str">
        <f ca="1">IFERROR(__xludf.DUMMYFUNCTION("""COMPUTED_VALUE"""),"")</f>
        <v/>
      </c>
      <c r="I281" s="120" t="str">
        <f ca="1">IFERROR(__xludf.DUMMYFUNCTION("""COMPUTED_VALUE"""),"")</f>
        <v/>
      </c>
      <c r="J281" s="189" t="str">
        <f ca="1">IFERROR(__xludf.DUMMYFUNCTION("""COMPUTED_VALUE"""),"")</f>
        <v/>
      </c>
      <c r="K281" s="189" t="str">
        <f ca="1">IFERROR(__xludf.DUMMYFUNCTION("""COMPUTED_VALUE"""),"")</f>
        <v/>
      </c>
      <c r="L281" s="189" t="str">
        <f ca="1">IFERROR(__xludf.DUMMYFUNCTION("""COMPUTED_VALUE"""),"")</f>
        <v/>
      </c>
      <c r="M281" s="189" t="str">
        <f ca="1">IFERROR(__xludf.DUMMYFUNCTION("""COMPUTED_VALUE"""),"")</f>
        <v/>
      </c>
      <c r="N281" s="189" t="str">
        <f ca="1">IFERROR(__xludf.DUMMYFUNCTION("""COMPUTED_VALUE"""),"")</f>
        <v/>
      </c>
      <c r="O281" s="189" t="str">
        <f ca="1">IFERROR(__xludf.DUMMYFUNCTION("""COMPUTED_VALUE"""),"")</f>
        <v/>
      </c>
      <c r="P281" s="189" t="str">
        <f ca="1">IFERROR(__xludf.DUMMYFUNCTION("""COMPUTED_VALUE"""),"")</f>
        <v/>
      </c>
      <c r="Q281" s="189" t="str">
        <f ca="1">IFERROR(__xludf.DUMMYFUNCTION("""COMPUTED_VALUE"""),"")</f>
        <v/>
      </c>
      <c r="R281" s="189" t="str">
        <f ca="1">IFERROR(__xludf.DUMMYFUNCTION("""COMPUTED_VALUE"""),"")</f>
        <v/>
      </c>
      <c r="S281" s="189" t="str">
        <f ca="1">IFERROR(__xludf.DUMMYFUNCTION("""COMPUTED_VALUE"""),"")</f>
        <v/>
      </c>
      <c r="T281" s="189" t="str">
        <f ca="1">IFERROR(__xludf.DUMMYFUNCTION("""COMPUTED_VALUE"""),"")</f>
        <v/>
      </c>
      <c r="U281" s="189" t="str">
        <f ca="1">IFERROR(__xludf.DUMMYFUNCTION("""COMPUTED_VALUE"""),"")</f>
        <v/>
      </c>
      <c r="V281" s="189" t="str">
        <f ca="1">IFERROR(__xludf.DUMMYFUNCTION("""COMPUTED_VALUE"""),"")</f>
        <v/>
      </c>
      <c r="W281" s="189" t="str">
        <f ca="1">IFERROR(__xludf.DUMMYFUNCTION("""COMPUTED_VALUE"""),"")</f>
        <v/>
      </c>
      <c r="X281" s="189" t="str">
        <f ca="1">IFERROR(__xludf.DUMMYFUNCTION("""COMPUTED_VALUE"""),"")</f>
        <v/>
      </c>
      <c r="Y281" s="189" t="str">
        <f ca="1">IFERROR(__xludf.DUMMYFUNCTION("""COMPUTED_VALUE"""),"")</f>
        <v/>
      </c>
      <c r="Z281" s="189"/>
    </row>
    <row r="282" spans="1:26" ht="12.75">
      <c r="A282" s="189" t="str">
        <f ca="1">IFERROR(__xludf.DUMMYFUNCTION("""COMPUTED_VALUE"""),"")</f>
        <v/>
      </c>
      <c r="B282" s="189" t="str">
        <f ca="1">IFERROR(__xludf.DUMMYFUNCTION("""COMPUTED_VALUE"""),"")</f>
        <v/>
      </c>
      <c r="C282" s="189" t="str">
        <f ca="1">IFERROR(__xludf.DUMMYFUNCTION("""COMPUTED_VALUE"""),"")</f>
        <v/>
      </c>
      <c r="D282" s="189" t="str">
        <f ca="1">IFERROR(__xludf.DUMMYFUNCTION("""COMPUTED_VALUE"""),"")</f>
        <v/>
      </c>
      <c r="E282" s="189" t="str">
        <f ca="1">IFERROR(__xludf.DUMMYFUNCTION("""COMPUTED_VALUE"""),"")</f>
        <v/>
      </c>
      <c r="F282" s="189" t="str">
        <f ca="1">IFERROR(__xludf.DUMMYFUNCTION("""COMPUTED_VALUE"""),"")</f>
        <v/>
      </c>
      <c r="G282" s="189" t="str">
        <f ca="1">IFERROR(__xludf.DUMMYFUNCTION("""COMPUTED_VALUE"""),"")</f>
        <v/>
      </c>
      <c r="H282" s="189" t="str">
        <f ca="1">IFERROR(__xludf.DUMMYFUNCTION("""COMPUTED_VALUE"""),"")</f>
        <v/>
      </c>
      <c r="I282" s="120" t="str">
        <f ca="1">IFERROR(__xludf.DUMMYFUNCTION("""COMPUTED_VALUE"""),"")</f>
        <v/>
      </c>
      <c r="J282" s="189" t="str">
        <f ca="1">IFERROR(__xludf.DUMMYFUNCTION("""COMPUTED_VALUE"""),"")</f>
        <v/>
      </c>
      <c r="K282" s="189" t="str">
        <f ca="1">IFERROR(__xludf.DUMMYFUNCTION("""COMPUTED_VALUE"""),"")</f>
        <v/>
      </c>
      <c r="L282" s="189" t="str">
        <f ca="1">IFERROR(__xludf.DUMMYFUNCTION("""COMPUTED_VALUE"""),"")</f>
        <v/>
      </c>
      <c r="M282" s="189" t="str">
        <f ca="1">IFERROR(__xludf.DUMMYFUNCTION("""COMPUTED_VALUE"""),"")</f>
        <v/>
      </c>
      <c r="N282" s="189" t="str">
        <f ca="1">IFERROR(__xludf.DUMMYFUNCTION("""COMPUTED_VALUE"""),"")</f>
        <v/>
      </c>
      <c r="O282" s="189" t="str">
        <f ca="1">IFERROR(__xludf.DUMMYFUNCTION("""COMPUTED_VALUE"""),"")</f>
        <v/>
      </c>
      <c r="P282" s="189" t="str">
        <f ca="1">IFERROR(__xludf.DUMMYFUNCTION("""COMPUTED_VALUE"""),"")</f>
        <v/>
      </c>
      <c r="Q282" s="189" t="str">
        <f ca="1">IFERROR(__xludf.DUMMYFUNCTION("""COMPUTED_VALUE"""),"")</f>
        <v/>
      </c>
      <c r="R282" s="189" t="str">
        <f ca="1">IFERROR(__xludf.DUMMYFUNCTION("""COMPUTED_VALUE"""),"")</f>
        <v/>
      </c>
      <c r="S282" s="189" t="str">
        <f ca="1">IFERROR(__xludf.DUMMYFUNCTION("""COMPUTED_VALUE"""),"")</f>
        <v/>
      </c>
      <c r="T282" s="189" t="str">
        <f ca="1">IFERROR(__xludf.DUMMYFUNCTION("""COMPUTED_VALUE"""),"")</f>
        <v/>
      </c>
      <c r="U282" s="189" t="str">
        <f ca="1">IFERROR(__xludf.DUMMYFUNCTION("""COMPUTED_VALUE"""),"")</f>
        <v/>
      </c>
      <c r="V282" s="189" t="str">
        <f ca="1">IFERROR(__xludf.DUMMYFUNCTION("""COMPUTED_VALUE"""),"")</f>
        <v/>
      </c>
      <c r="W282" s="189" t="str">
        <f ca="1">IFERROR(__xludf.DUMMYFUNCTION("""COMPUTED_VALUE"""),"")</f>
        <v/>
      </c>
      <c r="X282" s="189" t="str">
        <f ca="1">IFERROR(__xludf.DUMMYFUNCTION("""COMPUTED_VALUE"""),"")</f>
        <v/>
      </c>
      <c r="Y282" s="189" t="str">
        <f ca="1">IFERROR(__xludf.DUMMYFUNCTION("""COMPUTED_VALUE"""),"")</f>
        <v/>
      </c>
      <c r="Z282" s="189"/>
    </row>
    <row r="283" spans="1:26" ht="12.75">
      <c r="A283" s="189" t="str">
        <f ca="1">IFERROR(__xludf.DUMMYFUNCTION("""COMPUTED_VALUE"""),"")</f>
        <v/>
      </c>
      <c r="B283" s="189" t="str">
        <f ca="1">IFERROR(__xludf.DUMMYFUNCTION("""COMPUTED_VALUE"""),"")</f>
        <v/>
      </c>
      <c r="C283" s="189" t="str">
        <f ca="1">IFERROR(__xludf.DUMMYFUNCTION("""COMPUTED_VALUE"""),"")</f>
        <v/>
      </c>
      <c r="D283" s="189" t="str">
        <f ca="1">IFERROR(__xludf.DUMMYFUNCTION("""COMPUTED_VALUE"""),"")</f>
        <v/>
      </c>
      <c r="E283" s="189" t="str">
        <f ca="1">IFERROR(__xludf.DUMMYFUNCTION("""COMPUTED_VALUE"""),"")</f>
        <v/>
      </c>
      <c r="F283" s="189" t="str">
        <f ca="1">IFERROR(__xludf.DUMMYFUNCTION("""COMPUTED_VALUE"""),"")</f>
        <v/>
      </c>
      <c r="G283" s="189" t="str">
        <f ca="1">IFERROR(__xludf.DUMMYFUNCTION("""COMPUTED_VALUE"""),"")</f>
        <v/>
      </c>
      <c r="H283" s="189" t="str">
        <f ca="1">IFERROR(__xludf.DUMMYFUNCTION("""COMPUTED_VALUE"""),"")</f>
        <v/>
      </c>
      <c r="I283" s="120" t="str">
        <f ca="1">IFERROR(__xludf.DUMMYFUNCTION("""COMPUTED_VALUE"""),"")</f>
        <v/>
      </c>
      <c r="J283" s="189" t="str">
        <f ca="1">IFERROR(__xludf.DUMMYFUNCTION("""COMPUTED_VALUE"""),"")</f>
        <v/>
      </c>
      <c r="K283" s="189" t="str">
        <f ca="1">IFERROR(__xludf.DUMMYFUNCTION("""COMPUTED_VALUE"""),"")</f>
        <v/>
      </c>
      <c r="L283" s="189" t="str">
        <f ca="1">IFERROR(__xludf.DUMMYFUNCTION("""COMPUTED_VALUE"""),"")</f>
        <v/>
      </c>
      <c r="M283" s="189" t="str">
        <f ca="1">IFERROR(__xludf.DUMMYFUNCTION("""COMPUTED_VALUE"""),"")</f>
        <v/>
      </c>
      <c r="N283" s="189" t="str">
        <f ca="1">IFERROR(__xludf.DUMMYFUNCTION("""COMPUTED_VALUE"""),"")</f>
        <v/>
      </c>
      <c r="O283" s="189" t="str">
        <f ca="1">IFERROR(__xludf.DUMMYFUNCTION("""COMPUTED_VALUE"""),"")</f>
        <v/>
      </c>
      <c r="P283" s="189" t="str">
        <f ca="1">IFERROR(__xludf.DUMMYFUNCTION("""COMPUTED_VALUE"""),"")</f>
        <v/>
      </c>
      <c r="Q283" s="189" t="str">
        <f ca="1">IFERROR(__xludf.DUMMYFUNCTION("""COMPUTED_VALUE"""),"")</f>
        <v/>
      </c>
      <c r="R283" s="189" t="str">
        <f ca="1">IFERROR(__xludf.DUMMYFUNCTION("""COMPUTED_VALUE"""),"")</f>
        <v/>
      </c>
      <c r="S283" s="189" t="str">
        <f ca="1">IFERROR(__xludf.DUMMYFUNCTION("""COMPUTED_VALUE"""),"")</f>
        <v/>
      </c>
      <c r="T283" s="189" t="str">
        <f ca="1">IFERROR(__xludf.DUMMYFUNCTION("""COMPUTED_VALUE"""),"")</f>
        <v/>
      </c>
      <c r="U283" s="189" t="str">
        <f ca="1">IFERROR(__xludf.DUMMYFUNCTION("""COMPUTED_VALUE"""),"")</f>
        <v/>
      </c>
      <c r="V283" s="189" t="str">
        <f ca="1">IFERROR(__xludf.DUMMYFUNCTION("""COMPUTED_VALUE"""),"")</f>
        <v/>
      </c>
      <c r="W283" s="189" t="str">
        <f ca="1">IFERROR(__xludf.DUMMYFUNCTION("""COMPUTED_VALUE"""),"")</f>
        <v/>
      </c>
      <c r="X283" s="189" t="str">
        <f ca="1">IFERROR(__xludf.DUMMYFUNCTION("""COMPUTED_VALUE"""),"")</f>
        <v/>
      </c>
      <c r="Y283" s="189" t="str">
        <f ca="1">IFERROR(__xludf.DUMMYFUNCTION("""COMPUTED_VALUE"""),"")</f>
        <v/>
      </c>
      <c r="Z283" s="189"/>
    </row>
    <row r="284" spans="1:26" ht="12.75">
      <c r="A284" s="189" t="str">
        <f ca="1">IFERROR(__xludf.DUMMYFUNCTION("""COMPUTED_VALUE"""),"")</f>
        <v/>
      </c>
      <c r="B284" s="189" t="str">
        <f ca="1">IFERROR(__xludf.DUMMYFUNCTION("""COMPUTED_VALUE"""),"")</f>
        <v/>
      </c>
      <c r="C284" s="189" t="str">
        <f ca="1">IFERROR(__xludf.DUMMYFUNCTION("""COMPUTED_VALUE"""),"")</f>
        <v/>
      </c>
      <c r="D284" s="189" t="str">
        <f ca="1">IFERROR(__xludf.DUMMYFUNCTION("""COMPUTED_VALUE"""),"")</f>
        <v/>
      </c>
      <c r="E284" s="189" t="str">
        <f ca="1">IFERROR(__xludf.DUMMYFUNCTION("""COMPUTED_VALUE"""),"")</f>
        <v/>
      </c>
      <c r="F284" s="189" t="str">
        <f ca="1">IFERROR(__xludf.DUMMYFUNCTION("""COMPUTED_VALUE"""),"")</f>
        <v/>
      </c>
      <c r="G284" s="189" t="str">
        <f ca="1">IFERROR(__xludf.DUMMYFUNCTION("""COMPUTED_VALUE"""),"")</f>
        <v/>
      </c>
      <c r="H284" s="189" t="str">
        <f ca="1">IFERROR(__xludf.DUMMYFUNCTION("""COMPUTED_VALUE"""),"")</f>
        <v/>
      </c>
      <c r="I284" s="120" t="str">
        <f ca="1">IFERROR(__xludf.DUMMYFUNCTION("""COMPUTED_VALUE"""),"")</f>
        <v/>
      </c>
      <c r="J284" s="189" t="str">
        <f ca="1">IFERROR(__xludf.DUMMYFUNCTION("""COMPUTED_VALUE"""),"")</f>
        <v/>
      </c>
      <c r="K284" s="189" t="str">
        <f ca="1">IFERROR(__xludf.DUMMYFUNCTION("""COMPUTED_VALUE"""),"")</f>
        <v/>
      </c>
      <c r="L284" s="189" t="str">
        <f ca="1">IFERROR(__xludf.DUMMYFUNCTION("""COMPUTED_VALUE"""),"")</f>
        <v/>
      </c>
      <c r="M284" s="189" t="str">
        <f ca="1">IFERROR(__xludf.DUMMYFUNCTION("""COMPUTED_VALUE"""),"")</f>
        <v/>
      </c>
      <c r="N284" s="189" t="str">
        <f ca="1">IFERROR(__xludf.DUMMYFUNCTION("""COMPUTED_VALUE"""),"")</f>
        <v/>
      </c>
      <c r="O284" s="189" t="str">
        <f ca="1">IFERROR(__xludf.DUMMYFUNCTION("""COMPUTED_VALUE"""),"")</f>
        <v/>
      </c>
      <c r="P284" s="189" t="str">
        <f ca="1">IFERROR(__xludf.DUMMYFUNCTION("""COMPUTED_VALUE"""),"")</f>
        <v/>
      </c>
      <c r="Q284" s="189" t="str">
        <f ca="1">IFERROR(__xludf.DUMMYFUNCTION("""COMPUTED_VALUE"""),"")</f>
        <v/>
      </c>
      <c r="R284" s="189" t="str">
        <f ca="1">IFERROR(__xludf.DUMMYFUNCTION("""COMPUTED_VALUE"""),"")</f>
        <v/>
      </c>
      <c r="S284" s="189" t="str">
        <f ca="1">IFERROR(__xludf.DUMMYFUNCTION("""COMPUTED_VALUE"""),"")</f>
        <v/>
      </c>
      <c r="T284" s="189" t="str">
        <f ca="1">IFERROR(__xludf.DUMMYFUNCTION("""COMPUTED_VALUE"""),"")</f>
        <v/>
      </c>
      <c r="U284" s="189" t="str">
        <f ca="1">IFERROR(__xludf.DUMMYFUNCTION("""COMPUTED_VALUE"""),"")</f>
        <v/>
      </c>
      <c r="V284" s="189" t="str">
        <f ca="1">IFERROR(__xludf.DUMMYFUNCTION("""COMPUTED_VALUE"""),"")</f>
        <v/>
      </c>
      <c r="W284" s="189" t="str">
        <f ca="1">IFERROR(__xludf.DUMMYFUNCTION("""COMPUTED_VALUE"""),"")</f>
        <v/>
      </c>
      <c r="X284" s="189" t="str">
        <f ca="1">IFERROR(__xludf.DUMMYFUNCTION("""COMPUTED_VALUE"""),"")</f>
        <v/>
      </c>
      <c r="Y284" s="189" t="str">
        <f ca="1">IFERROR(__xludf.DUMMYFUNCTION("""COMPUTED_VALUE"""),"")</f>
        <v/>
      </c>
      <c r="Z284" s="189"/>
    </row>
    <row r="285" spans="1:26" ht="12.75">
      <c r="A285" s="189" t="str">
        <f ca="1">IFERROR(__xludf.DUMMYFUNCTION("""COMPUTED_VALUE"""),"")</f>
        <v/>
      </c>
      <c r="B285" s="189" t="str">
        <f ca="1">IFERROR(__xludf.DUMMYFUNCTION("""COMPUTED_VALUE"""),"")</f>
        <v/>
      </c>
      <c r="C285" s="189" t="str">
        <f ca="1">IFERROR(__xludf.DUMMYFUNCTION("""COMPUTED_VALUE"""),"")</f>
        <v/>
      </c>
      <c r="D285" s="189" t="str">
        <f ca="1">IFERROR(__xludf.DUMMYFUNCTION("""COMPUTED_VALUE"""),"")</f>
        <v/>
      </c>
      <c r="E285" s="189" t="str">
        <f ca="1">IFERROR(__xludf.DUMMYFUNCTION("""COMPUTED_VALUE"""),"")</f>
        <v/>
      </c>
      <c r="F285" s="189" t="str">
        <f ca="1">IFERROR(__xludf.DUMMYFUNCTION("""COMPUTED_VALUE"""),"")</f>
        <v/>
      </c>
      <c r="G285" s="189" t="str">
        <f ca="1">IFERROR(__xludf.DUMMYFUNCTION("""COMPUTED_VALUE"""),"")</f>
        <v/>
      </c>
      <c r="H285" s="189" t="str">
        <f ca="1">IFERROR(__xludf.DUMMYFUNCTION("""COMPUTED_VALUE"""),"")</f>
        <v/>
      </c>
      <c r="I285" s="120" t="str">
        <f ca="1">IFERROR(__xludf.DUMMYFUNCTION("""COMPUTED_VALUE"""),"")</f>
        <v/>
      </c>
      <c r="J285" s="189" t="str">
        <f ca="1">IFERROR(__xludf.DUMMYFUNCTION("""COMPUTED_VALUE"""),"")</f>
        <v/>
      </c>
      <c r="K285" s="189" t="str">
        <f ca="1">IFERROR(__xludf.DUMMYFUNCTION("""COMPUTED_VALUE"""),"")</f>
        <v/>
      </c>
      <c r="L285" s="189" t="str">
        <f ca="1">IFERROR(__xludf.DUMMYFUNCTION("""COMPUTED_VALUE"""),"")</f>
        <v/>
      </c>
      <c r="M285" s="189" t="str">
        <f ca="1">IFERROR(__xludf.DUMMYFUNCTION("""COMPUTED_VALUE"""),"")</f>
        <v/>
      </c>
      <c r="N285" s="189" t="str">
        <f ca="1">IFERROR(__xludf.DUMMYFUNCTION("""COMPUTED_VALUE"""),"")</f>
        <v/>
      </c>
      <c r="O285" s="189" t="str">
        <f ca="1">IFERROR(__xludf.DUMMYFUNCTION("""COMPUTED_VALUE"""),"")</f>
        <v/>
      </c>
      <c r="P285" s="189" t="str">
        <f ca="1">IFERROR(__xludf.DUMMYFUNCTION("""COMPUTED_VALUE"""),"")</f>
        <v/>
      </c>
      <c r="Q285" s="189" t="str">
        <f ca="1">IFERROR(__xludf.DUMMYFUNCTION("""COMPUTED_VALUE"""),"")</f>
        <v/>
      </c>
      <c r="R285" s="189" t="str">
        <f ca="1">IFERROR(__xludf.DUMMYFUNCTION("""COMPUTED_VALUE"""),"")</f>
        <v/>
      </c>
      <c r="S285" s="189" t="str">
        <f ca="1">IFERROR(__xludf.DUMMYFUNCTION("""COMPUTED_VALUE"""),"")</f>
        <v/>
      </c>
      <c r="T285" s="189" t="str">
        <f ca="1">IFERROR(__xludf.DUMMYFUNCTION("""COMPUTED_VALUE"""),"")</f>
        <v/>
      </c>
      <c r="U285" s="189" t="str">
        <f ca="1">IFERROR(__xludf.DUMMYFUNCTION("""COMPUTED_VALUE"""),"")</f>
        <v/>
      </c>
      <c r="V285" s="189" t="str">
        <f ca="1">IFERROR(__xludf.DUMMYFUNCTION("""COMPUTED_VALUE"""),"")</f>
        <v/>
      </c>
      <c r="W285" s="189" t="str">
        <f ca="1">IFERROR(__xludf.DUMMYFUNCTION("""COMPUTED_VALUE"""),"")</f>
        <v/>
      </c>
      <c r="X285" s="189" t="str">
        <f ca="1">IFERROR(__xludf.DUMMYFUNCTION("""COMPUTED_VALUE"""),"")</f>
        <v/>
      </c>
      <c r="Y285" s="189" t="str">
        <f ca="1">IFERROR(__xludf.DUMMYFUNCTION("""COMPUTED_VALUE"""),"")</f>
        <v/>
      </c>
      <c r="Z285" s="189"/>
    </row>
    <row r="286" spans="1:26" ht="12.75">
      <c r="A286" s="189" t="str">
        <f ca="1">IFERROR(__xludf.DUMMYFUNCTION("""COMPUTED_VALUE"""),"")</f>
        <v/>
      </c>
      <c r="B286" s="189" t="str">
        <f ca="1">IFERROR(__xludf.DUMMYFUNCTION("""COMPUTED_VALUE"""),"")</f>
        <v/>
      </c>
      <c r="C286" s="189" t="str">
        <f ca="1">IFERROR(__xludf.DUMMYFUNCTION("""COMPUTED_VALUE"""),"")</f>
        <v/>
      </c>
      <c r="D286" s="189" t="str">
        <f ca="1">IFERROR(__xludf.DUMMYFUNCTION("""COMPUTED_VALUE"""),"")</f>
        <v/>
      </c>
      <c r="E286" s="189" t="str">
        <f ca="1">IFERROR(__xludf.DUMMYFUNCTION("""COMPUTED_VALUE"""),"")</f>
        <v/>
      </c>
      <c r="F286" s="189" t="str">
        <f ca="1">IFERROR(__xludf.DUMMYFUNCTION("""COMPUTED_VALUE"""),"")</f>
        <v/>
      </c>
      <c r="G286" s="189" t="str">
        <f ca="1">IFERROR(__xludf.DUMMYFUNCTION("""COMPUTED_VALUE"""),"")</f>
        <v/>
      </c>
      <c r="H286" s="189" t="str">
        <f ca="1">IFERROR(__xludf.DUMMYFUNCTION("""COMPUTED_VALUE"""),"")</f>
        <v/>
      </c>
      <c r="I286" s="120" t="str">
        <f ca="1">IFERROR(__xludf.DUMMYFUNCTION("""COMPUTED_VALUE"""),"")</f>
        <v/>
      </c>
      <c r="J286" s="189" t="str">
        <f ca="1">IFERROR(__xludf.DUMMYFUNCTION("""COMPUTED_VALUE"""),"")</f>
        <v/>
      </c>
      <c r="K286" s="189" t="str">
        <f ca="1">IFERROR(__xludf.DUMMYFUNCTION("""COMPUTED_VALUE"""),"")</f>
        <v/>
      </c>
      <c r="L286" s="189" t="str">
        <f ca="1">IFERROR(__xludf.DUMMYFUNCTION("""COMPUTED_VALUE"""),"")</f>
        <v/>
      </c>
      <c r="M286" s="189" t="str">
        <f ca="1">IFERROR(__xludf.DUMMYFUNCTION("""COMPUTED_VALUE"""),"")</f>
        <v/>
      </c>
      <c r="N286" s="189" t="str">
        <f ca="1">IFERROR(__xludf.DUMMYFUNCTION("""COMPUTED_VALUE"""),"")</f>
        <v/>
      </c>
      <c r="O286" s="189" t="str">
        <f ca="1">IFERROR(__xludf.DUMMYFUNCTION("""COMPUTED_VALUE"""),"")</f>
        <v/>
      </c>
      <c r="P286" s="189" t="str">
        <f ca="1">IFERROR(__xludf.DUMMYFUNCTION("""COMPUTED_VALUE"""),"")</f>
        <v/>
      </c>
      <c r="Q286" s="189" t="str">
        <f ca="1">IFERROR(__xludf.DUMMYFUNCTION("""COMPUTED_VALUE"""),"")</f>
        <v/>
      </c>
      <c r="R286" s="189" t="str">
        <f ca="1">IFERROR(__xludf.DUMMYFUNCTION("""COMPUTED_VALUE"""),"")</f>
        <v/>
      </c>
      <c r="S286" s="189" t="str">
        <f ca="1">IFERROR(__xludf.DUMMYFUNCTION("""COMPUTED_VALUE"""),"")</f>
        <v/>
      </c>
      <c r="T286" s="189" t="str">
        <f ca="1">IFERROR(__xludf.DUMMYFUNCTION("""COMPUTED_VALUE"""),"")</f>
        <v/>
      </c>
      <c r="U286" s="189" t="str">
        <f ca="1">IFERROR(__xludf.DUMMYFUNCTION("""COMPUTED_VALUE"""),"")</f>
        <v/>
      </c>
      <c r="V286" s="189" t="str">
        <f ca="1">IFERROR(__xludf.DUMMYFUNCTION("""COMPUTED_VALUE"""),"")</f>
        <v/>
      </c>
      <c r="W286" s="189" t="str">
        <f ca="1">IFERROR(__xludf.DUMMYFUNCTION("""COMPUTED_VALUE"""),"")</f>
        <v/>
      </c>
      <c r="X286" s="189" t="str">
        <f ca="1">IFERROR(__xludf.DUMMYFUNCTION("""COMPUTED_VALUE"""),"")</f>
        <v/>
      </c>
      <c r="Y286" s="189" t="str">
        <f ca="1">IFERROR(__xludf.DUMMYFUNCTION("""COMPUTED_VALUE"""),"")</f>
        <v/>
      </c>
      <c r="Z286" s="189"/>
    </row>
    <row r="287" spans="1:26" ht="12.75">
      <c r="A287" s="189" t="str">
        <f ca="1">IFERROR(__xludf.DUMMYFUNCTION("""COMPUTED_VALUE"""),"")</f>
        <v/>
      </c>
      <c r="B287" s="189" t="str">
        <f ca="1">IFERROR(__xludf.DUMMYFUNCTION("""COMPUTED_VALUE"""),"")</f>
        <v/>
      </c>
      <c r="C287" s="189" t="str">
        <f ca="1">IFERROR(__xludf.DUMMYFUNCTION("""COMPUTED_VALUE"""),"")</f>
        <v/>
      </c>
      <c r="D287" s="189" t="str">
        <f ca="1">IFERROR(__xludf.DUMMYFUNCTION("""COMPUTED_VALUE"""),"")</f>
        <v/>
      </c>
      <c r="E287" s="189" t="str">
        <f ca="1">IFERROR(__xludf.DUMMYFUNCTION("""COMPUTED_VALUE"""),"")</f>
        <v/>
      </c>
      <c r="F287" s="189" t="str">
        <f ca="1">IFERROR(__xludf.DUMMYFUNCTION("""COMPUTED_VALUE"""),"")</f>
        <v/>
      </c>
      <c r="G287" s="189" t="str">
        <f ca="1">IFERROR(__xludf.DUMMYFUNCTION("""COMPUTED_VALUE"""),"")</f>
        <v/>
      </c>
      <c r="H287" s="189" t="str">
        <f ca="1">IFERROR(__xludf.DUMMYFUNCTION("""COMPUTED_VALUE"""),"")</f>
        <v/>
      </c>
      <c r="I287" s="120" t="str">
        <f ca="1">IFERROR(__xludf.DUMMYFUNCTION("""COMPUTED_VALUE"""),"")</f>
        <v/>
      </c>
      <c r="J287" s="189" t="str">
        <f ca="1">IFERROR(__xludf.DUMMYFUNCTION("""COMPUTED_VALUE"""),"")</f>
        <v/>
      </c>
      <c r="K287" s="189" t="str">
        <f ca="1">IFERROR(__xludf.DUMMYFUNCTION("""COMPUTED_VALUE"""),"")</f>
        <v/>
      </c>
      <c r="L287" s="189" t="str">
        <f ca="1">IFERROR(__xludf.DUMMYFUNCTION("""COMPUTED_VALUE"""),"")</f>
        <v/>
      </c>
      <c r="M287" s="189" t="str">
        <f ca="1">IFERROR(__xludf.DUMMYFUNCTION("""COMPUTED_VALUE"""),"")</f>
        <v/>
      </c>
      <c r="N287" s="189" t="str">
        <f ca="1">IFERROR(__xludf.DUMMYFUNCTION("""COMPUTED_VALUE"""),"")</f>
        <v/>
      </c>
      <c r="O287" s="189" t="str">
        <f ca="1">IFERROR(__xludf.DUMMYFUNCTION("""COMPUTED_VALUE"""),"")</f>
        <v/>
      </c>
      <c r="P287" s="189" t="str">
        <f ca="1">IFERROR(__xludf.DUMMYFUNCTION("""COMPUTED_VALUE"""),"")</f>
        <v/>
      </c>
      <c r="Q287" s="189" t="str">
        <f ca="1">IFERROR(__xludf.DUMMYFUNCTION("""COMPUTED_VALUE"""),"")</f>
        <v/>
      </c>
      <c r="R287" s="189" t="str">
        <f ca="1">IFERROR(__xludf.DUMMYFUNCTION("""COMPUTED_VALUE"""),"")</f>
        <v/>
      </c>
      <c r="S287" s="189" t="str">
        <f ca="1">IFERROR(__xludf.DUMMYFUNCTION("""COMPUTED_VALUE"""),"")</f>
        <v/>
      </c>
      <c r="T287" s="189" t="str">
        <f ca="1">IFERROR(__xludf.DUMMYFUNCTION("""COMPUTED_VALUE"""),"")</f>
        <v/>
      </c>
      <c r="U287" s="189" t="str">
        <f ca="1">IFERROR(__xludf.DUMMYFUNCTION("""COMPUTED_VALUE"""),"")</f>
        <v/>
      </c>
      <c r="V287" s="189" t="str">
        <f ca="1">IFERROR(__xludf.DUMMYFUNCTION("""COMPUTED_VALUE"""),"")</f>
        <v/>
      </c>
      <c r="W287" s="189" t="str">
        <f ca="1">IFERROR(__xludf.DUMMYFUNCTION("""COMPUTED_VALUE"""),"")</f>
        <v/>
      </c>
      <c r="X287" s="189" t="str">
        <f ca="1">IFERROR(__xludf.DUMMYFUNCTION("""COMPUTED_VALUE"""),"")</f>
        <v/>
      </c>
      <c r="Y287" s="189" t="str">
        <f ca="1">IFERROR(__xludf.DUMMYFUNCTION("""COMPUTED_VALUE"""),"")</f>
        <v/>
      </c>
      <c r="Z287" s="189"/>
    </row>
    <row r="288" spans="1:26" ht="12.75">
      <c r="A288" s="189" t="str">
        <f ca="1">IFERROR(__xludf.DUMMYFUNCTION("""COMPUTED_VALUE"""),"")</f>
        <v/>
      </c>
      <c r="B288" s="189" t="str">
        <f ca="1">IFERROR(__xludf.DUMMYFUNCTION("""COMPUTED_VALUE"""),"")</f>
        <v/>
      </c>
      <c r="C288" s="189" t="str">
        <f ca="1">IFERROR(__xludf.DUMMYFUNCTION("""COMPUTED_VALUE"""),"")</f>
        <v/>
      </c>
      <c r="D288" s="189" t="str">
        <f ca="1">IFERROR(__xludf.DUMMYFUNCTION("""COMPUTED_VALUE"""),"")</f>
        <v/>
      </c>
      <c r="E288" s="189" t="str">
        <f ca="1">IFERROR(__xludf.DUMMYFUNCTION("""COMPUTED_VALUE"""),"")</f>
        <v/>
      </c>
      <c r="F288" s="189" t="str">
        <f ca="1">IFERROR(__xludf.DUMMYFUNCTION("""COMPUTED_VALUE"""),"")</f>
        <v/>
      </c>
      <c r="G288" s="189" t="str">
        <f ca="1">IFERROR(__xludf.DUMMYFUNCTION("""COMPUTED_VALUE"""),"")</f>
        <v/>
      </c>
      <c r="H288" s="189" t="str">
        <f ca="1">IFERROR(__xludf.DUMMYFUNCTION("""COMPUTED_VALUE"""),"")</f>
        <v/>
      </c>
      <c r="I288" s="120" t="str">
        <f ca="1">IFERROR(__xludf.DUMMYFUNCTION("""COMPUTED_VALUE"""),"")</f>
        <v/>
      </c>
      <c r="J288" s="189" t="str">
        <f ca="1">IFERROR(__xludf.DUMMYFUNCTION("""COMPUTED_VALUE"""),"")</f>
        <v/>
      </c>
      <c r="K288" s="189" t="str">
        <f ca="1">IFERROR(__xludf.DUMMYFUNCTION("""COMPUTED_VALUE"""),"")</f>
        <v/>
      </c>
      <c r="L288" s="189" t="str">
        <f ca="1">IFERROR(__xludf.DUMMYFUNCTION("""COMPUTED_VALUE"""),"")</f>
        <v/>
      </c>
      <c r="M288" s="189" t="str">
        <f ca="1">IFERROR(__xludf.DUMMYFUNCTION("""COMPUTED_VALUE"""),"")</f>
        <v/>
      </c>
      <c r="N288" s="189" t="str">
        <f ca="1">IFERROR(__xludf.DUMMYFUNCTION("""COMPUTED_VALUE"""),"")</f>
        <v/>
      </c>
      <c r="O288" s="189" t="str">
        <f ca="1">IFERROR(__xludf.DUMMYFUNCTION("""COMPUTED_VALUE"""),"")</f>
        <v/>
      </c>
      <c r="P288" s="189" t="str">
        <f ca="1">IFERROR(__xludf.DUMMYFUNCTION("""COMPUTED_VALUE"""),"")</f>
        <v/>
      </c>
      <c r="Q288" s="189" t="str">
        <f ca="1">IFERROR(__xludf.DUMMYFUNCTION("""COMPUTED_VALUE"""),"")</f>
        <v/>
      </c>
      <c r="R288" s="189" t="str">
        <f ca="1">IFERROR(__xludf.DUMMYFUNCTION("""COMPUTED_VALUE"""),"")</f>
        <v/>
      </c>
      <c r="S288" s="189" t="str">
        <f ca="1">IFERROR(__xludf.DUMMYFUNCTION("""COMPUTED_VALUE"""),"")</f>
        <v/>
      </c>
      <c r="T288" s="189" t="str">
        <f ca="1">IFERROR(__xludf.DUMMYFUNCTION("""COMPUTED_VALUE"""),"")</f>
        <v/>
      </c>
      <c r="U288" s="189" t="str">
        <f ca="1">IFERROR(__xludf.DUMMYFUNCTION("""COMPUTED_VALUE"""),"")</f>
        <v/>
      </c>
      <c r="V288" s="189" t="str">
        <f ca="1">IFERROR(__xludf.DUMMYFUNCTION("""COMPUTED_VALUE"""),"")</f>
        <v/>
      </c>
      <c r="W288" s="189" t="str">
        <f ca="1">IFERROR(__xludf.DUMMYFUNCTION("""COMPUTED_VALUE"""),"")</f>
        <v/>
      </c>
      <c r="X288" s="189" t="str">
        <f ca="1">IFERROR(__xludf.DUMMYFUNCTION("""COMPUTED_VALUE"""),"")</f>
        <v/>
      </c>
      <c r="Y288" s="189" t="str">
        <f ca="1">IFERROR(__xludf.DUMMYFUNCTION("""COMPUTED_VALUE"""),"")</f>
        <v/>
      </c>
      <c r="Z288" s="189"/>
    </row>
    <row r="289" spans="1:26" ht="12.75">
      <c r="A289" s="189" t="str">
        <f ca="1">IFERROR(__xludf.DUMMYFUNCTION("""COMPUTED_VALUE"""),"")</f>
        <v/>
      </c>
      <c r="B289" s="189" t="str">
        <f ca="1">IFERROR(__xludf.DUMMYFUNCTION("""COMPUTED_VALUE"""),"")</f>
        <v/>
      </c>
      <c r="C289" s="189" t="str">
        <f ca="1">IFERROR(__xludf.DUMMYFUNCTION("""COMPUTED_VALUE"""),"")</f>
        <v/>
      </c>
      <c r="D289" s="189" t="str">
        <f ca="1">IFERROR(__xludf.DUMMYFUNCTION("""COMPUTED_VALUE"""),"")</f>
        <v/>
      </c>
      <c r="E289" s="189" t="str">
        <f ca="1">IFERROR(__xludf.DUMMYFUNCTION("""COMPUTED_VALUE"""),"")</f>
        <v/>
      </c>
      <c r="F289" s="189" t="str">
        <f ca="1">IFERROR(__xludf.DUMMYFUNCTION("""COMPUTED_VALUE"""),"")</f>
        <v/>
      </c>
      <c r="G289" s="189" t="str">
        <f ca="1">IFERROR(__xludf.DUMMYFUNCTION("""COMPUTED_VALUE"""),"")</f>
        <v/>
      </c>
      <c r="H289" s="189" t="str">
        <f ca="1">IFERROR(__xludf.DUMMYFUNCTION("""COMPUTED_VALUE"""),"")</f>
        <v/>
      </c>
      <c r="I289" s="120" t="str">
        <f ca="1">IFERROR(__xludf.DUMMYFUNCTION("""COMPUTED_VALUE"""),"")</f>
        <v/>
      </c>
      <c r="J289" s="189" t="str">
        <f ca="1">IFERROR(__xludf.DUMMYFUNCTION("""COMPUTED_VALUE"""),"")</f>
        <v/>
      </c>
      <c r="K289" s="189" t="str">
        <f ca="1">IFERROR(__xludf.DUMMYFUNCTION("""COMPUTED_VALUE"""),"")</f>
        <v/>
      </c>
      <c r="L289" s="189" t="str">
        <f ca="1">IFERROR(__xludf.DUMMYFUNCTION("""COMPUTED_VALUE"""),"")</f>
        <v/>
      </c>
      <c r="M289" s="189" t="str">
        <f ca="1">IFERROR(__xludf.DUMMYFUNCTION("""COMPUTED_VALUE"""),"")</f>
        <v/>
      </c>
      <c r="N289" s="189" t="str">
        <f ca="1">IFERROR(__xludf.DUMMYFUNCTION("""COMPUTED_VALUE"""),"")</f>
        <v/>
      </c>
      <c r="O289" s="189" t="str">
        <f ca="1">IFERROR(__xludf.DUMMYFUNCTION("""COMPUTED_VALUE"""),"")</f>
        <v/>
      </c>
      <c r="P289" s="189" t="str">
        <f ca="1">IFERROR(__xludf.DUMMYFUNCTION("""COMPUTED_VALUE"""),"")</f>
        <v/>
      </c>
      <c r="Q289" s="189" t="str">
        <f ca="1">IFERROR(__xludf.DUMMYFUNCTION("""COMPUTED_VALUE"""),"")</f>
        <v/>
      </c>
      <c r="R289" s="189" t="str">
        <f ca="1">IFERROR(__xludf.DUMMYFUNCTION("""COMPUTED_VALUE"""),"")</f>
        <v/>
      </c>
      <c r="S289" s="189" t="str">
        <f ca="1">IFERROR(__xludf.DUMMYFUNCTION("""COMPUTED_VALUE"""),"")</f>
        <v/>
      </c>
      <c r="T289" s="189" t="str">
        <f ca="1">IFERROR(__xludf.DUMMYFUNCTION("""COMPUTED_VALUE"""),"")</f>
        <v/>
      </c>
      <c r="U289" s="189" t="str">
        <f ca="1">IFERROR(__xludf.DUMMYFUNCTION("""COMPUTED_VALUE"""),"")</f>
        <v/>
      </c>
      <c r="V289" s="189" t="str">
        <f ca="1">IFERROR(__xludf.DUMMYFUNCTION("""COMPUTED_VALUE"""),"")</f>
        <v/>
      </c>
      <c r="W289" s="189" t="str">
        <f ca="1">IFERROR(__xludf.DUMMYFUNCTION("""COMPUTED_VALUE"""),"")</f>
        <v/>
      </c>
      <c r="X289" s="189" t="str">
        <f ca="1">IFERROR(__xludf.DUMMYFUNCTION("""COMPUTED_VALUE"""),"")</f>
        <v/>
      </c>
      <c r="Y289" s="189" t="str">
        <f ca="1">IFERROR(__xludf.DUMMYFUNCTION("""COMPUTED_VALUE"""),"")</f>
        <v/>
      </c>
      <c r="Z289" s="189"/>
    </row>
    <row r="290" spans="1:26" ht="12.75">
      <c r="A290" s="189" t="str">
        <f ca="1">IFERROR(__xludf.DUMMYFUNCTION("""COMPUTED_VALUE"""),"")</f>
        <v/>
      </c>
      <c r="B290" s="189" t="str">
        <f ca="1">IFERROR(__xludf.DUMMYFUNCTION("""COMPUTED_VALUE"""),"")</f>
        <v/>
      </c>
      <c r="C290" s="189" t="str">
        <f ca="1">IFERROR(__xludf.DUMMYFUNCTION("""COMPUTED_VALUE"""),"")</f>
        <v/>
      </c>
      <c r="D290" s="189" t="str">
        <f ca="1">IFERROR(__xludf.DUMMYFUNCTION("""COMPUTED_VALUE"""),"")</f>
        <v/>
      </c>
      <c r="E290" s="189" t="str">
        <f ca="1">IFERROR(__xludf.DUMMYFUNCTION("""COMPUTED_VALUE"""),"")</f>
        <v/>
      </c>
      <c r="F290" s="189" t="str">
        <f ca="1">IFERROR(__xludf.DUMMYFUNCTION("""COMPUTED_VALUE"""),"")</f>
        <v/>
      </c>
      <c r="G290" s="189" t="str">
        <f ca="1">IFERROR(__xludf.DUMMYFUNCTION("""COMPUTED_VALUE"""),"")</f>
        <v/>
      </c>
      <c r="H290" s="189" t="str">
        <f ca="1">IFERROR(__xludf.DUMMYFUNCTION("""COMPUTED_VALUE"""),"")</f>
        <v/>
      </c>
      <c r="I290" s="120" t="str">
        <f ca="1">IFERROR(__xludf.DUMMYFUNCTION("""COMPUTED_VALUE"""),"")</f>
        <v/>
      </c>
      <c r="J290" s="189" t="str">
        <f ca="1">IFERROR(__xludf.DUMMYFUNCTION("""COMPUTED_VALUE"""),"")</f>
        <v/>
      </c>
      <c r="K290" s="189" t="str">
        <f ca="1">IFERROR(__xludf.DUMMYFUNCTION("""COMPUTED_VALUE"""),"")</f>
        <v/>
      </c>
      <c r="L290" s="189" t="str">
        <f ca="1">IFERROR(__xludf.DUMMYFUNCTION("""COMPUTED_VALUE"""),"")</f>
        <v/>
      </c>
      <c r="M290" s="189" t="str">
        <f ca="1">IFERROR(__xludf.DUMMYFUNCTION("""COMPUTED_VALUE"""),"")</f>
        <v/>
      </c>
      <c r="N290" s="189" t="str">
        <f ca="1">IFERROR(__xludf.DUMMYFUNCTION("""COMPUTED_VALUE"""),"")</f>
        <v/>
      </c>
      <c r="O290" s="189" t="str">
        <f ca="1">IFERROR(__xludf.DUMMYFUNCTION("""COMPUTED_VALUE"""),"")</f>
        <v/>
      </c>
      <c r="P290" s="189" t="str">
        <f ca="1">IFERROR(__xludf.DUMMYFUNCTION("""COMPUTED_VALUE"""),"")</f>
        <v/>
      </c>
      <c r="Q290" s="189" t="str">
        <f ca="1">IFERROR(__xludf.DUMMYFUNCTION("""COMPUTED_VALUE"""),"")</f>
        <v/>
      </c>
      <c r="R290" s="189" t="str">
        <f ca="1">IFERROR(__xludf.DUMMYFUNCTION("""COMPUTED_VALUE"""),"")</f>
        <v/>
      </c>
      <c r="S290" s="189" t="str">
        <f ca="1">IFERROR(__xludf.DUMMYFUNCTION("""COMPUTED_VALUE"""),"")</f>
        <v/>
      </c>
      <c r="T290" s="189" t="str">
        <f ca="1">IFERROR(__xludf.DUMMYFUNCTION("""COMPUTED_VALUE"""),"")</f>
        <v/>
      </c>
      <c r="U290" s="189" t="str">
        <f ca="1">IFERROR(__xludf.DUMMYFUNCTION("""COMPUTED_VALUE"""),"")</f>
        <v/>
      </c>
      <c r="V290" s="189" t="str">
        <f ca="1">IFERROR(__xludf.DUMMYFUNCTION("""COMPUTED_VALUE"""),"")</f>
        <v/>
      </c>
      <c r="W290" s="189" t="str">
        <f ca="1">IFERROR(__xludf.DUMMYFUNCTION("""COMPUTED_VALUE"""),"")</f>
        <v/>
      </c>
      <c r="X290" s="189" t="str">
        <f ca="1">IFERROR(__xludf.DUMMYFUNCTION("""COMPUTED_VALUE"""),"")</f>
        <v/>
      </c>
      <c r="Y290" s="189" t="str">
        <f ca="1">IFERROR(__xludf.DUMMYFUNCTION("""COMPUTED_VALUE"""),"")</f>
        <v/>
      </c>
      <c r="Z290" s="189"/>
    </row>
    <row r="291" spans="1:26" ht="12.75">
      <c r="A291" s="189" t="str">
        <f ca="1">IFERROR(__xludf.DUMMYFUNCTION("""COMPUTED_VALUE"""),"")</f>
        <v/>
      </c>
      <c r="B291" s="189" t="str">
        <f ca="1">IFERROR(__xludf.DUMMYFUNCTION("""COMPUTED_VALUE"""),"")</f>
        <v/>
      </c>
      <c r="C291" s="189" t="str">
        <f ca="1">IFERROR(__xludf.DUMMYFUNCTION("""COMPUTED_VALUE"""),"")</f>
        <v/>
      </c>
      <c r="D291" s="189" t="str">
        <f ca="1">IFERROR(__xludf.DUMMYFUNCTION("""COMPUTED_VALUE"""),"")</f>
        <v/>
      </c>
      <c r="E291" s="189" t="str">
        <f ca="1">IFERROR(__xludf.DUMMYFUNCTION("""COMPUTED_VALUE"""),"")</f>
        <v/>
      </c>
      <c r="F291" s="189" t="str">
        <f ca="1">IFERROR(__xludf.DUMMYFUNCTION("""COMPUTED_VALUE"""),"")</f>
        <v/>
      </c>
      <c r="G291" s="189" t="str">
        <f ca="1">IFERROR(__xludf.DUMMYFUNCTION("""COMPUTED_VALUE"""),"")</f>
        <v/>
      </c>
      <c r="H291" s="189" t="str">
        <f ca="1">IFERROR(__xludf.DUMMYFUNCTION("""COMPUTED_VALUE"""),"")</f>
        <v/>
      </c>
      <c r="I291" s="120" t="str">
        <f ca="1">IFERROR(__xludf.DUMMYFUNCTION("""COMPUTED_VALUE"""),"")</f>
        <v/>
      </c>
      <c r="J291" s="189" t="str">
        <f ca="1">IFERROR(__xludf.DUMMYFUNCTION("""COMPUTED_VALUE"""),"")</f>
        <v/>
      </c>
      <c r="K291" s="189" t="str">
        <f ca="1">IFERROR(__xludf.DUMMYFUNCTION("""COMPUTED_VALUE"""),"")</f>
        <v/>
      </c>
      <c r="L291" s="189" t="str">
        <f ca="1">IFERROR(__xludf.DUMMYFUNCTION("""COMPUTED_VALUE"""),"")</f>
        <v/>
      </c>
      <c r="M291" s="189" t="str">
        <f ca="1">IFERROR(__xludf.DUMMYFUNCTION("""COMPUTED_VALUE"""),"")</f>
        <v/>
      </c>
      <c r="N291" s="189" t="str">
        <f ca="1">IFERROR(__xludf.DUMMYFUNCTION("""COMPUTED_VALUE"""),"")</f>
        <v/>
      </c>
      <c r="O291" s="189" t="str">
        <f ca="1">IFERROR(__xludf.DUMMYFUNCTION("""COMPUTED_VALUE"""),"")</f>
        <v/>
      </c>
      <c r="P291" s="189" t="str">
        <f ca="1">IFERROR(__xludf.DUMMYFUNCTION("""COMPUTED_VALUE"""),"")</f>
        <v/>
      </c>
      <c r="Q291" s="189" t="str">
        <f ca="1">IFERROR(__xludf.DUMMYFUNCTION("""COMPUTED_VALUE"""),"")</f>
        <v/>
      </c>
      <c r="R291" s="189" t="str">
        <f ca="1">IFERROR(__xludf.DUMMYFUNCTION("""COMPUTED_VALUE"""),"")</f>
        <v/>
      </c>
      <c r="S291" s="189" t="str">
        <f ca="1">IFERROR(__xludf.DUMMYFUNCTION("""COMPUTED_VALUE"""),"")</f>
        <v/>
      </c>
      <c r="T291" s="189" t="str">
        <f ca="1">IFERROR(__xludf.DUMMYFUNCTION("""COMPUTED_VALUE"""),"")</f>
        <v/>
      </c>
      <c r="U291" s="189" t="str">
        <f ca="1">IFERROR(__xludf.DUMMYFUNCTION("""COMPUTED_VALUE"""),"")</f>
        <v/>
      </c>
      <c r="V291" s="189" t="str">
        <f ca="1">IFERROR(__xludf.DUMMYFUNCTION("""COMPUTED_VALUE"""),"")</f>
        <v/>
      </c>
      <c r="W291" s="189" t="str">
        <f ca="1">IFERROR(__xludf.DUMMYFUNCTION("""COMPUTED_VALUE"""),"")</f>
        <v/>
      </c>
      <c r="X291" s="189" t="str">
        <f ca="1">IFERROR(__xludf.DUMMYFUNCTION("""COMPUTED_VALUE"""),"")</f>
        <v/>
      </c>
      <c r="Y291" s="189" t="str">
        <f ca="1">IFERROR(__xludf.DUMMYFUNCTION("""COMPUTED_VALUE"""),"")</f>
        <v/>
      </c>
      <c r="Z291" s="189"/>
    </row>
    <row r="292" spans="1:26" ht="12.75">
      <c r="A292" s="189" t="str">
        <f ca="1">IFERROR(__xludf.DUMMYFUNCTION("""COMPUTED_VALUE"""),"")</f>
        <v/>
      </c>
      <c r="B292" s="189" t="str">
        <f ca="1">IFERROR(__xludf.DUMMYFUNCTION("""COMPUTED_VALUE"""),"")</f>
        <v/>
      </c>
      <c r="C292" s="189" t="str">
        <f ca="1">IFERROR(__xludf.DUMMYFUNCTION("""COMPUTED_VALUE"""),"")</f>
        <v/>
      </c>
      <c r="D292" s="189" t="str">
        <f ca="1">IFERROR(__xludf.DUMMYFUNCTION("""COMPUTED_VALUE"""),"")</f>
        <v/>
      </c>
      <c r="E292" s="189" t="str">
        <f ca="1">IFERROR(__xludf.DUMMYFUNCTION("""COMPUTED_VALUE"""),"")</f>
        <v/>
      </c>
      <c r="F292" s="189" t="str">
        <f ca="1">IFERROR(__xludf.DUMMYFUNCTION("""COMPUTED_VALUE"""),"")</f>
        <v/>
      </c>
      <c r="G292" s="189" t="str">
        <f ca="1">IFERROR(__xludf.DUMMYFUNCTION("""COMPUTED_VALUE"""),"")</f>
        <v/>
      </c>
      <c r="H292" s="189" t="str">
        <f ca="1">IFERROR(__xludf.DUMMYFUNCTION("""COMPUTED_VALUE"""),"")</f>
        <v/>
      </c>
      <c r="I292" s="120" t="str">
        <f ca="1">IFERROR(__xludf.DUMMYFUNCTION("""COMPUTED_VALUE"""),"")</f>
        <v/>
      </c>
      <c r="J292" s="189" t="str">
        <f ca="1">IFERROR(__xludf.DUMMYFUNCTION("""COMPUTED_VALUE"""),"")</f>
        <v/>
      </c>
      <c r="K292" s="189" t="str">
        <f ca="1">IFERROR(__xludf.DUMMYFUNCTION("""COMPUTED_VALUE"""),"")</f>
        <v/>
      </c>
      <c r="L292" s="189" t="str">
        <f ca="1">IFERROR(__xludf.DUMMYFUNCTION("""COMPUTED_VALUE"""),"")</f>
        <v/>
      </c>
      <c r="M292" s="189" t="str">
        <f ca="1">IFERROR(__xludf.DUMMYFUNCTION("""COMPUTED_VALUE"""),"")</f>
        <v/>
      </c>
      <c r="N292" s="189" t="str">
        <f ca="1">IFERROR(__xludf.DUMMYFUNCTION("""COMPUTED_VALUE"""),"")</f>
        <v/>
      </c>
      <c r="O292" s="189" t="str">
        <f ca="1">IFERROR(__xludf.DUMMYFUNCTION("""COMPUTED_VALUE"""),"")</f>
        <v/>
      </c>
      <c r="P292" s="189" t="str">
        <f ca="1">IFERROR(__xludf.DUMMYFUNCTION("""COMPUTED_VALUE"""),"")</f>
        <v/>
      </c>
      <c r="Q292" s="189" t="str">
        <f ca="1">IFERROR(__xludf.DUMMYFUNCTION("""COMPUTED_VALUE"""),"")</f>
        <v/>
      </c>
      <c r="R292" s="189" t="str">
        <f ca="1">IFERROR(__xludf.DUMMYFUNCTION("""COMPUTED_VALUE"""),"")</f>
        <v/>
      </c>
      <c r="S292" s="189" t="str">
        <f ca="1">IFERROR(__xludf.DUMMYFUNCTION("""COMPUTED_VALUE"""),"")</f>
        <v/>
      </c>
      <c r="T292" s="189" t="str">
        <f ca="1">IFERROR(__xludf.DUMMYFUNCTION("""COMPUTED_VALUE"""),"")</f>
        <v/>
      </c>
      <c r="U292" s="189" t="str">
        <f ca="1">IFERROR(__xludf.DUMMYFUNCTION("""COMPUTED_VALUE"""),"")</f>
        <v/>
      </c>
      <c r="V292" s="189" t="str">
        <f ca="1">IFERROR(__xludf.DUMMYFUNCTION("""COMPUTED_VALUE"""),"")</f>
        <v/>
      </c>
      <c r="W292" s="189" t="str">
        <f ca="1">IFERROR(__xludf.DUMMYFUNCTION("""COMPUTED_VALUE"""),"")</f>
        <v/>
      </c>
      <c r="X292" s="189" t="str">
        <f ca="1">IFERROR(__xludf.DUMMYFUNCTION("""COMPUTED_VALUE"""),"")</f>
        <v/>
      </c>
      <c r="Y292" s="189" t="str">
        <f ca="1">IFERROR(__xludf.DUMMYFUNCTION("""COMPUTED_VALUE"""),"")</f>
        <v/>
      </c>
      <c r="Z292" s="189"/>
    </row>
    <row r="293" spans="1:26" ht="12.75">
      <c r="A293" s="189" t="str">
        <f ca="1">IFERROR(__xludf.DUMMYFUNCTION("""COMPUTED_VALUE"""),"")</f>
        <v/>
      </c>
      <c r="B293" s="189" t="str">
        <f ca="1">IFERROR(__xludf.DUMMYFUNCTION("""COMPUTED_VALUE"""),"")</f>
        <v/>
      </c>
      <c r="C293" s="189" t="str">
        <f ca="1">IFERROR(__xludf.DUMMYFUNCTION("""COMPUTED_VALUE"""),"")</f>
        <v/>
      </c>
      <c r="D293" s="189" t="str">
        <f ca="1">IFERROR(__xludf.DUMMYFUNCTION("""COMPUTED_VALUE"""),"")</f>
        <v/>
      </c>
      <c r="E293" s="189" t="str">
        <f ca="1">IFERROR(__xludf.DUMMYFUNCTION("""COMPUTED_VALUE"""),"")</f>
        <v/>
      </c>
      <c r="F293" s="189" t="str">
        <f ca="1">IFERROR(__xludf.DUMMYFUNCTION("""COMPUTED_VALUE"""),"")</f>
        <v/>
      </c>
      <c r="G293" s="189" t="str">
        <f ca="1">IFERROR(__xludf.DUMMYFUNCTION("""COMPUTED_VALUE"""),"")</f>
        <v/>
      </c>
      <c r="H293" s="189" t="str">
        <f ca="1">IFERROR(__xludf.DUMMYFUNCTION("""COMPUTED_VALUE"""),"")</f>
        <v/>
      </c>
      <c r="I293" s="120" t="str">
        <f ca="1">IFERROR(__xludf.DUMMYFUNCTION("""COMPUTED_VALUE"""),"")</f>
        <v/>
      </c>
      <c r="J293" s="189" t="str">
        <f ca="1">IFERROR(__xludf.DUMMYFUNCTION("""COMPUTED_VALUE"""),"")</f>
        <v/>
      </c>
      <c r="K293" s="189" t="str">
        <f ca="1">IFERROR(__xludf.DUMMYFUNCTION("""COMPUTED_VALUE"""),"")</f>
        <v/>
      </c>
      <c r="L293" s="189" t="str">
        <f ca="1">IFERROR(__xludf.DUMMYFUNCTION("""COMPUTED_VALUE"""),"")</f>
        <v/>
      </c>
      <c r="M293" s="189" t="str">
        <f ca="1">IFERROR(__xludf.DUMMYFUNCTION("""COMPUTED_VALUE"""),"")</f>
        <v/>
      </c>
      <c r="N293" s="189" t="str">
        <f ca="1">IFERROR(__xludf.DUMMYFUNCTION("""COMPUTED_VALUE"""),"")</f>
        <v/>
      </c>
      <c r="O293" s="189" t="str">
        <f ca="1">IFERROR(__xludf.DUMMYFUNCTION("""COMPUTED_VALUE"""),"")</f>
        <v/>
      </c>
      <c r="P293" s="189" t="str">
        <f ca="1">IFERROR(__xludf.DUMMYFUNCTION("""COMPUTED_VALUE"""),"")</f>
        <v/>
      </c>
      <c r="Q293" s="189" t="str">
        <f ca="1">IFERROR(__xludf.DUMMYFUNCTION("""COMPUTED_VALUE"""),"")</f>
        <v/>
      </c>
      <c r="R293" s="189" t="str">
        <f ca="1">IFERROR(__xludf.DUMMYFUNCTION("""COMPUTED_VALUE"""),"")</f>
        <v/>
      </c>
      <c r="S293" s="189" t="str">
        <f ca="1">IFERROR(__xludf.DUMMYFUNCTION("""COMPUTED_VALUE"""),"")</f>
        <v/>
      </c>
      <c r="T293" s="189" t="str">
        <f ca="1">IFERROR(__xludf.DUMMYFUNCTION("""COMPUTED_VALUE"""),"")</f>
        <v/>
      </c>
      <c r="U293" s="189" t="str">
        <f ca="1">IFERROR(__xludf.DUMMYFUNCTION("""COMPUTED_VALUE"""),"")</f>
        <v/>
      </c>
      <c r="V293" s="189" t="str">
        <f ca="1">IFERROR(__xludf.DUMMYFUNCTION("""COMPUTED_VALUE"""),"")</f>
        <v/>
      </c>
      <c r="W293" s="189" t="str">
        <f ca="1">IFERROR(__xludf.DUMMYFUNCTION("""COMPUTED_VALUE"""),"")</f>
        <v/>
      </c>
      <c r="X293" s="189" t="str">
        <f ca="1">IFERROR(__xludf.DUMMYFUNCTION("""COMPUTED_VALUE"""),"")</f>
        <v/>
      </c>
      <c r="Y293" s="189" t="str">
        <f ca="1">IFERROR(__xludf.DUMMYFUNCTION("""COMPUTED_VALUE"""),"")</f>
        <v/>
      </c>
      <c r="Z293" s="189"/>
    </row>
    <row r="294" spans="1:26" ht="12.75">
      <c r="A294" s="189" t="str">
        <f ca="1">IFERROR(__xludf.DUMMYFUNCTION("""COMPUTED_VALUE"""),"")</f>
        <v/>
      </c>
      <c r="B294" s="189" t="str">
        <f ca="1">IFERROR(__xludf.DUMMYFUNCTION("""COMPUTED_VALUE"""),"")</f>
        <v/>
      </c>
      <c r="C294" s="189" t="str">
        <f ca="1">IFERROR(__xludf.DUMMYFUNCTION("""COMPUTED_VALUE"""),"")</f>
        <v/>
      </c>
      <c r="D294" s="189" t="str">
        <f ca="1">IFERROR(__xludf.DUMMYFUNCTION("""COMPUTED_VALUE"""),"")</f>
        <v/>
      </c>
      <c r="E294" s="189" t="str">
        <f ca="1">IFERROR(__xludf.DUMMYFUNCTION("""COMPUTED_VALUE"""),"")</f>
        <v/>
      </c>
      <c r="F294" s="189" t="str">
        <f ca="1">IFERROR(__xludf.DUMMYFUNCTION("""COMPUTED_VALUE"""),"")</f>
        <v/>
      </c>
      <c r="G294" s="189" t="str">
        <f ca="1">IFERROR(__xludf.DUMMYFUNCTION("""COMPUTED_VALUE"""),"")</f>
        <v/>
      </c>
      <c r="H294" s="189" t="str">
        <f ca="1">IFERROR(__xludf.DUMMYFUNCTION("""COMPUTED_VALUE"""),"")</f>
        <v/>
      </c>
      <c r="I294" s="120" t="str">
        <f ca="1">IFERROR(__xludf.DUMMYFUNCTION("""COMPUTED_VALUE"""),"")</f>
        <v/>
      </c>
      <c r="J294" s="189" t="str">
        <f ca="1">IFERROR(__xludf.DUMMYFUNCTION("""COMPUTED_VALUE"""),"")</f>
        <v/>
      </c>
      <c r="K294" s="189" t="str">
        <f ca="1">IFERROR(__xludf.DUMMYFUNCTION("""COMPUTED_VALUE"""),"")</f>
        <v/>
      </c>
      <c r="L294" s="189" t="str">
        <f ca="1">IFERROR(__xludf.DUMMYFUNCTION("""COMPUTED_VALUE"""),"")</f>
        <v/>
      </c>
      <c r="M294" s="189" t="str">
        <f ca="1">IFERROR(__xludf.DUMMYFUNCTION("""COMPUTED_VALUE"""),"")</f>
        <v/>
      </c>
      <c r="N294" s="189" t="str">
        <f ca="1">IFERROR(__xludf.DUMMYFUNCTION("""COMPUTED_VALUE"""),"")</f>
        <v/>
      </c>
      <c r="O294" s="189" t="str">
        <f ca="1">IFERROR(__xludf.DUMMYFUNCTION("""COMPUTED_VALUE"""),"")</f>
        <v/>
      </c>
      <c r="P294" s="189" t="str">
        <f ca="1">IFERROR(__xludf.DUMMYFUNCTION("""COMPUTED_VALUE"""),"")</f>
        <v/>
      </c>
      <c r="Q294" s="189" t="str">
        <f ca="1">IFERROR(__xludf.DUMMYFUNCTION("""COMPUTED_VALUE"""),"")</f>
        <v/>
      </c>
      <c r="R294" s="189" t="str">
        <f ca="1">IFERROR(__xludf.DUMMYFUNCTION("""COMPUTED_VALUE"""),"")</f>
        <v/>
      </c>
      <c r="S294" s="189" t="str">
        <f ca="1">IFERROR(__xludf.DUMMYFUNCTION("""COMPUTED_VALUE"""),"")</f>
        <v/>
      </c>
      <c r="T294" s="189" t="str">
        <f ca="1">IFERROR(__xludf.DUMMYFUNCTION("""COMPUTED_VALUE"""),"")</f>
        <v/>
      </c>
      <c r="U294" s="189" t="str">
        <f ca="1">IFERROR(__xludf.DUMMYFUNCTION("""COMPUTED_VALUE"""),"")</f>
        <v/>
      </c>
      <c r="V294" s="189" t="str">
        <f ca="1">IFERROR(__xludf.DUMMYFUNCTION("""COMPUTED_VALUE"""),"")</f>
        <v/>
      </c>
      <c r="W294" s="189" t="str">
        <f ca="1">IFERROR(__xludf.DUMMYFUNCTION("""COMPUTED_VALUE"""),"")</f>
        <v/>
      </c>
      <c r="X294" s="189" t="str">
        <f ca="1">IFERROR(__xludf.DUMMYFUNCTION("""COMPUTED_VALUE"""),"")</f>
        <v/>
      </c>
      <c r="Y294" s="189" t="str">
        <f ca="1">IFERROR(__xludf.DUMMYFUNCTION("""COMPUTED_VALUE"""),"")</f>
        <v/>
      </c>
      <c r="Z294" s="189"/>
    </row>
    <row r="295" spans="1:26" ht="12.75">
      <c r="A295" s="189" t="str">
        <f ca="1">IFERROR(__xludf.DUMMYFUNCTION("""COMPUTED_VALUE"""),"")</f>
        <v/>
      </c>
      <c r="B295" s="189" t="str">
        <f ca="1">IFERROR(__xludf.DUMMYFUNCTION("""COMPUTED_VALUE"""),"")</f>
        <v/>
      </c>
      <c r="C295" s="189" t="str">
        <f ca="1">IFERROR(__xludf.DUMMYFUNCTION("""COMPUTED_VALUE"""),"")</f>
        <v/>
      </c>
      <c r="D295" s="189" t="str">
        <f ca="1">IFERROR(__xludf.DUMMYFUNCTION("""COMPUTED_VALUE"""),"")</f>
        <v/>
      </c>
      <c r="E295" s="189" t="str">
        <f ca="1">IFERROR(__xludf.DUMMYFUNCTION("""COMPUTED_VALUE"""),"")</f>
        <v/>
      </c>
      <c r="F295" s="189" t="str">
        <f ca="1">IFERROR(__xludf.DUMMYFUNCTION("""COMPUTED_VALUE"""),"")</f>
        <v/>
      </c>
      <c r="G295" s="189" t="str">
        <f ca="1">IFERROR(__xludf.DUMMYFUNCTION("""COMPUTED_VALUE"""),"")</f>
        <v/>
      </c>
      <c r="H295" s="189" t="str">
        <f ca="1">IFERROR(__xludf.DUMMYFUNCTION("""COMPUTED_VALUE"""),"")</f>
        <v/>
      </c>
      <c r="I295" s="120" t="str">
        <f ca="1">IFERROR(__xludf.DUMMYFUNCTION("""COMPUTED_VALUE"""),"")</f>
        <v/>
      </c>
      <c r="J295" s="189" t="str">
        <f ca="1">IFERROR(__xludf.DUMMYFUNCTION("""COMPUTED_VALUE"""),"")</f>
        <v/>
      </c>
      <c r="K295" s="189" t="str">
        <f ca="1">IFERROR(__xludf.DUMMYFUNCTION("""COMPUTED_VALUE"""),"")</f>
        <v/>
      </c>
      <c r="L295" s="189" t="str">
        <f ca="1">IFERROR(__xludf.DUMMYFUNCTION("""COMPUTED_VALUE"""),"")</f>
        <v/>
      </c>
      <c r="M295" s="189" t="str">
        <f ca="1">IFERROR(__xludf.DUMMYFUNCTION("""COMPUTED_VALUE"""),"")</f>
        <v/>
      </c>
      <c r="N295" s="189" t="str">
        <f ca="1">IFERROR(__xludf.DUMMYFUNCTION("""COMPUTED_VALUE"""),"")</f>
        <v/>
      </c>
      <c r="O295" s="189" t="str">
        <f ca="1">IFERROR(__xludf.DUMMYFUNCTION("""COMPUTED_VALUE"""),"")</f>
        <v/>
      </c>
      <c r="P295" s="189" t="str">
        <f ca="1">IFERROR(__xludf.DUMMYFUNCTION("""COMPUTED_VALUE"""),"")</f>
        <v/>
      </c>
      <c r="Q295" s="189" t="str">
        <f ca="1">IFERROR(__xludf.DUMMYFUNCTION("""COMPUTED_VALUE"""),"")</f>
        <v/>
      </c>
      <c r="R295" s="189" t="str">
        <f ca="1">IFERROR(__xludf.DUMMYFUNCTION("""COMPUTED_VALUE"""),"")</f>
        <v/>
      </c>
      <c r="S295" s="189" t="str">
        <f ca="1">IFERROR(__xludf.DUMMYFUNCTION("""COMPUTED_VALUE"""),"")</f>
        <v/>
      </c>
      <c r="T295" s="189" t="str">
        <f ca="1">IFERROR(__xludf.DUMMYFUNCTION("""COMPUTED_VALUE"""),"")</f>
        <v/>
      </c>
      <c r="U295" s="189" t="str">
        <f ca="1">IFERROR(__xludf.DUMMYFUNCTION("""COMPUTED_VALUE"""),"")</f>
        <v/>
      </c>
      <c r="V295" s="189" t="str">
        <f ca="1">IFERROR(__xludf.DUMMYFUNCTION("""COMPUTED_VALUE"""),"")</f>
        <v/>
      </c>
      <c r="W295" s="189" t="str">
        <f ca="1">IFERROR(__xludf.DUMMYFUNCTION("""COMPUTED_VALUE"""),"")</f>
        <v/>
      </c>
      <c r="X295" s="189" t="str">
        <f ca="1">IFERROR(__xludf.DUMMYFUNCTION("""COMPUTED_VALUE"""),"")</f>
        <v/>
      </c>
      <c r="Y295" s="189" t="str">
        <f ca="1">IFERROR(__xludf.DUMMYFUNCTION("""COMPUTED_VALUE"""),"")</f>
        <v/>
      </c>
      <c r="Z295" s="189"/>
    </row>
    <row r="296" spans="1:26" ht="12.75">
      <c r="A296" s="189" t="str">
        <f ca="1">IFERROR(__xludf.DUMMYFUNCTION("""COMPUTED_VALUE"""),"")</f>
        <v/>
      </c>
      <c r="B296" s="189" t="str">
        <f ca="1">IFERROR(__xludf.DUMMYFUNCTION("""COMPUTED_VALUE"""),"")</f>
        <v/>
      </c>
      <c r="C296" s="189" t="str">
        <f ca="1">IFERROR(__xludf.DUMMYFUNCTION("""COMPUTED_VALUE"""),"")</f>
        <v/>
      </c>
      <c r="D296" s="189" t="str">
        <f ca="1">IFERROR(__xludf.DUMMYFUNCTION("""COMPUTED_VALUE"""),"")</f>
        <v/>
      </c>
      <c r="E296" s="189" t="str">
        <f ca="1">IFERROR(__xludf.DUMMYFUNCTION("""COMPUTED_VALUE"""),"")</f>
        <v/>
      </c>
      <c r="F296" s="189" t="str">
        <f ca="1">IFERROR(__xludf.DUMMYFUNCTION("""COMPUTED_VALUE"""),"")</f>
        <v/>
      </c>
      <c r="G296" s="189" t="str">
        <f ca="1">IFERROR(__xludf.DUMMYFUNCTION("""COMPUTED_VALUE"""),"")</f>
        <v/>
      </c>
      <c r="H296" s="189" t="str">
        <f ca="1">IFERROR(__xludf.DUMMYFUNCTION("""COMPUTED_VALUE"""),"")</f>
        <v/>
      </c>
      <c r="I296" s="120" t="str">
        <f ca="1">IFERROR(__xludf.DUMMYFUNCTION("""COMPUTED_VALUE"""),"")</f>
        <v/>
      </c>
      <c r="J296" s="189" t="str">
        <f ca="1">IFERROR(__xludf.DUMMYFUNCTION("""COMPUTED_VALUE"""),"")</f>
        <v/>
      </c>
      <c r="K296" s="189" t="str">
        <f ca="1">IFERROR(__xludf.DUMMYFUNCTION("""COMPUTED_VALUE"""),"")</f>
        <v/>
      </c>
      <c r="L296" s="189" t="str">
        <f ca="1">IFERROR(__xludf.DUMMYFUNCTION("""COMPUTED_VALUE"""),"")</f>
        <v/>
      </c>
      <c r="M296" s="189" t="str">
        <f ca="1">IFERROR(__xludf.DUMMYFUNCTION("""COMPUTED_VALUE"""),"")</f>
        <v/>
      </c>
      <c r="N296" s="189" t="str">
        <f ca="1">IFERROR(__xludf.DUMMYFUNCTION("""COMPUTED_VALUE"""),"")</f>
        <v/>
      </c>
      <c r="O296" s="189" t="str">
        <f ca="1">IFERROR(__xludf.DUMMYFUNCTION("""COMPUTED_VALUE"""),"")</f>
        <v/>
      </c>
      <c r="P296" s="189" t="str">
        <f ca="1">IFERROR(__xludf.DUMMYFUNCTION("""COMPUTED_VALUE"""),"")</f>
        <v/>
      </c>
      <c r="Q296" s="189" t="str">
        <f ca="1">IFERROR(__xludf.DUMMYFUNCTION("""COMPUTED_VALUE"""),"")</f>
        <v/>
      </c>
      <c r="R296" s="189" t="str">
        <f ca="1">IFERROR(__xludf.DUMMYFUNCTION("""COMPUTED_VALUE"""),"")</f>
        <v/>
      </c>
      <c r="S296" s="189" t="str">
        <f ca="1">IFERROR(__xludf.DUMMYFUNCTION("""COMPUTED_VALUE"""),"")</f>
        <v/>
      </c>
      <c r="T296" s="189" t="str">
        <f ca="1">IFERROR(__xludf.DUMMYFUNCTION("""COMPUTED_VALUE"""),"")</f>
        <v/>
      </c>
      <c r="U296" s="189" t="str">
        <f ca="1">IFERROR(__xludf.DUMMYFUNCTION("""COMPUTED_VALUE"""),"")</f>
        <v/>
      </c>
      <c r="V296" s="189" t="str">
        <f ca="1">IFERROR(__xludf.DUMMYFUNCTION("""COMPUTED_VALUE"""),"")</f>
        <v/>
      </c>
      <c r="W296" s="189" t="str">
        <f ca="1">IFERROR(__xludf.DUMMYFUNCTION("""COMPUTED_VALUE"""),"")</f>
        <v/>
      </c>
      <c r="X296" s="189" t="str">
        <f ca="1">IFERROR(__xludf.DUMMYFUNCTION("""COMPUTED_VALUE"""),"")</f>
        <v/>
      </c>
      <c r="Y296" s="189" t="str">
        <f ca="1">IFERROR(__xludf.DUMMYFUNCTION("""COMPUTED_VALUE"""),"")</f>
        <v/>
      </c>
      <c r="Z296" s="189"/>
    </row>
    <row r="297" spans="1:26" ht="12.75">
      <c r="A297" s="189" t="str">
        <f ca="1">IFERROR(__xludf.DUMMYFUNCTION("""COMPUTED_VALUE"""),"")</f>
        <v/>
      </c>
      <c r="B297" s="189" t="str">
        <f ca="1">IFERROR(__xludf.DUMMYFUNCTION("""COMPUTED_VALUE"""),"")</f>
        <v/>
      </c>
      <c r="C297" s="189" t="str">
        <f ca="1">IFERROR(__xludf.DUMMYFUNCTION("""COMPUTED_VALUE"""),"")</f>
        <v/>
      </c>
      <c r="D297" s="189" t="str">
        <f ca="1">IFERROR(__xludf.DUMMYFUNCTION("""COMPUTED_VALUE"""),"")</f>
        <v/>
      </c>
      <c r="E297" s="189" t="str">
        <f ca="1">IFERROR(__xludf.DUMMYFUNCTION("""COMPUTED_VALUE"""),"")</f>
        <v/>
      </c>
      <c r="F297" s="189" t="str">
        <f ca="1">IFERROR(__xludf.DUMMYFUNCTION("""COMPUTED_VALUE"""),"")</f>
        <v/>
      </c>
      <c r="G297" s="189" t="str">
        <f ca="1">IFERROR(__xludf.DUMMYFUNCTION("""COMPUTED_VALUE"""),"")</f>
        <v/>
      </c>
      <c r="H297" s="189" t="str">
        <f ca="1">IFERROR(__xludf.DUMMYFUNCTION("""COMPUTED_VALUE"""),"")</f>
        <v/>
      </c>
      <c r="I297" s="120" t="str">
        <f ca="1">IFERROR(__xludf.DUMMYFUNCTION("""COMPUTED_VALUE"""),"")</f>
        <v/>
      </c>
      <c r="J297" s="189" t="str">
        <f ca="1">IFERROR(__xludf.DUMMYFUNCTION("""COMPUTED_VALUE"""),"")</f>
        <v/>
      </c>
      <c r="K297" s="189" t="str">
        <f ca="1">IFERROR(__xludf.DUMMYFUNCTION("""COMPUTED_VALUE"""),"")</f>
        <v/>
      </c>
      <c r="L297" s="189" t="str">
        <f ca="1">IFERROR(__xludf.DUMMYFUNCTION("""COMPUTED_VALUE"""),"")</f>
        <v/>
      </c>
      <c r="M297" s="189" t="str">
        <f ca="1">IFERROR(__xludf.DUMMYFUNCTION("""COMPUTED_VALUE"""),"")</f>
        <v/>
      </c>
      <c r="N297" s="189" t="str">
        <f ca="1">IFERROR(__xludf.DUMMYFUNCTION("""COMPUTED_VALUE"""),"")</f>
        <v/>
      </c>
      <c r="O297" s="189" t="str">
        <f ca="1">IFERROR(__xludf.DUMMYFUNCTION("""COMPUTED_VALUE"""),"")</f>
        <v/>
      </c>
      <c r="P297" s="189" t="str">
        <f ca="1">IFERROR(__xludf.DUMMYFUNCTION("""COMPUTED_VALUE"""),"")</f>
        <v/>
      </c>
      <c r="Q297" s="189" t="str">
        <f ca="1">IFERROR(__xludf.DUMMYFUNCTION("""COMPUTED_VALUE"""),"")</f>
        <v/>
      </c>
      <c r="R297" s="189" t="str">
        <f ca="1">IFERROR(__xludf.DUMMYFUNCTION("""COMPUTED_VALUE"""),"")</f>
        <v/>
      </c>
      <c r="S297" s="189" t="str">
        <f ca="1">IFERROR(__xludf.DUMMYFUNCTION("""COMPUTED_VALUE"""),"")</f>
        <v/>
      </c>
      <c r="T297" s="189" t="str">
        <f ca="1">IFERROR(__xludf.DUMMYFUNCTION("""COMPUTED_VALUE"""),"")</f>
        <v/>
      </c>
      <c r="U297" s="189" t="str">
        <f ca="1">IFERROR(__xludf.DUMMYFUNCTION("""COMPUTED_VALUE"""),"")</f>
        <v/>
      </c>
      <c r="V297" s="189" t="str">
        <f ca="1">IFERROR(__xludf.DUMMYFUNCTION("""COMPUTED_VALUE"""),"")</f>
        <v/>
      </c>
      <c r="W297" s="189" t="str">
        <f ca="1">IFERROR(__xludf.DUMMYFUNCTION("""COMPUTED_VALUE"""),"")</f>
        <v/>
      </c>
      <c r="X297" s="189" t="str">
        <f ca="1">IFERROR(__xludf.DUMMYFUNCTION("""COMPUTED_VALUE"""),"")</f>
        <v/>
      </c>
      <c r="Y297" s="189" t="str">
        <f ca="1">IFERROR(__xludf.DUMMYFUNCTION("""COMPUTED_VALUE"""),"")</f>
        <v/>
      </c>
      <c r="Z297" s="189"/>
    </row>
    <row r="298" spans="1:26" ht="12.75">
      <c r="A298" s="189" t="str">
        <f ca="1">IFERROR(__xludf.DUMMYFUNCTION("""COMPUTED_VALUE"""),"")</f>
        <v/>
      </c>
      <c r="B298" s="189" t="str">
        <f ca="1">IFERROR(__xludf.DUMMYFUNCTION("""COMPUTED_VALUE"""),"")</f>
        <v/>
      </c>
      <c r="C298" s="189" t="str">
        <f ca="1">IFERROR(__xludf.DUMMYFUNCTION("""COMPUTED_VALUE"""),"")</f>
        <v/>
      </c>
      <c r="D298" s="189" t="str">
        <f ca="1">IFERROR(__xludf.DUMMYFUNCTION("""COMPUTED_VALUE"""),"")</f>
        <v/>
      </c>
      <c r="E298" s="189" t="str">
        <f ca="1">IFERROR(__xludf.DUMMYFUNCTION("""COMPUTED_VALUE"""),"")</f>
        <v/>
      </c>
      <c r="F298" s="189" t="str">
        <f ca="1">IFERROR(__xludf.DUMMYFUNCTION("""COMPUTED_VALUE"""),"")</f>
        <v/>
      </c>
      <c r="G298" s="189" t="str">
        <f ca="1">IFERROR(__xludf.DUMMYFUNCTION("""COMPUTED_VALUE"""),"")</f>
        <v/>
      </c>
      <c r="H298" s="189" t="str">
        <f ca="1">IFERROR(__xludf.DUMMYFUNCTION("""COMPUTED_VALUE"""),"")</f>
        <v/>
      </c>
      <c r="I298" s="120" t="str">
        <f ca="1">IFERROR(__xludf.DUMMYFUNCTION("""COMPUTED_VALUE"""),"")</f>
        <v/>
      </c>
      <c r="J298" s="189" t="str">
        <f ca="1">IFERROR(__xludf.DUMMYFUNCTION("""COMPUTED_VALUE"""),"")</f>
        <v/>
      </c>
      <c r="K298" s="189" t="str">
        <f ca="1">IFERROR(__xludf.DUMMYFUNCTION("""COMPUTED_VALUE"""),"")</f>
        <v/>
      </c>
      <c r="L298" s="189" t="str">
        <f ca="1">IFERROR(__xludf.DUMMYFUNCTION("""COMPUTED_VALUE"""),"")</f>
        <v/>
      </c>
      <c r="M298" s="189" t="str">
        <f ca="1">IFERROR(__xludf.DUMMYFUNCTION("""COMPUTED_VALUE"""),"")</f>
        <v/>
      </c>
      <c r="N298" s="189" t="str">
        <f ca="1">IFERROR(__xludf.DUMMYFUNCTION("""COMPUTED_VALUE"""),"")</f>
        <v/>
      </c>
      <c r="O298" s="189" t="str">
        <f ca="1">IFERROR(__xludf.DUMMYFUNCTION("""COMPUTED_VALUE"""),"")</f>
        <v/>
      </c>
      <c r="P298" s="189" t="str">
        <f ca="1">IFERROR(__xludf.DUMMYFUNCTION("""COMPUTED_VALUE"""),"")</f>
        <v/>
      </c>
      <c r="Q298" s="189" t="str">
        <f ca="1">IFERROR(__xludf.DUMMYFUNCTION("""COMPUTED_VALUE"""),"")</f>
        <v/>
      </c>
      <c r="R298" s="189" t="str">
        <f ca="1">IFERROR(__xludf.DUMMYFUNCTION("""COMPUTED_VALUE"""),"")</f>
        <v/>
      </c>
      <c r="S298" s="189" t="str">
        <f ca="1">IFERROR(__xludf.DUMMYFUNCTION("""COMPUTED_VALUE"""),"")</f>
        <v/>
      </c>
      <c r="T298" s="189" t="str">
        <f ca="1">IFERROR(__xludf.DUMMYFUNCTION("""COMPUTED_VALUE"""),"")</f>
        <v/>
      </c>
      <c r="U298" s="189" t="str">
        <f ca="1">IFERROR(__xludf.DUMMYFUNCTION("""COMPUTED_VALUE"""),"")</f>
        <v/>
      </c>
      <c r="V298" s="189" t="str">
        <f ca="1">IFERROR(__xludf.DUMMYFUNCTION("""COMPUTED_VALUE"""),"")</f>
        <v/>
      </c>
      <c r="W298" s="189" t="str">
        <f ca="1">IFERROR(__xludf.DUMMYFUNCTION("""COMPUTED_VALUE"""),"")</f>
        <v/>
      </c>
      <c r="X298" s="189" t="str">
        <f ca="1">IFERROR(__xludf.DUMMYFUNCTION("""COMPUTED_VALUE"""),"")</f>
        <v/>
      </c>
      <c r="Y298" s="189" t="str">
        <f ca="1">IFERROR(__xludf.DUMMYFUNCTION("""COMPUTED_VALUE"""),"")</f>
        <v/>
      </c>
      <c r="Z298" s="189"/>
    </row>
    <row r="299" spans="1:26" ht="12.75">
      <c r="A299" s="189" t="str">
        <f ca="1">IFERROR(__xludf.DUMMYFUNCTION("""COMPUTED_VALUE"""),"")</f>
        <v/>
      </c>
      <c r="B299" s="189" t="str">
        <f ca="1">IFERROR(__xludf.DUMMYFUNCTION("""COMPUTED_VALUE"""),"")</f>
        <v/>
      </c>
      <c r="C299" s="189" t="str">
        <f ca="1">IFERROR(__xludf.DUMMYFUNCTION("""COMPUTED_VALUE"""),"")</f>
        <v/>
      </c>
      <c r="D299" s="189" t="str">
        <f ca="1">IFERROR(__xludf.DUMMYFUNCTION("""COMPUTED_VALUE"""),"")</f>
        <v/>
      </c>
      <c r="E299" s="189" t="str">
        <f ca="1">IFERROR(__xludf.DUMMYFUNCTION("""COMPUTED_VALUE"""),"")</f>
        <v/>
      </c>
      <c r="F299" s="189" t="str">
        <f ca="1">IFERROR(__xludf.DUMMYFUNCTION("""COMPUTED_VALUE"""),"")</f>
        <v/>
      </c>
      <c r="G299" s="189" t="str">
        <f ca="1">IFERROR(__xludf.DUMMYFUNCTION("""COMPUTED_VALUE"""),"")</f>
        <v/>
      </c>
      <c r="H299" s="189" t="str">
        <f ca="1">IFERROR(__xludf.DUMMYFUNCTION("""COMPUTED_VALUE"""),"")</f>
        <v/>
      </c>
      <c r="I299" s="120" t="str">
        <f ca="1">IFERROR(__xludf.DUMMYFUNCTION("""COMPUTED_VALUE"""),"")</f>
        <v/>
      </c>
      <c r="J299" s="189" t="str">
        <f ca="1">IFERROR(__xludf.DUMMYFUNCTION("""COMPUTED_VALUE"""),"")</f>
        <v/>
      </c>
      <c r="K299" s="189" t="str">
        <f ca="1">IFERROR(__xludf.DUMMYFUNCTION("""COMPUTED_VALUE"""),"")</f>
        <v/>
      </c>
      <c r="L299" s="189" t="str">
        <f ca="1">IFERROR(__xludf.DUMMYFUNCTION("""COMPUTED_VALUE"""),"")</f>
        <v/>
      </c>
      <c r="M299" s="189" t="str">
        <f ca="1">IFERROR(__xludf.DUMMYFUNCTION("""COMPUTED_VALUE"""),"")</f>
        <v/>
      </c>
      <c r="N299" s="189" t="str">
        <f ca="1">IFERROR(__xludf.DUMMYFUNCTION("""COMPUTED_VALUE"""),"")</f>
        <v/>
      </c>
      <c r="O299" s="189" t="str">
        <f ca="1">IFERROR(__xludf.DUMMYFUNCTION("""COMPUTED_VALUE"""),"")</f>
        <v/>
      </c>
      <c r="P299" s="189" t="str">
        <f ca="1">IFERROR(__xludf.DUMMYFUNCTION("""COMPUTED_VALUE"""),"")</f>
        <v/>
      </c>
      <c r="Q299" s="189" t="str">
        <f ca="1">IFERROR(__xludf.DUMMYFUNCTION("""COMPUTED_VALUE"""),"")</f>
        <v/>
      </c>
      <c r="R299" s="189" t="str">
        <f ca="1">IFERROR(__xludf.DUMMYFUNCTION("""COMPUTED_VALUE"""),"")</f>
        <v/>
      </c>
      <c r="S299" s="189" t="str">
        <f ca="1">IFERROR(__xludf.DUMMYFUNCTION("""COMPUTED_VALUE"""),"")</f>
        <v/>
      </c>
      <c r="T299" s="189" t="str">
        <f ca="1">IFERROR(__xludf.DUMMYFUNCTION("""COMPUTED_VALUE"""),"")</f>
        <v/>
      </c>
      <c r="U299" s="189" t="str">
        <f ca="1">IFERROR(__xludf.DUMMYFUNCTION("""COMPUTED_VALUE"""),"")</f>
        <v/>
      </c>
      <c r="V299" s="189" t="str">
        <f ca="1">IFERROR(__xludf.DUMMYFUNCTION("""COMPUTED_VALUE"""),"")</f>
        <v/>
      </c>
      <c r="W299" s="189" t="str">
        <f ca="1">IFERROR(__xludf.DUMMYFUNCTION("""COMPUTED_VALUE"""),"")</f>
        <v/>
      </c>
      <c r="X299" s="189" t="str">
        <f ca="1">IFERROR(__xludf.DUMMYFUNCTION("""COMPUTED_VALUE"""),"")</f>
        <v/>
      </c>
      <c r="Y299" s="189" t="str">
        <f ca="1">IFERROR(__xludf.DUMMYFUNCTION("""COMPUTED_VALUE"""),"")</f>
        <v/>
      </c>
      <c r="Z299" s="189"/>
    </row>
    <row r="300" spans="1:26" ht="12.75">
      <c r="A300" s="189" t="str">
        <f ca="1">IFERROR(__xludf.DUMMYFUNCTION("""COMPUTED_VALUE"""),"")</f>
        <v/>
      </c>
      <c r="B300" s="189" t="str">
        <f ca="1">IFERROR(__xludf.DUMMYFUNCTION("""COMPUTED_VALUE"""),"")</f>
        <v/>
      </c>
      <c r="C300" s="189" t="str">
        <f ca="1">IFERROR(__xludf.DUMMYFUNCTION("""COMPUTED_VALUE"""),"")</f>
        <v/>
      </c>
      <c r="D300" s="189" t="str">
        <f ca="1">IFERROR(__xludf.DUMMYFUNCTION("""COMPUTED_VALUE"""),"")</f>
        <v/>
      </c>
      <c r="E300" s="189" t="str">
        <f ca="1">IFERROR(__xludf.DUMMYFUNCTION("""COMPUTED_VALUE"""),"")</f>
        <v/>
      </c>
      <c r="F300" s="189" t="str">
        <f ca="1">IFERROR(__xludf.DUMMYFUNCTION("""COMPUTED_VALUE"""),"")</f>
        <v/>
      </c>
      <c r="G300" s="189" t="str">
        <f ca="1">IFERROR(__xludf.DUMMYFUNCTION("""COMPUTED_VALUE"""),"")</f>
        <v/>
      </c>
      <c r="H300" s="189" t="str">
        <f ca="1">IFERROR(__xludf.DUMMYFUNCTION("""COMPUTED_VALUE"""),"")</f>
        <v/>
      </c>
      <c r="I300" s="120" t="str">
        <f ca="1">IFERROR(__xludf.DUMMYFUNCTION("""COMPUTED_VALUE"""),"")</f>
        <v/>
      </c>
      <c r="J300" s="189" t="str">
        <f ca="1">IFERROR(__xludf.DUMMYFUNCTION("""COMPUTED_VALUE"""),"")</f>
        <v/>
      </c>
      <c r="K300" s="189" t="str">
        <f ca="1">IFERROR(__xludf.DUMMYFUNCTION("""COMPUTED_VALUE"""),"")</f>
        <v/>
      </c>
      <c r="L300" s="189" t="str">
        <f ca="1">IFERROR(__xludf.DUMMYFUNCTION("""COMPUTED_VALUE"""),"")</f>
        <v/>
      </c>
      <c r="M300" s="189" t="str">
        <f ca="1">IFERROR(__xludf.DUMMYFUNCTION("""COMPUTED_VALUE"""),"")</f>
        <v/>
      </c>
      <c r="N300" s="189" t="str">
        <f ca="1">IFERROR(__xludf.DUMMYFUNCTION("""COMPUTED_VALUE"""),"")</f>
        <v/>
      </c>
      <c r="O300" s="189" t="str">
        <f ca="1">IFERROR(__xludf.DUMMYFUNCTION("""COMPUTED_VALUE"""),"")</f>
        <v/>
      </c>
      <c r="P300" s="189" t="str">
        <f ca="1">IFERROR(__xludf.DUMMYFUNCTION("""COMPUTED_VALUE"""),"")</f>
        <v/>
      </c>
      <c r="Q300" s="189" t="str">
        <f ca="1">IFERROR(__xludf.DUMMYFUNCTION("""COMPUTED_VALUE"""),"")</f>
        <v/>
      </c>
      <c r="R300" s="189" t="str">
        <f ca="1">IFERROR(__xludf.DUMMYFUNCTION("""COMPUTED_VALUE"""),"")</f>
        <v/>
      </c>
      <c r="S300" s="189" t="str">
        <f ca="1">IFERROR(__xludf.DUMMYFUNCTION("""COMPUTED_VALUE"""),"")</f>
        <v/>
      </c>
      <c r="T300" s="189" t="str">
        <f ca="1">IFERROR(__xludf.DUMMYFUNCTION("""COMPUTED_VALUE"""),"")</f>
        <v/>
      </c>
      <c r="U300" s="189" t="str">
        <f ca="1">IFERROR(__xludf.DUMMYFUNCTION("""COMPUTED_VALUE"""),"")</f>
        <v/>
      </c>
      <c r="V300" s="189" t="str">
        <f ca="1">IFERROR(__xludf.DUMMYFUNCTION("""COMPUTED_VALUE"""),"")</f>
        <v/>
      </c>
      <c r="W300" s="189" t="str">
        <f ca="1">IFERROR(__xludf.DUMMYFUNCTION("""COMPUTED_VALUE"""),"")</f>
        <v/>
      </c>
      <c r="X300" s="189" t="str">
        <f ca="1">IFERROR(__xludf.DUMMYFUNCTION("""COMPUTED_VALUE"""),"")</f>
        <v/>
      </c>
      <c r="Y300" s="189" t="str">
        <f ca="1">IFERROR(__xludf.DUMMYFUNCTION("""COMPUTED_VALUE"""),"")</f>
        <v/>
      </c>
      <c r="Z300" s="189"/>
    </row>
    <row r="301" spans="1:26" ht="12.75">
      <c r="A301" s="189" t="str">
        <f ca="1">IFERROR(__xludf.DUMMYFUNCTION("""COMPUTED_VALUE"""),"")</f>
        <v/>
      </c>
      <c r="B301" s="189" t="str">
        <f ca="1">IFERROR(__xludf.DUMMYFUNCTION("""COMPUTED_VALUE"""),"")</f>
        <v/>
      </c>
      <c r="C301" s="189" t="str">
        <f ca="1">IFERROR(__xludf.DUMMYFUNCTION("""COMPUTED_VALUE"""),"")</f>
        <v/>
      </c>
      <c r="D301" s="189" t="str">
        <f ca="1">IFERROR(__xludf.DUMMYFUNCTION("""COMPUTED_VALUE"""),"")</f>
        <v/>
      </c>
      <c r="E301" s="189" t="str">
        <f ca="1">IFERROR(__xludf.DUMMYFUNCTION("""COMPUTED_VALUE"""),"")</f>
        <v/>
      </c>
      <c r="F301" s="189" t="str">
        <f ca="1">IFERROR(__xludf.DUMMYFUNCTION("""COMPUTED_VALUE"""),"")</f>
        <v/>
      </c>
      <c r="G301" s="189" t="str">
        <f ca="1">IFERROR(__xludf.DUMMYFUNCTION("""COMPUTED_VALUE"""),"")</f>
        <v/>
      </c>
      <c r="H301" s="189" t="str">
        <f ca="1">IFERROR(__xludf.DUMMYFUNCTION("""COMPUTED_VALUE"""),"")</f>
        <v/>
      </c>
      <c r="I301" s="120" t="str">
        <f ca="1">IFERROR(__xludf.DUMMYFUNCTION("""COMPUTED_VALUE"""),"")</f>
        <v/>
      </c>
      <c r="J301" s="189" t="str">
        <f ca="1">IFERROR(__xludf.DUMMYFUNCTION("""COMPUTED_VALUE"""),"")</f>
        <v/>
      </c>
      <c r="K301" s="189" t="str">
        <f ca="1">IFERROR(__xludf.DUMMYFUNCTION("""COMPUTED_VALUE"""),"")</f>
        <v/>
      </c>
      <c r="L301" s="189" t="str">
        <f ca="1">IFERROR(__xludf.DUMMYFUNCTION("""COMPUTED_VALUE"""),"")</f>
        <v/>
      </c>
      <c r="M301" s="189" t="str">
        <f ca="1">IFERROR(__xludf.DUMMYFUNCTION("""COMPUTED_VALUE"""),"")</f>
        <v/>
      </c>
      <c r="N301" s="189" t="str">
        <f ca="1">IFERROR(__xludf.DUMMYFUNCTION("""COMPUTED_VALUE"""),"")</f>
        <v/>
      </c>
      <c r="O301" s="189" t="str">
        <f ca="1">IFERROR(__xludf.DUMMYFUNCTION("""COMPUTED_VALUE"""),"")</f>
        <v/>
      </c>
      <c r="P301" s="189" t="str">
        <f ca="1">IFERROR(__xludf.DUMMYFUNCTION("""COMPUTED_VALUE"""),"")</f>
        <v/>
      </c>
      <c r="Q301" s="189" t="str">
        <f ca="1">IFERROR(__xludf.DUMMYFUNCTION("""COMPUTED_VALUE"""),"")</f>
        <v/>
      </c>
      <c r="R301" s="189" t="str">
        <f ca="1">IFERROR(__xludf.DUMMYFUNCTION("""COMPUTED_VALUE"""),"")</f>
        <v/>
      </c>
      <c r="S301" s="189" t="str">
        <f ca="1">IFERROR(__xludf.DUMMYFUNCTION("""COMPUTED_VALUE"""),"")</f>
        <v/>
      </c>
      <c r="T301" s="189" t="str">
        <f ca="1">IFERROR(__xludf.DUMMYFUNCTION("""COMPUTED_VALUE"""),"")</f>
        <v/>
      </c>
      <c r="U301" s="189" t="str">
        <f ca="1">IFERROR(__xludf.DUMMYFUNCTION("""COMPUTED_VALUE"""),"")</f>
        <v/>
      </c>
      <c r="V301" s="189" t="str">
        <f ca="1">IFERROR(__xludf.DUMMYFUNCTION("""COMPUTED_VALUE"""),"")</f>
        <v/>
      </c>
      <c r="W301" s="189" t="str">
        <f ca="1">IFERROR(__xludf.DUMMYFUNCTION("""COMPUTED_VALUE"""),"")</f>
        <v/>
      </c>
      <c r="X301" s="189" t="str">
        <f ca="1">IFERROR(__xludf.DUMMYFUNCTION("""COMPUTED_VALUE"""),"")</f>
        <v/>
      </c>
      <c r="Y301" s="189" t="str">
        <f ca="1">IFERROR(__xludf.DUMMYFUNCTION("""COMPUTED_VALUE"""),"")</f>
        <v/>
      </c>
      <c r="Z301" s="189"/>
    </row>
    <row r="302" spans="1:26" ht="12.75">
      <c r="A302" s="189" t="str">
        <f ca="1">IFERROR(__xludf.DUMMYFUNCTION("""COMPUTED_VALUE"""),"")</f>
        <v/>
      </c>
      <c r="B302" s="189" t="str">
        <f ca="1">IFERROR(__xludf.DUMMYFUNCTION("""COMPUTED_VALUE"""),"")</f>
        <v/>
      </c>
      <c r="C302" s="189" t="str">
        <f ca="1">IFERROR(__xludf.DUMMYFUNCTION("""COMPUTED_VALUE"""),"")</f>
        <v/>
      </c>
      <c r="D302" s="189" t="str">
        <f ca="1">IFERROR(__xludf.DUMMYFUNCTION("""COMPUTED_VALUE"""),"")</f>
        <v/>
      </c>
      <c r="E302" s="189" t="str">
        <f ca="1">IFERROR(__xludf.DUMMYFUNCTION("""COMPUTED_VALUE"""),"")</f>
        <v/>
      </c>
      <c r="F302" s="189" t="str">
        <f ca="1">IFERROR(__xludf.DUMMYFUNCTION("""COMPUTED_VALUE"""),"")</f>
        <v/>
      </c>
      <c r="G302" s="189" t="str">
        <f ca="1">IFERROR(__xludf.DUMMYFUNCTION("""COMPUTED_VALUE"""),"")</f>
        <v/>
      </c>
      <c r="H302" s="189" t="str">
        <f ca="1">IFERROR(__xludf.DUMMYFUNCTION("""COMPUTED_VALUE"""),"")</f>
        <v/>
      </c>
      <c r="I302" s="120" t="str">
        <f ca="1">IFERROR(__xludf.DUMMYFUNCTION("""COMPUTED_VALUE"""),"")</f>
        <v/>
      </c>
      <c r="J302" s="189" t="str">
        <f ca="1">IFERROR(__xludf.DUMMYFUNCTION("""COMPUTED_VALUE"""),"")</f>
        <v/>
      </c>
      <c r="K302" s="189" t="str">
        <f ca="1">IFERROR(__xludf.DUMMYFUNCTION("""COMPUTED_VALUE"""),"")</f>
        <v/>
      </c>
      <c r="L302" s="189" t="str">
        <f ca="1">IFERROR(__xludf.DUMMYFUNCTION("""COMPUTED_VALUE"""),"")</f>
        <v/>
      </c>
      <c r="M302" s="189" t="str">
        <f ca="1">IFERROR(__xludf.DUMMYFUNCTION("""COMPUTED_VALUE"""),"")</f>
        <v/>
      </c>
      <c r="N302" s="189" t="str">
        <f ca="1">IFERROR(__xludf.DUMMYFUNCTION("""COMPUTED_VALUE"""),"")</f>
        <v/>
      </c>
      <c r="O302" s="189" t="str">
        <f ca="1">IFERROR(__xludf.DUMMYFUNCTION("""COMPUTED_VALUE"""),"")</f>
        <v/>
      </c>
      <c r="P302" s="189" t="str">
        <f ca="1">IFERROR(__xludf.DUMMYFUNCTION("""COMPUTED_VALUE"""),"")</f>
        <v/>
      </c>
      <c r="Q302" s="189" t="str">
        <f ca="1">IFERROR(__xludf.DUMMYFUNCTION("""COMPUTED_VALUE"""),"")</f>
        <v/>
      </c>
      <c r="R302" s="189" t="str">
        <f ca="1">IFERROR(__xludf.DUMMYFUNCTION("""COMPUTED_VALUE"""),"")</f>
        <v/>
      </c>
      <c r="S302" s="189" t="str">
        <f ca="1">IFERROR(__xludf.DUMMYFUNCTION("""COMPUTED_VALUE"""),"")</f>
        <v/>
      </c>
      <c r="T302" s="189" t="str">
        <f ca="1">IFERROR(__xludf.DUMMYFUNCTION("""COMPUTED_VALUE"""),"")</f>
        <v/>
      </c>
      <c r="U302" s="189" t="str">
        <f ca="1">IFERROR(__xludf.DUMMYFUNCTION("""COMPUTED_VALUE"""),"")</f>
        <v/>
      </c>
      <c r="V302" s="189" t="str">
        <f ca="1">IFERROR(__xludf.DUMMYFUNCTION("""COMPUTED_VALUE"""),"")</f>
        <v/>
      </c>
      <c r="W302" s="189" t="str">
        <f ca="1">IFERROR(__xludf.DUMMYFUNCTION("""COMPUTED_VALUE"""),"")</f>
        <v/>
      </c>
      <c r="X302" s="189" t="str">
        <f ca="1">IFERROR(__xludf.DUMMYFUNCTION("""COMPUTED_VALUE"""),"")</f>
        <v/>
      </c>
      <c r="Y302" s="189" t="str">
        <f ca="1">IFERROR(__xludf.DUMMYFUNCTION("""COMPUTED_VALUE"""),"")</f>
        <v/>
      </c>
      <c r="Z302" s="189"/>
    </row>
    <row r="303" spans="1:26" ht="12.75">
      <c r="A303" s="189" t="str">
        <f ca="1">IFERROR(__xludf.DUMMYFUNCTION("""COMPUTED_VALUE"""),"")</f>
        <v/>
      </c>
      <c r="B303" s="189" t="str">
        <f ca="1">IFERROR(__xludf.DUMMYFUNCTION("""COMPUTED_VALUE"""),"")</f>
        <v/>
      </c>
      <c r="C303" s="189" t="str">
        <f ca="1">IFERROR(__xludf.DUMMYFUNCTION("""COMPUTED_VALUE"""),"")</f>
        <v/>
      </c>
      <c r="D303" s="189" t="str">
        <f ca="1">IFERROR(__xludf.DUMMYFUNCTION("""COMPUTED_VALUE"""),"")</f>
        <v/>
      </c>
      <c r="E303" s="189" t="str">
        <f ca="1">IFERROR(__xludf.DUMMYFUNCTION("""COMPUTED_VALUE"""),"")</f>
        <v/>
      </c>
      <c r="F303" s="189" t="str">
        <f ca="1">IFERROR(__xludf.DUMMYFUNCTION("""COMPUTED_VALUE"""),"")</f>
        <v/>
      </c>
      <c r="G303" s="189" t="str">
        <f ca="1">IFERROR(__xludf.DUMMYFUNCTION("""COMPUTED_VALUE"""),"")</f>
        <v/>
      </c>
      <c r="H303" s="189" t="str">
        <f ca="1">IFERROR(__xludf.DUMMYFUNCTION("""COMPUTED_VALUE"""),"")</f>
        <v/>
      </c>
      <c r="I303" s="120" t="str">
        <f ca="1">IFERROR(__xludf.DUMMYFUNCTION("""COMPUTED_VALUE"""),"")</f>
        <v/>
      </c>
      <c r="J303" s="189" t="str">
        <f ca="1">IFERROR(__xludf.DUMMYFUNCTION("""COMPUTED_VALUE"""),"")</f>
        <v/>
      </c>
      <c r="K303" s="189" t="str">
        <f ca="1">IFERROR(__xludf.DUMMYFUNCTION("""COMPUTED_VALUE"""),"")</f>
        <v/>
      </c>
      <c r="L303" s="189" t="str">
        <f ca="1">IFERROR(__xludf.DUMMYFUNCTION("""COMPUTED_VALUE"""),"")</f>
        <v/>
      </c>
      <c r="M303" s="189" t="str">
        <f ca="1">IFERROR(__xludf.DUMMYFUNCTION("""COMPUTED_VALUE"""),"")</f>
        <v/>
      </c>
      <c r="N303" s="189" t="str">
        <f ca="1">IFERROR(__xludf.DUMMYFUNCTION("""COMPUTED_VALUE"""),"")</f>
        <v/>
      </c>
      <c r="O303" s="189" t="str">
        <f ca="1">IFERROR(__xludf.DUMMYFUNCTION("""COMPUTED_VALUE"""),"")</f>
        <v/>
      </c>
      <c r="P303" s="189" t="str">
        <f ca="1">IFERROR(__xludf.DUMMYFUNCTION("""COMPUTED_VALUE"""),"")</f>
        <v/>
      </c>
      <c r="Q303" s="189" t="str">
        <f ca="1">IFERROR(__xludf.DUMMYFUNCTION("""COMPUTED_VALUE"""),"")</f>
        <v/>
      </c>
      <c r="R303" s="189" t="str">
        <f ca="1">IFERROR(__xludf.DUMMYFUNCTION("""COMPUTED_VALUE"""),"")</f>
        <v/>
      </c>
      <c r="S303" s="189" t="str">
        <f ca="1">IFERROR(__xludf.DUMMYFUNCTION("""COMPUTED_VALUE"""),"")</f>
        <v/>
      </c>
      <c r="T303" s="189" t="str">
        <f ca="1">IFERROR(__xludf.DUMMYFUNCTION("""COMPUTED_VALUE"""),"")</f>
        <v/>
      </c>
      <c r="U303" s="189" t="str">
        <f ca="1">IFERROR(__xludf.DUMMYFUNCTION("""COMPUTED_VALUE"""),"")</f>
        <v/>
      </c>
      <c r="V303" s="189" t="str">
        <f ca="1">IFERROR(__xludf.DUMMYFUNCTION("""COMPUTED_VALUE"""),"")</f>
        <v/>
      </c>
      <c r="W303" s="189" t="str">
        <f ca="1">IFERROR(__xludf.DUMMYFUNCTION("""COMPUTED_VALUE"""),"")</f>
        <v/>
      </c>
      <c r="X303" s="189" t="str">
        <f ca="1">IFERROR(__xludf.DUMMYFUNCTION("""COMPUTED_VALUE"""),"")</f>
        <v/>
      </c>
      <c r="Y303" s="189" t="str">
        <f ca="1">IFERROR(__xludf.DUMMYFUNCTION("""COMPUTED_VALUE"""),"")</f>
        <v/>
      </c>
      <c r="Z303" s="189"/>
    </row>
    <row r="304" spans="1:26" ht="12.75">
      <c r="A304" s="189" t="str">
        <f ca="1">IFERROR(__xludf.DUMMYFUNCTION("""COMPUTED_VALUE"""),"")</f>
        <v/>
      </c>
      <c r="B304" s="189" t="str">
        <f ca="1">IFERROR(__xludf.DUMMYFUNCTION("""COMPUTED_VALUE"""),"")</f>
        <v/>
      </c>
      <c r="C304" s="189" t="str">
        <f ca="1">IFERROR(__xludf.DUMMYFUNCTION("""COMPUTED_VALUE"""),"")</f>
        <v/>
      </c>
      <c r="D304" s="189" t="str">
        <f ca="1">IFERROR(__xludf.DUMMYFUNCTION("""COMPUTED_VALUE"""),"")</f>
        <v/>
      </c>
      <c r="E304" s="189" t="str">
        <f ca="1">IFERROR(__xludf.DUMMYFUNCTION("""COMPUTED_VALUE"""),"")</f>
        <v/>
      </c>
      <c r="F304" s="189" t="str">
        <f ca="1">IFERROR(__xludf.DUMMYFUNCTION("""COMPUTED_VALUE"""),"")</f>
        <v/>
      </c>
      <c r="G304" s="189" t="str">
        <f ca="1">IFERROR(__xludf.DUMMYFUNCTION("""COMPUTED_VALUE"""),"")</f>
        <v/>
      </c>
      <c r="H304" s="189" t="str">
        <f ca="1">IFERROR(__xludf.DUMMYFUNCTION("""COMPUTED_VALUE"""),"")</f>
        <v/>
      </c>
      <c r="I304" s="120" t="str">
        <f ca="1">IFERROR(__xludf.DUMMYFUNCTION("""COMPUTED_VALUE"""),"")</f>
        <v/>
      </c>
      <c r="J304" s="189" t="str">
        <f ca="1">IFERROR(__xludf.DUMMYFUNCTION("""COMPUTED_VALUE"""),"")</f>
        <v/>
      </c>
      <c r="K304" s="189" t="str">
        <f ca="1">IFERROR(__xludf.DUMMYFUNCTION("""COMPUTED_VALUE"""),"")</f>
        <v/>
      </c>
      <c r="L304" s="189" t="str">
        <f ca="1">IFERROR(__xludf.DUMMYFUNCTION("""COMPUTED_VALUE"""),"")</f>
        <v/>
      </c>
      <c r="M304" s="189" t="str">
        <f ca="1">IFERROR(__xludf.DUMMYFUNCTION("""COMPUTED_VALUE"""),"")</f>
        <v/>
      </c>
      <c r="N304" s="189" t="str">
        <f ca="1">IFERROR(__xludf.DUMMYFUNCTION("""COMPUTED_VALUE"""),"")</f>
        <v/>
      </c>
      <c r="O304" s="189" t="str">
        <f ca="1">IFERROR(__xludf.DUMMYFUNCTION("""COMPUTED_VALUE"""),"")</f>
        <v/>
      </c>
      <c r="P304" s="189" t="str">
        <f ca="1">IFERROR(__xludf.DUMMYFUNCTION("""COMPUTED_VALUE"""),"")</f>
        <v/>
      </c>
      <c r="Q304" s="189" t="str">
        <f ca="1">IFERROR(__xludf.DUMMYFUNCTION("""COMPUTED_VALUE"""),"")</f>
        <v/>
      </c>
      <c r="R304" s="189" t="str">
        <f ca="1">IFERROR(__xludf.DUMMYFUNCTION("""COMPUTED_VALUE"""),"")</f>
        <v/>
      </c>
      <c r="S304" s="189" t="str">
        <f ca="1">IFERROR(__xludf.DUMMYFUNCTION("""COMPUTED_VALUE"""),"")</f>
        <v/>
      </c>
      <c r="T304" s="189" t="str">
        <f ca="1">IFERROR(__xludf.DUMMYFUNCTION("""COMPUTED_VALUE"""),"")</f>
        <v/>
      </c>
      <c r="U304" s="189" t="str">
        <f ca="1">IFERROR(__xludf.DUMMYFUNCTION("""COMPUTED_VALUE"""),"")</f>
        <v/>
      </c>
      <c r="V304" s="189" t="str">
        <f ca="1">IFERROR(__xludf.DUMMYFUNCTION("""COMPUTED_VALUE"""),"")</f>
        <v/>
      </c>
      <c r="W304" s="189" t="str">
        <f ca="1">IFERROR(__xludf.DUMMYFUNCTION("""COMPUTED_VALUE"""),"")</f>
        <v/>
      </c>
      <c r="X304" s="189" t="str">
        <f ca="1">IFERROR(__xludf.DUMMYFUNCTION("""COMPUTED_VALUE"""),"")</f>
        <v/>
      </c>
      <c r="Y304" s="189" t="str">
        <f ca="1">IFERROR(__xludf.DUMMYFUNCTION("""COMPUTED_VALUE"""),"")</f>
        <v/>
      </c>
      <c r="Z304" s="189"/>
    </row>
    <row r="305" spans="1:26" ht="12.75">
      <c r="A305" s="189" t="str">
        <f ca="1">IFERROR(__xludf.DUMMYFUNCTION("""COMPUTED_VALUE"""),"")</f>
        <v/>
      </c>
      <c r="B305" s="189" t="str">
        <f ca="1">IFERROR(__xludf.DUMMYFUNCTION("""COMPUTED_VALUE"""),"")</f>
        <v/>
      </c>
      <c r="C305" s="189" t="str">
        <f ca="1">IFERROR(__xludf.DUMMYFUNCTION("""COMPUTED_VALUE"""),"")</f>
        <v/>
      </c>
      <c r="D305" s="189" t="str">
        <f ca="1">IFERROR(__xludf.DUMMYFUNCTION("""COMPUTED_VALUE"""),"")</f>
        <v/>
      </c>
      <c r="E305" s="189" t="str">
        <f ca="1">IFERROR(__xludf.DUMMYFUNCTION("""COMPUTED_VALUE"""),"")</f>
        <v/>
      </c>
      <c r="F305" s="189" t="str">
        <f ca="1">IFERROR(__xludf.DUMMYFUNCTION("""COMPUTED_VALUE"""),"")</f>
        <v/>
      </c>
      <c r="G305" s="189" t="str">
        <f ca="1">IFERROR(__xludf.DUMMYFUNCTION("""COMPUTED_VALUE"""),"")</f>
        <v/>
      </c>
      <c r="H305" s="189" t="str">
        <f ca="1">IFERROR(__xludf.DUMMYFUNCTION("""COMPUTED_VALUE"""),"")</f>
        <v/>
      </c>
      <c r="I305" s="120" t="str">
        <f ca="1">IFERROR(__xludf.DUMMYFUNCTION("""COMPUTED_VALUE"""),"")</f>
        <v/>
      </c>
      <c r="J305" s="189" t="str">
        <f ca="1">IFERROR(__xludf.DUMMYFUNCTION("""COMPUTED_VALUE"""),"")</f>
        <v/>
      </c>
      <c r="K305" s="189" t="str">
        <f ca="1">IFERROR(__xludf.DUMMYFUNCTION("""COMPUTED_VALUE"""),"")</f>
        <v/>
      </c>
      <c r="L305" s="189" t="str">
        <f ca="1">IFERROR(__xludf.DUMMYFUNCTION("""COMPUTED_VALUE"""),"")</f>
        <v/>
      </c>
      <c r="M305" s="189" t="str">
        <f ca="1">IFERROR(__xludf.DUMMYFUNCTION("""COMPUTED_VALUE"""),"")</f>
        <v/>
      </c>
      <c r="N305" s="189" t="str">
        <f ca="1">IFERROR(__xludf.DUMMYFUNCTION("""COMPUTED_VALUE"""),"")</f>
        <v/>
      </c>
      <c r="O305" s="189" t="str">
        <f ca="1">IFERROR(__xludf.DUMMYFUNCTION("""COMPUTED_VALUE"""),"")</f>
        <v/>
      </c>
      <c r="P305" s="189" t="str">
        <f ca="1">IFERROR(__xludf.DUMMYFUNCTION("""COMPUTED_VALUE"""),"")</f>
        <v/>
      </c>
      <c r="Q305" s="189" t="str">
        <f ca="1">IFERROR(__xludf.DUMMYFUNCTION("""COMPUTED_VALUE"""),"")</f>
        <v/>
      </c>
      <c r="R305" s="189" t="str">
        <f ca="1">IFERROR(__xludf.DUMMYFUNCTION("""COMPUTED_VALUE"""),"")</f>
        <v/>
      </c>
      <c r="S305" s="189" t="str">
        <f ca="1">IFERROR(__xludf.DUMMYFUNCTION("""COMPUTED_VALUE"""),"")</f>
        <v/>
      </c>
      <c r="T305" s="189" t="str">
        <f ca="1">IFERROR(__xludf.DUMMYFUNCTION("""COMPUTED_VALUE"""),"")</f>
        <v/>
      </c>
      <c r="U305" s="189" t="str">
        <f ca="1">IFERROR(__xludf.DUMMYFUNCTION("""COMPUTED_VALUE"""),"")</f>
        <v/>
      </c>
      <c r="V305" s="189" t="str">
        <f ca="1">IFERROR(__xludf.DUMMYFUNCTION("""COMPUTED_VALUE"""),"")</f>
        <v/>
      </c>
      <c r="W305" s="189" t="str">
        <f ca="1">IFERROR(__xludf.DUMMYFUNCTION("""COMPUTED_VALUE"""),"")</f>
        <v/>
      </c>
      <c r="X305" s="189" t="str">
        <f ca="1">IFERROR(__xludf.DUMMYFUNCTION("""COMPUTED_VALUE"""),"")</f>
        <v/>
      </c>
      <c r="Y305" s="189" t="str">
        <f ca="1">IFERROR(__xludf.DUMMYFUNCTION("""COMPUTED_VALUE"""),"")</f>
        <v/>
      </c>
      <c r="Z305" s="189"/>
    </row>
    <row r="306" spans="1:26" ht="12.75">
      <c r="A306" s="189" t="str">
        <f ca="1">IFERROR(__xludf.DUMMYFUNCTION("""COMPUTED_VALUE"""),"")</f>
        <v/>
      </c>
      <c r="B306" s="189" t="str">
        <f ca="1">IFERROR(__xludf.DUMMYFUNCTION("""COMPUTED_VALUE"""),"")</f>
        <v/>
      </c>
      <c r="C306" s="189" t="str">
        <f ca="1">IFERROR(__xludf.DUMMYFUNCTION("""COMPUTED_VALUE"""),"")</f>
        <v/>
      </c>
      <c r="D306" s="189" t="str">
        <f ca="1">IFERROR(__xludf.DUMMYFUNCTION("""COMPUTED_VALUE"""),"")</f>
        <v/>
      </c>
      <c r="E306" s="189" t="str">
        <f ca="1">IFERROR(__xludf.DUMMYFUNCTION("""COMPUTED_VALUE"""),"")</f>
        <v/>
      </c>
      <c r="F306" s="189" t="str">
        <f ca="1">IFERROR(__xludf.DUMMYFUNCTION("""COMPUTED_VALUE"""),"")</f>
        <v/>
      </c>
      <c r="G306" s="189" t="str">
        <f ca="1">IFERROR(__xludf.DUMMYFUNCTION("""COMPUTED_VALUE"""),"")</f>
        <v/>
      </c>
      <c r="H306" s="189" t="str">
        <f ca="1">IFERROR(__xludf.DUMMYFUNCTION("""COMPUTED_VALUE"""),"")</f>
        <v/>
      </c>
      <c r="I306" s="120" t="str">
        <f ca="1">IFERROR(__xludf.DUMMYFUNCTION("""COMPUTED_VALUE"""),"")</f>
        <v/>
      </c>
      <c r="J306" s="189" t="str">
        <f ca="1">IFERROR(__xludf.DUMMYFUNCTION("""COMPUTED_VALUE"""),"")</f>
        <v/>
      </c>
      <c r="K306" s="189" t="str">
        <f ca="1">IFERROR(__xludf.DUMMYFUNCTION("""COMPUTED_VALUE"""),"")</f>
        <v/>
      </c>
      <c r="L306" s="189" t="str">
        <f ca="1">IFERROR(__xludf.DUMMYFUNCTION("""COMPUTED_VALUE"""),"")</f>
        <v/>
      </c>
      <c r="M306" s="189" t="str">
        <f ca="1">IFERROR(__xludf.DUMMYFUNCTION("""COMPUTED_VALUE"""),"")</f>
        <v/>
      </c>
      <c r="N306" s="189" t="str">
        <f ca="1">IFERROR(__xludf.DUMMYFUNCTION("""COMPUTED_VALUE"""),"")</f>
        <v/>
      </c>
      <c r="O306" s="189" t="str">
        <f ca="1">IFERROR(__xludf.DUMMYFUNCTION("""COMPUTED_VALUE"""),"")</f>
        <v/>
      </c>
      <c r="P306" s="189" t="str">
        <f ca="1">IFERROR(__xludf.DUMMYFUNCTION("""COMPUTED_VALUE"""),"")</f>
        <v/>
      </c>
      <c r="Q306" s="189" t="str">
        <f ca="1">IFERROR(__xludf.DUMMYFUNCTION("""COMPUTED_VALUE"""),"")</f>
        <v/>
      </c>
      <c r="R306" s="189" t="str">
        <f ca="1">IFERROR(__xludf.DUMMYFUNCTION("""COMPUTED_VALUE"""),"")</f>
        <v/>
      </c>
      <c r="S306" s="189" t="str">
        <f ca="1">IFERROR(__xludf.DUMMYFUNCTION("""COMPUTED_VALUE"""),"")</f>
        <v/>
      </c>
      <c r="T306" s="189" t="str">
        <f ca="1">IFERROR(__xludf.DUMMYFUNCTION("""COMPUTED_VALUE"""),"")</f>
        <v/>
      </c>
      <c r="U306" s="189" t="str">
        <f ca="1">IFERROR(__xludf.DUMMYFUNCTION("""COMPUTED_VALUE"""),"")</f>
        <v/>
      </c>
      <c r="V306" s="189" t="str">
        <f ca="1">IFERROR(__xludf.DUMMYFUNCTION("""COMPUTED_VALUE"""),"")</f>
        <v/>
      </c>
      <c r="W306" s="189" t="str">
        <f ca="1">IFERROR(__xludf.DUMMYFUNCTION("""COMPUTED_VALUE"""),"")</f>
        <v/>
      </c>
      <c r="X306" s="189" t="str">
        <f ca="1">IFERROR(__xludf.DUMMYFUNCTION("""COMPUTED_VALUE"""),"")</f>
        <v/>
      </c>
      <c r="Y306" s="189" t="str">
        <f ca="1">IFERROR(__xludf.DUMMYFUNCTION("""COMPUTED_VALUE"""),"")</f>
        <v/>
      </c>
      <c r="Z306" s="189"/>
    </row>
    <row r="307" spans="1:26" ht="12.75">
      <c r="A307" s="189" t="str">
        <f ca="1">IFERROR(__xludf.DUMMYFUNCTION("""COMPUTED_VALUE"""),"")</f>
        <v/>
      </c>
      <c r="B307" s="189" t="str">
        <f ca="1">IFERROR(__xludf.DUMMYFUNCTION("""COMPUTED_VALUE"""),"")</f>
        <v/>
      </c>
      <c r="C307" s="189" t="str">
        <f ca="1">IFERROR(__xludf.DUMMYFUNCTION("""COMPUTED_VALUE"""),"")</f>
        <v/>
      </c>
      <c r="D307" s="189" t="str">
        <f ca="1">IFERROR(__xludf.DUMMYFUNCTION("""COMPUTED_VALUE"""),"")</f>
        <v/>
      </c>
      <c r="E307" s="189" t="str">
        <f ca="1">IFERROR(__xludf.DUMMYFUNCTION("""COMPUTED_VALUE"""),"")</f>
        <v/>
      </c>
      <c r="F307" s="189" t="str">
        <f ca="1">IFERROR(__xludf.DUMMYFUNCTION("""COMPUTED_VALUE"""),"")</f>
        <v/>
      </c>
      <c r="G307" s="189" t="str">
        <f ca="1">IFERROR(__xludf.DUMMYFUNCTION("""COMPUTED_VALUE"""),"")</f>
        <v/>
      </c>
      <c r="H307" s="189" t="str">
        <f ca="1">IFERROR(__xludf.DUMMYFUNCTION("""COMPUTED_VALUE"""),"")</f>
        <v/>
      </c>
      <c r="I307" s="120" t="str">
        <f ca="1">IFERROR(__xludf.DUMMYFUNCTION("""COMPUTED_VALUE"""),"")</f>
        <v/>
      </c>
      <c r="J307" s="189" t="str">
        <f ca="1">IFERROR(__xludf.DUMMYFUNCTION("""COMPUTED_VALUE"""),"")</f>
        <v/>
      </c>
      <c r="K307" s="189" t="str">
        <f ca="1">IFERROR(__xludf.DUMMYFUNCTION("""COMPUTED_VALUE"""),"")</f>
        <v/>
      </c>
      <c r="L307" s="189" t="str">
        <f ca="1">IFERROR(__xludf.DUMMYFUNCTION("""COMPUTED_VALUE"""),"")</f>
        <v/>
      </c>
      <c r="M307" s="189" t="str">
        <f ca="1">IFERROR(__xludf.DUMMYFUNCTION("""COMPUTED_VALUE"""),"")</f>
        <v/>
      </c>
      <c r="N307" s="189" t="str">
        <f ca="1">IFERROR(__xludf.DUMMYFUNCTION("""COMPUTED_VALUE"""),"")</f>
        <v/>
      </c>
      <c r="O307" s="189" t="str">
        <f ca="1">IFERROR(__xludf.DUMMYFUNCTION("""COMPUTED_VALUE"""),"")</f>
        <v/>
      </c>
      <c r="P307" s="189" t="str">
        <f ca="1">IFERROR(__xludf.DUMMYFUNCTION("""COMPUTED_VALUE"""),"")</f>
        <v/>
      </c>
      <c r="Q307" s="189" t="str">
        <f ca="1">IFERROR(__xludf.DUMMYFUNCTION("""COMPUTED_VALUE"""),"")</f>
        <v/>
      </c>
      <c r="R307" s="189" t="str">
        <f ca="1">IFERROR(__xludf.DUMMYFUNCTION("""COMPUTED_VALUE"""),"")</f>
        <v/>
      </c>
      <c r="S307" s="189" t="str">
        <f ca="1">IFERROR(__xludf.DUMMYFUNCTION("""COMPUTED_VALUE"""),"")</f>
        <v/>
      </c>
      <c r="T307" s="189" t="str">
        <f ca="1">IFERROR(__xludf.DUMMYFUNCTION("""COMPUTED_VALUE"""),"")</f>
        <v/>
      </c>
      <c r="U307" s="189" t="str">
        <f ca="1">IFERROR(__xludf.DUMMYFUNCTION("""COMPUTED_VALUE"""),"")</f>
        <v/>
      </c>
      <c r="V307" s="189" t="str">
        <f ca="1">IFERROR(__xludf.DUMMYFUNCTION("""COMPUTED_VALUE"""),"")</f>
        <v/>
      </c>
      <c r="W307" s="189" t="str">
        <f ca="1">IFERROR(__xludf.DUMMYFUNCTION("""COMPUTED_VALUE"""),"")</f>
        <v/>
      </c>
      <c r="X307" s="189" t="str">
        <f ca="1">IFERROR(__xludf.DUMMYFUNCTION("""COMPUTED_VALUE"""),"")</f>
        <v/>
      </c>
      <c r="Y307" s="189" t="str">
        <f ca="1">IFERROR(__xludf.DUMMYFUNCTION("""COMPUTED_VALUE"""),"")</f>
        <v/>
      </c>
      <c r="Z307" s="189"/>
    </row>
    <row r="308" spans="1:26" ht="12.75">
      <c r="A308" s="189" t="str">
        <f ca="1">IFERROR(__xludf.DUMMYFUNCTION("""COMPUTED_VALUE"""),"")</f>
        <v/>
      </c>
      <c r="B308" s="189" t="str">
        <f ca="1">IFERROR(__xludf.DUMMYFUNCTION("""COMPUTED_VALUE"""),"")</f>
        <v/>
      </c>
      <c r="C308" s="189" t="str">
        <f ca="1">IFERROR(__xludf.DUMMYFUNCTION("""COMPUTED_VALUE"""),"")</f>
        <v/>
      </c>
      <c r="D308" s="189" t="str">
        <f ca="1">IFERROR(__xludf.DUMMYFUNCTION("""COMPUTED_VALUE"""),"")</f>
        <v/>
      </c>
      <c r="E308" s="189" t="str">
        <f ca="1">IFERROR(__xludf.DUMMYFUNCTION("""COMPUTED_VALUE"""),"")</f>
        <v/>
      </c>
      <c r="F308" s="189" t="str">
        <f ca="1">IFERROR(__xludf.DUMMYFUNCTION("""COMPUTED_VALUE"""),"")</f>
        <v/>
      </c>
      <c r="G308" s="189" t="str">
        <f ca="1">IFERROR(__xludf.DUMMYFUNCTION("""COMPUTED_VALUE"""),"")</f>
        <v/>
      </c>
      <c r="H308" s="189" t="str">
        <f ca="1">IFERROR(__xludf.DUMMYFUNCTION("""COMPUTED_VALUE"""),"")</f>
        <v/>
      </c>
      <c r="I308" s="120" t="str">
        <f ca="1">IFERROR(__xludf.DUMMYFUNCTION("""COMPUTED_VALUE"""),"")</f>
        <v/>
      </c>
      <c r="J308" s="189" t="str">
        <f ca="1">IFERROR(__xludf.DUMMYFUNCTION("""COMPUTED_VALUE"""),"")</f>
        <v/>
      </c>
      <c r="K308" s="189" t="str">
        <f ca="1">IFERROR(__xludf.DUMMYFUNCTION("""COMPUTED_VALUE"""),"")</f>
        <v/>
      </c>
      <c r="L308" s="189" t="str">
        <f ca="1">IFERROR(__xludf.DUMMYFUNCTION("""COMPUTED_VALUE"""),"")</f>
        <v/>
      </c>
      <c r="M308" s="189" t="str">
        <f ca="1">IFERROR(__xludf.DUMMYFUNCTION("""COMPUTED_VALUE"""),"")</f>
        <v/>
      </c>
      <c r="N308" s="189" t="str">
        <f ca="1">IFERROR(__xludf.DUMMYFUNCTION("""COMPUTED_VALUE"""),"")</f>
        <v/>
      </c>
      <c r="O308" s="189" t="str">
        <f ca="1">IFERROR(__xludf.DUMMYFUNCTION("""COMPUTED_VALUE"""),"")</f>
        <v/>
      </c>
      <c r="P308" s="189" t="str">
        <f ca="1">IFERROR(__xludf.DUMMYFUNCTION("""COMPUTED_VALUE"""),"")</f>
        <v/>
      </c>
      <c r="Q308" s="189" t="str">
        <f ca="1">IFERROR(__xludf.DUMMYFUNCTION("""COMPUTED_VALUE"""),"")</f>
        <v/>
      </c>
      <c r="R308" s="189" t="str">
        <f ca="1">IFERROR(__xludf.DUMMYFUNCTION("""COMPUTED_VALUE"""),"")</f>
        <v/>
      </c>
      <c r="S308" s="189" t="str">
        <f ca="1">IFERROR(__xludf.DUMMYFUNCTION("""COMPUTED_VALUE"""),"")</f>
        <v/>
      </c>
      <c r="T308" s="189" t="str">
        <f ca="1">IFERROR(__xludf.DUMMYFUNCTION("""COMPUTED_VALUE"""),"")</f>
        <v/>
      </c>
      <c r="U308" s="189" t="str">
        <f ca="1">IFERROR(__xludf.DUMMYFUNCTION("""COMPUTED_VALUE"""),"")</f>
        <v/>
      </c>
      <c r="V308" s="189" t="str">
        <f ca="1">IFERROR(__xludf.DUMMYFUNCTION("""COMPUTED_VALUE"""),"")</f>
        <v/>
      </c>
      <c r="W308" s="189" t="str">
        <f ca="1">IFERROR(__xludf.DUMMYFUNCTION("""COMPUTED_VALUE"""),"")</f>
        <v/>
      </c>
      <c r="X308" s="189" t="str">
        <f ca="1">IFERROR(__xludf.DUMMYFUNCTION("""COMPUTED_VALUE"""),"")</f>
        <v/>
      </c>
      <c r="Y308" s="189" t="str">
        <f ca="1">IFERROR(__xludf.DUMMYFUNCTION("""COMPUTED_VALUE"""),"")</f>
        <v/>
      </c>
      <c r="Z308" s="189"/>
    </row>
    <row r="309" spans="1:26" ht="12.75">
      <c r="A309" s="189" t="str">
        <f ca="1">IFERROR(__xludf.DUMMYFUNCTION("""COMPUTED_VALUE"""),"")</f>
        <v/>
      </c>
      <c r="B309" s="189" t="str">
        <f ca="1">IFERROR(__xludf.DUMMYFUNCTION("""COMPUTED_VALUE"""),"")</f>
        <v/>
      </c>
      <c r="C309" s="189" t="str">
        <f ca="1">IFERROR(__xludf.DUMMYFUNCTION("""COMPUTED_VALUE"""),"")</f>
        <v/>
      </c>
      <c r="D309" s="189" t="str">
        <f ca="1">IFERROR(__xludf.DUMMYFUNCTION("""COMPUTED_VALUE"""),"")</f>
        <v/>
      </c>
      <c r="E309" s="189" t="str">
        <f ca="1">IFERROR(__xludf.DUMMYFUNCTION("""COMPUTED_VALUE"""),"")</f>
        <v/>
      </c>
      <c r="F309" s="189" t="str">
        <f ca="1">IFERROR(__xludf.DUMMYFUNCTION("""COMPUTED_VALUE"""),"")</f>
        <v/>
      </c>
      <c r="G309" s="189" t="str">
        <f ca="1">IFERROR(__xludf.DUMMYFUNCTION("""COMPUTED_VALUE"""),"")</f>
        <v/>
      </c>
      <c r="H309" s="189" t="str">
        <f ca="1">IFERROR(__xludf.DUMMYFUNCTION("""COMPUTED_VALUE"""),"")</f>
        <v/>
      </c>
      <c r="I309" s="120" t="str">
        <f ca="1">IFERROR(__xludf.DUMMYFUNCTION("""COMPUTED_VALUE"""),"")</f>
        <v/>
      </c>
      <c r="J309" s="189" t="str">
        <f ca="1">IFERROR(__xludf.DUMMYFUNCTION("""COMPUTED_VALUE"""),"")</f>
        <v/>
      </c>
      <c r="K309" s="189" t="str">
        <f ca="1">IFERROR(__xludf.DUMMYFUNCTION("""COMPUTED_VALUE"""),"")</f>
        <v/>
      </c>
      <c r="L309" s="189" t="str">
        <f ca="1">IFERROR(__xludf.DUMMYFUNCTION("""COMPUTED_VALUE"""),"")</f>
        <v/>
      </c>
      <c r="M309" s="189" t="str">
        <f ca="1">IFERROR(__xludf.DUMMYFUNCTION("""COMPUTED_VALUE"""),"")</f>
        <v/>
      </c>
      <c r="N309" s="189" t="str">
        <f ca="1">IFERROR(__xludf.DUMMYFUNCTION("""COMPUTED_VALUE"""),"")</f>
        <v/>
      </c>
      <c r="O309" s="189" t="str">
        <f ca="1">IFERROR(__xludf.DUMMYFUNCTION("""COMPUTED_VALUE"""),"")</f>
        <v/>
      </c>
      <c r="P309" s="189" t="str">
        <f ca="1">IFERROR(__xludf.DUMMYFUNCTION("""COMPUTED_VALUE"""),"")</f>
        <v/>
      </c>
      <c r="Q309" s="189" t="str">
        <f ca="1">IFERROR(__xludf.DUMMYFUNCTION("""COMPUTED_VALUE"""),"")</f>
        <v/>
      </c>
      <c r="R309" s="189" t="str">
        <f ca="1">IFERROR(__xludf.DUMMYFUNCTION("""COMPUTED_VALUE"""),"")</f>
        <v/>
      </c>
      <c r="S309" s="189" t="str">
        <f ca="1">IFERROR(__xludf.DUMMYFUNCTION("""COMPUTED_VALUE"""),"")</f>
        <v/>
      </c>
      <c r="T309" s="189" t="str">
        <f ca="1">IFERROR(__xludf.DUMMYFUNCTION("""COMPUTED_VALUE"""),"")</f>
        <v/>
      </c>
      <c r="U309" s="189" t="str">
        <f ca="1">IFERROR(__xludf.DUMMYFUNCTION("""COMPUTED_VALUE"""),"")</f>
        <v/>
      </c>
      <c r="V309" s="189" t="str">
        <f ca="1">IFERROR(__xludf.DUMMYFUNCTION("""COMPUTED_VALUE"""),"")</f>
        <v/>
      </c>
      <c r="W309" s="189" t="str">
        <f ca="1">IFERROR(__xludf.DUMMYFUNCTION("""COMPUTED_VALUE"""),"")</f>
        <v/>
      </c>
      <c r="X309" s="189" t="str">
        <f ca="1">IFERROR(__xludf.DUMMYFUNCTION("""COMPUTED_VALUE"""),"")</f>
        <v/>
      </c>
      <c r="Y309" s="189" t="str">
        <f ca="1">IFERROR(__xludf.DUMMYFUNCTION("""COMPUTED_VALUE"""),"")</f>
        <v/>
      </c>
      <c r="Z309" s="189"/>
    </row>
    <row r="310" spans="1:26" ht="12.75">
      <c r="A310" s="189" t="str">
        <f ca="1">IFERROR(__xludf.DUMMYFUNCTION("""COMPUTED_VALUE"""),"")</f>
        <v/>
      </c>
      <c r="B310" s="189" t="str">
        <f ca="1">IFERROR(__xludf.DUMMYFUNCTION("""COMPUTED_VALUE"""),"")</f>
        <v/>
      </c>
      <c r="C310" s="189" t="str">
        <f ca="1">IFERROR(__xludf.DUMMYFUNCTION("""COMPUTED_VALUE"""),"")</f>
        <v/>
      </c>
      <c r="D310" s="189" t="str">
        <f ca="1">IFERROR(__xludf.DUMMYFUNCTION("""COMPUTED_VALUE"""),"")</f>
        <v/>
      </c>
      <c r="E310" s="189" t="str">
        <f ca="1">IFERROR(__xludf.DUMMYFUNCTION("""COMPUTED_VALUE"""),"")</f>
        <v/>
      </c>
      <c r="F310" s="189" t="str">
        <f ca="1">IFERROR(__xludf.DUMMYFUNCTION("""COMPUTED_VALUE"""),"")</f>
        <v/>
      </c>
      <c r="G310" s="189" t="str">
        <f ca="1">IFERROR(__xludf.DUMMYFUNCTION("""COMPUTED_VALUE"""),"")</f>
        <v/>
      </c>
      <c r="H310" s="189" t="str">
        <f ca="1">IFERROR(__xludf.DUMMYFUNCTION("""COMPUTED_VALUE"""),"")</f>
        <v/>
      </c>
      <c r="I310" s="120" t="str">
        <f ca="1">IFERROR(__xludf.DUMMYFUNCTION("""COMPUTED_VALUE"""),"")</f>
        <v/>
      </c>
      <c r="J310" s="189" t="str">
        <f ca="1">IFERROR(__xludf.DUMMYFUNCTION("""COMPUTED_VALUE"""),"")</f>
        <v/>
      </c>
      <c r="K310" s="189" t="str">
        <f ca="1">IFERROR(__xludf.DUMMYFUNCTION("""COMPUTED_VALUE"""),"")</f>
        <v/>
      </c>
      <c r="L310" s="189" t="str">
        <f ca="1">IFERROR(__xludf.DUMMYFUNCTION("""COMPUTED_VALUE"""),"")</f>
        <v/>
      </c>
      <c r="M310" s="189" t="str">
        <f ca="1">IFERROR(__xludf.DUMMYFUNCTION("""COMPUTED_VALUE"""),"")</f>
        <v/>
      </c>
      <c r="N310" s="189" t="str">
        <f ca="1">IFERROR(__xludf.DUMMYFUNCTION("""COMPUTED_VALUE"""),"")</f>
        <v/>
      </c>
      <c r="O310" s="189" t="str">
        <f ca="1">IFERROR(__xludf.DUMMYFUNCTION("""COMPUTED_VALUE"""),"")</f>
        <v/>
      </c>
      <c r="P310" s="189" t="str">
        <f ca="1">IFERROR(__xludf.DUMMYFUNCTION("""COMPUTED_VALUE"""),"")</f>
        <v/>
      </c>
      <c r="Q310" s="189" t="str">
        <f ca="1">IFERROR(__xludf.DUMMYFUNCTION("""COMPUTED_VALUE"""),"")</f>
        <v/>
      </c>
      <c r="R310" s="189" t="str">
        <f ca="1">IFERROR(__xludf.DUMMYFUNCTION("""COMPUTED_VALUE"""),"")</f>
        <v/>
      </c>
      <c r="S310" s="189" t="str">
        <f ca="1">IFERROR(__xludf.DUMMYFUNCTION("""COMPUTED_VALUE"""),"")</f>
        <v/>
      </c>
      <c r="T310" s="189" t="str">
        <f ca="1">IFERROR(__xludf.DUMMYFUNCTION("""COMPUTED_VALUE"""),"")</f>
        <v/>
      </c>
      <c r="U310" s="189" t="str">
        <f ca="1">IFERROR(__xludf.DUMMYFUNCTION("""COMPUTED_VALUE"""),"")</f>
        <v/>
      </c>
      <c r="V310" s="189" t="str">
        <f ca="1">IFERROR(__xludf.DUMMYFUNCTION("""COMPUTED_VALUE"""),"")</f>
        <v/>
      </c>
      <c r="W310" s="189" t="str">
        <f ca="1">IFERROR(__xludf.DUMMYFUNCTION("""COMPUTED_VALUE"""),"")</f>
        <v/>
      </c>
      <c r="X310" s="189" t="str">
        <f ca="1">IFERROR(__xludf.DUMMYFUNCTION("""COMPUTED_VALUE"""),"")</f>
        <v/>
      </c>
      <c r="Y310" s="189" t="str">
        <f ca="1">IFERROR(__xludf.DUMMYFUNCTION("""COMPUTED_VALUE"""),"")</f>
        <v/>
      </c>
      <c r="Z310" s="189"/>
    </row>
    <row r="311" spans="1:26" ht="12.75">
      <c r="A311" s="189" t="str">
        <f ca="1">IFERROR(__xludf.DUMMYFUNCTION("""COMPUTED_VALUE"""),"")</f>
        <v/>
      </c>
      <c r="B311" s="189" t="str">
        <f ca="1">IFERROR(__xludf.DUMMYFUNCTION("""COMPUTED_VALUE"""),"")</f>
        <v/>
      </c>
      <c r="C311" s="189" t="str">
        <f ca="1">IFERROR(__xludf.DUMMYFUNCTION("""COMPUTED_VALUE"""),"")</f>
        <v/>
      </c>
      <c r="D311" s="189" t="str">
        <f ca="1">IFERROR(__xludf.DUMMYFUNCTION("""COMPUTED_VALUE"""),"")</f>
        <v/>
      </c>
      <c r="E311" s="189" t="str">
        <f ca="1">IFERROR(__xludf.DUMMYFUNCTION("""COMPUTED_VALUE"""),"")</f>
        <v/>
      </c>
      <c r="F311" s="189" t="str">
        <f ca="1">IFERROR(__xludf.DUMMYFUNCTION("""COMPUTED_VALUE"""),"")</f>
        <v/>
      </c>
      <c r="G311" s="189" t="str">
        <f ca="1">IFERROR(__xludf.DUMMYFUNCTION("""COMPUTED_VALUE"""),"")</f>
        <v/>
      </c>
      <c r="H311" s="189" t="str">
        <f ca="1">IFERROR(__xludf.DUMMYFUNCTION("""COMPUTED_VALUE"""),"")</f>
        <v/>
      </c>
      <c r="I311" s="120" t="str">
        <f ca="1">IFERROR(__xludf.DUMMYFUNCTION("""COMPUTED_VALUE"""),"")</f>
        <v/>
      </c>
      <c r="J311" s="189" t="str">
        <f ca="1">IFERROR(__xludf.DUMMYFUNCTION("""COMPUTED_VALUE"""),"")</f>
        <v/>
      </c>
      <c r="K311" s="189" t="str">
        <f ca="1">IFERROR(__xludf.DUMMYFUNCTION("""COMPUTED_VALUE"""),"")</f>
        <v/>
      </c>
      <c r="L311" s="189" t="str">
        <f ca="1">IFERROR(__xludf.DUMMYFUNCTION("""COMPUTED_VALUE"""),"")</f>
        <v/>
      </c>
      <c r="M311" s="189" t="str">
        <f ca="1">IFERROR(__xludf.DUMMYFUNCTION("""COMPUTED_VALUE"""),"")</f>
        <v/>
      </c>
      <c r="N311" s="189" t="str">
        <f ca="1">IFERROR(__xludf.DUMMYFUNCTION("""COMPUTED_VALUE"""),"")</f>
        <v/>
      </c>
      <c r="O311" s="189" t="str">
        <f ca="1">IFERROR(__xludf.DUMMYFUNCTION("""COMPUTED_VALUE"""),"")</f>
        <v/>
      </c>
      <c r="P311" s="189" t="str">
        <f ca="1">IFERROR(__xludf.DUMMYFUNCTION("""COMPUTED_VALUE"""),"")</f>
        <v/>
      </c>
      <c r="Q311" s="189" t="str">
        <f ca="1">IFERROR(__xludf.DUMMYFUNCTION("""COMPUTED_VALUE"""),"")</f>
        <v/>
      </c>
      <c r="R311" s="189" t="str">
        <f ca="1">IFERROR(__xludf.DUMMYFUNCTION("""COMPUTED_VALUE"""),"")</f>
        <v/>
      </c>
      <c r="S311" s="189" t="str">
        <f ca="1">IFERROR(__xludf.DUMMYFUNCTION("""COMPUTED_VALUE"""),"")</f>
        <v/>
      </c>
      <c r="T311" s="189" t="str">
        <f ca="1">IFERROR(__xludf.DUMMYFUNCTION("""COMPUTED_VALUE"""),"")</f>
        <v/>
      </c>
      <c r="U311" s="189" t="str">
        <f ca="1">IFERROR(__xludf.DUMMYFUNCTION("""COMPUTED_VALUE"""),"")</f>
        <v/>
      </c>
      <c r="V311" s="189" t="str">
        <f ca="1">IFERROR(__xludf.DUMMYFUNCTION("""COMPUTED_VALUE"""),"")</f>
        <v/>
      </c>
      <c r="W311" s="189" t="str">
        <f ca="1">IFERROR(__xludf.DUMMYFUNCTION("""COMPUTED_VALUE"""),"")</f>
        <v/>
      </c>
      <c r="X311" s="189" t="str">
        <f ca="1">IFERROR(__xludf.DUMMYFUNCTION("""COMPUTED_VALUE"""),"")</f>
        <v/>
      </c>
      <c r="Y311" s="189" t="str">
        <f ca="1">IFERROR(__xludf.DUMMYFUNCTION("""COMPUTED_VALUE"""),"")</f>
        <v/>
      </c>
      <c r="Z311" s="189"/>
    </row>
    <row r="312" spans="1:26" ht="12.75">
      <c r="A312" s="189" t="str">
        <f ca="1">IFERROR(__xludf.DUMMYFUNCTION("""COMPUTED_VALUE"""),"")</f>
        <v/>
      </c>
      <c r="B312" s="189" t="str">
        <f ca="1">IFERROR(__xludf.DUMMYFUNCTION("""COMPUTED_VALUE"""),"")</f>
        <v/>
      </c>
      <c r="C312" s="189" t="str">
        <f ca="1">IFERROR(__xludf.DUMMYFUNCTION("""COMPUTED_VALUE"""),"")</f>
        <v/>
      </c>
      <c r="D312" s="189" t="str">
        <f ca="1">IFERROR(__xludf.DUMMYFUNCTION("""COMPUTED_VALUE"""),"")</f>
        <v/>
      </c>
      <c r="E312" s="189" t="str">
        <f ca="1">IFERROR(__xludf.DUMMYFUNCTION("""COMPUTED_VALUE"""),"")</f>
        <v/>
      </c>
      <c r="F312" s="189" t="str">
        <f ca="1">IFERROR(__xludf.DUMMYFUNCTION("""COMPUTED_VALUE"""),"")</f>
        <v/>
      </c>
      <c r="G312" s="189" t="str">
        <f ca="1">IFERROR(__xludf.DUMMYFUNCTION("""COMPUTED_VALUE"""),"")</f>
        <v/>
      </c>
      <c r="H312" s="189" t="str">
        <f ca="1">IFERROR(__xludf.DUMMYFUNCTION("""COMPUTED_VALUE"""),"")</f>
        <v/>
      </c>
      <c r="I312" s="120" t="str">
        <f ca="1">IFERROR(__xludf.DUMMYFUNCTION("""COMPUTED_VALUE"""),"")</f>
        <v/>
      </c>
      <c r="J312" s="189" t="str">
        <f ca="1">IFERROR(__xludf.DUMMYFUNCTION("""COMPUTED_VALUE"""),"")</f>
        <v/>
      </c>
      <c r="K312" s="189" t="str">
        <f ca="1">IFERROR(__xludf.DUMMYFUNCTION("""COMPUTED_VALUE"""),"")</f>
        <v/>
      </c>
      <c r="L312" s="189" t="str">
        <f ca="1">IFERROR(__xludf.DUMMYFUNCTION("""COMPUTED_VALUE"""),"")</f>
        <v/>
      </c>
      <c r="M312" s="189" t="str">
        <f ca="1">IFERROR(__xludf.DUMMYFUNCTION("""COMPUTED_VALUE"""),"")</f>
        <v/>
      </c>
      <c r="N312" s="189" t="str">
        <f ca="1">IFERROR(__xludf.DUMMYFUNCTION("""COMPUTED_VALUE"""),"")</f>
        <v/>
      </c>
      <c r="O312" s="189" t="str">
        <f ca="1">IFERROR(__xludf.DUMMYFUNCTION("""COMPUTED_VALUE"""),"")</f>
        <v/>
      </c>
      <c r="P312" s="189" t="str">
        <f ca="1">IFERROR(__xludf.DUMMYFUNCTION("""COMPUTED_VALUE"""),"")</f>
        <v/>
      </c>
      <c r="Q312" s="189" t="str">
        <f ca="1">IFERROR(__xludf.DUMMYFUNCTION("""COMPUTED_VALUE"""),"")</f>
        <v/>
      </c>
      <c r="R312" s="189" t="str">
        <f ca="1">IFERROR(__xludf.DUMMYFUNCTION("""COMPUTED_VALUE"""),"")</f>
        <v/>
      </c>
      <c r="S312" s="189" t="str">
        <f ca="1">IFERROR(__xludf.DUMMYFUNCTION("""COMPUTED_VALUE"""),"")</f>
        <v/>
      </c>
      <c r="T312" s="189" t="str">
        <f ca="1">IFERROR(__xludf.DUMMYFUNCTION("""COMPUTED_VALUE"""),"")</f>
        <v/>
      </c>
      <c r="U312" s="189" t="str">
        <f ca="1">IFERROR(__xludf.DUMMYFUNCTION("""COMPUTED_VALUE"""),"")</f>
        <v/>
      </c>
      <c r="V312" s="189" t="str">
        <f ca="1">IFERROR(__xludf.DUMMYFUNCTION("""COMPUTED_VALUE"""),"")</f>
        <v/>
      </c>
      <c r="W312" s="189" t="str">
        <f ca="1">IFERROR(__xludf.DUMMYFUNCTION("""COMPUTED_VALUE"""),"")</f>
        <v/>
      </c>
      <c r="X312" s="189" t="str">
        <f ca="1">IFERROR(__xludf.DUMMYFUNCTION("""COMPUTED_VALUE"""),"")</f>
        <v/>
      </c>
      <c r="Y312" s="189" t="str">
        <f ca="1">IFERROR(__xludf.DUMMYFUNCTION("""COMPUTED_VALUE"""),"")</f>
        <v/>
      </c>
      <c r="Z312" s="189"/>
    </row>
    <row r="313" spans="1:26" ht="12.75">
      <c r="A313" s="189" t="str">
        <f ca="1">IFERROR(__xludf.DUMMYFUNCTION("""COMPUTED_VALUE"""),"")</f>
        <v/>
      </c>
      <c r="B313" s="189" t="str">
        <f ca="1">IFERROR(__xludf.DUMMYFUNCTION("""COMPUTED_VALUE"""),"")</f>
        <v/>
      </c>
      <c r="C313" s="189" t="str">
        <f ca="1">IFERROR(__xludf.DUMMYFUNCTION("""COMPUTED_VALUE"""),"")</f>
        <v/>
      </c>
      <c r="D313" s="189" t="str">
        <f ca="1">IFERROR(__xludf.DUMMYFUNCTION("""COMPUTED_VALUE"""),"")</f>
        <v/>
      </c>
      <c r="E313" s="189" t="str">
        <f ca="1">IFERROR(__xludf.DUMMYFUNCTION("""COMPUTED_VALUE"""),"")</f>
        <v/>
      </c>
      <c r="F313" s="189" t="str">
        <f ca="1">IFERROR(__xludf.DUMMYFUNCTION("""COMPUTED_VALUE"""),"")</f>
        <v/>
      </c>
      <c r="G313" s="189" t="str">
        <f ca="1">IFERROR(__xludf.DUMMYFUNCTION("""COMPUTED_VALUE"""),"")</f>
        <v/>
      </c>
      <c r="H313" s="189" t="str">
        <f ca="1">IFERROR(__xludf.DUMMYFUNCTION("""COMPUTED_VALUE"""),"")</f>
        <v/>
      </c>
      <c r="I313" s="120" t="str">
        <f ca="1">IFERROR(__xludf.DUMMYFUNCTION("""COMPUTED_VALUE"""),"")</f>
        <v/>
      </c>
      <c r="J313" s="189" t="str">
        <f ca="1">IFERROR(__xludf.DUMMYFUNCTION("""COMPUTED_VALUE"""),"")</f>
        <v/>
      </c>
      <c r="K313" s="189" t="str">
        <f ca="1">IFERROR(__xludf.DUMMYFUNCTION("""COMPUTED_VALUE"""),"")</f>
        <v/>
      </c>
      <c r="L313" s="189" t="str">
        <f ca="1">IFERROR(__xludf.DUMMYFUNCTION("""COMPUTED_VALUE"""),"")</f>
        <v/>
      </c>
      <c r="M313" s="189" t="str">
        <f ca="1">IFERROR(__xludf.DUMMYFUNCTION("""COMPUTED_VALUE"""),"")</f>
        <v/>
      </c>
      <c r="N313" s="189" t="str">
        <f ca="1">IFERROR(__xludf.DUMMYFUNCTION("""COMPUTED_VALUE"""),"")</f>
        <v/>
      </c>
      <c r="O313" s="189" t="str">
        <f ca="1">IFERROR(__xludf.DUMMYFUNCTION("""COMPUTED_VALUE"""),"")</f>
        <v/>
      </c>
      <c r="P313" s="189" t="str">
        <f ca="1">IFERROR(__xludf.DUMMYFUNCTION("""COMPUTED_VALUE"""),"")</f>
        <v/>
      </c>
      <c r="Q313" s="189" t="str">
        <f ca="1">IFERROR(__xludf.DUMMYFUNCTION("""COMPUTED_VALUE"""),"")</f>
        <v/>
      </c>
      <c r="R313" s="189" t="str">
        <f ca="1">IFERROR(__xludf.DUMMYFUNCTION("""COMPUTED_VALUE"""),"")</f>
        <v/>
      </c>
      <c r="S313" s="189" t="str">
        <f ca="1">IFERROR(__xludf.DUMMYFUNCTION("""COMPUTED_VALUE"""),"")</f>
        <v/>
      </c>
      <c r="T313" s="189" t="str">
        <f ca="1">IFERROR(__xludf.DUMMYFUNCTION("""COMPUTED_VALUE"""),"")</f>
        <v/>
      </c>
      <c r="U313" s="189" t="str">
        <f ca="1">IFERROR(__xludf.DUMMYFUNCTION("""COMPUTED_VALUE"""),"")</f>
        <v/>
      </c>
      <c r="V313" s="189" t="str">
        <f ca="1">IFERROR(__xludf.DUMMYFUNCTION("""COMPUTED_VALUE"""),"")</f>
        <v/>
      </c>
      <c r="W313" s="189" t="str">
        <f ca="1">IFERROR(__xludf.DUMMYFUNCTION("""COMPUTED_VALUE"""),"")</f>
        <v/>
      </c>
      <c r="X313" s="189" t="str">
        <f ca="1">IFERROR(__xludf.DUMMYFUNCTION("""COMPUTED_VALUE"""),"")</f>
        <v/>
      </c>
      <c r="Y313" s="189" t="str">
        <f ca="1">IFERROR(__xludf.DUMMYFUNCTION("""COMPUTED_VALUE"""),"")</f>
        <v/>
      </c>
      <c r="Z313" s="189"/>
    </row>
    <row r="314" spans="1:26" ht="12.75">
      <c r="A314" s="189" t="str">
        <f ca="1">IFERROR(__xludf.DUMMYFUNCTION("""COMPUTED_VALUE"""),"")</f>
        <v/>
      </c>
      <c r="B314" s="189" t="str">
        <f ca="1">IFERROR(__xludf.DUMMYFUNCTION("""COMPUTED_VALUE"""),"")</f>
        <v/>
      </c>
      <c r="C314" s="189" t="str">
        <f ca="1">IFERROR(__xludf.DUMMYFUNCTION("""COMPUTED_VALUE"""),"")</f>
        <v/>
      </c>
      <c r="D314" s="189" t="str">
        <f ca="1">IFERROR(__xludf.DUMMYFUNCTION("""COMPUTED_VALUE"""),"")</f>
        <v/>
      </c>
      <c r="E314" s="189" t="str">
        <f ca="1">IFERROR(__xludf.DUMMYFUNCTION("""COMPUTED_VALUE"""),"")</f>
        <v/>
      </c>
      <c r="F314" s="189" t="str">
        <f ca="1">IFERROR(__xludf.DUMMYFUNCTION("""COMPUTED_VALUE"""),"")</f>
        <v/>
      </c>
      <c r="G314" s="189" t="str">
        <f ca="1">IFERROR(__xludf.DUMMYFUNCTION("""COMPUTED_VALUE"""),"")</f>
        <v/>
      </c>
      <c r="H314" s="189" t="str">
        <f ca="1">IFERROR(__xludf.DUMMYFUNCTION("""COMPUTED_VALUE"""),"")</f>
        <v/>
      </c>
      <c r="I314" s="120" t="str">
        <f ca="1">IFERROR(__xludf.DUMMYFUNCTION("""COMPUTED_VALUE"""),"")</f>
        <v/>
      </c>
      <c r="J314" s="189" t="str">
        <f ca="1">IFERROR(__xludf.DUMMYFUNCTION("""COMPUTED_VALUE"""),"")</f>
        <v/>
      </c>
      <c r="K314" s="189" t="str">
        <f ca="1">IFERROR(__xludf.DUMMYFUNCTION("""COMPUTED_VALUE"""),"")</f>
        <v/>
      </c>
      <c r="L314" s="189" t="str">
        <f ca="1">IFERROR(__xludf.DUMMYFUNCTION("""COMPUTED_VALUE"""),"")</f>
        <v/>
      </c>
      <c r="M314" s="189" t="str">
        <f ca="1">IFERROR(__xludf.DUMMYFUNCTION("""COMPUTED_VALUE"""),"")</f>
        <v/>
      </c>
      <c r="N314" s="189" t="str">
        <f ca="1">IFERROR(__xludf.DUMMYFUNCTION("""COMPUTED_VALUE"""),"")</f>
        <v/>
      </c>
      <c r="O314" s="189" t="str">
        <f ca="1">IFERROR(__xludf.DUMMYFUNCTION("""COMPUTED_VALUE"""),"")</f>
        <v/>
      </c>
      <c r="P314" s="189" t="str">
        <f ca="1">IFERROR(__xludf.DUMMYFUNCTION("""COMPUTED_VALUE"""),"")</f>
        <v/>
      </c>
      <c r="Q314" s="189" t="str">
        <f ca="1">IFERROR(__xludf.DUMMYFUNCTION("""COMPUTED_VALUE"""),"")</f>
        <v/>
      </c>
      <c r="R314" s="189" t="str">
        <f ca="1">IFERROR(__xludf.DUMMYFUNCTION("""COMPUTED_VALUE"""),"")</f>
        <v/>
      </c>
      <c r="S314" s="189" t="str">
        <f ca="1">IFERROR(__xludf.DUMMYFUNCTION("""COMPUTED_VALUE"""),"")</f>
        <v/>
      </c>
      <c r="T314" s="189" t="str">
        <f ca="1">IFERROR(__xludf.DUMMYFUNCTION("""COMPUTED_VALUE"""),"")</f>
        <v/>
      </c>
      <c r="U314" s="189" t="str">
        <f ca="1">IFERROR(__xludf.DUMMYFUNCTION("""COMPUTED_VALUE"""),"")</f>
        <v/>
      </c>
      <c r="V314" s="189" t="str">
        <f ca="1">IFERROR(__xludf.DUMMYFUNCTION("""COMPUTED_VALUE"""),"")</f>
        <v/>
      </c>
      <c r="W314" s="189" t="str">
        <f ca="1">IFERROR(__xludf.DUMMYFUNCTION("""COMPUTED_VALUE"""),"")</f>
        <v/>
      </c>
      <c r="X314" s="189" t="str">
        <f ca="1">IFERROR(__xludf.DUMMYFUNCTION("""COMPUTED_VALUE"""),"")</f>
        <v/>
      </c>
      <c r="Y314" s="189" t="str">
        <f ca="1">IFERROR(__xludf.DUMMYFUNCTION("""COMPUTED_VALUE"""),"")</f>
        <v/>
      </c>
      <c r="Z314" s="189"/>
    </row>
    <row r="315" spans="1:26" ht="12.75">
      <c r="A315" s="189" t="str">
        <f ca="1">IFERROR(__xludf.DUMMYFUNCTION("""COMPUTED_VALUE"""),"")</f>
        <v/>
      </c>
      <c r="B315" s="189" t="str">
        <f ca="1">IFERROR(__xludf.DUMMYFUNCTION("""COMPUTED_VALUE"""),"")</f>
        <v/>
      </c>
      <c r="C315" s="189" t="str">
        <f ca="1">IFERROR(__xludf.DUMMYFUNCTION("""COMPUTED_VALUE"""),"")</f>
        <v/>
      </c>
      <c r="D315" s="189" t="str">
        <f ca="1">IFERROR(__xludf.DUMMYFUNCTION("""COMPUTED_VALUE"""),"")</f>
        <v/>
      </c>
      <c r="E315" s="189" t="str">
        <f ca="1">IFERROR(__xludf.DUMMYFUNCTION("""COMPUTED_VALUE"""),"")</f>
        <v/>
      </c>
      <c r="F315" s="189" t="str">
        <f ca="1">IFERROR(__xludf.DUMMYFUNCTION("""COMPUTED_VALUE"""),"")</f>
        <v/>
      </c>
      <c r="G315" s="189" t="str">
        <f ca="1">IFERROR(__xludf.DUMMYFUNCTION("""COMPUTED_VALUE"""),"")</f>
        <v/>
      </c>
      <c r="H315" s="189" t="str">
        <f ca="1">IFERROR(__xludf.DUMMYFUNCTION("""COMPUTED_VALUE"""),"")</f>
        <v/>
      </c>
      <c r="I315" s="120" t="str">
        <f ca="1">IFERROR(__xludf.DUMMYFUNCTION("""COMPUTED_VALUE"""),"")</f>
        <v/>
      </c>
      <c r="J315" s="189" t="str">
        <f ca="1">IFERROR(__xludf.DUMMYFUNCTION("""COMPUTED_VALUE"""),"")</f>
        <v/>
      </c>
      <c r="K315" s="189" t="str">
        <f ca="1">IFERROR(__xludf.DUMMYFUNCTION("""COMPUTED_VALUE"""),"")</f>
        <v/>
      </c>
      <c r="L315" s="189" t="str">
        <f ca="1">IFERROR(__xludf.DUMMYFUNCTION("""COMPUTED_VALUE"""),"")</f>
        <v/>
      </c>
      <c r="M315" s="189" t="str">
        <f ca="1">IFERROR(__xludf.DUMMYFUNCTION("""COMPUTED_VALUE"""),"")</f>
        <v/>
      </c>
      <c r="N315" s="189" t="str">
        <f ca="1">IFERROR(__xludf.DUMMYFUNCTION("""COMPUTED_VALUE"""),"")</f>
        <v/>
      </c>
      <c r="O315" s="189" t="str">
        <f ca="1">IFERROR(__xludf.DUMMYFUNCTION("""COMPUTED_VALUE"""),"")</f>
        <v/>
      </c>
      <c r="P315" s="189" t="str">
        <f ca="1">IFERROR(__xludf.DUMMYFUNCTION("""COMPUTED_VALUE"""),"")</f>
        <v/>
      </c>
      <c r="Q315" s="189" t="str">
        <f ca="1">IFERROR(__xludf.DUMMYFUNCTION("""COMPUTED_VALUE"""),"")</f>
        <v/>
      </c>
      <c r="R315" s="189" t="str">
        <f ca="1">IFERROR(__xludf.DUMMYFUNCTION("""COMPUTED_VALUE"""),"")</f>
        <v/>
      </c>
      <c r="S315" s="189" t="str">
        <f ca="1">IFERROR(__xludf.DUMMYFUNCTION("""COMPUTED_VALUE"""),"")</f>
        <v/>
      </c>
      <c r="T315" s="189" t="str">
        <f ca="1">IFERROR(__xludf.DUMMYFUNCTION("""COMPUTED_VALUE"""),"")</f>
        <v/>
      </c>
      <c r="U315" s="189" t="str">
        <f ca="1">IFERROR(__xludf.DUMMYFUNCTION("""COMPUTED_VALUE"""),"")</f>
        <v/>
      </c>
      <c r="V315" s="189" t="str">
        <f ca="1">IFERROR(__xludf.DUMMYFUNCTION("""COMPUTED_VALUE"""),"")</f>
        <v/>
      </c>
      <c r="W315" s="189" t="str">
        <f ca="1">IFERROR(__xludf.DUMMYFUNCTION("""COMPUTED_VALUE"""),"")</f>
        <v/>
      </c>
      <c r="X315" s="189" t="str">
        <f ca="1">IFERROR(__xludf.DUMMYFUNCTION("""COMPUTED_VALUE"""),"")</f>
        <v/>
      </c>
      <c r="Y315" s="189" t="str">
        <f ca="1">IFERROR(__xludf.DUMMYFUNCTION("""COMPUTED_VALUE"""),"")</f>
        <v/>
      </c>
      <c r="Z315" s="189"/>
    </row>
    <row r="316" spans="1:26" ht="12.75">
      <c r="A316" s="189" t="str">
        <f ca="1">IFERROR(__xludf.DUMMYFUNCTION("""COMPUTED_VALUE"""),"")</f>
        <v/>
      </c>
      <c r="B316" s="189" t="str">
        <f ca="1">IFERROR(__xludf.DUMMYFUNCTION("""COMPUTED_VALUE"""),"")</f>
        <v/>
      </c>
      <c r="C316" s="189" t="str">
        <f ca="1">IFERROR(__xludf.DUMMYFUNCTION("""COMPUTED_VALUE"""),"")</f>
        <v/>
      </c>
      <c r="D316" s="189" t="str">
        <f ca="1">IFERROR(__xludf.DUMMYFUNCTION("""COMPUTED_VALUE"""),"")</f>
        <v/>
      </c>
      <c r="E316" s="189" t="str">
        <f ca="1">IFERROR(__xludf.DUMMYFUNCTION("""COMPUTED_VALUE"""),"")</f>
        <v/>
      </c>
      <c r="F316" s="189" t="str">
        <f ca="1">IFERROR(__xludf.DUMMYFUNCTION("""COMPUTED_VALUE"""),"")</f>
        <v/>
      </c>
      <c r="G316" s="189" t="str">
        <f ca="1">IFERROR(__xludf.DUMMYFUNCTION("""COMPUTED_VALUE"""),"")</f>
        <v/>
      </c>
      <c r="H316" s="189" t="str">
        <f ca="1">IFERROR(__xludf.DUMMYFUNCTION("""COMPUTED_VALUE"""),"")</f>
        <v/>
      </c>
      <c r="I316" s="120" t="str">
        <f ca="1">IFERROR(__xludf.DUMMYFUNCTION("""COMPUTED_VALUE"""),"")</f>
        <v/>
      </c>
      <c r="J316" s="189" t="str">
        <f ca="1">IFERROR(__xludf.DUMMYFUNCTION("""COMPUTED_VALUE"""),"")</f>
        <v/>
      </c>
      <c r="K316" s="189" t="str">
        <f ca="1">IFERROR(__xludf.DUMMYFUNCTION("""COMPUTED_VALUE"""),"")</f>
        <v/>
      </c>
      <c r="L316" s="189" t="str">
        <f ca="1">IFERROR(__xludf.DUMMYFUNCTION("""COMPUTED_VALUE"""),"")</f>
        <v/>
      </c>
      <c r="M316" s="189" t="str">
        <f ca="1">IFERROR(__xludf.DUMMYFUNCTION("""COMPUTED_VALUE"""),"")</f>
        <v/>
      </c>
      <c r="N316" s="189" t="str">
        <f ca="1">IFERROR(__xludf.DUMMYFUNCTION("""COMPUTED_VALUE"""),"")</f>
        <v/>
      </c>
      <c r="O316" s="189" t="str">
        <f ca="1">IFERROR(__xludf.DUMMYFUNCTION("""COMPUTED_VALUE"""),"")</f>
        <v/>
      </c>
      <c r="P316" s="189" t="str">
        <f ca="1">IFERROR(__xludf.DUMMYFUNCTION("""COMPUTED_VALUE"""),"")</f>
        <v/>
      </c>
      <c r="Q316" s="189" t="str">
        <f ca="1">IFERROR(__xludf.DUMMYFUNCTION("""COMPUTED_VALUE"""),"")</f>
        <v/>
      </c>
      <c r="R316" s="189" t="str">
        <f ca="1">IFERROR(__xludf.DUMMYFUNCTION("""COMPUTED_VALUE"""),"")</f>
        <v/>
      </c>
      <c r="S316" s="189" t="str">
        <f ca="1">IFERROR(__xludf.DUMMYFUNCTION("""COMPUTED_VALUE"""),"")</f>
        <v/>
      </c>
      <c r="T316" s="189" t="str">
        <f ca="1">IFERROR(__xludf.DUMMYFUNCTION("""COMPUTED_VALUE"""),"")</f>
        <v/>
      </c>
      <c r="U316" s="189" t="str">
        <f ca="1">IFERROR(__xludf.DUMMYFUNCTION("""COMPUTED_VALUE"""),"")</f>
        <v/>
      </c>
      <c r="V316" s="189" t="str">
        <f ca="1">IFERROR(__xludf.DUMMYFUNCTION("""COMPUTED_VALUE"""),"")</f>
        <v/>
      </c>
      <c r="W316" s="189" t="str">
        <f ca="1">IFERROR(__xludf.DUMMYFUNCTION("""COMPUTED_VALUE"""),"")</f>
        <v/>
      </c>
      <c r="X316" s="189" t="str">
        <f ca="1">IFERROR(__xludf.DUMMYFUNCTION("""COMPUTED_VALUE"""),"")</f>
        <v/>
      </c>
      <c r="Y316" s="189" t="str">
        <f ca="1">IFERROR(__xludf.DUMMYFUNCTION("""COMPUTED_VALUE"""),"")</f>
        <v/>
      </c>
      <c r="Z316" s="189"/>
    </row>
    <row r="317" spans="1:26" ht="12.75">
      <c r="A317" s="189" t="str">
        <f ca="1">IFERROR(__xludf.DUMMYFUNCTION("""COMPUTED_VALUE"""),"")</f>
        <v/>
      </c>
      <c r="B317" s="189" t="str">
        <f ca="1">IFERROR(__xludf.DUMMYFUNCTION("""COMPUTED_VALUE"""),"")</f>
        <v/>
      </c>
      <c r="C317" s="189" t="str">
        <f ca="1">IFERROR(__xludf.DUMMYFUNCTION("""COMPUTED_VALUE"""),"")</f>
        <v/>
      </c>
      <c r="D317" s="189" t="str">
        <f ca="1">IFERROR(__xludf.DUMMYFUNCTION("""COMPUTED_VALUE"""),"")</f>
        <v/>
      </c>
      <c r="E317" s="189" t="str">
        <f ca="1">IFERROR(__xludf.DUMMYFUNCTION("""COMPUTED_VALUE"""),"")</f>
        <v/>
      </c>
      <c r="F317" s="189" t="str">
        <f ca="1">IFERROR(__xludf.DUMMYFUNCTION("""COMPUTED_VALUE"""),"")</f>
        <v/>
      </c>
      <c r="G317" s="189" t="str">
        <f ca="1">IFERROR(__xludf.DUMMYFUNCTION("""COMPUTED_VALUE"""),"")</f>
        <v/>
      </c>
      <c r="H317" s="189" t="str">
        <f ca="1">IFERROR(__xludf.DUMMYFUNCTION("""COMPUTED_VALUE"""),"")</f>
        <v/>
      </c>
      <c r="I317" s="120" t="str">
        <f ca="1">IFERROR(__xludf.DUMMYFUNCTION("""COMPUTED_VALUE"""),"")</f>
        <v/>
      </c>
      <c r="J317" s="189" t="str">
        <f ca="1">IFERROR(__xludf.DUMMYFUNCTION("""COMPUTED_VALUE"""),"")</f>
        <v/>
      </c>
      <c r="K317" s="189" t="str">
        <f ca="1">IFERROR(__xludf.DUMMYFUNCTION("""COMPUTED_VALUE"""),"")</f>
        <v/>
      </c>
      <c r="L317" s="189" t="str">
        <f ca="1">IFERROR(__xludf.DUMMYFUNCTION("""COMPUTED_VALUE"""),"")</f>
        <v/>
      </c>
      <c r="M317" s="189" t="str">
        <f ca="1">IFERROR(__xludf.DUMMYFUNCTION("""COMPUTED_VALUE"""),"")</f>
        <v/>
      </c>
      <c r="N317" s="189" t="str">
        <f ca="1">IFERROR(__xludf.DUMMYFUNCTION("""COMPUTED_VALUE"""),"")</f>
        <v/>
      </c>
      <c r="O317" s="189" t="str">
        <f ca="1">IFERROR(__xludf.DUMMYFUNCTION("""COMPUTED_VALUE"""),"")</f>
        <v/>
      </c>
      <c r="P317" s="189" t="str">
        <f ca="1">IFERROR(__xludf.DUMMYFUNCTION("""COMPUTED_VALUE"""),"")</f>
        <v/>
      </c>
      <c r="Q317" s="189" t="str">
        <f ca="1">IFERROR(__xludf.DUMMYFUNCTION("""COMPUTED_VALUE"""),"")</f>
        <v/>
      </c>
      <c r="R317" s="189" t="str">
        <f ca="1">IFERROR(__xludf.DUMMYFUNCTION("""COMPUTED_VALUE"""),"")</f>
        <v/>
      </c>
      <c r="S317" s="189" t="str">
        <f ca="1">IFERROR(__xludf.DUMMYFUNCTION("""COMPUTED_VALUE"""),"")</f>
        <v/>
      </c>
      <c r="T317" s="189" t="str">
        <f ca="1">IFERROR(__xludf.DUMMYFUNCTION("""COMPUTED_VALUE"""),"")</f>
        <v/>
      </c>
      <c r="U317" s="189" t="str">
        <f ca="1">IFERROR(__xludf.DUMMYFUNCTION("""COMPUTED_VALUE"""),"")</f>
        <v/>
      </c>
      <c r="V317" s="189" t="str">
        <f ca="1">IFERROR(__xludf.DUMMYFUNCTION("""COMPUTED_VALUE"""),"")</f>
        <v/>
      </c>
      <c r="W317" s="189" t="str">
        <f ca="1">IFERROR(__xludf.DUMMYFUNCTION("""COMPUTED_VALUE"""),"")</f>
        <v/>
      </c>
      <c r="X317" s="189" t="str">
        <f ca="1">IFERROR(__xludf.DUMMYFUNCTION("""COMPUTED_VALUE"""),"")</f>
        <v/>
      </c>
      <c r="Y317" s="189" t="str">
        <f ca="1">IFERROR(__xludf.DUMMYFUNCTION("""COMPUTED_VALUE"""),"")</f>
        <v/>
      </c>
      <c r="Z317" s="189"/>
    </row>
    <row r="318" spans="1:26" ht="12.75">
      <c r="A318" s="189" t="str">
        <f ca="1">IFERROR(__xludf.DUMMYFUNCTION("""COMPUTED_VALUE"""),"")</f>
        <v/>
      </c>
      <c r="B318" s="189" t="str">
        <f ca="1">IFERROR(__xludf.DUMMYFUNCTION("""COMPUTED_VALUE"""),"")</f>
        <v/>
      </c>
      <c r="C318" s="189" t="str">
        <f ca="1">IFERROR(__xludf.DUMMYFUNCTION("""COMPUTED_VALUE"""),"")</f>
        <v/>
      </c>
      <c r="D318" s="189" t="str">
        <f ca="1">IFERROR(__xludf.DUMMYFUNCTION("""COMPUTED_VALUE"""),"")</f>
        <v/>
      </c>
      <c r="E318" s="189" t="str">
        <f ca="1">IFERROR(__xludf.DUMMYFUNCTION("""COMPUTED_VALUE"""),"")</f>
        <v/>
      </c>
      <c r="F318" s="189" t="str">
        <f ca="1">IFERROR(__xludf.DUMMYFUNCTION("""COMPUTED_VALUE"""),"")</f>
        <v/>
      </c>
      <c r="G318" s="189" t="str">
        <f ca="1">IFERROR(__xludf.DUMMYFUNCTION("""COMPUTED_VALUE"""),"")</f>
        <v/>
      </c>
      <c r="H318" s="189" t="str">
        <f ca="1">IFERROR(__xludf.DUMMYFUNCTION("""COMPUTED_VALUE"""),"")</f>
        <v/>
      </c>
      <c r="I318" s="120" t="str">
        <f ca="1">IFERROR(__xludf.DUMMYFUNCTION("""COMPUTED_VALUE"""),"")</f>
        <v/>
      </c>
      <c r="J318" s="189" t="str">
        <f ca="1">IFERROR(__xludf.DUMMYFUNCTION("""COMPUTED_VALUE"""),"")</f>
        <v/>
      </c>
      <c r="K318" s="189" t="str">
        <f ca="1">IFERROR(__xludf.DUMMYFUNCTION("""COMPUTED_VALUE"""),"")</f>
        <v/>
      </c>
      <c r="L318" s="189" t="str">
        <f ca="1">IFERROR(__xludf.DUMMYFUNCTION("""COMPUTED_VALUE"""),"")</f>
        <v/>
      </c>
      <c r="M318" s="189" t="str">
        <f ca="1">IFERROR(__xludf.DUMMYFUNCTION("""COMPUTED_VALUE"""),"")</f>
        <v/>
      </c>
      <c r="N318" s="189" t="str">
        <f ca="1">IFERROR(__xludf.DUMMYFUNCTION("""COMPUTED_VALUE"""),"")</f>
        <v/>
      </c>
      <c r="O318" s="189" t="str">
        <f ca="1">IFERROR(__xludf.DUMMYFUNCTION("""COMPUTED_VALUE"""),"")</f>
        <v/>
      </c>
      <c r="P318" s="189" t="str">
        <f ca="1">IFERROR(__xludf.DUMMYFUNCTION("""COMPUTED_VALUE"""),"")</f>
        <v/>
      </c>
      <c r="Q318" s="189" t="str">
        <f ca="1">IFERROR(__xludf.DUMMYFUNCTION("""COMPUTED_VALUE"""),"")</f>
        <v/>
      </c>
      <c r="R318" s="189" t="str">
        <f ca="1">IFERROR(__xludf.DUMMYFUNCTION("""COMPUTED_VALUE"""),"")</f>
        <v/>
      </c>
      <c r="S318" s="189" t="str">
        <f ca="1">IFERROR(__xludf.DUMMYFUNCTION("""COMPUTED_VALUE"""),"")</f>
        <v/>
      </c>
      <c r="T318" s="189" t="str">
        <f ca="1">IFERROR(__xludf.DUMMYFUNCTION("""COMPUTED_VALUE"""),"")</f>
        <v/>
      </c>
      <c r="U318" s="189" t="str">
        <f ca="1">IFERROR(__xludf.DUMMYFUNCTION("""COMPUTED_VALUE"""),"")</f>
        <v/>
      </c>
      <c r="V318" s="189" t="str">
        <f ca="1">IFERROR(__xludf.DUMMYFUNCTION("""COMPUTED_VALUE"""),"")</f>
        <v/>
      </c>
      <c r="W318" s="189" t="str">
        <f ca="1">IFERROR(__xludf.DUMMYFUNCTION("""COMPUTED_VALUE"""),"")</f>
        <v/>
      </c>
      <c r="X318" s="189" t="str">
        <f ca="1">IFERROR(__xludf.DUMMYFUNCTION("""COMPUTED_VALUE"""),"")</f>
        <v/>
      </c>
      <c r="Y318" s="189" t="str">
        <f ca="1">IFERROR(__xludf.DUMMYFUNCTION("""COMPUTED_VALUE"""),"")</f>
        <v/>
      </c>
      <c r="Z318" s="189"/>
    </row>
    <row r="319" spans="1:26" ht="12.75">
      <c r="A319" s="189" t="str">
        <f ca="1">IFERROR(__xludf.DUMMYFUNCTION("""COMPUTED_VALUE"""),"")</f>
        <v/>
      </c>
      <c r="B319" s="189" t="str">
        <f ca="1">IFERROR(__xludf.DUMMYFUNCTION("""COMPUTED_VALUE"""),"")</f>
        <v/>
      </c>
      <c r="C319" s="189" t="str">
        <f ca="1">IFERROR(__xludf.DUMMYFUNCTION("""COMPUTED_VALUE"""),"")</f>
        <v/>
      </c>
      <c r="D319" s="189" t="str">
        <f ca="1">IFERROR(__xludf.DUMMYFUNCTION("""COMPUTED_VALUE"""),"")</f>
        <v/>
      </c>
      <c r="E319" s="189" t="str">
        <f ca="1">IFERROR(__xludf.DUMMYFUNCTION("""COMPUTED_VALUE"""),"")</f>
        <v/>
      </c>
      <c r="F319" s="189" t="str">
        <f ca="1">IFERROR(__xludf.DUMMYFUNCTION("""COMPUTED_VALUE"""),"")</f>
        <v/>
      </c>
      <c r="G319" s="189" t="str">
        <f ca="1">IFERROR(__xludf.DUMMYFUNCTION("""COMPUTED_VALUE"""),"")</f>
        <v/>
      </c>
      <c r="H319" s="189" t="str">
        <f ca="1">IFERROR(__xludf.DUMMYFUNCTION("""COMPUTED_VALUE"""),"")</f>
        <v/>
      </c>
      <c r="I319" s="120" t="str">
        <f ca="1">IFERROR(__xludf.DUMMYFUNCTION("""COMPUTED_VALUE"""),"")</f>
        <v/>
      </c>
      <c r="J319" s="189" t="str">
        <f ca="1">IFERROR(__xludf.DUMMYFUNCTION("""COMPUTED_VALUE"""),"")</f>
        <v/>
      </c>
      <c r="K319" s="189" t="str">
        <f ca="1">IFERROR(__xludf.DUMMYFUNCTION("""COMPUTED_VALUE"""),"")</f>
        <v/>
      </c>
      <c r="L319" s="189" t="str">
        <f ca="1">IFERROR(__xludf.DUMMYFUNCTION("""COMPUTED_VALUE"""),"")</f>
        <v/>
      </c>
      <c r="M319" s="189" t="str">
        <f ca="1">IFERROR(__xludf.DUMMYFUNCTION("""COMPUTED_VALUE"""),"")</f>
        <v/>
      </c>
      <c r="N319" s="189" t="str">
        <f ca="1">IFERROR(__xludf.DUMMYFUNCTION("""COMPUTED_VALUE"""),"")</f>
        <v/>
      </c>
      <c r="O319" s="189" t="str">
        <f ca="1">IFERROR(__xludf.DUMMYFUNCTION("""COMPUTED_VALUE"""),"")</f>
        <v/>
      </c>
      <c r="P319" s="189" t="str">
        <f ca="1">IFERROR(__xludf.DUMMYFUNCTION("""COMPUTED_VALUE"""),"")</f>
        <v/>
      </c>
      <c r="Q319" s="189" t="str">
        <f ca="1">IFERROR(__xludf.DUMMYFUNCTION("""COMPUTED_VALUE"""),"")</f>
        <v/>
      </c>
      <c r="R319" s="189" t="str">
        <f ca="1">IFERROR(__xludf.DUMMYFUNCTION("""COMPUTED_VALUE"""),"")</f>
        <v/>
      </c>
      <c r="S319" s="189" t="str">
        <f ca="1">IFERROR(__xludf.DUMMYFUNCTION("""COMPUTED_VALUE"""),"")</f>
        <v/>
      </c>
      <c r="T319" s="189" t="str">
        <f ca="1">IFERROR(__xludf.DUMMYFUNCTION("""COMPUTED_VALUE"""),"")</f>
        <v/>
      </c>
      <c r="U319" s="189" t="str">
        <f ca="1">IFERROR(__xludf.DUMMYFUNCTION("""COMPUTED_VALUE"""),"")</f>
        <v/>
      </c>
      <c r="V319" s="189" t="str">
        <f ca="1">IFERROR(__xludf.DUMMYFUNCTION("""COMPUTED_VALUE"""),"")</f>
        <v/>
      </c>
      <c r="W319" s="189" t="str">
        <f ca="1">IFERROR(__xludf.DUMMYFUNCTION("""COMPUTED_VALUE"""),"")</f>
        <v/>
      </c>
      <c r="X319" s="189" t="str">
        <f ca="1">IFERROR(__xludf.DUMMYFUNCTION("""COMPUTED_VALUE"""),"")</f>
        <v/>
      </c>
      <c r="Y319" s="189" t="str">
        <f ca="1">IFERROR(__xludf.DUMMYFUNCTION("""COMPUTED_VALUE"""),"")</f>
        <v/>
      </c>
      <c r="Z319" s="189"/>
    </row>
    <row r="320" spans="1:26" ht="12.75">
      <c r="A320" s="189" t="str">
        <f ca="1">IFERROR(__xludf.DUMMYFUNCTION("""COMPUTED_VALUE"""),"")</f>
        <v/>
      </c>
      <c r="B320" s="189" t="str">
        <f ca="1">IFERROR(__xludf.DUMMYFUNCTION("""COMPUTED_VALUE"""),"")</f>
        <v/>
      </c>
      <c r="C320" s="189" t="str">
        <f ca="1">IFERROR(__xludf.DUMMYFUNCTION("""COMPUTED_VALUE"""),"")</f>
        <v/>
      </c>
      <c r="D320" s="189" t="str">
        <f ca="1">IFERROR(__xludf.DUMMYFUNCTION("""COMPUTED_VALUE"""),"")</f>
        <v/>
      </c>
      <c r="E320" s="189" t="str">
        <f ca="1">IFERROR(__xludf.DUMMYFUNCTION("""COMPUTED_VALUE"""),"")</f>
        <v/>
      </c>
      <c r="F320" s="189" t="str">
        <f ca="1">IFERROR(__xludf.DUMMYFUNCTION("""COMPUTED_VALUE"""),"")</f>
        <v/>
      </c>
      <c r="G320" s="189" t="str">
        <f ca="1">IFERROR(__xludf.DUMMYFUNCTION("""COMPUTED_VALUE"""),"")</f>
        <v/>
      </c>
      <c r="H320" s="189" t="str">
        <f ca="1">IFERROR(__xludf.DUMMYFUNCTION("""COMPUTED_VALUE"""),"")</f>
        <v/>
      </c>
      <c r="I320" s="120" t="str">
        <f ca="1">IFERROR(__xludf.DUMMYFUNCTION("""COMPUTED_VALUE"""),"")</f>
        <v/>
      </c>
      <c r="J320" s="189" t="str">
        <f ca="1">IFERROR(__xludf.DUMMYFUNCTION("""COMPUTED_VALUE"""),"")</f>
        <v/>
      </c>
      <c r="K320" s="189" t="str">
        <f ca="1">IFERROR(__xludf.DUMMYFUNCTION("""COMPUTED_VALUE"""),"")</f>
        <v/>
      </c>
      <c r="L320" s="189" t="str">
        <f ca="1">IFERROR(__xludf.DUMMYFUNCTION("""COMPUTED_VALUE"""),"")</f>
        <v/>
      </c>
      <c r="M320" s="189" t="str">
        <f ca="1">IFERROR(__xludf.DUMMYFUNCTION("""COMPUTED_VALUE"""),"")</f>
        <v/>
      </c>
      <c r="N320" s="189" t="str">
        <f ca="1">IFERROR(__xludf.DUMMYFUNCTION("""COMPUTED_VALUE"""),"")</f>
        <v/>
      </c>
      <c r="O320" s="189" t="str">
        <f ca="1">IFERROR(__xludf.DUMMYFUNCTION("""COMPUTED_VALUE"""),"")</f>
        <v/>
      </c>
      <c r="P320" s="189" t="str">
        <f ca="1">IFERROR(__xludf.DUMMYFUNCTION("""COMPUTED_VALUE"""),"")</f>
        <v/>
      </c>
      <c r="Q320" s="189" t="str">
        <f ca="1">IFERROR(__xludf.DUMMYFUNCTION("""COMPUTED_VALUE"""),"")</f>
        <v/>
      </c>
      <c r="R320" s="189" t="str">
        <f ca="1">IFERROR(__xludf.DUMMYFUNCTION("""COMPUTED_VALUE"""),"")</f>
        <v/>
      </c>
      <c r="S320" s="189" t="str">
        <f ca="1">IFERROR(__xludf.DUMMYFUNCTION("""COMPUTED_VALUE"""),"")</f>
        <v/>
      </c>
      <c r="T320" s="189" t="str">
        <f ca="1">IFERROR(__xludf.DUMMYFUNCTION("""COMPUTED_VALUE"""),"")</f>
        <v/>
      </c>
      <c r="U320" s="189" t="str">
        <f ca="1">IFERROR(__xludf.DUMMYFUNCTION("""COMPUTED_VALUE"""),"")</f>
        <v/>
      </c>
      <c r="V320" s="189" t="str">
        <f ca="1">IFERROR(__xludf.DUMMYFUNCTION("""COMPUTED_VALUE"""),"")</f>
        <v/>
      </c>
      <c r="W320" s="189" t="str">
        <f ca="1">IFERROR(__xludf.DUMMYFUNCTION("""COMPUTED_VALUE"""),"")</f>
        <v/>
      </c>
      <c r="X320" s="189" t="str">
        <f ca="1">IFERROR(__xludf.DUMMYFUNCTION("""COMPUTED_VALUE"""),"")</f>
        <v/>
      </c>
      <c r="Y320" s="189" t="str">
        <f ca="1">IFERROR(__xludf.DUMMYFUNCTION("""COMPUTED_VALUE"""),"")</f>
        <v/>
      </c>
      <c r="Z320" s="189"/>
    </row>
    <row r="321" spans="1:26" ht="12.75">
      <c r="A321" s="189" t="str">
        <f ca="1">IFERROR(__xludf.DUMMYFUNCTION("""COMPUTED_VALUE"""),"")</f>
        <v/>
      </c>
      <c r="B321" s="189" t="str">
        <f ca="1">IFERROR(__xludf.DUMMYFUNCTION("""COMPUTED_VALUE"""),"")</f>
        <v/>
      </c>
      <c r="C321" s="189" t="str">
        <f ca="1">IFERROR(__xludf.DUMMYFUNCTION("""COMPUTED_VALUE"""),"")</f>
        <v/>
      </c>
      <c r="D321" s="189" t="str">
        <f ca="1">IFERROR(__xludf.DUMMYFUNCTION("""COMPUTED_VALUE"""),"")</f>
        <v/>
      </c>
      <c r="E321" s="189" t="str">
        <f ca="1">IFERROR(__xludf.DUMMYFUNCTION("""COMPUTED_VALUE"""),"")</f>
        <v/>
      </c>
      <c r="F321" s="189" t="str">
        <f ca="1">IFERROR(__xludf.DUMMYFUNCTION("""COMPUTED_VALUE"""),"")</f>
        <v/>
      </c>
      <c r="G321" s="189" t="str">
        <f ca="1">IFERROR(__xludf.DUMMYFUNCTION("""COMPUTED_VALUE"""),"")</f>
        <v/>
      </c>
      <c r="H321" s="189" t="str">
        <f ca="1">IFERROR(__xludf.DUMMYFUNCTION("""COMPUTED_VALUE"""),"")</f>
        <v/>
      </c>
      <c r="I321" s="120" t="str">
        <f ca="1">IFERROR(__xludf.DUMMYFUNCTION("""COMPUTED_VALUE"""),"")</f>
        <v/>
      </c>
      <c r="J321" s="189" t="str">
        <f ca="1">IFERROR(__xludf.DUMMYFUNCTION("""COMPUTED_VALUE"""),"")</f>
        <v/>
      </c>
      <c r="K321" s="189" t="str">
        <f ca="1">IFERROR(__xludf.DUMMYFUNCTION("""COMPUTED_VALUE"""),"")</f>
        <v/>
      </c>
      <c r="L321" s="189" t="str">
        <f ca="1">IFERROR(__xludf.DUMMYFUNCTION("""COMPUTED_VALUE"""),"")</f>
        <v/>
      </c>
      <c r="M321" s="189" t="str">
        <f ca="1">IFERROR(__xludf.DUMMYFUNCTION("""COMPUTED_VALUE"""),"")</f>
        <v/>
      </c>
      <c r="N321" s="189" t="str">
        <f ca="1">IFERROR(__xludf.DUMMYFUNCTION("""COMPUTED_VALUE"""),"")</f>
        <v/>
      </c>
      <c r="O321" s="189" t="str">
        <f ca="1">IFERROR(__xludf.DUMMYFUNCTION("""COMPUTED_VALUE"""),"")</f>
        <v/>
      </c>
      <c r="P321" s="189" t="str">
        <f ca="1">IFERROR(__xludf.DUMMYFUNCTION("""COMPUTED_VALUE"""),"")</f>
        <v/>
      </c>
      <c r="Q321" s="189" t="str">
        <f ca="1">IFERROR(__xludf.DUMMYFUNCTION("""COMPUTED_VALUE"""),"")</f>
        <v/>
      </c>
      <c r="R321" s="189" t="str">
        <f ca="1">IFERROR(__xludf.DUMMYFUNCTION("""COMPUTED_VALUE"""),"")</f>
        <v/>
      </c>
      <c r="S321" s="189" t="str">
        <f ca="1">IFERROR(__xludf.DUMMYFUNCTION("""COMPUTED_VALUE"""),"")</f>
        <v/>
      </c>
      <c r="T321" s="189" t="str">
        <f ca="1">IFERROR(__xludf.DUMMYFUNCTION("""COMPUTED_VALUE"""),"")</f>
        <v/>
      </c>
      <c r="U321" s="189" t="str">
        <f ca="1">IFERROR(__xludf.DUMMYFUNCTION("""COMPUTED_VALUE"""),"")</f>
        <v/>
      </c>
      <c r="V321" s="189" t="str">
        <f ca="1">IFERROR(__xludf.DUMMYFUNCTION("""COMPUTED_VALUE"""),"")</f>
        <v/>
      </c>
      <c r="W321" s="189" t="str">
        <f ca="1">IFERROR(__xludf.DUMMYFUNCTION("""COMPUTED_VALUE"""),"")</f>
        <v/>
      </c>
      <c r="X321" s="189" t="str">
        <f ca="1">IFERROR(__xludf.DUMMYFUNCTION("""COMPUTED_VALUE"""),"")</f>
        <v/>
      </c>
      <c r="Y321" s="189" t="str">
        <f ca="1">IFERROR(__xludf.DUMMYFUNCTION("""COMPUTED_VALUE"""),"")</f>
        <v/>
      </c>
      <c r="Z321" s="189"/>
    </row>
    <row r="322" spans="1:26" ht="12.75">
      <c r="A322" s="189" t="str">
        <f ca="1">IFERROR(__xludf.DUMMYFUNCTION("""COMPUTED_VALUE"""),"")</f>
        <v/>
      </c>
      <c r="B322" s="189" t="str">
        <f ca="1">IFERROR(__xludf.DUMMYFUNCTION("""COMPUTED_VALUE"""),"")</f>
        <v/>
      </c>
      <c r="C322" s="189" t="str">
        <f ca="1">IFERROR(__xludf.DUMMYFUNCTION("""COMPUTED_VALUE"""),"")</f>
        <v/>
      </c>
      <c r="D322" s="189" t="str">
        <f ca="1">IFERROR(__xludf.DUMMYFUNCTION("""COMPUTED_VALUE"""),"")</f>
        <v/>
      </c>
      <c r="E322" s="189" t="str">
        <f ca="1">IFERROR(__xludf.DUMMYFUNCTION("""COMPUTED_VALUE"""),"")</f>
        <v/>
      </c>
      <c r="F322" s="189" t="str">
        <f ca="1">IFERROR(__xludf.DUMMYFUNCTION("""COMPUTED_VALUE"""),"")</f>
        <v/>
      </c>
      <c r="G322" s="189" t="str">
        <f ca="1">IFERROR(__xludf.DUMMYFUNCTION("""COMPUTED_VALUE"""),"")</f>
        <v/>
      </c>
      <c r="H322" s="189" t="str">
        <f ca="1">IFERROR(__xludf.DUMMYFUNCTION("""COMPUTED_VALUE"""),"")</f>
        <v/>
      </c>
      <c r="I322" s="120" t="str">
        <f ca="1">IFERROR(__xludf.DUMMYFUNCTION("""COMPUTED_VALUE"""),"")</f>
        <v/>
      </c>
      <c r="J322" s="189" t="str">
        <f ca="1">IFERROR(__xludf.DUMMYFUNCTION("""COMPUTED_VALUE"""),"")</f>
        <v/>
      </c>
      <c r="K322" s="189" t="str">
        <f ca="1">IFERROR(__xludf.DUMMYFUNCTION("""COMPUTED_VALUE"""),"")</f>
        <v/>
      </c>
      <c r="L322" s="189" t="str">
        <f ca="1">IFERROR(__xludf.DUMMYFUNCTION("""COMPUTED_VALUE"""),"")</f>
        <v/>
      </c>
      <c r="M322" s="189" t="str">
        <f ca="1">IFERROR(__xludf.DUMMYFUNCTION("""COMPUTED_VALUE"""),"")</f>
        <v/>
      </c>
      <c r="N322" s="189" t="str">
        <f ca="1">IFERROR(__xludf.DUMMYFUNCTION("""COMPUTED_VALUE"""),"")</f>
        <v/>
      </c>
      <c r="O322" s="189" t="str">
        <f ca="1">IFERROR(__xludf.DUMMYFUNCTION("""COMPUTED_VALUE"""),"")</f>
        <v/>
      </c>
      <c r="P322" s="189" t="str">
        <f ca="1">IFERROR(__xludf.DUMMYFUNCTION("""COMPUTED_VALUE"""),"")</f>
        <v/>
      </c>
      <c r="Q322" s="189" t="str">
        <f ca="1">IFERROR(__xludf.DUMMYFUNCTION("""COMPUTED_VALUE"""),"")</f>
        <v/>
      </c>
      <c r="R322" s="189" t="str">
        <f ca="1">IFERROR(__xludf.DUMMYFUNCTION("""COMPUTED_VALUE"""),"")</f>
        <v/>
      </c>
      <c r="S322" s="189" t="str">
        <f ca="1">IFERROR(__xludf.DUMMYFUNCTION("""COMPUTED_VALUE"""),"")</f>
        <v/>
      </c>
      <c r="T322" s="189" t="str">
        <f ca="1">IFERROR(__xludf.DUMMYFUNCTION("""COMPUTED_VALUE"""),"")</f>
        <v/>
      </c>
      <c r="U322" s="189" t="str">
        <f ca="1">IFERROR(__xludf.DUMMYFUNCTION("""COMPUTED_VALUE"""),"")</f>
        <v/>
      </c>
      <c r="V322" s="189" t="str">
        <f ca="1">IFERROR(__xludf.DUMMYFUNCTION("""COMPUTED_VALUE"""),"")</f>
        <v/>
      </c>
      <c r="W322" s="189" t="str">
        <f ca="1">IFERROR(__xludf.DUMMYFUNCTION("""COMPUTED_VALUE"""),"")</f>
        <v/>
      </c>
      <c r="X322" s="189" t="str">
        <f ca="1">IFERROR(__xludf.DUMMYFUNCTION("""COMPUTED_VALUE"""),"")</f>
        <v/>
      </c>
      <c r="Y322" s="189" t="str">
        <f ca="1">IFERROR(__xludf.DUMMYFUNCTION("""COMPUTED_VALUE"""),"")</f>
        <v/>
      </c>
      <c r="Z322" s="189"/>
    </row>
    <row r="323" spans="1:26" ht="12.75">
      <c r="A323" s="189" t="str">
        <f ca="1">IFERROR(__xludf.DUMMYFUNCTION("""COMPUTED_VALUE"""),"")</f>
        <v/>
      </c>
      <c r="B323" s="189" t="str">
        <f ca="1">IFERROR(__xludf.DUMMYFUNCTION("""COMPUTED_VALUE"""),"")</f>
        <v/>
      </c>
      <c r="C323" s="189" t="str">
        <f ca="1">IFERROR(__xludf.DUMMYFUNCTION("""COMPUTED_VALUE"""),"")</f>
        <v/>
      </c>
      <c r="D323" s="189" t="str">
        <f ca="1">IFERROR(__xludf.DUMMYFUNCTION("""COMPUTED_VALUE"""),"")</f>
        <v/>
      </c>
      <c r="E323" s="189" t="str">
        <f ca="1">IFERROR(__xludf.DUMMYFUNCTION("""COMPUTED_VALUE"""),"")</f>
        <v/>
      </c>
      <c r="F323" s="189" t="str">
        <f ca="1">IFERROR(__xludf.DUMMYFUNCTION("""COMPUTED_VALUE"""),"")</f>
        <v/>
      </c>
      <c r="G323" s="189" t="str">
        <f ca="1">IFERROR(__xludf.DUMMYFUNCTION("""COMPUTED_VALUE"""),"")</f>
        <v/>
      </c>
      <c r="H323" s="189" t="str">
        <f ca="1">IFERROR(__xludf.DUMMYFUNCTION("""COMPUTED_VALUE"""),"")</f>
        <v/>
      </c>
      <c r="I323" s="120" t="str">
        <f ca="1">IFERROR(__xludf.DUMMYFUNCTION("""COMPUTED_VALUE"""),"")</f>
        <v/>
      </c>
      <c r="J323" s="189" t="str">
        <f ca="1">IFERROR(__xludf.DUMMYFUNCTION("""COMPUTED_VALUE"""),"")</f>
        <v/>
      </c>
      <c r="K323" s="189" t="str">
        <f ca="1">IFERROR(__xludf.DUMMYFUNCTION("""COMPUTED_VALUE"""),"")</f>
        <v/>
      </c>
      <c r="L323" s="189" t="str">
        <f ca="1">IFERROR(__xludf.DUMMYFUNCTION("""COMPUTED_VALUE"""),"")</f>
        <v/>
      </c>
      <c r="M323" s="189" t="str">
        <f ca="1">IFERROR(__xludf.DUMMYFUNCTION("""COMPUTED_VALUE"""),"")</f>
        <v/>
      </c>
      <c r="N323" s="189" t="str">
        <f ca="1">IFERROR(__xludf.DUMMYFUNCTION("""COMPUTED_VALUE"""),"")</f>
        <v/>
      </c>
      <c r="O323" s="189" t="str">
        <f ca="1">IFERROR(__xludf.DUMMYFUNCTION("""COMPUTED_VALUE"""),"")</f>
        <v/>
      </c>
      <c r="P323" s="189" t="str">
        <f ca="1">IFERROR(__xludf.DUMMYFUNCTION("""COMPUTED_VALUE"""),"")</f>
        <v/>
      </c>
      <c r="Q323" s="189" t="str">
        <f ca="1">IFERROR(__xludf.DUMMYFUNCTION("""COMPUTED_VALUE"""),"")</f>
        <v/>
      </c>
      <c r="R323" s="189" t="str">
        <f ca="1">IFERROR(__xludf.DUMMYFUNCTION("""COMPUTED_VALUE"""),"")</f>
        <v/>
      </c>
      <c r="S323" s="189" t="str">
        <f ca="1">IFERROR(__xludf.DUMMYFUNCTION("""COMPUTED_VALUE"""),"")</f>
        <v/>
      </c>
      <c r="T323" s="189" t="str">
        <f ca="1">IFERROR(__xludf.DUMMYFUNCTION("""COMPUTED_VALUE"""),"")</f>
        <v/>
      </c>
      <c r="U323" s="189" t="str">
        <f ca="1">IFERROR(__xludf.DUMMYFUNCTION("""COMPUTED_VALUE"""),"")</f>
        <v/>
      </c>
      <c r="V323" s="189" t="str">
        <f ca="1">IFERROR(__xludf.DUMMYFUNCTION("""COMPUTED_VALUE"""),"")</f>
        <v/>
      </c>
      <c r="W323" s="189" t="str">
        <f ca="1">IFERROR(__xludf.DUMMYFUNCTION("""COMPUTED_VALUE"""),"")</f>
        <v/>
      </c>
      <c r="X323" s="189" t="str">
        <f ca="1">IFERROR(__xludf.DUMMYFUNCTION("""COMPUTED_VALUE"""),"")</f>
        <v/>
      </c>
      <c r="Y323" s="189" t="str">
        <f ca="1">IFERROR(__xludf.DUMMYFUNCTION("""COMPUTED_VALUE"""),"")</f>
        <v/>
      </c>
      <c r="Z323" s="189"/>
    </row>
    <row r="324" spans="1:26" ht="12.75">
      <c r="A324" s="189" t="str">
        <f ca="1">IFERROR(__xludf.DUMMYFUNCTION("""COMPUTED_VALUE"""),"")</f>
        <v/>
      </c>
      <c r="B324" s="189" t="str">
        <f ca="1">IFERROR(__xludf.DUMMYFUNCTION("""COMPUTED_VALUE"""),"")</f>
        <v/>
      </c>
      <c r="C324" s="189" t="str">
        <f ca="1">IFERROR(__xludf.DUMMYFUNCTION("""COMPUTED_VALUE"""),"")</f>
        <v/>
      </c>
      <c r="D324" s="189" t="str">
        <f ca="1">IFERROR(__xludf.DUMMYFUNCTION("""COMPUTED_VALUE"""),"")</f>
        <v/>
      </c>
      <c r="E324" s="189" t="str">
        <f ca="1">IFERROR(__xludf.DUMMYFUNCTION("""COMPUTED_VALUE"""),"")</f>
        <v/>
      </c>
      <c r="F324" s="189" t="str">
        <f ca="1">IFERROR(__xludf.DUMMYFUNCTION("""COMPUTED_VALUE"""),"")</f>
        <v/>
      </c>
      <c r="G324" s="189" t="str">
        <f ca="1">IFERROR(__xludf.DUMMYFUNCTION("""COMPUTED_VALUE"""),"")</f>
        <v/>
      </c>
      <c r="H324" s="189" t="str">
        <f ca="1">IFERROR(__xludf.DUMMYFUNCTION("""COMPUTED_VALUE"""),"")</f>
        <v/>
      </c>
      <c r="I324" s="120" t="str">
        <f ca="1">IFERROR(__xludf.DUMMYFUNCTION("""COMPUTED_VALUE"""),"")</f>
        <v/>
      </c>
      <c r="J324" s="189" t="str">
        <f ca="1">IFERROR(__xludf.DUMMYFUNCTION("""COMPUTED_VALUE"""),"")</f>
        <v/>
      </c>
      <c r="K324" s="189" t="str">
        <f ca="1">IFERROR(__xludf.DUMMYFUNCTION("""COMPUTED_VALUE"""),"")</f>
        <v/>
      </c>
      <c r="L324" s="189" t="str">
        <f ca="1">IFERROR(__xludf.DUMMYFUNCTION("""COMPUTED_VALUE"""),"")</f>
        <v/>
      </c>
      <c r="M324" s="189" t="str">
        <f ca="1">IFERROR(__xludf.DUMMYFUNCTION("""COMPUTED_VALUE"""),"")</f>
        <v/>
      </c>
      <c r="N324" s="189" t="str">
        <f ca="1">IFERROR(__xludf.DUMMYFUNCTION("""COMPUTED_VALUE"""),"")</f>
        <v/>
      </c>
      <c r="O324" s="189" t="str">
        <f ca="1">IFERROR(__xludf.DUMMYFUNCTION("""COMPUTED_VALUE"""),"")</f>
        <v/>
      </c>
      <c r="P324" s="189" t="str">
        <f ca="1">IFERROR(__xludf.DUMMYFUNCTION("""COMPUTED_VALUE"""),"")</f>
        <v/>
      </c>
      <c r="Q324" s="189" t="str">
        <f ca="1">IFERROR(__xludf.DUMMYFUNCTION("""COMPUTED_VALUE"""),"")</f>
        <v/>
      </c>
      <c r="R324" s="189" t="str">
        <f ca="1">IFERROR(__xludf.DUMMYFUNCTION("""COMPUTED_VALUE"""),"")</f>
        <v/>
      </c>
      <c r="S324" s="189" t="str">
        <f ca="1">IFERROR(__xludf.DUMMYFUNCTION("""COMPUTED_VALUE"""),"")</f>
        <v/>
      </c>
      <c r="T324" s="189" t="str">
        <f ca="1">IFERROR(__xludf.DUMMYFUNCTION("""COMPUTED_VALUE"""),"")</f>
        <v/>
      </c>
      <c r="U324" s="189" t="str">
        <f ca="1">IFERROR(__xludf.DUMMYFUNCTION("""COMPUTED_VALUE"""),"")</f>
        <v/>
      </c>
      <c r="V324" s="189" t="str">
        <f ca="1">IFERROR(__xludf.DUMMYFUNCTION("""COMPUTED_VALUE"""),"")</f>
        <v/>
      </c>
      <c r="W324" s="189" t="str">
        <f ca="1">IFERROR(__xludf.DUMMYFUNCTION("""COMPUTED_VALUE"""),"")</f>
        <v/>
      </c>
      <c r="X324" s="189" t="str">
        <f ca="1">IFERROR(__xludf.DUMMYFUNCTION("""COMPUTED_VALUE"""),"")</f>
        <v/>
      </c>
      <c r="Y324" s="189" t="str">
        <f ca="1">IFERROR(__xludf.DUMMYFUNCTION("""COMPUTED_VALUE"""),"")</f>
        <v/>
      </c>
      <c r="Z324" s="189"/>
    </row>
    <row r="325" spans="1:26" ht="12.75">
      <c r="A325" s="189" t="str">
        <f ca="1">IFERROR(__xludf.DUMMYFUNCTION("""COMPUTED_VALUE"""),"")</f>
        <v/>
      </c>
      <c r="B325" s="189" t="str">
        <f ca="1">IFERROR(__xludf.DUMMYFUNCTION("""COMPUTED_VALUE"""),"")</f>
        <v/>
      </c>
      <c r="C325" s="189" t="str">
        <f ca="1">IFERROR(__xludf.DUMMYFUNCTION("""COMPUTED_VALUE"""),"")</f>
        <v/>
      </c>
      <c r="D325" s="189" t="str">
        <f ca="1">IFERROR(__xludf.DUMMYFUNCTION("""COMPUTED_VALUE"""),"")</f>
        <v/>
      </c>
      <c r="E325" s="189" t="str">
        <f ca="1">IFERROR(__xludf.DUMMYFUNCTION("""COMPUTED_VALUE"""),"")</f>
        <v/>
      </c>
      <c r="F325" s="189" t="str">
        <f ca="1">IFERROR(__xludf.DUMMYFUNCTION("""COMPUTED_VALUE"""),"")</f>
        <v/>
      </c>
      <c r="G325" s="189" t="str">
        <f ca="1">IFERROR(__xludf.DUMMYFUNCTION("""COMPUTED_VALUE"""),"")</f>
        <v/>
      </c>
      <c r="H325" s="189" t="str">
        <f ca="1">IFERROR(__xludf.DUMMYFUNCTION("""COMPUTED_VALUE"""),"")</f>
        <v/>
      </c>
      <c r="I325" s="120" t="str">
        <f ca="1">IFERROR(__xludf.DUMMYFUNCTION("""COMPUTED_VALUE"""),"")</f>
        <v/>
      </c>
      <c r="J325" s="189" t="str">
        <f ca="1">IFERROR(__xludf.DUMMYFUNCTION("""COMPUTED_VALUE"""),"")</f>
        <v/>
      </c>
      <c r="K325" s="189" t="str">
        <f ca="1">IFERROR(__xludf.DUMMYFUNCTION("""COMPUTED_VALUE"""),"")</f>
        <v/>
      </c>
      <c r="L325" s="189" t="str">
        <f ca="1">IFERROR(__xludf.DUMMYFUNCTION("""COMPUTED_VALUE"""),"")</f>
        <v/>
      </c>
      <c r="M325" s="189" t="str">
        <f ca="1">IFERROR(__xludf.DUMMYFUNCTION("""COMPUTED_VALUE"""),"")</f>
        <v/>
      </c>
      <c r="N325" s="189" t="str">
        <f ca="1">IFERROR(__xludf.DUMMYFUNCTION("""COMPUTED_VALUE"""),"")</f>
        <v/>
      </c>
      <c r="O325" s="189" t="str">
        <f ca="1">IFERROR(__xludf.DUMMYFUNCTION("""COMPUTED_VALUE"""),"")</f>
        <v/>
      </c>
      <c r="P325" s="189" t="str">
        <f ca="1">IFERROR(__xludf.DUMMYFUNCTION("""COMPUTED_VALUE"""),"")</f>
        <v/>
      </c>
      <c r="Q325" s="189" t="str">
        <f ca="1">IFERROR(__xludf.DUMMYFUNCTION("""COMPUTED_VALUE"""),"")</f>
        <v/>
      </c>
      <c r="R325" s="189" t="str">
        <f ca="1">IFERROR(__xludf.DUMMYFUNCTION("""COMPUTED_VALUE"""),"")</f>
        <v/>
      </c>
      <c r="S325" s="189" t="str">
        <f ca="1">IFERROR(__xludf.DUMMYFUNCTION("""COMPUTED_VALUE"""),"")</f>
        <v/>
      </c>
      <c r="T325" s="189" t="str">
        <f ca="1">IFERROR(__xludf.DUMMYFUNCTION("""COMPUTED_VALUE"""),"")</f>
        <v/>
      </c>
      <c r="U325" s="189" t="str">
        <f ca="1">IFERROR(__xludf.DUMMYFUNCTION("""COMPUTED_VALUE"""),"")</f>
        <v/>
      </c>
      <c r="V325" s="189" t="str">
        <f ca="1">IFERROR(__xludf.DUMMYFUNCTION("""COMPUTED_VALUE"""),"")</f>
        <v/>
      </c>
      <c r="W325" s="189" t="str">
        <f ca="1">IFERROR(__xludf.DUMMYFUNCTION("""COMPUTED_VALUE"""),"")</f>
        <v/>
      </c>
      <c r="X325" s="189" t="str">
        <f ca="1">IFERROR(__xludf.DUMMYFUNCTION("""COMPUTED_VALUE"""),"")</f>
        <v/>
      </c>
      <c r="Y325" s="189" t="str">
        <f ca="1">IFERROR(__xludf.DUMMYFUNCTION("""COMPUTED_VALUE"""),"")</f>
        <v/>
      </c>
      <c r="Z325" s="189"/>
    </row>
    <row r="326" spans="1:26" ht="12.75">
      <c r="A326" s="189" t="str">
        <f ca="1">IFERROR(__xludf.DUMMYFUNCTION("""COMPUTED_VALUE"""),"")</f>
        <v/>
      </c>
      <c r="B326" s="189" t="str">
        <f ca="1">IFERROR(__xludf.DUMMYFUNCTION("""COMPUTED_VALUE"""),"")</f>
        <v/>
      </c>
      <c r="C326" s="189" t="str">
        <f ca="1">IFERROR(__xludf.DUMMYFUNCTION("""COMPUTED_VALUE"""),"")</f>
        <v/>
      </c>
      <c r="D326" s="189" t="str">
        <f ca="1">IFERROR(__xludf.DUMMYFUNCTION("""COMPUTED_VALUE"""),"")</f>
        <v/>
      </c>
      <c r="E326" s="189" t="str">
        <f ca="1">IFERROR(__xludf.DUMMYFUNCTION("""COMPUTED_VALUE"""),"")</f>
        <v/>
      </c>
      <c r="F326" s="189" t="str">
        <f ca="1">IFERROR(__xludf.DUMMYFUNCTION("""COMPUTED_VALUE"""),"")</f>
        <v/>
      </c>
      <c r="G326" s="189" t="str">
        <f ca="1">IFERROR(__xludf.DUMMYFUNCTION("""COMPUTED_VALUE"""),"")</f>
        <v/>
      </c>
      <c r="H326" s="189" t="str">
        <f ca="1">IFERROR(__xludf.DUMMYFUNCTION("""COMPUTED_VALUE"""),"")</f>
        <v/>
      </c>
      <c r="I326" s="120" t="str">
        <f ca="1">IFERROR(__xludf.DUMMYFUNCTION("""COMPUTED_VALUE"""),"")</f>
        <v/>
      </c>
      <c r="J326" s="189" t="str">
        <f ca="1">IFERROR(__xludf.DUMMYFUNCTION("""COMPUTED_VALUE"""),"")</f>
        <v/>
      </c>
      <c r="K326" s="189" t="str">
        <f ca="1">IFERROR(__xludf.DUMMYFUNCTION("""COMPUTED_VALUE"""),"")</f>
        <v/>
      </c>
      <c r="L326" s="189" t="str">
        <f ca="1">IFERROR(__xludf.DUMMYFUNCTION("""COMPUTED_VALUE"""),"")</f>
        <v/>
      </c>
      <c r="M326" s="189" t="str">
        <f ca="1">IFERROR(__xludf.DUMMYFUNCTION("""COMPUTED_VALUE"""),"")</f>
        <v/>
      </c>
      <c r="N326" s="189" t="str">
        <f ca="1">IFERROR(__xludf.DUMMYFUNCTION("""COMPUTED_VALUE"""),"")</f>
        <v/>
      </c>
      <c r="O326" s="189" t="str">
        <f ca="1">IFERROR(__xludf.DUMMYFUNCTION("""COMPUTED_VALUE"""),"")</f>
        <v/>
      </c>
      <c r="P326" s="189" t="str">
        <f ca="1">IFERROR(__xludf.DUMMYFUNCTION("""COMPUTED_VALUE"""),"")</f>
        <v/>
      </c>
      <c r="Q326" s="189" t="str">
        <f ca="1">IFERROR(__xludf.DUMMYFUNCTION("""COMPUTED_VALUE"""),"")</f>
        <v/>
      </c>
      <c r="R326" s="189" t="str">
        <f ca="1">IFERROR(__xludf.DUMMYFUNCTION("""COMPUTED_VALUE"""),"")</f>
        <v/>
      </c>
      <c r="S326" s="189" t="str">
        <f ca="1">IFERROR(__xludf.DUMMYFUNCTION("""COMPUTED_VALUE"""),"")</f>
        <v/>
      </c>
      <c r="T326" s="189" t="str">
        <f ca="1">IFERROR(__xludf.DUMMYFUNCTION("""COMPUTED_VALUE"""),"")</f>
        <v/>
      </c>
      <c r="U326" s="189" t="str">
        <f ca="1">IFERROR(__xludf.DUMMYFUNCTION("""COMPUTED_VALUE"""),"")</f>
        <v/>
      </c>
      <c r="V326" s="189" t="str">
        <f ca="1">IFERROR(__xludf.DUMMYFUNCTION("""COMPUTED_VALUE"""),"")</f>
        <v/>
      </c>
      <c r="W326" s="189" t="str">
        <f ca="1">IFERROR(__xludf.DUMMYFUNCTION("""COMPUTED_VALUE"""),"")</f>
        <v/>
      </c>
      <c r="X326" s="189" t="str">
        <f ca="1">IFERROR(__xludf.DUMMYFUNCTION("""COMPUTED_VALUE"""),"")</f>
        <v/>
      </c>
      <c r="Y326" s="189" t="str">
        <f ca="1">IFERROR(__xludf.DUMMYFUNCTION("""COMPUTED_VALUE"""),"")</f>
        <v/>
      </c>
      <c r="Z326" s="189"/>
    </row>
    <row r="327" spans="1:26" ht="12.75">
      <c r="A327" s="189" t="str">
        <f ca="1">IFERROR(__xludf.DUMMYFUNCTION("""COMPUTED_VALUE"""),"")</f>
        <v/>
      </c>
      <c r="B327" s="189" t="str">
        <f ca="1">IFERROR(__xludf.DUMMYFUNCTION("""COMPUTED_VALUE"""),"")</f>
        <v/>
      </c>
      <c r="C327" s="189" t="str">
        <f ca="1">IFERROR(__xludf.DUMMYFUNCTION("""COMPUTED_VALUE"""),"")</f>
        <v/>
      </c>
      <c r="D327" s="189" t="str">
        <f ca="1">IFERROR(__xludf.DUMMYFUNCTION("""COMPUTED_VALUE"""),"")</f>
        <v/>
      </c>
      <c r="E327" s="189" t="str">
        <f ca="1">IFERROR(__xludf.DUMMYFUNCTION("""COMPUTED_VALUE"""),"")</f>
        <v/>
      </c>
      <c r="F327" s="189" t="str">
        <f ca="1">IFERROR(__xludf.DUMMYFUNCTION("""COMPUTED_VALUE"""),"")</f>
        <v/>
      </c>
      <c r="G327" s="189" t="str">
        <f ca="1">IFERROR(__xludf.DUMMYFUNCTION("""COMPUTED_VALUE"""),"")</f>
        <v/>
      </c>
      <c r="H327" s="189" t="str">
        <f ca="1">IFERROR(__xludf.DUMMYFUNCTION("""COMPUTED_VALUE"""),"")</f>
        <v/>
      </c>
      <c r="I327" s="120" t="str">
        <f ca="1">IFERROR(__xludf.DUMMYFUNCTION("""COMPUTED_VALUE"""),"")</f>
        <v/>
      </c>
      <c r="J327" s="189" t="str">
        <f ca="1">IFERROR(__xludf.DUMMYFUNCTION("""COMPUTED_VALUE"""),"")</f>
        <v/>
      </c>
      <c r="K327" s="189" t="str">
        <f ca="1">IFERROR(__xludf.DUMMYFUNCTION("""COMPUTED_VALUE"""),"")</f>
        <v/>
      </c>
      <c r="L327" s="189" t="str">
        <f ca="1">IFERROR(__xludf.DUMMYFUNCTION("""COMPUTED_VALUE"""),"")</f>
        <v/>
      </c>
      <c r="M327" s="189" t="str">
        <f ca="1">IFERROR(__xludf.DUMMYFUNCTION("""COMPUTED_VALUE"""),"")</f>
        <v/>
      </c>
      <c r="N327" s="189" t="str">
        <f ca="1">IFERROR(__xludf.DUMMYFUNCTION("""COMPUTED_VALUE"""),"")</f>
        <v/>
      </c>
      <c r="O327" s="189" t="str">
        <f ca="1">IFERROR(__xludf.DUMMYFUNCTION("""COMPUTED_VALUE"""),"")</f>
        <v/>
      </c>
      <c r="P327" s="189" t="str">
        <f ca="1">IFERROR(__xludf.DUMMYFUNCTION("""COMPUTED_VALUE"""),"")</f>
        <v/>
      </c>
      <c r="Q327" s="189" t="str">
        <f ca="1">IFERROR(__xludf.DUMMYFUNCTION("""COMPUTED_VALUE"""),"")</f>
        <v/>
      </c>
      <c r="R327" s="189" t="str">
        <f ca="1">IFERROR(__xludf.DUMMYFUNCTION("""COMPUTED_VALUE"""),"")</f>
        <v/>
      </c>
      <c r="S327" s="189" t="str">
        <f ca="1">IFERROR(__xludf.DUMMYFUNCTION("""COMPUTED_VALUE"""),"")</f>
        <v/>
      </c>
      <c r="T327" s="189" t="str">
        <f ca="1">IFERROR(__xludf.DUMMYFUNCTION("""COMPUTED_VALUE"""),"")</f>
        <v/>
      </c>
      <c r="U327" s="189" t="str">
        <f ca="1">IFERROR(__xludf.DUMMYFUNCTION("""COMPUTED_VALUE"""),"")</f>
        <v/>
      </c>
      <c r="V327" s="189" t="str">
        <f ca="1">IFERROR(__xludf.DUMMYFUNCTION("""COMPUTED_VALUE"""),"")</f>
        <v/>
      </c>
      <c r="W327" s="189" t="str">
        <f ca="1">IFERROR(__xludf.DUMMYFUNCTION("""COMPUTED_VALUE"""),"")</f>
        <v/>
      </c>
      <c r="X327" s="189" t="str">
        <f ca="1">IFERROR(__xludf.DUMMYFUNCTION("""COMPUTED_VALUE"""),"")</f>
        <v/>
      </c>
      <c r="Y327" s="189" t="str">
        <f ca="1">IFERROR(__xludf.DUMMYFUNCTION("""COMPUTED_VALUE"""),"")</f>
        <v/>
      </c>
      <c r="Z327" s="189"/>
    </row>
    <row r="328" spans="1:26" ht="12.75">
      <c r="A328" s="189" t="str">
        <f ca="1">IFERROR(__xludf.DUMMYFUNCTION("""COMPUTED_VALUE"""),"")</f>
        <v/>
      </c>
      <c r="B328" s="189" t="str">
        <f ca="1">IFERROR(__xludf.DUMMYFUNCTION("""COMPUTED_VALUE"""),"")</f>
        <v/>
      </c>
      <c r="C328" s="189" t="str">
        <f ca="1">IFERROR(__xludf.DUMMYFUNCTION("""COMPUTED_VALUE"""),"")</f>
        <v/>
      </c>
      <c r="D328" s="189" t="str">
        <f ca="1">IFERROR(__xludf.DUMMYFUNCTION("""COMPUTED_VALUE"""),"")</f>
        <v/>
      </c>
      <c r="E328" s="189" t="str">
        <f ca="1">IFERROR(__xludf.DUMMYFUNCTION("""COMPUTED_VALUE"""),"")</f>
        <v/>
      </c>
      <c r="F328" s="189" t="str">
        <f ca="1">IFERROR(__xludf.DUMMYFUNCTION("""COMPUTED_VALUE"""),"")</f>
        <v/>
      </c>
      <c r="G328" s="189" t="str">
        <f ca="1">IFERROR(__xludf.DUMMYFUNCTION("""COMPUTED_VALUE"""),"")</f>
        <v/>
      </c>
      <c r="H328" s="189" t="str">
        <f ca="1">IFERROR(__xludf.DUMMYFUNCTION("""COMPUTED_VALUE"""),"")</f>
        <v/>
      </c>
      <c r="I328" s="120" t="str">
        <f ca="1">IFERROR(__xludf.DUMMYFUNCTION("""COMPUTED_VALUE"""),"")</f>
        <v/>
      </c>
      <c r="J328" s="189" t="str">
        <f ca="1">IFERROR(__xludf.DUMMYFUNCTION("""COMPUTED_VALUE"""),"")</f>
        <v/>
      </c>
      <c r="K328" s="189" t="str">
        <f ca="1">IFERROR(__xludf.DUMMYFUNCTION("""COMPUTED_VALUE"""),"")</f>
        <v/>
      </c>
      <c r="L328" s="189" t="str">
        <f ca="1">IFERROR(__xludf.DUMMYFUNCTION("""COMPUTED_VALUE"""),"")</f>
        <v/>
      </c>
      <c r="M328" s="189" t="str">
        <f ca="1">IFERROR(__xludf.DUMMYFUNCTION("""COMPUTED_VALUE"""),"")</f>
        <v/>
      </c>
      <c r="N328" s="189" t="str">
        <f ca="1">IFERROR(__xludf.DUMMYFUNCTION("""COMPUTED_VALUE"""),"")</f>
        <v/>
      </c>
      <c r="O328" s="189" t="str">
        <f ca="1">IFERROR(__xludf.DUMMYFUNCTION("""COMPUTED_VALUE"""),"")</f>
        <v/>
      </c>
      <c r="P328" s="189" t="str">
        <f ca="1">IFERROR(__xludf.DUMMYFUNCTION("""COMPUTED_VALUE"""),"")</f>
        <v/>
      </c>
      <c r="Q328" s="189" t="str">
        <f ca="1">IFERROR(__xludf.DUMMYFUNCTION("""COMPUTED_VALUE"""),"")</f>
        <v/>
      </c>
      <c r="R328" s="189" t="str">
        <f ca="1">IFERROR(__xludf.DUMMYFUNCTION("""COMPUTED_VALUE"""),"")</f>
        <v/>
      </c>
      <c r="S328" s="189" t="str">
        <f ca="1">IFERROR(__xludf.DUMMYFUNCTION("""COMPUTED_VALUE"""),"")</f>
        <v/>
      </c>
      <c r="T328" s="189" t="str">
        <f ca="1">IFERROR(__xludf.DUMMYFUNCTION("""COMPUTED_VALUE"""),"")</f>
        <v/>
      </c>
      <c r="U328" s="189" t="str">
        <f ca="1">IFERROR(__xludf.DUMMYFUNCTION("""COMPUTED_VALUE"""),"")</f>
        <v/>
      </c>
      <c r="V328" s="189" t="str">
        <f ca="1">IFERROR(__xludf.DUMMYFUNCTION("""COMPUTED_VALUE"""),"")</f>
        <v/>
      </c>
      <c r="W328" s="189" t="str">
        <f ca="1">IFERROR(__xludf.DUMMYFUNCTION("""COMPUTED_VALUE"""),"")</f>
        <v/>
      </c>
      <c r="X328" s="189" t="str">
        <f ca="1">IFERROR(__xludf.DUMMYFUNCTION("""COMPUTED_VALUE"""),"")</f>
        <v/>
      </c>
      <c r="Y328" s="189" t="str">
        <f ca="1">IFERROR(__xludf.DUMMYFUNCTION("""COMPUTED_VALUE"""),"")</f>
        <v/>
      </c>
      <c r="Z328" s="189"/>
    </row>
    <row r="329" spans="1:26" ht="12.75">
      <c r="A329" s="189" t="str">
        <f ca="1">IFERROR(__xludf.DUMMYFUNCTION("""COMPUTED_VALUE"""),"")</f>
        <v/>
      </c>
      <c r="B329" s="189" t="str">
        <f ca="1">IFERROR(__xludf.DUMMYFUNCTION("""COMPUTED_VALUE"""),"")</f>
        <v/>
      </c>
      <c r="C329" s="189" t="str">
        <f ca="1">IFERROR(__xludf.DUMMYFUNCTION("""COMPUTED_VALUE"""),"")</f>
        <v/>
      </c>
      <c r="D329" s="189" t="str">
        <f ca="1">IFERROR(__xludf.DUMMYFUNCTION("""COMPUTED_VALUE"""),"")</f>
        <v/>
      </c>
      <c r="E329" s="189" t="str">
        <f ca="1">IFERROR(__xludf.DUMMYFUNCTION("""COMPUTED_VALUE"""),"")</f>
        <v/>
      </c>
      <c r="F329" s="189" t="str">
        <f ca="1">IFERROR(__xludf.DUMMYFUNCTION("""COMPUTED_VALUE"""),"")</f>
        <v/>
      </c>
      <c r="G329" s="189" t="str">
        <f ca="1">IFERROR(__xludf.DUMMYFUNCTION("""COMPUTED_VALUE"""),"")</f>
        <v/>
      </c>
      <c r="H329" s="189" t="str">
        <f ca="1">IFERROR(__xludf.DUMMYFUNCTION("""COMPUTED_VALUE"""),"")</f>
        <v/>
      </c>
      <c r="I329" s="120" t="str">
        <f ca="1">IFERROR(__xludf.DUMMYFUNCTION("""COMPUTED_VALUE"""),"")</f>
        <v/>
      </c>
      <c r="J329" s="189" t="str">
        <f ca="1">IFERROR(__xludf.DUMMYFUNCTION("""COMPUTED_VALUE"""),"")</f>
        <v/>
      </c>
      <c r="K329" s="189" t="str">
        <f ca="1">IFERROR(__xludf.DUMMYFUNCTION("""COMPUTED_VALUE"""),"")</f>
        <v/>
      </c>
      <c r="L329" s="189" t="str">
        <f ca="1">IFERROR(__xludf.DUMMYFUNCTION("""COMPUTED_VALUE"""),"")</f>
        <v/>
      </c>
      <c r="M329" s="189" t="str">
        <f ca="1">IFERROR(__xludf.DUMMYFUNCTION("""COMPUTED_VALUE"""),"")</f>
        <v/>
      </c>
      <c r="N329" s="189" t="str">
        <f ca="1">IFERROR(__xludf.DUMMYFUNCTION("""COMPUTED_VALUE"""),"")</f>
        <v/>
      </c>
      <c r="O329" s="189" t="str">
        <f ca="1">IFERROR(__xludf.DUMMYFUNCTION("""COMPUTED_VALUE"""),"")</f>
        <v/>
      </c>
      <c r="P329" s="189" t="str">
        <f ca="1">IFERROR(__xludf.DUMMYFUNCTION("""COMPUTED_VALUE"""),"")</f>
        <v/>
      </c>
      <c r="Q329" s="189" t="str">
        <f ca="1">IFERROR(__xludf.DUMMYFUNCTION("""COMPUTED_VALUE"""),"")</f>
        <v/>
      </c>
      <c r="R329" s="189" t="str">
        <f ca="1">IFERROR(__xludf.DUMMYFUNCTION("""COMPUTED_VALUE"""),"")</f>
        <v/>
      </c>
      <c r="S329" s="189" t="str">
        <f ca="1">IFERROR(__xludf.DUMMYFUNCTION("""COMPUTED_VALUE"""),"")</f>
        <v/>
      </c>
      <c r="T329" s="189" t="str">
        <f ca="1">IFERROR(__xludf.DUMMYFUNCTION("""COMPUTED_VALUE"""),"")</f>
        <v/>
      </c>
      <c r="U329" s="189" t="str">
        <f ca="1">IFERROR(__xludf.DUMMYFUNCTION("""COMPUTED_VALUE"""),"")</f>
        <v/>
      </c>
      <c r="V329" s="189" t="str">
        <f ca="1">IFERROR(__xludf.DUMMYFUNCTION("""COMPUTED_VALUE"""),"")</f>
        <v/>
      </c>
      <c r="W329" s="189" t="str">
        <f ca="1">IFERROR(__xludf.DUMMYFUNCTION("""COMPUTED_VALUE"""),"")</f>
        <v/>
      </c>
      <c r="X329" s="189" t="str">
        <f ca="1">IFERROR(__xludf.DUMMYFUNCTION("""COMPUTED_VALUE"""),"")</f>
        <v/>
      </c>
      <c r="Y329" s="189" t="str">
        <f ca="1">IFERROR(__xludf.DUMMYFUNCTION("""COMPUTED_VALUE"""),"")</f>
        <v/>
      </c>
      <c r="Z329" s="189"/>
    </row>
    <row r="330" spans="1:26" ht="12.75">
      <c r="A330" s="189" t="str">
        <f ca="1">IFERROR(__xludf.DUMMYFUNCTION("""COMPUTED_VALUE"""),"")</f>
        <v/>
      </c>
      <c r="B330" s="189" t="str">
        <f ca="1">IFERROR(__xludf.DUMMYFUNCTION("""COMPUTED_VALUE"""),"")</f>
        <v/>
      </c>
      <c r="C330" s="189" t="str">
        <f ca="1">IFERROR(__xludf.DUMMYFUNCTION("""COMPUTED_VALUE"""),"")</f>
        <v/>
      </c>
      <c r="D330" s="189" t="str">
        <f ca="1">IFERROR(__xludf.DUMMYFUNCTION("""COMPUTED_VALUE"""),"")</f>
        <v/>
      </c>
      <c r="E330" s="189" t="str">
        <f ca="1">IFERROR(__xludf.DUMMYFUNCTION("""COMPUTED_VALUE"""),"")</f>
        <v/>
      </c>
      <c r="F330" s="189" t="str">
        <f ca="1">IFERROR(__xludf.DUMMYFUNCTION("""COMPUTED_VALUE"""),"")</f>
        <v/>
      </c>
      <c r="G330" s="189" t="str">
        <f ca="1">IFERROR(__xludf.DUMMYFUNCTION("""COMPUTED_VALUE"""),"")</f>
        <v/>
      </c>
      <c r="H330" s="189" t="str">
        <f ca="1">IFERROR(__xludf.DUMMYFUNCTION("""COMPUTED_VALUE"""),"")</f>
        <v/>
      </c>
      <c r="I330" s="120" t="str">
        <f ca="1">IFERROR(__xludf.DUMMYFUNCTION("""COMPUTED_VALUE"""),"")</f>
        <v/>
      </c>
      <c r="J330" s="189" t="str">
        <f ca="1">IFERROR(__xludf.DUMMYFUNCTION("""COMPUTED_VALUE"""),"")</f>
        <v/>
      </c>
      <c r="K330" s="189" t="str">
        <f ca="1">IFERROR(__xludf.DUMMYFUNCTION("""COMPUTED_VALUE"""),"")</f>
        <v/>
      </c>
      <c r="L330" s="189" t="str">
        <f ca="1">IFERROR(__xludf.DUMMYFUNCTION("""COMPUTED_VALUE"""),"")</f>
        <v/>
      </c>
      <c r="M330" s="189" t="str">
        <f ca="1">IFERROR(__xludf.DUMMYFUNCTION("""COMPUTED_VALUE"""),"")</f>
        <v/>
      </c>
      <c r="N330" s="189" t="str">
        <f ca="1">IFERROR(__xludf.DUMMYFUNCTION("""COMPUTED_VALUE"""),"")</f>
        <v/>
      </c>
      <c r="O330" s="189" t="str">
        <f ca="1">IFERROR(__xludf.DUMMYFUNCTION("""COMPUTED_VALUE"""),"")</f>
        <v/>
      </c>
      <c r="P330" s="189" t="str">
        <f ca="1">IFERROR(__xludf.DUMMYFUNCTION("""COMPUTED_VALUE"""),"")</f>
        <v/>
      </c>
      <c r="Q330" s="189" t="str">
        <f ca="1">IFERROR(__xludf.DUMMYFUNCTION("""COMPUTED_VALUE"""),"")</f>
        <v/>
      </c>
      <c r="R330" s="189" t="str">
        <f ca="1">IFERROR(__xludf.DUMMYFUNCTION("""COMPUTED_VALUE"""),"")</f>
        <v/>
      </c>
      <c r="S330" s="189" t="str">
        <f ca="1">IFERROR(__xludf.DUMMYFUNCTION("""COMPUTED_VALUE"""),"")</f>
        <v/>
      </c>
      <c r="T330" s="189" t="str">
        <f ca="1">IFERROR(__xludf.DUMMYFUNCTION("""COMPUTED_VALUE"""),"")</f>
        <v/>
      </c>
      <c r="U330" s="189" t="str">
        <f ca="1">IFERROR(__xludf.DUMMYFUNCTION("""COMPUTED_VALUE"""),"")</f>
        <v/>
      </c>
      <c r="V330" s="189" t="str">
        <f ca="1">IFERROR(__xludf.DUMMYFUNCTION("""COMPUTED_VALUE"""),"")</f>
        <v/>
      </c>
      <c r="W330" s="189" t="str">
        <f ca="1">IFERROR(__xludf.DUMMYFUNCTION("""COMPUTED_VALUE"""),"")</f>
        <v/>
      </c>
      <c r="X330" s="189" t="str">
        <f ca="1">IFERROR(__xludf.DUMMYFUNCTION("""COMPUTED_VALUE"""),"")</f>
        <v/>
      </c>
      <c r="Y330" s="189" t="str">
        <f ca="1">IFERROR(__xludf.DUMMYFUNCTION("""COMPUTED_VALUE"""),"")</f>
        <v/>
      </c>
      <c r="Z330" s="189"/>
    </row>
    <row r="331" spans="1:26" ht="12.75">
      <c r="A331" s="189" t="str">
        <f ca="1">IFERROR(__xludf.DUMMYFUNCTION("""COMPUTED_VALUE"""),"")</f>
        <v/>
      </c>
      <c r="B331" s="189" t="str">
        <f ca="1">IFERROR(__xludf.DUMMYFUNCTION("""COMPUTED_VALUE"""),"")</f>
        <v/>
      </c>
      <c r="C331" s="189" t="str">
        <f ca="1">IFERROR(__xludf.DUMMYFUNCTION("""COMPUTED_VALUE"""),"")</f>
        <v/>
      </c>
      <c r="D331" s="189" t="str">
        <f ca="1">IFERROR(__xludf.DUMMYFUNCTION("""COMPUTED_VALUE"""),"")</f>
        <v/>
      </c>
      <c r="E331" s="189" t="str">
        <f ca="1">IFERROR(__xludf.DUMMYFUNCTION("""COMPUTED_VALUE"""),"")</f>
        <v/>
      </c>
      <c r="F331" s="189" t="str">
        <f ca="1">IFERROR(__xludf.DUMMYFUNCTION("""COMPUTED_VALUE"""),"")</f>
        <v/>
      </c>
      <c r="G331" s="189" t="str">
        <f ca="1">IFERROR(__xludf.DUMMYFUNCTION("""COMPUTED_VALUE"""),"")</f>
        <v/>
      </c>
      <c r="H331" s="189" t="str">
        <f ca="1">IFERROR(__xludf.DUMMYFUNCTION("""COMPUTED_VALUE"""),"")</f>
        <v/>
      </c>
      <c r="I331" s="120" t="str">
        <f ca="1">IFERROR(__xludf.DUMMYFUNCTION("""COMPUTED_VALUE"""),"")</f>
        <v/>
      </c>
      <c r="J331" s="189" t="str">
        <f ca="1">IFERROR(__xludf.DUMMYFUNCTION("""COMPUTED_VALUE"""),"")</f>
        <v/>
      </c>
      <c r="K331" s="189" t="str">
        <f ca="1">IFERROR(__xludf.DUMMYFUNCTION("""COMPUTED_VALUE"""),"")</f>
        <v/>
      </c>
      <c r="L331" s="189" t="str">
        <f ca="1">IFERROR(__xludf.DUMMYFUNCTION("""COMPUTED_VALUE"""),"")</f>
        <v/>
      </c>
      <c r="M331" s="189" t="str">
        <f ca="1">IFERROR(__xludf.DUMMYFUNCTION("""COMPUTED_VALUE"""),"")</f>
        <v/>
      </c>
      <c r="N331" s="189" t="str">
        <f ca="1">IFERROR(__xludf.DUMMYFUNCTION("""COMPUTED_VALUE"""),"")</f>
        <v/>
      </c>
      <c r="O331" s="189" t="str">
        <f ca="1">IFERROR(__xludf.DUMMYFUNCTION("""COMPUTED_VALUE"""),"")</f>
        <v/>
      </c>
      <c r="P331" s="189" t="str">
        <f ca="1">IFERROR(__xludf.DUMMYFUNCTION("""COMPUTED_VALUE"""),"")</f>
        <v/>
      </c>
      <c r="Q331" s="189" t="str">
        <f ca="1">IFERROR(__xludf.DUMMYFUNCTION("""COMPUTED_VALUE"""),"")</f>
        <v/>
      </c>
      <c r="R331" s="189" t="str">
        <f ca="1">IFERROR(__xludf.DUMMYFUNCTION("""COMPUTED_VALUE"""),"")</f>
        <v/>
      </c>
      <c r="S331" s="189" t="str">
        <f ca="1">IFERROR(__xludf.DUMMYFUNCTION("""COMPUTED_VALUE"""),"")</f>
        <v/>
      </c>
      <c r="T331" s="189" t="str">
        <f ca="1">IFERROR(__xludf.DUMMYFUNCTION("""COMPUTED_VALUE"""),"")</f>
        <v/>
      </c>
      <c r="U331" s="189" t="str">
        <f ca="1">IFERROR(__xludf.DUMMYFUNCTION("""COMPUTED_VALUE"""),"")</f>
        <v/>
      </c>
      <c r="V331" s="189" t="str">
        <f ca="1">IFERROR(__xludf.DUMMYFUNCTION("""COMPUTED_VALUE"""),"")</f>
        <v/>
      </c>
      <c r="W331" s="189" t="str">
        <f ca="1">IFERROR(__xludf.DUMMYFUNCTION("""COMPUTED_VALUE"""),"")</f>
        <v/>
      </c>
      <c r="X331" s="189" t="str">
        <f ca="1">IFERROR(__xludf.DUMMYFUNCTION("""COMPUTED_VALUE"""),"")</f>
        <v/>
      </c>
      <c r="Y331" s="189" t="str">
        <f ca="1">IFERROR(__xludf.DUMMYFUNCTION("""COMPUTED_VALUE"""),"")</f>
        <v/>
      </c>
      <c r="Z331" s="189"/>
    </row>
    <row r="332" spans="1:26" ht="12.75">
      <c r="A332" s="189" t="str">
        <f ca="1">IFERROR(__xludf.DUMMYFUNCTION("""COMPUTED_VALUE"""),"")</f>
        <v/>
      </c>
      <c r="B332" s="189" t="str">
        <f ca="1">IFERROR(__xludf.DUMMYFUNCTION("""COMPUTED_VALUE"""),"")</f>
        <v/>
      </c>
      <c r="C332" s="189" t="str">
        <f ca="1">IFERROR(__xludf.DUMMYFUNCTION("""COMPUTED_VALUE"""),"")</f>
        <v/>
      </c>
      <c r="D332" s="189" t="str">
        <f ca="1">IFERROR(__xludf.DUMMYFUNCTION("""COMPUTED_VALUE"""),"")</f>
        <v/>
      </c>
      <c r="E332" s="189" t="str">
        <f ca="1">IFERROR(__xludf.DUMMYFUNCTION("""COMPUTED_VALUE"""),"")</f>
        <v/>
      </c>
      <c r="F332" s="189" t="str">
        <f ca="1">IFERROR(__xludf.DUMMYFUNCTION("""COMPUTED_VALUE"""),"")</f>
        <v/>
      </c>
      <c r="G332" s="189" t="str">
        <f ca="1">IFERROR(__xludf.DUMMYFUNCTION("""COMPUTED_VALUE"""),"")</f>
        <v/>
      </c>
      <c r="H332" s="189" t="str">
        <f ca="1">IFERROR(__xludf.DUMMYFUNCTION("""COMPUTED_VALUE"""),"")</f>
        <v/>
      </c>
      <c r="I332" s="120" t="str">
        <f ca="1">IFERROR(__xludf.DUMMYFUNCTION("""COMPUTED_VALUE"""),"")</f>
        <v/>
      </c>
      <c r="J332" s="189" t="str">
        <f ca="1">IFERROR(__xludf.DUMMYFUNCTION("""COMPUTED_VALUE"""),"")</f>
        <v/>
      </c>
      <c r="K332" s="189" t="str">
        <f ca="1">IFERROR(__xludf.DUMMYFUNCTION("""COMPUTED_VALUE"""),"")</f>
        <v/>
      </c>
      <c r="L332" s="189" t="str">
        <f ca="1">IFERROR(__xludf.DUMMYFUNCTION("""COMPUTED_VALUE"""),"")</f>
        <v/>
      </c>
      <c r="M332" s="189" t="str">
        <f ca="1">IFERROR(__xludf.DUMMYFUNCTION("""COMPUTED_VALUE"""),"")</f>
        <v/>
      </c>
      <c r="N332" s="189" t="str">
        <f ca="1">IFERROR(__xludf.DUMMYFUNCTION("""COMPUTED_VALUE"""),"")</f>
        <v/>
      </c>
      <c r="O332" s="189" t="str">
        <f ca="1">IFERROR(__xludf.DUMMYFUNCTION("""COMPUTED_VALUE"""),"")</f>
        <v/>
      </c>
      <c r="P332" s="189" t="str">
        <f ca="1">IFERROR(__xludf.DUMMYFUNCTION("""COMPUTED_VALUE"""),"")</f>
        <v/>
      </c>
      <c r="Q332" s="189" t="str">
        <f ca="1">IFERROR(__xludf.DUMMYFUNCTION("""COMPUTED_VALUE"""),"")</f>
        <v/>
      </c>
      <c r="R332" s="189" t="str">
        <f ca="1">IFERROR(__xludf.DUMMYFUNCTION("""COMPUTED_VALUE"""),"")</f>
        <v/>
      </c>
      <c r="S332" s="189" t="str">
        <f ca="1">IFERROR(__xludf.DUMMYFUNCTION("""COMPUTED_VALUE"""),"")</f>
        <v/>
      </c>
      <c r="T332" s="189" t="str">
        <f ca="1">IFERROR(__xludf.DUMMYFUNCTION("""COMPUTED_VALUE"""),"")</f>
        <v/>
      </c>
      <c r="U332" s="189" t="str">
        <f ca="1">IFERROR(__xludf.DUMMYFUNCTION("""COMPUTED_VALUE"""),"")</f>
        <v/>
      </c>
      <c r="V332" s="189" t="str">
        <f ca="1">IFERROR(__xludf.DUMMYFUNCTION("""COMPUTED_VALUE"""),"")</f>
        <v/>
      </c>
      <c r="W332" s="189" t="str">
        <f ca="1">IFERROR(__xludf.DUMMYFUNCTION("""COMPUTED_VALUE"""),"")</f>
        <v/>
      </c>
      <c r="X332" s="189" t="str">
        <f ca="1">IFERROR(__xludf.DUMMYFUNCTION("""COMPUTED_VALUE"""),"")</f>
        <v/>
      </c>
      <c r="Y332" s="189" t="str">
        <f ca="1">IFERROR(__xludf.DUMMYFUNCTION("""COMPUTED_VALUE"""),"")</f>
        <v/>
      </c>
      <c r="Z332" s="189"/>
    </row>
    <row r="333" spans="1:26" ht="12.75">
      <c r="A333" s="189" t="str">
        <f ca="1">IFERROR(__xludf.DUMMYFUNCTION("""COMPUTED_VALUE"""),"")</f>
        <v/>
      </c>
      <c r="B333" s="189" t="str">
        <f ca="1">IFERROR(__xludf.DUMMYFUNCTION("""COMPUTED_VALUE"""),"")</f>
        <v/>
      </c>
      <c r="C333" s="189" t="str">
        <f ca="1">IFERROR(__xludf.DUMMYFUNCTION("""COMPUTED_VALUE"""),"")</f>
        <v/>
      </c>
      <c r="D333" s="189" t="str">
        <f ca="1">IFERROR(__xludf.DUMMYFUNCTION("""COMPUTED_VALUE"""),"")</f>
        <v/>
      </c>
      <c r="E333" s="189" t="str">
        <f ca="1">IFERROR(__xludf.DUMMYFUNCTION("""COMPUTED_VALUE"""),"")</f>
        <v/>
      </c>
      <c r="F333" s="189" t="str">
        <f ca="1">IFERROR(__xludf.DUMMYFUNCTION("""COMPUTED_VALUE"""),"")</f>
        <v/>
      </c>
      <c r="G333" s="189" t="str">
        <f ca="1">IFERROR(__xludf.DUMMYFUNCTION("""COMPUTED_VALUE"""),"")</f>
        <v/>
      </c>
      <c r="H333" s="189" t="str">
        <f ca="1">IFERROR(__xludf.DUMMYFUNCTION("""COMPUTED_VALUE"""),"")</f>
        <v/>
      </c>
      <c r="I333" s="120" t="str">
        <f ca="1">IFERROR(__xludf.DUMMYFUNCTION("""COMPUTED_VALUE"""),"")</f>
        <v/>
      </c>
      <c r="J333" s="189" t="str">
        <f ca="1">IFERROR(__xludf.DUMMYFUNCTION("""COMPUTED_VALUE"""),"")</f>
        <v/>
      </c>
      <c r="K333" s="189" t="str">
        <f ca="1">IFERROR(__xludf.DUMMYFUNCTION("""COMPUTED_VALUE"""),"")</f>
        <v/>
      </c>
      <c r="L333" s="189" t="str">
        <f ca="1">IFERROR(__xludf.DUMMYFUNCTION("""COMPUTED_VALUE"""),"")</f>
        <v/>
      </c>
      <c r="M333" s="189" t="str">
        <f ca="1">IFERROR(__xludf.DUMMYFUNCTION("""COMPUTED_VALUE"""),"")</f>
        <v/>
      </c>
      <c r="N333" s="189" t="str">
        <f ca="1">IFERROR(__xludf.DUMMYFUNCTION("""COMPUTED_VALUE"""),"")</f>
        <v/>
      </c>
      <c r="O333" s="189" t="str">
        <f ca="1">IFERROR(__xludf.DUMMYFUNCTION("""COMPUTED_VALUE"""),"")</f>
        <v/>
      </c>
      <c r="P333" s="189" t="str">
        <f ca="1">IFERROR(__xludf.DUMMYFUNCTION("""COMPUTED_VALUE"""),"")</f>
        <v/>
      </c>
      <c r="Q333" s="189" t="str">
        <f ca="1">IFERROR(__xludf.DUMMYFUNCTION("""COMPUTED_VALUE"""),"")</f>
        <v/>
      </c>
      <c r="R333" s="189" t="str">
        <f ca="1">IFERROR(__xludf.DUMMYFUNCTION("""COMPUTED_VALUE"""),"")</f>
        <v/>
      </c>
      <c r="S333" s="189" t="str">
        <f ca="1">IFERROR(__xludf.DUMMYFUNCTION("""COMPUTED_VALUE"""),"")</f>
        <v/>
      </c>
      <c r="T333" s="189" t="str">
        <f ca="1">IFERROR(__xludf.DUMMYFUNCTION("""COMPUTED_VALUE"""),"")</f>
        <v/>
      </c>
      <c r="U333" s="189" t="str">
        <f ca="1">IFERROR(__xludf.DUMMYFUNCTION("""COMPUTED_VALUE"""),"")</f>
        <v/>
      </c>
      <c r="V333" s="189" t="str">
        <f ca="1">IFERROR(__xludf.DUMMYFUNCTION("""COMPUTED_VALUE"""),"")</f>
        <v/>
      </c>
      <c r="W333" s="189" t="str">
        <f ca="1">IFERROR(__xludf.DUMMYFUNCTION("""COMPUTED_VALUE"""),"")</f>
        <v/>
      </c>
      <c r="X333" s="189" t="str">
        <f ca="1">IFERROR(__xludf.DUMMYFUNCTION("""COMPUTED_VALUE"""),"")</f>
        <v/>
      </c>
      <c r="Y333" s="189" t="str">
        <f ca="1">IFERROR(__xludf.DUMMYFUNCTION("""COMPUTED_VALUE"""),"")</f>
        <v/>
      </c>
      <c r="Z333" s="189"/>
    </row>
    <row r="334" spans="1:26" ht="12.75">
      <c r="A334" s="189" t="str">
        <f ca="1">IFERROR(__xludf.DUMMYFUNCTION("""COMPUTED_VALUE"""),"")</f>
        <v/>
      </c>
      <c r="B334" s="189" t="str">
        <f ca="1">IFERROR(__xludf.DUMMYFUNCTION("""COMPUTED_VALUE"""),"")</f>
        <v/>
      </c>
      <c r="C334" s="189" t="str">
        <f ca="1">IFERROR(__xludf.DUMMYFUNCTION("""COMPUTED_VALUE"""),"")</f>
        <v/>
      </c>
      <c r="D334" s="189" t="str">
        <f ca="1">IFERROR(__xludf.DUMMYFUNCTION("""COMPUTED_VALUE"""),"")</f>
        <v/>
      </c>
      <c r="E334" s="189" t="str">
        <f ca="1">IFERROR(__xludf.DUMMYFUNCTION("""COMPUTED_VALUE"""),"")</f>
        <v/>
      </c>
      <c r="F334" s="189" t="str">
        <f ca="1">IFERROR(__xludf.DUMMYFUNCTION("""COMPUTED_VALUE"""),"")</f>
        <v/>
      </c>
      <c r="G334" s="189" t="str">
        <f ca="1">IFERROR(__xludf.DUMMYFUNCTION("""COMPUTED_VALUE"""),"")</f>
        <v/>
      </c>
      <c r="H334" s="189" t="str">
        <f ca="1">IFERROR(__xludf.DUMMYFUNCTION("""COMPUTED_VALUE"""),"")</f>
        <v/>
      </c>
      <c r="I334" s="120" t="str">
        <f ca="1">IFERROR(__xludf.DUMMYFUNCTION("""COMPUTED_VALUE"""),"")</f>
        <v/>
      </c>
      <c r="J334" s="189" t="str">
        <f ca="1">IFERROR(__xludf.DUMMYFUNCTION("""COMPUTED_VALUE"""),"")</f>
        <v/>
      </c>
      <c r="K334" s="189" t="str">
        <f ca="1">IFERROR(__xludf.DUMMYFUNCTION("""COMPUTED_VALUE"""),"")</f>
        <v/>
      </c>
      <c r="L334" s="189" t="str">
        <f ca="1">IFERROR(__xludf.DUMMYFUNCTION("""COMPUTED_VALUE"""),"")</f>
        <v/>
      </c>
      <c r="M334" s="189" t="str">
        <f ca="1">IFERROR(__xludf.DUMMYFUNCTION("""COMPUTED_VALUE"""),"")</f>
        <v/>
      </c>
      <c r="N334" s="189" t="str">
        <f ca="1">IFERROR(__xludf.DUMMYFUNCTION("""COMPUTED_VALUE"""),"")</f>
        <v/>
      </c>
      <c r="O334" s="189" t="str">
        <f ca="1">IFERROR(__xludf.DUMMYFUNCTION("""COMPUTED_VALUE"""),"")</f>
        <v/>
      </c>
      <c r="P334" s="189" t="str">
        <f ca="1">IFERROR(__xludf.DUMMYFUNCTION("""COMPUTED_VALUE"""),"")</f>
        <v/>
      </c>
      <c r="Q334" s="189" t="str">
        <f ca="1">IFERROR(__xludf.DUMMYFUNCTION("""COMPUTED_VALUE"""),"")</f>
        <v/>
      </c>
      <c r="R334" s="189" t="str">
        <f ca="1">IFERROR(__xludf.DUMMYFUNCTION("""COMPUTED_VALUE"""),"")</f>
        <v/>
      </c>
      <c r="S334" s="189" t="str">
        <f ca="1">IFERROR(__xludf.DUMMYFUNCTION("""COMPUTED_VALUE"""),"")</f>
        <v/>
      </c>
      <c r="T334" s="189" t="str">
        <f ca="1">IFERROR(__xludf.DUMMYFUNCTION("""COMPUTED_VALUE"""),"")</f>
        <v/>
      </c>
      <c r="U334" s="189" t="str">
        <f ca="1">IFERROR(__xludf.DUMMYFUNCTION("""COMPUTED_VALUE"""),"")</f>
        <v/>
      </c>
      <c r="V334" s="189" t="str">
        <f ca="1">IFERROR(__xludf.DUMMYFUNCTION("""COMPUTED_VALUE"""),"")</f>
        <v/>
      </c>
      <c r="W334" s="189" t="str">
        <f ca="1">IFERROR(__xludf.DUMMYFUNCTION("""COMPUTED_VALUE"""),"")</f>
        <v/>
      </c>
      <c r="X334" s="189" t="str">
        <f ca="1">IFERROR(__xludf.DUMMYFUNCTION("""COMPUTED_VALUE"""),"")</f>
        <v/>
      </c>
      <c r="Y334" s="189" t="str">
        <f ca="1">IFERROR(__xludf.DUMMYFUNCTION("""COMPUTED_VALUE"""),"")</f>
        <v/>
      </c>
      <c r="Z334" s="189"/>
    </row>
    <row r="335" spans="1:26" ht="12.75">
      <c r="A335" s="189" t="str">
        <f ca="1">IFERROR(__xludf.DUMMYFUNCTION("""COMPUTED_VALUE"""),"")</f>
        <v/>
      </c>
      <c r="B335" s="189" t="str">
        <f ca="1">IFERROR(__xludf.DUMMYFUNCTION("""COMPUTED_VALUE"""),"")</f>
        <v/>
      </c>
      <c r="C335" s="189" t="str">
        <f ca="1">IFERROR(__xludf.DUMMYFUNCTION("""COMPUTED_VALUE"""),"")</f>
        <v/>
      </c>
      <c r="D335" s="189" t="str">
        <f ca="1">IFERROR(__xludf.DUMMYFUNCTION("""COMPUTED_VALUE"""),"")</f>
        <v/>
      </c>
      <c r="E335" s="189" t="str">
        <f ca="1">IFERROR(__xludf.DUMMYFUNCTION("""COMPUTED_VALUE"""),"")</f>
        <v/>
      </c>
      <c r="F335" s="189" t="str">
        <f ca="1">IFERROR(__xludf.DUMMYFUNCTION("""COMPUTED_VALUE"""),"")</f>
        <v/>
      </c>
      <c r="G335" s="189" t="str">
        <f ca="1">IFERROR(__xludf.DUMMYFUNCTION("""COMPUTED_VALUE"""),"")</f>
        <v/>
      </c>
      <c r="H335" s="189" t="str">
        <f ca="1">IFERROR(__xludf.DUMMYFUNCTION("""COMPUTED_VALUE"""),"")</f>
        <v/>
      </c>
      <c r="I335" s="120" t="str">
        <f ca="1">IFERROR(__xludf.DUMMYFUNCTION("""COMPUTED_VALUE"""),"")</f>
        <v/>
      </c>
      <c r="J335" s="189" t="str">
        <f ca="1">IFERROR(__xludf.DUMMYFUNCTION("""COMPUTED_VALUE"""),"")</f>
        <v/>
      </c>
      <c r="K335" s="189" t="str">
        <f ca="1">IFERROR(__xludf.DUMMYFUNCTION("""COMPUTED_VALUE"""),"")</f>
        <v/>
      </c>
      <c r="L335" s="189" t="str">
        <f ca="1">IFERROR(__xludf.DUMMYFUNCTION("""COMPUTED_VALUE"""),"")</f>
        <v/>
      </c>
      <c r="M335" s="189" t="str">
        <f ca="1">IFERROR(__xludf.DUMMYFUNCTION("""COMPUTED_VALUE"""),"")</f>
        <v/>
      </c>
      <c r="N335" s="189" t="str">
        <f ca="1">IFERROR(__xludf.DUMMYFUNCTION("""COMPUTED_VALUE"""),"")</f>
        <v/>
      </c>
      <c r="O335" s="189" t="str">
        <f ca="1">IFERROR(__xludf.DUMMYFUNCTION("""COMPUTED_VALUE"""),"")</f>
        <v/>
      </c>
      <c r="P335" s="189" t="str">
        <f ca="1">IFERROR(__xludf.DUMMYFUNCTION("""COMPUTED_VALUE"""),"")</f>
        <v/>
      </c>
      <c r="Q335" s="189" t="str">
        <f ca="1">IFERROR(__xludf.DUMMYFUNCTION("""COMPUTED_VALUE"""),"")</f>
        <v/>
      </c>
      <c r="R335" s="189" t="str">
        <f ca="1">IFERROR(__xludf.DUMMYFUNCTION("""COMPUTED_VALUE"""),"")</f>
        <v/>
      </c>
      <c r="S335" s="189" t="str">
        <f ca="1">IFERROR(__xludf.DUMMYFUNCTION("""COMPUTED_VALUE"""),"")</f>
        <v/>
      </c>
      <c r="T335" s="189" t="str">
        <f ca="1">IFERROR(__xludf.DUMMYFUNCTION("""COMPUTED_VALUE"""),"")</f>
        <v/>
      </c>
      <c r="U335" s="189" t="str">
        <f ca="1">IFERROR(__xludf.DUMMYFUNCTION("""COMPUTED_VALUE"""),"")</f>
        <v/>
      </c>
      <c r="V335" s="189" t="str">
        <f ca="1">IFERROR(__xludf.DUMMYFUNCTION("""COMPUTED_VALUE"""),"")</f>
        <v/>
      </c>
      <c r="W335" s="189" t="str">
        <f ca="1">IFERROR(__xludf.DUMMYFUNCTION("""COMPUTED_VALUE"""),"")</f>
        <v/>
      </c>
      <c r="X335" s="189" t="str">
        <f ca="1">IFERROR(__xludf.DUMMYFUNCTION("""COMPUTED_VALUE"""),"")</f>
        <v/>
      </c>
      <c r="Y335" s="189" t="str">
        <f ca="1">IFERROR(__xludf.DUMMYFUNCTION("""COMPUTED_VALUE"""),"")</f>
        <v/>
      </c>
      <c r="Z335" s="189"/>
    </row>
    <row r="336" spans="1:26" ht="12.75">
      <c r="A336" s="189" t="str">
        <f ca="1">IFERROR(__xludf.DUMMYFUNCTION("""COMPUTED_VALUE"""),"")</f>
        <v/>
      </c>
      <c r="B336" s="189" t="str">
        <f ca="1">IFERROR(__xludf.DUMMYFUNCTION("""COMPUTED_VALUE"""),"")</f>
        <v/>
      </c>
      <c r="C336" s="189" t="str">
        <f ca="1">IFERROR(__xludf.DUMMYFUNCTION("""COMPUTED_VALUE"""),"")</f>
        <v/>
      </c>
      <c r="D336" s="189" t="str">
        <f ca="1">IFERROR(__xludf.DUMMYFUNCTION("""COMPUTED_VALUE"""),"")</f>
        <v/>
      </c>
      <c r="E336" s="189" t="str">
        <f ca="1">IFERROR(__xludf.DUMMYFUNCTION("""COMPUTED_VALUE"""),"")</f>
        <v/>
      </c>
      <c r="F336" s="189" t="str">
        <f ca="1">IFERROR(__xludf.DUMMYFUNCTION("""COMPUTED_VALUE"""),"")</f>
        <v/>
      </c>
      <c r="G336" s="189" t="str">
        <f ca="1">IFERROR(__xludf.DUMMYFUNCTION("""COMPUTED_VALUE"""),"")</f>
        <v/>
      </c>
      <c r="H336" s="189" t="str">
        <f ca="1">IFERROR(__xludf.DUMMYFUNCTION("""COMPUTED_VALUE"""),"")</f>
        <v/>
      </c>
      <c r="I336" s="120" t="str">
        <f ca="1">IFERROR(__xludf.DUMMYFUNCTION("""COMPUTED_VALUE"""),"")</f>
        <v/>
      </c>
      <c r="J336" s="189" t="str">
        <f ca="1">IFERROR(__xludf.DUMMYFUNCTION("""COMPUTED_VALUE"""),"")</f>
        <v/>
      </c>
      <c r="K336" s="189" t="str">
        <f ca="1">IFERROR(__xludf.DUMMYFUNCTION("""COMPUTED_VALUE"""),"")</f>
        <v/>
      </c>
      <c r="L336" s="189" t="str">
        <f ca="1">IFERROR(__xludf.DUMMYFUNCTION("""COMPUTED_VALUE"""),"")</f>
        <v/>
      </c>
      <c r="M336" s="189" t="str">
        <f ca="1">IFERROR(__xludf.DUMMYFUNCTION("""COMPUTED_VALUE"""),"")</f>
        <v/>
      </c>
      <c r="N336" s="189" t="str">
        <f ca="1">IFERROR(__xludf.DUMMYFUNCTION("""COMPUTED_VALUE"""),"")</f>
        <v/>
      </c>
      <c r="O336" s="189" t="str">
        <f ca="1">IFERROR(__xludf.DUMMYFUNCTION("""COMPUTED_VALUE"""),"")</f>
        <v/>
      </c>
      <c r="P336" s="189" t="str">
        <f ca="1">IFERROR(__xludf.DUMMYFUNCTION("""COMPUTED_VALUE"""),"")</f>
        <v/>
      </c>
      <c r="Q336" s="189" t="str">
        <f ca="1">IFERROR(__xludf.DUMMYFUNCTION("""COMPUTED_VALUE"""),"")</f>
        <v/>
      </c>
      <c r="R336" s="189" t="str">
        <f ca="1">IFERROR(__xludf.DUMMYFUNCTION("""COMPUTED_VALUE"""),"")</f>
        <v/>
      </c>
      <c r="S336" s="189" t="str">
        <f ca="1">IFERROR(__xludf.DUMMYFUNCTION("""COMPUTED_VALUE"""),"")</f>
        <v/>
      </c>
      <c r="T336" s="189" t="str">
        <f ca="1">IFERROR(__xludf.DUMMYFUNCTION("""COMPUTED_VALUE"""),"")</f>
        <v/>
      </c>
      <c r="U336" s="189" t="str">
        <f ca="1">IFERROR(__xludf.DUMMYFUNCTION("""COMPUTED_VALUE"""),"")</f>
        <v/>
      </c>
      <c r="V336" s="189" t="str">
        <f ca="1">IFERROR(__xludf.DUMMYFUNCTION("""COMPUTED_VALUE"""),"")</f>
        <v/>
      </c>
      <c r="W336" s="189" t="str">
        <f ca="1">IFERROR(__xludf.DUMMYFUNCTION("""COMPUTED_VALUE"""),"")</f>
        <v/>
      </c>
      <c r="X336" s="189" t="str">
        <f ca="1">IFERROR(__xludf.DUMMYFUNCTION("""COMPUTED_VALUE"""),"")</f>
        <v/>
      </c>
      <c r="Y336" s="189" t="str">
        <f ca="1">IFERROR(__xludf.DUMMYFUNCTION("""COMPUTED_VALUE"""),"")</f>
        <v/>
      </c>
      <c r="Z336" s="189"/>
    </row>
    <row r="337" spans="1:26" ht="12.75">
      <c r="A337" s="189" t="str">
        <f ca="1">IFERROR(__xludf.DUMMYFUNCTION("""COMPUTED_VALUE"""),"")</f>
        <v/>
      </c>
      <c r="B337" s="189" t="str">
        <f ca="1">IFERROR(__xludf.DUMMYFUNCTION("""COMPUTED_VALUE"""),"")</f>
        <v/>
      </c>
      <c r="C337" s="189" t="str">
        <f ca="1">IFERROR(__xludf.DUMMYFUNCTION("""COMPUTED_VALUE"""),"")</f>
        <v/>
      </c>
      <c r="D337" s="189" t="str">
        <f ca="1">IFERROR(__xludf.DUMMYFUNCTION("""COMPUTED_VALUE"""),"")</f>
        <v/>
      </c>
      <c r="E337" s="189" t="str">
        <f ca="1">IFERROR(__xludf.DUMMYFUNCTION("""COMPUTED_VALUE"""),"")</f>
        <v/>
      </c>
      <c r="F337" s="189" t="str">
        <f ca="1">IFERROR(__xludf.DUMMYFUNCTION("""COMPUTED_VALUE"""),"")</f>
        <v/>
      </c>
      <c r="G337" s="189" t="str">
        <f ca="1">IFERROR(__xludf.DUMMYFUNCTION("""COMPUTED_VALUE"""),"")</f>
        <v/>
      </c>
      <c r="H337" s="189" t="str">
        <f ca="1">IFERROR(__xludf.DUMMYFUNCTION("""COMPUTED_VALUE"""),"")</f>
        <v/>
      </c>
      <c r="I337" s="120" t="str">
        <f ca="1">IFERROR(__xludf.DUMMYFUNCTION("""COMPUTED_VALUE"""),"")</f>
        <v/>
      </c>
      <c r="J337" s="189" t="str">
        <f ca="1">IFERROR(__xludf.DUMMYFUNCTION("""COMPUTED_VALUE"""),"")</f>
        <v/>
      </c>
      <c r="K337" s="189" t="str">
        <f ca="1">IFERROR(__xludf.DUMMYFUNCTION("""COMPUTED_VALUE"""),"")</f>
        <v/>
      </c>
      <c r="L337" s="189" t="str">
        <f ca="1">IFERROR(__xludf.DUMMYFUNCTION("""COMPUTED_VALUE"""),"")</f>
        <v/>
      </c>
      <c r="M337" s="189" t="str">
        <f ca="1">IFERROR(__xludf.DUMMYFUNCTION("""COMPUTED_VALUE"""),"")</f>
        <v/>
      </c>
      <c r="N337" s="189" t="str">
        <f ca="1">IFERROR(__xludf.DUMMYFUNCTION("""COMPUTED_VALUE"""),"")</f>
        <v/>
      </c>
      <c r="O337" s="189" t="str">
        <f ca="1">IFERROR(__xludf.DUMMYFUNCTION("""COMPUTED_VALUE"""),"")</f>
        <v/>
      </c>
      <c r="P337" s="189" t="str">
        <f ca="1">IFERROR(__xludf.DUMMYFUNCTION("""COMPUTED_VALUE"""),"")</f>
        <v/>
      </c>
      <c r="Q337" s="189" t="str">
        <f ca="1">IFERROR(__xludf.DUMMYFUNCTION("""COMPUTED_VALUE"""),"")</f>
        <v/>
      </c>
      <c r="R337" s="189" t="str">
        <f ca="1">IFERROR(__xludf.DUMMYFUNCTION("""COMPUTED_VALUE"""),"")</f>
        <v/>
      </c>
      <c r="S337" s="189" t="str">
        <f ca="1">IFERROR(__xludf.DUMMYFUNCTION("""COMPUTED_VALUE"""),"")</f>
        <v/>
      </c>
      <c r="T337" s="189" t="str">
        <f ca="1">IFERROR(__xludf.DUMMYFUNCTION("""COMPUTED_VALUE"""),"")</f>
        <v/>
      </c>
      <c r="U337" s="189" t="str">
        <f ca="1">IFERROR(__xludf.DUMMYFUNCTION("""COMPUTED_VALUE"""),"")</f>
        <v/>
      </c>
      <c r="V337" s="189" t="str">
        <f ca="1">IFERROR(__xludf.DUMMYFUNCTION("""COMPUTED_VALUE"""),"")</f>
        <v/>
      </c>
      <c r="W337" s="189" t="str">
        <f ca="1">IFERROR(__xludf.DUMMYFUNCTION("""COMPUTED_VALUE"""),"")</f>
        <v/>
      </c>
      <c r="X337" s="189" t="str">
        <f ca="1">IFERROR(__xludf.DUMMYFUNCTION("""COMPUTED_VALUE"""),"")</f>
        <v/>
      </c>
      <c r="Y337" s="189" t="str">
        <f ca="1">IFERROR(__xludf.DUMMYFUNCTION("""COMPUTED_VALUE"""),"")</f>
        <v/>
      </c>
      <c r="Z337" s="189"/>
    </row>
    <row r="338" spans="1:26" ht="12.75">
      <c r="A338" s="189" t="str">
        <f ca="1">IFERROR(__xludf.DUMMYFUNCTION("""COMPUTED_VALUE"""),"")</f>
        <v/>
      </c>
      <c r="B338" s="189" t="str">
        <f ca="1">IFERROR(__xludf.DUMMYFUNCTION("""COMPUTED_VALUE"""),"")</f>
        <v/>
      </c>
      <c r="C338" s="189" t="str">
        <f ca="1">IFERROR(__xludf.DUMMYFUNCTION("""COMPUTED_VALUE"""),"")</f>
        <v/>
      </c>
      <c r="D338" s="189" t="str">
        <f ca="1">IFERROR(__xludf.DUMMYFUNCTION("""COMPUTED_VALUE"""),"")</f>
        <v/>
      </c>
      <c r="E338" s="189" t="str">
        <f ca="1">IFERROR(__xludf.DUMMYFUNCTION("""COMPUTED_VALUE"""),"")</f>
        <v/>
      </c>
      <c r="F338" s="189" t="str">
        <f ca="1">IFERROR(__xludf.DUMMYFUNCTION("""COMPUTED_VALUE"""),"")</f>
        <v/>
      </c>
      <c r="G338" s="189" t="str">
        <f ca="1">IFERROR(__xludf.DUMMYFUNCTION("""COMPUTED_VALUE"""),"")</f>
        <v/>
      </c>
      <c r="H338" s="189" t="str">
        <f ca="1">IFERROR(__xludf.DUMMYFUNCTION("""COMPUTED_VALUE"""),"")</f>
        <v/>
      </c>
      <c r="I338" s="120" t="str">
        <f ca="1">IFERROR(__xludf.DUMMYFUNCTION("""COMPUTED_VALUE"""),"")</f>
        <v/>
      </c>
      <c r="J338" s="189" t="str">
        <f ca="1">IFERROR(__xludf.DUMMYFUNCTION("""COMPUTED_VALUE"""),"")</f>
        <v/>
      </c>
      <c r="K338" s="189" t="str">
        <f ca="1">IFERROR(__xludf.DUMMYFUNCTION("""COMPUTED_VALUE"""),"")</f>
        <v/>
      </c>
      <c r="L338" s="189" t="str">
        <f ca="1">IFERROR(__xludf.DUMMYFUNCTION("""COMPUTED_VALUE"""),"")</f>
        <v/>
      </c>
      <c r="M338" s="189" t="str">
        <f ca="1">IFERROR(__xludf.DUMMYFUNCTION("""COMPUTED_VALUE"""),"")</f>
        <v/>
      </c>
      <c r="N338" s="189" t="str">
        <f ca="1">IFERROR(__xludf.DUMMYFUNCTION("""COMPUTED_VALUE"""),"")</f>
        <v/>
      </c>
      <c r="O338" s="189" t="str">
        <f ca="1">IFERROR(__xludf.DUMMYFUNCTION("""COMPUTED_VALUE"""),"")</f>
        <v/>
      </c>
      <c r="P338" s="189" t="str">
        <f ca="1">IFERROR(__xludf.DUMMYFUNCTION("""COMPUTED_VALUE"""),"")</f>
        <v/>
      </c>
      <c r="Q338" s="189" t="str">
        <f ca="1">IFERROR(__xludf.DUMMYFUNCTION("""COMPUTED_VALUE"""),"")</f>
        <v/>
      </c>
      <c r="R338" s="189" t="str">
        <f ca="1">IFERROR(__xludf.DUMMYFUNCTION("""COMPUTED_VALUE"""),"")</f>
        <v/>
      </c>
      <c r="S338" s="189" t="str">
        <f ca="1">IFERROR(__xludf.DUMMYFUNCTION("""COMPUTED_VALUE"""),"")</f>
        <v/>
      </c>
      <c r="T338" s="189" t="str">
        <f ca="1">IFERROR(__xludf.DUMMYFUNCTION("""COMPUTED_VALUE"""),"")</f>
        <v/>
      </c>
      <c r="U338" s="189" t="str">
        <f ca="1">IFERROR(__xludf.DUMMYFUNCTION("""COMPUTED_VALUE"""),"")</f>
        <v/>
      </c>
      <c r="V338" s="189" t="str">
        <f ca="1">IFERROR(__xludf.DUMMYFUNCTION("""COMPUTED_VALUE"""),"")</f>
        <v/>
      </c>
      <c r="W338" s="189" t="str">
        <f ca="1">IFERROR(__xludf.DUMMYFUNCTION("""COMPUTED_VALUE"""),"")</f>
        <v/>
      </c>
      <c r="X338" s="189" t="str">
        <f ca="1">IFERROR(__xludf.DUMMYFUNCTION("""COMPUTED_VALUE"""),"")</f>
        <v/>
      </c>
      <c r="Y338" s="189" t="str">
        <f ca="1">IFERROR(__xludf.DUMMYFUNCTION("""COMPUTED_VALUE"""),"")</f>
        <v/>
      </c>
      <c r="Z338" s="189"/>
    </row>
    <row r="339" spans="1:26" ht="12.75">
      <c r="A339" s="189" t="str">
        <f ca="1">IFERROR(__xludf.DUMMYFUNCTION("""COMPUTED_VALUE"""),"")</f>
        <v/>
      </c>
      <c r="B339" s="189" t="str">
        <f ca="1">IFERROR(__xludf.DUMMYFUNCTION("""COMPUTED_VALUE"""),"")</f>
        <v/>
      </c>
      <c r="C339" s="189" t="str">
        <f ca="1">IFERROR(__xludf.DUMMYFUNCTION("""COMPUTED_VALUE"""),"")</f>
        <v/>
      </c>
      <c r="D339" s="189" t="str">
        <f ca="1">IFERROR(__xludf.DUMMYFUNCTION("""COMPUTED_VALUE"""),"")</f>
        <v/>
      </c>
      <c r="E339" s="189" t="str">
        <f ca="1">IFERROR(__xludf.DUMMYFUNCTION("""COMPUTED_VALUE"""),"")</f>
        <v/>
      </c>
      <c r="F339" s="189" t="str">
        <f ca="1">IFERROR(__xludf.DUMMYFUNCTION("""COMPUTED_VALUE"""),"")</f>
        <v/>
      </c>
      <c r="G339" s="189" t="str">
        <f ca="1">IFERROR(__xludf.DUMMYFUNCTION("""COMPUTED_VALUE"""),"")</f>
        <v/>
      </c>
      <c r="H339" s="189" t="str">
        <f ca="1">IFERROR(__xludf.DUMMYFUNCTION("""COMPUTED_VALUE"""),"")</f>
        <v/>
      </c>
      <c r="I339" s="120" t="str">
        <f ca="1">IFERROR(__xludf.DUMMYFUNCTION("""COMPUTED_VALUE"""),"")</f>
        <v/>
      </c>
      <c r="J339" s="189" t="str">
        <f ca="1">IFERROR(__xludf.DUMMYFUNCTION("""COMPUTED_VALUE"""),"")</f>
        <v/>
      </c>
      <c r="K339" s="189" t="str">
        <f ca="1">IFERROR(__xludf.DUMMYFUNCTION("""COMPUTED_VALUE"""),"")</f>
        <v/>
      </c>
      <c r="L339" s="189" t="str">
        <f ca="1">IFERROR(__xludf.DUMMYFUNCTION("""COMPUTED_VALUE"""),"")</f>
        <v/>
      </c>
      <c r="M339" s="189" t="str">
        <f ca="1">IFERROR(__xludf.DUMMYFUNCTION("""COMPUTED_VALUE"""),"")</f>
        <v/>
      </c>
      <c r="N339" s="189" t="str">
        <f ca="1">IFERROR(__xludf.DUMMYFUNCTION("""COMPUTED_VALUE"""),"")</f>
        <v/>
      </c>
      <c r="O339" s="189" t="str">
        <f ca="1">IFERROR(__xludf.DUMMYFUNCTION("""COMPUTED_VALUE"""),"")</f>
        <v/>
      </c>
      <c r="P339" s="189" t="str">
        <f ca="1">IFERROR(__xludf.DUMMYFUNCTION("""COMPUTED_VALUE"""),"")</f>
        <v/>
      </c>
      <c r="Q339" s="189" t="str">
        <f ca="1">IFERROR(__xludf.DUMMYFUNCTION("""COMPUTED_VALUE"""),"")</f>
        <v/>
      </c>
      <c r="R339" s="189" t="str">
        <f ca="1">IFERROR(__xludf.DUMMYFUNCTION("""COMPUTED_VALUE"""),"")</f>
        <v/>
      </c>
      <c r="S339" s="189" t="str">
        <f ca="1">IFERROR(__xludf.DUMMYFUNCTION("""COMPUTED_VALUE"""),"")</f>
        <v/>
      </c>
      <c r="T339" s="189" t="str">
        <f ca="1">IFERROR(__xludf.DUMMYFUNCTION("""COMPUTED_VALUE"""),"")</f>
        <v/>
      </c>
      <c r="U339" s="189" t="str">
        <f ca="1">IFERROR(__xludf.DUMMYFUNCTION("""COMPUTED_VALUE"""),"")</f>
        <v/>
      </c>
      <c r="V339" s="189" t="str">
        <f ca="1">IFERROR(__xludf.DUMMYFUNCTION("""COMPUTED_VALUE"""),"")</f>
        <v/>
      </c>
      <c r="W339" s="189" t="str">
        <f ca="1">IFERROR(__xludf.DUMMYFUNCTION("""COMPUTED_VALUE"""),"")</f>
        <v/>
      </c>
      <c r="X339" s="189" t="str">
        <f ca="1">IFERROR(__xludf.DUMMYFUNCTION("""COMPUTED_VALUE"""),"")</f>
        <v/>
      </c>
      <c r="Y339" s="189" t="str">
        <f ca="1">IFERROR(__xludf.DUMMYFUNCTION("""COMPUTED_VALUE"""),"")</f>
        <v/>
      </c>
      <c r="Z339" s="189"/>
    </row>
    <row r="340" spans="1:26" ht="12.75">
      <c r="A340" s="189" t="str">
        <f ca="1">IFERROR(__xludf.DUMMYFUNCTION("""COMPUTED_VALUE"""),"")</f>
        <v/>
      </c>
      <c r="B340" s="189" t="str">
        <f ca="1">IFERROR(__xludf.DUMMYFUNCTION("""COMPUTED_VALUE"""),"")</f>
        <v/>
      </c>
      <c r="C340" s="189" t="str">
        <f ca="1">IFERROR(__xludf.DUMMYFUNCTION("""COMPUTED_VALUE"""),"")</f>
        <v/>
      </c>
      <c r="D340" s="189" t="str">
        <f ca="1">IFERROR(__xludf.DUMMYFUNCTION("""COMPUTED_VALUE"""),"")</f>
        <v/>
      </c>
      <c r="E340" s="189" t="str">
        <f ca="1">IFERROR(__xludf.DUMMYFUNCTION("""COMPUTED_VALUE"""),"")</f>
        <v/>
      </c>
      <c r="F340" s="189" t="str">
        <f ca="1">IFERROR(__xludf.DUMMYFUNCTION("""COMPUTED_VALUE"""),"")</f>
        <v/>
      </c>
      <c r="G340" s="189" t="str">
        <f ca="1">IFERROR(__xludf.DUMMYFUNCTION("""COMPUTED_VALUE"""),"")</f>
        <v/>
      </c>
      <c r="H340" s="189" t="str">
        <f ca="1">IFERROR(__xludf.DUMMYFUNCTION("""COMPUTED_VALUE"""),"")</f>
        <v/>
      </c>
      <c r="I340" s="120" t="str">
        <f ca="1">IFERROR(__xludf.DUMMYFUNCTION("""COMPUTED_VALUE"""),"")</f>
        <v/>
      </c>
      <c r="J340" s="189" t="str">
        <f ca="1">IFERROR(__xludf.DUMMYFUNCTION("""COMPUTED_VALUE"""),"")</f>
        <v/>
      </c>
      <c r="K340" s="189" t="str">
        <f ca="1">IFERROR(__xludf.DUMMYFUNCTION("""COMPUTED_VALUE"""),"")</f>
        <v/>
      </c>
      <c r="L340" s="189" t="str">
        <f ca="1">IFERROR(__xludf.DUMMYFUNCTION("""COMPUTED_VALUE"""),"")</f>
        <v/>
      </c>
      <c r="M340" s="189" t="str">
        <f ca="1">IFERROR(__xludf.DUMMYFUNCTION("""COMPUTED_VALUE"""),"")</f>
        <v/>
      </c>
      <c r="N340" s="189" t="str">
        <f ca="1">IFERROR(__xludf.DUMMYFUNCTION("""COMPUTED_VALUE"""),"")</f>
        <v/>
      </c>
      <c r="O340" s="189" t="str">
        <f ca="1">IFERROR(__xludf.DUMMYFUNCTION("""COMPUTED_VALUE"""),"")</f>
        <v/>
      </c>
      <c r="P340" s="189" t="str">
        <f ca="1">IFERROR(__xludf.DUMMYFUNCTION("""COMPUTED_VALUE"""),"")</f>
        <v/>
      </c>
      <c r="Q340" s="189" t="str">
        <f ca="1">IFERROR(__xludf.DUMMYFUNCTION("""COMPUTED_VALUE"""),"")</f>
        <v/>
      </c>
      <c r="R340" s="189" t="str">
        <f ca="1">IFERROR(__xludf.DUMMYFUNCTION("""COMPUTED_VALUE"""),"")</f>
        <v/>
      </c>
      <c r="S340" s="189" t="str">
        <f ca="1">IFERROR(__xludf.DUMMYFUNCTION("""COMPUTED_VALUE"""),"")</f>
        <v/>
      </c>
      <c r="T340" s="189" t="str">
        <f ca="1">IFERROR(__xludf.DUMMYFUNCTION("""COMPUTED_VALUE"""),"")</f>
        <v/>
      </c>
      <c r="U340" s="189" t="str">
        <f ca="1">IFERROR(__xludf.DUMMYFUNCTION("""COMPUTED_VALUE"""),"")</f>
        <v/>
      </c>
      <c r="V340" s="189" t="str">
        <f ca="1">IFERROR(__xludf.DUMMYFUNCTION("""COMPUTED_VALUE"""),"")</f>
        <v/>
      </c>
      <c r="W340" s="189" t="str">
        <f ca="1">IFERROR(__xludf.DUMMYFUNCTION("""COMPUTED_VALUE"""),"")</f>
        <v/>
      </c>
      <c r="X340" s="189" t="str">
        <f ca="1">IFERROR(__xludf.DUMMYFUNCTION("""COMPUTED_VALUE"""),"")</f>
        <v/>
      </c>
      <c r="Y340" s="189" t="str">
        <f ca="1">IFERROR(__xludf.DUMMYFUNCTION("""COMPUTED_VALUE"""),"")</f>
        <v/>
      </c>
      <c r="Z340" s="189"/>
    </row>
    <row r="341" spans="1:26" ht="12.75">
      <c r="A341" s="189" t="str">
        <f ca="1">IFERROR(__xludf.DUMMYFUNCTION("""COMPUTED_VALUE"""),"")</f>
        <v/>
      </c>
      <c r="B341" s="189" t="str">
        <f ca="1">IFERROR(__xludf.DUMMYFUNCTION("""COMPUTED_VALUE"""),"")</f>
        <v/>
      </c>
      <c r="C341" s="189" t="str">
        <f ca="1">IFERROR(__xludf.DUMMYFUNCTION("""COMPUTED_VALUE"""),"")</f>
        <v/>
      </c>
      <c r="D341" s="189" t="str">
        <f ca="1">IFERROR(__xludf.DUMMYFUNCTION("""COMPUTED_VALUE"""),"")</f>
        <v/>
      </c>
      <c r="E341" s="189" t="str">
        <f ca="1">IFERROR(__xludf.DUMMYFUNCTION("""COMPUTED_VALUE"""),"")</f>
        <v/>
      </c>
      <c r="F341" s="189" t="str">
        <f ca="1">IFERROR(__xludf.DUMMYFUNCTION("""COMPUTED_VALUE"""),"")</f>
        <v/>
      </c>
      <c r="G341" s="189" t="str">
        <f ca="1">IFERROR(__xludf.DUMMYFUNCTION("""COMPUTED_VALUE"""),"")</f>
        <v/>
      </c>
      <c r="H341" s="189" t="str">
        <f ca="1">IFERROR(__xludf.DUMMYFUNCTION("""COMPUTED_VALUE"""),"")</f>
        <v/>
      </c>
      <c r="I341" s="120" t="str">
        <f ca="1">IFERROR(__xludf.DUMMYFUNCTION("""COMPUTED_VALUE"""),"")</f>
        <v/>
      </c>
      <c r="J341" s="189" t="str">
        <f ca="1">IFERROR(__xludf.DUMMYFUNCTION("""COMPUTED_VALUE"""),"")</f>
        <v/>
      </c>
      <c r="K341" s="189" t="str">
        <f ca="1">IFERROR(__xludf.DUMMYFUNCTION("""COMPUTED_VALUE"""),"")</f>
        <v/>
      </c>
      <c r="L341" s="189" t="str">
        <f ca="1">IFERROR(__xludf.DUMMYFUNCTION("""COMPUTED_VALUE"""),"")</f>
        <v/>
      </c>
      <c r="M341" s="189" t="str">
        <f ca="1">IFERROR(__xludf.DUMMYFUNCTION("""COMPUTED_VALUE"""),"")</f>
        <v/>
      </c>
      <c r="N341" s="189" t="str">
        <f ca="1">IFERROR(__xludf.DUMMYFUNCTION("""COMPUTED_VALUE"""),"")</f>
        <v/>
      </c>
      <c r="O341" s="189" t="str">
        <f ca="1">IFERROR(__xludf.DUMMYFUNCTION("""COMPUTED_VALUE"""),"")</f>
        <v/>
      </c>
      <c r="P341" s="189" t="str">
        <f ca="1">IFERROR(__xludf.DUMMYFUNCTION("""COMPUTED_VALUE"""),"")</f>
        <v/>
      </c>
      <c r="Q341" s="189" t="str">
        <f ca="1">IFERROR(__xludf.DUMMYFUNCTION("""COMPUTED_VALUE"""),"")</f>
        <v/>
      </c>
      <c r="R341" s="189" t="str">
        <f ca="1">IFERROR(__xludf.DUMMYFUNCTION("""COMPUTED_VALUE"""),"")</f>
        <v/>
      </c>
      <c r="S341" s="189" t="str">
        <f ca="1">IFERROR(__xludf.DUMMYFUNCTION("""COMPUTED_VALUE"""),"")</f>
        <v/>
      </c>
      <c r="T341" s="189" t="str">
        <f ca="1">IFERROR(__xludf.DUMMYFUNCTION("""COMPUTED_VALUE"""),"")</f>
        <v/>
      </c>
      <c r="U341" s="189" t="str">
        <f ca="1">IFERROR(__xludf.DUMMYFUNCTION("""COMPUTED_VALUE"""),"")</f>
        <v/>
      </c>
      <c r="V341" s="189" t="str">
        <f ca="1">IFERROR(__xludf.DUMMYFUNCTION("""COMPUTED_VALUE"""),"")</f>
        <v/>
      </c>
      <c r="W341" s="189" t="str">
        <f ca="1">IFERROR(__xludf.DUMMYFUNCTION("""COMPUTED_VALUE"""),"")</f>
        <v/>
      </c>
      <c r="X341" s="189" t="str">
        <f ca="1">IFERROR(__xludf.DUMMYFUNCTION("""COMPUTED_VALUE"""),"")</f>
        <v/>
      </c>
      <c r="Y341" s="189" t="str">
        <f ca="1">IFERROR(__xludf.DUMMYFUNCTION("""COMPUTED_VALUE"""),"")</f>
        <v/>
      </c>
      <c r="Z341" s="189"/>
    </row>
    <row r="342" spans="1:26" ht="12.75">
      <c r="A342" s="189" t="str">
        <f ca="1">IFERROR(__xludf.DUMMYFUNCTION("""COMPUTED_VALUE"""),"")</f>
        <v/>
      </c>
      <c r="B342" s="189" t="str">
        <f ca="1">IFERROR(__xludf.DUMMYFUNCTION("""COMPUTED_VALUE"""),"")</f>
        <v/>
      </c>
      <c r="C342" s="189" t="str">
        <f ca="1">IFERROR(__xludf.DUMMYFUNCTION("""COMPUTED_VALUE"""),"")</f>
        <v/>
      </c>
      <c r="D342" s="189" t="str">
        <f ca="1">IFERROR(__xludf.DUMMYFUNCTION("""COMPUTED_VALUE"""),"")</f>
        <v/>
      </c>
      <c r="E342" s="189" t="str">
        <f ca="1">IFERROR(__xludf.DUMMYFUNCTION("""COMPUTED_VALUE"""),"")</f>
        <v/>
      </c>
      <c r="F342" s="189" t="str">
        <f ca="1">IFERROR(__xludf.DUMMYFUNCTION("""COMPUTED_VALUE"""),"")</f>
        <v/>
      </c>
      <c r="G342" s="189" t="str">
        <f ca="1">IFERROR(__xludf.DUMMYFUNCTION("""COMPUTED_VALUE"""),"")</f>
        <v/>
      </c>
      <c r="H342" s="189" t="str">
        <f ca="1">IFERROR(__xludf.DUMMYFUNCTION("""COMPUTED_VALUE"""),"")</f>
        <v/>
      </c>
      <c r="I342" s="120" t="str">
        <f ca="1">IFERROR(__xludf.DUMMYFUNCTION("""COMPUTED_VALUE"""),"")</f>
        <v/>
      </c>
      <c r="J342" s="189" t="str">
        <f ca="1">IFERROR(__xludf.DUMMYFUNCTION("""COMPUTED_VALUE"""),"")</f>
        <v/>
      </c>
      <c r="K342" s="189" t="str">
        <f ca="1">IFERROR(__xludf.DUMMYFUNCTION("""COMPUTED_VALUE"""),"")</f>
        <v/>
      </c>
      <c r="L342" s="189" t="str">
        <f ca="1">IFERROR(__xludf.DUMMYFUNCTION("""COMPUTED_VALUE"""),"")</f>
        <v/>
      </c>
      <c r="M342" s="189" t="str">
        <f ca="1">IFERROR(__xludf.DUMMYFUNCTION("""COMPUTED_VALUE"""),"")</f>
        <v/>
      </c>
      <c r="N342" s="189" t="str">
        <f ca="1">IFERROR(__xludf.DUMMYFUNCTION("""COMPUTED_VALUE"""),"")</f>
        <v/>
      </c>
      <c r="O342" s="189" t="str">
        <f ca="1">IFERROR(__xludf.DUMMYFUNCTION("""COMPUTED_VALUE"""),"")</f>
        <v/>
      </c>
      <c r="P342" s="189" t="str">
        <f ca="1">IFERROR(__xludf.DUMMYFUNCTION("""COMPUTED_VALUE"""),"")</f>
        <v/>
      </c>
      <c r="Q342" s="189" t="str">
        <f ca="1">IFERROR(__xludf.DUMMYFUNCTION("""COMPUTED_VALUE"""),"")</f>
        <v/>
      </c>
      <c r="R342" s="189" t="str">
        <f ca="1">IFERROR(__xludf.DUMMYFUNCTION("""COMPUTED_VALUE"""),"")</f>
        <v/>
      </c>
      <c r="S342" s="189" t="str">
        <f ca="1">IFERROR(__xludf.DUMMYFUNCTION("""COMPUTED_VALUE"""),"")</f>
        <v/>
      </c>
      <c r="T342" s="189" t="str">
        <f ca="1">IFERROR(__xludf.DUMMYFUNCTION("""COMPUTED_VALUE"""),"")</f>
        <v/>
      </c>
      <c r="U342" s="189" t="str">
        <f ca="1">IFERROR(__xludf.DUMMYFUNCTION("""COMPUTED_VALUE"""),"")</f>
        <v/>
      </c>
      <c r="V342" s="189" t="str">
        <f ca="1">IFERROR(__xludf.DUMMYFUNCTION("""COMPUTED_VALUE"""),"")</f>
        <v/>
      </c>
      <c r="W342" s="189" t="str">
        <f ca="1">IFERROR(__xludf.DUMMYFUNCTION("""COMPUTED_VALUE"""),"")</f>
        <v/>
      </c>
      <c r="X342" s="189" t="str">
        <f ca="1">IFERROR(__xludf.DUMMYFUNCTION("""COMPUTED_VALUE"""),"")</f>
        <v/>
      </c>
      <c r="Y342" s="189" t="str">
        <f ca="1">IFERROR(__xludf.DUMMYFUNCTION("""COMPUTED_VALUE"""),"")</f>
        <v/>
      </c>
      <c r="Z342" s="189"/>
    </row>
    <row r="343" spans="1:26" ht="12.75">
      <c r="A343" s="189" t="str">
        <f ca="1">IFERROR(__xludf.DUMMYFUNCTION("""COMPUTED_VALUE"""),"")</f>
        <v/>
      </c>
      <c r="B343" s="189" t="str">
        <f ca="1">IFERROR(__xludf.DUMMYFUNCTION("""COMPUTED_VALUE"""),"")</f>
        <v/>
      </c>
      <c r="C343" s="189" t="str">
        <f ca="1">IFERROR(__xludf.DUMMYFUNCTION("""COMPUTED_VALUE"""),"")</f>
        <v/>
      </c>
      <c r="D343" s="189" t="str">
        <f ca="1">IFERROR(__xludf.DUMMYFUNCTION("""COMPUTED_VALUE"""),"")</f>
        <v/>
      </c>
      <c r="E343" s="189" t="str">
        <f ca="1">IFERROR(__xludf.DUMMYFUNCTION("""COMPUTED_VALUE"""),"")</f>
        <v/>
      </c>
      <c r="F343" s="189" t="str">
        <f ca="1">IFERROR(__xludf.DUMMYFUNCTION("""COMPUTED_VALUE"""),"")</f>
        <v/>
      </c>
      <c r="G343" s="189" t="str">
        <f ca="1">IFERROR(__xludf.DUMMYFUNCTION("""COMPUTED_VALUE"""),"")</f>
        <v/>
      </c>
      <c r="H343" s="189" t="str">
        <f ca="1">IFERROR(__xludf.DUMMYFUNCTION("""COMPUTED_VALUE"""),"")</f>
        <v/>
      </c>
      <c r="I343" s="120" t="str">
        <f ca="1">IFERROR(__xludf.DUMMYFUNCTION("""COMPUTED_VALUE"""),"")</f>
        <v/>
      </c>
      <c r="J343" s="189" t="str">
        <f ca="1">IFERROR(__xludf.DUMMYFUNCTION("""COMPUTED_VALUE"""),"")</f>
        <v/>
      </c>
      <c r="K343" s="189" t="str">
        <f ca="1">IFERROR(__xludf.DUMMYFUNCTION("""COMPUTED_VALUE"""),"")</f>
        <v/>
      </c>
      <c r="L343" s="189" t="str">
        <f ca="1">IFERROR(__xludf.DUMMYFUNCTION("""COMPUTED_VALUE"""),"")</f>
        <v/>
      </c>
      <c r="M343" s="189" t="str">
        <f ca="1">IFERROR(__xludf.DUMMYFUNCTION("""COMPUTED_VALUE"""),"")</f>
        <v/>
      </c>
      <c r="N343" s="189" t="str">
        <f ca="1">IFERROR(__xludf.DUMMYFUNCTION("""COMPUTED_VALUE"""),"")</f>
        <v/>
      </c>
      <c r="O343" s="189" t="str">
        <f ca="1">IFERROR(__xludf.DUMMYFUNCTION("""COMPUTED_VALUE"""),"")</f>
        <v/>
      </c>
      <c r="P343" s="189" t="str">
        <f ca="1">IFERROR(__xludf.DUMMYFUNCTION("""COMPUTED_VALUE"""),"")</f>
        <v/>
      </c>
      <c r="Q343" s="189" t="str">
        <f ca="1">IFERROR(__xludf.DUMMYFUNCTION("""COMPUTED_VALUE"""),"")</f>
        <v/>
      </c>
      <c r="R343" s="189" t="str">
        <f ca="1">IFERROR(__xludf.DUMMYFUNCTION("""COMPUTED_VALUE"""),"")</f>
        <v/>
      </c>
      <c r="S343" s="189" t="str">
        <f ca="1">IFERROR(__xludf.DUMMYFUNCTION("""COMPUTED_VALUE"""),"")</f>
        <v/>
      </c>
      <c r="T343" s="189" t="str">
        <f ca="1">IFERROR(__xludf.DUMMYFUNCTION("""COMPUTED_VALUE"""),"")</f>
        <v/>
      </c>
      <c r="U343" s="189" t="str">
        <f ca="1">IFERROR(__xludf.DUMMYFUNCTION("""COMPUTED_VALUE"""),"")</f>
        <v/>
      </c>
      <c r="V343" s="189" t="str">
        <f ca="1">IFERROR(__xludf.DUMMYFUNCTION("""COMPUTED_VALUE"""),"")</f>
        <v/>
      </c>
      <c r="W343" s="189" t="str">
        <f ca="1">IFERROR(__xludf.DUMMYFUNCTION("""COMPUTED_VALUE"""),"")</f>
        <v/>
      </c>
      <c r="X343" s="189" t="str">
        <f ca="1">IFERROR(__xludf.DUMMYFUNCTION("""COMPUTED_VALUE"""),"")</f>
        <v/>
      </c>
      <c r="Y343" s="189" t="str">
        <f ca="1">IFERROR(__xludf.DUMMYFUNCTION("""COMPUTED_VALUE"""),"")</f>
        <v/>
      </c>
      <c r="Z343" s="189"/>
    </row>
    <row r="344" spans="1:26" ht="12.75">
      <c r="A344" s="189" t="str">
        <f ca="1">IFERROR(__xludf.DUMMYFUNCTION("""COMPUTED_VALUE"""),"")</f>
        <v/>
      </c>
      <c r="B344" s="189" t="str">
        <f ca="1">IFERROR(__xludf.DUMMYFUNCTION("""COMPUTED_VALUE"""),"")</f>
        <v/>
      </c>
      <c r="C344" s="189" t="str">
        <f ca="1">IFERROR(__xludf.DUMMYFUNCTION("""COMPUTED_VALUE"""),"")</f>
        <v/>
      </c>
      <c r="D344" s="189" t="str">
        <f ca="1">IFERROR(__xludf.DUMMYFUNCTION("""COMPUTED_VALUE"""),"")</f>
        <v/>
      </c>
      <c r="E344" s="189" t="str">
        <f ca="1">IFERROR(__xludf.DUMMYFUNCTION("""COMPUTED_VALUE"""),"")</f>
        <v/>
      </c>
      <c r="F344" s="189" t="str">
        <f ca="1">IFERROR(__xludf.DUMMYFUNCTION("""COMPUTED_VALUE"""),"")</f>
        <v/>
      </c>
      <c r="G344" s="189" t="str">
        <f ca="1">IFERROR(__xludf.DUMMYFUNCTION("""COMPUTED_VALUE"""),"")</f>
        <v/>
      </c>
      <c r="H344" s="189" t="str">
        <f ca="1">IFERROR(__xludf.DUMMYFUNCTION("""COMPUTED_VALUE"""),"")</f>
        <v/>
      </c>
      <c r="I344" s="120" t="str">
        <f ca="1">IFERROR(__xludf.DUMMYFUNCTION("""COMPUTED_VALUE"""),"")</f>
        <v/>
      </c>
      <c r="J344" s="189" t="str">
        <f ca="1">IFERROR(__xludf.DUMMYFUNCTION("""COMPUTED_VALUE"""),"")</f>
        <v/>
      </c>
      <c r="K344" s="189" t="str">
        <f ca="1">IFERROR(__xludf.DUMMYFUNCTION("""COMPUTED_VALUE"""),"")</f>
        <v/>
      </c>
      <c r="L344" s="189" t="str">
        <f ca="1">IFERROR(__xludf.DUMMYFUNCTION("""COMPUTED_VALUE"""),"")</f>
        <v/>
      </c>
      <c r="M344" s="189" t="str">
        <f ca="1">IFERROR(__xludf.DUMMYFUNCTION("""COMPUTED_VALUE"""),"")</f>
        <v/>
      </c>
      <c r="N344" s="189" t="str">
        <f ca="1">IFERROR(__xludf.DUMMYFUNCTION("""COMPUTED_VALUE"""),"")</f>
        <v/>
      </c>
      <c r="O344" s="189" t="str">
        <f ca="1">IFERROR(__xludf.DUMMYFUNCTION("""COMPUTED_VALUE"""),"")</f>
        <v/>
      </c>
      <c r="P344" s="189" t="str">
        <f ca="1">IFERROR(__xludf.DUMMYFUNCTION("""COMPUTED_VALUE"""),"")</f>
        <v/>
      </c>
      <c r="Q344" s="189" t="str">
        <f ca="1">IFERROR(__xludf.DUMMYFUNCTION("""COMPUTED_VALUE"""),"")</f>
        <v/>
      </c>
      <c r="R344" s="189" t="str">
        <f ca="1">IFERROR(__xludf.DUMMYFUNCTION("""COMPUTED_VALUE"""),"")</f>
        <v/>
      </c>
      <c r="S344" s="189" t="str">
        <f ca="1">IFERROR(__xludf.DUMMYFUNCTION("""COMPUTED_VALUE"""),"")</f>
        <v/>
      </c>
      <c r="T344" s="189" t="str">
        <f ca="1">IFERROR(__xludf.DUMMYFUNCTION("""COMPUTED_VALUE"""),"")</f>
        <v/>
      </c>
      <c r="U344" s="189" t="str">
        <f ca="1">IFERROR(__xludf.DUMMYFUNCTION("""COMPUTED_VALUE"""),"")</f>
        <v/>
      </c>
      <c r="V344" s="189" t="str">
        <f ca="1">IFERROR(__xludf.DUMMYFUNCTION("""COMPUTED_VALUE"""),"")</f>
        <v/>
      </c>
      <c r="W344" s="189" t="str">
        <f ca="1">IFERROR(__xludf.DUMMYFUNCTION("""COMPUTED_VALUE"""),"")</f>
        <v/>
      </c>
      <c r="X344" s="189" t="str">
        <f ca="1">IFERROR(__xludf.DUMMYFUNCTION("""COMPUTED_VALUE"""),"")</f>
        <v/>
      </c>
      <c r="Y344" s="189" t="str">
        <f ca="1">IFERROR(__xludf.DUMMYFUNCTION("""COMPUTED_VALUE"""),"")</f>
        <v/>
      </c>
      <c r="Z344" s="189"/>
    </row>
    <row r="345" spans="1:26" ht="12.75">
      <c r="A345" s="189" t="str">
        <f ca="1">IFERROR(__xludf.DUMMYFUNCTION("""COMPUTED_VALUE"""),"")</f>
        <v/>
      </c>
      <c r="B345" s="189" t="str">
        <f ca="1">IFERROR(__xludf.DUMMYFUNCTION("""COMPUTED_VALUE"""),"")</f>
        <v/>
      </c>
      <c r="C345" s="189" t="str">
        <f ca="1">IFERROR(__xludf.DUMMYFUNCTION("""COMPUTED_VALUE"""),"")</f>
        <v/>
      </c>
      <c r="D345" s="189" t="str">
        <f ca="1">IFERROR(__xludf.DUMMYFUNCTION("""COMPUTED_VALUE"""),"")</f>
        <v/>
      </c>
      <c r="E345" s="189" t="str">
        <f ca="1">IFERROR(__xludf.DUMMYFUNCTION("""COMPUTED_VALUE"""),"")</f>
        <v/>
      </c>
      <c r="F345" s="189" t="str">
        <f ca="1">IFERROR(__xludf.DUMMYFUNCTION("""COMPUTED_VALUE"""),"")</f>
        <v/>
      </c>
      <c r="G345" s="189" t="str">
        <f ca="1">IFERROR(__xludf.DUMMYFUNCTION("""COMPUTED_VALUE"""),"")</f>
        <v/>
      </c>
      <c r="H345" s="189" t="str">
        <f ca="1">IFERROR(__xludf.DUMMYFUNCTION("""COMPUTED_VALUE"""),"")</f>
        <v/>
      </c>
      <c r="I345" s="120" t="str">
        <f ca="1">IFERROR(__xludf.DUMMYFUNCTION("""COMPUTED_VALUE"""),"")</f>
        <v/>
      </c>
      <c r="J345" s="189" t="str">
        <f ca="1">IFERROR(__xludf.DUMMYFUNCTION("""COMPUTED_VALUE"""),"")</f>
        <v/>
      </c>
      <c r="K345" s="189" t="str">
        <f ca="1">IFERROR(__xludf.DUMMYFUNCTION("""COMPUTED_VALUE"""),"")</f>
        <v/>
      </c>
      <c r="L345" s="189" t="str">
        <f ca="1">IFERROR(__xludf.DUMMYFUNCTION("""COMPUTED_VALUE"""),"")</f>
        <v/>
      </c>
      <c r="M345" s="189" t="str">
        <f ca="1">IFERROR(__xludf.DUMMYFUNCTION("""COMPUTED_VALUE"""),"")</f>
        <v/>
      </c>
      <c r="N345" s="189" t="str">
        <f ca="1">IFERROR(__xludf.DUMMYFUNCTION("""COMPUTED_VALUE"""),"")</f>
        <v/>
      </c>
      <c r="O345" s="189" t="str">
        <f ca="1">IFERROR(__xludf.DUMMYFUNCTION("""COMPUTED_VALUE"""),"")</f>
        <v/>
      </c>
      <c r="P345" s="189" t="str">
        <f ca="1">IFERROR(__xludf.DUMMYFUNCTION("""COMPUTED_VALUE"""),"")</f>
        <v/>
      </c>
      <c r="Q345" s="189" t="str">
        <f ca="1">IFERROR(__xludf.DUMMYFUNCTION("""COMPUTED_VALUE"""),"")</f>
        <v/>
      </c>
      <c r="R345" s="189" t="str">
        <f ca="1">IFERROR(__xludf.DUMMYFUNCTION("""COMPUTED_VALUE"""),"")</f>
        <v/>
      </c>
      <c r="S345" s="189" t="str">
        <f ca="1">IFERROR(__xludf.DUMMYFUNCTION("""COMPUTED_VALUE"""),"")</f>
        <v/>
      </c>
      <c r="T345" s="189" t="str">
        <f ca="1">IFERROR(__xludf.DUMMYFUNCTION("""COMPUTED_VALUE"""),"")</f>
        <v/>
      </c>
      <c r="U345" s="189" t="str">
        <f ca="1">IFERROR(__xludf.DUMMYFUNCTION("""COMPUTED_VALUE"""),"")</f>
        <v/>
      </c>
      <c r="V345" s="189" t="str">
        <f ca="1">IFERROR(__xludf.DUMMYFUNCTION("""COMPUTED_VALUE"""),"")</f>
        <v/>
      </c>
      <c r="W345" s="189" t="str">
        <f ca="1">IFERROR(__xludf.DUMMYFUNCTION("""COMPUTED_VALUE"""),"")</f>
        <v/>
      </c>
      <c r="X345" s="189" t="str">
        <f ca="1">IFERROR(__xludf.DUMMYFUNCTION("""COMPUTED_VALUE"""),"")</f>
        <v/>
      </c>
      <c r="Y345" s="189" t="str">
        <f ca="1">IFERROR(__xludf.DUMMYFUNCTION("""COMPUTED_VALUE"""),"")</f>
        <v/>
      </c>
      <c r="Z345" s="189"/>
    </row>
    <row r="346" spans="1:26" ht="12.75">
      <c r="A346" s="189" t="str">
        <f ca="1">IFERROR(__xludf.DUMMYFUNCTION("""COMPUTED_VALUE"""),"")</f>
        <v/>
      </c>
      <c r="B346" s="189" t="str">
        <f ca="1">IFERROR(__xludf.DUMMYFUNCTION("""COMPUTED_VALUE"""),"")</f>
        <v/>
      </c>
      <c r="C346" s="189" t="str">
        <f ca="1">IFERROR(__xludf.DUMMYFUNCTION("""COMPUTED_VALUE"""),"")</f>
        <v/>
      </c>
      <c r="D346" s="189" t="str">
        <f ca="1">IFERROR(__xludf.DUMMYFUNCTION("""COMPUTED_VALUE"""),"")</f>
        <v/>
      </c>
      <c r="E346" s="189" t="str">
        <f ca="1">IFERROR(__xludf.DUMMYFUNCTION("""COMPUTED_VALUE"""),"")</f>
        <v/>
      </c>
      <c r="F346" s="189" t="str">
        <f ca="1">IFERROR(__xludf.DUMMYFUNCTION("""COMPUTED_VALUE"""),"")</f>
        <v/>
      </c>
      <c r="G346" s="189" t="str">
        <f ca="1">IFERROR(__xludf.DUMMYFUNCTION("""COMPUTED_VALUE"""),"")</f>
        <v/>
      </c>
      <c r="H346" s="189" t="str">
        <f ca="1">IFERROR(__xludf.DUMMYFUNCTION("""COMPUTED_VALUE"""),"")</f>
        <v/>
      </c>
      <c r="I346" s="120" t="str">
        <f ca="1">IFERROR(__xludf.DUMMYFUNCTION("""COMPUTED_VALUE"""),"")</f>
        <v/>
      </c>
      <c r="J346" s="189" t="str">
        <f ca="1">IFERROR(__xludf.DUMMYFUNCTION("""COMPUTED_VALUE"""),"")</f>
        <v/>
      </c>
      <c r="K346" s="189" t="str">
        <f ca="1">IFERROR(__xludf.DUMMYFUNCTION("""COMPUTED_VALUE"""),"")</f>
        <v/>
      </c>
      <c r="L346" s="189" t="str">
        <f ca="1">IFERROR(__xludf.DUMMYFUNCTION("""COMPUTED_VALUE"""),"")</f>
        <v/>
      </c>
      <c r="M346" s="189" t="str">
        <f ca="1">IFERROR(__xludf.DUMMYFUNCTION("""COMPUTED_VALUE"""),"")</f>
        <v/>
      </c>
      <c r="N346" s="189" t="str">
        <f ca="1">IFERROR(__xludf.DUMMYFUNCTION("""COMPUTED_VALUE"""),"")</f>
        <v/>
      </c>
      <c r="O346" s="189" t="str">
        <f ca="1">IFERROR(__xludf.DUMMYFUNCTION("""COMPUTED_VALUE"""),"")</f>
        <v/>
      </c>
      <c r="P346" s="189" t="str">
        <f ca="1">IFERROR(__xludf.DUMMYFUNCTION("""COMPUTED_VALUE"""),"")</f>
        <v/>
      </c>
      <c r="Q346" s="189" t="str">
        <f ca="1">IFERROR(__xludf.DUMMYFUNCTION("""COMPUTED_VALUE"""),"")</f>
        <v/>
      </c>
      <c r="R346" s="189" t="str">
        <f ca="1">IFERROR(__xludf.DUMMYFUNCTION("""COMPUTED_VALUE"""),"")</f>
        <v/>
      </c>
      <c r="S346" s="189" t="str">
        <f ca="1">IFERROR(__xludf.DUMMYFUNCTION("""COMPUTED_VALUE"""),"")</f>
        <v/>
      </c>
      <c r="T346" s="189" t="str">
        <f ca="1">IFERROR(__xludf.DUMMYFUNCTION("""COMPUTED_VALUE"""),"")</f>
        <v/>
      </c>
      <c r="U346" s="189" t="str">
        <f ca="1">IFERROR(__xludf.DUMMYFUNCTION("""COMPUTED_VALUE"""),"")</f>
        <v/>
      </c>
      <c r="V346" s="189" t="str">
        <f ca="1">IFERROR(__xludf.DUMMYFUNCTION("""COMPUTED_VALUE"""),"")</f>
        <v/>
      </c>
      <c r="W346" s="189" t="str">
        <f ca="1">IFERROR(__xludf.DUMMYFUNCTION("""COMPUTED_VALUE"""),"")</f>
        <v/>
      </c>
      <c r="X346" s="189" t="str">
        <f ca="1">IFERROR(__xludf.DUMMYFUNCTION("""COMPUTED_VALUE"""),"")</f>
        <v/>
      </c>
      <c r="Y346" s="189" t="str">
        <f ca="1">IFERROR(__xludf.DUMMYFUNCTION("""COMPUTED_VALUE"""),"")</f>
        <v/>
      </c>
      <c r="Z346" s="189"/>
    </row>
    <row r="347" spans="1:26" ht="12.75">
      <c r="A347" s="189" t="str">
        <f ca="1">IFERROR(__xludf.DUMMYFUNCTION("""COMPUTED_VALUE"""),"")</f>
        <v/>
      </c>
      <c r="B347" s="189" t="str">
        <f ca="1">IFERROR(__xludf.DUMMYFUNCTION("""COMPUTED_VALUE"""),"")</f>
        <v/>
      </c>
      <c r="C347" s="189" t="str">
        <f ca="1">IFERROR(__xludf.DUMMYFUNCTION("""COMPUTED_VALUE"""),"")</f>
        <v/>
      </c>
      <c r="D347" s="189" t="str">
        <f ca="1">IFERROR(__xludf.DUMMYFUNCTION("""COMPUTED_VALUE"""),"")</f>
        <v/>
      </c>
      <c r="E347" s="189" t="str">
        <f ca="1">IFERROR(__xludf.DUMMYFUNCTION("""COMPUTED_VALUE"""),"")</f>
        <v/>
      </c>
      <c r="F347" s="189" t="str">
        <f ca="1">IFERROR(__xludf.DUMMYFUNCTION("""COMPUTED_VALUE"""),"")</f>
        <v/>
      </c>
      <c r="G347" s="189" t="str">
        <f ca="1">IFERROR(__xludf.DUMMYFUNCTION("""COMPUTED_VALUE"""),"")</f>
        <v/>
      </c>
      <c r="H347" s="189" t="str">
        <f ca="1">IFERROR(__xludf.DUMMYFUNCTION("""COMPUTED_VALUE"""),"")</f>
        <v/>
      </c>
      <c r="I347" s="120" t="str">
        <f ca="1">IFERROR(__xludf.DUMMYFUNCTION("""COMPUTED_VALUE"""),"")</f>
        <v/>
      </c>
      <c r="J347" s="189" t="str">
        <f ca="1">IFERROR(__xludf.DUMMYFUNCTION("""COMPUTED_VALUE"""),"")</f>
        <v/>
      </c>
      <c r="K347" s="189" t="str">
        <f ca="1">IFERROR(__xludf.DUMMYFUNCTION("""COMPUTED_VALUE"""),"")</f>
        <v/>
      </c>
      <c r="L347" s="189" t="str">
        <f ca="1">IFERROR(__xludf.DUMMYFUNCTION("""COMPUTED_VALUE"""),"")</f>
        <v/>
      </c>
      <c r="M347" s="189" t="str">
        <f ca="1">IFERROR(__xludf.DUMMYFUNCTION("""COMPUTED_VALUE"""),"")</f>
        <v/>
      </c>
      <c r="N347" s="189" t="str">
        <f ca="1">IFERROR(__xludf.DUMMYFUNCTION("""COMPUTED_VALUE"""),"")</f>
        <v/>
      </c>
      <c r="O347" s="189" t="str">
        <f ca="1">IFERROR(__xludf.DUMMYFUNCTION("""COMPUTED_VALUE"""),"")</f>
        <v/>
      </c>
      <c r="P347" s="189" t="str">
        <f ca="1">IFERROR(__xludf.DUMMYFUNCTION("""COMPUTED_VALUE"""),"")</f>
        <v/>
      </c>
      <c r="Q347" s="189" t="str">
        <f ca="1">IFERROR(__xludf.DUMMYFUNCTION("""COMPUTED_VALUE"""),"")</f>
        <v/>
      </c>
      <c r="R347" s="189" t="str">
        <f ca="1">IFERROR(__xludf.DUMMYFUNCTION("""COMPUTED_VALUE"""),"")</f>
        <v/>
      </c>
      <c r="S347" s="189" t="str">
        <f ca="1">IFERROR(__xludf.DUMMYFUNCTION("""COMPUTED_VALUE"""),"")</f>
        <v/>
      </c>
      <c r="T347" s="189" t="str">
        <f ca="1">IFERROR(__xludf.DUMMYFUNCTION("""COMPUTED_VALUE"""),"")</f>
        <v/>
      </c>
      <c r="U347" s="189" t="str">
        <f ca="1">IFERROR(__xludf.DUMMYFUNCTION("""COMPUTED_VALUE"""),"")</f>
        <v/>
      </c>
      <c r="V347" s="189" t="str">
        <f ca="1">IFERROR(__xludf.DUMMYFUNCTION("""COMPUTED_VALUE"""),"")</f>
        <v/>
      </c>
      <c r="W347" s="189" t="str">
        <f ca="1">IFERROR(__xludf.DUMMYFUNCTION("""COMPUTED_VALUE"""),"")</f>
        <v/>
      </c>
      <c r="X347" s="189" t="str">
        <f ca="1">IFERROR(__xludf.DUMMYFUNCTION("""COMPUTED_VALUE"""),"")</f>
        <v/>
      </c>
      <c r="Y347" s="189" t="str">
        <f ca="1">IFERROR(__xludf.DUMMYFUNCTION("""COMPUTED_VALUE"""),"")</f>
        <v/>
      </c>
      <c r="Z347" s="189"/>
    </row>
    <row r="348" spans="1:26" ht="12.75">
      <c r="A348" s="189" t="str">
        <f ca="1">IFERROR(__xludf.DUMMYFUNCTION("""COMPUTED_VALUE"""),"")</f>
        <v/>
      </c>
      <c r="B348" s="189" t="str">
        <f ca="1">IFERROR(__xludf.DUMMYFUNCTION("""COMPUTED_VALUE"""),"")</f>
        <v/>
      </c>
      <c r="C348" s="189" t="str">
        <f ca="1">IFERROR(__xludf.DUMMYFUNCTION("""COMPUTED_VALUE"""),"")</f>
        <v/>
      </c>
      <c r="D348" s="189" t="str">
        <f ca="1">IFERROR(__xludf.DUMMYFUNCTION("""COMPUTED_VALUE"""),"")</f>
        <v/>
      </c>
      <c r="E348" s="189" t="str">
        <f ca="1">IFERROR(__xludf.DUMMYFUNCTION("""COMPUTED_VALUE"""),"")</f>
        <v/>
      </c>
      <c r="F348" s="189" t="str">
        <f ca="1">IFERROR(__xludf.DUMMYFUNCTION("""COMPUTED_VALUE"""),"")</f>
        <v/>
      </c>
      <c r="G348" s="189" t="str">
        <f ca="1">IFERROR(__xludf.DUMMYFUNCTION("""COMPUTED_VALUE"""),"")</f>
        <v/>
      </c>
      <c r="H348" s="189" t="str">
        <f ca="1">IFERROR(__xludf.DUMMYFUNCTION("""COMPUTED_VALUE"""),"")</f>
        <v/>
      </c>
      <c r="I348" s="120" t="str">
        <f ca="1">IFERROR(__xludf.DUMMYFUNCTION("""COMPUTED_VALUE"""),"")</f>
        <v/>
      </c>
      <c r="J348" s="189" t="str">
        <f ca="1">IFERROR(__xludf.DUMMYFUNCTION("""COMPUTED_VALUE"""),"")</f>
        <v/>
      </c>
      <c r="K348" s="189" t="str">
        <f ca="1">IFERROR(__xludf.DUMMYFUNCTION("""COMPUTED_VALUE"""),"")</f>
        <v/>
      </c>
      <c r="L348" s="189" t="str">
        <f ca="1">IFERROR(__xludf.DUMMYFUNCTION("""COMPUTED_VALUE"""),"")</f>
        <v/>
      </c>
      <c r="M348" s="189" t="str">
        <f ca="1">IFERROR(__xludf.DUMMYFUNCTION("""COMPUTED_VALUE"""),"")</f>
        <v/>
      </c>
      <c r="N348" s="189" t="str">
        <f ca="1">IFERROR(__xludf.DUMMYFUNCTION("""COMPUTED_VALUE"""),"")</f>
        <v/>
      </c>
      <c r="O348" s="189" t="str">
        <f ca="1">IFERROR(__xludf.DUMMYFUNCTION("""COMPUTED_VALUE"""),"")</f>
        <v/>
      </c>
      <c r="P348" s="189" t="str">
        <f ca="1">IFERROR(__xludf.DUMMYFUNCTION("""COMPUTED_VALUE"""),"")</f>
        <v/>
      </c>
      <c r="Q348" s="189" t="str">
        <f ca="1">IFERROR(__xludf.DUMMYFUNCTION("""COMPUTED_VALUE"""),"")</f>
        <v/>
      </c>
      <c r="R348" s="189" t="str">
        <f ca="1">IFERROR(__xludf.DUMMYFUNCTION("""COMPUTED_VALUE"""),"")</f>
        <v/>
      </c>
      <c r="S348" s="189" t="str">
        <f ca="1">IFERROR(__xludf.DUMMYFUNCTION("""COMPUTED_VALUE"""),"")</f>
        <v/>
      </c>
      <c r="T348" s="189" t="str">
        <f ca="1">IFERROR(__xludf.DUMMYFUNCTION("""COMPUTED_VALUE"""),"")</f>
        <v/>
      </c>
      <c r="U348" s="189" t="str">
        <f ca="1">IFERROR(__xludf.DUMMYFUNCTION("""COMPUTED_VALUE"""),"")</f>
        <v/>
      </c>
      <c r="V348" s="189" t="str">
        <f ca="1">IFERROR(__xludf.DUMMYFUNCTION("""COMPUTED_VALUE"""),"")</f>
        <v/>
      </c>
      <c r="W348" s="189" t="str">
        <f ca="1">IFERROR(__xludf.DUMMYFUNCTION("""COMPUTED_VALUE"""),"")</f>
        <v/>
      </c>
      <c r="X348" s="189" t="str">
        <f ca="1">IFERROR(__xludf.DUMMYFUNCTION("""COMPUTED_VALUE"""),"")</f>
        <v/>
      </c>
      <c r="Y348" s="189" t="str">
        <f ca="1">IFERROR(__xludf.DUMMYFUNCTION("""COMPUTED_VALUE"""),"")</f>
        <v/>
      </c>
      <c r="Z348" s="189"/>
    </row>
    <row r="349" spans="1:26" ht="12.75">
      <c r="A349" s="189" t="str">
        <f ca="1">IFERROR(__xludf.DUMMYFUNCTION("""COMPUTED_VALUE"""),"")</f>
        <v/>
      </c>
      <c r="B349" s="189" t="str">
        <f ca="1">IFERROR(__xludf.DUMMYFUNCTION("""COMPUTED_VALUE"""),"")</f>
        <v/>
      </c>
      <c r="C349" s="189" t="str">
        <f ca="1">IFERROR(__xludf.DUMMYFUNCTION("""COMPUTED_VALUE"""),"")</f>
        <v/>
      </c>
      <c r="D349" s="189" t="str">
        <f ca="1">IFERROR(__xludf.DUMMYFUNCTION("""COMPUTED_VALUE"""),"")</f>
        <v/>
      </c>
      <c r="E349" s="189" t="str">
        <f ca="1">IFERROR(__xludf.DUMMYFUNCTION("""COMPUTED_VALUE"""),"")</f>
        <v/>
      </c>
      <c r="F349" s="189" t="str">
        <f ca="1">IFERROR(__xludf.DUMMYFUNCTION("""COMPUTED_VALUE"""),"")</f>
        <v/>
      </c>
      <c r="G349" s="189" t="str">
        <f ca="1">IFERROR(__xludf.DUMMYFUNCTION("""COMPUTED_VALUE"""),"")</f>
        <v/>
      </c>
      <c r="H349" s="189" t="str">
        <f ca="1">IFERROR(__xludf.DUMMYFUNCTION("""COMPUTED_VALUE"""),"")</f>
        <v/>
      </c>
      <c r="I349" s="120" t="str">
        <f ca="1">IFERROR(__xludf.DUMMYFUNCTION("""COMPUTED_VALUE"""),"")</f>
        <v/>
      </c>
      <c r="J349" s="189" t="str">
        <f ca="1">IFERROR(__xludf.DUMMYFUNCTION("""COMPUTED_VALUE"""),"")</f>
        <v/>
      </c>
      <c r="K349" s="189" t="str">
        <f ca="1">IFERROR(__xludf.DUMMYFUNCTION("""COMPUTED_VALUE"""),"")</f>
        <v/>
      </c>
      <c r="L349" s="189" t="str">
        <f ca="1">IFERROR(__xludf.DUMMYFUNCTION("""COMPUTED_VALUE"""),"")</f>
        <v/>
      </c>
      <c r="M349" s="189" t="str">
        <f ca="1">IFERROR(__xludf.DUMMYFUNCTION("""COMPUTED_VALUE"""),"")</f>
        <v/>
      </c>
      <c r="N349" s="189" t="str">
        <f ca="1">IFERROR(__xludf.DUMMYFUNCTION("""COMPUTED_VALUE"""),"")</f>
        <v/>
      </c>
      <c r="O349" s="189" t="str">
        <f ca="1">IFERROR(__xludf.DUMMYFUNCTION("""COMPUTED_VALUE"""),"")</f>
        <v/>
      </c>
      <c r="P349" s="189" t="str">
        <f ca="1">IFERROR(__xludf.DUMMYFUNCTION("""COMPUTED_VALUE"""),"")</f>
        <v/>
      </c>
      <c r="Q349" s="189" t="str">
        <f ca="1">IFERROR(__xludf.DUMMYFUNCTION("""COMPUTED_VALUE"""),"")</f>
        <v/>
      </c>
      <c r="R349" s="189" t="str">
        <f ca="1">IFERROR(__xludf.DUMMYFUNCTION("""COMPUTED_VALUE"""),"")</f>
        <v/>
      </c>
      <c r="S349" s="189" t="str">
        <f ca="1">IFERROR(__xludf.DUMMYFUNCTION("""COMPUTED_VALUE"""),"")</f>
        <v/>
      </c>
      <c r="T349" s="189" t="str">
        <f ca="1">IFERROR(__xludf.DUMMYFUNCTION("""COMPUTED_VALUE"""),"")</f>
        <v/>
      </c>
      <c r="U349" s="189" t="str">
        <f ca="1">IFERROR(__xludf.DUMMYFUNCTION("""COMPUTED_VALUE"""),"")</f>
        <v/>
      </c>
      <c r="V349" s="189" t="str">
        <f ca="1">IFERROR(__xludf.DUMMYFUNCTION("""COMPUTED_VALUE"""),"")</f>
        <v/>
      </c>
      <c r="W349" s="189" t="str">
        <f ca="1">IFERROR(__xludf.DUMMYFUNCTION("""COMPUTED_VALUE"""),"")</f>
        <v/>
      </c>
      <c r="X349" s="189" t="str">
        <f ca="1">IFERROR(__xludf.DUMMYFUNCTION("""COMPUTED_VALUE"""),"")</f>
        <v/>
      </c>
      <c r="Y349" s="189" t="str">
        <f ca="1">IFERROR(__xludf.DUMMYFUNCTION("""COMPUTED_VALUE"""),"")</f>
        <v/>
      </c>
      <c r="Z349" s="189"/>
    </row>
    <row r="350" spans="1:26" ht="12.75">
      <c r="A350" s="189" t="str">
        <f ca="1">IFERROR(__xludf.DUMMYFUNCTION("""COMPUTED_VALUE"""),"")</f>
        <v/>
      </c>
      <c r="B350" s="189" t="str">
        <f ca="1">IFERROR(__xludf.DUMMYFUNCTION("""COMPUTED_VALUE"""),"")</f>
        <v/>
      </c>
      <c r="C350" s="189" t="str">
        <f ca="1">IFERROR(__xludf.DUMMYFUNCTION("""COMPUTED_VALUE"""),"")</f>
        <v/>
      </c>
      <c r="D350" s="189" t="str">
        <f ca="1">IFERROR(__xludf.DUMMYFUNCTION("""COMPUTED_VALUE"""),"")</f>
        <v/>
      </c>
      <c r="E350" s="189" t="str">
        <f ca="1">IFERROR(__xludf.DUMMYFUNCTION("""COMPUTED_VALUE"""),"")</f>
        <v/>
      </c>
      <c r="F350" s="189" t="str">
        <f ca="1">IFERROR(__xludf.DUMMYFUNCTION("""COMPUTED_VALUE"""),"")</f>
        <v/>
      </c>
      <c r="G350" s="189" t="str">
        <f ca="1">IFERROR(__xludf.DUMMYFUNCTION("""COMPUTED_VALUE"""),"")</f>
        <v/>
      </c>
      <c r="H350" s="189" t="str">
        <f ca="1">IFERROR(__xludf.DUMMYFUNCTION("""COMPUTED_VALUE"""),"")</f>
        <v/>
      </c>
      <c r="I350" s="120" t="str">
        <f ca="1">IFERROR(__xludf.DUMMYFUNCTION("""COMPUTED_VALUE"""),"")</f>
        <v/>
      </c>
      <c r="J350" s="189" t="str">
        <f ca="1">IFERROR(__xludf.DUMMYFUNCTION("""COMPUTED_VALUE"""),"")</f>
        <v/>
      </c>
      <c r="K350" s="189" t="str">
        <f ca="1">IFERROR(__xludf.DUMMYFUNCTION("""COMPUTED_VALUE"""),"")</f>
        <v/>
      </c>
      <c r="L350" s="189" t="str">
        <f ca="1">IFERROR(__xludf.DUMMYFUNCTION("""COMPUTED_VALUE"""),"")</f>
        <v/>
      </c>
      <c r="M350" s="189" t="str">
        <f ca="1">IFERROR(__xludf.DUMMYFUNCTION("""COMPUTED_VALUE"""),"")</f>
        <v/>
      </c>
      <c r="N350" s="189" t="str">
        <f ca="1">IFERROR(__xludf.DUMMYFUNCTION("""COMPUTED_VALUE"""),"")</f>
        <v/>
      </c>
      <c r="O350" s="189" t="str">
        <f ca="1">IFERROR(__xludf.DUMMYFUNCTION("""COMPUTED_VALUE"""),"")</f>
        <v/>
      </c>
      <c r="P350" s="189" t="str">
        <f ca="1">IFERROR(__xludf.DUMMYFUNCTION("""COMPUTED_VALUE"""),"")</f>
        <v/>
      </c>
      <c r="Q350" s="189" t="str">
        <f ca="1">IFERROR(__xludf.DUMMYFUNCTION("""COMPUTED_VALUE"""),"")</f>
        <v/>
      </c>
      <c r="R350" s="189" t="str">
        <f ca="1">IFERROR(__xludf.DUMMYFUNCTION("""COMPUTED_VALUE"""),"")</f>
        <v/>
      </c>
      <c r="S350" s="189" t="str">
        <f ca="1">IFERROR(__xludf.DUMMYFUNCTION("""COMPUTED_VALUE"""),"")</f>
        <v/>
      </c>
      <c r="T350" s="189" t="str">
        <f ca="1">IFERROR(__xludf.DUMMYFUNCTION("""COMPUTED_VALUE"""),"")</f>
        <v/>
      </c>
      <c r="U350" s="189" t="str">
        <f ca="1">IFERROR(__xludf.DUMMYFUNCTION("""COMPUTED_VALUE"""),"")</f>
        <v/>
      </c>
      <c r="V350" s="189" t="str">
        <f ca="1">IFERROR(__xludf.DUMMYFUNCTION("""COMPUTED_VALUE"""),"")</f>
        <v/>
      </c>
      <c r="W350" s="189" t="str">
        <f ca="1">IFERROR(__xludf.DUMMYFUNCTION("""COMPUTED_VALUE"""),"")</f>
        <v/>
      </c>
      <c r="X350" s="189" t="str">
        <f ca="1">IFERROR(__xludf.DUMMYFUNCTION("""COMPUTED_VALUE"""),"")</f>
        <v/>
      </c>
      <c r="Y350" s="189" t="str">
        <f ca="1">IFERROR(__xludf.DUMMYFUNCTION("""COMPUTED_VALUE"""),"")</f>
        <v/>
      </c>
      <c r="Z350" s="189"/>
    </row>
    <row r="351" spans="1:26" ht="12.75">
      <c r="A351" s="189" t="str">
        <f ca="1">IFERROR(__xludf.DUMMYFUNCTION("""COMPUTED_VALUE"""),"")</f>
        <v/>
      </c>
      <c r="B351" s="189" t="str">
        <f ca="1">IFERROR(__xludf.DUMMYFUNCTION("""COMPUTED_VALUE"""),"")</f>
        <v/>
      </c>
      <c r="C351" s="189" t="str">
        <f ca="1">IFERROR(__xludf.DUMMYFUNCTION("""COMPUTED_VALUE"""),"")</f>
        <v/>
      </c>
      <c r="D351" s="189" t="str">
        <f ca="1">IFERROR(__xludf.DUMMYFUNCTION("""COMPUTED_VALUE"""),"")</f>
        <v/>
      </c>
      <c r="E351" s="189" t="str">
        <f ca="1">IFERROR(__xludf.DUMMYFUNCTION("""COMPUTED_VALUE"""),"")</f>
        <v/>
      </c>
      <c r="F351" s="189" t="str">
        <f ca="1">IFERROR(__xludf.DUMMYFUNCTION("""COMPUTED_VALUE"""),"")</f>
        <v/>
      </c>
      <c r="G351" s="189" t="str">
        <f ca="1">IFERROR(__xludf.DUMMYFUNCTION("""COMPUTED_VALUE"""),"")</f>
        <v/>
      </c>
      <c r="H351" s="189" t="str">
        <f ca="1">IFERROR(__xludf.DUMMYFUNCTION("""COMPUTED_VALUE"""),"")</f>
        <v/>
      </c>
      <c r="I351" s="120" t="str">
        <f ca="1">IFERROR(__xludf.DUMMYFUNCTION("""COMPUTED_VALUE"""),"")</f>
        <v/>
      </c>
      <c r="J351" s="189" t="str">
        <f ca="1">IFERROR(__xludf.DUMMYFUNCTION("""COMPUTED_VALUE"""),"")</f>
        <v/>
      </c>
      <c r="K351" s="189" t="str">
        <f ca="1">IFERROR(__xludf.DUMMYFUNCTION("""COMPUTED_VALUE"""),"")</f>
        <v/>
      </c>
      <c r="L351" s="189" t="str">
        <f ca="1">IFERROR(__xludf.DUMMYFUNCTION("""COMPUTED_VALUE"""),"")</f>
        <v/>
      </c>
      <c r="M351" s="189" t="str">
        <f ca="1">IFERROR(__xludf.DUMMYFUNCTION("""COMPUTED_VALUE"""),"")</f>
        <v/>
      </c>
      <c r="N351" s="189" t="str">
        <f ca="1">IFERROR(__xludf.DUMMYFUNCTION("""COMPUTED_VALUE"""),"")</f>
        <v/>
      </c>
      <c r="O351" s="189" t="str">
        <f ca="1">IFERROR(__xludf.DUMMYFUNCTION("""COMPUTED_VALUE"""),"")</f>
        <v/>
      </c>
      <c r="P351" s="189" t="str">
        <f ca="1">IFERROR(__xludf.DUMMYFUNCTION("""COMPUTED_VALUE"""),"")</f>
        <v/>
      </c>
      <c r="Q351" s="189" t="str">
        <f ca="1">IFERROR(__xludf.DUMMYFUNCTION("""COMPUTED_VALUE"""),"")</f>
        <v/>
      </c>
      <c r="R351" s="189" t="str">
        <f ca="1">IFERROR(__xludf.DUMMYFUNCTION("""COMPUTED_VALUE"""),"")</f>
        <v/>
      </c>
      <c r="S351" s="189" t="str">
        <f ca="1">IFERROR(__xludf.DUMMYFUNCTION("""COMPUTED_VALUE"""),"")</f>
        <v/>
      </c>
      <c r="T351" s="189" t="str">
        <f ca="1">IFERROR(__xludf.DUMMYFUNCTION("""COMPUTED_VALUE"""),"")</f>
        <v/>
      </c>
      <c r="U351" s="189" t="str">
        <f ca="1">IFERROR(__xludf.DUMMYFUNCTION("""COMPUTED_VALUE"""),"")</f>
        <v/>
      </c>
      <c r="V351" s="189" t="str">
        <f ca="1">IFERROR(__xludf.DUMMYFUNCTION("""COMPUTED_VALUE"""),"")</f>
        <v/>
      </c>
      <c r="W351" s="189" t="str">
        <f ca="1">IFERROR(__xludf.DUMMYFUNCTION("""COMPUTED_VALUE"""),"")</f>
        <v/>
      </c>
      <c r="X351" s="189" t="str">
        <f ca="1">IFERROR(__xludf.DUMMYFUNCTION("""COMPUTED_VALUE"""),"")</f>
        <v/>
      </c>
      <c r="Y351" s="189" t="str">
        <f ca="1">IFERROR(__xludf.DUMMYFUNCTION("""COMPUTED_VALUE"""),"")</f>
        <v/>
      </c>
      <c r="Z351" s="189"/>
    </row>
    <row r="352" spans="1:26" ht="12.75">
      <c r="A352" s="189" t="str">
        <f ca="1">IFERROR(__xludf.DUMMYFUNCTION("""COMPUTED_VALUE"""),"")</f>
        <v/>
      </c>
      <c r="B352" s="189" t="str">
        <f ca="1">IFERROR(__xludf.DUMMYFUNCTION("""COMPUTED_VALUE"""),"")</f>
        <v/>
      </c>
      <c r="C352" s="189" t="str">
        <f ca="1">IFERROR(__xludf.DUMMYFUNCTION("""COMPUTED_VALUE"""),"")</f>
        <v/>
      </c>
      <c r="D352" s="189" t="str">
        <f ca="1">IFERROR(__xludf.DUMMYFUNCTION("""COMPUTED_VALUE"""),"")</f>
        <v/>
      </c>
      <c r="E352" s="189" t="str">
        <f ca="1">IFERROR(__xludf.DUMMYFUNCTION("""COMPUTED_VALUE"""),"")</f>
        <v/>
      </c>
      <c r="F352" s="189" t="str">
        <f ca="1">IFERROR(__xludf.DUMMYFUNCTION("""COMPUTED_VALUE"""),"")</f>
        <v/>
      </c>
      <c r="G352" s="189" t="str">
        <f ca="1">IFERROR(__xludf.DUMMYFUNCTION("""COMPUTED_VALUE"""),"")</f>
        <v/>
      </c>
      <c r="H352" s="189" t="str">
        <f ca="1">IFERROR(__xludf.DUMMYFUNCTION("""COMPUTED_VALUE"""),"")</f>
        <v/>
      </c>
      <c r="I352" s="120" t="str">
        <f ca="1">IFERROR(__xludf.DUMMYFUNCTION("""COMPUTED_VALUE"""),"")</f>
        <v/>
      </c>
      <c r="J352" s="189" t="str">
        <f ca="1">IFERROR(__xludf.DUMMYFUNCTION("""COMPUTED_VALUE"""),"")</f>
        <v/>
      </c>
      <c r="K352" s="189" t="str">
        <f ca="1">IFERROR(__xludf.DUMMYFUNCTION("""COMPUTED_VALUE"""),"")</f>
        <v/>
      </c>
      <c r="L352" s="189" t="str">
        <f ca="1">IFERROR(__xludf.DUMMYFUNCTION("""COMPUTED_VALUE"""),"")</f>
        <v/>
      </c>
      <c r="M352" s="189" t="str">
        <f ca="1">IFERROR(__xludf.DUMMYFUNCTION("""COMPUTED_VALUE"""),"")</f>
        <v/>
      </c>
      <c r="N352" s="189" t="str">
        <f ca="1">IFERROR(__xludf.DUMMYFUNCTION("""COMPUTED_VALUE"""),"")</f>
        <v/>
      </c>
      <c r="O352" s="189" t="str">
        <f ca="1">IFERROR(__xludf.DUMMYFUNCTION("""COMPUTED_VALUE"""),"")</f>
        <v/>
      </c>
      <c r="P352" s="189" t="str">
        <f ca="1">IFERROR(__xludf.DUMMYFUNCTION("""COMPUTED_VALUE"""),"")</f>
        <v/>
      </c>
      <c r="Q352" s="189" t="str">
        <f ca="1">IFERROR(__xludf.DUMMYFUNCTION("""COMPUTED_VALUE"""),"")</f>
        <v/>
      </c>
      <c r="R352" s="189" t="str">
        <f ca="1">IFERROR(__xludf.DUMMYFUNCTION("""COMPUTED_VALUE"""),"")</f>
        <v/>
      </c>
      <c r="S352" s="189" t="str">
        <f ca="1">IFERROR(__xludf.DUMMYFUNCTION("""COMPUTED_VALUE"""),"")</f>
        <v/>
      </c>
      <c r="T352" s="189" t="str">
        <f ca="1">IFERROR(__xludf.DUMMYFUNCTION("""COMPUTED_VALUE"""),"")</f>
        <v/>
      </c>
      <c r="U352" s="189" t="str">
        <f ca="1">IFERROR(__xludf.DUMMYFUNCTION("""COMPUTED_VALUE"""),"")</f>
        <v/>
      </c>
      <c r="V352" s="189" t="str">
        <f ca="1">IFERROR(__xludf.DUMMYFUNCTION("""COMPUTED_VALUE"""),"")</f>
        <v/>
      </c>
      <c r="W352" s="189" t="str">
        <f ca="1">IFERROR(__xludf.DUMMYFUNCTION("""COMPUTED_VALUE"""),"")</f>
        <v/>
      </c>
      <c r="X352" s="189" t="str">
        <f ca="1">IFERROR(__xludf.DUMMYFUNCTION("""COMPUTED_VALUE"""),"")</f>
        <v/>
      </c>
      <c r="Y352" s="189" t="str">
        <f ca="1">IFERROR(__xludf.DUMMYFUNCTION("""COMPUTED_VALUE"""),"")</f>
        <v/>
      </c>
      <c r="Z352" s="189"/>
    </row>
    <row r="353" spans="1:26" ht="12.75">
      <c r="A353" s="189" t="str">
        <f ca="1">IFERROR(__xludf.DUMMYFUNCTION("""COMPUTED_VALUE"""),"")</f>
        <v/>
      </c>
      <c r="B353" s="189" t="str">
        <f ca="1">IFERROR(__xludf.DUMMYFUNCTION("""COMPUTED_VALUE"""),"")</f>
        <v/>
      </c>
      <c r="C353" s="189" t="str">
        <f ca="1">IFERROR(__xludf.DUMMYFUNCTION("""COMPUTED_VALUE"""),"")</f>
        <v/>
      </c>
      <c r="D353" s="189" t="str">
        <f ca="1">IFERROR(__xludf.DUMMYFUNCTION("""COMPUTED_VALUE"""),"")</f>
        <v/>
      </c>
      <c r="E353" s="189" t="str">
        <f ca="1">IFERROR(__xludf.DUMMYFUNCTION("""COMPUTED_VALUE"""),"")</f>
        <v/>
      </c>
      <c r="F353" s="189" t="str">
        <f ca="1">IFERROR(__xludf.DUMMYFUNCTION("""COMPUTED_VALUE"""),"")</f>
        <v/>
      </c>
      <c r="G353" s="189" t="str">
        <f ca="1">IFERROR(__xludf.DUMMYFUNCTION("""COMPUTED_VALUE"""),"")</f>
        <v/>
      </c>
      <c r="H353" s="189" t="str">
        <f ca="1">IFERROR(__xludf.DUMMYFUNCTION("""COMPUTED_VALUE"""),"")</f>
        <v/>
      </c>
      <c r="I353" s="120" t="str">
        <f ca="1">IFERROR(__xludf.DUMMYFUNCTION("""COMPUTED_VALUE"""),"")</f>
        <v/>
      </c>
      <c r="J353" s="189" t="str">
        <f ca="1">IFERROR(__xludf.DUMMYFUNCTION("""COMPUTED_VALUE"""),"")</f>
        <v/>
      </c>
      <c r="K353" s="189" t="str">
        <f ca="1">IFERROR(__xludf.DUMMYFUNCTION("""COMPUTED_VALUE"""),"")</f>
        <v/>
      </c>
      <c r="L353" s="189" t="str">
        <f ca="1">IFERROR(__xludf.DUMMYFUNCTION("""COMPUTED_VALUE"""),"")</f>
        <v/>
      </c>
      <c r="M353" s="189" t="str">
        <f ca="1">IFERROR(__xludf.DUMMYFUNCTION("""COMPUTED_VALUE"""),"")</f>
        <v/>
      </c>
      <c r="N353" s="189" t="str">
        <f ca="1">IFERROR(__xludf.DUMMYFUNCTION("""COMPUTED_VALUE"""),"")</f>
        <v/>
      </c>
      <c r="O353" s="189" t="str">
        <f ca="1">IFERROR(__xludf.DUMMYFUNCTION("""COMPUTED_VALUE"""),"")</f>
        <v/>
      </c>
      <c r="P353" s="189" t="str">
        <f ca="1">IFERROR(__xludf.DUMMYFUNCTION("""COMPUTED_VALUE"""),"")</f>
        <v/>
      </c>
      <c r="Q353" s="189" t="str">
        <f ca="1">IFERROR(__xludf.DUMMYFUNCTION("""COMPUTED_VALUE"""),"")</f>
        <v/>
      </c>
      <c r="R353" s="189" t="str">
        <f ca="1">IFERROR(__xludf.DUMMYFUNCTION("""COMPUTED_VALUE"""),"")</f>
        <v/>
      </c>
      <c r="S353" s="189" t="str">
        <f ca="1">IFERROR(__xludf.DUMMYFUNCTION("""COMPUTED_VALUE"""),"")</f>
        <v/>
      </c>
      <c r="T353" s="189" t="str">
        <f ca="1">IFERROR(__xludf.DUMMYFUNCTION("""COMPUTED_VALUE"""),"")</f>
        <v/>
      </c>
      <c r="U353" s="189" t="str">
        <f ca="1">IFERROR(__xludf.DUMMYFUNCTION("""COMPUTED_VALUE"""),"")</f>
        <v/>
      </c>
      <c r="V353" s="189" t="str">
        <f ca="1">IFERROR(__xludf.DUMMYFUNCTION("""COMPUTED_VALUE"""),"")</f>
        <v/>
      </c>
      <c r="W353" s="189" t="str">
        <f ca="1">IFERROR(__xludf.DUMMYFUNCTION("""COMPUTED_VALUE"""),"")</f>
        <v/>
      </c>
      <c r="X353" s="189" t="str">
        <f ca="1">IFERROR(__xludf.DUMMYFUNCTION("""COMPUTED_VALUE"""),"")</f>
        <v/>
      </c>
      <c r="Y353" s="189" t="str">
        <f ca="1">IFERROR(__xludf.DUMMYFUNCTION("""COMPUTED_VALUE"""),"")</f>
        <v/>
      </c>
      <c r="Z353" s="189"/>
    </row>
    <row r="354" spans="1:26" ht="12.75">
      <c r="A354" s="189" t="str">
        <f ca="1">IFERROR(__xludf.DUMMYFUNCTION("""COMPUTED_VALUE"""),"")</f>
        <v/>
      </c>
      <c r="B354" s="189" t="str">
        <f ca="1">IFERROR(__xludf.DUMMYFUNCTION("""COMPUTED_VALUE"""),"")</f>
        <v/>
      </c>
      <c r="C354" s="189" t="str">
        <f ca="1">IFERROR(__xludf.DUMMYFUNCTION("""COMPUTED_VALUE"""),"")</f>
        <v/>
      </c>
      <c r="D354" s="189" t="str">
        <f ca="1">IFERROR(__xludf.DUMMYFUNCTION("""COMPUTED_VALUE"""),"")</f>
        <v/>
      </c>
      <c r="E354" s="189" t="str">
        <f ca="1">IFERROR(__xludf.DUMMYFUNCTION("""COMPUTED_VALUE"""),"")</f>
        <v/>
      </c>
      <c r="F354" s="189" t="str">
        <f ca="1">IFERROR(__xludf.DUMMYFUNCTION("""COMPUTED_VALUE"""),"")</f>
        <v/>
      </c>
      <c r="G354" s="189" t="str">
        <f ca="1">IFERROR(__xludf.DUMMYFUNCTION("""COMPUTED_VALUE"""),"")</f>
        <v/>
      </c>
      <c r="H354" s="189" t="str">
        <f ca="1">IFERROR(__xludf.DUMMYFUNCTION("""COMPUTED_VALUE"""),"")</f>
        <v/>
      </c>
      <c r="I354" s="120" t="str">
        <f ca="1">IFERROR(__xludf.DUMMYFUNCTION("""COMPUTED_VALUE"""),"")</f>
        <v/>
      </c>
      <c r="J354" s="189" t="str">
        <f ca="1">IFERROR(__xludf.DUMMYFUNCTION("""COMPUTED_VALUE"""),"")</f>
        <v/>
      </c>
      <c r="K354" s="189" t="str">
        <f ca="1">IFERROR(__xludf.DUMMYFUNCTION("""COMPUTED_VALUE"""),"")</f>
        <v/>
      </c>
      <c r="L354" s="189" t="str">
        <f ca="1">IFERROR(__xludf.DUMMYFUNCTION("""COMPUTED_VALUE"""),"")</f>
        <v/>
      </c>
      <c r="M354" s="189" t="str">
        <f ca="1">IFERROR(__xludf.DUMMYFUNCTION("""COMPUTED_VALUE"""),"")</f>
        <v/>
      </c>
      <c r="N354" s="189" t="str">
        <f ca="1">IFERROR(__xludf.DUMMYFUNCTION("""COMPUTED_VALUE"""),"")</f>
        <v/>
      </c>
      <c r="O354" s="189" t="str">
        <f ca="1">IFERROR(__xludf.DUMMYFUNCTION("""COMPUTED_VALUE"""),"")</f>
        <v/>
      </c>
      <c r="P354" s="189" t="str">
        <f ca="1">IFERROR(__xludf.DUMMYFUNCTION("""COMPUTED_VALUE"""),"")</f>
        <v/>
      </c>
      <c r="Q354" s="189" t="str">
        <f ca="1">IFERROR(__xludf.DUMMYFUNCTION("""COMPUTED_VALUE"""),"")</f>
        <v/>
      </c>
      <c r="R354" s="189" t="str">
        <f ca="1">IFERROR(__xludf.DUMMYFUNCTION("""COMPUTED_VALUE"""),"")</f>
        <v/>
      </c>
      <c r="S354" s="189" t="str">
        <f ca="1">IFERROR(__xludf.DUMMYFUNCTION("""COMPUTED_VALUE"""),"")</f>
        <v/>
      </c>
      <c r="T354" s="189" t="str">
        <f ca="1">IFERROR(__xludf.DUMMYFUNCTION("""COMPUTED_VALUE"""),"")</f>
        <v/>
      </c>
      <c r="U354" s="189" t="str">
        <f ca="1">IFERROR(__xludf.DUMMYFUNCTION("""COMPUTED_VALUE"""),"")</f>
        <v/>
      </c>
      <c r="V354" s="189" t="str">
        <f ca="1">IFERROR(__xludf.DUMMYFUNCTION("""COMPUTED_VALUE"""),"")</f>
        <v/>
      </c>
      <c r="W354" s="189" t="str">
        <f ca="1">IFERROR(__xludf.DUMMYFUNCTION("""COMPUTED_VALUE"""),"")</f>
        <v/>
      </c>
      <c r="X354" s="189" t="str">
        <f ca="1">IFERROR(__xludf.DUMMYFUNCTION("""COMPUTED_VALUE"""),"")</f>
        <v/>
      </c>
      <c r="Y354" s="189" t="str">
        <f ca="1">IFERROR(__xludf.DUMMYFUNCTION("""COMPUTED_VALUE"""),"")</f>
        <v/>
      </c>
      <c r="Z354" s="189"/>
    </row>
    <row r="355" spans="1:26" ht="12.75">
      <c r="A355" s="189" t="str">
        <f ca="1">IFERROR(__xludf.DUMMYFUNCTION("""COMPUTED_VALUE"""),"")</f>
        <v/>
      </c>
      <c r="B355" s="189" t="str">
        <f ca="1">IFERROR(__xludf.DUMMYFUNCTION("""COMPUTED_VALUE"""),"")</f>
        <v/>
      </c>
      <c r="C355" s="189" t="str">
        <f ca="1">IFERROR(__xludf.DUMMYFUNCTION("""COMPUTED_VALUE"""),"")</f>
        <v/>
      </c>
      <c r="D355" s="189" t="str">
        <f ca="1">IFERROR(__xludf.DUMMYFUNCTION("""COMPUTED_VALUE"""),"")</f>
        <v/>
      </c>
      <c r="E355" s="189" t="str">
        <f ca="1">IFERROR(__xludf.DUMMYFUNCTION("""COMPUTED_VALUE"""),"")</f>
        <v/>
      </c>
      <c r="F355" s="189" t="str">
        <f ca="1">IFERROR(__xludf.DUMMYFUNCTION("""COMPUTED_VALUE"""),"")</f>
        <v/>
      </c>
      <c r="G355" s="189" t="str">
        <f ca="1">IFERROR(__xludf.DUMMYFUNCTION("""COMPUTED_VALUE"""),"")</f>
        <v/>
      </c>
      <c r="H355" s="189" t="str">
        <f ca="1">IFERROR(__xludf.DUMMYFUNCTION("""COMPUTED_VALUE"""),"")</f>
        <v/>
      </c>
      <c r="I355" s="120" t="str">
        <f ca="1">IFERROR(__xludf.DUMMYFUNCTION("""COMPUTED_VALUE"""),"")</f>
        <v/>
      </c>
      <c r="J355" s="189" t="str">
        <f ca="1">IFERROR(__xludf.DUMMYFUNCTION("""COMPUTED_VALUE"""),"")</f>
        <v/>
      </c>
      <c r="K355" s="189" t="str">
        <f ca="1">IFERROR(__xludf.DUMMYFUNCTION("""COMPUTED_VALUE"""),"")</f>
        <v/>
      </c>
      <c r="L355" s="189" t="str">
        <f ca="1">IFERROR(__xludf.DUMMYFUNCTION("""COMPUTED_VALUE"""),"")</f>
        <v/>
      </c>
      <c r="M355" s="189" t="str">
        <f ca="1">IFERROR(__xludf.DUMMYFUNCTION("""COMPUTED_VALUE"""),"")</f>
        <v/>
      </c>
      <c r="N355" s="189" t="str">
        <f ca="1">IFERROR(__xludf.DUMMYFUNCTION("""COMPUTED_VALUE"""),"")</f>
        <v/>
      </c>
      <c r="O355" s="189" t="str">
        <f ca="1">IFERROR(__xludf.DUMMYFUNCTION("""COMPUTED_VALUE"""),"")</f>
        <v/>
      </c>
      <c r="P355" s="189" t="str">
        <f ca="1">IFERROR(__xludf.DUMMYFUNCTION("""COMPUTED_VALUE"""),"")</f>
        <v/>
      </c>
      <c r="Q355" s="189" t="str">
        <f ca="1">IFERROR(__xludf.DUMMYFUNCTION("""COMPUTED_VALUE"""),"")</f>
        <v/>
      </c>
      <c r="R355" s="189" t="str">
        <f ca="1">IFERROR(__xludf.DUMMYFUNCTION("""COMPUTED_VALUE"""),"")</f>
        <v/>
      </c>
      <c r="S355" s="189" t="str">
        <f ca="1">IFERROR(__xludf.DUMMYFUNCTION("""COMPUTED_VALUE"""),"")</f>
        <v/>
      </c>
      <c r="T355" s="189" t="str">
        <f ca="1">IFERROR(__xludf.DUMMYFUNCTION("""COMPUTED_VALUE"""),"")</f>
        <v/>
      </c>
      <c r="U355" s="189" t="str">
        <f ca="1">IFERROR(__xludf.DUMMYFUNCTION("""COMPUTED_VALUE"""),"")</f>
        <v/>
      </c>
      <c r="V355" s="189" t="str">
        <f ca="1">IFERROR(__xludf.DUMMYFUNCTION("""COMPUTED_VALUE"""),"")</f>
        <v/>
      </c>
      <c r="W355" s="189" t="str">
        <f ca="1">IFERROR(__xludf.DUMMYFUNCTION("""COMPUTED_VALUE"""),"")</f>
        <v/>
      </c>
      <c r="X355" s="189" t="str">
        <f ca="1">IFERROR(__xludf.DUMMYFUNCTION("""COMPUTED_VALUE"""),"")</f>
        <v/>
      </c>
      <c r="Y355" s="189" t="str">
        <f ca="1">IFERROR(__xludf.DUMMYFUNCTION("""COMPUTED_VALUE"""),"")</f>
        <v/>
      </c>
      <c r="Z355" s="189"/>
    </row>
    <row r="356" spans="1:26" ht="12.75">
      <c r="A356" s="189" t="str">
        <f ca="1">IFERROR(__xludf.DUMMYFUNCTION("""COMPUTED_VALUE"""),"")</f>
        <v/>
      </c>
      <c r="B356" s="189" t="str">
        <f ca="1">IFERROR(__xludf.DUMMYFUNCTION("""COMPUTED_VALUE"""),"")</f>
        <v/>
      </c>
      <c r="C356" s="189" t="str">
        <f ca="1">IFERROR(__xludf.DUMMYFUNCTION("""COMPUTED_VALUE"""),"")</f>
        <v/>
      </c>
      <c r="D356" s="189" t="str">
        <f ca="1">IFERROR(__xludf.DUMMYFUNCTION("""COMPUTED_VALUE"""),"")</f>
        <v/>
      </c>
      <c r="E356" s="189" t="str">
        <f ca="1">IFERROR(__xludf.DUMMYFUNCTION("""COMPUTED_VALUE"""),"")</f>
        <v/>
      </c>
      <c r="F356" s="189" t="str">
        <f ca="1">IFERROR(__xludf.DUMMYFUNCTION("""COMPUTED_VALUE"""),"")</f>
        <v/>
      </c>
      <c r="G356" s="189" t="str">
        <f ca="1">IFERROR(__xludf.DUMMYFUNCTION("""COMPUTED_VALUE"""),"")</f>
        <v/>
      </c>
      <c r="H356" s="189" t="str">
        <f ca="1">IFERROR(__xludf.DUMMYFUNCTION("""COMPUTED_VALUE"""),"")</f>
        <v/>
      </c>
      <c r="I356" s="120" t="str">
        <f ca="1">IFERROR(__xludf.DUMMYFUNCTION("""COMPUTED_VALUE"""),"")</f>
        <v/>
      </c>
      <c r="J356" s="189" t="str">
        <f ca="1">IFERROR(__xludf.DUMMYFUNCTION("""COMPUTED_VALUE"""),"")</f>
        <v/>
      </c>
      <c r="K356" s="189" t="str">
        <f ca="1">IFERROR(__xludf.DUMMYFUNCTION("""COMPUTED_VALUE"""),"")</f>
        <v/>
      </c>
      <c r="L356" s="189" t="str">
        <f ca="1">IFERROR(__xludf.DUMMYFUNCTION("""COMPUTED_VALUE"""),"")</f>
        <v/>
      </c>
      <c r="M356" s="189" t="str">
        <f ca="1">IFERROR(__xludf.DUMMYFUNCTION("""COMPUTED_VALUE"""),"")</f>
        <v/>
      </c>
      <c r="N356" s="189" t="str">
        <f ca="1">IFERROR(__xludf.DUMMYFUNCTION("""COMPUTED_VALUE"""),"")</f>
        <v/>
      </c>
      <c r="O356" s="189" t="str">
        <f ca="1">IFERROR(__xludf.DUMMYFUNCTION("""COMPUTED_VALUE"""),"")</f>
        <v/>
      </c>
      <c r="P356" s="189" t="str">
        <f ca="1">IFERROR(__xludf.DUMMYFUNCTION("""COMPUTED_VALUE"""),"")</f>
        <v/>
      </c>
      <c r="Q356" s="189" t="str">
        <f ca="1">IFERROR(__xludf.DUMMYFUNCTION("""COMPUTED_VALUE"""),"")</f>
        <v/>
      </c>
      <c r="R356" s="189" t="str">
        <f ca="1">IFERROR(__xludf.DUMMYFUNCTION("""COMPUTED_VALUE"""),"")</f>
        <v/>
      </c>
      <c r="S356" s="189" t="str">
        <f ca="1">IFERROR(__xludf.DUMMYFUNCTION("""COMPUTED_VALUE"""),"")</f>
        <v/>
      </c>
      <c r="T356" s="189" t="str">
        <f ca="1">IFERROR(__xludf.DUMMYFUNCTION("""COMPUTED_VALUE"""),"")</f>
        <v/>
      </c>
      <c r="U356" s="189" t="str">
        <f ca="1">IFERROR(__xludf.DUMMYFUNCTION("""COMPUTED_VALUE"""),"")</f>
        <v/>
      </c>
      <c r="V356" s="189" t="str">
        <f ca="1">IFERROR(__xludf.DUMMYFUNCTION("""COMPUTED_VALUE"""),"")</f>
        <v/>
      </c>
      <c r="W356" s="189" t="str">
        <f ca="1">IFERROR(__xludf.DUMMYFUNCTION("""COMPUTED_VALUE"""),"")</f>
        <v/>
      </c>
      <c r="X356" s="189" t="str">
        <f ca="1">IFERROR(__xludf.DUMMYFUNCTION("""COMPUTED_VALUE"""),"")</f>
        <v/>
      </c>
      <c r="Y356" s="189" t="str">
        <f ca="1">IFERROR(__xludf.DUMMYFUNCTION("""COMPUTED_VALUE"""),"")</f>
        <v/>
      </c>
      <c r="Z356" s="189"/>
    </row>
    <row r="357" spans="1:26" ht="12.75">
      <c r="A357" s="189" t="str">
        <f ca="1">IFERROR(__xludf.DUMMYFUNCTION("""COMPUTED_VALUE"""),"")</f>
        <v/>
      </c>
      <c r="B357" s="189" t="str">
        <f ca="1">IFERROR(__xludf.DUMMYFUNCTION("""COMPUTED_VALUE"""),"")</f>
        <v/>
      </c>
      <c r="C357" s="189" t="str">
        <f ca="1">IFERROR(__xludf.DUMMYFUNCTION("""COMPUTED_VALUE"""),"")</f>
        <v/>
      </c>
      <c r="D357" s="189" t="str">
        <f ca="1">IFERROR(__xludf.DUMMYFUNCTION("""COMPUTED_VALUE"""),"")</f>
        <v/>
      </c>
      <c r="E357" s="189" t="str">
        <f ca="1">IFERROR(__xludf.DUMMYFUNCTION("""COMPUTED_VALUE"""),"")</f>
        <v/>
      </c>
      <c r="F357" s="189" t="str">
        <f ca="1">IFERROR(__xludf.DUMMYFUNCTION("""COMPUTED_VALUE"""),"")</f>
        <v/>
      </c>
      <c r="G357" s="189" t="str">
        <f ca="1">IFERROR(__xludf.DUMMYFUNCTION("""COMPUTED_VALUE"""),"")</f>
        <v/>
      </c>
      <c r="H357" s="189" t="str">
        <f ca="1">IFERROR(__xludf.DUMMYFUNCTION("""COMPUTED_VALUE"""),"")</f>
        <v/>
      </c>
      <c r="I357" s="120" t="str">
        <f ca="1">IFERROR(__xludf.DUMMYFUNCTION("""COMPUTED_VALUE"""),"")</f>
        <v/>
      </c>
      <c r="J357" s="189" t="str">
        <f ca="1">IFERROR(__xludf.DUMMYFUNCTION("""COMPUTED_VALUE"""),"")</f>
        <v/>
      </c>
      <c r="K357" s="189" t="str">
        <f ca="1">IFERROR(__xludf.DUMMYFUNCTION("""COMPUTED_VALUE"""),"")</f>
        <v/>
      </c>
      <c r="L357" s="189" t="str">
        <f ca="1">IFERROR(__xludf.DUMMYFUNCTION("""COMPUTED_VALUE"""),"")</f>
        <v/>
      </c>
      <c r="M357" s="189" t="str">
        <f ca="1">IFERROR(__xludf.DUMMYFUNCTION("""COMPUTED_VALUE"""),"")</f>
        <v/>
      </c>
      <c r="N357" s="189" t="str">
        <f ca="1">IFERROR(__xludf.DUMMYFUNCTION("""COMPUTED_VALUE"""),"")</f>
        <v/>
      </c>
      <c r="O357" s="189" t="str">
        <f ca="1">IFERROR(__xludf.DUMMYFUNCTION("""COMPUTED_VALUE"""),"")</f>
        <v/>
      </c>
      <c r="P357" s="189" t="str">
        <f ca="1">IFERROR(__xludf.DUMMYFUNCTION("""COMPUTED_VALUE"""),"")</f>
        <v/>
      </c>
      <c r="Q357" s="189" t="str">
        <f ca="1">IFERROR(__xludf.DUMMYFUNCTION("""COMPUTED_VALUE"""),"")</f>
        <v/>
      </c>
      <c r="R357" s="189" t="str">
        <f ca="1">IFERROR(__xludf.DUMMYFUNCTION("""COMPUTED_VALUE"""),"")</f>
        <v/>
      </c>
      <c r="S357" s="189" t="str">
        <f ca="1">IFERROR(__xludf.DUMMYFUNCTION("""COMPUTED_VALUE"""),"")</f>
        <v/>
      </c>
      <c r="T357" s="189" t="str">
        <f ca="1">IFERROR(__xludf.DUMMYFUNCTION("""COMPUTED_VALUE"""),"")</f>
        <v/>
      </c>
      <c r="U357" s="189" t="str">
        <f ca="1">IFERROR(__xludf.DUMMYFUNCTION("""COMPUTED_VALUE"""),"")</f>
        <v/>
      </c>
      <c r="V357" s="189" t="str">
        <f ca="1">IFERROR(__xludf.DUMMYFUNCTION("""COMPUTED_VALUE"""),"")</f>
        <v/>
      </c>
      <c r="W357" s="189" t="str">
        <f ca="1">IFERROR(__xludf.DUMMYFUNCTION("""COMPUTED_VALUE"""),"")</f>
        <v/>
      </c>
      <c r="X357" s="189" t="str">
        <f ca="1">IFERROR(__xludf.DUMMYFUNCTION("""COMPUTED_VALUE"""),"")</f>
        <v/>
      </c>
      <c r="Y357" s="189" t="str">
        <f ca="1">IFERROR(__xludf.DUMMYFUNCTION("""COMPUTED_VALUE"""),"")</f>
        <v/>
      </c>
      <c r="Z357" s="189"/>
    </row>
    <row r="358" spans="1:26" ht="12.75">
      <c r="A358" s="189" t="str">
        <f ca="1">IFERROR(__xludf.DUMMYFUNCTION("""COMPUTED_VALUE"""),"")</f>
        <v/>
      </c>
      <c r="B358" s="189" t="str">
        <f ca="1">IFERROR(__xludf.DUMMYFUNCTION("""COMPUTED_VALUE"""),"")</f>
        <v/>
      </c>
      <c r="C358" s="189" t="str">
        <f ca="1">IFERROR(__xludf.DUMMYFUNCTION("""COMPUTED_VALUE"""),"")</f>
        <v/>
      </c>
      <c r="D358" s="189" t="str">
        <f ca="1">IFERROR(__xludf.DUMMYFUNCTION("""COMPUTED_VALUE"""),"")</f>
        <v/>
      </c>
      <c r="E358" s="189" t="str">
        <f ca="1">IFERROR(__xludf.DUMMYFUNCTION("""COMPUTED_VALUE"""),"")</f>
        <v/>
      </c>
      <c r="F358" s="189" t="str">
        <f ca="1">IFERROR(__xludf.DUMMYFUNCTION("""COMPUTED_VALUE"""),"")</f>
        <v/>
      </c>
      <c r="G358" s="189" t="str">
        <f ca="1">IFERROR(__xludf.DUMMYFUNCTION("""COMPUTED_VALUE"""),"")</f>
        <v/>
      </c>
      <c r="H358" s="189" t="str">
        <f ca="1">IFERROR(__xludf.DUMMYFUNCTION("""COMPUTED_VALUE"""),"")</f>
        <v/>
      </c>
      <c r="I358" s="120" t="str">
        <f ca="1">IFERROR(__xludf.DUMMYFUNCTION("""COMPUTED_VALUE"""),"")</f>
        <v/>
      </c>
      <c r="J358" s="189" t="str">
        <f ca="1">IFERROR(__xludf.DUMMYFUNCTION("""COMPUTED_VALUE"""),"")</f>
        <v/>
      </c>
      <c r="K358" s="189" t="str">
        <f ca="1">IFERROR(__xludf.DUMMYFUNCTION("""COMPUTED_VALUE"""),"")</f>
        <v/>
      </c>
      <c r="L358" s="189" t="str">
        <f ca="1">IFERROR(__xludf.DUMMYFUNCTION("""COMPUTED_VALUE"""),"")</f>
        <v/>
      </c>
      <c r="M358" s="189" t="str">
        <f ca="1">IFERROR(__xludf.DUMMYFUNCTION("""COMPUTED_VALUE"""),"")</f>
        <v/>
      </c>
      <c r="N358" s="189" t="str">
        <f ca="1">IFERROR(__xludf.DUMMYFUNCTION("""COMPUTED_VALUE"""),"")</f>
        <v/>
      </c>
      <c r="O358" s="189" t="str">
        <f ca="1">IFERROR(__xludf.DUMMYFUNCTION("""COMPUTED_VALUE"""),"")</f>
        <v/>
      </c>
      <c r="P358" s="189" t="str">
        <f ca="1">IFERROR(__xludf.DUMMYFUNCTION("""COMPUTED_VALUE"""),"")</f>
        <v/>
      </c>
      <c r="Q358" s="189" t="str">
        <f ca="1">IFERROR(__xludf.DUMMYFUNCTION("""COMPUTED_VALUE"""),"")</f>
        <v/>
      </c>
      <c r="R358" s="189" t="str">
        <f ca="1">IFERROR(__xludf.DUMMYFUNCTION("""COMPUTED_VALUE"""),"")</f>
        <v/>
      </c>
      <c r="S358" s="189" t="str">
        <f ca="1">IFERROR(__xludf.DUMMYFUNCTION("""COMPUTED_VALUE"""),"")</f>
        <v/>
      </c>
      <c r="T358" s="189" t="str">
        <f ca="1">IFERROR(__xludf.DUMMYFUNCTION("""COMPUTED_VALUE"""),"")</f>
        <v/>
      </c>
      <c r="U358" s="189" t="str">
        <f ca="1">IFERROR(__xludf.DUMMYFUNCTION("""COMPUTED_VALUE"""),"")</f>
        <v/>
      </c>
      <c r="V358" s="189" t="str">
        <f ca="1">IFERROR(__xludf.DUMMYFUNCTION("""COMPUTED_VALUE"""),"")</f>
        <v/>
      </c>
      <c r="W358" s="189" t="str">
        <f ca="1">IFERROR(__xludf.DUMMYFUNCTION("""COMPUTED_VALUE"""),"")</f>
        <v/>
      </c>
      <c r="X358" s="189" t="str">
        <f ca="1">IFERROR(__xludf.DUMMYFUNCTION("""COMPUTED_VALUE"""),"")</f>
        <v/>
      </c>
      <c r="Y358" s="189" t="str">
        <f ca="1">IFERROR(__xludf.DUMMYFUNCTION("""COMPUTED_VALUE"""),"")</f>
        <v/>
      </c>
      <c r="Z358" s="189"/>
    </row>
    <row r="359" spans="1:26" ht="12.75">
      <c r="A359" s="189" t="str">
        <f ca="1">IFERROR(__xludf.DUMMYFUNCTION("""COMPUTED_VALUE"""),"")</f>
        <v/>
      </c>
      <c r="B359" s="189" t="str">
        <f ca="1">IFERROR(__xludf.DUMMYFUNCTION("""COMPUTED_VALUE"""),"")</f>
        <v/>
      </c>
      <c r="C359" s="189" t="str">
        <f ca="1">IFERROR(__xludf.DUMMYFUNCTION("""COMPUTED_VALUE"""),"")</f>
        <v/>
      </c>
      <c r="D359" s="189" t="str">
        <f ca="1">IFERROR(__xludf.DUMMYFUNCTION("""COMPUTED_VALUE"""),"")</f>
        <v/>
      </c>
      <c r="E359" s="189" t="str">
        <f ca="1">IFERROR(__xludf.DUMMYFUNCTION("""COMPUTED_VALUE"""),"")</f>
        <v/>
      </c>
      <c r="F359" s="189" t="str">
        <f ca="1">IFERROR(__xludf.DUMMYFUNCTION("""COMPUTED_VALUE"""),"")</f>
        <v/>
      </c>
      <c r="G359" s="189" t="str">
        <f ca="1">IFERROR(__xludf.DUMMYFUNCTION("""COMPUTED_VALUE"""),"")</f>
        <v/>
      </c>
      <c r="H359" s="189" t="str">
        <f ca="1">IFERROR(__xludf.DUMMYFUNCTION("""COMPUTED_VALUE"""),"")</f>
        <v/>
      </c>
      <c r="I359" s="120" t="str">
        <f ca="1">IFERROR(__xludf.DUMMYFUNCTION("""COMPUTED_VALUE"""),"")</f>
        <v/>
      </c>
      <c r="J359" s="189" t="str">
        <f ca="1">IFERROR(__xludf.DUMMYFUNCTION("""COMPUTED_VALUE"""),"")</f>
        <v/>
      </c>
      <c r="K359" s="189" t="str">
        <f ca="1">IFERROR(__xludf.DUMMYFUNCTION("""COMPUTED_VALUE"""),"")</f>
        <v/>
      </c>
      <c r="L359" s="189" t="str">
        <f ca="1">IFERROR(__xludf.DUMMYFUNCTION("""COMPUTED_VALUE"""),"")</f>
        <v/>
      </c>
      <c r="M359" s="189" t="str">
        <f ca="1">IFERROR(__xludf.DUMMYFUNCTION("""COMPUTED_VALUE"""),"")</f>
        <v/>
      </c>
      <c r="N359" s="189" t="str">
        <f ca="1">IFERROR(__xludf.DUMMYFUNCTION("""COMPUTED_VALUE"""),"")</f>
        <v/>
      </c>
      <c r="O359" s="189" t="str">
        <f ca="1">IFERROR(__xludf.DUMMYFUNCTION("""COMPUTED_VALUE"""),"")</f>
        <v/>
      </c>
      <c r="P359" s="189" t="str">
        <f ca="1">IFERROR(__xludf.DUMMYFUNCTION("""COMPUTED_VALUE"""),"")</f>
        <v/>
      </c>
      <c r="Q359" s="189" t="str">
        <f ca="1">IFERROR(__xludf.DUMMYFUNCTION("""COMPUTED_VALUE"""),"")</f>
        <v/>
      </c>
      <c r="R359" s="189" t="str">
        <f ca="1">IFERROR(__xludf.DUMMYFUNCTION("""COMPUTED_VALUE"""),"")</f>
        <v/>
      </c>
      <c r="S359" s="189" t="str">
        <f ca="1">IFERROR(__xludf.DUMMYFUNCTION("""COMPUTED_VALUE"""),"")</f>
        <v/>
      </c>
      <c r="T359" s="189" t="str">
        <f ca="1">IFERROR(__xludf.DUMMYFUNCTION("""COMPUTED_VALUE"""),"")</f>
        <v/>
      </c>
      <c r="U359" s="189" t="str">
        <f ca="1">IFERROR(__xludf.DUMMYFUNCTION("""COMPUTED_VALUE"""),"")</f>
        <v/>
      </c>
      <c r="V359" s="189" t="str">
        <f ca="1">IFERROR(__xludf.DUMMYFUNCTION("""COMPUTED_VALUE"""),"")</f>
        <v/>
      </c>
      <c r="W359" s="189" t="str">
        <f ca="1">IFERROR(__xludf.DUMMYFUNCTION("""COMPUTED_VALUE"""),"")</f>
        <v/>
      </c>
      <c r="X359" s="189" t="str">
        <f ca="1">IFERROR(__xludf.DUMMYFUNCTION("""COMPUTED_VALUE"""),"")</f>
        <v/>
      </c>
      <c r="Y359" s="189" t="str">
        <f ca="1">IFERROR(__xludf.DUMMYFUNCTION("""COMPUTED_VALUE"""),"")</f>
        <v/>
      </c>
      <c r="Z359" s="189"/>
    </row>
    <row r="360" spans="1:26" ht="12.75">
      <c r="A360" s="189" t="str">
        <f ca="1">IFERROR(__xludf.DUMMYFUNCTION("""COMPUTED_VALUE"""),"")</f>
        <v/>
      </c>
      <c r="B360" s="189" t="str">
        <f ca="1">IFERROR(__xludf.DUMMYFUNCTION("""COMPUTED_VALUE"""),"")</f>
        <v/>
      </c>
      <c r="C360" s="189" t="str">
        <f ca="1">IFERROR(__xludf.DUMMYFUNCTION("""COMPUTED_VALUE"""),"")</f>
        <v/>
      </c>
      <c r="D360" s="189" t="str">
        <f ca="1">IFERROR(__xludf.DUMMYFUNCTION("""COMPUTED_VALUE"""),"")</f>
        <v/>
      </c>
      <c r="E360" s="189" t="str">
        <f ca="1">IFERROR(__xludf.DUMMYFUNCTION("""COMPUTED_VALUE"""),"")</f>
        <v/>
      </c>
      <c r="F360" s="189" t="str">
        <f ca="1">IFERROR(__xludf.DUMMYFUNCTION("""COMPUTED_VALUE"""),"")</f>
        <v/>
      </c>
      <c r="G360" s="189" t="str">
        <f ca="1">IFERROR(__xludf.DUMMYFUNCTION("""COMPUTED_VALUE"""),"")</f>
        <v/>
      </c>
      <c r="H360" s="189" t="str">
        <f ca="1">IFERROR(__xludf.DUMMYFUNCTION("""COMPUTED_VALUE"""),"")</f>
        <v/>
      </c>
      <c r="I360" s="120" t="str">
        <f ca="1">IFERROR(__xludf.DUMMYFUNCTION("""COMPUTED_VALUE"""),"")</f>
        <v/>
      </c>
      <c r="J360" s="189" t="str">
        <f ca="1">IFERROR(__xludf.DUMMYFUNCTION("""COMPUTED_VALUE"""),"")</f>
        <v/>
      </c>
      <c r="K360" s="189" t="str">
        <f ca="1">IFERROR(__xludf.DUMMYFUNCTION("""COMPUTED_VALUE"""),"")</f>
        <v/>
      </c>
      <c r="L360" s="189" t="str">
        <f ca="1">IFERROR(__xludf.DUMMYFUNCTION("""COMPUTED_VALUE"""),"")</f>
        <v/>
      </c>
      <c r="M360" s="189" t="str">
        <f ca="1">IFERROR(__xludf.DUMMYFUNCTION("""COMPUTED_VALUE"""),"")</f>
        <v/>
      </c>
      <c r="N360" s="189" t="str">
        <f ca="1">IFERROR(__xludf.DUMMYFUNCTION("""COMPUTED_VALUE"""),"")</f>
        <v/>
      </c>
      <c r="O360" s="189" t="str">
        <f ca="1">IFERROR(__xludf.DUMMYFUNCTION("""COMPUTED_VALUE"""),"")</f>
        <v/>
      </c>
      <c r="P360" s="189" t="str">
        <f ca="1">IFERROR(__xludf.DUMMYFUNCTION("""COMPUTED_VALUE"""),"")</f>
        <v/>
      </c>
      <c r="Q360" s="189" t="str">
        <f ca="1">IFERROR(__xludf.DUMMYFUNCTION("""COMPUTED_VALUE"""),"")</f>
        <v/>
      </c>
      <c r="R360" s="189" t="str">
        <f ca="1">IFERROR(__xludf.DUMMYFUNCTION("""COMPUTED_VALUE"""),"")</f>
        <v/>
      </c>
      <c r="S360" s="189" t="str">
        <f ca="1">IFERROR(__xludf.DUMMYFUNCTION("""COMPUTED_VALUE"""),"")</f>
        <v/>
      </c>
      <c r="T360" s="189" t="str">
        <f ca="1">IFERROR(__xludf.DUMMYFUNCTION("""COMPUTED_VALUE"""),"")</f>
        <v/>
      </c>
      <c r="U360" s="189" t="str">
        <f ca="1">IFERROR(__xludf.DUMMYFUNCTION("""COMPUTED_VALUE"""),"")</f>
        <v/>
      </c>
      <c r="V360" s="189" t="str">
        <f ca="1">IFERROR(__xludf.DUMMYFUNCTION("""COMPUTED_VALUE"""),"")</f>
        <v/>
      </c>
      <c r="W360" s="189" t="str">
        <f ca="1">IFERROR(__xludf.DUMMYFUNCTION("""COMPUTED_VALUE"""),"")</f>
        <v/>
      </c>
      <c r="X360" s="189" t="str">
        <f ca="1">IFERROR(__xludf.DUMMYFUNCTION("""COMPUTED_VALUE"""),"")</f>
        <v/>
      </c>
      <c r="Y360" s="189" t="str">
        <f ca="1">IFERROR(__xludf.DUMMYFUNCTION("""COMPUTED_VALUE"""),"")</f>
        <v/>
      </c>
      <c r="Z360" s="189"/>
    </row>
    <row r="361" spans="1:26" ht="12.75">
      <c r="A361" s="189" t="str">
        <f ca="1">IFERROR(__xludf.DUMMYFUNCTION("""COMPUTED_VALUE"""),"")</f>
        <v/>
      </c>
      <c r="B361" s="189" t="str">
        <f ca="1">IFERROR(__xludf.DUMMYFUNCTION("""COMPUTED_VALUE"""),"")</f>
        <v/>
      </c>
      <c r="C361" s="189" t="str">
        <f ca="1">IFERROR(__xludf.DUMMYFUNCTION("""COMPUTED_VALUE"""),"")</f>
        <v/>
      </c>
      <c r="D361" s="189" t="str">
        <f ca="1">IFERROR(__xludf.DUMMYFUNCTION("""COMPUTED_VALUE"""),"")</f>
        <v/>
      </c>
      <c r="E361" s="189" t="str">
        <f ca="1">IFERROR(__xludf.DUMMYFUNCTION("""COMPUTED_VALUE"""),"")</f>
        <v/>
      </c>
      <c r="F361" s="189" t="str">
        <f ca="1">IFERROR(__xludf.DUMMYFUNCTION("""COMPUTED_VALUE"""),"")</f>
        <v/>
      </c>
      <c r="G361" s="189" t="str">
        <f ca="1">IFERROR(__xludf.DUMMYFUNCTION("""COMPUTED_VALUE"""),"")</f>
        <v/>
      </c>
      <c r="H361" s="189" t="str">
        <f ca="1">IFERROR(__xludf.DUMMYFUNCTION("""COMPUTED_VALUE"""),"")</f>
        <v/>
      </c>
      <c r="I361" s="120" t="str">
        <f ca="1">IFERROR(__xludf.DUMMYFUNCTION("""COMPUTED_VALUE"""),"")</f>
        <v/>
      </c>
      <c r="J361" s="189" t="str">
        <f ca="1">IFERROR(__xludf.DUMMYFUNCTION("""COMPUTED_VALUE"""),"")</f>
        <v/>
      </c>
      <c r="K361" s="189" t="str">
        <f ca="1">IFERROR(__xludf.DUMMYFUNCTION("""COMPUTED_VALUE"""),"")</f>
        <v/>
      </c>
      <c r="L361" s="189" t="str">
        <f ca="1">IFERROR(__xludf.DUMMYFUNCTION("""COMPUTED_VALUE"""),"")</f>
        <v/>
      </c>
      <c r="M361" s="189" t="str">
        <f ca="1">IFERROR(__xludf.DUMMYFUNCTION("""COMPUTED_VALUE"""),"")</f>
        <v/>
      </c>
      <c r="N361" s="189" t="str">
        <f ca="1">IFERROR(__xludf.DUMMYFUNCTION("""COMPUTED_VALUE"""),"")</f>
        <v/>
      </c>
      <c r="O361" s="189" t="str">
        <f ca="1">IFERROR(__xludf.DUMMYFUNCTION("""COMPUTED_VALUE"""),"")</f>
        <v/>
      </c>
      <c r="P361" s="189" t="str">
        <f ca="1">IFERROR(__xludf.DUMMYFUNCTION("""COMPUTED_VALUE"""),"")</f>
        <v/>
      </c>
      <c r="Q361" s="189" t="str">
        <f ca="1">IFERROR(__xludf.DUMMYFUNCTION("""COMPUTED_VALUE"""),"")</f>
        <v/>
      </c>
      <c r="R361" s="189" t="str">
        <f ca="1">IFERROR(__xludf.DUMMYFUNCTION("""COMPUTED_VALUE"""),"")</f>
        <v/>
      </c>
      <c r="S361" s="189" t="str">
        <f ca="1">IFERROR(__xludf.DUMMYFUNCTION("""COMPUTED_VALUE"""),"")</f>
        <v/>
      </c>
      <c r="T361" s="189" t="str">
        <f ca="1">IFERROR(__xludf.DUMMYFUNCTION("""COMPUTED_VALUE"""),"")</f>
        <v/>
      </c>
      <c r="U361" s="189" t="str">
        <f ca="1">IFERROR(__xludf.DUMMYFUNCTION("""COMPUTED_VALUE"""),"")</f>
        <v/>
      </c>
      <c r="V361" s="189" t="str">
        <f ca="1">IFERROR(__xludf.DUMMYFUNCTION("""COMPUTED_VALUE"""),"")</f>
        <v/>
      </c>
      <c r="W361" s="189" t="str">
        <f ca="1">IFERROR(__xludf.DUMMYFUNCTION("""COMPUTED_VALUE"""),"")</f>
        <v/>
      </c>
      <c r="X361" s="189" t="str">
        <f ca="1">IFERROR(__xludf.DUMMYFUNCTION("""COMPUTED_VALUE"""),"")</f>
        <v/>
      </c>
      <c r="Y361" s="189" t="str">
        <f ca="1">IFERROR(__xludf.DUMMYFUNCTION("""COMPUTED_VALUE"""),"")</f>
        <v/>
      </c>
      <c r="Z361" s="189"/>
    </row>
    <row r="362" spans="1:26" ht="12.75">
      <c r="A362" s="189" t="str">
        <f ca="1">IFERROR(__xludf.DUMMYFUNCTION("""COMPUTED_VALUE"""),"")</f>
        <v/>
      </c>
      <c r="B362" s="189" t="str">
        <f ca="1">IFERROR(__xludf.DUMMYFUNCTION("""COMPUTED_VALUE"""),"")</f>
        <v/>
      </c>
      <c r="C362" s="189" t="str">
        <f ca="1">IFERROR(__xludf.DUMMYFUNCTION("""COMPUTED_VALUE"""),"")</f>
        <v/>
      </c>
      <c r="D362" s="189" t="str">
        <f ca="1">IFERROR(__xludf.DUMMYFUNCTION("""COMPUTED_VALUE"""),"")</f>
        <v/>
      </c>
      <c r="E362" s="189" t="str">
        <f ca="1">IFERROR(__xludf.DUMMYFUNCTION("""COMPUTED_VALUE"""),"")</f>
        <v/>
      </c>
      <c r="F362" s="189" t="str">
        <f ca="1">IFERROR(__xludf.DUMMYFUNCTION("""COMPUTED_VALUE"""),"")</f>
        <v/>
      </c>
      <c r="G362" s="189" t="str">
        <f ca="1">IFERROR(__xludf.DUMMYFUNCTION("""COMPUTED_VALUE"""),"")</f>
        <v/>
      </c>
      <c r="H362" s="189" t="str">
        <f ca="1">IFERROR(__xludf.DUMMYFUNCTION("""COMPUTED_VALUE"""),"")</f>
        <v/>
      </c>
      <c r="I362" s="120" t="str">
        <f ca="1">IFERROR(__xludf.DUMMYFUNCTION("""COMPUTED_VALUE"""),"")</f>
        <v/>
      </c>
      <c r="J362" s="189" t="str">
        <f ca="1">IFERROR(__xludf.DUMMYFUNCTION("""COMPUTED_VALUE"""),"")</f>
        <v/>
      </c>
      <c r="K362" s="189" t="str">
        <f ca="1">IFERROR(__xludf.DUMMYFUNCTION("""COMPUTED_VALUE"""),"")</f>
        <v/>
      </c>
      <c r="L362" s="189" t="str">
        <f ca="1">IFERROR(__xludf.DUMMYFUNCTION("""COMPUTED_VALUE"""),"")</f>
        <v/>
      </c>
      <c r="M362" s="189" t="str">
        <f ca="1">IFERROR(__xludf.DUMMYFUNCTION("""COMPUTED_VALUE"""),"")</f>
        <v/>
      </c>
      <c r="N362" s="189" t="str">
        <f ca="1">IFERROR(__xludf.DUMMYFUNCTION("""COMPUTED_VALUE"""),"")</f>
        <v/>
      </c>
      <c r="O362" s="189" t="str">
        <f ca="1">IFERROR(__xludf.DUMMYFUNCTION("""COMPUTED_VALUE"""),"")</f>
        <v/>
      </c>
      <c r="P362" s="189" t="str">
        <f ca="1">IFERROR(__xludf.DUMMYFUNCTION("""COMPUTED_VALUE"""),"")</f>
        <v/>
      </c>
      <c r="Q362" s="189" t="str">
        <f ca="1">IFERROR(__xludf.DUMMYFUNCTION("""COMPUTED_VALUE"""),"")</f>
        <v/>
      </c>
      <c r="R362" s="189" t="str">
        <f ca="1">IFERROR(__xludf.DUMMYFUNCTION("""COMPUTED_VALUE"""),"")</f>
        <v/>
      </c>
      <c r="S362" s="189" t="str">
        <f ca="1">IFERROR(__xludf.DUMMYFUNCTION("""COMPUTED_VALUE"""),"")</f>
        <v/>
      </c>
      <c r="T362" s="189" t="str">
        <f ca="1">IFERROR(__xludf.DUMMYFUNCTION("""COMPUTED_VALUE"""),"")</f>
        <v/>
      </c>
      <c r="U362" s="189" t="str">
        <f ca="1">IFERROR(__xludf.DUMMYFUNCTION("""COMPUTED_VALUE"""),"")</f>
        <v/>
      </c>
      <c r="V362" s="189" t="str">
        <f ca="1">IFERROR(__xludf.DUMMYFUNCTION("""COMPUTED_VALUE"""),"")</f>
        <v/>
      </c>
      <c r="W362" s="189" t="str">
        <f ca="1">IFERROR(__xludf.DUMMYFUNCTION("""COMPUTED_VALUE"""),"")</f>
        <v/>
      </c>
      <c r="X362" s="189" t="str">
        <f ca="1">IFERROR(__xludf.DUMMYFUNCTION("""COMPUTED_VALUE"""),"")</f>
        <v/>
      </c>
      <c r="Y362" s="189" t="str">
        <f ca="1">IFERROR(__xludf.DUMMYFUNCTION("""COMPUTED_VALUE"""),"")</f>
        <v/>
      </c>
      <c r="Z362" s="189"/>
    </row>
    <row r="363" spans="1:26" ht="12.75">
      <c r="A363" s="189" t="str">
        <f ca="1">IFERROR(__xludf.DUMMYFUNCTION("""COMPUTED_VALUE"""),"")</f>
        <v/>
      </c>
      <c r="B363" s="189" t="str">
        <f ca="1">IFERROR(__xludf.DUMMYFUNCTION("""COMPUTED_VALUE"""),"")</f>
        <v/>
      </c>
      <c r="C363" s="189" t="str">
        <f ca="1">IFERROR(__xludf.DUMMYFUNCTION("""COMPUTED_VALUE"""),"")</f>
        <v/>
      </c>
      <c r="D363" s="189" t="str">
        <f ca="1">IFERROR(__xludf.DUMMYFUNCTION("""COMPUTED_VALUE"""),"")</f>
        <v/>
      </c>
      <c r="E363" s="189" t="str">
        <f ca="1">IFERROR(__xludf.DUMMYFUNCTION("""COMPUTED_VALUE"""),"")</f>
        <v/>
      </c>
      <c r="F363" s="189" t="str">
        <f ca="1">IFERROR(__xludf.DUMMYFUNCTION("""COMPUTED_VALUE"""),"")</f>
        <v/>
      </c>
      <c r="G363" s="189" t="str">
        <f ca="1">IFERROR(__xludf.DUMMYFUNCTION("""COMPUTED_VALUE"""),"")</f>
        <v/>
      </c>
      <c r="H363" s="189" t="str">
        <f ca="1">IFERROR(__xludf.DUMMYFUNCTION("""COMPUTED_VALUE"""),"")</f>
        <v/>
      </c>
      <c r="I363" s="120" t="str">
        <f ca="1">IFERROR(__xludf.DUMMYFUNCTION("""COMPUTED_VALUE"""),"")</f>
        <v/>
      </c>
      <c r="J363" s="189" t="str">
        <f ca="1">IFERROR(__xludf.DUMMYFUNCTION("""COMPUTED_VALUE"""),"")</f>
        <v/>
      </c>
      <c r="K363" s="189" t="str">
        <f ca="1">IFERROR(__xludf.DUMMYFUNCTION("""COMPUTED_VALUE"""),"")</f>
        <v/>
      </c>
      <c r="L363" s="189" t="str">
        <f ca="1">IFERROR(__xludf.DUMMYFUNCTION("""COMPUTED_VALUE"""),"")</f>
        <v/>
      </c>
      <c r="M363" s="189" t="str">
        <f ca="1">IFERROR(__xludf.DUMMYFUNCTION("""COMPUTED_VALUE"""),"")</f>
        <v/>
      </c>
      <c r="N363" s="189" t="str">
        <f ca="1">IFERROR(__xludf.DUMMYFUNCTION("""COMPUTED_VALUE"""),"")</f>
        <v/>
      </c>
      <c r="O363" s="189" t="str">
        <f ca="1">IFERROR(__xludf.DUMMYFUNCTION("""COMPUTED_VALUE"""),"")</f>
        <v/>
      </c>
      <c r="P363" s="189" t="str">
        <f ca="1">IFERROR(__xludf.DUMMYFUNCTION("""COMPUTED_VALUE"""),"")</f>
        <v/>
      </c>
      <c r="Q363" s="189" t="str">
        <f ca="1">IFERROR(__xludf.DUMMYFUNCTION("""COMPUTED_VALUE"""),"")</f>
        <v/>
      </c>
      <c r="R363" s="189" t="str">
        <f ca="1">IFERROR(__xludf.DUMMYFUNCTION("""COMPUTED_VALUE"""),"")</f>
        <v/>
      </c>
      <c r="S363" s="189" t="str">
        <f ca="1">IFERROR(__xludf.DUMMYFUNCTION("""COMPUTED_VALUE"""),"")</f>
        <v/>
      </c>
      <c r="T363" s="189" t="str">
        <f ca="1">IFERROR(__xludf.DUMMYFUNCTION("""COMPUTED_VALUE"""),"")</f>
        <v/>
      </c>
      <c r="U363" s="189" t="str">
        <f ca="1">IFERROR(__xludf.DUMMYFUNCTION("""COMPUTED_VALUE"""),"")</f>
        <v/>
      </c>
      <c r="V363" s="189" t="str">
        <f ca="1">IFERROR(__xludf.DUMMYFUNCTION("""COMPUTED_VALUE"""),"")</f>
        <v/>
      </c>
      <c r="W363" s="189" t="str">
        <f ca="1">IFERROR(__xludf.DUMMYFUNCTION("""COMPUTED_VALUE"""),"")</f>
        <v/>
      </c>
      <c r="X363" s="189" t="str">
        <f ca="1">IFERROR(__xludf.DUMMYFUNCTION("""COMPUTED_VALUE"""),"")</f>
        <v/>
      </c>
      <c r="Y363" s="189" t="str">
        <f ca="1">IFERROR(__xludf.DUMMYFUNCTION("""COMPUTED_VALUE"""),"")</f>
        <v/>
      </c>
      <c r="Z363" s="189"/>
    </row>
    <row r="364" spans="1:26" ht="12.75">
      <c r="A364" s="189" t="str">
        <f ca="1">IFERROR(__xludf.DUMMYFUNCTION("""COMPUTED_VALUE"""),"")</f>
        <v/>
      </c>
      <c r="B364" s="189" t="str">
        <f ca="1">IFERROR(__xludf.DUMMYFUNCTION("""COMPUTED_VALUE"""),"")</f>
        <v/>
      </c>
      <c r="C364" s="189" t="str">
        <f ca="1">IFERROR(__xludf.DUMMYFUNCTION("""COMPUTED_VALUE"""),"")</f>
        <v/>
      </c>
      <c r="D364" s="189" t="str">
        <f ca="1">IFERROR(__xludf.DUMMYFUNCTION("""COMPUTED_VALUE"""),"")</f>
        <v/>
      </c>
      <c r="E364" s="189" t="str">
        <f ca="1">IFERROR(__xludf.DUMMYFUNCTION("""COMPUTED_VALUE"""),"")</f>
        <v/>
      </c>
      <c r="F364" s="189" t="str">
        <f ca="1">IFERROR(__xludf.DUMMYFUNCTION("""COMPUTED_VALUE"""),"")</f>
        <v/>
      </c>
      <c r="G364" s="189" t="str">
        <f ca="1">IFERROR(__xludf.DUMMYFUNCTION("""COMPUTED_VALUE"""),"")</f>
        <v/>
      </c>
      <c r="H364" s="189" t="str">
        <f ca="1">IFERROR(__xludf.DUMMYFUNCTION("""COMPUTED_VALUE"""),"")</f>
        <v/>
      </c>
      <c r="I364" s="120" t="str">
        <f ca="1">IFERROR(__xludf.DUMMYFUNCTION("""COMPUTED_VALUE"""),"")</f>
        <v/>
      </c>
      <c r="J364" s="189" t="str">
        <f ca="1">IFERROR(__xludf.DUMMYFUNCTION("""COMPUTED_VALUE"""),"")</f>
        <v/>
      </c>
      <c r="K364" s="189" t="str">
        <f ca="1">IFERROR(__xludf.DUMMYFUNCTION("""COMPUTED_VALUE"""),"")</f>
        <v/>
      </c>
      <c r="L364" s="189" t="str">
        <f ca="1">IFERROR(__xludf.DUMMYFUNCTION("""COMPUTED_VALUE"""),"")</f>
        <v/>
      </c>
      <c r="M364" s="189" t="str">
        <f ca="1">IFERROR(__xludf.DUMMYFUNCTION("""COMPUTED_VALUE"""),"")</f>
        <v/>
      </c>
      <c r="N364" s="189" t="str">
        <f ca="1">IFERROR(__xludf.DUMMYFUNCTION("""COMPUTED_VALUE"""),"")</f>
        <v/>
      </c>
      <c r="O364" s="189" t="str">
        <f ca="1">IFERROR(__xludf.DUMMYFUNCTION("""COMPUTED_VALUE"""),"")</f>
        <v/>
      </c>
      <c r="P364" s="189" t="str">
        <f ca="1">IFERROR(__xludf.DUMMYFUNCTION("""COMPUTED_VALUE"""),"")</f>
        <v/>
      </c>
      <c r="Q364" s="189" t="str">
        <f ca="1">IFERROR(__xludf.DUMMYFUNCTION("""COMPUTED_VALUE"""),"")</f>
        <v/>
      </c>
      <c r="R364" s="189" t="str">
        <f ca="1">IFERROR(__xludf.DUMMYFUNCTION("""COMPUTED_VALUE"""),"")</f>
        <v/>
      </c>
      <c r="S364" s="189" t="str">
        <f ca="1">IFERROR(__xludf.DUMMYFUNCTION("""COMPUTED_VALUE"""),"")</f>
        <v/>
      </c>
      <c r="T364" s="189" t="str">
        <f ca="1">IFERROR(__xludf.DUMMYFUNCTION("""COMPUTED_VALUE"""),"")</f>
        <v/>
      </c>
      <c r="U364" s="189" t="str">
        <f ca="1">IFERROR(__xludf.DUMMYFUNCTION("""COMPUTED_VALUE"""),"")</f>
        <v/>
      </c>
      <c r="V364" s="189" t="str">
        <f ca="1">IFERROR(__xludf.DUMMYFUNCTION("""COMPUTED_VALUE"""),"")</f>
        <v/>
      </c>
      <c r="W364" s="189" t="str">
        <f ca="1">IFERROR(__xludf.DUMMYFUNCTION("""COMPUTED_VALUE"""),"")</f>
        <v/>
      </c>
      <c r="X364" s="189" t="str">
        <f ca="1">IFERROR(__xludf.DUMMYFUNCTION("""COMPUTED_VALUE"""),"")</f>
        <v/>
      </c>
      <c r="Y364" s="189" t="str">
        <f ca="1">IFERROR(__xludf.DUMMYFUNCTION("""COMPUTED_VALUE"""),"")</f>
        <v/>
      </c>
      <c r="Z364" s="189"/>
    </row>
    <row r="365" spans="1:26" ht="12.75">
      <c r="A365" s="189" t="str">
        <f ca="1">IFERROR(__xludf.DUMMYFUNCTION("""COMPUTED_VALUE"""),"")</f>
        <v/>
      </c>
      <c r="B365" s="189" t="str">
        <f ca="1">IFERROR(__xludf.DUMMYFUNCTION("""COMPUTED_VALUE"""),"")</f>
        <v/>
      </c>
      <c r="C365" s="189" t="str">
        <f ca="1">IFERROR(__xludf.DUMMYFUNCTION("""COMPUTED_VALUE"""),"")</f>
        <v/>
      </c>
      <c r="D365" s="189" t="str">
        <f ca="1">IFERROR(__xludf.DUMMYFUNCTION("""COMPUTED_VALUE"""),"")</f>
        <v/>
      </c>
      <c r="E365" s="189" t="str">
        <f ca="1">IFERROR(__xludf.DUMMYFUNCTION("""COMPUTED_VALUE"""),"")</f>
        <v/>
      </c>
      <c r="F365" s="189" t="str">
        <f ca="1">IFERROR(__xludf.DUMMYFUNCTION("""COMPUTED_VALUE"""),"")</f>
        <v/>
      </c>
      <c r="G365" s="189" t="str">
        <f ca="1">IFERROR(__xludf.DUMMYFUNCTION("""COMPUTED_VALUE"""),"")</f>
        <v/>
      </c>
      <c r="H365" s="189" t="str">
        <f ca="1">IFERROR(__xludf.DUMMYFUNCTION("""COMPUTED_VALUE"""),"")</f>
        <v/>
      </c>
      <c r="I365" s="120" t="str">
        <f ca="1">IFERROR(__xludf.DUMMYFUNCTION("""COMPUTED_VALUE"""),"")</f>
        <v/>
      </c>
      <c r="J365" s="189" t="str">
        <f ca="1">IFERROR(__xludf.DUMMYFUNCTION("""COMPUTED_VALUE"""),"")</f>
        <v/>
      </c>
      <c r="K365" s="189" t="str">
        <f ca="1">IFERROR(__xludf.DUMMYFUNCTION("""COMPUTED_VALUE"""),"")</f>
        <v/>
      </c>
      <c r="L365" s="189" t="str">
        <f ca="1">IFERROR(__xludf.DUMMYFUNCTION("""COMPUTED_VALUE"""),"")</f>
        <v/>
      </c>
      <c r="M365" s="189" t="str">
        <f ca="1">IFERROR(__xludf.DUMMYFUNCTION("""COMPUTED_VALUE"""),"")</f>
        <v/>
      </c>
      <c r="N365" s="189" t="str">
        <f ca="1">IFERROR(__xludf.DUMMYFUNCTION("""COMPUTED_VALUE"""),"")</f>
        <v/>
      </c>
      <c r="O365" s="189" t="str">
        <f ca="1">IFERROR(__xludf.DUMMYFUNCTION("""COMPUTED_VALUE"""),"")</f>
        <v/>
      </c>
      <c r="P365" s="189" t="str">
        <f ca="1">IFERROR(__xludf.DUMMYFUNCTION("""COMPUTED_VALUE"""),"")</f>
        <v/>
      </c>
      <c r="Q365" s="189" t="str">
        <f ca="1">IFERROR(__xludf.DUMMYFUNCTION("""COMPUTED_VALUE"""),"")</f>
        <v/>
      </c>
      <c r="R365" s="189" t="str">
        <f ca="1">IFERROR(__xludf.DUMMYFUNCTION("""COMPUTED_VALUE"""),"")</f>
        <v/>
      </c>
      <c r="S365" s="189" t="str">
        <f ca="1">IFERROR(__xludf.DUMMYFUNCTION("""COMPUTED_VALUE"""),"")</f>
        <v/>
      </c>
      <c r="T365" s="189" t="str">
        <f ca="1">IFERROR(__xludf.DUMMYFUNCTION("""COMPUTED_VALUE"""),"")</f>
        <v/>
      </c>
      <c r="U365" s="189" t="str">
        <f ca="1">IFERROR(__xludf.DUMMYFUNCTION("""COMPUTED_VALUE"""),"")</f>
        <v/>
      </c>
      <c r="V365" s="189" t="str">
        <f ca="1">IFERROR(__xludf.DUMMYFUNCTION("""COMPUTED_VALUE"""),"")</f>
        <v/>
      </c>
      <c r="W365" s="189" t="str">
        <f ca="1">IFERROR(__xludf.DUMMYFUNCTION("""COMPUTED_VALUE"""),"")</f>
        <v/>
      </c>
      <c r="X365" s="189" t="str">
        <f ca="1">IFERROR(__xludf.DUMMYFUNCTION("""COMPUTED_VALUE"""),"")</f>
        <v/>
      </c>
      <c r="Y365" s="189" t="str">
        <f ca="1">IFERROR(__xludf.DUMMYFUNCTION("""COMPUTED_VALUE"""),"")</f>
        <v/>
      </c>
      <c r="Z365" s="189"/>
    </row>
    <row r="366" spans="1:26" ht="12.75">
      <c r="A366" s="189" t="str">
        <f ca="1">IFERROR(__xludf.DUMMYFUNCTION("""COMPUTED_VALUE"""),"")</f>
        <v/>
      </c>
      <c r="B366" s="189" t="str">
        <f ca="1">IFERROR(__xludf.DUMMYFUNCTION("""COMPUTED_VALUE"""),"")</f>
        <v/>
      </c>
      <c r="C366" s="189" t="str">
        <f ca="1">IFERROR(__xludf.DUMMYFUNCTION("""COMPUTED_VALUE"""),"")</f>
        <v/>
      </c>
      <c r="D366" s="189" t="str">
        <f ca="1">IFERROR(__xludf.DUMMYFUNCTION("""COMPUTED_VALUE"""),"")</f>
        <v/>
      </c>
      <c r="E366" s="189" t="str">
        <f ca="1">IFERROR(__xludf.DUMMYFUNCTION("""COMPUTED_VALUE"""),"")</f>
        <v/>
      </c>
      <c r="F366" s="189" t="str">
        <f ca="1">IFERROR(__xludf.DUMMYFUNCTION("""COMPUTED_VALUE"""),"")</f>
        <v/>
      </c>
      <c r="G366" s="189" t="str">
        <f ca="1">IFERROR(__xludf.DUMMYFUNCTION("""COMPUTED_VALUE"""),"")</f>
        <v/>
      </c>
      <c r="H366" s="189" t="str">
        <f ca="1">IFERROR(__xludf.DUMMYFUNCTION("""COMPUTED_VALUE"""),"")</f>
        <v/>
      </c>
      <c r="I366" s="120" t="str">
        <f ca="1">IFERROR(__xludf.DUMMYFUNCTION("""COMPUTED_VALUE"""),"")</f>
        <v/>
      </c>
      <c r="J366" s="189" t="str">
        <f ca="1">IFERROR(__xludf.DUMMYFUNCTION("""COMPUTED_VALUE"""),"")</f>
        <v/>
      </c>
      <c r="K366" s="189" t="str">
        <f ca="1">IFERROR(__xludf.DUMMYFUNCTION("""COMPUTED_VALUE"""),"")</f>
        <v/>
      </c>
      <c r="L366" s="189" t="str">
        <f ca="1">IFERROR(__xludf.DUMMYFUNCTION("""COMPUTED_VALUE"""),"")</f>
        <v/>
      </c>
      <c r="M366" s="189" t="str">
        <f ca="1">IFERROR(__xludf.DUMMYFUNCTION("""COMPUTED_VALUE"""),"")</f>
        <v/>
      </c>
      <c r="N366" s="189" t="str">
        <f ca="1">IFERROR(__xludf.DUMMYFUNCTION("""COMPUTED_VALUE"""),"")</f>
        <v/>
      </c>
      <c r="O366" s="189" t="str">
        <f ca="1">IFERROR(__xludf.DUMMYFUNCTION("""COMPUTED_VALUE"""),"")</f>
        <v/>
      </c>
      <c r="P366" s="189" t="str">
        <f ca="1">IFERROR(__xludf.DUMMYFUNCTION("""COMPUTED_VALUE"""),"")</f>
        <v/>
      </c>
      <c r="Q366" s="189" t="str">
        <f ca="1">IFERROR(__xludf.DUMMYFUNCTION("""COMPUTED_VALUE"""),"")</f>
        <v/>
      </c>
      <c r="R366" s="189" t="str">
        <f ca="1">IFERROR(__xludf.DUMMYFUNCTION("""COMPUTED_VALUE"""),"")</f>
        <v/>
      </c>
      <c r="S366" s="189" t="str">
        <f ca="1">IFERROR(__xludf.DUMMYFUNCTION("""COMPUTED_VALUE"""),"")</f>
        <v/>
      </c>
      <c r="T366" s="189" t="str">
        <f ca="1">IFERROR(__xludf.DUMMYFUNCTION("""COMPUTED_VALUE"""),"")</f>
        <v/>
      </c>
      <c r="U366" s="189" t="str">
        <f ca="1">IFERROR(__xludf.DUMMYFUNCTION("""COMPUTED_VALUE"""),"")</f>
        <v/>
      </c>
      <c r="V366" s="189" t="str">
        <f ca="1">IFERROR(__xludf.DUMMYFUNCTION("""COMPUTED_VALUE"""),"")</f>
        <v/>
      </c>
      <c r="W366" s="189" t="str">
        <f ca="1">IFERROR(__xludf.DUMMYFUNCTION("""COMPUTED_VALUE"""),"")</f>
        <v/>
      </c>
      <c r="X366" s="189" t="str">
        <f ca="1">IFERROR(__xludf.DUMMYFUNCTION("""COMPUTED_VALUE"""),"")</f>
        <v/>
      </c>
      <c r="Y366" s="189" t="str">
        <f ca="1">IFERROR(__xludf.DUMMYFUNCTION("""COMPUTED_VALUE"""),"")</f>
        <v/>
      </c>
      <c r="Z366" s="189"/>
    </row>
    <row r="367" spans="1:26" ht="12.75">
      <c r="A367" s="189" t="str">
        <f ca="1">IFERROR(__xludf.DUMMYFUNCTION("""COMPUTED_VALUE"""),"")</f>
        <v/>
      </c>
      <c r="B367" s="189" t="str">
        <f ca="1">IFERROR(__xludf.DUMMYFUNCTION("""COMPUTED_VALUE"""),"")</f>
        <v/>
      </c>
      <c r="C367" s="189" t="str">
        <f ca="1">IFERROR(__xludf.DUMMYFUNCTION("""COMPUTED_VALUE"""),"")</f>
        <v/>
      </c>
      <c r="D367" s="189" t="str">
        <f ca="1">IFERROR(__xludf.DUMMYFUNCTION("""COMPUTED_VALUE"""),"")</f>
        <v/>
      </c>
      <c r="E367" s="189" t="str">
        <f ca="1">IFERROR(__xludf.DUMMYFUNCTION("""COMPUTED_VALUE"""),"")</f>
        <v/>
      </c>
      <c r="F367" s="189" t="str">
        <f ca="1">IFERROR(__xludf.DUMMYFUNCTION("""COMPUTED_VALUE"""),"")</f>
        <v/>
      </c>
      <c r="G367" s="189" t="str">
        <f ca="1">IFERROR(__xludf.DUMMYFUNCTION("""COMPUTED_VALUE"""),"")</f>
        <v/>
      </c>
      <c r="H367" s="189" t="str">
        <f ca="1">IFERROR(__xludf.DUMMYFUNCTION("""COMPUTED_VALUE"""),"")</f>
        <v/>
      </c>
      <c r="I367" s="120" t="str">
        <f ca="1">IFERROR(__xludf.DUMMYFUNCTION("""COMPUTED_VALUE"""),"")</f>
        <v/>
      </c>
      <c r="J367" s="189" t="str">
        <f ca="1">IFERROR(__xludf.DUMMYFUNCTION("""COMPUTED_VALUE"""),"")</f>
        <v/>
      </c>
      <c r="K367" s="189" t="str">
        <f ca="1">IFERROR(__xludf.DUMMYFUNCTION("""COMPUTED_VALUE"""),"")</f>
        <v/>
      </c>
      <c r="L367" s="189" t="str">
        <f ca="1">IFERROR(__xludf.DUMMYFUNCTION("""COMPUTED_VALUE"""),"")</f>
        <v/>
      </c>
      <c r="M367" s="189" t="str">
        <f ca="1">IFERROR(__xludf.DUMMYFUNCTION("""COMPUTED_VALUE"""),"")</f>
        <v/>
      </c>
      <c r="N367" s="189" t="str">
        <f ca="1">IFERROR(__xludf.DUMMYFUNCTION("""COMPUTED_VALUE"""),"")</f>
        <v/>
      </c>
      <c r="O367" s="189" t="str">
        <f ca="1">IFERROR(__xludf.DUMMYFUNCTION("""COMPUTED_VALUE"""),"")</f>
        <v/>
      </c>
      <c r="P367" s="189" t="str">
        <f ca="1">IFERROR(__xludf.DUMMYFUNCTION("""COMPUTED_VALUE"""),"")</f>
        <v/>
      </c>
      <c r="Q367" s="189" t="str">
        <f ca="1">IFERROR(__xludf.DUMMYFUNCTION("""COMPUTED_VALUE"""),"")</f>
        <v/>
      </c>
      <c r="R367" s="189" t="str">
        <f ca="1">IFERROR(__xludf.DUMMYFUNCTION("""COMPUTED_VALUE"""),"")</f>
        <v/>
      </c>
      <c r="S367" s="189" t="str">
        <f ca="1">IFERROR(__xludf.DUMMYFUNCTION("""COMPUTED_VALUE"""),"")</f>
        <v/>
      </c>
      <c r="T367" s="189" t="str">
        <f ca="1">IFERROR(__xludf.DUMMYFUNCTION("""COMPUTED_VALUE"""),"")</f>
        <v/>
      </c>
      <c r="U367" s="189" t="str">
        <f ca="1">IFERROR(__xludf.DUMMYFUNCTION("""COMPUTED_VALUE"""),"")</f>
        <v/>
      </c>
      <c r="V367" s="189" t="str">
        <f ca="1">IFERROR(__xludf.DUMMYFUNCTION("""COMPUTED_VALUE"""),"")</f>
        <v/>
      </c>
      <c r="W367" s="189" t="str">
        <f ca="1">IFERROR(__xludf.DUMMYFUNCTION("""COMPUTED_VALUE"""),"")</f>
        <v/>
      </c>
      <c r="X367" s="189" t="str">
        <f ca="1">IFERROR(__xludf.DUMMYFUNCTION("""COMPUTED_VALUE"""),"")</f>
        <v/>
      </c>
      <c r="Y367" s="189" t="str">
        <f ca="1">IFERROR(__xludf.DUMMYFUNCTION("""COMPUTED_VALUE"""),"")</f>
        <v/>
      </c>
      <c r="Z367" s="189"/>
    </row>
    <row r="368" spans="1:26" ht="12.75">
      <c r="A368" s="189" t="str">
        <f ca="1">IFERROR(__xludf.DUMMYFUNCTION("""COMPUTED_VALUE"""),"")</f>
        <v/>
      </c>
      <c r="B368" s="189" t="str">
        <f ca="1">IFERROR(__xludf.DUMMYFUNCTION("""COMPUTED_VALUE"""),"")</f>
        <v/>
      </c>
      <c r="C368" s="189" t="str">
        <f ca="1">IFERROR(__xludf.DUMMYFUNCTION("""COMPUTED_VALUE"""),"")</f>
        <v/>
      </c>
      <c r="D368" s="189" t="str">
        <f ca="1">IFERROR(__xludf.DUMMYFUNCTION("""COMPUTED_VALUE"""),"")</f>
        <v/>
      </c>
      <c r="E368" s="189" t="str">
        <f ca="1">IFERROR(__xludf.DUMMYFUNCTION("""COMPUTED_VALUE"""),"")</f>
        <v/>
      </c>
      <c r="F368" s="189" t="str">
        <f ca="1">IFERROR(__xludf.DUMMYFUNCTION("""COMPUTED_VALUE"""),"")</f>
        <v/>
      </c>
      <c r="G368" s="189" t="str">
        <f ca="1">IFERROR(__xludf.DUMMYFUNCTION("""COMPUTED_VALUE"""),"")</f>
        <v/>
      </c>
      <c r="H368" s="189" t="str">
        <f ca="1">IFERROR(__xludf.DUMMYFUNCTION("""COMPUTED_VALUE"""),"")</f>
        <v/>
      </c>
      <c r="I368" s="120" t="str">
        <f ca="1">IFERROR(__xludf.DUMMYFUNCTION("""COMPUTED_VALUE"""),"")</f>
        <v/>
      </c>
      <c r="J368" s="189" t="str">
        <f ca="1">IFERROR(__xludf.DUMMYFUNCTION("""COMPUTED_VALUE"""),"")</f>
        <v/>
      </c>
      <c r="K368" s="189" t="str">
        <f ca="1">IFERROR(__xludf.DUMMYFUNCTION("""COMPUTED_VALUE"""),"")</f>
        <v/>
      </c>
      <c r="L368" s="189" t="str">
        <f ca="1">IFERROR(__xludf.DUMMYFUNCTION("""COMPUTED_VALUE"""),"")</f>
        <v/>
      </c>
      <c r="M368" s="189" t="str">
        <f ca="1">IFERROR(__xludf.DUMMYFUNCTION("""COMPUTED_VALUE"""),"")</f>
        <v/>
      </c>
      <c r="N368" s="189" t="str">
        <f ca="1">IFERROR(__xludf.DUMMYFUNCTION("""COMPUTED_VALUE"""),"")</f>
        <v/>
      </c>
      <c r="O368" s="189" t="str">
        <f ca="1">IFERROR(__xludf.DUMMYFUNCTION("""COMPUTED_VALUE"""),"")</f>
        <v/>
      </c>
      <c r="P368" s="189" t="str">
        <f ca="1">IFERROR(__xludf.DUMMYFUNCTION("""COMPUTED_VALUE"""),"")</f>
        <v/>
      </c>
      <c r="Q368" s="189" t="str">
        <f ca="1">IFERROR(__xludf.DUMMYFUNCTION("""COMPUTED_VALUE"""),"")</f>
        <v/>
      </c>
      <c r="R368" s="189" t="str">
        <f ca="1">IFERROR(__xludf.DUMMYFUNCTION("""COMPUTED_VALUE"""),"")</f>
        <v/>
      </c>
      <c r="S368" s="189" t="str">
        <f ca="1">IFERROR(__xludf.DUMMYFUNCTION("""COMPUTED_VALUE"""),"")</f>
        <v/>
      </c>
      <c r="T368" s="189" t="str">
        <f ca="1">IFERROR(__xludf.DUMMYFUNCTION("""COMPUTED_VALUE"""),"")</f>
        <v/>
      </c>
      <c r="U368" s="189" t="str">
        <f ca="1">IFERROR(__xludf.DUMMYFUNCTION("""COMPUTED_VALUE"""),"")</f>
        <v/>
      </c>
      <c r="V368" s="189" t="str">
        <f ca="1">IFERROR(__xludf.DUMMYFUNCTION("""COMPUTED_VALUE"""),"")</f>
        <v/>
      </c>
      <c r="W368" s="189" t="str">
        <f ca="1">IFERROR(__xludf.DUMMYFUNCTION("""COMPUTED_VALUE"""),"")</f>
        <v/>
      </c>
      <c r="X368" s="189" t="str">
        <f ca="1">IFERROR(__xludf.DUMMYFUNCTION("""COMPUTED_VALUE"""),"")</f>
        <v/>
      </c>
      <c r="Y368" s="189" t="str">
        <f ca="1">IFERROR(__xludf.DUMMYFUNCTION("""COMPUTED_VALUE"""),"")</f>
        <v/>
      </c>
      <c r="Z368" s="189"/>
    </row>
    <row r="369" spans="1:26" ht="12.75">
      <c r="A369" s="189" t="str">
        <f ca="1">IFERROR(__xludf.DUMMYFUNCTION("""COMPUTED_VALUE"""),"")</f>
        <v/>
      </c>
      <c r="B369" s="189" t="str">
        <f ca="1">IFERROR(__xludf.DUMMYFUNCTION("""COMPUTED_VALUE"""),"")</f>
        <v/>
      </c>
      <c r="C369" s="189" t="str">
        <f ca="1">IFERROR(__xludf.DUMMYFUNCTION("""COMPUTED_VALUE"""),"")</f>
        <v/>
      </c>
      <c r="D369" s="189" t="str">
        <f ca="1">IFERROR(__xludf.DUMMYFUNCTION("""COMPUTED_VALUE"""),"")</f>
        <v/>
      </c>
      <c r="E369" s="189" t="str">
        <f ca="1">IFERROR(__xludf.DUMMYFUNCTION("""COMPUTED_VALUE"""),"")</f>
        <v/>
      </c>
      <c r="F369" s="189" t="str">
        <f ca="1">IFERROR(__xludf.DUMMYFUNCTION("""COMPUTED_VALUE"""),"")</f>
        <v/>
      </c>
      <c r="G369" s="189" t="str">
        <f ca="1">IFERROR(__xludf.DUMMYFUNCTION("""COMPUTED_VALUE"""),"")</f>
        <v/>
      </c>
      <c r="H369" s="189" t="str">
        <f ca="1">IFERROR(__xludf.DUMMYFUNCTION("""COMPUTED_VALUE"""),"")</f>
        <v/>
      </c>
      <c r="I369" s="120" t="str">
        <f ca="1">IFERROR(__xludf.DUMMYFUNCTION("""COMPUTED_VALUE"""),"")</f>
        <v/>
      </c>
      <c r="J369" s="189" t="str">
        <f ca="1">IFERROR(__xludf.DUMMYFUNCTION("""COMPUTED_VALUE"""),"")</f>
        <v/>
      </c>
      <c r="K369" s="189" t="str">
        <f ca="1">IFERROR(__xludf.DUMMYFUNCTION("""COMPUTED_VALUE"""),"")</f>
        <v/>
      </c>
      <c r="L369" s="189" t="str">
        <f ca="1">IFERROR(__xludf.DUMMYFUNCTION("""COMPUTED_VALUE"""),"")</f>
        <v/>
      </c>
      <c r="M369" s="189" t="str">
        <f ca="1">IFERROR(__xludf.DUMMYFUNCTION("""COMPUTED_VALUE"""),"")</f>
        <v/>
      </c>
      <c r="N369" s="189" t="str">
        <f ca="1">IFERROR(__xludf.DUMMYFUNCTION("""COMPUTED_VALUE"""),"")</f>
        <v/>
      </c>
      <c r="O369" s="189" t="str">
        <f ca="1">IFERROR(__xludf.DUMMYFUNCTION("""COMPUTED_VALUE"""),"")</f>
        <v/>
      </c>
      <c r="P369" s="189" t="str">
        <f ca="1">IFERROR(__xludf.DUMMYFUNCTION("""COMPUTED_VALUE"""),"")</f>
        <v/>
      </c>
      <c r="Q369" s="189" t="str">
        <f ca="1">IFERROR(__xludf.DUMMYFUNCTION("""COMPUTED_VALUE"""),"")</f>
        <v/>
      </c>
      <c r="R369" s="189" t="str">
        <f ca="1">IFERROR(__xludf.DUMMYFUNCTION("""COMPUTED_VALUE"""),"")</f>
        <v/>
      </c>
      <c r="S369" s="189" t="str">
        <f ca="1">IFERROR(__xludf.DUMMYFUNCTION("""COMPUTED_VALUE"""),"")</f>
        <v/>
      </c>
      <c r="T369" s="189" t="str">
        <f ca="1">IFERROR(__xludf.DUMMYFUNCTION("""COMPUTED_VALUE"""),"")</f>
        <v/>
      </c>
      <c r="U369" s="189" t="str">
        <f ca="1">IFERROR(__xludf.DUMMYFUNCTION("""COMPUTED_VALUE"""),"")</f>
        <v/>
      </c>
      <c r="V369" s="189" t="str">
        <f ca="1">IFERROR(__xludf.DUMMYFUNCTION("""COMPUTED_VALUE"""),"")</f>
        <v/>
      </c>
      <c r="W369" s="189" t="str">
        <f ca="1">IFERROR(__xludf.DUMMYFUNCTION("""COMPUTED_VALUE"""),"")</f>
        <v/>
      </c>
      <c r="X369" s="189" t="str">
        <f ca="1">IFERROR(__xludf.DUMMYFUNCTION("""COMPUTED_VALUE"""),"")</f>
        <v/>
      </c>
      <c r="Y369" s="189" t="str">
        <f ca="1">IFERROR(__xludf.DUMMYFUNCTION("""COMPUTED_VALUE"""),"")</f>
        <v/>
      </c>
      <c r="Z369" s="189"/>
    </row>
    <row r="370" spans="1:26" ht="12.75">
      <c r="A370" s="189" t="str">
        <f ca="1">IFERROR(__xludf.DUMMYFUNCTION("""COMPUTED_VALUE"""),"")</f>
        <v/>
      </c>
      <c r="B370" s="189" t="str">
        <f ca="1">IFERROR(__xludf.DUMMYFUNCTION("""COMPUTED_VALUE"""),"")</f>
        <v/>
      </c>
      <c r="C370" s="189" t="str">
        <f ca="1">IFERROR(__xludf.DUMMYFUNCTION("""COMPUTED_VALUE"""),"")</f>
        <v/>
      </c>
      <c r="D370" s="189" t="str">
        <f ca="1">IFERROR(__xludf.DUMMYFUNCTION("""COMPUTED_VALUE"""),"")</f>
        <v/>
      </c>
      <c r="E370" s="189" t="str">
        <f ca="1">IFERROR(__xludf.DUMMYFUNCTION("""COMPUTED_VALUE"""),"")</f>
        <v/>
      </c>
      <c r="F370" s="189" t="str">
        <f ca="1">IFERROR(__xludf.DUMMYFUNCTION("""COMPUTED_VALUE"""),"")</f>
        <v/>
      </c>
      <c r="G370" s="189" t="str">
        <f ca="1">IFERROR(__xludf.DUMMYFUNCTION("""COMPUTED_VALUE"""),"")</f>
        <v/>
      </c>
      <c r="H370" s="189" t="str">
        <f ca="1">IFERROR(__xludf.DUMMYFUNCTION("""COMPUTED_VALUE"""),"")</f>
        <v/>
      </c>
      <c r="I370" s="120" t="str">
        <f ca="1">IFERROR(__xludf.DUMMYFUNCTION("""COMPUTED_VALUE"""),"")</f>
        <v/>
      </c>
      <c r="J370" s="189" t="str">
        <f ca="1">IFERROR(__xludf.DUMMYFUNCTION("""COMPUTED_VALUE"""),"")</f>
        <v/>
      </c>
      <c r="K370" s="189" t="str">
        <f ca="1">IFERROR(__xludf.DUMMYFUNCTION("""COMPUTED_VALUE"""),"")</f>
        <v/>
      </c>
      <c r="L370" s="189" t="str">
        <f ca="1">IFERROR(__xludf.DUMMYFUNCTION("""COMPUTED_VALUE"""),"")</f>
        <v/>
      </c>
      <c r="M370" s="189" t="str">
        <f ca="1">IFERROR(__xludf.DUMMYFUNCTION("""COMPUTED_VALUE"""),"")</f>
        <v/>
      </c>
      <c r="N370" s="189" t="str">
        <f ca="1">IFERROR(__xludf.DUMMYFUNCTION("""COMPUTED_VALUE"""),"")</f>
        <v/>
      </c>
      <c r="O370" s="189" t="str">
        <f ca="1">IFERROR(__xludf.DUMMYFUNCTION("""COMPUTED_VALUE"""),"")</f>
        <v/>
      </c>
      <c r="P370" s="189" t="str">
        <f ca="1">IFERROR(__xludf.DUMMYFUNCTION("""COMPUTED_VALUE"""),"")</f>
        <v/>
      </c>
      <c r="Q370" s="189" t="str">
        <f ca="1">IFERROR(__xludf.DUMMYFUNCTION("""COMPUTED_VALUE"""),"")</f>
        <v/>
      </c>
      <c r="R370" s="189" t="str">
        <f ca="1">IFERROR(__xludf.DUMMYFUNCTION("""COMPUTED_VALUE"""),"")</f>
        <v/>
      </c>
      <c r="S370" s="189" t="str">
        <f ca="1">IFERROR(__xludf.DUMMYFUNCTION("""COMPUTED_VALUE"""),"")</f>
        <v/>
      </c>
      <c r="T370" s="189" t="str">
        <f ca="1">IFERROR(__xludf.DUMMYFUNCTION("""COMPUTED_VALUE"""),"")</f>
        <v/>
      </c>
      <c r="U370" s="189" t="str">
        <f ca="1">IFERROR(__xludf.DUMMYFUNCTION("""COMPUTED_VALUE"""),"")</f>
        <v/>
      </c>
      <c r="V370" s="189" t="str">
        <f ca="1">IFERROR(__xludf.DUMMYFUNCTION("""COMPUTED_VALUE"""),"")</f>
        <v/>
      </c>
      <c r="W370" s="189" t="str">
        <f ca="1">IFERROR(__xludf.DUMMYFUNCTION("""COMPUTED_VALUE"""),"")</f>
        <v/>
      </c>
      <c r="X370" s="189" t="str">
        <f ca="1">IFERROR(__xludf.DUMMYFUNCTION("""COMPUTED_VALUE"""),"")</f>
        <v/>
      </c>
      <c r="Y370" s="189" t="str">
        <f ca="1">IFERROR(__xludf.DUMMYFUNCTION("""COMPUTED_VALUE"""),"")</f>
        <v/>
      </c>
      <c r="Z370" s="189"/>
    </row>
    <row r="371" spans="1:26" ht="12.75">
      <c r="A371" s="189" t="str">
        <f ca="1">IFERROR(__xludf.DUMMYFUNCTION("""COMPUTED_VALUE"""),"")</f>
        <v/>
      </c>
      <c r="B371" s="189" t="str">
        <f ca="1">IFERROR(__xludf.DUMMYFUNCTION("""COMPUTED_VALUE"""),"")</f>
        <v/>
      </c>
      <c r="C371" s="189" t="str">
        <f ca="1">IFERROR(__xludf.DUMMYFUNCTION("""COMPUTED_VALUE"""),"")</f>
        <v/>
      </c>
      <c r="D371" s="189" t="str">
        <f ca="1">IFERROR(__xludf.DUMMYFUNCTION("""COMPUTED_VALUE"""),"")</f>
        <v/>
      </c>
      <c r="E371" s="189" t="str">
        <f ca="1">IFERROR(__xludf.DUMMYFUNCTION("""COMPUTED_VALUE"""),"")</f>
        <v/>
      </c>
      <c r="F371" s="189" t="str">
        <f ca="1">IFERROR(__xludf.DUMMYFUNCTION("""COMPUTED_VALUE"""),"")</f>
        <v/>
      </c>
      <c r="G371" s="189" t="str">
        <f ca="1">IFERROR(__xludf.DUMMYFUNCTION("""COMPUTED_VALUE"""),"")</f>
        <v/>
      </c>
      <c r="H371" s="189" t="str">
        <f ca="1">IFERROR(__xludf.DUMMYFUNCTION("""COMPUTED_VALUE"""),"")</f>
        <v/>
      </c>
      <c r="I371" s="120" t="str">
        <f ca="1">IFERROR(__xludf.DUMMYFUNCTION("""COMPUTED_VALUE"""),"")</f>
        <v/>
      </c>
      <c r="J371" s="189" t="str">
        <f ca="1">IFERROR(__xludf.DUMMYFUNCTION("""COMPUTED_VALUE"""),"")</f>
        <v/>
      </c>
      <c r="K371" s="189" t="str">
        <f ca="1">IFERROR(__xludf.DUMMYFUNCTION("""COMPUTED_VALUE"""),"")</f>
        <v/>
      </c>
      <c r="L371" s="189" t="str">
        <f ca="1">IFERROR(__xludf.DUMMYFUNCTION("""COMPUTED_VALUE"""),"")</f>
        <v/>
      </c>
      <c r="M371" s="189" t="str">
        <f ca="1">IFERROR(__xludf.DUMMYFUNCTION("""COMPUTED_VALUE"""),"")</f>
        <v/>
      </c>
      <c r="N371" s="189" t="str">
        <f ca="1">IFERROR(__xludf.DUMMYFUNCTION("""COMPUTED_VALUE"""),"")</f>
        <v/>
      </c>
      <c r="O371" s="189" t="str">
        <f ca="1">IFERROR(__xludf.DUMMYFUNCTION("""COMPUTED_VALUE"""),"")</f>
        <v/>
      </c>
      <c r="P371" s="189" t="str">
        <f ca="1">IFERROR(__xludf.DUMMYFUNCTION("""COMPUTED_VALUE"""),"")</f>
        <v/>
      </c>
      <c r="Q371" s="189" t="str">
        <f ca="1">IFERROR(__xludf.DUMMYFUNCTION("""COMPUTED_VALUE"""),"")</f>
        <v/>
      </c>
      <c r="R371" s="189" t="str">
        <f ca="1">IFERROR(__xludf.DUMMYFUNCTION("""COMPUTED_VALUE"""),"")</f>
        <v/>
      </c>
      <c r="S371" s="189" t="str">
        <f ca="1">IFERROR(__xludf.DUMMYFUNCTION("""COMPUTED_VALUE"""),"")</f>
        <v/>
      </c>
      <c r="T371" s="189" t="str">
        <f ca="1">IFERROR(__xludf.DUMMYFUNCTION("""COMPUTED_VALUE"""),"")</f>
        <v/>
      </c>
      <c r="U371" s="189" t="str">
        <f ca="1">IFERROR(__xludf.DUMMYFUNCTION("""COMPUTED_VALUE"""),"")</f>
        <v/>
      </c>
      <c r="V371" s="189" t="str">
        <f ca="1">IFERROR(__xludf.DUMMYFUNCTION("""COMPUTED_VALUE"""),"")</f>
        <v/>
      </c>
      <c r="W371" s="189" t="str">
        <f ca="1">IFERROR(__xludf.DUMMYFUNCTION("""COMPUTED_VALUE"""),"")</f>
        <v/>
      </c>
      <c r="X371" s="189" t="str">
        <f ca="1">IFERROR(__xludf.DUMMYFUNCTION("""COMPUTED_VALUE"""),"")</f>
        <v/>
      </c>
      <c r="Y371" s="189" t="str">
        <f ca="1">IFERROR(__xludf.DUMMYFUNCTION("""COMPUTED_VALUE"""),"")</f>
        <v/>
      </c>
      <c r="Z371" s="189"/>
    </row>
    <row r="372" spans="1:26" ht="12.75">
      <c r="A372" s="189" t="str">
        <f ca="1">IFERROR(__xludf.DUMMYFUNCTION("""COMPUTED_VALUE"""),"")</f>
        <v/>
      </c>
      <c r="B372" s="189" t="str">
        <f ca="1">IFERROR(__xludf.DUMMYFUNCTION("""COMPUTED_VALUE"""),"")</f>
        <v/>
      </c>
      <c r="C372" s="189" t="str">
        <f ca="1">IFERROR(__xludf.DUMMYFUNCTION("""COMPUTED_VALUE"""),"")</f>
        <v/>
      </c>
      <c r="D372" s="189" t="str">
        <f ca="1">IFERROR(__xludf.DUMMYFUNCTION("""COMPUTED_VALUE"""),"")</f>
        <v/>
      </c>
      <c r="E372" s="189" t="str">
        <f ca="1">IFERROR(__xludf.DUMMYFUNCTION("""COMPUTED_VALUE"""),"")</f>
        <v/>
      </c>
      <c r="F372" s="189" t="str">
        <f ca="1">IFERROR(__xludf.DUMMYFUNCTION("""COMPUTED_VALUE"""),"")</f>
        <v/>
      </c>
      <c r="G372" s="189" t="str">
        <f ca="1">IFERROR(__xludf.DUMMYFUNCTION("""COMPUTED_VALUE"""),"")</f>
        <v/>
      </c>
      <c r="H372" s="189" t="str">
        <f ca="1">IFERROR(__xludf.DUMMYFUNCTION("""COMPUTED_VALUE"""),"")</f>
        <v/>
      </c>
      <c r="I372" s="120" t="str">
        <f ca="1">IFERROR(__xludf.DUMMYFUNCTION("""COMPUTED_VALUE"""),"")</f>
        <v/>
      </c>
      <c r="J372" s="189" t="str">
        <f ca="1">IFERROR(__xludf.DUMMYFUNCTION("""COMPUTED_VALUE"""),"")</f>
        <v/>
      </c>
      <c r="K372" s="189" t="str">
        <f ca="1">IFERROR(__xludf.DUMMYFUNCTION("""COMPUTED_VALUE"""),"")</f>
        <v/>
      </c>
      <c r="L372" s="189" t="str">
        <f ca="1">IFERROR(__xludf.DUMMYFUNCTION("""COMPUTED_VALUE"""),"")</f>
        <v/>
      </c>
      <c r="M372" s="189" t="str">
        <f ca="1">IFERROR(__xludf.DUMMYFUNCTION("""COMPUTED_VALUE"""),"")</f>
        <v/>
      </c>
      <c r="N372" s="189" t="str">
        <f ca="1">IFERROR(__xludf.DUMMYFUNCTION("""COMPUTED_VALUE"""),"")</f>
        <v/>
      </c>
      <c r="O372" s="189" t="str">
        <f ca="1">IFERROR(__xludf.DUMMYFUNCTION("""COMPUTED_VALUE"""),"")</f>
        <v/>
      </c>
      <c r="P372" s="189" t="str">
        <f ca="1">IFERROR(__xludf.DUMMYFUNCTION("""COMPUTED_VALUE"""),"")</f>
        <v/>
      </c>
      <c r="Q372" s="189" t="str">
        <f ca="1">IFERROR(__xludf.DUMMYFUNCTION("""COMPUTED_VALUE"""),"")</f>
        <v/>
      </c>
      <c r="R372" s="189" t="str">
        <f ca="1">IFERROR(__xludf.DUMMYFUNCTION("""COMPUTED_VALUE"""),"")</f>
        <v/>
      </c>
      <c r="S372" s="189" t="str">
        <f ca="1">IFERROR(__xludf.DUMMYFUNCTION("""COMPUTED_VALUE"""),"")</f>
        <v/>
      </c>
      <c r="T372" s="189" t="str">
        <f ca="1">IFERROR(__xludf.DUMMYFUNCTION("""COMPUTED_VALUE"""),"")</f>
        <v/>
      </c>
      <c r="U372" s="189" t="str">
        <f ca="1">IFERROR(__xludf.DUMMYFUNCTION("""COMPUTED_VALUE"""),"")</f>
        <v/>
      </c>
      <c r="V372" s="189" t="str">
        <f ca="1">IFERROR(__xludf.DUMMYFUNCTION("""COMPUTED_VALUE"""),"")</f>
        <v/>
      </c>
      <c r="W372" s="189" t="str">
        <f ca="1">IFERROR(__xludf.DUMMYFUNCTION("""COMPUTED_VALUE"""),"")</f>
        <v/>
      </c>
      <c r="X372" s="189" t="str">
        <f ca="1">IFERROR(__xludf.DUMMYFUNCTION("""COMPUTED_VALUE"""),"")</f>
        <v/>
      </c>
      <c r="Y372" s="189" t="str">
        <f ca="1">IFERROR(__xludf.DUMMYFUNCTION("""COMPUTED_VALUE"""),"")</f>
        <v/>
      </c>
      <c r="Z372" s="189"/>
    </row>
    <row r="373" spans="1:26" ht="12.75">
      <c r="A373" s="189" t="str">
        <f ca="1">IFERROR(__xludf.DUMMYFUNCTION("""COMPUTED_VALUE"""),"")</f>
        <v/>
      </c>
      <c r="B373" s="189" t="str">
        <f ca="1">IFERROR(__xludf.DUMMYFUNCTION("""COMPUTED_VALUE"""),"")</f>
        <v/>
      </c>
      <c r="C373" s="189" t="str">
        <f ca="1">IFERROR(__xludf.DUMMYFUNCTION("""COMPUTED_VALUE"""),"")</f>
        <v/>
      </c>
      <c r="D373" s="189" t="str">
        <f ca="1">IFERROR(__xludf.DUMMYFUNCTION("""COMPUTED_VALUE"""),"")</f>
        <v/>
      </c>
      <c r="E373" s="189" t="str">
        <f ca="1">IFERROR(__xludf.DUMMYFUNCTION("""COMPUTED_VALUE"""),"")</f>
        <v/>
      </c>
      <c r="F373" s="189" t="str">
        <f ca="1">IFERROR(__xludf.DUMMYFUNCTION("""COMPUTED_VALUE"""),"")</f>
        <v/>
      </c>
      <c r="G373" s="189" t="str">
        <f ca="1">IFERROR(__xludf.DUMMYFUNCTION("""COMPUTED_VALUE"""),"")</f>
        <v/>
      </c>
      <c r="H373" s="189" t="str">
        <f ca="1">IFERROR(__xludf.DUMMYFUNCTION("""COMPUTED_VALUE"""),"")</f>
        <v/>
      </c>
      <c r="I373" s="120" t="str">
        <f ca="1">IFERROR(__xludf.DUMMYFUNCTION("""COMPUTED_VALUE"""),"")</f>
        <v/>
      </c>
      <c r="J373" s="189" t="str">
        <f ca="1">IFERROR(__xludf.DUMMYFUNCTION("""COMPUTED_VALUE"""),"")</f>
        <v/>
      </c>
      <c r="K373" s="189" t="str">
        <f ca="1">IFERROR(__xludf.DUMMYFUNCTION("""COMPUTED_VALUE"""),"")</f>
        <v/>
      </c>
      <c r="L373" s="189" t="str">
        <f ca="1">IFERROR(__xludf.DUMMYFUNCTION("""COMPUTED_VALUE"""),"")</f>
        <v/>
      </c>
      <c r="M373" s="189" t="str">
        <f ca="1">IFERROR(__xludf.DUMMYFUNCTION("""COMPUTED_VALUE"""),"")</f>
        <v/>
      </c>
      <c r="N373" s="189" t="str">
        <f ca="1">IFERROR(__xludf.DUMMYFUNCTION("""COMPUTED_VALUE"""),"")</f>
        <v/>
      </c>
      <c r="O373" s="189" t="str">
        <f ca="1">IFERROR(__xludf.DUMMYFUNCTION("""COMPUTED_VALUE"""),"")</f>
        <v/>
      </c>
      <c r="P373" s="189" t="str">
        <f ca="1">IFERROR(__xludf.DUMMYFUNCTION("""COMPUTED_VALUE"""),"")</f>
        <v/>
      </c>
      <c r="Q373" s="189" t="str">
        <f ca="1">IFERROR(__xludf.DUMMYFUNCTION("""COMPUTED_VALUE"""),"")</f>
        <v/>
      </c>
      <c r="R373" s="189" t="str">
        <f ca="1">IFERROR(__xludf.DUMMYFUNCTION("""COMPUTED_VALUE"""),"")</f>
        <v/>
      </c>
      <c r="S373" s="189" t="str">
        <f ca="1">IFERROR(__xludf.DUMMYFUNCTION("""COMPUTED_VALUE"""),"")</f>
        <v/>
      </c>
      <c r="T373" s="189" t="str">
        <f ca="1">IFERROR(__xludf.DUMMYFUNCTION("""COMPUTED_VALUE"""),"")</f>
        <v/>
      </c>
      <c r="U373" s="189" t="str">
        <f ca="1">IFERROR(__xludf.DUMMYFUNCTION("""COMPUTED_VALUE"""),"")</f>
        <v/>
      </c>
      <c r="V373" s="189" t="str">
        <f ca="1">IFERROR(__xludf.DUMMYFUNCTION("""COMPUTED_VALUE"""),"")</f>
        <v/>
      </c>
      <c r="W373" s="189" t="str">
        <f ca="1">IFERROR(__xludf.DUMMYFUNCTION("""COMPUTED_VALUE"""),"")</f>
        <v/>
      </c>
      <c r="X373" s="189" t="str">
        <f ca="1">IFERROR(__xludf.DUMMYFUNCTION("""COMPUTED_VALUE"""),"")</f>
        <v/>
      </c>
      <c r="Y373" s="189" t="str">
        <f ca="1">IFERROR(__xludf.DUMMYFUNCTION("""COMPUTED_VALUE"""),"")</f>
        <v/>
      </c>
      <c r="Z373" s="189"/>
    </row>
    <row r="374" spans="1:26" ht="12.75">
      <c r="A374" s="189" t="str">
        <f ca="1">IFERROR(__xludf.DUMMYFUNCTION("""COMPUTED_VALUE"""),"")</f>
        <v/>
      </c>
      <c r="B374" s="189" t="str">
        <f ca="1">IFERROR(__xludf.DUMMYFUNCTION("""COMPUTED_VALUE"""),"")</f>
        <v/>
      </c>
      <c r="C374" s="189" t="str">
        <f ca="1">IFERROR(__xludf.DUMMYFUNCTION("""COMPUTED_VALUE"""),"")</f>
        <v/>
      </c>
      <c r="D374" s="189" t="str">
        <f ca="1">IFERROR(__xludf.DUMMYFUNCTION("""COMPUTED_VALUE"""),"")</f>
        <v/>
      </c>
      <c r="E374" s="189" t="str">
        <f ca="1">IFERROR(__xludf.DUMMYFUNCTION("""COMPUTED_VALUE"""),"")</f>
        <v/>
      </c>
      <c r="F374" s="189" t="str">
        <f ca="1">IFERROR(__xludf.DUMMYFUNCTION("""COMPUTED_VALUE"""),"")</f>
        <v/>
      </c>
      <c r="G374" s="189" t="str">
        <f ca="1">IFERROR(__xludf.DUMMYFUNCTION("""COMPUTED_VALUE"""),"")</f>
        <v/>
      </c>
      <c r="H374" s="189" t="str">
        <f ca="1">IFERROR(__xludf.DUMMYFUNCTION("""COMPUTED_VALUE"""),"")</f>
        <v/>
      </c>
      <c r="I374" s="120" t="str">
        <f ca="1">IFERROR(__xludf.DUMMYFUNCTION("""COMPUTED_VALUE"""),"")</f>
        <v/>
      </c>
      <c r="J374" s="189" t="str">
        <f ca="1">IFERROR(__xludf.DUMMYFUNCTION("""COMPUTED_VALUE"""),"")</f>
        <v/>
      </c>
      <c r="K374" s="189" t="str">
        <f ca="1">IFERROR(__xludf.DUMMYFUNCTION("""COMPUTED_VALUE"""),"")</f>
        <v/>
      </c>
      <c r="L374" s="189" t="str">
        <f ca="1">IFERROR(__xludf.DUMMYFUNCTION("""COMPUTED_VALUE"""),"")</f>
        <v/>
      </c>
      <c r="M374" s="189" t="str">
        <f ca="1">IFERROR(__xludf.DUMMYFUNCTION("""COMPUTED_VALUE"""),"")</f>
        <v/>
      </c>
      <c r="N374" s="189" t="str">
        <f ca="1">IFERROR(__xludf.DUMMYFUNCTION("""COMPUTED_VALUE"""),"")</f>
        <v/>
      </c>
      <c r="O374" s="189" t="str">
        <f ca="1">IFERROR(__xludf.DUMMYFUNCTION("""COMPUTED_VALUE"""),"")</f>
        <v/>
      </c>
      <c r="P374" s="189" t="str">
        <f ca="1">IFERROR(__xludf.DUMMYFUNCTION("""COMPUTED_VALUE"""),"")</f>
        <v/>
      </c>
      <c r="Q374" s="189" t="str">
        <f ca="1">IFERROR(__xludf.DUMMYFUNCTION("""COMPUTED_VALUE"""),"")</f>
        <v/>
      </c>
      <c r="R374" s="189" t="str">
        <f ca="1">IFERROR(__xludf.DUMMYFUNCTION("""COMPUTED_VALUE"""),"")</f>
        <v/>
      </c>
      <c r="S374" s="189" t="str">
        <f ca="1">IFERROR(__xludf.DUMMYFUNCTION("""COMPUTED_VALUE"""),"")</f>
        <v/>
      </c>
      <c r="T374" s="189" t="str">
        <f ca="1">IFERROR(__xludf.DUMMYFUNCTION("""COMPUTED_VALUE"""),"")</f>
        <v/>
      </c>
      <c r="U374" s="189" t="str">
        <f ca="1">IFERROR(__xludf.DUMMYFUNCTION("""COMPUTED_VALUE"""),"")</f>
        <v/>
      </c>
      <c r="V374" s="189" t="str">
        <f ca="1">IFERROR(__xludf.DUMMYFUNCTION("""COMPUTED_VALUE"""),"")</f>
        <v/>
      </c>
      <c r="W374" s="189" t="str">
        <f ca="1">IFERROR(__xludf.DUMMYFUNCTION("""COMPUTED_VALUE"""),"")</f>
        <v/>
      </c>
      <c r="X374" s="189" t="str">
        <f ca="1">IFERROR(__xludf.DUMMYFUNCTION("""COMPUTED_VALUE"""),"")</f>
        <v/>
      </c>
      <c r="Y374" s="189" t="str">
        <f ca="1">IFERROR(__xludf.DUMMYFUNCTION("""COMPUTED_VALUE"""),"")</f>
        <v/>
      </c>
      <c r="Z374" s="189"/>
    </row>
    <row r="375" spans="1:26" ht="12.75">
      <c r="A375" s="189" t="str">
        <f ca="1">IFERROR(__xludf.DUMMYFUNCTION("""COMPUTED_VALUE"""),"")</f>
        <v/>
      </c>
      <c r="B375" s="189" t="str">
        <f ca="1">IFERROR(__xludf.DUMMYFUNCTION("""COMPUTED_VALUE"""),"")</f>
        <v/>
      </c>
      <c r="C375" s="189" t="str">
        <f ca="1">IFERROR(__xludf.DUMMYFUNCTION("""COMPUTED_VALUE"""),"")</f>
        <v/>
      </c>
      <c r="D375" s="189" t="str">
        <f ca="1">IFERROR(__xludf.DUMMYFUNCTION("""COMPUTED_VALUE"""),"")</f>
        <v/>
      </c>
      <c r="E375" s="189" t="str">
        <f ca="1">IFERROR(__xludf.DUMMYFUNCTION("""COMPUTED_VALUE"""),"")</f>
        <v/>
      </c>
      <c r="F375" s="189" t="str">
        <f ca="1">IFERROR(__xludf.DUMMYFUNCTION("""COMPUTED_VALUE"""),"")</f>
        <v/>
      </c>
      <c r="G375" s="189" t="str">
        <f ca="1">IFERROR(__xludf.DUMMYFUNCTION("""COMPUTED_VALUE"""),"")</f>
        <v/>
      </c>
      <c r="H375" s="189" t="str">
        <f ca="1">IFERROR(__xludf.DUMMYFUNCTION("""COMPUTED_VALUE"""),"")</f>
        <v/>
      </c>
      <c r="I375" s="120" t="str">
        <f ca="1">IFERROR(__xludf.DUMMYFUNCTION("""COMPUTED_VALUE"""),"")</f>
        <v/>
      </c>
      <c r="J375" s="189" t="str">
        <f ca="1">IFERROR(__xludf.DUMMYFUNCTION("""COMPUTED_VALUE"""),"")</f>
        <v/>
      </c>
      <c r="K375" s="189" t="str">
        <f ca="1">IFERROR(__xludf.DUMMYFUNCTION("""COMPUTED_VALUE"""),"")</f>
        <v/>
      </c>
      <c r="L375" s="189" t="str">
        <f ca="1">IFERROR(__xludf.DUMMYFUNCTION("""COMPUTED_VALUE"""),"")</f>
        <v/>
      </c>
      <c r="M375" s="189" t="str">
        <f ca="1">IFERROR(__xludf.DUMMYFUNCTION("""COMPUTED_VALUE"""),"")</f>
        <v/>
      </c>
      <c r="N375" s="189" t="str">
        <f ca="1">IFERROR(__xludf.DUMMYFUNCTION("""COMPUTED_VALUE"""),"")</f>
        <v/>
      </c>
      <c r="O375" s="189" t="str">
        <f ca="1">IFERROR(__xludf.DUMMYFUNCTION("""COMPUTED_VALUE"""),"")</f>
        <v/>
      </c>
      <c r="P375" s="189" t="str">
        <f ca="1">IFERROR(__xludf.DUMMYFUNCTION("""COMPUTED_VALUE"""),"")</f>
        <v/>
      </c>
      <c r="Q375" s="189" t="str">
        <f ca="1">IFERROR(__xludf.DUMMYFUNCTION("""COMPUTED_VALUE"""),"")</f>
        <v/>
      </c>
      <c r="R375" s="189" t="str">
        <f ca="1">IFERROR(__xludf.DUMMYFUNCTION("""COMPUTED_VALUE"""),"")</f>
        <v/>
      </c>
      <c r="S375" s="189" t="str">
        <f ca="1">IFERROR(__xludf.DUMMYFUNCTION("""COMPUTED_VALUE"""),"")</f>
        <v/>
      </c>
      <c r="T375" s="189" t="str">
        <f ca="1">IFERROR(__xludf.DUMMYFUNCTION("""COMPUTED_VALUE"""),"")</f>
        <v/>
      </c>
      <c r="U375" s="189" t="str">
        <f ca="1">IFERROR(__xludf.DUMMYFUNCTION("""COMPUTED_VALUE"""),"")</f>
        <v/>
      </c>
      <c r="V375" s="189" t="str">
        <f ca="1">IFERROR(__xludf.DUMMYFUNCTION("""COMPUTED_VALUE"""),"")</f>
        <v/>
      </c>
      <c r="W375" s="189" t="str">
        <f ca="1">IFERROR(__xludf.DUMMYFUNCTION("""COMPUTED_VALUE"""),"")</f>
        <v/>
      </c>
      <c r="X375" s="189" t="str">
        <f ca="1">IFERROR(__xludf.DUMMYFUNCTION("""COMPUTED_VALUE"""),"")</f>
        <v/>
      </c>
      <c r="Y375" s="189" t="str">
        <f ca="1">IFERROR(__xludf.DUMMYFUNCTION("""COMPUTED_VALUE"""),"")</f>
        <v/>
      </c>
      <c r="Z375" s="189"/>
    </row>
    <row r="376" spans="1:26" ht="12.75">
      <c r="A376" s="189" t="str">
        <f ca="1">IFERROR(__xludf.DUMMYFUNCTION("""COMPUTED_VALUE"""),"")</f>
        <v/>
      </c>
      <c r="B376" s="189" t="str">
        <f ca="1">IFERROR(__xludf.DUMMYFUNCTION("""COMPUTED_VALUE"""),"")</f>
        <v/>
      </c>
      <c r="C376" s="189" t="str">
        <f ca="1">IFERROR(__xludf.DUMMYFUNCTION("""COMPUTED_VALUE"""),"")</f>
        <v/>
      </c>
      <c r="D376" s="189" t="str">
        <f ca="1">IFERROR(__xludf.DUMMYFUNCTION("""COMPUTED_VALUE"""),"")</f>
        <v/>
      </c>
      <c r="E376" s="189" t="str">
        <f ca="1">IFERROR(__xludf.DUMMYFUNCTION("""COMPUTED_VALUE"""),"")</f>
        <v/>
      </c>
      <c r="F376" s="189" t="str">
        <f ca="1">IFERROR(__xludf.DUMMYFUNCTION("""COMPUTED_VALUE"""),"")</f>
        <v/>
      </c>
      <c r="G376" s="189" t="str">
        <f ca="1">IFERROR(__xludf.DUMMYFUNCTION("""COMPUTED_VALUE"""),"")</f>
        <v/>
      </c>
      <c r="H376" s="189" t="str">
        <f ca="1">IFERROR(__xludf.DUMMYFUNCTION("""COMPUTED_VALUE"""),"")</f>
        <v/>
      </c>
      <c r="I376" s="120" t="str">
        <f ca="1">IFERROR(__xludf.DUMMYFUNCTION("""COMPUTED_VALUE"""),"")</f>
        <v/>
      </c>
      <c r="J376" s="189" t="str">
        <f ca="1">IFERROR(__xludf.DUMMYFUNCTION("""COMPUTED_VALUE"""),"")</f>
        <v/>
      </c>
      <c r="K376" s="189" t="str">
        <f ca="1">IFERROR(__xludf.DUMMYFUNCTION("""COMPUTED_VALUE"""),"")</f>
        <v/>
      </c>
      <c r="L376" s="189" t="str">
        <f ca="1">IFERROR(__xludf.DUMMYFUNCTION("""COMPUTED_VALUE"""),"")</f>
        <v/>
      </c>
      <c r="M376" s="189" t="str">
        <f ca="1">IFERROR(__xludf.DUMMYFUNCTION("""COMPUTED_VALUE"""),"")</f>
        <v/>
      </c>
      <c r="N376" s="189" t="str">
        <f ca="1">IFERROR(__xludf.DUMMYFUNCTION("""COMPUTED_VALUE"""),"")</f>
        <v/>
      </c>
      <c r="O376" s="189" t="str">
        <f ca="1">IFERROR(__xludf.DUMMYFUNCTION("""COMPUTED_VALUE"""),"")</f>
        <v/>
      </c>
      <c r="P376" s="189" t="str">
        <f ca="1">IFERROR(__xludf.DUMMYFUNCTION("""COMPUTED_VALUE"""),"")</f>
        <v/>
      </c>
      <c r="Q376" s="189" t="str">
        <f ca="1">IFERROR(__xludf.DUMMYFUNCTION("""COMPUTED_VALUE"""),"")</f>
        <v/>
      </c>
      <c r="R376" s="189" t="str">
        <f ca="1">IFERROR(__xludf.DUMMYFUNCTION("""COMPUTED_VALUE"""),"")</f>
        <v/>
      </c>
      <c r="S376" s="189" t="str">
        <f ca="1">IFERROR(__xludf.DUMMYFUNCTION("""COMPUTED_VALUE"""),"")</f>
        <v/>
      </c>
      <c r="T376" s="189" t="str">
        <f ca="1">IFERROR(__xludf.DUMMYFUNCTION("""COMPUTED_VALUE"""),"")</f>
        <v/>
      </c>
      <c r="U376" s="189" t="str">
        <f ca="1">IFERROR(__xludf.DUMMYFUNCTION("""COMPUTED_VALUE"""),"")</f>
        <v/>
      </c>
      <c r="V376" s="189" t="str">
        <f ca="1">IFERROR(__xludf.DUMMYFUNCTION("""COMPUTED_VALUE"""),"")</f>
        <v/>
      </c>
      <c r="W376" s="189" t="str">
        <f ca="1">IFERROR(__xludf.DUMMYFUNCTION("""COMPUTED_VALUE"""),"")</f>
        <v/>
      </c>
      <c r="X376" s="189" t="str">
        <f ca="1">IFERROR(__xludf.DUMMYFUNCTION("""COMPUTED_VALUE"""),"")</f>
        <v/>
      </c>
      <c r="Y376" s="189" t="str">
        <f ca="1">IFERROR(__xludf.DUMMYFUNCTION("""COMPUTED_VALUE"""),"")</f>
        <v/>
      </c>
      <c r="Z376" s="189"/>
    </row>
    <row r="377" spans="1:26" ht="12.75">
      <c r="A377" s="189" t="str">
        <f ca="1">IFERROR(__xludf.DUMMYFUNCTION("""COMPUTED_VALUE"""),"")</f>
        <v/>
      </c>
      <c r="B377" s="189" t="str">
        <f ca="1">IFERROR(__xludf.DUMMYFUNCTION("""COMPUTED_VALUE"""),"")</f>
        <v/>
      </c>
      <c r="C377" s="189" t="str">
        <f ca="1">IFERROR(__xludf.DUMMYFUNCTION("""COMPUTED_VALUE"""),"")</f>
        <v/>
      </c>
      <c r="D377" s="189" t="str">
        <f ca="1">IFERROR(__xludf.DUMMYFUNCTION("""COMPUTED_VALUE"""),"")</f>
        <v/>
      </c>
      <c r="E377" s="189" t="str">
        <f ca="1">IFERROR(__xludf.DUMMYFUNCTION("""COMPUTED_VALUE"""),"")</f>
        <v/>
      </c>
      <c r="F377" s="189" t="str">
        <f ca="1">IFERROR(__xludf.DUMMYFUNCTION("""COMPUTED_VALUE"""),"")</f>
        <v/>
      </c>
      <c r="G377" s="189" t="str">
        <f ca="1">IFERROR(__xludf.DUMMYFUNCTION("""COMPUTED_VALUE"""),"")</f>
        <v/>
      </c>
      <c r="H377" s="189" t="str">
        <f ca="1">IFERROR(__xludf.DUMMYFUNCTION("""COMPUTED_VALUE"""),"")</f>
        <v/>
      </c>
      <c r="I377" s="120" t="str">
        <f ca="1">IFERROR(__xludf.DUMMYFUNCTION("""COMPUTED_VALUE"""),"")</f>
        <v/>
      </c>
      <c r="J377" s="189" t="str">
        <f ca="1">IFERROR(__xludf.DUMMYFUNCTION("""COMPUTED_VALUE"""),"")</f>
        <v/>
      </c>
      <c r="K377" s="189" t="str">
        <f ca="1">IFERROR(__xludf.DUMMYFUNCTION("""COMPUTED_VALUE"""),"")</f>
        <v/>
      </c>
      <c r="L377" s="189" t="str">
        <f ca="1">IFERROR(__xludf.DUMMYFUNCTION("""COMPUTED_VALUE"""),"")</f>
        <v/>
      </c>
      <c r="M377" s="189" t="str">
        <f ca="1">IFERROR(__xludf.DUMMYFUNCTION("""COMPUTED_VALUE"""),"")</f>
        <v/>
      </c>
      <c r="N377" s="189" t="str">
        <f ca="1">IFERROR(__xludf.DUMMYFUNCTION("""COMPUTED_VALUE"""),"")</f>
        <v/>
      </c>
      <c r="O377" s="189" t="str">
        <f ca="1">IFERROR(__xludf.DUMMYFUNCTION("""COMPUTED_VALUE"""),"")</f>
        <v/>
      </c>
      <c r="P377" s="189" t="str">
        <f ca="1">IFERROR(__xludf.DUMMYFUNCTION("""COMPUTED_VALUE"""),"")</f>
        <v/>
      </c>
      <c r="Q377" s="189" t="str">
        <f ca="1">IFERROR(__xludf.DUMMYFUNCTION("""COMPUTED_VALUE"""),"")</f>
        <v/>
      </c>
      <c r="R377" s="189" t="str">
        <f ca="1">IFERROR(__xludf.DUMMYFUNCTION("""COMPUTED_VALUE"""),"")</f>
        <v/>
      </c>
      <c r="S377" s="189" t="str">
        <f ca="1">IFERROR(__xludf.DUMMYFUNCTION("""COMPUTED_VALUE"""),"")</f>
        <v/>
      </c>
      <c r="T377" s="189" t="str">
        <f ca="1">IFERROR(__xludf.DUMMYFUNCTION("""COMPUTED_VALUE"""),"")</f>
        <v/>
      </c>
      <c r="U377" s="189" t="str">
        <f ca="1">IFERROR(__xludf.DUMMYFUNCTION("""COMPUTED_VALUE"""),"")</f>
        <v/>
      </c>
      <c r="V377" s="189" t="str">
        <f ca="1">IFERROR(__xludf.DUMMYFUNCTION("""COMPUTED_VALUE"""),"")</f>
        <v/>
      </c>
      <c r="W377" s="189" t="str">
        <f ca="1">IFERROR(__xludf.DUMMYFUNCTION("""COMPUTED_VALUE"""),"")</f>
        <v/>
      </c>
      <c r="X377" s="189" t="str">
        <f ca="1">IFERROR(__xludf.DUMMYFUNCTION("""COMPUTED_VALUE"""),"")</f>
        <v/>
      </c>
      <c r="Y377" s="189" t="str">
        <f ca="1">IFERROR(__xludf.DUMMYFUNCTION("""COMPUTED_VALUE"""),"")</f>
        <v/>
      </c>
      <c r="Z377" s="189"/>
    </row>
    <row r="378" spans="1:26" ht="12.75">
      <c r="A378" s="189" t="str">
        <f ca="1">IFERROR(__xludf.DUMMYFUNCTION("""COMPUTED_VALUE"""),"")</f>
        <v/>
      </c>
      <c r="B378" s="189" t="str">
        <f ca="1">IFERROR(__xludf.DUMMYFUNCTION("""COMPUTED_VALUE"""),"")</f>
        <v/>
      </c>
      <c r="C378" s="189" t="str">
        <f ca="1">IFERROR(__xludf.DUMMYFUNCTION("""COMPUTED_VALUE"""),"")</f>
        <v/>
      </c>
      <c r="D378" s="189" t="str">
        <f ca="1">IFERROR(__xludf.DUMMYFUNCTION("""COMPUTED_VALUE"""),"")</f>
        <v/>
      </c>
      <c r="E378" s="189" t="str">
        <f ca="1">IFERROR(__xludf.DUMMYFUNCTION("""COMPUTED_VALUE"""),"")</f>
        <v/>
      </c>
      <c r="F378" s="189" t="str">
        <f ca="1">IFERROR(__xludf.DUMMYFUNCTION("""COMPUTED_VALUE"""),"")</f>
        <v/>
      </c>
      <c r="G378" s="189" t="str">
        <f ca="1">IFERROR(__xludf.DUMMYFUNCTION("""COMPUTED_VALUE"""),"")</f>
        <v/>
      </c>
      <c r="H378" s="189" t="str">
        <f ca="1">IFERROR(__xludf.DUMMYFUNCTION("""COMPUTED_VALUE"""),"")</f>
        <v/>
      </c>
      <c r="I378" s="120" t="str">
        <f ca="1">IFERROR(__xludf.DUMMYFUNCTION("""COMPUTED_VALUE"""),"")</f>
        <v/>
      </c>
      <c r="J378" s="189" t="str">
        <f ca="1">IFERROR(__xludf.DUMMYFUNCTION("""COMPUTED_VALUE"""),"")</f>
        <v/>
      </c>
      <c r="K378" s="189" t="str">
        <f ca="1">IFERROR(__xludf.DUMMYFUNCTION("""COMPUTED_VALUE"""),"")</f>
        <v/>
      </c>
      <c r="L378" s="189" t="str">
        <f ca="1">IFERROR(__xludf.DUMMYFUNCTION("""COMPUTED_VALUE"""),"")</f>
        <v/>
      </c>
      <c r="M378" s="189" t="str">
        <f ca="1">IFERROR(__xludf.DUMMYFUNCTION("""COMPUTED_VALUE"""),"")</f>
        <v/>
      </c>
      <c r="N378" s="189" t="str">
        <f ca="1">IFERROR(__xludf.DUMMYFUNCTION("""COMPUTED_VALUE"""),"")</f>
        <v/>
      </c>
      <c r="O378" s="189" t="str">
        <f ca="1">IFERROR(__xludf.DUMMYFUNCTION("""COMPUTED_VALUE"""),"")</f>
        <v/>
      </c>
      <c r="P378" s="189" t="str">
        <f ca="1">IFERROR(__xludf.DUMMYFUNCTION("""COMPUTED_VALUE"""),"")</f>
        <v/>
      </c>
      <c r="Q378" s="189" t="str">
        <f ca="1">IFERROR(__xludf.DUMMYFUNCTION("""COMPUTED_VALUE"""),"")</f>
        <v/>
      </c>
      <c r="R378" s="189" t="str">
        <f ca="1">IFERROR(__xludf.DUMMYFUNCTION("""COMPUTED_VALUE"""),"")</f>
        <v/>
      </c>
      <c r="S378" s="189" t="str">
        <f ca="1">IFERROR(__xludf.DUMMYFUNCTION("""COMPUTED_VALUE"""),"")</f>
        <v/>
      </c>
      <c r="T378" s="189" t="str">
        <f ca="1">IFERROR(__xludf.DUMMYFUNCTION("""COMPUTED_VALUE"""),"")</f>
        <v/>
      </c>
      <c r="U378" s="189" t="str">
        <f ca="1">IFERROR(__xludf.DUMMYFUNCTION("""COMPUTED_VALUE"""),"")</f>
        <v/>
      </c>
      <c r="V378" s="189" t="str">
        <f ca="1">IFERROR(__xludf.DUMMYFUNCTION("""COMPUTED_VALUE"""),"")</f>
        <v/>
      </c>
      <c r="W378" s="189" t="str">
        <f ca="1">IFERROR(__xludf.DUMMYFUNCTION("""COMPUTED_VALUE"""),"")</f>
        <v/>
      </c>
      <c r="X378" s="189" t="str">
        <f ca="1">IFERROR(__xludf.DUMMYFUNCTION("""COMPUTED_VALUE"""),"")</f>
        <v/>
      </c>
      <c r="Y378" s="189" t="str">
        <f ca="1">IFERROR(__xludf.DUMMYFUNCTION("""COMPUTED_VALUE"""),"")</f>
        <v/>
      </c>
      <c r="Z378" s="189"/>
    </row>
    <row r="379" spans="1:26" ht="12.75">
      <c r="A379" s="189" t="str">
        <f ca="1">IFERROR(__xludf.DUMMYFUNCTION("""COMPUTED_VALUE"""),"")</f>
        <v/>
      </c>
      <c r="B379" s="189" t="str">
        <f ca="1">IFERROR(__xludf.DUMMYFUNCTION("""COMPUTED_VALUE"""),"")</f>
        <v/>
      </c>
      <c r="C379" s="189" t="str">
        <f ca="1">IFERROR(__xludf.DUMMYFUNCTION("""COMPUTED_VALUE"""),"")</f>
        <v/>
      </c>
      <c r="D379" s="189" t="str">
        <f ca="1">IFERROR(__xludf.DUMMYFUNCTION("""COMPUTED_VALUE"""),"")</f>
        <v/>
      </c>
      <c r="E379" s="189" t="str">
        <f ca="1">IFERROR(__xludf.DUMMYFUNCTION("""COMPUTED_VALUE"""),"")</f>
        <v/>
      </c>
      <c r="F379" s="189" t="str">
        <f ca="1">IFERROR(__xludf.DUMMYFUNCTION("""COMPUTED_VALUE"""),"")</f>
        <v/>
      </c>
      <c r="G379" s="189" t="str">
        <f ca="1">IFERROR(__xludf.DUMMYFUNCTION("""COMPUTED_VALUE"""),"")</f>
        <v/>
      </c>
      <c r="H379" s="189" t="str">
        <f ca="1">IFERROR(__xludf.DUMMYFUNCTION("""COMPUTED_VALUE"""),"")</f>
        <v/>
      </c>
      <c r="I379" s="120" t="str">
        <f ca="1">IFERROR(__xludf.DUMMYFUNCTION("""COMPUTED_VALUE"""),"")</f>
        <v/>
      </c>
      <c r="J379" s="189" t="str">
        <f ca="1">IFERROR(__xludf.DUMMYFUNCTION("""COMPUTED_VALUE"""),"")</f>
        <v/>
      </c>
      <c r="K379" s="189" t="str">
        <f ca="1">IFERROR(__xludf.DUMMYFUNCTION("""COMPUTED_VALUE"""),"")</f>
        <v/>
      </c>
      <c r="L379" s="189" t="str">
        <f ca="1">IFERROR(__xludf.DUMMYFUNCTION("""COMPUTED_VALUE"""),"")</f>
        <v/>
      </c>
      <c r="M379" s="189" t="str">
        <f ca="1">IFERROR(__xludf.DUMMYFUNCTION("""COMPUTED_VALUE"""),"")</f>
        <v/>
      </c>
      <c r="N379" s="189" t="str">
        <f ca="1">IFERROR(__xludf.DUMMYFUNCTION("""COMPUTED_VALUE"""),"")</f>
        <v/>
      </c>
      <c r="O379" s="189" t="str">
        <f ca="1">IFERROR(__xludf.DUMMYFUNCTION("""COMPUTED_VALUE"""),"")</f>
        <v/>
      </c>
      <c r="P379" s="189" t="str">
        <f ca="1">IFERROR(__xludf.DUMMYFUNCTION("""COMPUTED_VALUE"""),"")</f>
        <v/>
      </c>
      <c r="Q379" s="189" t="str">
        <f ca="1">IFERROR(__xludf.DUMMYFUNCTION("""COMPUTED_VALUE"""),"")</f>
        <v/>
      </c>
      <c r="R379" s="189" t="str">
        <f ca="1">IFERROR(__xludf.DUMMYFUNCTION("""COMPUTED_VALUE"""),"")</f>
        <v/>
      </c>
      <c r="S379" s="189" t="str">
        <f ca="1">IFERROR(__xludf.DUMMYFUNCTION("""COMPUTED_VALUE"""),"")</f>
        <v/>
      </c>
      <c r="T379" s="189" t="str">
        <f ca="1">IFERROR(__xludf.DUMMYFUNCTION("""COMPUTED_VALUE"""),"")</f>
        <v/>
      </c>
      <c r="U379" s="189" t="str">
        <f ca="1">IFERROR(__xludf.DUMMYFUNCTION("""COMPUTED_VALUE"""),"")</f>
        <v/>
      </c>
      <c r="V379" s="189" t="str">
        <f ca="1">IFERROR(__xludf.DUMMYFUNCTION("""COMPUTED_VALUE"""),"")</f>
        <v/>
      </c>
      <c r="W379" s="189" t="str">
        <f ca="1">IFERROR(__xludf.DUMMYFUNCTION("""COMPUTED_VALUE"""),"")</f>
        <v/>
      </c>
      <c r="X379" s="189" t="str">
        <f ca="1">IFERROR(__xludf.DUMMYFUNCTION("""COMPUTED_VALUE"""),"")</f>
        <v/>
      </c>
      <c r="Y379" s="189" t="str">
        <f ca="1">IFERROR(__xludf.DUMMYFUNCTION("""COMPUTED_VALUE"""),"")</f>
        <v/>
      </c>
      <c r="Z379" s="189"/>
    </row>
    <row r="380" spans="1:26" ht="12.75">
      <c r="A380" s="189" t="str">
        <f ca="1">IFERROR(__xludf.DUMMYFUNCTION("""COMPUTED_VALUE"""),"")</f>
        <v/>
      </c>
      <c r="B380" s="189" t="str">
        <f ca="1">IFERROR(__xludf.DUMMYFUNCTION("""COMPUTED_VALUE"""),"")</f>
        <v/>
      </c>
      <c r="C380" s="189" t="str">
        <f ca="1">IFERROR(__xludf.DUMMYFUNCTION("""COMPUTED_VALUE"""),"")</f>
        <v/>
      </c>
      <c r="D380" s="189" t="str">
        <f ca="1">IFERROR(__xludf.DUMMYFUNCTION("""COMPUTED_VALUE"""),"")</f>
        <v/>
      </c>
      <c r="E380" s="189" t="str">
        <f ca="1">IFERROR(__xludf.DUMMYFUNCTION("""COMPUTED_VALUE"""),"")</f>
        <v/>
      </c>
      <c r="F380" s="189" t="str">
        <f ca="1">IFERROR(__xludf.DUMMYFUNCTION("""COMPUTED_VALUE"""),"")</f>
        <v/>
      </c>
      <c r="G380" s="189" t="str">
        <f ca="1">IFERROR(__xludf.DUMMYFUNCTION("""COMPUTED_VALUE"""),"")</f>
        <v/>
      </c>
      <c r="H380" s="189" t="str">
        <f ca="1">IFERROR(__xludf.DUMMYFUNCTION("""COMPUTED_VALUE"""),"")</f>
        <v/>
      </c>
      <c r="I380" s="120" t="str">
        <f ca="1">IFERROR(__xludf.DUMMYFUNCTION("""COMPUTED_VALUE"""),"")</f>
        <v/>
      </c>
      <c r="J380" s="189" t="str">
        <f ca="1">IFERROR(__xludf.DUMMYFUNCTION("""COMPUTED_VALUE"""),"")</f>
        <v/>
      </c>
      <c r="K380" s="189" t="str">
        <f ca="1">IFERROR(__xludf.DUMMYFUNCTION("""COMPUTED_VALUE"""),"")</f>
        <v/>
      </c>
      <c r="L380" s="189" t="str">
        <f ca="1">IFERROR(__xludf.DUMMYFUNCTION("""COMPUTED_VALUE"""),"")</f>
        <v/>
      </c>
      <c r="M380" s="189" t="str">
        <f ca="1">IFERROR(__xludf.DUMMYFUNCTION("""COMPUTED_VALUE"""),"")</f>
        <v/>
      </c>
      <c r="N380" s="189" t="str">
        <f ca="1">IFERROR(__xludf.DUMMYFUNCTION("""COMPUTED_VALUE"""),"")</f>
        <v/>
      </c>
      <c r="O380" s="189" t="str">
        <f ca="1">IFERROR(__xludf.DUMMYFUNCTION("""COMPUTED_VALUE"""),"")</f>
        <v/>
      </c>
      <c r="P380" s="189" t="str">
        <f ca="1">IFERROR(__xludf.DUMMYFUNCTION("""COMPUTED_VALUE"""),"")</f>
        <v/>
      </c>
      <c r="Q380" s="189" t="str">
        <f ca="1">IFERROR(__xludf.DUMMYFUNCTION("""COMPUTED_VALUE"""),"")</f>
        <v/>
      </c>
      <c r="R380" s="189" t="str">
        <f ca="1">IFERROR(__xludf.DUMMYFUNCTION("""COMPUTED_VALUE"""),"")</f>
        <v/>
      </c>
      <c r="S380" s="189" t="str">
        <f ca="1">IFERROR(__xludf.DUMMYFUNCTION("""COMPUTED_VALUE"""),"")</f>
        <v/>
      </c>
      <c r="T380" s="189" t="str">
        <f ca="1">IFERROR(__xludf.DUMMYFUNCTION("""COMPUTED_VALUE"""),"")</f>
        <v/>
      </c>
      <c r="U380" s="189" t="str">
        <f ca="1">IFERROR(__xludf.DUMMYFUNCTION("""COMPUTED_VALUE"""),"")</f>
        <v/>
      </c>
      <c r="V380" s="189" t="str">
        <f ca="1">IFERROR(__xludf.DUMMYFUNCTION("""COMPUTED_VALUE"""),"")</f>
        <v/>
      </c>
      <c r="W380" s="189" t="str">
        <f ca="1">IFERROR(__xludf.DUMMYFUNCTION("""COMPUTED_VALUE"""),"")</f>
        <v/>
      </c>
      <c r="X380" s="189" t="str">
        <f ca="1">IFERROR(__xludf.DUMMYFUNCTION("""COMPUTED_VALUE"""),"")</f>
        <v/>
      </c>
      <c r="Y380" s="189" t="str">
        <f ca="1">IFERROR(__xludf.DUMMYFUNCTION("""COMPUTED_VALUE"""),"")</f>
        <v/>
      </c>
      <c r="Z380" s="189"/>
    </row>
    <row r="381" spans="1:26" ht="12.75">
      <c r="A381" s="189" t="str">
        <f ca="1">IFERROR(__xludf.DUMMYFUNCTION("""COMPUTED_VALUE"""),"")</f>
        <v/>
      </c>
      <c r="B381" s="189" t="str">
        <f ca="1">IFERROR(__xludf.DUMMYFUNCTION("""COMPUTED_VALUE"""),"")</f>
        <v/>
      </c>
      <c r="C381" s="189" t="str">
        <f ca="1">IFERROR(__xludf.DUMMYFUNCTION("""COMPUTED_VALUE"""),"")</f>
        <v/>
      </c>
      <c r="D381" s="189" t="str">
        <f ca="1">IFERROR(__xludf.DUMMYFUNCTION("""COMPUTED_VALUE"""),"")</f>
        <v/>
      </c>
      <c r="E381" s="189" t="str">
        <f ca="1">IFERROR(__xludf.DUMMYFUNCTION("""COMPUTED_VALUE"""),"")</f>
        <v/>
      </c>
      <c r="F381" s="189" t="str">
        <f ca="1">IFERROR(__xludf.DUMMYFUNCTION("""COMPUTED_VALUE"""),"")</f>
        <v/>
      </c>
      <c r="G381" s="189" t="str">
        <f ca="1">IFERROR(__xludf.DUMMYFUNCTION("""COMPUTED_VALUE"""),"")</f>
        <v/>
      </c>
      <c r="H381" s="189" t="str">
        <f ca="1">IFERROR(__xludf.DUMMYFUNCTION("""COMPUTED_VALUE"""),"")</f>
        <v/>
      </c>
      <c r="I381" s="120" t="str">
        <f ca="1">IFERROR(__xludf.DUMMYFUNCTION("""COMPUTED_VALUE"""),"")</f>
        <v/>
      </c>
      <c r="J381" s="189" t="str">
        <f ca="1">IFERROR(__xludf.DUMMYFUNCTION("""COMPUTED_VALUE"""),"")</f>
        <v/>
      </c>
      <c r="K381" s="189" t="str">
        <f ca="1">IFERROR(__xludf.DUMMYFUNCTION("""COMPUTED_VALUE"""),"")</f>
        <v/>
      </c>
      <c r="L381" s="189" t="str">
        <f ca="1">IFERROR(__xludf.DUMMYFUNCTION("""COMPUTED_VALUE"""),"")</f>
        <v/>
      </c>
      <c r="M381" s="189" t="str">
        <f ca="1">IFERROR(__xludf.DUMMYFUNCTION("""COMPUTED_VALUE"""),"")</f>
        <v/>
      </c>
      <c r="N381" s="189" t="str">
        <f ca="1">IFERROR(__xludf.DUMMYFUNCTION("""COMPUTED_VALUE"""),"")</f>
        <v/>
      </c>
      <c r="O381" s="189" t="str">
        <f ca="1">IFERROR(__xludf.DUMMYFUNCTION("""COMPUTED_VALUE"""),"")</f>
        <v/>
      </c>
      <c r="P381" s="189" t="str">
        <f ca="1">IFERROR(__xludf.DUMMYFUNCTION("""COMPUTED_VALUE"""),"")</f>
        <v/>
      </c>
      <c r="Q381" s="189" t="str">
        <f ca="1">IFERROR(__xludf.DUMMYFUNCTION("""COMPUTED_VALUE"""),"")</f>
        <v/>
      </c>
      <c r="R381" s="189" t="str">
        <f ca="1">IFERROR(__xludf.DUMMYFUNCTION("""COMPUTED_VALUE"""),"")</f>
        <v/>
      </c>
      <c r="S381" s="189" t="str">
        <f ca="1">IFERROR(__xludf.DUMMYFUNCTION("""COMPUTED_VALUE"""),"")</f>
        <v/>
      </c>
      <c r="T381" s="189" t="str">
        <f ca="1">IFERROR(__xludf.DUMMYFUNCTION("""COMPUTED_VALUE"""),"")</f>
        <v/>
      </c>
      <c r="U381" s="189" t="str">
        <f ca="1">IFERROR(__xludf.DUMMYFUNCTION("""COMPUTED_VALUE"""),"")</f>
        <v/>
      </c>
      <c r="V381" s="189" t="str">
        <f ca="1">IFERROR(__xludf.DUMMYFUNCTION("""COMPUTED_VALUE"""),"")</f>
        <v/>
      </c>
      <c r="W381" s="189" t="str">
        <f ca="1">IFERROR(__xludf.DUMMYFUNCTION("""COMPUTED_VALUE"""),"")</f>
        <v/>
      </c>
      <c r="X381" s="189" t="str">
        <f ca="1">IFERROR(__xludf.DUMMYFUNCTION("""COMPUTED_VALUE"""),"")</f>
        <v/>
      </c>
      <c r="Y381" s="189" t="str">
        <f ca="1">IFERROR(__xludf.DUMMYFUNCTION("""COMPUTED_VALUE"""),"")</f>
        <v/>
      </c>
      <c r="Z381" s="189"/>
    </row>
    <row r="382" spans="1:26" ht="12.75">
      <c r="A382" s="189" t="str">
        <f ca="1">IFERROR(__xludf.DUMMYFUNCTION("""COMPUTED_VALUE"""),"")</f>
        <v/>
      </c>
      <c r="B382" s="189" t="str">
        <f ca="1">IFERROR(__xludf.DUMMYFUNCTION("""COMPUTED_VALUE"""),"")</f>
        <v/>
      </c>
      <c r="C382" s="189" t="str">
        <f ca="1">IFERROR(__xludf.DUMMYFUNCTION("""COMPUTED_VALUE"""),"")</f>
        <v/>
      </c>
      <c r="D382" s="189" t="str">
        <f ca="1">IFERROR(__xludf.DUMMYFUNCTION("""COMPUTED_VALUE"""),"")</f>
        <v/>
      </c>
      <c r="E382" s="189" t="str">
        <f ca="1">IFERROR(__xludf.DUMMYFUNCTION("""COMPUTED_VALUE"""),"")</f>
        <v/>
      </c>
      <c r="F382" s="189" t="str">
        <f ca="1">IFERROR(__xludf.DUMMYFUNCTION("""COMPUTED_VALUE"""),"")</f>
        <v/>
      </c>
      <c r="G382" s="189" t="str">
        <f ca="1">IFERROR(__xludf.DUMMYFUNCTION("""COMPUTED_VALUE"""),"")</f>
        <v/>
      </c>
      <c r="H382" s="189" t="str">
        <f ca="1">IFERROR(__xludf.DUMMYFUNCTION("""COMPUTED_VALUE"""),"")</f>
        <v/>
      </c>
      <c r="I382" s="120" t="str">
        <f ca="1">IFERROR(__xludf.DUMMYFUNCTION("""COMPUTED_VALUE"""),"")</f>
        <v/>
      </c>
      <c r="J382" s="189" t="str">
        <f ca="1">IFERROR(__xludf.DUMMYFUNCTION("""COMPUTED_VALUE"""),"")</f>
        <v/>
      </c>
      <c r="K382" s="189" t="str">
        <f ca="1">IFERROR(__xludf.DUMMYFUNCTION("""COMPUTED_VALUE"""),"")</f>
        <v/>
      </c>
      <c r="L382" s="189" t="str">
        <f ca="1">IFERROR(__xludf.DUMMYFUNCTION("""COMPUTED_VALUE"""),"")</f>
        <v/>
      </c>
      <c r="M382" s="189" t="str">
        <f ca="1">IFERROR(__xludf.DUMMYFUNCTION("""COMPUTED_VALUE"""),"")</f>
        <v/>
      </c>
      <c r="N382" s="189" t="str">
        <f ca="1">IFERROR(__xludf.DUMMYFUNCTION("""COMPUTED_VALUE"""),"")</f>
        <v/>
      </c>
      <c r="O382" s="189" t="str">
        <f ca="1">IFERROR(__xludf.DUMMYFUNCTION("""COMPUTED_VALUE"""),"")</f>
        <v/>
      </c>
      <c r="P382" s="189" t="str">
        <f ca="1">IFERROR(__xludf.DUMMYFUNCTION("""COMPUTED_VALUE"""),"")</f>
        <v/>
      </c>
      <c r="Q382" s="189" t="str">
        <f ca="1">IFERROR(__xludf.DUMMYFUNCTION("""COMPUTED_VALUE"""),"")</f>
        <v/>
      </c>
      <c r="R382" s="189" t="str">
        <f ca="1">IFERROR(__xludf.DUMMYFUNCTION("""COMPUTED_VALUE"""),"")</f>
        <v/>
      </c>
      <c r="S382" s="189" t="str">
        <f ca="1">IFERROR(__xludf.DUMMYFUNCTION("""COMPUTED_VALUE"""),"")</f>
        <v/>
      </c>
      <c r="T382" s="189" t="str">
        <f ca="1">IFERROR(__xludf.DUMMYFUNCTION("""COMPUTED_VALUE"""),"")</f>
        <v/>
      </c>
      <c r="U382" s="189" t="str">
        <f ca="1">IFERROR(__xludf.DUMMYFUNCTION("""COMPUTED_VALUE"""),"")</f>
        <v/>
      </c>
      <c r="V382" s="189" t="str">
        <f ca="1">IFERROR(__xludf.DUMMYFUNCTION("""COMPUTED_VALUE"""),"")</f>
        <v/>
      </c>
      <c r="W382" s="189" t="str">
        <f ca="1">IFERROR(__xludf.DUMMYFUNCTION("""COMPUTED_VALUE"""),"")</f>
        <v/>
      </c>
      <c r="X382" s="189" t="str">
        <f ca="1">IFERROR(__xludf.DUMMYFUNCTION("""COMPUTED_VALUE"""),"")</f>
        <v/>
      </c>
      <c r="Y382" s="189" t="str">
        <f ca="1">IFERROR(__xludf.DUMMYFUNCTION("""COMPUTED_VALUE"""),"")</f>
        <v/>
      </c>
      <c r="Z382" s="189"/>
    </row>
    <row r="383" spans="1:26" ht="12.75">
      <c r="A383" s="189" t="str">
        <f ca="1">IFERROR(__xludf.DUMMYFUNCTION("""COMPUTED_VALUE"""),"")</f>
        <v/>
      </c>
      <c r="B383" s="189" t="str">
        <f ca="1">IFERROR(__xludf.DUMMYFUNCTION("""COMPUTED_VALUE"""),"")</f>
        <v/>
      </c>
      <c r="C383" s="189" t="str">
        <f ca="1">IFERROR(__xludf.DUMMYFUNCTION("""COMPUTED_VALUE"""),"")</f>
        <v/>
      </c>
      <c r="D383" s="189" t="str">
        <f ca="1">IFERROR(__xludf.DUMMYFUNCTION("""COMPUTED_VALUE"""),"")</f>
        <v/>
      </c>
      <c r="E383" s="189" t="str">
        <f ca="1">IFERROR(__xludf.DUMMYFUNCTION("""COMPUTED_VALUE"""),"")</f>
        <v/>
      </c>
      <c r="F383" s="189" t="str">
        <f ca="1">IFERROR(__xludf.DUMMYFUNCTION("""COMPUTED_VALUE"""),"")</f>
        <v/>
      </c>
      <c r="G383" s="189" t="str">
        <f ca="1">IFERROR(__xludf.DUMMYFUNCTION("""COMPUTED_VALUE"""),"")</f>
        <v/>
      </c>
      <c r="H383" s="189" t="str">
        <f ca="1">IFERROR(__xludf.DUMMYFUNCTION("""COMPUTED_VALUE"""),"")</f>
        <v/>
      </c>
      <c r="I383" s="120" t="str">
        <f ca="1">IFERROR(__xludf.DUMMYFUNCTION("""COMPUTED_VALUE"""),"")</f>
        <v/>
      </c>
      <c r="J383" s="189" t="str">
        <f ca="1">IFERROR(__xludf.DUMMYFUNCTION("""COMPUTED_VALUE"""),"")</f>
        <v/>
      </c>
      <c r="K383" s="189" t="str">
        <f ca="1">IFERROR(__xludf.DUMMYFUNCTION("""COMPUTED_VALUE"""),"")</f>
        <v/>
      </c>
      <c r="L383" s="189" t="str">
        <f ca="1">IFERROR(__xludf.DUMMYFUNCTION("""COMPUTED_VALUE"""),"")</f>
        <v/>
      </c>
      <c r="M383" s="189" t="str">
        <f ca="1">IFERROR(__xludf.DUMMYFUNCTION("""COMPUTED_VALUE"""),"")</f>
        <v/>
      </c>
      <c r="N383" s="189" t="str">
        <f ca="1">IFERROR(__xludf.DUMMYFUNCTION("""COMPUTED_VALUE"""),"")</f>
        <v/>
      </c>
      <c r="O383" s="189" t="str">
        <f ca="1">IFERROR(__xludf.DUMMYFUNCTION("""COMPUTED_VALUE"""),"")</f>
        <v/>
      </c>
      <c r="P383" s="189" t="str">
        <f ca="1">IFERROR(__xludf.DUMMYFUNCTION("""COMPUTED_VALUE"""),"")</f>
        <v/>
      </c>
      <c r="Q383" s="189" t="str">
        <f ca="1">IFERROR(__xludf.DUMMYFUNCTION("""COMPUTED_VALUE"""),"")</f>
        <v/>
      </c>
      <c r="R383" s="189" t="str">
        <f ca="1">IFERROR(__xludf.DUMMYFUNCTION("""COMPUTED_VALUE"""),"")</f>
        <v/>
      </c>
      <c r="S383" s="189" t="str">
        <f ca="1">IFERROR(__xludf.DUMMYFUNCTION("""COMPUTED_VALUE"""),"")</f>
        <v/>
      </c>
      <c r="T383" s="189" t="str">
        <f ca="1">IFERROR(__xludf.DUMMYFUNCTION("""COMPUTED_VALUE"""),"")</f>
        <v/>
      </c>
      <c r="U383" s="189" t="str">
        <f ca="1">IFERROR(__xludf.DUMMYFUNCTION("""COMPUTED_VALUE"""),"")</f>
        <v/>
      </c>
      <c r="V383" s="189" t="str">
        <f ca="1">IFERROR(__xludf.DUMMYFUNCTION("""COMPUTED_VALUE"""),"")</f>
        <v/>
      </c>
      <c r="W383" s="189" t="str">
        <f ca="1">IFERROR(__xludf.DUMMYFUNCTION("""COMPUTED_VALUE"""),"")</f>
        <v/>
      </c>
      <c r="X383" s="189" t="str">
        <f ca="1">IFERROR(__xludf.DUMMYFUNCTION("""COMPUTED_VALUE"""),"")</f>
        <v/>
      </c>
      <c r="Y383" s="189" t="str">
        <f ca="1">IFERROR(__xludf.DUMMYFUNCTION("""COMPUTED_VALUE"""),"")</f>
        <v/>
      </c>
      <c r="Z383" s="189"/>
    </row>
    <row r="384" spans="1:26" ht="12.75">
      <c r="A384" s="189" t="str">
        <f ca="1">IFERROR(__xludf.DUMMYFUNCTION("""COMPUTED_VALUE"""),"")</f>
        <v/>
      </c>
      <c r="B384" s="189" t="str">
        <f ca="1">IFERROR(__xludf.DUMMYFUNCTION("""COMPUTED_VALUE"""),"")</f>
        <v/>
      </c>
      <c r="C384" s="189" t="str">
        <f ca="1">IFERROR(__xludf.DUMMYFUNCTION("""COMPUTED_VALUE"""),"")</f>
        <v/>
      </c>
      <c r="D384" s="189" t="str">
        <f ca="1">IFERROR(__xludf.DUMMYFUNCTION("""COMPUTED_VALUE"""),"")</f>
        <v/>
      </c>
      <c r="E384" s="189" t="str">
        <f ca="1">IFERROR(__xludf.DUMMYFUNCTION("""COMPUTED_VALUE"""),"")</f>
        <v/>
      </c>
      <c r="F384" s="189" t="str">
        <f ca="1">IFERROR(__xludf.DUMMYFUNCTION("""COMPUTED_VALUE"""),"")</f>
        <v/>
      </c>
      <c r="G384" s="189" t="str">
        <f ca="1">IFERROR(__xludf.DUMMYFUNCTION("""COMPUTED_VALUE"""),"")</f>
        <v/>
      </c>
      <c r="H384" s="189" t="str">
        <f ca="1">IFERROR(__xludf.DUMMYFUNCTION("""COMPUTED_VALUE"""),"")</f>
        <v/>
      </c>
      <c r="I384" s="120" t="str">
        <f ca="1">IFERROR(__xludf.DUMMYFUNCTION("""COMPUTED_VALUE"""),"")</f>
        <v/>
      </c>
      <c r="J384" s="189" t="str">
        <f ca="1">IFERROR(__xludf.DUMMYFUNCTION("""COMPUTED_VALUE"""),"")</f>
        <v/>
      </c>
      <c r="K384" s="189" t="str">
        <f ca="1">IFERROR(__xludf.DUMMYFUNCTION("""COMPUTED_VALUE"""),"")</f>
        <v/>
      </c>
      <c r="L384" s="189" t="str">
        <f ca="1">IFERROR(__xludf.DUMMYFUNCTION("""COMPUTED_VALUE"""),"")</f>
        <v/>
      </c>
      <c r="M384" s="189" t="str">
        <f ca="1">IFERROR(__xludf.DUMMYFUNCTION("""COMPUTED_VALUE"""),"")</f>
        <v/>
      </c>
      <c r="N384" s="189" t="str">
        <f ca="1">IFERROR(__xludf.DUMMYFUNCTION("""COMPUTED_VALUE"""),"")</f>
        <v/>
      </c>
      <c r="O384" s="189" t="str">
        <f ca="1">IFERROR(__xludf.DUMMYFUNCTION("""COMPUTED_VALUE"""),"")</f>
        <v/>
      </c>
      <c r="P384" s="189" t="str">
        <f ca="1">IFERROR(__xludf.DUMMYFUNCTION("""COMPUTED_VALUE"""),"")</f>
        <v/>
      </c>
      <c r="Q384" s="189" t="str">
        <f ca="1">IFERROR(__xludf.DUMMYFUNCTION("""COMPUTED_VALUE"""),"")</f>
        <v/>
      </c>
      <c r="R384" s="189" t="str">
        <f ca="1">IFERROR(__xludf.DUMMYFUNCTION("""COMPUTED_VALUE"""),"")</f>
        <v/>
      </c>
      <c r="S384" s="189" t="str">
        <f ca="1">IFERROR(__xludf.DUMMYFUNCTION("""COMPUTED_VALUE"""),"")</f>
        <v/>
      </c>
      <c r="T384" s="189" t="str">
        <f ca="1">IFERROR(__xludf.DUMMYFUNCTION("""COMPUTED_VALUE"""),"")</f>
        <v/>
      </c>
      <c r="U384" s="189" t="str">
        <f ca="1">IFERROR(__xludf.DUMMYFUNCTION("""COMPUTED_VALUE"""),"")</f>
        <v/>
      </c>
      <c r="V384" s="189" t="str">
        <f ca="1">IFERROR(__xludf.DUMMYFUNCTION("""COMPUTED_VALUE"""),"")</f>
        <v/>
      </c>
      <c r="W384" s="189" t="str">
        <f ca="1">IFERROR(__xludf.DUMMYFUNCTION("""COMPUTED_VALUE"""),"")</f>
        <v/>
      </c>
      <c r="X384" s="189" t="str">
        <f ca="1">IFERROR(__xludf.DUMMYFUNCTION("""COMPUTED_VALUE"""),"")</f>
        <v/>
      </c>
      <c r="Y384" s="189" t="str">
        <f ca="1">IFERROR(__xludf.DUMMYFUNCTION("""COMPUTED_VALUE"""),"")</f>
        <v/>
      </c>
      <c r="Z384" s="189"/>
    </row>
    <row r="385" spans="1:26" ht="12.75">
      <c r="A385" s="189" t="str">
        <f ca="1">IFERROR(__xludf.DUMMYFUNCTION("""COMPUTED_VALUE"""),"")</f>
        <v/>
      </c>
      <c r="B385" s="189" t="str">
        <f ca="1">IFERROR(__xludf.DUMMYFUNCTION("""COMPUTED_VALUE"""),"")</f>
        <v/>
      </c>
      <c r="C385" s="189" t="str">
        <f ca="1">IFERROR(__xludf.DUMMYFUNCTION("""COMPUTED_VALUE"""),"")</f>
        <v/>
      </c>
      <c r="D385" s="189" t="str">
        <f ca="1">IFERROR(__xludf.DUMMYFUNCTION("""COMPUTED_VALUE"""),"")</f>
        <v/>
      </c>
      <c r="E385" s="189" t="str">
        <f ca="1">IFERROR(__xludf.DUMMYFUNCTION("""COMPUTED_VALUE"""),"")</f>
        <v/>
      </c>
      <c r="F385" s="189" t="str">
        <f ca="1">IFERROR(__xludf.DUMMYFUNCTION("""COMPUTED_VALUE"""),"")</f>
        <v/>
      </c>
      <c r="G385" s="189" t="str">
        <f ca="1">IFERROR(__xludf.DUMMYFUNCTION("""COMPUTED_VALUE"""),"")</f>
        <v/>
      </c>
      <c r="H385" s="189" t="str">
        <f ca="1">IFERROR(__xludf.DUMMYFUNCTION("""COMPUTED_VALUE"""),"")</f>
        <v/>
      </c>
      <c r="I385" s="120" t="str">
        <f ca="1">IFERROR(__xludf.DUMMYFUNCTION("""COMPUTED_VALUE"""),"")</f>
        <v/>
      </c>
      <c r="J385" s="189" t="str">
        <f ca="1">IFERROR(__xludf.DUMMYFUNCTION("""COMPUTED_VALUE"""),"")</f>
        <v/>
      </c>
      <c r="K385" s="189" t="str">
        <f ca="1">IFERROR(__xludf.DUMMYFUNCTION("""COMPUTED_VALUE"""),"")</f>
        <v/>
      </c>
      <c r="L385" s="189" t="str">
        <f ca="1">IFERROR(__xludf.DUMMYFUNCTION("""COMPUTED_VALUE"""),"")</f>
        <v/>
      </c>
      <c r="M385" s="189" t="str">
        <f ca="1">IFERROR(__xludf.DUMMYFUNCTION("""COMPUTED_VALUE"""),"")</f>
        <v/>
      </c>
      <c r="N385" s="189" t="str">
        <f ca="1">IFERROR(__xludf.DUMMYFUNCTION("""COMPUTED_VALUE"""),"")</f>
        <v/>
      </c>
      <c r="O385" s="189" t="str">
        <f ca="1">IFERROR(__xludf.DUMMYFUNCTION("""COMPUTED_VALUE"""),"")</f>
        <v/>
      </c>
      <c r="P385" s="189" t="str">
        <f ca="1">IFERROR(__xludf.DUMMYFUNCTION("""COMPUTED_VALUE"""),"")</f>
        <v/>
      </c>
      <c r="Q385" s="189" t="str">
        <f ca="1">IFERROR(__xludf.DUMMYFUNCTION("""COMPUTED_VALUE"""),"")</f>
        <v/>
      </c>
      <c r="R385" s="189" t="str">
        <f ca="1">IFERROR(__xludf.DUMMYFUNCTION("""COMPUTED_VALUE"""),"")</f>
        <v/>
      </c>
      <c r="S385" s="189" t="str">
        <f ca="1">IFERROR(__xludf.DUMMYFUNCTION("""COMPUTED_VALUE"""),"")</f>
        <v/>
      </c>
      <c r="T385" s="189" t="str">
        <f ca="1">IFERROR(__xludf.DUMMYFUNCTION("""COMPUTED_VALUE"""),"")</f>
        <v/>
      </c>
      <c r="U385" s="189" t="str">
        <f ca="1">IFERROR(__xludf.DUMMYFUNCTION("""COMPUTED_VALUE"""),"")</f>
        <v/>
      </c>
      <c r="V385" s="189" t="str">
        <f ca="1">IFERROR(__xludf.DUMMYFUNCTION("""COMPUTED_VALUE"""),"")</f>
        <v/>
      </c>
      <c r="W385" s="189" t="str">
        <f ca="1">IFERROR(__xludf.DUMMYFUNCTION("""COMPUTED_VALUE"""),"")</f>
        <v/>
      </c>
      <c r="X385" s="189" t="str">
        <f ca="1">IFERROR(__xludf.DUMMYFUNCTION("""COMPUTED_VALUE"""),"")</f>
        <v/>
      </c>
      <c r="Y385" s="189" t="str">
        <f ca="1">IFERROR(__xludf.DUMMYFUNCTION("""COMPUTED_VALUE"""),"")</f>
        <v/>
      </c>
      <c r="Z385" s="189"/>
    </row>
    <row r="386" spans="1:26" ht="12.75">
      <c r="A386" s="189" t="str">
        <f ca="1">IFERROR(__xludf.DUMMYFUNCTION("""COMPUTED_VALUE"""),"")</f>
        <v/>
      </c>
      <c r="B386" s="189" t="str">
        <f ca="1">IFERROR(__xludf.DUMMYFUNCTION("""COMPUTED_VALUE"""),"")</f>
        <v/>
      </c>
      <c r="C386" s="189" t="str">
        <f ca="1">IFERROR(__xludf.DUMMYFUNCTION("""COMPUTED_VALUE"""),"")</f>
        <v/>
      </c>
      <c r="D386" s="189" t="str">
        <f ca="1">IFERROR(__xludf.DUMMYFUNCTION("""COMPUTED_VALUE"""),"")</f>
        <v/>
      </c>
      <c r="E386" s="189" t="str">
        <f ca="1">IFERROR(__xludf.DUMMYFUNCTION("""COMPUTED_VALUE"""),"")</f>
        <v/>
      </c>
      <c r="F386" s="189" t="str">
        <f ca="1">IFERROR(__xludf.DUMMYFUNCTION("""COMPUTED_VALUE"""),"")</f>
        <v/>
      </c>
      <c r="G386" s="189" t="str">
        <f ca="1">IFERROR(__xludf.DUMMYFUNCTION("""COMPUTED_VALUE"""),"")</f>
        <v/>
      </c>
      <c r="H386" s="189" t="str">
        <f ca="1">IFERROR(__xludf.DUMMYFUNCTION("""COMPUTED_VALUE"""),"")</f>
        <v/>
      </c>
      <c r="I386" s="120" t="str">
        <f ca="1">IFERROR(__xludf.DUMMYFUNCTION("""COMPUTED_VALUE"""),"")</f>
        <v/>
      </c>
      <c r="J386" s="189" t="str">
        <f ca="1">IFERROR(__xludf.DUMMYFUNCTION("""COMPUTED_VALUE"""),"")</f>
        <v/>
      </c>
      <c r="K386" s="189" t="str">
        <f ca="1">IFERROR(__xludf.DUMMYFUNCTION("""COMPUTED_VALUE"""),"")</f>
        <v/>
      </c>
      <c r="L386" s="189" t="str">
        <f ca="1">IFERROR(__xludf.DUMMYFUNCTION("""COMPUTED_VALUE"""),"")</f>
        <v/>
      </c>
      <c r="M386" s="189" t="str">
        <f ca="1">IFERROR(__xludf.DUMMYFUNCTION("""COMPUTED_VALUE"""),"")</f>
        <v/>
      </c>
      <c r="N386" s="189" t="str">
        <f ca="1">IFERROR(__xludf.DUMMYFUNCTION("""COMPUTED_VALUE"""),"")</f>
        <v/>
      </c>
      <c r="O386" s="189" t="str">
        <f ca="1">IFERROR(__xludf.DUMMYFUNCTION("""COMPUTED_VALUE"""),"")</f>
        <v/>
      </c>
      <c r="P386" s="189" t="str">
        <f ca="1">IFERROR(__xludf.DUMMYFUNCTION("""COMPUTED_VALUE"""),"")</f>
        <v/>
      </c>
      <c r="Q386" s="189" t="str">
        <f ca="1">IFERROR(__xludf.DUMMYFUNCTION("""COMPUTED_VALUE"""),"")</f>
        <v/>
      </c>
      <c r="R386" s="189" t="str">
        <f ca="1">IFERROR(__xludf.DUMMYFUNCTION("""COMPUTED_VALUE"""),"")</f>
        <v/>
      </c>
      <c r="S386" s="189" t="str">
        <f ca="1">IFERROR(__xludf.DUMMYFUNCTION("""COMPUTED_VALUE"""),"")</f>
        <v/>
      </c>
      <c r="T386" s="189" t="str">
        <f ca="1">IFERROR(__xludf.DUMMYFUNCTION("""COMPUTED_VALUE"""),"")</f>
        <v/>
      </c>
      <c r="U386" s="189" t="str">
        <f ca="1">IFERROR(__xludf.DUMMYFUNCTION("""COMPUTED_VALUE"""),"")</f>
        <v/>
      </c>
      <c r="V386" s="189" t="str">
        <f ca="1">IFERROR(__xludf.DUMMYFUNCTION("""COMPUTED_VALUE"""),"")</f>
        <v/>
      </c>
      <c r="W386" s="189" t="str">
        <f ca="1">IFERROR(__xludf.DUMMYFUNCTION("""COMPUTED_VALUE"""),"")</f>
        <v/>
      </c>
      <c r="X386" s="189" t="str">
        <f ca="1">IFERROR(__xludf.DUMMYFUNCTION("""COMPUTED_VALUE"""),"")</f>
        <v/>
      </c>
      <c r="Y386" s="189" t="str">
        <f ca="1">IFERROR(__xludf.DUMMYFUNCTION("""COMPUTED_VALUE"""),"")</f>
        <v/>
      </c>
      <c r="Z386" s="189"/>
    </row>
    <row r="387" spans="1:26" ht="12.75">
      <c r="A387" s="189" t="str">
        <f ca="1">IFERROR(__xludf.DUMMYFUNCTION("""COMPUTED_VALUE"""),"")</f>
        <v/>
      </c>
      <c r="B387" s="189" t="str">
        <f ca="1">IFERROR(__xludf.DUMMYFUNCTION("""COMPUTED_VALUE"""),"")</f>
        <v/>
      </c>
      <c r="C387" s="189" t="str">
        <f ca="1">IFERROR(__xludf.DUMMYFUNCTION("""COMPUTED_VALUE"""),"")</f>
        <v/>
      </c>
      <c r="D387" s="189" t="str">
        <f ca="1">IFERROR(__xludf.DUMMYFUNCTION("""COMPUTED_VALUE"""),"")</f>
        <v/>
      </c>
      <c r="E387" s="189" t="str">
        <f ca="1">IFERROR(__xludf.DUMMYFUNCTION("""COMPUTED_VALUE"""),"")</f>
        <v/>
      </c>
      <c r="F387" s="189" t="str">
        <f ca="1">IFERROR(__xludf.DUMMYFUNCTION("""COMPUTED_VALUE"""),"")</f>
        <v/>
      </c>
      <c r="G387" s="189" t="str">
        <f ca="1">IFERROR(__xludf.DUMMYFUNCTION("""COMPUTED_VALUE"""),"")</f>
        <v/>
      </c>
      <c r="H387" s="189" t="str">
        <f ca="1">IFERROR(__xludf.DUMMYFUNCTION("""COMPUTED_VALUE"""),"")</f>
        <v/>
      </c>
      <c r="I387" s="120" t="str">
        <f ca="1">IFERROR(__xludf.DUMMYFUNCTION("""COMPUTED_VALUE"""),"")</f>
        <v/>
      </c>
      <c r="J387" s="189" t="str">
        <f ca="1">IFERROR(__xludf.DUMMYFUNCTION("""COMPUTED_VALUE"""),"")</f>
        <v/>
      </c>
      <c r="K387" s="189" t="str">
        <f ca="1">IFERROR(__xludf.DUMMYFUNCTION("""COMPUTED_VALUE"""),"")</f>
        <v/>
      </c>
      <c r="L387" s="189" t="str">
        <f ca="1">IFERROR(__xludf.DUMMYFUNCTION("""COMPUTED_VALUE"""),"")</f>
        <v/>
      </c>
      <c r="M387" s="189" t="str">
        <f ca="1">IFERROR(__xludf.DUMMYFUNCTION("""COMPUTED_VALUE"""),"")</f>
        <v/>
      </c>
      <c r="N387" s="189" t="str">
        <f ca="1">IFERROR(__xludf.DUMMYFUNCTION("""COMPUTED_VALUE"""),"")</f>
        <v/>
      </c>
      <c r="O387" s="189" t="str">
        <f ca="1">IFERROR(__xludf.DUMMYFUNCTION("""COMPUTED_VALUE"""),"")</f>
        <v/>
      </c>
      <c r="P387" s="189" t="str">
        <f ca="1">IFERROR(__xludf.DUMMYFUNCTION("""COMPUTED_VALUE"""),"")</f>
        <v/>
      </c>
      <c r="Q387" s="189" t="str">
        <f ca="1">IFERROR(__xludf.DUMMYFUNCTION("""COMPUTED_VALUE"""),"")</f>
        <v/>
      </c>
      <c r="R387" s="189" t="str">
        <f ca="1">IFERROR(__xludf.DUMMYFUNCTION("""COMPUTED_VALUE"""),"")</f>
        <v/>
      </c>
      <c r="S387" s="189" t="str">
        <f ca="1">IFERROR(__xludf.DUMMYFUNCTION("""COMPUTED_VALUE"""),"")</f>
        <v/>
      </c>
      <c r="T387" s="189" t="str">
        <f ca="1">IFERROR(__xludf.DUMMYFUNCTION("""COMPUTED_VALUE"""),"")</f>
        <v/>
      </c>
      <c r="U387" s="189" t="str">
        <f ca="1">IFERROR(__xludf.DUMMYFUNCTION("""COMPUTED_VALUE"""),"")</f>
        <v/>
      </c>
      <c r="V387" s="189" t="str">
        <f ca="1">IFERROR(__xludf.DUMMYFUNCTION("""COMPUTED_VALUE"""),"")</f>
        <v/>
      </c>
      <c r="W387" s="189" t="str">
        <f ca="1">IFERROR(__xludf.DUMMYFUNCTION("""COMPUTED_VALUE"""),"")</f>
        <v/>
      </c>
      <c r="X387" s="189" t="str">
        <f ca="1">IFERROR(__xludf.DUMMYFUNCTION("""COMPUTED_VALUE"""),"")</f>
        <v/>
      </c>
      <c r="Y387" s="189" t="str">
        <f ca="1">IFERROR(__xludf.DUMMYFUNCTION("""COMPUTED_VALUE"""),"")</f>
        <v/>
      </c>
      <c r="Z387" s="189"/>
    </row>
    <row r="388" spans="1:26" ht="12.75">
      <c r="A388" s="189" t="str">
        <f ca="1">IFERROR(__xludf.DUMMYFUNCTION("""COMPUTED_VALUE"""),"")</f>
        <v/>
      </c>
      <c r="B388" s="189" t="str">
        <f ca="1">IFERROR(__xludf.DUMMYFUNCTION("""COMPUTED_VALUE"""),"")</f>
        <v/>
      </c>
      <c r="C388" s="189" t="str">
        <f ca="1">IFERROR(__xludf.DUMMYFUNCTION("""COMPUTED_VALUE"""),"")</f>
        <v/>
      </c>
      <c r="D388" s="189" t="str">
        <f ca="1">IFERROR(__xludf.DUMMYFUNCTION("""COMPUTED_VALUE"""),"")</f>
        <v/>
      </c>
      <c r="E388" s="189" t="str">
        <f ca="1">IFERROR(__xludf.DUMMYFUNCTION("""COMPUTED_VALUE"""),"")</f>
        <v/>
      </c>
      <c r="F388" s="189" t="str">
        <f ca="1">IFERROR(__xludf.DUMMYFUNCTION("""COMPUTED_VALUE"""),"")</f>
        <v/>
      </c>
      <c r="G388" s="189" t="str">
        <f ca="1">IFERROR(__xludf.DUMMYFUNCTION("""COMPUTED_VALUE"""),"")</f>
        <v/>
      </c>
      <c r="H388" s="189" t="str">
        <f ca="1">IFERROR(__xludf.DUMMYFUNCTION("""COMPUTED_VALUE"""),"")</f>
        <v/>
      </c>
      <c r="I388" s="120" t="str">
        <f ca="1">IFERROR(__xludf.DUMMYFUNCTION("""COMPUTED_VALUE"""),"")</f>
        <v/>
      </c>
      <c r="J388" s="189" t="str">
        <f ca="1">IFERROR(__xludf.DUMMYFUNCTION("""COMPUTED_VALUE"""),"")</f>
        <v/>
      </c>
      <c r="K388" s="189" t="str">
        <f ca="1">IFERROR(__xludf.DUMMYFUNCTION("""COMPUTED_VALUE"""),"")</f>
        <v/>
      </c>
      <c r="L388" s="189" t="str">
        <f ca="1">IFERROR(__xludf.DUMMYFUNCTION("""COMPUTED_VALUE"""),"")</f>
        <v/>
      </c>
      <c r="M388" s="189" t="str">
        <f ca="1">IFERROR(__xludf.DUMMYFUNCTION("""COMPUTED_VALUE"""),"")</f>
        <v/>
      </c>
      <c r="N388" s="189" t="str">
        <f ca="1">IFERROR(__xludf.DUMMYFUNCTION("""COMPUTED_VALUE"""),"")</f>
        <v/>
      </c>
      <c r="O388" s="189" t="str">
        <f ca="1">IFERROR(__xludf.DUMMYFUNCTION("""COMPUTED_VALUE"""),"")</f>
        <v/>
      </c>
      <c r="P388" s="189" t="str">
        <f ca="1">IFERROR(__xludf.DUMMYFUNCTION("""COMPUTED_VALUE"""),"")</f>
        <v/>
      </c>
      <c r="Q388" s="189" t="str">
        <f ca="1">IFERROR(__xludf.DUMMYFUNCTION("""COMPUTED_VALUE"""),"")</f>
        <v/>
      </c>
      <c r="R388" s="189" t="str">
        <f ca="1">IFERROR(__xludf.DUMMYFUNCTION("""COMPUTED_VALUE"""),"")</f>
        <v/>
      </c>
      <c r="S388" s="189" t="str">
        <f ca="1">IFERROR(__xludf.DUMMYFUNCTION("""COMPUTED_VALUE"""),"")</f>
        <v/>
      </c>
      <c r="T388" s="189" t="str">
        <f ca="1">IFERROR(__xludf.DUMMYFUNCTION("""COMPUTED_VALUE"""),"")</f>
        <v/>
      </c>
      <c r="U388" s="189" t="str">
        <f ca="1">IFERROR(__xludf.DUMMYFUNCTION("""COMPUTED_VALUE"""),"")</f>
        <v/>
      </c>
      <c r="V388" s="189" t="str">
        <f ca="1">IFERROR(__xludf.DUMMYFUNCTION("""COMPUTED_VALUE"""),"")</f>
        <v/>
      </c>
      <c r="W388" s="189" t="str">
        <f ca="1">IFERROR(__xludf.DUMMYFUNCTION("""COMPUTED_VALUE"""),"")</f>
        <v/>
      </c>
      <c r="X388" s="189" t="str">
        <f ca="1">IFERROR(__xludf.DUMMYFUNCTION("""COMPUTED_VALUE"""),"")</f>
        <v/>
      </c>
      <c r="Y388" s="189" t="str">
        <f ca="1">IFERROR(__xludf.DUMMYFUNCTION("""COMPUTED_VALUE"""),"")</f>
        <v/>
      </c>
      <c r="Z388" s="189"/>
    </row>
    <row r="389" spans="1:26" ht="12.75">
      <c r="A389" s="189" t="str">
        <f ca="1">IFERROR(__xludf.DUMMYFUNCTION("""COMPUTED_VALUE"""),"")</f>
        <v/>
      </c>
      <c r="B389" s="189" t="str">
        <f ca="1">IFERROR(__xludf.DUMMYFUNCTION("""COMPUTED_VALUE"""),"")</f>
        <v/>
      </c>
      <c r="C389" s="189" t="str">
        <f ca="1">IFERROR(__xludf.DUMMYFUNCTION("""COMPUTED_VALUE"""),"")</f>
        <v/>
      </c>
      <c r="D389" s="189" t="str">
        <f ca="1">IFERROR(__xludf.DUMMYFUNCTION("""COMPUTED_VALUE"""),"")</f>
        <v/>
      </c>
      <c r="E389" s="189" t="str">
        <f ca="1">IFERROR(__xludf.DUMMYFUNCTION("""COMPUTED_VALUE"""),"")</f>
        <v/>
      </c>
      <c r="F389" s="189" t="str">
        <f ca="1">IFERROR(__xludf.DUMMYFUNCTION("""COMPUTED_VALUE"""),"")</f>
        <v/>
      </c>
      <c r="G389" s="189" t="str">
        <f ca="1">IFERROR(__xludf.DUMMYFUNCTION("""COMPUTED_VALUE"""),"")</f>
        <v/>
      </c>
      <c r="H389" s="189" t="str">
        <f ca="1">IFERROR(__xludf.DUMMYFUNCTION("""COMPUTED_VALUE"""),"")</f>
        <v/>
      </c>
      <c r="I389" s="120" t="str">
        <f ca="1">IFERROR(__xludf.DUMMYFUNCTION("""COMPUTED_VALUE"""),"")</f>
        <v/>
      </c>
      <c r="J389" s="189" t="str">
        <f ca="1">IFERROR(__xludf.DUMMYFUNCTION("""COMPUTED_VALUE"""),"")</f>
        <v/>
      </c>
      <c r="K389" s="189" t="str">
        <f ca="1">IFERROR(__xludf.DUMMYFUNCTION("""COMPUTED_VALUE"""),"")</f>
        <v/>
      </c>
      <c r="L389" s="189" t="str">
        <f ca="1">IFERROR(__xludf.DUMMYFUNCTION("""COMPUTED_VALUE"""),"")</f>
        <v/>
      </c>
      <c r="M389" s="189" t="str">
        <f ca="1">IFERROR(__xludf.DUMMYFUNCTION("""COMPUTED_VALUE"""),"")</f>
        <v/>
      </c>
      <c r="N389" s="189" t="str">
        <f ca="1">IFERROR(__xludf.DUMMYFUNCTION("""COMPUTED_VALUE"""),"")</f>
        <v/>
      </c>
      <c r="O389" s="189" t="str">
        <f ca="1">IFERROR(__xludf.DUMMYFUNCTION("""COMPUTED_VALUE"""),"")</f>
        <v/>
      </c>
      <c r="P389" s="189" t="str">
        <f ca="1">IFERROR(__xludf.DUMMYFUNCTION("""COMPUTED_VALUE"""),"")</f>
        <v/>
      </c>
      <c r="Q389" s="189" t="str">
        <f ca="1">IFERROR(__xludf.DUMMYFUNCTION("""COMPUTED_VALUE"""),"")</f>
        <v/>
      </c>
      <c r="R389" s="189" t="str">
        <f ca="1">IFERROR(__xludf.DUMMYFUNCTION("""COMPUTED_VALUE"""),"")</f>
        <v/>
      </c>
      <c r="S389" s="189" t="str">
        <f ca="1">IFERROR(__xludf.DUMMYFUNCTION("""COMPUTED_VALUE"""),"")</f>
        <v/>
      </c>
      <c r="T389" s="189" t="str">
        <f ca="1">IFERROR(__xludf.DUMMYFUNCTION("""COMPUTED_VALUE"""),"")</f>
        <v/>
      </c>
      <c r="U389" s="189" t="str">
        <f ca="1">IFERROR(__xludf.DUMMYFUNCTION("""COMPUTED_VALUE"""),"")</f>
        <v/>
      </c>
      <c r="V389" s="189" t="str">
        <f ca="1">IFERROR(__xludf.DUMMYFUNCTION("""COMPUTED_VALUE"""),"")</f>
        <v/>
      </c>
      <c r="W389" s="189" t="str">
        <f ca="1">IFERROR(__xludf.DUMMYFUNCTION("""COMPUTED_VALUE"""),"")</f>
        <v/>
      </c>
      <c r="X389" s="189" t="str">
        <f ca="1">IFERROR(__xludf.DUMMYFUNCTION("""COMPUTED_VALUE"""),"")</f>
        <v/>
      </c>
      <c r="Y389" s="189" t="str">
        <f ca="1">IFERROR(__xludf.DUMMYFUNCTION("""COMPUTED_VALUE"""),"")</f>
        <v/>
      </c>
      <c r="Z389" s="189"/>
    </row>
    <row r="390" spans="1:26" ht="12.75">
      <c r="A390" s="189" t="str">
        <f ca="1">IFERROR(__xludf.DUMMYFUNCTION("""COMPUTED_VALUE"""),"")</f>
        <v/>
      </c>
      <c r="B390" s="189" t="str">
        <f ca="1">IFERROR(__xludf.DUMMYFUNCTION("""COMPUTED_VALUE"""),"")</f>
        <v/>
      </c>
      <c r="C390" s="189" t="str">
        <f ca="1">IFERROR(__xludf.DUMMYFUNCTION("""COMPUTED_VALUE"""),"")</f>
        <v/>
      </c>
      <c r="D390" s="189" t="str">
        <f ca="1">IFERROR(__xludf.DUMMYFUNCTION("""COMPUTED_VALUE"""),"")</f>
        <v/>
      </c>
      <c r="E390" s="189" t="str">
        <f ca="1">IFERROR(__xludf.DUMMYFUNCTION("""COMPUTED_VALUE"""),"")</f>
        <v/>
      </c>
      <c r="F390" s="189" t="str">
        <f ca="1">IFERROR(__xludf.DUMMYFUNCTION("""COMPUTED_VALUE"""),"")</f>
        <v/>
      </c>
      <c r="G390" s="189" t="str">
        <f ca="1">IFERROR(__xludf.DUMMYFUNCTION("""COMPUTED_VALUE"""),"")</f>
        <v/>
      </c>
      <c r="H390" s="189" t="str">
        <f ca="1">IFERROR(__xludf.DUMMYFUNCTION("""COMPUTED_VALUE"""),"")</f>
        <v/>
      </c>
      <c r="I390" s="120" t="str">
        <f ca="1">IFERROR(__xludf.DUMMYFUNCTION("""COMPUTED_VALUE"""),"")</f>
        <v/>
      </c>
      <c r="J390" s="189" t="str">
        <f ca="1">IFERROR(__xludf.DUMMYFUNCTION("""COMPUTED_VALUE"""),"")</f>
        <v/>
      </c>
      <c r="K390" s="189" t="str">
        <f ca="1">IFERROR(__xludf.DUMMYFUNCTION("""COMPUTED_VALUE"""),"")</f>
        <v/>
      </c>
      <c r="L390" s="189" t="str">
        <f ca="1">IFERROR(__xludf.DUMMYFUNCTION("""COMPUTED_VALUE"""),"")</f>
        <v/>
      </c>
      <c r="M390" s="189" t="str">
        <f ca="1">IFERROR(__xludf.DUMMYFUNCTION("""COMPUTED_VALUE"""),"")</f>
        <v/>
      </c>
      <c r="N390" s="189" t="str">
        <f ca="1">IFERROR(__xludf.DUMMYFUNCTION("""COMPUTED_VALUE"""),"")</f>
        <v/>
      </c>
      <c r="O390" s="189" t="str">
        <f ca="1">IFERROR(__xludf.DUMMYFUNCTION("""COMPUTED_VALUE"""),"")</f>
        <v/>
      </c>
      <c r="P390" s="189" t="str">
        <f ca="1">IFERROR(__xludf.DUMMYFUNCTION("""COMPUTED_VALUE"""),"")</f>
        <v/>
      </c>
      <c r="Q390" s="189" t="str">
        <f ca="1">IFERROR(__xludf.DUMMYFUNCTION("""COMPUTED_VALUE"""),"")</f>
        <v/>
      </c>
      <c r="R390" s="189" t="str">
        <f ca="1">IFERROR(__xludf.DUMMYFUNCTION("""COMPUTED_VALUE"""),"")</f>
        <v/>
      </c>
      <c r="S390" s="189" t="str">
        <f ca="1">IFERROR(__xludf.DUMMYFUNCTION("""COMPUTED_VALUE"""),"")</f>
        <v/>
      </c>
      <c r="T390" s="189" t="str">
        <f ca="1">IFERROR(__xludf.DUMMYFUNCTION("""COMPUTED_VALUE"""),"")</f>
        <v/>
      </c>
      <c r="U390" s="189" t="str">
        <f ca="1">IFERROR(__xludf.DUMMYFUNCTION("""COMPUTED_VALUE"""),"")</f>
        <v/>
      </c>
      <c r="V390" s="189" t="str">
        <f ca="1">IFERROR(__xludf.DUMMYFUNCTION("""COMPUTED_VALUE"""),"")</f>
        <v/>
      </c>
      <c r="W390" s="189" t="str">
        <f ca="1">IFERROR(__xludf.DUMMYFUNCTION("""COMPUTED_VALUE"""),"")</f>
        <v/>
      </c>
      <c r="X390" s="189" t="str">
        <f ca="1">IFERROR(__xludf.DUMMYFUNCTION("""COMPUTED_VALUE"""),"")</f>
        <v/>
      </c>
      <c r="Y390" s="189" t="str">
        <f ca="1">IFERROR(__xludf.DUMMYFUNCTION("""COMPUTED_VALUE"""),"")</f>
        <v/>
      </c>
      <c r="Z390" s="189"/>
    </row>
    <row r="391" spans="1:26" ht="12.75">
      <c r="A391" s="189" t="str">
        <f ca="1">IFERROR(__xludf.DUMMYFUNCTION("""COMPUTED_VALUE"""),"")</f>
        <v/>
      </c>
      <c r="B391" s="189" t="str">
        <f ca="1">IFERROR(__xludf.DUMMYFUNCTION("""COMPUTED_VALUE"""),"")</f>
        <v/>
      </c>
      <c r="C391" s="189" t="str">
        <f ca="1">IFERROR(__xludf.DUMMYFUNCTION("""COMPUTED_VALUE"""),"")</f>
        <v/>
      </c>
      <c r="D391" s="189" t="str">
        <f ca="1">IFERROR(__xludf.DUMMYFUNCTION("""COMPUTED_VALUE"""),"")</f>
        <v/>
      </c>
      <c r="E391" s="189" t="str">
        <f ca="1">IFERROR(__xludf.DUMMYFUNCTION("""COMPUTED_VALUE"""),"")</f>
        <v/>
      </c>
      <c r="F391" s="189" t="str">
        <f ca="1">IFERROR(__xludf.DUMMYFUNCTION("""COMPUTED_VALUE"""),"")</f>
        <v/>
      </c>
      <c r="G391" s="189" t="str">
        <f ca="1">IFERROR(__xludf.DUMMYFUNCTION("""COMPUTED_VALUE"""),"")</f>
        <v/>
      </c>
      <c r="H391" s="189" t="str">
        <f ca="1">IFERROR(__xludf.DUMMYFUNCTION("""COMPUTED_VALUE"""),"")</f>
        <v/>
      </c>
      <c r="I391" s="120" t="str">
        <f ca="1">IFERROR(__xludf.DUMMYFUNCTION("""COMPUTED_VALUE"""),"")</f>
        <v/>
      </c>
      <c r="J391" s="189" t="str">
        <f ca="1">IFERROR(__xludf.DUMMYFUNCTION("""COMPUTED_VALUE"""),"")</f>
        <v/>
      </c>
      <c r="K391" s="189" t="str">
        <f ca="1">IFERROR(__xludf.DUMMYFUNCTION("""COMPUTED_VALUE"""),"")</f>
        <v/>
      </c>
      <c r="L391" s="189" t="str">
        <f ca="1">IFERROR(__xludf.DUMMYFUNCTION("""COMPUTED_VALUE"""),"")</f>
        <v/>
      </c>
      <c r="M391" s="189" t="str">
        <f ca="1">IFERROR(__xludf.DUMMYFUNCTION("""COMPUTED_VALUE"""),"")</f>
        <v/>
      </c>
      <c r="N391" s="189" t="str">
        <f ca="1">IFERROR(__xludf.DUMMYFUNCTION("""COMPUTED_VALUE"""),"")</f>
        <v/>
      </c>
      <c r="O391" s="189" t="str">
        <f ca="1">IFERROR(__xludf.DUMMYFUNCTION("""COMPUTED_VALUE"""),"")</f>
        <v/>
      </c>
      <c r="P391" s="189" t="str">
        <f ca="1">IFERROR(__xludf.DUMMYFUNCTION("""COMPUTED_VALUE"""),"")</f>
        <v/>
      </c>
      <c r="Q391" s="189" t="str">
        <f ca="1">IFERROR(__xludf.DUMMYFUNCTION("""COMPUTED_VALUE"""),"")</f>
        <v/>
      </c>
      <c r="R391" s="189" t="str">
        <f ca="1">IFERROR(__xludf.DUMMYFUNCTION("""COMPUTED_VALUE"""),"")</f>
        <v/>
      </c>
      <c r="S391" s="189" t="str">
        <f ca="1">IFERROR(__xludf.DUMMYFUNCTION("""COMPUTED_VALUE"""),"")</f>
        <v/>
      </c>
      <c r="T391" s="189" t="str">
        <f ca="1">IFERROR(__xludf.DUMMYFUNCTION("""COMPUTED_VALUE"""),"")</f>
        <v/>
      </c>
      <c r="U391" s="189" t="str">
        <f ca="1">IFERROR(__xludf.DUMMYFUNCTION("""COMPUTED_VALUE"""),"")</f>
        <v/>
      </c>
      <c r="V391" s="189" t="str">
        <f ca="1">IFERROR(__xludf.DUMMYFUNCTION("""COMPUTED_VALUE"""),"")</f>
        <v/>
      </c>
      <c r="W391" s="189" t="str">
        <f ca="1">IFERROR(__xludf.DUMMYFUNCTION("""COMPUTED_VALUE"""),"")</f>
        <v/>
      </c>
      <c r="X391" s="189" t="str">
        <f ca="1">IFERROR(__xludf.DUMMYFUNCTION("""COMPUTED_VALUE"""),"")</f>
        <v/>
      </c>
      <c r="Y391" s="189" t="str">
        <f ca="1">IFERROR(__xludf.DUMMYFUNCTION("""COMPUTED_VALUE"""),"")</f>
        <v/>
      </c>
      <c r="Z391" s="189"/>
    </row>
    <row r="392" spans="1:26" ht="12.75">
      <c r="A392" s="189" t="str">
        <f ca="1">IFERROR(__xludf.DUMMYFUNCTION("""COMPUTED_VALUE"""),"")</f>
        <v/>
      </c>
      <c r="B392" s="189" t="str">
        <f ca="1">IFERROR(__xludf.DUMMYFUNCTION("""COMPUTED_VALUE"""),"")</f>
        <v/>
      </c>
      <c r="C392" s="189" t="str">
        <f ca="1">IFERROR(__xludf.DUMMYFUNCTION("""COMPUTED_VALUE"""),"")</f>
        <v/>
      </c>
      <c r="D392" s="189" t="str">
        <f ca="1">IFERROR(__xludf.DUMMYFUNCTION("""COMPUTED_VALUE"""),"")</f>
        <v/>
      </c>
      <c r="E392" s="189" t="str">
        <f ca="1">IFERROR(__xludf.DUMMYFUNCTION("""COMPUTED_VALUE"""),"")</f>
        <v/>
      </c>
      <c r="F392" s="189" t="str">
        <f ca="1">IFERROR(__xludf.DUMMYFUNCTION("""COMPUTED_VALUE"""),"")</f>
        <v/>
      </c>
      <c r="G392" s="189" t="str">
        <f ca="1">IFERROR(__xludf.DUMMYFUNCTION("""COMPUTED_VALUE"""),"")</f>
        <v/>
      </c>
      <c r="H392" s="189" t="str">
        <f ca="1">IFERROR(__xludf.DUMMYFUNCTION("""COMPUTED_VALUE"""),"")</f>
        <v/>
      </c>
      <c r="I392" s="120" t="str">
        <f ca="1">IFERROR(__xludf.DUMMYFUNCTION("""COMPUTED_VALUE"""),"")</f>
        <v/>
      </c>
      <c r="J392" s="189" t="str">
        <f ca="1">IFERROR(__xludf.DUMMYFUNCTION("""COMPUTED_VALUE"""),"")</f>
        <v/>
      </c>
      <c r="K392" s="189" t="str">
        <f ca="1">IFERROR(__xludf.DUMMYFUNCTION("""COMPUTED_VALUE"""),"")</f>
        <v/>
      </c>
      <c r="L392" s="189" t="str">
        <f ca="1">IFERROR(__xludf.DUMMYFUNCTION("""COMPUTED_VALUE"""),"")</f>
        <v/>
      </c>
      <c r="M392" s="189" t="str">
        <f ca="1">IFERROR(__xludf.DUMMYFUNCTION("""COMPUTED_VALUE"""),"")</f>
        <v/>
      </c>
      <c r="N392" s="189" t="str">
        <f ca="1">IFERROR(__xludf.DUMMYFUNCTION("""COMPUTED_VALUE"""),"")</f>
        <v/>
      </c>
      <c r="O392" s="189" t="str">
        <f ca="1">IFERROR(__xludf.DUMMYFUNCTION("""COMPUTED_VALUE"""),"")</f>
        <v/>
      </c>
      <c r="P392" s="189" t="str">
        <f ca="1">IFERROR(__xludf.DUMMYFUNCTION("""COMPUTED_VALUE"""),"")</f>
        <v/>
      </c>
      <c r="Q392" s="189" t="str">
        <f ca="1">IFERROR(__xludf.DUMMYFUNCTION("""COMPUTED_VALUE"""),"")</f>
        <v/>
      </c>
      <c r="R392" s="189" t="str">
        <f ca="1">IFERROR(__xludf.DUMMYFUNCTION("""COMPUTED_VALUE"""),"")</f>
        <v/>
      </c>
      <c r="S392" s="189" t="str">
        <f ca="1">IFERROR(__xludf.DUMMYFUNCTION("""COMPUTED_VALUE"""),"")</f>
        <v/>
      </c>
      <c r="T392" s="189" t="str">
        <f ca="1">IFERROR(__xludf.DUMMYFUNCTION("""COMPUTED_VALUE"""),"")</f>
        <v/>
      </c>
      <c r="U392" s="189" t="str">
        <f ca="1">IFERROR(__xludf.DUMMYFUNCTION("""COMPUTED_VALUE"""),"")</f>
        <v/>
      </c>
      <c r="V392" s="189" t="str">
        <f ca="1">IFERROR(__xludf.DUMMYFUNCTION("""COMPUTED_VALUE"""),"")</f>
        <v/>
      </c>
      <c r="W392" s="189" t="str">
        <f ca="1">IFERROR(__xludf.DUMMYFUNCTION("""COMPUTED_VALUE"""),"")</f>
        <v/>
      </c>
      <c r="X392" s="189" t="str">
        <f ca="1">IFERROR(__xludf.DUMMYFUNCTION("""COMPUTED_VALUE"""),"")</f>
        <v/>
      </c>
      <c r="Y392" s="189" t="str">
        <f ca="1">IFERROR(__xludf.DUMMYFUNCTION("""COMPUTED_VALUE"""),"")</f>
        <v/>
      </c>
      <c r="Z392" s="189"/>
    </row>
    <row r="393" spans="1:26" ht="12.75">
      <c r="A393" s="189" t="str">
        <f ca="1">IFERROR(__xludf.DUMMYFUNCTION("""COMPUTED_VALUE"""),"")</f>
        <v/>
      </c>
      <c r="B393" s="189" t="str">
        <f ca="1">IFERROR(__xludf.DUMMYFUNCTION("""COMPUTED_VALUE"""),"")</f>
        <v/>
      </c>
      <c r="C393" s="189" t="str">
        <f ca="1">IFERROR(__xludf.DUMMYFUNCTION("""COMPUTED_VALUE"""),"")</f>
        <v/>
      </c>
      <c r="D393" s="189" t="str">
        <f ca="1">IFERROR(__xludf.DUMMYFUNCTION("""COMPUTED_VALUE"""),"")</f>
        <v/>
      </c>
      <c r="E393" s="189" t="str">
        <f ca="1">IFERROR(__xludf.DUMMYFUNCTION("""COMPUTED_VALUE"""),"")</f>
        <v/>
      </c>
      <c r="F393" s="189" t="str">
        <f ca="1">IFERROR(__xludf.DUMMYFUNCTION("""COMPUTED_VALUE"""),"")</f>
        <v/>
      </c>
      <c r="G393" s="189" t="str">
        <f ca="1">IFERROR(__xludf.DUMMYFUNCTION("""COMPUTED_VALUE"""),"")</f>
        <v/>
      </c>
      <c r="H393" s="189" t="str">
        <f ca="1">IFERROR(__xludf.DUMMYFUNCTION("""COMPUTED_VALUE"""),"")</f>
        <v/>
      </c>
      <c r="I393" s="120" t="str">
        <f ca="1">IFERROR(__xludf.DUMMYFUNCTION("""COMPUTED_VALUE"""),"")</f>
        <v/>
      </c>
      <c r="J393" s="189" t="str">
        <f ca="1">IFERROR(__xludf.DUMMYFUNCTION("""COMPUTED_VALUE"""),"")</f>
        <v/>
      </c>
      <c r="K393" s="189" t="str">
        <f ca="1">IFERROR(__xludf.DUMMYFUNCTION("""COMPUTED_VALUE"""),"")</f>
        <v/>
      </c>
      <c r="L393" s="189" t="str">
        <f ca="1">IFERROR(__xludf.DUMMYFUNCTION("""COMPUTED_VALUE"""),"")</f>
        <v/>
      </c>
      <c r="M393" s="189" t="str">
        <f ca="1">IFERROR(__xludf.DUMMYFUNCTION("""COMPUTED_VALUE"""),"")</f>
        <v/>
      </c>
      <c r="N393" s="189" t="str">
        <f ca="1">IFERROR(__xludf.DUMMYFUNCTION("""COMPUTED_VALUE"""),"")</f>
        <v/>
      </c>
      <c r="O393" s="189" t="str">
        <f ca="1">IFERROR(__xludf.DUMMYFUNCTION("""COMPUTED_VALUE"""),"")</f>
        <v/>
      </c>
      <c r="P393" s="189" t="str">
        <f ca="1">IFERROR(__xludf.DUMMYFUNCTION("""COMPUTED_VALUE"""),"")</f>
        <v/>
      </c>
      <c r="Q393" s="189" t="str">
        <f ca="1">IFERROR(__xludf.DUMMYFUNCTION("""COMPUTED_VALUE"""),"")</f>
        <v/>
      </c>
      <c r="R393" s="189" t="str">
        <f ca="1">IFERROR(__xludf.DUMMYFUNCTION("""COMPUTED_VALUE"""),"")</f>
        <v/>
      </c>
      <c r="S393" s="189" t="str">
        <f ca="1">IFERROR(__xludf.DUMMYFUNCTION("""COMPUTED_VALUE"""),"")</f>
        <v/>
      </c>
      <c r="T393" s="189" t="str">
        <f ca="1">IFERROR(__xludf.DUMMYFUNCTION("""COMPUTED_VALUE"""),"")</f>
        <v/>
      </c>
      <c r="U393" s="189" t="str">
        <f ca="1">IFERROR(__xludf.DUMMYFUNCTION("""COMPUTED_VALUE"""),"")</f>
        <v/>
      </c>
      <c r="V393" s="189" t="str">
        <f ca="1">IFERROR(__xludf.DUMMYFUNCTION("""COMPUTED_VALUE"""),"")</f>
        <v/>
      </c>
      <c r="W393" s="189" t="str">
        <f ca="1">IFERROR(__xludf.DUMMYFUNCTION("""COMPUTED_VALUE"""),"")</f>
        <v/>
      </c>
      <c r="X393" s="189" t="str">
        <f ca="1">IFERROR(__xludf.DUMMYFUNCTION("""COMPUTED_VALUE"""),"")</f>
        <v/>
      </c>
      <c r="Y393" s="189" t="str">
        <f ca="1">IFERROR(__xludf.DUMMYFUNCTION("""COMPUTED_VALUE"""),"")</f>
        <v/>
      </c>
      <c r="Z393" s="189"/>
    </row>
    <row r="394" spans="1:26" ht="12.75">
      <c r="A394" s="189" t="str">
        <f ca="1">IFERROR(__xludf.DUMMYFUNCTION("""COMPUTED_VALUE"""),"")</f>
        <v/>
      </c>
      <c r="B394" s="189" t="str">
        <f ca="1">IFERROR(__xludf.DUMMYFUNCTION("""COMPUTED_VALUE"""),"")</f>
        <v/>
      </c>
      <c r="C394" s="189" t="str">
        <f ca="1">IFERROR(__xludf.DUMMYFUNCTION("""COMPUTED_VALUE"""),"")</f>
        <v/>
      </c>
      <c r="D394" s="189" t="str">
        <f ca="1">IFERROR(__xludf.DUMMYFUNCTION("""COMPUTED_VALUE"""),"")</f>
        <v/>
      </c>
      <c r="E394" s="189" t="str">
        <f ca="1">IFERROR(__xludf.DUMMYFUNCTION("""COMPUTED_VALUE"""),"")</f>
        <v/>
      </c>
      <c r="F394" s="189" t="str">
        <f ca="1">IFERROR(__xludf.DUMMYFUNCTION("""COMPUTED_VALUE"""),"")</f>
        <v/>
      </c>
      <c r="G394" s="189" t="str">
        <f ca="1">IFERROR(__xludf.DUMMYFUNCTION("""COMPUTED_VALUE"""),"")</f>
        <v/>
      </c>
      <c r="H394" s="189" t="str">
        <f ca="1">IFERROR(__xludf.DUMMYFUNCTION("""COMPUTED_VALUE"""),"")</f>
        <v/>
      </c>
      <c r="I394" s="120" t="str">
        <f ca="1">IFERROR(__xludf.DUMMYFUNCTION("""COMPUTED_VALUE"""),"")</f>
        <v/>
      </c>
      <c r="J394" s="189" t="str">
        <f ca="1">IFERROR(__xludf.DUMMYFUNCTION("""COMPUTED_VALUE"""),"")</f>
        <v/>
      </c>
      <c r="K394" s="189" t="str">
        <f ca="1">IFERROR(__xludf.DUMMYFUNCTION("""COMPUTED_VALUE"""),"")</f>
        <v/>
      </c>
      <c r="L394" s="189" t="str">
        <f ca="1">IFERROR(__xludf.DUMMYFUNCTION("""COMPUTED_VALUE"""),"")</f>
        <v/>
      </c>
      <c r="M394" s="189" t="str">
        <f ca="1">IFERROR(__xludf.DUMMYFUNCTION("""COMPUTED_VALUE"""),"")</f>
        <v/>
      </c>
      <c r="N394" s="189" t="str">
        <f ca="1">IFERROR(__xludf.DUMMYFUNCTION("""COMPUTED_VALUE"""),"")</f>
        <v/>
      </c>
      <c r="O394" s="189" t="str">
        <f ca="1">IFERROR(__xludf.DUMMYFUNCTION("""COMPUTED_VALUE"""),"")</f>
        <v/>
      </c>
      <c r="P394" s="189" t="str">
        <f ca="1">IFERROR(__xludf.DUMMYFUNCTION("""COMPUTED_VALUE"""),"")</f>
        <v/>
      </c>
      <c r="Q394" s="189" t="str">
        <f ca="1">IFERROR(__xludf.DUMMYFUNCTION("""COMPUTED_VALUE"""),"")</f>
        <v/>
      </c>
      <c r="R394" s="189" t="str">
        <f ca="1">IFERROR(__xludf.DUMMYFUNCTION("""COMPUTED_VALUE"""),"")</f>
        <v/>
      </c>
      <c r="S394" s="189" t="str">
        <f ca="1">IFERROR(__xludf.DUMMYFUNCTION("""COMPUTED_VALUE"""),"")</f>
        <v/>
      </c>
      <c r="T394" s="189" t="str">
        <f ca="1">IFERROR(__xludf.DUMMYFUNCTION("""COMPUTED_VALUE"""),"")</f>
        <v/>
      </c>
      <c r="U394" s="189" t="str">
        <f ca="1">IFERROR(__xludf.DUMMYFUNCTION("""COMPUTED_VALUE"""),"")</f>
        <v/>
      </c>
      <c r="V394" s="189" t="str">
        <f ca="1">IFERROR(__xludf.DUMMYFUNCTION("""COMPUTED_VALUE"""),"")</f>
        <v/>
      </c>
      <c r="W394" s="189" t="str">
        <f ca="1">IFERROR(__xludf.DUMMYFUNCTION("""COMPUTED_VALUE"""),"")</f>
        <v/>
      </c>
      <c r="X394" s="189" t="str">
        <f ca="1">IFERROR(__xludf.DUMMYFUNCTION("""COMPUTED_VALUE"""),"")</f>
        <v/>
      </c>
      <c r="Y394" s="189" t="str">
        <f ca="1">IFERROR(__xludf.DUMMYFUNCTION("""COMPUTED_VALUE"""),"")</f>
        <v/>
      </c>
      <c r="Z394" s="189"/>
    </row>
    <row r="395" spans="1:26" ht="12.75">
      <c r="A395" s="189" t="str">
        <f ca="1">IFERROR(__xludf.DUMMYFUNCTION("""COMPUTED_VALUE"""),"")</f>
        <v/>
      </c>
      <c r="B395" s="189" t="str">
        <f ca="1">IFERROR(__xludf.DUMMYFUNCTION("""COMPUTED_VALUE"""),"")</f>
        <v/>
      </c>
      <c r="C395" s="189" t="str">
        <f ca="1">IFERROR(__xludf.DUMMYFUNCTION("""COMPUTED_VALUE"""),"")</f>
        <v/>
      </c>
      <c r="D395" s="189" t="str">
        <f ca="1">IFERROR(__xludf.DUMMYFUNCTION("""COMPUTED_VALUE"""),"")</f>
        <v/>
      </c>
      <c r="E395" s="189" t="str">
        <f ca="1">IFERROR(__xludf.DUMMYFUNCTION("""COMPUTED_VALUE"""),"")</f>
        <v/>
      </c>
      <c r="F395" s="189" t="str">
        <f ca="1">IFERROR(__xludf.DUMMYFUNCTION("""COMPUTED_VALUE"""),"")</f>
        <v/>
      </c>
      <c r="G395" s="189" t="str">
        <f ca="1">IFERROR(__xludf.DUMMYFUNCTION("""COMPUTED_VALUE"""),"")</f>
        <v/>
      </c>
      <c r="H395" s="189" t="str">
        <f ca="1">IFERROR(__xludf.DUMMYFUNCTION("""COMPUTED_VALUE"""),"")</f>
        <v/>
      </c>
      <c r="I395" s="120" t="str">
        <f ca="1">IFERROR(__xludf.DUMMYFUNCTION("""COMPUTED_VALUE"""),"")</f>
        <v/>
      </c>
      <c r="J395" s="189" t="str">
        <f ca="1">IFERROR(__xludf.DUMMYFUNCTION("""COMPUTED_VALUE"""),"")</f>
        <v/>
      </c>
      <c r="K395" s="189" t="str">
        <f ca="1">IFERROR(__xludf.DUMMYFUNCTION("""COMPUTED_VALUE"""),"")</f>
        <v/>
      </c>
      <c r="L395" s="189" t="str">
        <f ca="1">IFERROR(__xludf.DUMMYFUNCTION("""COMPUTED_VALUE"""),"")</f>
        <v/>
      </c>
      <c r="M395" s="189" t="str">
        <f ca="1">IFERROR(__xludf.DUMMYFUNCTION("""COMPUTED_VALUE"""),"")</f>
        <v/>
      </c>
      <c r="N395" s="189" t="str">
        <f ca="1">IFERROR(__xludf.DUMMYFUNCTION("""COMPUTED_VALUE"""),"")</f>
        <v/>
      </c>
      <c r="O395" s="189" t="str">
        <f ca="1">IFERROR(__xludf.DUMMYFUNCTION("""COMPUTED_VALUE"""),"")</f>
        <v/>
      </c>
      <c r="P395" s="189" t="str">
        <f ca="1">IFERROR(__xludf.DUMMYFUNCTION("""COMPUTED_VALUE"""),"")</f>
        <v/>
      </c>
      <c r="Q395" s="189" t="str">
        <f ca="1">IFERROR(__xludf.DUMMYFUNCTION("""COMPUTED_VALUE"""),"")</f>
        <v/>
      </c>
      <c r="R395" s="189" t="str">
        <f ca="1">IFERROR(__xludf.DUMMYFUNCTION("""COMPUTED_VALUE"""),"")</f>
        <v/>
      </c>
      <c r="S395" s="189" t="str">
        <f ca="1">IFERROR(__xludf.DUMMYFUNCTION("""COMPUTED_VALUE"""),"")</f>
        <v/>
      </c>
      <c r="T395" s="189" t="str">
        <f ca="1">IFERROR(__xludf.DUMMYFUNCTION("""COMPUTED_VALUE"""),"")</f>
        <v/>
      </c>
      <c r="U395" s="189" t="str">
        <f ca="1">IFERROR(__xludf.DUMMYFUNCTION("""COMPUTED_VALUE"""),"")</f>
        <v/>
      </c>
      <c r="V395" s="189" t="str">
        <f ca="1">IFERROR(__xludf.DUMMYFUNCTION("""COMPUTED_VALUE"""),"")</f>
        <v/>
      </c>
      <c r="W395" s="189" t="str">
        <f ca="1">IFERROR(__xludf.DUMMYFUNCTION("""COMPUTED_VALUE"""),"")</f>
        <v/>
      </c>
      <c r="X395" s="189" t="str">
        <f ca="1">IFERROR(__xludf.DUMMYFUNCTION("""COMPUTED_VALUE"""),"")</f>
        <v/>
      </c>
      <c r="Y395" s="189" t="str">
        <f ca="1">IFERROR(__xludf.DUMMYFUNCTION("""COMPUTED_VALUE"""),"")</f>
        <v/>
      </c>
      <c r="Z395" s="189"/>
    </row>
    <row r="396" spans="1:26" ht="12.75">
      <c r="A396" s="189" t="str">
        <f ca="1">IFERROR(__xludf.DUMMYFUNCTION("""COMPUTED_VALUE"""),"")</f>
        <v/>
      </c>
      <c r="B396" s="189" t="str">
        <f ca="1">IFERROR(__xludf.DUMMYFUNCTION("""COMPUTED_VALUE"""),"")</f>
        <v/>
      </c>
      <c r="C396" s="189" t="str">
        <f ca="1">IFERROR(__xludf.DUMMYFUNCTION("""COMPUTED_VALUE"""),"")</f>
        <v/>
      </c>
      <c r="D396" s="189" t="str">
        <f ca="1">IFERROR(__xludf.DUMMYFUNCTION("""COMPUTED_VALUE"""),"")</f>
        <v/>
      </c>
      <c r="E396" s="189" t="str">
        <f ca="1">IFERROR(__xludf.DUMMYFUNCTION("""COMPUTED_VALUE"""),"")</f>
        <v/>
      </c>
      <c r="F396" s="189" t="str">
        <f ca="1">IFERROR(__xludf.DUMMYFUNCTION("""COMPUTED_VALUE"""),"")</f>
        <v/>
      </c>
      <c r="G396" s="189" t="str">
        <f ca="1">IFERROR(__xludf.DUMMYFUNCTION("""COMPUTED_VALUE"""),"")</f>
        <v/>
      </c>
      <c r="H396" s="189" t="str">
        <f ca="1">IFERROR(__xludf.DUMMYFUNCTION("""COMPUTED_VALUE"""),"")</f>
        <v/>
      </c>
      <c r="I396" s="120" t="str">
        <f ca="1">IFERROR(__xludf.DUMMYFUNCTION("""COMPUTED_VALUE"""),"")</f>
        <v/>
      </c>
      <c r="J396" s="189" t="str">
        <f ca="1">IFERROR(__xludf.DUMMYFUNCTION("""COMPUTED_VALUE"""),"")</f>
        <v/>
      </c>
      <c r="K396" s="189" t="str">
        <f ca="1">IFERROR(__xludf.DUMMYFUNCTION("""COMPUTED_VALUE"""),"")</f>
        <v/>
      </c>
      <c r="L396" s="189" t="str">
        <f ca="1">IFERROR(__xludf.DUMMYFUNCTION("""COMPUTED_VALUE"""),"")</f>
        <v/>
      </c>
      <c r="M396" s="189" t="str">
        <f ca="1">IFERROR(__xludf.DUMMYFUNCTION("""COMPUTED_VALUE"""),"")</f>
        <v/>
      </c>
      <c r="N396" s="189" t="str">
        <f ca="1">IFERROR(__xludf.DUMMYFUNCTION("""COMPUTED_VALUE"""),"")</f>
        <v/>
      </c>
      <c r="O396" s="189" t="str">
        <f ca="1">IFERROR(__xludf.DUMMYFUNCTION("""COMPUTED_VALUE"""),"")</f>
        <v/>
      </c>
      <c r="P396" s="189" t="str">
        <f ca="1">IFERROR(__xludf.DUMMYFUNCTION("""COMPUTED_VALUE"""),"")</f>
        <v/>
      </c>
      <c r="Q396" s="189" t="str">
        <f ca="1">IFERROR(__xludf.DUMMYFUNCTION("""COMPUTED_VALUE"""),"")</f>
        <v/>
      </c>
      <c r="R396" s="189" t="str">
        <f ca="1">IFERROR(__xludf.DUMMYFUNCTION("""COMPUTED_VALUE"""),"")</f>
        <v/>
      </c>
      <c r="S396" s="189" t="str">
        <f ca="1">IFERROR(__xludf.DUMMYFUNCTION("""COMPUTED_VALUE"""),"")</f>
        <v/>
      </c>
      <c r="T396" s="189" t="str">
        <f ca="1">IFERROR(__xludf.DUMMYFUNCTION("""COMPUTED_VALUE"""),"")</f>
        <v/>
      </c>
      <c r="U396" s="189" t="str">
        <f ca="1">IFERROR(__xludf.DUMMYFUNCTION("""COMPUTED_VALUE"""),"")</f>
        <v/>
      </c>
      <c r="V396" s="189" t="str">
        <f ca="1">IFERROR(__xludf.DUMMYFUNCTION("""COMPUTED_VALUE"""),"")</f>
        <v/>
      </c>
      <c r="W396" s="189" t="str">
        <f ca="1">IFERROR(__xludf.DUMMYFUNCTION("""COMPUTED_VALUE"""),"")</f>
        <v/>
      </c>
      <c r="X396" s="189" t="str">
        <f ca="1">IFERROR(__xludf.DUMMYFUNCTION("""COMPUTED_VALUE"""),"")</f>
        <v/>
      </c>
      <c r="Y396" s="189" t="str">
        <f ca="1">IFERROR(__xludf.DUMMYFUNCTION("""COMPUTED_VALUE"""),"")</f>
        <v/>
      </c>
      <c r="Z396" s="189"/>
    </row>
    <row r="397" spans="1:26" ht="12.75">
      <c r="A397" s="189" t="str">
        <f ca="1">IFERROR(__xludf.DUMMYFUNCTION("""COMPUTED_VALUE"""),"")</f>
        <v/>
      </c>
      <c r="B397" s="189" t="str">
        <f ca="1">IFERROR(__xludf.DUMMYFUNCTION("""COMPUTED_VALUE"""),"")</f>
        <v/>
      </c>
      <c r="C397" s="189" t="str">
        <f ca="1">IFERROR(__xludf.DUMMYFUNCTION("""COMPUTED_VALUE"""),"")</f>
        <v/>
      </c>
      <c r="D397" s="189" t="str">
        <f ca="1">IFERROR(__xludf.DUMMYFUNCTION("""COMPUTED_VALUE"""),"")</f>
        <v/>
      </c>
      <c r="E397" s="189" t="str">
        <f ca="1">IFERROR(__xludf.DUMMYFUNCTION("""COMPUTED_VALUE"""),"")</f>
        <v/>
      </c>
      <c r="F397" s="189" t="str">
        <f ca="1">IFERROR(__xludf.DUMMYFUNCTION("""COMPUTED_VALUE"""),"")</f>
        <v/>
      </c>
      <c r="G397" s="189" t="str">
        <f ca="1">IFERROR(__xludf.DUMMYFUNCTION("""COMPUTED_VALUE"""),"")</f>
        <v/>
      </c>
      <c r="H397" s="189" t="str">
        <f ca="1">IFERROR(__xludf.DUMMYFUNCTION("""COMPUTED_VALUE"""),"")</f>
        <v/>
      </c>
      <c r="I397" s="120" t="str">
        <f ca="1">IFERROR(__xludf.DUMMYFUNCTION("""COMPUTED_VALUE"""),"")</f>
        <v/>
      </c>
      <c r="J397" s="189" t="str">
        <f ca="1">IFERROR(__xludf.DUMMYFUNCTION("""COMPUTED_VALUE"""),"")</f>
        <v/>
      </c>
      <c r="K397" s="189" t="str">
        <f ca="1">IFERROR(__xludf.DUMMYFUNCTION("""COMPUTED_VALUE"""),"")</f>
        <v/>
      </c>
      <c r="L397" s="189" t="str">
        <f ca="1">IFERROR(__xludf.DUMMYFUNCTION("""COMPUTED_VALUE"""),"")</f>
        <v/>
      </c>
      <c r="M397" s="189" t="str">
        <f ca="1">IFERROR(__xludf.DUMMYFUNCTION("""COMPUTED_VALUE"""),"")</f>
        <v/>
      </c>
      <c r="N397" s="189" t="str">
        <f ca="1">IFERROR(__xludf.DUMMYFUNCTION("""COMPUTED_VALUE"""),"")</f>
        <v/>
      </c>
      <c r="O397" s="189" t="str">
        <f ca="1">IFERROR(__xludf.DUMMYFUNCTION("""COMPUTED_VALUE"""),"")</f>
        <v/>
      </c>
      <c r="P397" s="189" t="str">
        <f ca="1">IFERROR(__xludf.DUMMYFUNCTION("""COMPUTED_VALUE"""),"")</f>
        <v/>
      </c>
      <c r="Q397" s="189" t="str">
        <f ca="1">IFERROR(__xludf.DUMMYFUNCTION("""COMPUTED_VALUE"""),"")</f>
        <v/>
      </c>
      <c r="R397" s="189" t="str">
        <f ca="1">IFERROR(__xludf.DUMMYFUNCTION("""COMPUTED_VALUE"""),"")</f>
        <v/>
      </c>
      <c r="S397" s="189" t="str">
        <f ca="1">IFERROR(__xludf.DUMMYFUNCTION("""COMPUTED_VALUE"""),"")</f>
        <v/>
      </c>
      <c r="T397" s="189" t="str">
        <f ca="1">IFERROR(__xludf.DUMMYFUNCTION("""COMPUTED_VALUE"""),"")</f>
        <v/>
      </c>
      <c r="U397" s="189" t="str">
        <f ca="1">IFERROR(__xludf.DUMMYFUNCTION("""COMPUTED_VALUE"""),"")</f>
        <v/>
      </c>
      <c r="V397" s="189" t="str">
        <f ca="1">IFERROR(__xludf.DUMMYFUNCTION("""COMPUTED_VALUE"""),"")</f>
        <v/>
      </c>
      <c r="W397" s="189" t="str">
        <f ca="1">IFERROR(__xludf.DUMMYFUNCTION("""COMPUTED_VALUE"""),"")</f>
        <v/>
      </c>
      <c r="X397" s="189" t="str">
        <f ca="1">IFERROR(__xludf.DUMMYFUNCTION("""COMPUTED_VALUE"""),"")</f>
        <v/>
      </c>
      <c r="Y397" s="189" t="str">
        <f ca="1">IFERROR(__xludf.DUMMYFUNCTION("""COMPUTED_VALUE"""),"")</f>
        <v/>
      </c>
      <c r="Z397" s="189"/>
    </row>
    <row r="398" spans="1:26" ht="12.75">
      <c r="A398" s="189" t="str">
        <f ca="1">IFERROR(__xludf.DUMMYFUNCTION("""COMPUTED_VALUE"""),"")</f>
        <v/>
      </c>
      <c r="B398" s="189" t="str">
        <f ca="1">IFERROR(__xludf.DUMMYFUNCTION("""COMPUTED_VALUE"""),"")</f>
        <v/>
      </c>
      <c r="C398" s="189" t="str">
        <f ca="1">IFERROR(__xludf.DUMMYFUNCTION("""COMPUTED_VALUE"""),"")</f>
        <v/>
      </c>
      <c r="D398" s="189" t="str">
        <f ca="1">IFERROR(__xludf.DUMMYFUNCTION("""COMPUTED_VALUE"""),"")</f>
        <v/>
      </c>
      <c r="E398" s="189" t="str">
        <f ca="1">IFERROR(__xludf.DUMMYFUNCTION("""COMPUTED_VALUE"""),"")</f>
        <v/>
      </c>
      <c r="F398" s="189" t="str">
        <f ca="1">IFERROR(__xludf.DUMMYFUNCTION("""COMPUTED_VALUE"""),"")</f>
        <v/>
      </c>
      <c r="G398" s="189" t="str">
        <f ca="1">IFERROR(__xludf.DUMMYFUNCTION("""COMPUTED_VALUE"""),"")</f>
        <v/>
      </c>
      <c r="H398" s="189" t="str">
        <f ca="1">IFERROR(__xludf.DUMMYFUNCTION("""COMPUTED_VALUE"""),"")</f>
        <v/>
      </c>
      <c r="I398" s="120" t="str">
        <f ca="1">IFERROR(__xludf.DUMMYFUNCTION("""COMPUTED_VALUE"""),"")</f>
        <v/>
      </c>
      <c r="J398" s="189" t="str">
        <f ca="1">IFERROR(__xludf.DUMMYFUNCTION("""COMPUTED_VALUE"""),"")</f>
        <v/>
      </c>
      <c r="K398" s="189" t="str">
        <f ca="1">IFERROR(__xludf.DUMMYFUNCTION("""COMPUTED_VALUE"""),"")</f>
        <v/>
      </c>
      <c r="L398" s="189" t="str">
        <f ca="1">IFERROR(__xludf.DUMMYFUNCTION("""COMPUTED_VALUE"""),"")</f>
        <v/>
      </c>
      <c r="M398" s="189" t="str">
        <f ca="1">IFERROR(__xludf.DUMMYFUNCTION("""COMPUTED_VALUE"""),"")</f>
        <v/>
      </c>
      <c r="N398" s="189" t="str">
        <f ca="1">IFERROR(__xludf.DUMMYFUNCTION("""COMPUTED_VALUE"""),"")</f>
        <v/>
      </c>
      <c r="O398" s="189" t="str">
        <f ca="1">IFERROR(__xludf.DUMMYFUNCTION("""COMPUTED_VALUE"""),"")</f>
        <v/>
      </c>
      <c r="P398" s="189" t="str">
        <f ca="1">IFERROR(__xludf.DUMMYFUNCTION("""COMPUTED_VALUE"""),"")</f>
        <v/>
      </c>
      <c r="Q398" s="189" t="str">
        <f ca="1">IFERROR(__xludf.DUMMYFUNCTION("""COMPUTED_VALUE"""),"")</f>
        <v/>
      </c>
      <c r="R398" s="189" t="str">
        <f ca="1">IFERROR(__xludf.DUMMYFUNCTION("""COMPUTED_VALUE"""),"")</f>
        <v/>
      </c>
      <c r="S398" s="189" t="str">
        <f ca="1">IFERROR(__xludf.DUMMYFUNCTION("""COMPUTED_VALUE"""),"")</f>
        <v/>
      </c>
      <c r="T398" s="189" t="str">
        <f ca="1">IFERROR(__xludf.DUMMYFUNCTION("""COMPUTED_VALUE"""),"")</f>
        <v/>
      </c>
      <c r="U398" s="189" t="str">
        <f ca="1">IFERROR(__xludf.DUMMYFUNCTION("""COMPUTED_VALUE"""),"")</f>
        <v/>
      </c>
      <c r="V398" s="189" t="str">
        <f ca="1">IFERROR(__xludf.DUMMYFUNCTION("""COMPUTED_VALUE"""),"")</f>
        <v/>
      </c>
      <c r="W398" s="189" t="str">
        <f ca="1">IFERROR(__xludf.DUMMYFUNCTION("""COMPUTED_VALUE"""),"")</f>
        <v/>
      </c>
      <c r="X398" s="189" t="str">
        <f ca="1">IFERROR(__xludf.DUMMYFUNCTION("""COMPUTED_VALUE"""),"")</f>
        <v/>
      </c>
      <c r="Y398" s="189" t="str">
        <f ca="1">IFERROR(__xludf.DUMMYFUNCTION("""COMPUTED_VALUE"""),"")</f>
        <v/>
      </c>
      <c r="Z398" s="189"/>
    </row>
    <row r="399" spans="1:26" ht="12.75">
      <c r="A399" s="189" t="str">
        <f ca="1">IFERROR(__xludf.DUMMYFUNCTION("""COMPUTED_VALUE"""),"")</f>
        <v/>
      </c>
      <c r="B399" s="189" t="str">
        <f ca="1">IFERROR(__xludf.DUMMYFUNCTION("""COMPUTED_VALUE"""),"")</f>
        <v/>
      </c>
      <c r="C399" s="189" t="str">
        <f ca="1">IFERROR(__xludf.DUMMYFUNCTION("""COMPUTED_VALUE"""),"")</f>
        <v/>
      </c>
      <c r="D399" s="189" t="str">
        <f ca="1">IFERROR(__xludf.DUMMYFUNCTION("""COMPUTED_VALUE"""),"")</f>
        <v/>
      </c>
      <c r="E399" s="189" t="str">
        <f ca="1">IFERROR(__xludf.DUMMYFUNCTION("""COMPUTED_VALUE"""),"")</f>
        <v/>
      </c>
      <c r="F399" s="189" t="str">
        <f ca="1">IFERROR(__xludf.DUMMYFUNCTION("""COMPUTED_VALUE"""),"")</f>
        <v/>
      </c>
      <c r="G399" s="189" t="str">
        <f ca="1">IFERROR(__xludf.DUMMYFUNCTION("""COMPUTED_VALUE"""),"")</f>
        <v/>
      </c>
      <c r="H399" s="189" t="str">
        <f ca="1">IFERROR(__xludf.DUMMYFUNCTION("""COMPUTED_VALUE"""),"")</f>
        <v/>
      </c>
      <c r="I399" s="120" t="str">
        <f ca="1">IFERROR(__xludf.DUMMYFUNCTION("""COMPUTED_VALUE"""),"")</f>
        <v/>
      </c>
      <c r="J399" s="189" t="str">
        <f ca="1">IFERROR(__xludf.DUMMYFUNCTION("""COMPUTED_VALUE"""),"")</f>
        <v/>
      </c>
      <c r="K399" s="189" t="str">
        <f ca="1">IFERROR(__xludf.DUMMYFUNCTION("""COMPUTED_VALUE"""),"")</f>
        <v/>
      </c>
      <c r="L399" s="189" t="str">
        <f ca="1">IFERROR(__xludf.DUMMYFUNCTION("""COMPUTED_VALUE"""),"")</f>
        <v/>
      </c>
      <c r="M399" s="189" t="str">
        <f ca="1">IFERROR(__xludf.DUMMYFUNCTION("""COMPUTED_VALUE"""),"")</f>
        <v/>
      </c>
      <c r="N399" s="189" t="str">
        <f ca="1">IFERROR(__xludf.DUMMYFUNCTION("""COMPUTED_VALUE"""),"")</f>
        <v/>
      </c>
      <c r="O399" s="189" t="str">
        <f ca="1">IFERROR(__xludf.DUMMYFUNCTION("""COMPUTED_VALUE"""),"")</f>
        <v/>
      </c>
      <c r="P399" s="189" t="str">
        <f ca="1">IFERROR(__xludf.DUMMYFUNCTION("""COMPUTED_VALUE"""),"")</f>
        <v/>
      </c>
      <c r="Q399" s="189" t="str">
        <f ca="1">IFERROR(__xludf.DUMMYFUNCTION("""COMPUTED_VALUE"""),"")</f>
        <v/>
      </c>
      <c r="R399" s="189" t="str">
        <f ca="1">IFERROR(__xludf.DUMMYFUNCTION("""COMPUTED_VALUE"""),"")</f>
        <v/>
      </c>
      <c r="S399" s="189" t="str">
        <f ca="1">IFERROR(__xludf.DUMMYFUNCTION("""COMPUTED_VALUE"""),"")</f>
        <v/>
      </c>
      <c r="T399" s="189" t="str">
        <f ca="1">IFERROR(__xludf.DUMMYFUNCTION("""COMPUTED_VALUE"""),"")</f>
        <v/>
      </c>
      <c r="U399" s="189" t="str">
        <f ca="1">IFERROR(__xludf.DUMMYFUNCTION("""COMPUTED_VALUE"""),"")</f>
        <v/>
      </c>
      <c r="V399" s="189" t="str">
        <f ca="1">IFERROR(__xludf.DUMMYFUNCTION("""COMPUTED_VALUE"""),"")</f>
        <v/>
      </c>
      <c r="W399" s="189" t="str">
        <f ca="1">IFERROR(__xludf.DUMMYFUNCTION("""COMPUTED_VALUE"""),"")</f>
        <v/>
      </c>
      <c r="X399" s="189" t="str">
        <f ca="1">IFERROR(__xludf.DUMMYFUNCTION("""COMPUTED_VALUE"""),"")</f>
        <v/>
      </c>
      <c r="Y399" s="189" t="str">
        <f ca="1">IFERROR(__xludf.DUMMYFUNCTION("""COMPUTED_VALUE"""),"")</f>
        <v/>
      </c>
      <c r="Z399" s="189"/>
    </row>
    <row r="400" spans="1:26" ht="12.75">
      <c r="A400" s="189" t="str">
        <f ca="1">IFERROR(__xludf.DUMMYFUNCTION("""COMPUTED_VALUE"""),"")</f>
        <v/>
      </c>
      <c r="B400" s="189" t="str">
        <f ca="1">IFERROR(__xludf.DUMMYFUNCTION("""COMPUTED_VALUE"""),"")</f>
        <v/>
      </c>
      <c r="C400" s="189" t="str">
        <f ca="1">IFERROR(__xludf.DUMMYFUNCTION("""COMPUTED_VALUE"""),"")</f>
        <v/>
      </c>
      <c r="D400" s="189" t="str">
        <f ca="1">IFERROR(__xludf.DUMMYFUNCTION("""COMPUTED_VALUE"""),"")</f>
        <v/>
      </c>
      <c r="E400" s="189" t="str">
        <f ca="1">IFERROR(__xludf.DUMMYFUNCTION("""COMPUTED_VALUE"""),"")</f>
        <v/>
      </c>
      <c r="F400" s="189" t="str">
        <f ca="1">IFERROR(__xludf.DUMMYFUNCTION("""COMPUTED_VALUE"""),"")</f>
        <v/>
      </c>
      <c r="G400" s="189" t="str">
        <f ca="1">IFERROR(__xludf.DUMMYFUNCTION("""COMPUTED_VALUE"""),"")</f>
        <v/>
      </c>
      <c r="H400" s="189" t="str">
        <f ca="1">IFERROR(__xludf.DUMMYFUNCTION("""COMPUTED_VALUE"""),"")</f>
        <v/>
      </c>
      <c r="I400" s="120" t="str">
        <f ca="1">IFERROR(__xludf.DUMMYFUNCTION("""COMPUTED_VALUE"""),"")</f>
        <v/>
      </c>
      <c r="J400" s="189" t="str">
        <f ca="1">IFERROR(__xludf.DUMMYFUNCTION("""COMPUTED_VALUE"""),"")</f>
        <v/>
      </c>
      <c r="K400" s="189" t="str">
        <f ca="1">IFERROR(__xludf.DUMMYFUNCTION("""COMPUTED_VALUE"""),"")</f>
        <v/>
      </c>
      <c r="L400" s="189" t="str">
        <f ca="1">IFERROR(__xludf.DUMMYFUNCTION("""COMPUTED_VALUE"""),"")</f>
        <v/>
      </c>
      <c r="M400" s="189" t="str">
        <f ca="1">IFERROR(__xludf.DUMMYFUNCTION("""COMPUTED_VALUE"""),"")</f>
        <v/>
      </c>
      <c r="N400" s="189" t="str">
        <f ca="1">IFERROR(__xludf.DUMMYFUNCTION("""COMPUTED_VALUE"""),"")</f>
        <v/>
      </c>
      <c r="O400" s="189" t="str">
        <f ca="1">IFERROR(__xludf.DUMMYFUNCTION("""COMPUTED_VALUE"""),"")</f>
        <v/>
      </c>
      <c r="P400" s="189" t="str">
        <f ca="1">IFERROR(__xludf.DUMMYFUNCTION("""COMPUTED_VALUE"""),"")</f>
        <v/>
      </c>
      <c r="Q400" s="189" t="str">
        <f ca="1">IFERROR(__xludf.DUMMYFUNCTION("""COMPUTED_VALUE"""),"")</f>
        <v/>
      </c>
      <c r="R400" s="189" t="str">
        <f ca="1">IFERROR(__xludf.DUMMYFUNCTION("""COMPUTED_VALUE"""),"")</f>
        <v/>
      </c>
      <c r="S400" s="189" t="str">
        <f ca="1">IFERROR(__xludf.DUMMYFUNCTION("""COMPUTED_VALUE"""),"")</f>
        <v/>
      </c>
      <c r="T400" s="189" t="str">
        <f ca="1">IFERROR(__xludf.DUMMYFUNCTION("""COMPUTED_VALUE"""),"")</f>
        <v/>
      </c>
      <c r="U400" s="189" t="str">
        <f ca="1">IFERROR(__xludf.DUMMYFUNCTION("""COMPUTED_VALUE"""),"")</f>
        <v/>
      </c>
      <c r="V400" s="189" t="str">
        <f ca="1">IFERROR(__xludf.DUMMYFUNCTION("""COMPUTED_VALUE"""),"")</f>
        <v/>
      </c>
      <c r="W400" s="189" t="str">
        <f ca="1">IFERROR(__xludf.DUMMYFUNCTION("""COMPUTED_VALUE"""),"")</f>
        <v/>
      </c>
      <c r="X400" s="189" t="str">
        <f ca="1">IFERROR(__xludf.DUMMYFUNCTION("""COMPUTED_VALUE"""),"")</f>
        <v/>
      </c>
      <c r="Y400" s="189" t="str">
        <f ca="1">IFERROR(__xludf.DUMMYFUNCTION("""COMPUTED_VALUE"""),"")</f>
        <v/>
      </c>
      <c r="Z400" s="189"/>
    </row>
    <row r="401" spans="1:26" ht="12.75">
      <c r="A401" s="189" t="str">
        <f ca="1">IFERROR(__xludf.DUMMYFUNCTION("""COMPUTED_VALUE"""),"")</f>
        <v/>
      </c>
      <c r="B401" s="189" t="str">
        <f ca="1">IFERROR(__xludf.DUMMYFUNCTION("""COMPUTED_VALUE"""),"")</f>
        <v/>
      </c>
      <c r="C401" s="189" t="str">
        <f ca="1">IFERROR(__xludf.DUMMYFUNCTION("""COMPUTED_VALUE"""),"")</f>
        <v/>
      </c>
      <c r="D401" s="189" t="str">
        <f ca="1">IFERROR(__xludf.DUMMYFUNCTION("""COMPUTED_VALUE"""),"")</f>
        <v/>
      </c>
      <c r="E401" s="189" t="str">
        <f ca="1">IFERROR(__xludf.DUMMYFUNCTION("""COMPUTED_VALUE"""),"")</f>
        <v/>
      </c>
      <c r="F401" s="189" t="str">
        <f ca="1">IFERROR(__xludf.DUMMYFUNCTION("""COMPUTED_VALUE"""),"")</f>
        <v/>
      </c>
      <c r="G401" s="189" t="str">
        <f ca="1">IFERROR(__xludf.DUMMYFUNCTION("""COMPUTED_VALUE"""),"")</f>
        <v/>
      </c>
      <c r="H401" s="189" t="str">
        <f ca="1">IFERROR(__xludf.DUMMYFUNCTION("""COMPUTED_VALUE"""),"")</f>
        <v/>
      </c>
      <c r="I401" s="120" t="str">
        <f ca="1">IFERROR(__xludf.DUMMYFUNCTION("""COMPUTED_VALUE"""),"")</f>
        <v/>
      </c>
      <c r="J401" s="189" t="str">
        <f ca="1">IFERROR(__xludf.DUMMYFUNCTION("""COMPUTED_VALUE"""),"")</f>
        <v/>
      </c>
      <c r="K401" s="189" t="str">
        <f ca="1">IFERROR(__xludf.DUMMYFUNCTION("""COMPUTED_VALUE"""),"")</f>
        <v/>
      </c>
      <c r="L401" s="189" t="str">
        <f ca="1">IFERROR(__xludf.DUMMYFUNCTION("""COMPUTED_VALUE"""),"")</f>
        <v/>
      </c>
      <c r="M401" s="189" t="str">
        <f ca="1">IFERROR(__xludf.DUMMYFUNCTION("""COMPUTED_VALUE"""),"")</f>
        <v/>
      </c>
      <c r="N401" s="189" t="str">
        <f ca="1">IFERROR(__xludf.DUMMYFUNCTION("""COMPUTED_VALUE"""),"")</f>
        <v/>
      </c>
      <c r="O401" s="189" t="str">
        <f ca="1">IFERROR(__xludf.DUMMYFUNCTION("""COMPUTED_VALUE"""),"")</f>
        <v/>
      </c>
      <c r="P401" s="189" t="str">
        <f ca="1">IFERROR(__xludf.DUMMYFUNCTION("""COMPUTED_VALUE"""),"")</f>
        <v/>
      </c>
      <c r="Q401" s="189" t="str">
        <f ca="1">IFERROR(__xludf.DUMMYFUNCTION("""COMPUTED_VALUE"""),"")</f>
        <v/>
      </c>
      <c r="R401" s="189" t="str">
        <f ca="1">IFERROR(__xludf.DUMMYFUNCTION("""COMPUTED_VALUE"""),"")</f>
        <v/>
      </c>
      <c r="S401" s="189" t="str">
        <f ca="1">IFERROR(__xludf.DUMMYFUNCTION("""COMPUTED_VALUE"""),"")</f>
        <v/>
      </c>
      <c r="T401" s="189" t="str">
        <f ca="1">IFERROR(__xludf.DUMMYFUNCTION("""COMPUTED_VALUE"""),"")</f>
        <v/>
      </c>
      <c r="U401" s="189" t="str">
        <f ca="1">IFERROR(__xludf.DUMMYFUNCTION("""COMPUTED_VALUE"""),"")</f>
        <v/>
      </c>
      <c r="V401" s="189" t="str">
        <f ca="1">IFERROR(__xludf.DUMMYFUNCTION("""COMPUTED_VALUE"""),"")</f>
        <v/>
      </c>
      <c r="W401" s="189" t="str">
        <f ca="1">IFERROR(__xludf.DUMMYFUNCTION("""COMPUTED_VALUE"""),"")</f>
        <v/>
      </c>
      <c r="X401" s="189" t="str">
        <f ca="1">IFERROR(__xludf.DUMMYFUNCTION("""COMPUTED_VALUE"""),"")</f>
        <v/>
      </c>
      <c r="Y401" s="189" t="str">
        <f ca="1">IFERROR(__xludf.DUMMYFUNCTION("""COMPUTED_VALUE"""),"")</f>
        <v/>
      </c>
      <c r="Z401" s="189"/>
    </row>
    <row r="402" spans="1:26" ht="12.75">
      <c r="A402" s="189" t="str">
        <f ca="1">IFERROR(__xludf.DUMMYFUNCTION("""COMPUTED_VALUE"""),"")</f>
        <v/>
      </c>
      <c r="B402" s="189" t="str">
        <f ca="1">IFERROR(__xludf.DUMMYFUNCTION("""COMPUTED_VALUE"""),"")</f>
        <v/>
      </c>
      <c r="C402" s="189" t="str">
        <f ca="1">IFERROR(__xludf.DUMMYFUNCTION("""COMPUTED_VALUE"""),"")</f>
        <v/>
      </c>
      <c r="D402" s="189" t="str">
        <f ca="1">IFERROR(__xludf.DUMMYFUNCTION("""COMPUTED_VALUE"""),"")</f>
        <v/>
      </c>
      <c r="E402" s="189" t="str">
        <f ca="1">IFERROR(__xludf.DUMMYFUNCTION("""COMPUTED_VALUE"""),"")</f>
        <v/>
      </c>
      <c r="F402" s="189" t="str">
        <f ca="1">IFERROR(__xludf.DUMMYFUNCTION("""COMPUTED_VALUE"""),"")</f>
        <v/>
      </c>
      <c r="G402" s="189" t="str">
        <f ca="1">IFERROR(__xludf.DUMMYFUNCTION("""COMPUTED_VALUE"""),"")</f>
        <v/>
      </c>
      <c r="H402" s="189" t="str">
        <f ca="1">IFERROR(__xludf.DUMMYFUNCTION("""COMPUTED_VALUE"""),"")</f>
        <v/>
      </c>
      <c r="I402" s="120" t="str">
        <f ca="1">IFERROR(__xludf.DUMMYFUNCTION("""COMPUTED_VALUE"""),"")</f>
        <v/>
      </c>
      <c r="J402" s="189" t="str">
        <f ca="1">IFERROR(__xludf.DUMMYFUNCTION("""COMPUTED_VALUE"""),"")</f>
        <v/>
      </c>
      <c r="K402" s="189" t="str">
        <f ca="1">IFERROR(__xludf.DUMMYFUNCTION("""COMPUTED_VALUE"""),"")</f>
        <v/>
      </c>
      <c r="L402" s="189" t="str">
        <f ca="1">IFERROR(__xludf.DUMMYFUNCTION("""COMPUTED_VALUE"""),"")</f>
        <v/>
      </c>
      <c r="M402" s="189" t="str">
        <f ca="1">IFERROR(__xludf.DUMMYFUNCTION("""COMPUTED_VALUE"""),"")</f>
        <v/>
      </c>
      <c r="N402" s="189" t="str">
        <f ca="1">IFERROR(__xludf.DUMMYFUNCTION("""COMPUTED_VALUE"""),"")</f>
        <v/>
      </c>
      <c r="O402" s="189" t="str">
        <f ca="1">IFERROR(__xludf.DUMMYFUNCTION("""COMPUTED_VALUE"""),"")</f>
        <v/>
      </c>
      <c r="P402" s="189" t="str">
        <f ca="1">IFERROR(__xludf.DUMMYFUNCTION("""COMPUTED_VALUE"""),"")</f>
        <v/>
      </c>
      <c r="Q402" s="189" t="str">
        <f ca="1">IFERROR(__xludf.DUMMYFUNCTION("""COMPUTED_VALUE"""),"")</f>
        <v/>
      </c>
      <c r="R402" s="189" t="str">
        <f ca="1">IFERROR(__xludf.DUMMYFUNCTION("""COMPUTED_VALUE"""),"")</f>
        <v/>
      </c>
      <c r="S402" s="189" t="str">
        <f ca="1">IFERROR(__xludf.DUMMYFUNCTION("""COMPUTED_VALUE"""),"")</f>
        <v/>
      </c>
      <c r="T402" s="189" t="str">
        <f ca="1">IFERROR(__xludf.DUMMYFUNCTION("""COMPUTED_VALUE"""),"")</f>
        <v/>
      </c>
      <c r="U402" s="189" t="str">
        <f ca="1">IFERROR(__xludf.DUMMYFUNCTION("""COMPUTED_VALUE"""),"")</f>
        <v/>
      </c>
      <c r="V402" s="189" t="str">
        <f ca="1">IFERROR(__xludf.DUMMYFUNCTION("""COMPUTED_VALUE"""),"")</f>
        <v/>
      </c>
      <c r="W402" s="189" t="str">
        <f ca="1">IFERROR(__xludf.DUMMYFUNCTION("""COMPUTED_VALUE"""),"")</f>
        <v/>
      </c>
      <c r="X402" s="189" t="str">
        <f ca="1">IFERROR(__xludf.DUMMYFUNCTION("""COMPUTED_VALUE"""),"")</f>
        <v/>
      </c>
      <c r="Y402" s="189" t="str">
        <f ca="1">IFERROR(__xludf.DUMMYFUNCTION("""COMPUTED_VALUE"""),"")</f>
        <v/>
      </c>
      <c r="Z402" s="189"/>
    </row>
    <row r="403" spans="1:26" ht="12.75">
      <c r="A403" s="189" t="str">
        <f ca="1">IFERROR(__xludf.DUMMYFUNCTION("""COMPUTED_VALUE"""),"")</f>
        <v/>
      </c>
      <c r="B403" s="189" t="str">
        <f ca="1">IFERROR(__xludf.DUMMYFUNCTION("""COMPUTED_VALUE"""),"")</f>
        <v/>
      </c>
      <c r="C403" s="189" t="str">
        <f ca="1">IFERROR(__xludf.DUMMYFUNCTION("""COMPUTED_VALUE"""),"")</f>
        <v/>
      </c>
      <c r="D403" s="189" t="str">
        <f ca="1">IFERROR(__xludf.DUMMYFUNCTION("""COMPUTED_VALUE"""),"")</f>
        <v/>
      </c>
      <c r="E403" s="189" t="str">
        <f ca="1">IFERROR(__xludf.DUMMYFUNCTION("""COMPUTED_VALUE"""),"")</f>
        <v/>
      </c>
      <c r="F403" s="189" t="str">
        <f ca="1">IFERROR(__xludf.DUMMYFUNCTION("""COMPUTED_VALUE"""),"")</f>
        <v/>
      </c>
      <c r="G403" s="189" t="str">
        <f ca="1">IFERROR(__xludf.DUMMYFUNCTION("""COMPUTED_VALUE"""),"")</f>
        <v/>
      </c>
      <c r="H403" s="189" t="str">
        <f ca="1">IFERROR(__xludf.DUMMYFUNCTION("""COMPUTED_VALUE"""),"")</f>
        <v/>
      </c>
      <c r="I403" s="120" t="str">
        <f ca="1">IFERROR(__xludf.DUMMYFUNCTION("""COMPUTED_VALUE"""),"")</f>
        <v/>
      </c>
      <c r="J403" s="189" t="str">
        <f ca="1">IFERROR(__xludf.DUMMYFUNCTION("""COMPUTED_VALUE"""),"")</f>
        <v/>
      </c>
      <c r="K403" s="189" t="str">
        <f ca="1">IFERROR(__xludf.DUMMYFUNCTION("""COMPUTED_VALUE"""),"")</f>
        <v/>
      </c>
      <c r="L403" s="189" t="str">
        <f ca="1">IFERROR(__xludf.DUMMYFUNCTION("""COMPUTED_VALUE"""),"")</f>
        <v/>
      </c>
      <c r="M403" s="189" t="str">
        <f ca="1">IFERROR(__xludf.DUMMYFUNCTION("""COMPUTED_VALUE"""),"")</f>
        <v/>
      </c>
      <c r="N403" s="189" t="str">
        <f ca="1">IFERROR(__xludf.DUMMYFUNCTION("""COMPUTED_VALUE"""),"")</f>
        <v/>
      </c>
      <c r="O403" s="189" t="str">
        <f ca="1">IFERROR(__xludf.DUMMYFUNCTION("""COMPUTED_VALUE"""),"")</f>
        <v/>
      </c>
      <c r="P403" s="189" t="str">
        <f ca="1">IFERROR(__xludf.DUMMYFUNCTION("""COMPUTED_VALUE"""),"")</f>
        <v/>
      </c>
      <c r="Q403" s="189" t="str">
        <f ca="1">IFERROR(__xludf.DUMMYFUNCTION("""COMPUTED_VALUE"""),"")</f>
        <v/>
      </c>
      <c r="R403" s="189" t="str">
        <f ca="1">IFERROR(__xludf.DUMMYFUNCTION("""COMPUTED_VALUE"""),"")</f>
        <v/>
      </c>
      <c r="S403" s="189" t="str">
        <f ca="1">IFERROR(__xludf.DUMMYFUNCTION("""COMPUTED_VALUE"""),"")</f>
        <v/>
      </c>
      <c r="T403" s="189" t="str">
        <f ca="1">IFERROR(__xludf.DUMMYFUNCTION("""COMPUTED_VALUE"""),"")</f>
        <v/>
      </c>
      <c r="U403" s="189" t="str">
        <f ca="1">IFERROR(__xludf.DUMMYFUNCTION("""COMPUTED_VALUE"""),"")</f>
        <v/>
      </c>
      <c r="V403" s="189" t="str">
        <f ca="1">IFERROR(__xludf.DUMMYFUNCTION("""COMPUTED_VALUE"""),"")</f>
        <v/>
      </c>
      <c r="W403" s="189" t="str">
        <f ca="1">IFERROR(__xludf.DUMMYFUNCTION("""COMPUTED_VALUE"""),"")</f>
        <v/>
      </c>
      <c r="X403" s="189" t="str">
        <f ca="1">IFERROR(__xludf.DUMMYFUNCTION("""COMPUTED_VALUE"""),"")</f>
        <v/>
      </c>
      <c r="Y403" s="189" t="str">
        <f ca="1">IFERROR(__xludf.DUMMYFUNCTION("""COMPUTED_VALUE"""),"")</f>
        <v/>
      </c>
      <c r="Z403" s="189"/>
    </row>
    <row r="404" spans="1:26" ht="12.75">
      <c r="A404" s="189" t="str">
        <f ca="1">IFERROR(__xludf.DUMMYFUNCTION("""COMPUTED_VALUE"""),"")</f>
        <v/>
      </c>
      <c r="B404" s="189" t="str">
        <f ca="1">IFERROR(__xludf.DUMMYFUNCTION("""COMPUTED_VALUE"""),"")</f>
        <v/>
      </c>
      <c r="C404" s="189" t="str">
        <f ca="1">IFERROR(__xludf.DUMMYFUNCTION("""COMPUTED_VALUE"""),"")</f>
        <v/>
      </c>
      <c r="D404" s="189" t="str">
        <f ca="1">IFERROR(__xludf.DUMMYFUNCTION("""COMPUTED_VALUE"""),"")</f>
        <v/>
      </c>
      <c r="E404" s="189" t="str">
        <f ca="1">IFERROR(__xludf.DUMMYFUNCTION("""COMPUTED_VALUE"""),"")</f>
        <v/>
      </c>
      <c r="F404" s="189" t="str">
        <f ca="1">IFERROR(__xludf.DUMMYFUNCTION("""COMPUTED_VALUE"""),"")</f>
        <v/>
      </c>
      <c r="G404" s="189" t="str">
        <f ca="1">IFERROR(__xludf.DUMMYFUNCTION("""COMPUTED_VALUE"""),"")</f>
        <v/>
      </c>
      <c r="H404" s="189" t="str">
        <f ca="1">IFERROR(__xludf.DUMMYFUNCTION("""COMPUTED_VALUE"""),"")</f>
        <v/>
      </c>
      <c r="I404" s="120" t="str">
        <f ca="1">IFERROR(__xludf.DUMMYFUNCTION("""COMPUTED_VALUE"""),"")</f>
        <v/>
      </c>
      <c r="J404" s="189" t="str">
        <f ca="1">IFERROR(__xludf.DUMMYFUNCTION("""COMPUTED_VALUE"""),"")</f>
        <v/>
      </c>
      <c r="K404" s="189" t="str">
        <f ca="1">IFERROR(__xludf.DUMMYFUNCTION("""COMPUTED_VALUE"""),"")</f>
        <v/>
      </c>
      <c r="L404" s="189" t="str">
        <f ca="1">IFERROR(__xludf.DUMMYFUNCTION("""COMPUTED_VALUE"""),"")</f>
        <v/>
      </c>
      <c r="M404" s="189" t="str">
        <f ca="1">IFERROR(__xludf.DUMMYFUNCTION("""COMPUTED_VALUE"""),"")</f>
        <v/>
      </c>
      <c r="N404" s="189" t="str">
        <f ca="1">IFERROR(__xludf.DUMMYFUNCTION("""COMPUTED_VALUE"""),"")</f>
        <v/>
      </c>
      <c r="O404" s="189" t="str">
        <f ca="1">IFERROR(__xludf.DUMMYFUNCTION("""COMPUTED_VALUE"""),"")</f>
        <v/>
      </c>
      <c r="P404" s="189" t="str">
        <f ca="1">IFERROR(__xludf.DUMMYFUNCTION("""COMPUTED_VALUE"""),"")</f>
        <v/>
      </c>
      <c r="Q404" s="189" t="str">
        <f ca="1">IFERROR(__xludf.DUMMYFUNCTION("""COMPUTED_VALUE"""),"")</f>
        <v/>
      </c>
      <c r="R404" s="189" t="str">
        <f ca="1">IFERROR(__xludf.DUMMYFUNCTION("""COMPUTED_VALUE"""),"")</f>
        <v/>
      </c>
      <c r="S404" s="189" t="str">
        <f ca="1">IFERROR(__xludf.DUMMYFUNCTION("""COMPUTED_VALUE"""),"")</f>
        <v/>
      </c>
      <c r="T404" s="189" t="str">
        <f ca="1">IFERROR(__xludf.DUMMYFUNCTION("""COMPUTED_VALUE"""),"")</f>
        <v/>
      </c>
      <c r="U404" s="189" t="str">
        <f ca="1">IFERROR(__xludf.DUMMYFUNCTION("""COMPUTED_VALUE"""),"")</f>
        <v/>
      </c>
      <c r="V404" s="189" t="str">
        <f ca="1">IFERROR(__xludf.DUMMYFUNCTION("""COMPUTED_VALUE"""),"")</f>
        <v/>
      </c>
      <c r="W404" s="189" t="str">
        <f ca="1">IFERROR(__xludf.DUMMYFUNCTION("""COMPUTED_VALUE"""),"")</f>
        <v/>
      </c>
      <c r="X404" s="189" t="str">
        <f ca="1">IFERROR(__xludf.DUMMYFUNCTION("""COMPUTED_VALUE"""),"")</f>
        <v/>
      </c>
      <c r="Y404" s="189" t="str">
        <f ca="1">IFERROR(__xludf.DUMMYFUNCTION("""COMPUTED_VALUE"""),"")</f>
        <v/>
      </c>
      <c r="Z404" s="189"/>
    </row>
    <row r="405" spans="1:26" ht="12.75">
      <c r="A405" s="189" t="str">
        <f ca="1">IFERROR(__xludf.DUMMYFUNCTION("""COMPUTED_VALUE"""),"")</f>
        <v/>
      </c>
      <c r="B405" s="189" t="str">
        <f ca="1">IFERROR(__xludf.DUMMYFUNCTION("""COMPUTED_VALUE"""),"")</f>
        <v/>
      </c>
      <c r="C405" s="189" t="str">
        <f ca="1">IFERROR(__xludf.DUMMYFUNCTION("""COMPUTED_VALUE"""),"")</f>
        <v/>
      </c>
      <c r="D405" s="189" t="str">
        <f ca="1">IFERROR(__xludf.DUMMYFUNCTION("""COMPUTED_VALUE"""),"")</f>
        <v/>
      </c>
      <c r="E405" s="189" t="str">
        <f ca="1">IFERROR(__xludf.DUMMYFUNCTION("""COMPUTED_VALUE"""),"")</f>
        <v/>
      </c>
      <c r="F405" s="189" t="str">
        <f ca="1">IFERROR(__xludf.DUMMYFUNCTION("""COMPUTED_VALUE"""),"")</f>
        <v/>
      </c>
      <c r="G405" s="189" t="str">
        <f ca="1">IFERROR(__xludf.DUMMYFUNCTION("""COMPUTED_VALUE"""),"")</f>
        <v/>
      </c>
      <c r="H405" s="189" t="str">
        <f ca="1">IFERROR(__xludf.DUMMYFUNCTION("""COMPUTED_VALUE"""),"")</f>
        <v/>
      </c>
      <c r="I405" s="120" t="str">
        <f ca="1">IFERROR(__xludf.DUMMYFUNCTION("""COMPUTED_VALUE"""),"")</f>
        <v/>
      </c>
      <c r="J405" s="189" t="str">
        <f ca="1">IFERROR(__xludf.DUMMYFUNCTION("""COMPUTED_VALUE"""),"")</f>
        <v/>
      </c>
      <c r="K405" s="189" t="str">
        <f ca="1">IFERROR(__xludf.DUMMYFUNCTION("""COMPUTED_VALUE"""),"")</f>
        <v/>
      </c>
      <c r="L405" s="189" t="str">
        <f ca="1">IFERROR(__xludf.DUMMYFUNCTION("""COMPUTED_VALUE"""),"")</f>
        <v/>
      </c>
      <c r="M405" s="189" t="str">
        <f ca="1">IFERROR(__xludf.DUMMYFUNCTION("""COMPUTED_VALUE"""),"")</f>
        <v/>
      </c>
      <c r="N405" s="189" t="str">
        <f ca="1">IFERROR(__xludf.DUMMYFUNCTION("""COMPUTED_VALUE"""),"")</f>
        <v/>
      </c>
      <c r="O405" s="189" t="str">
        <f ca="1">IFERROR(__xludf.DUMMYFUNCTION("""COMPUTED_VALUE"""),"")</f>
        <v/>
      </c>
      <c r="P405" s="189" t="str">
        <f ca="1">IFERROR(__xludf.DUMMYFUNCTION("""COMPUTED_VALUE"""),"")</f>
        <v/>
      </c>
      <c r="Q405" s="189" t="str">
        <f ca="1">IFERROR(__xludf.DUMMYFUNCTION("""COMPUTED_VALUE"""),"")</f>
        <v/>
      </c>
      <c r="R405" s="189" t="str">
        <f ca="1">IFERROR(__xludf.DUMMYFUNCTION("""COMPUTED_VALUE"""),"")</f>
        <v/>
      </c>
      <c r="S405" s="189" t="str">
        <f ca="1">IFERROR(__xludf.DUMMYFUNCTION("""COMPUTED_VALUE"""),"")</f>
        <v/>
      </c>
      <c r="T405" s="189" t="str">
        <f ca="1">IFERROR(__xludf.DUMMYFUNCTION("""COMPUTED_VALUE"""),"")</f>
        <v/>
      </c>
      <c r="U405" s="189" t="str">
        <f ca="1">IFERROR(__xludf.DUMMYFUNCTION("""COMPUTED_VALUE"""),"")</f>
        <v/>
      </c>
      <c r="V405" s="189" t="str">
        <f ca="1">IFERROR(__xludf.DUMMYFUNCTION("""COMPUTED_VALUE"""),"")</f>
        <v/>
      </c>
      <c r="W405" s="189" t="str">
        <f ca="1">IFERROR(__xludf.DUMMYFUNCTION("""COMPUTED_VALUE"""),"")</f>
        <v/>
      </c>
      <c r="X405" s="189" t="str">
        <f ca="1">IFERROR(__xludf.DUMMYFUNCTION("""COMPUTED_VALUE"""),"")</f>
        <v/>
      </c>
      <c r="Y405" s="189" t="str">
        <f ca="1">IFERROR(__xludf.DUMMYFUNCTION("""COMPUTED_VALUE"""),"")</f>
        <v/>
      </c>
      <c r="Z405" s="189"/>
    </row>
    <row r="406" spans="1:26" ht="12.75">
      <c r="A406" s="189" t="str">
        <f ca="1">IFERROR(__xludf.DUMMYFUNCTION("""COMPUTED_VALUE"""),"")</f>
        <v/>
      </c>
      <c r="B406" s="189" t="str">
        <f ca="1">IFERROR(__xludf.DUMMYFUNCTION("""COMPUTED_VALUE"""),"")</f>
        <v/>
      </c>
      <c r="C406" s="189" t="str">
        <f ca="1">IFERROR(__xludf.DUMMYFUNCTION("""COMPUTED_VALUE"""),"")</f>
        <v/>
      </c>
      <c r="D406" s="189" t="str">
        <f ca="1">IFERROR(__xludf.DUMMYFUNCTION("""COMPUTED_VALUE"""),"")</f>
        <v/>
      </c>
      <c r="E406" s="189" t="str">
        <f ca="1">IFERROR(__xludf.DUMMYFUNCTION("""COMPUTED_VALUE"""),"")</f>
        <v/>
      </c>
      <c r="F406" s="189" t="str">
        <f ca="1">IFERROR(__xludf.DUMMYFUNCTION("""COMPUTED_VALUE"""),"")</f>
        <v/>
      </c>
      <c r="G406" s="189" t="str">
        <f ca="1">IFERROR(__xludf.DUMMYFUNCTION("""COMPUTED_VALUE"""),"")</f>
        <v/>
      </c>
      <c r="H406" s="189" t="str">
        <f ca="1">IFERROR(__xludf.DUMMYFUNCTION("""COMPUTED_VALUE"""),"")</f>
        <v/>
      </c>
      <c r="I406" s="120" t="str">
        <f ca="1">IFERROR(__xludf.DUMMYFUNCTION("""COMPUTED_VALUE"""),"")</f>
        <v/>
      </c>
      <c r="J406" s="189" t="str">
        <f ca="1">IFERROR(__xludf.DUMMYFUNCTION("""COMPUTED_VALUE"""),"")</f>
        <v/>
      </c>
      <c r="K406" s="189" t="str">
        <f ca="1">IFERROR(__xludf.DUMMYFUNCTION("""COMPUTED_VALUE"""),"")</f>
        <v/>
      </c>
      <c r="L406" s="189" t="str">
        <f ca="1">IFERROR(__xludf.DUMMYFUNCTION("""COMPUTED_VALUE"""),"")</f>
        <v/>
      </c>
      <c r="M406" s="189" t="str">
        <f ca="1">IFERROR(__xludf.DUMMYFUNCTION("""COMPUTED_VALUE"""),"")</f>
        <v/>
      </c>
      <c r="N406" s="189" t="str">
        <f ca="1">IFERROR(__xludf.DUMMYFUNCTION("""COMPUTED_VALUE"""),"")</f>
        <v/>
      </c>
      <c r="O406" s="189" t="str">
        <f ca="1">IFERROR(__xludf.DUMMYFUNCTION("""COMPUTED_VALUE"""),"")</f>
        <v/>
      </c>
      <c r="P406" s="189" t="str">
        <f ca="1">IFERROR(__xludf.DUMMYFUNCTION("""COMPUTED_VALUE"""),"")</f>
        <v/>
      </c>
      <c r="Q406" s="189" t="str">
        <f ca="1">IFERROR(__xludf.DUMMYFUNCTION("""COMPUTED_VALUE"""),"")</f>
        <v/>
      </c>
      <c r="R406" s="189" t="str">
        <f ca="1">IFERROR(__xludf.DUMMYFUNCTION("""COMPUTED_VALUE"""),"")</f>
        <v/>
      </c>
      <c r="S406" s="189" t="str">
        <f ca="1">IFERROR(__xludf.DUMMYFUNCTION("""COMPUTED_VALUE"""),"")</f>
        <v/>
      </c>
      <c r="T406" s="189" t="str">
        <f ca="1">IFERROR(__xludf.DUMMYFUNCTION("""COMPUTED_VALUE"""),"")</f>
        <v/>
      </c>
      <c r="U406" s="189" t="str">
        <f ca="1">IFERROR(__xludf.DUMMYFUNCTION("""COMPUTED_VALUE"""),"")</f>
        <v/>
      </c>
      <c r="V406" s="189" t="str">
        <f ca="1">IFERROR(__xludf.DUMMYFUNCTION("""COMPUTED_VALUE"""),"")</f>
        <v/>
      </c>
      <c r="W406" s="189" t="str">
        <f ca="1">IFERROR(__xludf.DUMMYFUNCTION("""COMPUTED_VALUE"""),"")</f>
        <v/>
      </c>
      <c r="X406" s="189" t="str">
        <f ca="1">IFERROR(__xludf.DUMMYFUNCTION("""COMPUTED_VALUE"""),"")</f>
        <v/>
      </c>
      <c r="Y406" s="189" t="str">
        <f ca="1">IFERROR(__xludf.DUMMYFUNCTION("""COMPUTED_VALUE"""),"")</f>
        <v/>
      </c>
      <c r="Z406" s="189"/>
    </row>
    <row r="407" spans="1:26" ht="12.75">
      <c r="A407" s="189" t="str">
        <f ca="1">IFERROR(__xludf.DUMMYFUNCTION("""COMPUTED_VALUE"""),"")</f>
        <v/>
      </c>
      <c r="B407" s="189" t="str">
        <f ca="1">IFERROR(__xludf.DUMMYFUNCTION("""COMPUTED_VALUE"""),"")</f>
        <v/>
      </c>
      <c r="C407" s="189" t="str">
        <f ca="1">IFERROR(__xludf.DUMMYFUNCTION("""COMPUTED_VALUE"""),"")</f>
        <v/>
      </c>
      <c r="D407" s="189" t="str">
        <f ca="1">IFERROR(__xludf.DUMMYFUNCTION("""COMPUTED_VALUE"""),"")</f>
        <v/>
      </c>
      <c r="E407" s="189" t="str">
        <f ca="1">IFERROR(__xludf.DUMMYFUNCTION("""COMPUTED_VALUE"""),"")</f>
        <v/>
      </c>
      <c r="F407" s="189" t="str">
        <f ca="1">IFERROR(__xludf.DUMMYFUNCTION("""COMPUTED_VALUE"""),"")</f>
        <v/>
      </c>
      <c r="G407" s="189" t="str">
        <f ca="1">IFERROR(__xludf.DUMMYFUNCTION("""COMPUTED_VALUE"""),"")</f>
        <v/>
      </c>
      <c r="H407" s="189" t="str">
        <f ca="1">IFERROR(__xludf.DUMMYFUNCTION("""COMPUTED_VALUE"""),"")</f>
        <v/>
      </c>
      <c r="I407" s="120" t="str">
        <f ca="1">IFERROR(__xludf.DUMMYFUNCTION("""COMPUTED_VALUE"""),"")</f>
        <v/>
      </c>
      <c r="J407" s="189" t="str">
        <f ca="1">IFERROR(__xludf.DUMMYFUNCTION("""COMPUTED_VALUE"""),"")</f>
        <v/>
      </c>
      <c r="K407" s="189" t="str">
        <f ca="1">IFERROR(__xludf.DUMMYFUNCTION("""COMPUTED_VALUE"""),"")</f>
        <v/>
      </c>
      <c r="L407" s="189" t="str">
        <f ca="1">IFERROR(__xludf.DUMMYFUNCTION("""COMPUTED_VALUE"""),"")</f>
        <v/>
      </c>
      <c r="M407" s="189" t="str">
        <f ca="1">IFERROR(__xludf.DUMMYFUNCTION("""COMPUTED_VALUE"""),"")</f>
        <v/>
      </c>
      <c r="N407" s="189" t="str">
        <f ca="1">IFERROR(__xludf.DUMMYFUNCTION("""COMPUTED_VALUE"""),"")</f>
        <v/>
      </c>
      <c r="O407" s="189" t="str">
        <f ca="1">IFERROR(__xludf.DUMMYFUNCTION("""COMPUTED_VALUE"""),"")</f>
        <v/>
      </c>
      <c r="P407" s="189" t="str">
        <f ca="1">IFERROR(__xludf.DUMMYFUNCTION("""COMPUTED_VALUE"""),"")</f>
        <v/>
      </c>
      <c r="Q407" s="189" t="str">
        <f ca="1">IFERROR(__xludf.DUMMYFUNCTION("""COMPUTED_VALUE"""),"")</f>
        <v/>
      </c>
      <c r="R407" s="189" t="str">
        <f ca="1">IFERROR(__xludf.DUMMYFUNCTION("""COMPUTED_VALUE"""),"")</f>
        <v/>
      </c>
      <c r="S407" s="189" t="str">
        <f ca="1">IFERROR(__xludf.DUMMYFUNCTION("""COMPUTED_VALUE"""),"")</f>
        <v/>
      </c>
      <c r="T407" s="189" t="str">
        <f ca="1">IFERROR(__xludf.DUMMYFUNCTION("""COMPUTED_VALUE"""),"")</f>
        <v/>
      </c>
      <c r="U407" s="189" t="str">
        <f ca="1">IFERROR(__xludf.DUMMYFUNCTION("""COMPUTED_VALUE"""),"")</f>
        <v/>
      </c>
      <c r="V407" s="189" t="str">
        <f ca="1">IFERROR(__xludf.DUMMYFUNCTION("""COMPUTED_VALUE"""),"")</f>
        <v/>
      </c>
      <c r="W407" s="189" t="str">
        <f ca="1">IFERROR(__xludf.DUMMYFUNCTION("""COMPUTED_VALUE"""),"")</f>
        <v/>
      </c>
      <c r="X407" s="189" t="str">
        <f ca="1">IFERROR(__xludf.DUMMYFUNCTION("""COMPUTED_VALUE"""),"")</f>
        <v/>
      </c>
      <c r="Y407" s="189" t="str">
        <f ca="1">IFERROR(__xludf.DUMMYFUNCTION("""COMPUTED_VALUE"""),"")</f>
        <v/>
      </c>
      <c r="Z407" s="189"/>
    </row>
    <row r="408" spans="1:26" ht="12.75">
      <c r="A408" s="189" t="str">
        <f ca="1">IFERROR(__xludf.DUMMYFUNCTION("""COMPUTED_VALUE"""),"")</f>
        <v/>
      </c>
      <c r="B408" s="189" t="str">
        <f ca="1">IFERROR(__xludf.DUMMYFUNCTION("""COMPUTED_VALUE"""),"")</f>
        <v/>
      </c>
      <c r="C408" s="189" t="str">
        <f ca="1">IFERROR(__xludf.DUMMYFUNCTION("""COMPUTED_VALUE"""),"")</f>
        <v/>
      </c>
      <c r="D408" s="189" t="str">
        <f ca="1">IFERROR(__xludf.DUMMYFUNCTION("""COMPUTED_VALUE"""),"")</f>
        <v/>
      </c>
      <c r="E408" s="189" t="str">
        <f ca="1">IFERROR(__xludf.DUMMYFUNCTION("""COMPUTED_VALUE"""),"")</f>
        <v/>
      </c>
      <c r="F408" s="189" t="str">
        <f ca="1">IFERROR(__xludf.DUMMYFUNCTION("""COMPUTED_VALUE"""),"")</f>
        <v/>
      </c>
      <c r="G408" s="189" t="str">
        <f ca="1">IFERROR(__xludf.DUMMYFUNCTION("""COMPUTED_VALUE"""),"")</f>
        <v/>
      </c>
      <c r="H408" s="189" t="str">
        <f ca="1">IFERROR(__xludf.DUMMYFUNCTION("""COMPUTED_VALUE"""),"")</f>
        <v/>
      </c>
      <c r="I408" s="120" t="str">
        <f ca="1">IFERROR(__xludf.DUMMYFUNCTION("""COMPUTED_VALUE"""),"")</f>
        <v/>
      </c>
      <c r="J408" s="189" t="str">
        <f ca="1">IFERROR(__xludf.DUMMYFUNCTION("""COMPUTED_VALUE"""),"")</f>
        <v/>
      </c>
      <c r="K408" s="189" t="str">
        <f ca="1">IFERROR(__xludf.DUMMYFUNCTION("""COMPUTED_VALUE"""),"")</f>
        <v/>
      </c>
      <c r="L408" s="189" t="str">
        <f ca="1">IFERROR(__xludf.DUMMYFUNCTION("""COMPUTED_VALUE"""),"")</f>
        <v/>
      </c>
      <c r="M408" s="189" t="str">
        <f ca="1">IFERROR(__xludf.DUMMYFUNCTION("""COMPUTED_VALUE"""),"")</f>
        <v/>
      </c>
      <c r="N408" s="189" t="str">
        <f ca="1">IFERROR(__xludf.DUMMYFUNCTION("""COMPUTED_VALUE"""),"")</f>
        <v/>
      </c>
      <c r="O408" s="189" t="str">
        <f ca="1">IFERROR(__xludf.DUMMYFUNCTION("""COMPUTED_VALUE"""),"")</f>
        <v/>
      </c>
      <c r="P408" s="189" t="str">
        <f ca="1">IFERROR(__xludf.DUMMYFUNCTION("""COMPUTED_VALUE"""),"")</f>
        <v/>
      </c>
      <c r="Q408" s="189" t="str">
        <f ca="1">IFERROR(__xludf.DUMMYFUNCTION("""COMPUTED_VALUE"""),"")</f>
        <v/>
      </c>
      <c r="R408" s="189" t="str">
        <f ca="1">IFERROR(__xludf.DUMMYFUNCTION("""COMPUTED_VALUE"""),"")</f>
        <v/>
      </c>
      <c r="S408" s="189" t="str">
        <f ca="1">IFERROR(__xludf.DUMMYFUNCTION("""COMPUTED_VALUE"""),"")</f>
        <v/>
      </c>
      <c r="T408" s="189" t="str">
        <f ca="1">IFERROR(__xludf.DUMMYFUNCTION("""COMPUTED_VALUE"""),"")</f>
        <v/>
      </c>
      <c r="U408" s="189" t="str">
        <f ca="1">IFERROR(__xludf.DUMMYFUNCTION("""COMPUTED_VALUE"""),"")</f>
        <v/>
      </c>
      <c r="V408" s="189" t="str">
        <f ca="1">IFERROR(__xludf.DUMMYFUNCTION("""COMPUTED_VALUE"""),"")</f>
        <v/>
      </c>
      <c r="W408" s="189" t="str">
        <f ca="1">IFERROR(__xludf.DUMMYFUNCTION("""COMPUTED_VALUE"""),"")</f>
        <v/>
      </c>
      <c r="X408" s="189" t="str">
        <f ca="1">IFERROR(__xludf.DUMMYFUNCTION("""COMPUTED_VALUE"""),"")</f>
        <v/>
      </c>
      <c r="Y408" s="189" t="str">
        <f ca="1">IFERROR(__xludf.DUMMYFUNCTION("""COMPUTED_VALUE"""),"")</f>
        <v/>
      </c>
      <c r="Z408" s="189"/>
    </row>
    <row r="409" spans="1:26" ht="12.75">
      <c r="A409" s="189" t="str">
        <f ca="1">IFERROR(__xludf.DUMMYFUNCTION("""COMPUTED_VALUE"""),"")</f>
        <v/>
      </c>
      <c r="B409" s="189" t="str">
        <f ca="1">IFERROR(__xludf.DUMMYFUNCTION("""COMPUTED_VALUE"""),"")</f>
        <v/>
      </c>
      <c r="C409" s="189" t="str">
        <f ca="1">IFERROR(__xludf.DUMMYFUNCTION("""COMPUTED_VALUE"""),"")</f>
        <v/>
      </c>
      <c r="D409" s="189" t="str">
        <f ca="1">IFERROR(__xludf.DUMMYFUNCTION("""COMPUTED_VALUE"""),"")</f>
        <v/>
      </c>
      <c r="E409" s="189" t="str">
        <f ca="1">IFERROR(__xludf.DUMMYFUNCTION("""COMPUTED_VALUE"""),"")</f>
        <v/>
      </c>
      <c r="F409" s="189" t="str">
        <f ca="1">IFERROR(__xludf.DUMMYFUNCTION("""COMPUTED_VALUE"""),"")</f>
        <v/>
      </c>
      <c r="G409" s="189" t="str">
        <f ca="1">IFERROR(__xludf.DUMMYFUNCTION("""COMPUTED_VALUE"""),"")</f>
        <v/>
      </c>
      <c r="H409" s="189" t="str">
        <f ca="1">IFERROR(__xludf.DUMMYFUNCTION("""COMPUTED_VALUE"""),"")</f>
        <v/>
      </c>
      <c r="I409" s="120" t="str">
        <f ca="1">IFERROR(__xludf.DUMMYFUNCTION("""COMPUTED_VALUE"""),"")</f>
        <v/>
      </c>
      <c r="J409" s="189" t="str">
        <f ca="1">IFERROR(__xludf.DUMMYFUNCTION("""COMPUTED_VALUE"""),"")</f>
        <v/>
      </c>
      <c r="K409" s="189" t="str">
        <f ca="1">IFERROR(__xludf.DUMMYFUNCTION("""COMPUTED_VALUE"""),"")</f>
        <v/>
      </c>
      <c r="L409" s="189" t="str">
        <f ca="1">IFERROR(__xludf.DUMMYFUNCTION("""COMPUTED_VALUE"""),"")</f>
        <v/>
      </c>
      <c r="M409" s="189" t="str">
        <f ca="1">IFERROR(__xludf.DUMMYFUNCTION("""COMPUTED_VALUE"""),"")</f>
        <v/>
      </c>
      <c r="N409" s="189" t="str">
        <f ca="1">IFERROR(__xludf.DUMMYFUNCTION("""COMPUTED_VALUE"""),"")</f>
        <v/>
      </c>
      <c r="O409" s="189" t="str">
        <f ca="1">IFERROR(__xludf.DUMMYFUNCTION("""COMPUTED_VALUE"""),"")</f>
        <v/>
      </c>
      <c r="P409" s="189" t="str">
        <f ca="1">IFERROR(__xludf.DUMMYFUNCTION("""COMPUTED_VALUE"""),"")</f>
        <v/>
      </c>
      <c r="Q409" s="189" t="str">
        <f ca="1">IFERROR(__xludf.DUMMYFUNCTION("""COMPUTED_VALUE"""),"")</f>
        <v/>
      </c>
      <c r="R409" s="189" t="str">
        <f ca="1">IFERROR(__xludf.DUMMYFUNCTION("""COMPUTED_VALUE"""),"")</f>
        <v/>
      </c>
      <c r="S409" s="189" t="str">
        <f ca="1">IFERROR(__xludf.DUMMYFUNCTION("""COMPUTED_VALUE"""),"")</f>
        <v/>
      </c>
      <c r="T409" s="189" t="str">
        <f ca="1">IFERROR(__xludf.DUMMYFUNCTION("""COMPUTED_VALUE"""),"")</f>
        <v/>
      </c>
      <c r="U409" s="189" t="str">
        <f ca="1">IFERROR(__xludf.DUMMYFUNCTION("""COMPUTED_VALUE"""),"")</f>
        <v/>
      </c>
      <c r="V409" s="189" t="str">
        <f ca="1">IFERROR(__xludf.DUMMYFUNCTION("""COMPUTED_VALUE"""),"")</f>
        <v/>
      </c>
      <c r="W409" s="189" t="str">
        <f ca="1">IFERROR(__xludf.DUMMYFUNCTION("""COMPUTED_VALUE"""),"")</f>
        <v/>
      </c>
      <c r="X409" s="189" t="str">
        <f ca="1">IFERROR(__xludf.DUMMYFUNCTION("""COMPUTED_VALUE"""),"")</f>
        <v/>
      </c>
      <c r="Y409" s="189" t="str">
        <f ca="1">IFERROR(__xludf.DUMMYFUNCTION("""COMPUTED_VALUE"""),"")</f>
        <v/>
      </c>
      <c r="Z409" s="189"/>
    </row>
    <row r="410" spans="1:26" ht="12.75">
      <c r="A410" s="189" t="str">
        <f ca="1">IFERROR(__xludf.DUMMYFUNCTION("""COMPUTED_VALUE"""),"")</f>
        <v/>
      </c>
      <c r="B410" s="189" t="str">
        <f ca="1">IFERROR(__xludf.DUMMYFUNCTION("""COMPUTED_VALUE"""),"")</f>
        <v/>
      </c>
      <c r="C410" s="189" t="str">
        <f ca="1">IFERROR(__xludf.DUMMYFUNCTION("""COMPUTED_VALUE"""),"")</f>
        <v/>
      </c>
      <c r="D410" s="189" t="str">
        <f ca="1">IFERROR(__xludf.DUMMYFUNCTION("""COMPUTED_VALUE"""),"")</f>
        <v/>
      </c>
      <c r="E410" s="189" t="str">
        <f ca="1">IFERROR(__xludf.DUMMYFUNCTION("""COMPUTED_VALUE"""),"")</f>
        <v/>
      </c>
      <c r="F410" s="189" t="str">
        <f ca="1">IFERROR(__xludf.DUMMYFUNCTION("""COMPUTED_VALUE"""),"")</f>
        <v/>
      </c>
      <c r="G410" s="189" t="str">
        <f ca="1">IFERROR(__xludf.DUMMYFUNCTION("""COMPUTED_VALUE"""),"")</f>
        <v/>
      </c>
      <c r="H410" s="189" t="str">
        <f ca="1">IFERROR(__xludf.DUMMYFUNCTION("""COMPUTED_VALUE"""),"")</f>
        <v/>
      </c>
      <c r="I410" s="120" t="str">
        <f ca="1">IFERROR(__xludf.DUMMYFUNCTION("""COMPUTED_VALUE"""),"")</f>
        <v/>
      </c>
      <c r="J410" s="189" t="str">
        <f ca="1">IFERROR(__xludf.DUMMYFUNCTION("""COMPUTED_VALUE"""),"")</f>
        <v/>
      </c>
      <c r="K410" s="189" t="str">
        <f ca="1">IFERROR(__xludf.DUMMYFUNCTION("""COMPUTED_VALUE"""),"")</f>
        <v/>
      </c>
      <c r="L410" s="189" t="str">
        <f ca="1">IFERROR(__xludf.DUMMYFUNCTION("""COMPUTED_VALUE"""),"")</f>
        <v/>
      </c>
      <c r="M410" s="189" t="str">
        <f ca="1">IFERROR(__xludf.DUMMYFUNCTION("""COMPUTED_VALUE"""),"")</f>
        <v/>
      </c>
      <c r="N410" s="189" t="str">
        <f ca="1">IFERROR(__xludf.DUMMYFUNCTION("""COMPUTED_VALUE"""),"")</f>
        <v/>
      </c>
      <c r="O410" s="189" t="str">
        <f ca="1">IFERROR(__xludf.DUMMYFUNCTION("""COMPUTED_VALUE"""),"")</f>
        <v/>
      </c>
      <c r="P410" s="189" t="str">
        <f ca="1">IFERROR(__xludf.DUMMYFUNCTION("""COMPUTED_VALUE"""),"")</f>
        <v/>
      </c>
      <c r="Q410" s="189" t="str">
        <f ca="1">IFERROR(__xludf.DUMMYFUNCTION("""COMPUTED_VALUE"""),"")</f>
        <v/>
      </c>
      <c r="R410" s="189" t="str">
        <f ca="1">IFERROR(__xludf.DUMMYFUNCTION("""COMPUTED_VALUE"""),"")</f>
        <v/>
      </c>
      <c r="S410" s="189" t="str">
        <f ca="1">IFERROR(__xludf.DUMMYFUNCTION("""COMPUTED_VALUE"""),"")</f>
        <v/>
      </c>
      <c r="T410" s="189" t="str">
        <f ca="1">IFERROR(__xludf.DUMMYFUNCTION("""COMPUTED_VALUE"""),"")</f>
        <v/>
      </c>
      <c r="U410" s="189" t="str">
        <f ca="1">IFERROR(__xludf.DUMMYFUNCTION("""COMPUTED_VALUE"""),"")</f>
        <v/>
      </c>
      <c r="V410" s="189" t="str">
        <f ca="1">IFERROR(__xludf.DUMMYFUNCTION("""COMPUTED_VALUE"""),"")</f>
        <v/>
      </c>
      <c r="W410" s="189" t="str">
        <f ca="1">IFERROR(__xludf.DUMMYFUNCTION("""COMPUTED_VALUE"""),"")</f>
        <v/>
      </c>
      <c r="X410" s="189" t="str">
        <f ca="1">IFERROR(__xludf.DUMMYFUNCTION("""COMPUTED_VALUE"""),"")</f>
        <v/>
      </c>
      <c r="Y410" s="189" t="str">
        <f ca="1">IFERROR(__xludf.DUMMYFUNCTION("""COMPUTED_VALUE"""),"")</f>
        <v/>
      </c>
      <c r="Z410" s="189"/>
    </row>
    <row r="411" spans="1:26" ht="12.75">
      <c r="A411" s="189" t="str">
        <f ca="1">IFERROR(__xludf.DUMMYFUNCTION("""COMPUTED_VALUE"""),"")</f>
        <v/>
      </c>
      <c r="B411" s="189" t="str">
        <f ca="1">IFERROR(__xludf.DUMMYFUNCTION("""COMPUTED_VALUE"""),"")</f>
        <v/>
      </c>
      <c r="C411" s="189" t="str">
        <f ca="1">IFERROR(__xludf.DUMMYFUNCTION("""COMPUTED_VALUE"""),"")</f>
        <v/>
      </c>
      <c r="D411" s="189" t="str">
        <f ca="1">IFERROR(__xludf.DUMMYFUNCTION("""COMPUTED_VALUE"""),"")</f>
        <v/>
      </c>
      <c r="E411" s="189" t="str">
        <f ca="1">IFERROR(__xludf.DUMMYFUNCTION("""COMPUTED_VALUE"""),"")</f>
        <v/>
      </c>
      <c r="F411" s="189" t="str">
        <f ca="1">IFERROR(__xludf.DUMMYFUNCTION("""COMPUTED_VALUE"""),"")</f>
        <v/>
      </c>
      <c r="G411" s="189" t="str">
        <f ca="1">IFERROR(__xludf.DUMMYFUNCTION("""COMPUTED_VALUE"""),"")</f>
        <v/>
      </c>
      <c r="H411" s="189" t="str">
        <f ca="1">IFERROR(__xludf.DUMMYFUNCTION("""COMPUTED_VALUE"""),"")</f>
        <v/>
      </c>
      <c r="I411" s="120" t="str">
        <f ca="1">IFERROR(__xludf.DUMMYFUNCTION("""COMPUTED_VALUE"""),"")</f>
        <v/>
      </c>
      <c r="J411" s="189" t="str">
        <f ca="1">IFERROR(__xludf.DUMMYFUNCTION("""COMPUTED_VALUE"""),"")</f>
        <v/>
      </c>
      <c r="K411" s="189" t="str">
        <f ca="1">IFERROR(__xludf.DUMMYFUNCTION("""COMPUTED_VALUE"""),"")</f>
        <v/>
      </c>
      <c r="L411" s="189" t="str">
        <f ca="1">IFERROR(__xludf.DUMMYFUNCTION("""COMPUTED_VALUE"""),"")</f>
        <v/>
      </c>
      <c r="M411" s="189" t="str">
        <f ca="1">IFERROR(__xludf.DUMMYFUNCTION("""COMPUTED_VALUE"""),"")</f>
        <v/>
      </c>
      <c r="N411" s="189" t="str">
        <f ca="1">IFERROR(__xludf.DUMMYFUNCTION("""COMPUTED_VALUE"""),"")</f>
        <v/>
      </c>
      <c r="O411" s="189" t="str">
        <f ca="1">IFERROR(__xludf.DUMMYFUNCTION("""COMPUTED_VALUE"""),"")</f>
        <v/>
      </c>
      <c r="P411" s="189" t="str">
        <f ca="1">IFERROR(__xludf.DUMMYFUNCTION("""COMPUTED_VALUE"""),"")</f>
        <v/>
      </c>
      <c r="Q411" s="189" t="str">
        <f ca="1">IFERROR(__xludf.DUMMYFUNCTION("""COMPUTED_VALUE"""),"")</f>
        <v/>
      </c>
      <c r="R411" s="189" t="str">
        <f ca="1">IFERROR(__xludf.DUMMYFUNCTION("""COMPUTED_VALUE"""),"")</f>
        <v/>
      </c>
      <c r="S411" s="189" t="str">
        <f ca="1">IFERROR(__xludf.DUMMYFUNCTION("""COMPUTED_VALUE"""),"")</f>
        <v/>
      </c>
      <c r="T411" s="189" t="str">
        <f ca="1">IFERROR(__xludf.DUMMYFUNCTION("""COMPUTED_VALUE"""),"")</f>
        <v/>
      </c>
      <c r="U411" s="189" t="str">
        <f ca="1">IFERROR(__xludf.DUMMYFUNCTION("""COMPUTED_VALUE"""),"")</f>
        <v/>
      </c>
      <c r="V411" s="189" t="str">
        <f ca="1">IFERROR(__xludf.DUMMYFUNCTION("""COMPUTED_VALUE"""),"")</f>
        <v/>
      </c>
      <c r="W411" s="189" t="str">
        <f ca="1">IFERROR(__xludf.DUMMYFUNCTION("""COMPUTED_VALUE"""),"")</f>
        <v/>
      </c>
      <c r="X411" s="189" t="str">
        <f ca="1">IFERROR(__xludf.DUMMYFUNCTION("""COMPUTED_VALUE"""),"")</f>
        <v/>
      </c>
      <c r="Y411" s="189" t="str">
        <f ca="1">IFERROR(__xludf.DUMMYFUNCTION("""COMPUTED_VALUE"""),"")</f>
        <v/>
      </c>
      <c r="Z411" s="189"/>
    </row>
    <row r="412" spans="1:26" ht="12.75">
      <c r="A412" s="189" t="str">
        <f ca="1">IFERROR(__xludf.DUMMYFUNCTION("""COMPUTED_VALUE"""),"")</f>
        <v/>
      </c>
      <c r="B412" s="189" t="str">
        <f ca="1">IFERROR(__xludf.DUMMYFUNCTION("""COMPUTED_VALUE"""),"")</f>
        <v/>
      </c>
      <c r="C412" s="189" t="str">
        <f ca="1">IFERROR(__xludf.DUMMYFUNCTION("""COMPUTED_VALUE"""),"")</f>
        <v/>
      </c>
      <c r="D412" s="189" t="str">
        <f ca="1">IFERROR(__xludf.DUMMYFUNCTION("""COMPUTED_VALUE"""),"")</f>
        <v/>
      </c>
      <c r="E412" s="189" t="str">
        <f ca="1">IFERROR(__xludf.DUMMYFUNCTION("""COMPUTED_VALUE"""),"")</f>
        <v/>
      </c>
      <c r="F412" s="189" t="str">
        <f ca="1">IFERROR(__xludf.DUMMYFUNCTION("""COMPUTED_VALUE"""),"")</f>
        <v/>
      </c>
      <c r="G412" s="189" t="str">
        <f ca="1">IFERROR(__xludf.DUMMYFUNCTION("""COMPUTED_VALUE"""),"")</f>
        <v/>
      </c>
      <c r="H412" s="189" t="str">
        <f ca="1">IFERROR(__xludf.DUMMYFUNCTION("""COMPUTED_VALUE"""),"")</f>
        <v/>
      </c>
      <c r="I412" s="120" t="str">
        <f ca="1">IFERROR(__xludf.DUMMYFUNCTION("""COMPUTED_VALUE"""),"")</f>
        <v/>
      </c>
      <c r="J412" s="189" t="str">
        <f ca="1">IFERROR(__xludf.DUMMYFUNCTION("""COMPUTED_VALUE"""),"")</f>
        <v/>
      </c>
      <c r="K412" s="189" t="str">
        <f ca="1">IFERROR(__xludf.DUMMYFUNCTION("""COMPUTED_VALUE"""),"")</f>
        <v/>
      </c>
      <c r="L412" s="189" t="str">
        <f ca="1">IFERROR(__xludf.DUMMYFUNCTION("""COMPUTED_VALUE"""),"")</f>
        <v/>
      </c>
      <c r="M412" s="189" t="str">
        <f ca="1">IFERROR(__xludf.DUMMYFUNCTION("""COMPUTED_VALUE"""),"")</f>
        <v/>
      </c>
      <c r="N412" s="189" t="str">
        <f ca="1">IFERROR(__xludf.DUMMYFUNCTION("""COMPUTED_VALUE"""),"")</f>
        <v/>
      </c>
      <c r="O412" s="189" t="str">
        <f ca="1">IFERROR(__xludf.DUMMYFUNCTION("""COMPUTED_VALUE"""),"")</f>
        <v/>
      </c>
      <c r="P412" s="189" t="str">
        <f ca="1">IFERROR(__xludf.DUMMYFUNCTION("""COMPUTED_VALUE"""),"")</f>
        <v/>
      </c>
      <c r="Q412" s="189" t="str">
        <f ca="1">IFERROR(__xludf.DUMMYFUNCTION("""COMPUTED_VALUE"""),"")</f>
        <v/>
      </c>
      <c r="R412" s="189" t="str">
        <f ca="1">IFERROR(__xludf.DUMMYFUNCTION("""COMPUTED_VALUE"""),"")</f>
        <v/>
      </c>
      <c r="S412" s="189" t="str">
        <f ca="1">IFERROR(__xludf.DUMMYFUNCTION("""COMPUTED_VALUE"""),"")</f>
        <v/>
      </c>
      <c r="T412" s="189" t="str">
        <f ca="1">IFERROR(__xludf.DUMMYFUNCTION("""COMPUTED_VALUE"""),"")</f>
        <v/>
      </c>
      <c r="U412" s="189" t="str">
        <f ca="1">IFERROR(__xludf.DUMMYFUNCTION("""COMPUTED_VALUE"""),"")</f>
        <v/>
      </c>
      <c r="V412" s="189" t="str">
        <f ca="1">IFERROR(__xludf.DUMMYFUNCTION("""COMPUTED_VALUE"""),"")</f>
        <v/>
      </c>
      <c r="W412" s="189" t="str">
        <f ca="1">IFERROR(__xludf.DUMMYFUNCTION("""COMPUTED_VALUE"""),"")</f>
        <v/>
      </c>
      <c r="X412" s="189" t="str">
        <f ca="1">IFERROR(__xludf.DUMMYFUNCTION("""COMPUTED_VALUE"""),"")</f>
        <v/>
      </c>
      <c r="Y412" s="189" t="str">
        <f ca="1">IFERROR(__xludf.DUMMYFUNCTION("""COMPUTED_VALUE"""),"")</f>
        <v/>
      </c>
      <c r="Z412" s="189"/>
    </row>
    <row r="413" spans="1:26" ht="12.75">
      <c r="A413" s="189" t="str">
        <f ca="1">IFERROR(__xludf.DUMMYFUNCTION("""COMPUTED_VALUE"""),"")</f>
        <v/>
      </c>
      <c r="B413" s="189" t="str">
        <f ca="1">IFERROR(__xludf.DUMMYFUNCTION("""COMPUTED_VALUE"""),"")</f>
        <v/>
      </c>
      <c r="C413" s="189" t="str">
        <f ca="1">IFERROR(__xludf.DUMMYFUNCTION("""COMPUTED_VALUE"""),"")</f>
        <v/>
      </c>
      <c r="D413" s="189" t="str">
        <f ca="1">IFERROR(__xludf.DUMMYFUNCTION("""COMPUTED_VALUE"""),"")</f>
        <v/>
      </c>
      <c r="E413" s="189" t="str">
        <f ca="1">IFERROR(__xludf.DUMMYFUNCTION("""COMPUTED_VALUE"""),"")</f>
        <v/>
      </c>
      <c r="F413" s="189" t="str">
        <f ca="1">IFERROR(__xludf.DUMMYFUNCTION("""COMPUTED_VALUE"""),"")</f>
        <v/>
      </c>
      <c r="G413" s="189" t="str">
        <f ca="1">IFERROR(__xludf.DUMMYFUNCTION("""COMPUTED_VALUE"""),"")</f>
        <v/>
      </c>
      <c r="H413" s="189" t="str">
        <f ca="1">IFERROR(__xludf.DUMMYFUNCTION("""COMPUTED_VALUE"""),"")</f>
        <v/>
      </c>
      <c r="I413" s="120" t="str">
        <f ca="1">IFERROR(__xludf.DUMMYFUNCTION("""COMPUTED_VALUE"""),"")</f>
        <v/>
      </c>
      <c r="J413" s="189" t="str">
        <f ca="1">IFERROR(__xludf.DUMMYFUNCTION("""COMPUTED_VALUE"""),"")</f>
        <v/>
      </c>
      <c r="K413" s="189" t="str">
        <f ca="1">IFERROR(__xludf.DUMMYFUNCTION("""COMPUTED_VALUE"""),"")</f>
        <v/>
      </c>
      <c r="L413" s="189" t="str">
        <f ca="1">IFERROR(__xludf.DUMMYFUNCTION("""COMPUTED_VALUE"""),"")</f>
        <v/>
      </c>
      <c r="M413" s="189" t="str">
        <f ca="1">IFERROR(__xludf.DUMMYFUNCTION("""COMPUTED_VALUE"""),"")</f>
        <v/>
      </c>
      <c r="N413" s="189" t="str">
        <f ca="1">IFERROR(__xludf.DUMMYFUNCTION("""COMPUTED_VALUE"""),"")</f>
        <v/>
      </c>
      <c r="O413" s="189" t="str">
        <f ca="1">IFERROR(__xludf.DUMMYFUNCTION("""COMPUTED_VALUE"""),"")</f>
        <v/>
      </c>
      <c r="P413" s="189" t="str">
        <f ca="1">IFERROR(__xludf.DUMMYFUNCTION("""COMPUTED_VALUE"""),"")</f>
        <v/>
      </c>
      <c r="Q413" s="189" t="str">
        <f ca="1">IFERROR(__xludf.DUMMYFUNCTION("""COMPUTED_VALUE"""),"")</f>
        <v/>
      </c>
      <c r="R413" s="189" t="str">
        <f ca="1">IFERROR(__xludf.DUMMYFUNCTION("""COMPUTED_VALUE"""),"")</f>
        <v/>
      </c>
      <c r="S413" s="189" t="str">
        <f ca="1">IFERROR(__xludf.DUMMYFUNCTION("""COMPUTED_VALUE"""),"")</f>
        <v/>
      </c>
      <c r="T413" s="189" t="str">
        <f ca="1">IFERROR(__xludf.DUMMYFUNCTION("""COMPUTED_VALUE"""),"")</f>
        <v/>
      </c>
      <c r="U413" s="189" t="str">
        <f ca="1">IFERROR(__xludf.DUMMYFUNCTION("""COMPUTED_VALUE"""),"")</f>
        <v/>
      </c>
      <c r="V413" s="189" t="str">
        <f ca="1">IFERROR(__xludf.DUMMYFUNCTION("""COMPUTED_VALUE"""),"")</f>
        <v/>
      </c>
      <c r="W413" s="189" t="str">
        <f ca="1">IFERROR(__xludf.DUMMYFUNCTION("""COMPUTED_VALUE"""),"")</f>
        <v/>
      </c>
      <c r="X413" s="189" t="str">
        <f ca="1">IFERROR(__xludf.DUMMYFUNCTION("""COMPUTED_VALUE"""),"")</f>
        <v/>
      </c>
      <c r="Y413" s="189" t="str">
        <f ca="1">IFERROR(__xludf.DUMMYFUNCTION("""COMPUTED_VALUE"""),"")</f>
        <v/>
      </c>
      <c r="Z413" s="189"/>
    </row>
    <row r="414" spans="1:26" ht="12.75">
      <c r="A414" s="189" t="str">
        <f ca="1">IFERROR(__xludf.DUMMYFUNCTION("""COMPUTED_VALUE"""),"")</f>
        <v/>
      </c>
      <c r="B414" s="189" t="str">
        <f ca="1">IFERROR(__xludf.DUMMYFUNCTION("""COMPUTED_VALUE"""),"")</f>
        <v/>
      </c>
      <c r="C414" s="189" t="str">
        <f ca="1">IFERROR(__xludf.DUMMYFUNCTION("""COMPUTED_VALUE"""),"")</f>
        <v/>
      </c>
      <c r="D414" s="189" t="str">
        <f ca="1">IFERROR(__xludf.DUMMYFUNCTION("""COMPUTED_VALUE"""),"")</f>
        <v/>
      </c>
      <c r="E414" s="189" t="str">
        <f ca="1">IFERROR(__xludf.DUMMYFUNCTION("""COMPUTED_VALUE"""),"")</f>
        <v/>
      </c>
      <c r="F414" s="189" t="str">
        <f ca="1">IFERROR(__xludf.DUMMYFUNCTION("""COMPUTED_VALUE"""),"")</f>
        <v/>
      </c>
      <c r="G414" s="189" t="str">
        <f ca="1">IFERROR(__xludf.DUMMYFUNCTION("""COMPUTED_VALUE"""),"")</f>
        <v/>
      </c>
      <c r="H414" s="189" t="str">
        <f ca="1">IFERROR(__xludf.DUMMYFUNCTION("""COMPUTED_VALUE"""),"")</f>
        <v/>
      </c>
      <c r="I414" s="120" t="str">
        <f ca="1">IFERROR(__xludf.DUMMYFUNCTION("""COMPUTED_VALUE"""),"")</f>
        <v/>
      </c>
      <c r="J414" s="189" t="str">
        <f ca="1">IFERROR(__xludf.DUMMYFUNCTION("""COMPUTED_VALUE"""),"")</f>
        <v/>
      </c>
      <c r="K414" s="189" t="str">
        <f ca="1">IFERROR(__xludf.DUMMYFUNCTION("""COMPUTED_VALUE"""),"")</f>
        <v/>
      </c>
      <c r="L414" s="189" t="str">
        <f ca="1">IFERROR(__xludf.DUMMYFUNCTION("""COMPUTED_VALUE"""),"")</f>
        <v/>
      </c>
      <c r="M414" s="189" t="str">
        <f ca="1">IFERROR(__xludf.DUMMYFUNCTION("""COMPUTED_VALUE"""),"")</f>
        <v/>
      </c>
      <c r="N414" s="189" t="str">
        <f ca="1">IFERROR(__xludf.DUMMYFUNCTION("""COMPUTED_VALUE"""),"")</f>
        <v/>
      </c>
      <c r="O414" s="189" t="str">
        <f ca="1">IFERROR(__xludf.DUMMYFUNCTION("""COMPUTED_VALUE"""),"")</f>
        <v/>
      </c>
      <c r="P414" s="189" t="str">
        <f ca="1">IFERROR(__xludf.DUMMYFUNCTION("""COMPUTED_VALUE"""),"")</f>
        <v/>
      </c>
      <c r="Q414" s="189" t="str">
        <f ca="1">IFERROR(__xludf.DUMMYFUNCTION("""COMPUTED_VALUE"""),"")</f>
        <v/>
      </c>
      <c r="R414" s="189" t="str">
        <f ca="1">IFERROR(__xludf.DUMMYFUNCTION("""COMPUTED_VALUE"""),"")</f>
        <v/>
      </c>
      <c r="S414" s="189" t="str">
        <f ca="1">IFERROR(__xludf.DUMMYFUNCTION("""COMPUTED_VALUE"""),"")</f>
        <v/>
      </c>
      <c r="T414" s="189" t="str">
        <f ca="1">IFERROR(__xludf.DUMMYFUNCTION("""COMPUTED_VALUE"""),"")</f>
        <v/>
      </c>
      <c r="U414" s="189" t="str">
        <f ca="1">IFERROR(__xludf.DUMMYFUNCTION("""COMPUTED_VALUE"""),"")</f>
        <v/>
      </c>
      <c r="V414" s="189" t="str">
        <f ca="1">IFERROR(__xludf.DUMMYFUNCTION("""COMPUTED_VALUE"""),"")</f>
        <v/>
      </c>
      <c r="W414" s="189" t="str">
        <f ca="1">IFERROR(__xludf.DUMMYFUNCTION("""COMPUTED_VALUE"""),"")</f>
        <v/>
      </c>
      <c r="X414" s="189" t="str">
        <f ca="1">IFERROR(__xludf.DUMMYFUNCTION("""COMPUTED_VALUE"""),"")</f>
        <v/>
      </c>
      <c r="Y414" s="189" t="str">
        <f ca="1">IFERROR(__xludf.DUMMYFUNCTION("""COMPUTED_VALUE"""),"")</f>
        <v/>
      </c>
      <c r="Z414" s="189"/>
    </row>
    <row r="415" spans="1:26" ht="12.75">
      <c r="A415" s="189" t="str">
        <f ca="1">IFERROR(__xludf.DUMMYFUNCTION("""COMPUTED_VALUE"""),"")</f>
        <v/>
      </c>
      <c r="B415" s="189" t="str">
        <f ca="1">IFERROR(__xludf.DUMMYFUNCTION("""COMPUTED_VALUE"""),"")</f>
        <v/>
      </c>
      <c r="C415" s="189" t="str">
        <f ca="1">IFERROR(__xludf.DUMMYFUNCTION("""COMPUTED_VALUE"""),"")</f>
        <v/>
      </c>
      <c r="D415" s="189" t="str">
        <f ca="1">IFERROR(__xludf.DUMMYFUNCTION("""COMPUTED_VALUE"""),"")</f>
        <v/>
      </c>
      <c r="E415" s="189" t="str">
        <f ca="1">IFERROR(__xludf.DUMMYFUNCTION("""COMPUTED_VALUE"""),"")</f>
        <v/>
      </c>
      <c r="F415" s="189" t="str">
        <f ca="1">IFERROR(__xludf.DUMMYFUNCTION("""COMPUTED_VALUE"""),"")</f>
        <v/>
      </c>
      <c r="G415" s="189" t="str">
        <f ca="1">IFERROR(__xludf.DUMMYFUNCTION("""COMPUTED_VALUE"""),"")</f>
        <v/>
      </c>
      <c r="H415" s="189" t="str">
        <f ca="1">IFERROR(__xludf.DUMMYFUNCTION("""COMPUTED_VALUE"""),"")</f>
        <v/>
      </c>
      <c r="I415" s="120" t="str">
        <f ca="1">IFERROR(__xludf.DUMMYFUNCTION("""COMPUTED_VALUE"""),"")</f>
        <v/>
      </c>
      <c r="J415" s="189" t="str">
        <f ca="1">IFERROR(__xludf.DUMMYFUNCTION("""COMPUTED_VALUE"""),"")</f>
        <v/>
      </c>
      <c r="K415" s="189" t="str">
        <f ca="1">IFERROR(__xludf.DUMMYFUNCTION("""COMPUTED_VALUE"""),"")</f>
        <v/>
      </c>
      <c r="L415" s="189" t="str">
        <f ca="1">IFERROR(__xludf.DUMMYFUNCTION("""COMPUTED_VALUE"""),"")</f>
        <v/>
      </c>
      <c r="M415" s="189" t="str">
        <f ca="1">IFERROR(__xludf.DUMMYFUNCTION("""COMPUTED_VALUE"""),"")</f>
        <v/>
      </c>
      <c r="N415" s="189" t="str">
        <f ca="1">IFERROR(__xludf.DUMMYFUNCTION("""COMPUTED_VALUE"""),"")</f>
        <v/>
      </c>
      <c r="O415" s="189" t="str">
        <f ca="1">IFERROR(__xludf.DUMMYFUNCTION("""COMPUTED_VALUE"""),"")</f>
        <v/>
      </c>
      <c r="P415" s="189" t="str">
        <f ca="1">IFERROR(__xludf.DUMMYFUNCTION("""COMPUTED_VALUE"""),"")</f>
        <v/>
      </c>
      <c r="Q415" s="189" t="str">
        <f ca="1">IFERROR(__xludf.DUMMYFUNCTION("""COMPUTED_VALUE"""),"")</f>
        <v/>
      </c>
      <c r="R415" s="189" t="str">
        <f ca="1">IFERROR(__xludf.DUMMYFUNCTION("""COMPUTED_VALUE"""),"")</f>
        <v/>
      </c>
      <c r="S415" s="189" t="str">
        <f ca="1">IFERROR(__xludf.DUMMYFUNCTION("""COMPUTED_VALUE"""),"")</f>
        <v/>
      </c>
      <c r="T415" s="189" t="str">
        <f ca="1">IFERROR(__xludf.DUMMYFUNCTION("""COMPUTED_VALUE"""),"")</f>
        <v/>
      </c>
      <c r="U415" s="189" t="str">
        <f ca="1">IFERROR(__xludf.DUMMYFUNCTION("""COMPUTED_VALUE"""),"")</f>
        <v/>
      </c>
      <c r="V415" s="189" t="str">
        <f ca="1">IFERROR(__xludf.DUMMYFUNCTION("""COMPUTED_VALUE"""),"")</f>
        <v/>
      </c>
      <c r="W415" s="189" t="str">
        <f ca="1">IFERROR(__xludf.DUMMYFUNCTION("""COMPUTED_VALUE"""),"")</f>
        <v/>
      </c>
      <c r="X415" s="189" t="str">
        <f ca="1">IFERROR(__xludf.DUMMYFUNCTION("""COMPUTED_VALUE"""),"")</f>
        <v/>
      </c>
      <c r="Y415" s="189" t="str">
        <f ca="1">IFERROR(__xludf.DUMMYFUNCTION("""COMPUTED_VALUE"""),"")</f>
        <v/>
      </c>
      <c r="Z415" s="189"/>
    </row>
    <row r="416" spans="1:26" ht="12.75">
      <c r="A416" s="189" t="str">
        <f ca="1">IFERROR(__xludf.DUMMYFUNCTION("""COMPUTED_VALUE"""),"")</f>
        <v/>
      </c>
      <c r="B416" s="189" t="str">
        <f ca="1">IFERROR(__xludf.DUMMYFUNCTION("""COMPUTED_VALUE"""),"")</f>
        <v/>
      </c>
      <c r="C416" s="189" t="str">
        <f ca="1">IFERROR(__xludf.DUMMYFUNCTION("""COMPUTED_VALUE"""),"")</f>
        <v/>
      </c>
      <c r="D416" s="189" t="str">
        <f ca="1">IFERROR(__xludf.DUMMYFUNCTION("""COMPUTED_VALUE"""),"")</f>
        <v/>
      </c>
      <c r="E416" s="189" t="str">
        <f ca="1">IFERROR(__xludf.DUMMYFUNCTION("""COMPUTED_VALUE"""),"")</f>
        <v/>
      </c>
      <c r="F416" s="189" t="str">
        <f ca="1">IFERROR(__xludf.DUMMYFUNCTION("""COMPUTED_VALUE"""),"")</f>
        <v/>
      </c>
      <c r="G416" s="189" t="str">
        <f ca="1">IFERROR(__xludf.DUMMYFUNCTION("""COMPUTED_VALUE"""),"")</f>
        <v/>
      </c>
      <c r="H416" s="189" t="str">
        <f ca="1">IFERROR(__xludf.DUMMYFUNCTION("""COMPUTED_VALUE"""),"")</f>
        <v/>
      </c>
      <c r="I416" s="120" t="str">
        <f ca="1">IFERROR(__xludf.DUMMYFUNCTION("""COMPUTED_VALUE"""),"")</f>
        <v/>
      </c>
      <c r="J416" s="189" t="str">
        <f ca="1">IFERROR(__xludf.DUMMYFUNCTION("""COMPUTED_VALUE"""),"")</f>
        <v/>
      </c>
      <c r="K416" s="189" t="str">
        <f ca="1">IFERROR(__xludf.DUMMYFUNCTION("""COMPUTED_VALUE"""),"")</f>
        <v/>
      </c>
      <c r="L416" s="189" t="str">
        <f ca="1">IFERROR(__xludf.DUMMYFUNCTION("""COMPUTED_VALUE"""),"")</f>
        <v/>
      </c>
      <c r="M416" s="189" t="str">
        <f ca="1">IFERROR(__xludf.DUMMYFUNCTION("""COMPUTED_VALUE"""),"")</f>
        <v/>
      </c>
      <c r="N416" s="189" t="str">
        <f ca="1">IFERROR(__xludf.DUMMYFUNCTION("""COMPUTED_VALUE"""),"")</f>
        <v/>
      </c>
      <c r="O416" s="189" t="str">
        <f ca="1">IFERROR(__xludf.DUMMYFUNCTION("""COMPUTED_VALUE"""),"")</f>
        <v/>
      </c>
      <c r="P416" s="189" t="str">
        <f ca="1">IFERROR(__xludf.DUMMYFUNCTION("""COMPUTED_VALUE"""),"")</f>
        <v/>
      </c>
      <c r="Q416" s="189" t="str">
        <f ca="1">IFERROR(__xludf.DUMMYFUNCTION("""COMPUTED_VALUE"""),"")</f>
        <v/>
      </c>
      <c r="R416" s="189" t="str">
        <f ca="1">IFERROR(__xludf.DUMMYFUNCTION("""COMPUTED_VALUE"""),"")</f>
        <v/>
      </c>
      <c r="S416" s="189" t="str">
        <f ca="1">IFERROR(__xludf.DUMMYFUNCTION("""COMPUTED_VALUE"""),"")</f>
        <v/>
      </c>
      <c r="T416" s="189" t="str">
        <f ca="1">IFERROR(__xludf.DUMMYFUNCTION("""COMPUTED_VALUE"""),"")</f>
        <v/>
      </c>
      <c r="U416" s="189" t="str">
        <f ca="1">IFERROR(__xludf.DUMMYFUNCTION("""COMPUTED_VALUE"""),"")</f>
        <v/>
      </c>
      <c r="V416" s="189" t="str">
        <f ca="1">IFERROR(__xludf.DUMMYFUNCTION("""COMPUTED_VALUE"""),"")</f>
        <v/>
      </c>
      <c r="W416" s="189" t="str">
        <f ca="1">IFERROR(__xludf.DUMMYFUNCTION("""COMPUTED_VALUE"""),"")</f>
        <v/>
      </c>
      <c r="X416" s="189" t="str">
        <f ca="1">IFERROR(__xludf.DUMMYFUNCTION("""COMPUTED_VALUE"""),"")</f>
        <v/>
      </c>
      <c r="Y416" s="189" t="str">
        <f ca="1">IFERROR(__xludf.DUMMYFUNCTION("""COMPUTED_VALUE"""),"")</f>
        <v/>
      </c>
      <c r="Z416" s="189"/>
    </row>
    <row r="417" spans="1:26" ht="12.75">
      <c r="A417" s="189" t="str">
        <f ca="1">IFERROR(__xludf.DUMMYFUNCTION("""COMPUTED_VALUE"""),"")</f>
        <v/>
      </c>
      <c r="B417" s="189" t="str">
        <f ca="1">IFERROR(__xludf.DUMMYFUNCTION("""COMPUTED_VALUE"""),"")</f>
        <v/>
      </c>
      <c r="C417" s="189" t="str">
        <f ca="1">IFERROR(__xludf.DUMMYFUNCTION("""COMPUTED_VALUE"""),"")</f>
        <v/>
      </c>
      <c r="D417" s="189" t="str">
        <f ca="1">IFERROR(__xludf.DUMMYFUNCTION("""COMPUTED_VALUE"""),"")</f>
        <v/>
      </c>
      <c r="E417" s="189" t="str">
        <f ca="1">IFERROR(__xludf.DUMMYFUNCTION("""COMPUTED_VALUE"""),"")</f>
        <v/>
      </c>
      <c r="F417" s="189" t="str">
        <f ca="1">IFERROR(__xludf.DUMMYFUNCTION("""COMPUTED_VALUE"""),"")</f>
        <v/>
      </c>
      <c r="G417" s="189" t="str">
        <f ca="1">IFERROR(__xludf.DUMMYFUNCTION("""COMPUTED_VALUE"""),"")</f>
        <v/>
      </c>
      <c r="H417" s="189" t="str">
        <f ca="1">IFERROR(__xludf.DUMMYFUNCTION("""COMPUTED_VALUE"""),"")</f>
        <v/>
      </c>
      <c r="I417" s="120" t="str">
        <f ca="1">IFERROR(__xludf.DUMMYFUNCTION("""COMPUTED_VALUE"""),"")</f>
        <v/>
      </c>
      <c r="J417" s="189" t="str">
        <f ca="1">IFERROR(__xludf.DUMMYFUNCTION("""COMPUTED_VALUE"""),"")</f>
        <v/>
      </c>
      <c r="K417" s="189" t="str">
        <f ca="1">IFERROR(__xludf.DUMMYFUNCTION("""COMPUTED_VALUE"""),"")</f>
        <v/>
      </c>
      <c r="L417" s="189" t="str">
        <f ca="1">IFERROR(__xludf.DUMMYFUNCTION("""COMPUTED_VALUE"""),"")</f>
        <v/>
      </c>
      <c r="M417" s="189" t="str">
        <f ca="1">IFERROR(__xludf.DUMMYFUNCTION("""COMPUTED_VALUE"""),"")</f>
        <v/>
      </c>
      <c r="N417" s="189" t="str">
        <f ca="1">IFERROR(__xludf.DUMMYFUNCTION("""COMPUTED_VALUE"""),"")</f>
        <v/>
      </c>
      <c r="O417" s="189" t="str">
        <f ca="1">IFERROR(__xludf.DUMMYFUNCTION("""COMPUTED_VALUE"""),"")</f>
        <v/>
      </c>
      <c r="P417" s="189" t="str">
        <f ca="1">IFERROR(__xludf.DUMMYFUNCTION("""COMPUTED_VALUE"""),"")</f>
        <v/>
      </c>
      <c r="Q417" s="189" t="str">
        <f ca="1">IFERROR(__xludf.DUMMYFUNCTION("""COMPUTED_VALUE"""),"")</f>
        <v/>
      </c>
      <c r="R417" s="189" t="str">
        <f ca="1">IFERROR(__xludf.DUMMYFUNCTION("""COMPUTED_VALUE"""),"")</f>
        <v/>
      </c>
      <c r="S417" s="189" t="str">
        <f ca="1">IFERROR(__xludf.DUMMYFUNCTION("""COMPUTED_VALUE"""),"")</f>
        <v/>
      </c>
      <c r="T417" s="189" t="str">
        <f ca="1">IFERROR(__xludf.DUMMYFUNCTION("""COMPUTED_VALUE"""),"")</f>
        <v/>
      </c>
      <c r="U417" s="189" t="str">
        <f ca="1">IFERROR(__xludf.DUMMYFUNCTION("""COMPUTED_VALUE"""),"")</f>
        <v/>
      </c>
      <c r="V417" s="189" t="str">
        <f ca="1">IFERROR(__xludf.DUMMYFUNCTION("""COMPUTED_VALUE"""),"")</f>
        <v/>
      </c>
      <c r="W417" s="189" t="str">
        <f ca="1">IFERROR(__xludf.DUMMYFUNCTION("""COMPUTED_VALUE"""),"")</f>
        <v/>
      </c>
      <c r="X417" s="189" t="str">
        <f ca="1">IFERROR(__xludf.DUMMYFUNCTION("""COMPUTED_VALUE"""),"")</f>
        <v/>
      </c>
      <c r="Y417" s="189" t="str">
        <f ca="1">IFERROR(__xludf.DUMMYFUNCTION("""COMPUTED_VALUE"""),"")</f>
        <v/>
      </c>
      <c r="Z417" s="189"/>
    </row>
    <row r="418" spans="1:26" ht="12.75">
      <c r="A418" s="189" t="str">
        <f ca="1">IFERROR(__xludf.DUMMYFUNCTION("""COMPUTED_VALUE"""),"")</f>
        <v/>
      </c>
      <c r="B418" s="189" t="str">
        <f ca="1">IFERROR(__xludf.DUMMYFUNCTION("""COMPUTED_VALUE"""),"")</f>
        <v/>
      </c>
      <c r="C418" s="189" t="str">
        <f ca="1">IFERROR(__xludf.DUMMYFUNCTION("""COMPUTED_VALUE"""),"")</f>
        <v/>
      </c>
      <c r="D418" s="189" t="str">
        <f ca="1">IFERROR(__xludf.DUMMYFUNCTION("""COMPUTED_VALUE"""),"")</f>
        <v/>
      </c>
      <c r="E418" s="189" t="str">
        <f ca="1">IFERROR(__xludf.DUMMYFUNCTION("""COMPUTED_VALUE"""),"")</f>
        <v/>
      </c>
      <c r="F418" s="189" t="str">
        <f ca="1">IFERROR(__xludf.DUMMYFUNCTION("""COMPUTED_VALUE"""),"")</f>
        <v/>
      </c>
      <c r="G418" s="189" t="str">
        <f ca="1">IFERROR(__xludf.DUMMYFUNCTION("""COMPUTED_VALUE"""),"")</f>
        <v/>
      </c>
      <c r="H418" s="189" t="str">
        <f ca="1">IFERROR(__xludf.DUMMYFUNCTION("""COMPUTED_VALUE"""),"")</f>
        <v/>
      </c>
      <c r="I418" s="120" t="str">
        <f ca="1">IFERROR(__xludf.DUMMYFUNCTION("""COMPUTED_VALUE"""),"")</f>
        <v/>
      </c>
      <c r="J418" s="189" t="str">
        <f ca="1">IFERROR(__xludf.DUMMYFUNCTION("""COMPUTED_VALUE"""),"")</f>
        <v/>
      </c>
      <c r="K418" s="189" t="str">
        <f ca="1">IFERROR(__xludf.DUMMYFUNCTION("""COMPUTED_VALUE"""),"")</f>
        <v/>
      </c>
      <c r="L418" s="189" t="str">
        <f ca="1">IFERROR(__xludf.DUMMYFUNCTION("""COMPUTED_VALUE"""),"")</f>
        <v/>
      </c>
      <c r="M418" s="189" t="str">
        <f ca="1">IFERROR(__xludf.DUMMYFUNCTION("""COMPUTED_VALUE"""),"")</f>
        <v/>
      </c>
      <c r="N418" s="189" t="str">
        <f ca="1">IFERROR(__xludf.DUMMYFUNCTION("""COMPUTED_VALUE"""),"")</f>
        <v/>
      </c>
      <c r="O418" s="189" t="str">
        <f ca="1">IFERROR(__xludf.DUMMYFUNCTION("""COMPUTED_VALUE"""),"")</f>
        <v/>
      </c>
      <c r="P418" s="189" t="str">
        <f ca="1">IFERROR(__xludf.DUMMYFUNCTION("""COMPUTED_VALUE"""),"")</f>
        <v/>
      </c>
      <c r="Q418" s="189" t="str">
        <f ca="1">IFERROR(__xludf.DUMMYFUNCTION("""COMPUTED_VALUE"""),"")</f>
        <v/>
      </c>
      <c r="R418" s="189" t="str">
        <f ca="1">IFERROR(__xludf.DUMMYFUNCTION("""COMPUTED_VALUE"""),"")</f>
        <v/>
      </c>
      <c r="S418" s="189" t="str">
        <f ca="1">IFERROR(__xludf.DUMMYFUNCTION("""COMPUTED_VALUE"""),"")</f>
        <v/>
      </c>
      <c r="T418" s="189" t="str">
        <f ca="1">IFERROR(__xludf.DUMMYFUNCTION("""COMPUTED_VALUE"""),"")</f>
        <v/>
      </c>
      <c r="U418" s="189" t="str">
        <f ca="1">IFERROR(__xludf.DUMMYFUNCTION("""COMPUTED_VALUE"""),"")</f>
        <v/>
      </c>
      <c r="V418" s="189" t="str">
        <f ca="1">IFERROR(__xludf.DUMMYFUNCTION("""COMPUTED_VALUE"""),"")</f>
        <v/>
      </c>
      <c r="W418" s="189" t="str">
        <f ca="1">IFERROR(__xludf.DUMMYFUNCTION("""COMPUTED_VALUE"""),"")</f>
        <v/>
      </c>
      <c r="X418" s="189" t="str">
        <f ca="1">IFERROR(__xludf.DUMMYFUNCTION("""COMPUTED_VALUE"""),"")</f>
        <v/>
      </c>
      <c r="Y418" s="189" t="str">
        <f ca="1">IFERROR(__xludf.DUMMYFUNCTION("""COMPUTED_VALUE"""),"")</f>
        <v/>
      </c>
      <c r="Z418" s="189"/>
    </row>
    <row r="419" spans="1:26" ht="12.75">
      <c r="A419" s="189" t="str">
        <f ca="1">IFERROR(__xludf.DUMMYFUNCTION("""COMPUTED_VALUE"""),"")</f>
        <v/>
      </c>
      <c r="B419" s="189" t="str">
        <f ca="1">IFERROR(__xludf.DUMMYFUNCTION("""COMPUTED_VALUE"""),"")</f>
        <v/>
      </c>
      <c r="C419" s="189" t="str">
        <f ca="1">IFERROR(__xludf.DUMMYFUNCTION("""COMPUTED_VALUE"""),"")</f>
        <v/>
      </c>
      <c r="D419" s="189" t="str">
        <f ca="1">IFERROR(__xludf.DUMMYFUNCTION("""COMPUTED_VALUE"""),"")</f>
        <v/>
      </c>
      <c r="E419" s="189" t="str">
        <f ca="1">IFERROR(__xludf.DUMMYFUNCTION("""COMPUTED_VALUE"""),"")</f>
        <v/>
      </c>
      <c r="F419" s="189" t="str">
        <f ca="1">IFERROR(__xludf.DUMMYFUNCTION("""COMPUTED_VALUE"""),"")</f>
        <v/>
      </c>
      <c r="G419" s="189" t="str">
        <f ca="1">IFERROR(__xludf.DUMMYFUNCTION("""COMPUTED_VALUE"""),"")</f>
        <v/>
      </c>
      <c r="H419" s="189" t="str">
        <f ca="1">IFERROR(__xludf.DUMMYFUNCTION("""COMPUTED_VALUE"""),"")</f>
        <v/>
      </c>
      <c r="I419" s="120" t="str">
        <f ca="1">IFERROR(__xludf.DUMMYFUNCTION("""COMPUTED_VALUE"""),"")</f>
        <v/>
      </c>
      <c r="J419" s="189" t="str">
        <f ca="1">IFERROR(__xludf.DUMMYFUNCTION("""COMPUTED_VALUE"""),"")</f>
        <v/>
      </c>
      <c r="K419" s="189" t="str">
        <f ca="1">IFERROR(__xludf.DUMMYFUNCTION("""COMPUTED_VALUE"""),"")</f>
        <v/>
      </c>
      <c r="L419" s="189" t="str">
        <f ca="1">IFERROR(__xludf.DUMMYFUNCTION("""COMPUTED_VALUE"""),"")</f>
        <v/>
      </c>
      <c r="M419" s="189" t="str">
        <f ca="1">IFERROR(__xludf.DUMMYFUNCTION("""COMPUTED_VALUE"""),"")</f>
        <v/>
      </c>
      <c r="N419" s="189" t="str">
        <f ca="1">IFERROR(__xludf.DUMMYFUNCTION("""COMPUTED_VALUE"""),"")</f>
        <v/>
      </c>
      <c r="O419" s="189" t="str">
        <f ca="1">IFERROR(__xludf.DUMMYFUNCTION("""COMPUTED_VALUE"""),"")</f>
        <v/>
      </c>
      <c r="P419" s="189" t="str">
        <f ca="1">IFERROR(__xludf.DUMMYFUNCTION("""COMPUTED_VALUE"""),"")</f>
        <v/>
      </c>
      <c r="Q419" s="189" t="str">
        <f ca="1">IFERROR(__xludf.DUMMYFUNCTION("""COMPUTED_VALUE"""),"")</f>
        <v/>
      </c>
      <c r="R419" s="189" t="str">
        <f ca="1">IFERROR(__xludf.DUMMYFUNCTION("""COMPUTED_VALUE"""),"")</f>
        <v/>
      </c>
      <c r="S419" s="189" t="str">
        <f ca="1">IFERROR(__xludf.DUMMYFUNCTION("""COMPUTED_VALUE"""),"")</f>
        <v/>
      </c>
      <c r="T419" s="189" t="str">
        <f ca="1">IFERROR(__xludf.DUMMYFUNCTION("""COMPUTED_VALUE"""),"")</f>
        <v/>
      </c>
      <c r="U419" s="189" t="str">
        <f ca="1">IFERROR(__xludf.DUMMYFUNCTION("""COMPUTED_VALUE"""),"")</f>
        <v/>
      </c>
      <c r="V419" s="189" t="str">
        <f ca="1">IFERROR(__xludf.DUMMYFUNCTION("""COMPUTED_VALUE"""),"")</f>
        <v/>
      </c>
      <c r="W419" s="189" t="str">
        <f ca="1">IFERROR(__xludf.DUMMYFUNCTION("""COMPUTED_VALUE"""),"")</f>
        <v/>
      </c>
      <c r="X419" s="189" t="str">
        <f ca="1">IFERROR(__xludf.DUMMYFUNCTION("""COMPUTED_VALUE"""),"")</f>
        <v/>
      </c>
      <c r="Y419" s="189" t="str">
        <f ca="1">IFERROR(__xludf.DUMMYFUNCTION("""COMPUTED_VALUE"""),"")</f>
        <v/>
      </c>
      <c r="Z419" s="189"/>
    </row>
    <row r="420" spans="1:26" ht="12.75">
      <c r="A420" s="189" t="str">
        <f ca="1">IFERROR(__xludf.DUMMYFUNCTION("""COMPUTED_VALUE"""),"")</f>
        <v/>
      </c>
      <c r="B420" s="189" t="str">
        <f ca="1">IFERROR(__xludf.DUMMYFUNCTION("""COMPUTED_VALUE"""),"")</f>
        <v/>
      </c>
      <c r="C420" s="189" t="str">
        <f ca="1">IFERROR(__xludf.DUMMYFUNCTION("""COMPUTED_VALUE"""),"")</f>
        <v/>
      </c>
      <c r="D420" s="189" t="str">
        <f ca="1">IFERROR(__xludf.DUMMYFUNCTION("""COMPUTED_VALUE"""),"")</f>
        <v/>
      </c>
      <c r="E420" s="189" t="str">
        <f ca="1">IFERROR(__xludf.DUMMYFUNCTION("""COMPUTED_VALUE"""),"")</f>
        <v/>
      </c>
      <c r="F420" s="189" t="str">
        <f ca="1">IFERROR(__xludf.DUMMYFUNCTION("""COMPUTED_VALUE"""),"")</f>
        <v/>
      </c>
      <c r="G420" s="189" t="str">
        <f ca="1">IFERROR(__xludf.DUMMYFUNCTION("""COMPUTED_VALUE"""),"")</f>
        <v/>
      </c>
      <c r="H420" s="189" t="str">
        <f ca="1">IFERROR(__xludf.DUMMYFUNCTION("""COMPUTED_VALUE"""),"")</f>
        <v/>
      </c>
      <c r="I420" s="120" t="str">
        <f ca="1">IFERROR(__xludf.DUMMYFUNCTION("""COMPUTED_VALUE"""),"")</f>
        <v/>
      </c>
      <c r="J420" s="189" t="str">
        <f ca="1">IFERROR(__xludf.DUMMYFUNCTION("""COMPUTED_VALUE"""),"")</f>
        <v/>
      </c>
      <c r="K420" s="189" t="str">
        <f ca="1">IFERROR(__xludf.DUMMYFUNCTION("""COMPUTED_VALUE"""),"")</f>
        <v/>
      </c>
      <c r="L420" s="189" t="str">
        <f ca="1">IFERROR(__xludf.DUMMYFUNCTION("""COMPUTED_VALUE"""),"")</f>
        <v/>
      </c>
      <c r="M420" s="189" t="str">
        <f ca="1">IFERROR(__xludf.DUMMYFUNCTION("""COMPUTED_VALUE"""),"")</f>
        <v/>
      </c>
      <c r="N420" s="189" t="str">
        <f ca="1">IFERROR(__xludf.DUMMYFUNCTION("""COMPUTED_VALUE"""),"")</f>
        <v/>
      </c>
      <c r="O420" s="189" t="str">
        <f ca="1">IFERROR(__xludf.DUMMYFUNCTION("""COMPUTED_VALUE"""),"")</f>
        <v/>
      </c>
      <c r="P420" s="189" t="str">
        <f ca="1">IFERROR(__xludf.DUMMYFUNCTION("""COMPUTED_VALUE"""),"")</f>
        <v/>
      </c>
      <c r="Q420" s="189" t="str">
        <f ca="1">IFERROR(__xludf.DUMMYFUNCTION("""COMPUTED_VALUE"""),"")</f>
        <v/>
      </c>
      <c r="R420" s="189" t="str">
        <f ca="1">IFERROR(__xludf.DUMMYFUNCTION("""COMPUTED_VALUE"""),"")</f>
        <v/>
      </c>
      <c r="S420" s="189" t="str">
        <f ca="1">IFERROR(__xludf.DUMMYFUNCTION("""COMPUTED_VALUE"""),"")</f>
        <v/>
      </c>
      <c r="T420" s="189" t="str">
        <f ca="1">IFERROR(__xludf.DUMMYFUNCTION("""COMPUTED_VALUE"""),"")</f>
        <v/>
      </c>
      <c r="U420" s="189" t="str">
        <f ca="1">IFERROR(__xludf.DUMMYFUNCTION("""COMPUTED_VALUE"""),"")</f>
        <v/>
      </c>
      <c r="V420" s="189" t="str">
        <f ca="1">IFERROR(__xludf.DUMMYFUNCTION("""COMPUTED_VALUE"""),"")</f>
        <v/>
      </c>
      <c r="W420" s="189" t="str">
        <f ca="1">IFERROR(__xludf.DUMMYFUNCTION("""COMPUTED_VALUE"""),"")</f>
        <v/>
      </c>
      <c r="X420" s="189" t="str">
        <f ca="1">IFERROR(__xludf.DUMMYFUNCTION("""COMPUTED_VALUE"""),"")</f>
        <v/>
      </c>
      <c r="Y420" s="189" t="str">
        <f ca="1">IFERROR(__xludf.DUMMYFUNCTION("""COMPUTED_VALUE"""),"")</f>
        <v/>
      </c>
      <c r="Z420" s="189"/>
    </row>
    <row r="421" spans="1:26" ht="12.75">
      <c r="A421" s="189" t="str">
        <f ca="1">IFERROR(__xludf.DUMMYFUNCTION("""COMPUTED_VALUE"""),"")</f>
        <v/>
      </c>
      <c r="B421" s="189" t="str">
        <f ca="1">IFERROR(__xludf.DUMMYFUNCTION("""COMPUTED_VALUE"""),"")</f>
        <v/>
      </c>
      <c r="C421" s="189" t="str">
        <f ca="1">IFERROR(__xludf.DUMMYFUNCTION("""COMPUTED_VALUE"""),"")</f>
        <v/>
      </c>
      <c r="D421" s="189" t="str">
        <f ca="1">IFERROR(__xludf.DUMMYFUNCTION("""COMPUTED_VALUE"""),"")</f>
        <v/>
      </c>
      <c r="E421" s="189" t="str">
        <f ca="1">IFERROR(__xludf.DUMMYFUNCTION("""COMPUTED_VALUE"""),"")</f>
        <v/>
      </c>
      <c r="F421" s="189" t="str">
        <f ca="1">IFERROR(__xludf.DUMMYFUNCTION("""COMPUTED_VALUE"""),"")</f>
        <v/>
      </c>
      <c r="G421" s="189" t="str">
        <f ca="1">IFERROR(__xludf.DUMMYFUNCTION("""COMPUTED_VALUE"""),"")</f>
        <v/>
      </c>
      <c r="H421" s="189" t="str">
        <f ca="1">IFERROR(__xludf.DUMMYFUNCTION("""COMPUTED_VALUE"""),"")</f>
        <v/>
      </c>
      <c r="I421" s="120" t="str">
        <f ca="1">IFERROR(__xludf.DUMMYFUNCTION("""COMPUTED_VALUE"""),"")</f>
        <v/>
      </c>
      <c r="J421" s="189" t="str">
        <f ca="1">IFERROR(__xludf.DUMMYFUNCTION("""COMPUTED_VALUE"""),"")</f>
        <v/>
      </c>
      <c r="K421" s="189" t="str">
        <f ca="1">IFERROR(__xludf.DUMMYFUNCTION("""COMPUTED_VALUE"""),"")</f>
        <v/>
      </c>
      <c r="L421" s="189" t="str">
        <f ca="1">IFERROR(__xludf.DUMMYFUNCTION("""COMPUTED_VALUE"""),"")</f>
        <v/>
      </c>
      <c r="M421" s="189" t="str">
        <f ca="1">IFERROR(__xludf.DUMMYFUNCTION("""COMPUTED_VALUE"""),"")</f>
        <v/>
      </c>
      <c r="N421" s="189" t="str">
        <f ca="1">IFERROR(__xludf.DUMMYFUNCTION("""COMPUTED_VALUE"""),"")</f>
        <v/>
      </c>
      <c r="O421" s="189" t="str">
        <f ca="1">IFERROR(__xludf.DUMMYFUNCTION("""COMPUTED_VALUE"""),"")</f>
        <v/>
      </c>
      <c r="P421" s="189" t="str">
        <f ca="1">IFERROR(__xludf.DUMMYFUNCTION("""COMPUTED_VALUE"""),"")</f>
        <v/>
      </c>
      <c r="Q421" s="189" t="str">
        <f ca="1">IFERROR(__xludf.DUMMYFUNCTION("""COMPUTED_VALUE"""),"")</f>
        <v/>
      </c>
      <c r="R421" s="189" t="str">
        <f ca="1">IFERROR(__xludf.DUMMYFUNCTION("""COMPUTED_VALUE"""),"")</f>
        <v/>
      </c>
      <c r="S421" s="189" t="str">
        <f ca="1">IFERROR(__xludf.DUMMYFUNCTION("""COMPUTED_VALUE"""),"")</f>
        <v/>
      </c>
      <c r="T421" s="189" t="str">
        <f ca="1">IFERROR(__xludf.DUMMYFUNCTION("""COMPUTED_VALUE"""),"")</f>
        <v/>
      </c>
      <c r="U421" s="189" t="str">
        <f ca="1">IFERROR(__xludf.DUMMYFUNCTION("""COMPUTED_VALUE"""),"")</f>
        <v/>
      </c>
      <c r="V421" s="189" t="str">
        <f ca="1">IFERROR(__xludf.DUMMYFUNCTION("""COMPUTED_VALUE"""),"")</f>
        <v/>
      </c>
      <c r="W421" s="189" t="str">
        <f ca="1">IFERROR(__xludf.DUMMYFUNCTION("""COMPUTED_VALUE"""),"")</f>
        <v/>
      </c>
      <c r="X421" s="189" t="str">
        <f ca="1">IFERROR(__xludf.DUMMYFUNCTION("""COMPUTED_VALUE"""),"")</f>
        <v/>
      </c>
      <c r="Y421" s="189" t="str">
        <f ca="1">IFERROR(__xludf.DUMMYFUNCTION("""COMPUTED_VALUE"""),"")</f>
        <v/>
      </c>
      <c r="Z421" s="189"/>
    </row>
    <row r="422" spans="1:26" ht="12.75">
      <c r="A422" s="189" t="str">
        <f ca="1">IFERROR(__xludf.DUMMYFUNCTION("""COMPUTED_VALUE"""),"")</f>
        <v/>
      </c>
      <c r="B422" s="189" t="str">
        <f ca="1">IFERROR(__xludf.DUMMYFUNCTION("""COMPUTED_VALUE"""),"")</f>
        <v/>
      </c>
      <c r="C422" s="189" t="str">
        <f ca="1">IFERROR(__xludf.DUMMYFUNCTION("""COMPUTED_VALUE"""),"")</f>
        <v/>
      </c>
      <c r="D422" s="189" t="str">
        <f ca="1">IFERROR(__xludf.DUMMYFUNCTION("""COMPUTED_VALUE"""),"")</f>
        <v/>
      </c>
      <c r="E422" s="189" t="str">
        <f ca="1">IFERROR(__xludf.DUMMYFUNCTION("""COMPUTED_VALUE"""),"")</f>
        <v/>
      </c>
      <c r="F422" s="189" t="str">
        <f ca="1">IFERROR(__xludf.DUMMYFUNCTION("""COMPUTED_VALUE"""),"")</f>
        <v/>
      </c>
      <c r="G422" s="189" t="str">
        <f ca="1">IFERROR(__xludf.DUMMYFUNCTION("""COMPUTED_VALUE"""),"")</f>
        <v/>
      </c>
      <c r="H422" s="189" t="str">
        <f ca="1">IFERROR(__xludf.DUMMYFUNCTION("""COMPUTED_VALUE"""),"")</f>
        <v/>
      </c>
      <c r="I422" s="120" t="str">
        <f ca="1">IFERROR(__xludf.DUMMYFUNCTION("""COMPUTED_VALUE"""),"")</f>
        <v/>
      </c>
      <c r="J422" s="189" t="str">
        <f ca="1">IFERROR(__xludf.DUMMYFUNCTION("""COMPUTED_VALUE"""),"")</f>
        <v/>
      </c>
      <c r="K422" s="189" t="str">
        <f ca="1">IFERROR(__xludf.DUMMYFUNCTION("""COMPUTED_VALUE"""),"")</f>
        <v/>
      </c>
      <c r="L422" s="189" t="str">
        <f ca="1">IFERROR(__xludf.DUMMYFUNCTION("""COMPUTED_VALUE"""),"")</f>
        <v/>
      </c>
      <c r="M422" s="189" t="str">
        <f ca="1">IFERROR(__xludf.DUMMYFUNCTION("""COMPUTED_VALUE"""),"")</f>
        <v/>
      </c>
      <c r="N422" s="189" t="str">
        <f ca="1">IFERROR(__xludf.DUMMYFUNCTION("""COMPUTED_VALUE"""),"")</f>
        <v/>
      </c>
      <c r="O422" s="189" t="str">
        <f ca="1">IFERROR(__xludf.DUMMYFUNCTION("""COMPUTED_VALUE"""),"")</f>
        <v/>
      </c>
      <c r="P422" s="189" t="str">
        <f ca="1">IFERROR(__xludf.DUMMYFUNCTION("""COMPUTED_VALUE"""),"")</f>
        <v/>
      </c>
      <c r="Q422" s="189" t="str">
        <f ca="1">IFERROR(__xludf.DUMMYFUNCTION("""COMPUTED_VALUE"""),"")</f>
        <v/>
      </c>
      <c r="R422" s="189" t="str">
        <f ca="1">IFERROR(__xludf.DUMMYFUNCTION("""COMPUTED_VALUE"""),"")</f>
        <v/>
      </c>
      <c r="S422" s="189" t="str">
        <f ca="1">IFERROR(__xludf.DUMMYFUNCTION("""COMPUTED_VALUE"""),"")</f>
        <v/>
      </c>
      <c r="T422" s="189" t="str">
        <f ca="1">IFERROR(__xludf.DUMMYFUNCTION("""COMPUTED_VALUE"""),"")</f>
        <v/>
      </c>
      <c r="U422" s="189" t="str">
        <f ca="1">IFERROR(__xludf.DUMMYFUNCTION("""COMPUTED_VALUE"""),"")</f>
        <v/>
      </c>
      <c r="V422" s="189" t="str">
        <f ca="1">IFERROR(__xludf.DUMMYFUNCTION("""COMPUTED_VALUE"""),"")</f>
        <v/>
      </c>
      <c r="W422" s="189" t="str">
        <f ca="1">IFERROR(__xludf.DUMMYFUNCTION("""COMPUTED_VALUE"""),"")</f>
        <v/>
      </c>
      <c r="X422" s="189" t="str">
        <f ca="1">IFERROR(__xludf.DUMMYFUNCTION("""COMPUTED_VALUE"""),"")</f>
        <v/>
      </c>
      <c r="Y422" s="189" t="str">
        <f ca="1">IFERROR(__xludf.DUMMYFUNCTION("""COMPUTED_VALUE"""),"")</f>
        <v/>
      </c>
      <c r="Z422" s="189"/>
    </row>
    <row r="423" spans="1:26" ht="12.75">
      <c r="A423" s="189" t="str">
        <f ca="1">IFERROR(__xludf.DUMMYFUNCTION("""COMPUTED_VALUE"""),"")</f>
        <v/>
      </c>
      <c r="B423" s="189" t="str">
        <f ca="1">IFERROR(__xludf.DUMMYFUNCTION("""COMPUTED_VALUE"""),"")</f>
        <v/>
      </c>
      <c r="C423" s="189" t="str">
        <f ca="1">IFERROR(__xludf.DUMMYFUNCTION("""COMPUTED_VALUE"""),"")</f>
        <v/>
      </c>
      <c r="D423" s="189" t="str">
        <f ca="1">IFERROR(__xludf.DUMMYFUNCTION("""COMPUTED_VALUE"""),"")</f>
        <v/>
      </c>
      <c r="E423" s="189" t="str">
        <f ca="1">IFERROR(__xludf.DUMMYFUNCTION("""COMPUTED_VALUE"""),"")</f>
        <v/>
      </c>
      <c r="F423" s="189" t="str">
        <f ca="1">IFERROR(__xludf.DUMMYFUNCTION("""COMPUTED_VALUE"""),"")</f>
        <v/>
      </c>
      <c r="G423" s="189" t="str">
        <f ca="1">IFERROR(__xludf.DUMMYFUNCTION("""COMPUTED_VALUE"""),"")</f>
        <v/>
      </c>
      <c r="H423" s="189" t="str">
        <f ca="1">IFERROR(__xludf.DUMMYFUNCTION("""COMPUTED_VALUE"""),"")</f>
        <v/>
      </c>
      <c r="I423" s="120" t="str">
        <f ca="1">IFERROR(__xludf.DUMMYFUNCTION("""COMPUTED_VALUE"""),"")</f>
        <v/>
      </c>
      <c r="J423" s="189" t="str">
        <f ca="1">IFERROR(__xludf.DUMMYFUNCTION("""COMPUTED_VALUE"""),"")</f>
        <v/>
      </c>
      <c r="K423" s="189" t="str">
        <f ca="1">IFERROR(__xludf.DUMMYFUNCTION("""COMPUTED_VALUE"""),"")</f>
        <v/>
      </c>
      <c r="L423" s="189" t="str">
        <f ca="1">IFERROR(__xludf.DUMMYFUNCTION("""COMPUTED_VALUE"""),"")</f>
        <v/>
      </c>
      <c r="M423" s="189" t="str">
        <f ca="1">IFERROR(__xludf.DUMMYFUNCTION("""COMPUTED_VALUE"""),"")</f>
        <v/>
      </c>
      <c r="N423" s="189" t="str">
        <f ca="1">IFERROR(__xludf.DUMMYFUNCTION("""COMPUTED_VALUE"""),"")</f>
        <v/>
      </c>
      <c r="O423" s="189" t="str">
        <f ca="1">IFERROR(__xludf.DUMMYFUNCTION("""COMPUTED_VALUE"""),"")</f>
        <v/>
      </c>
      <c r="P423" s="189" t="str">
        <f ca="1">IFERROR(__xludf.DUMMYFUNCTION("""COMPUTED_VALUE"""),"")</f>
        <v/>
      </c>
      <c r="Q423" s="189" t="str">
        <f ca="1">IFERROR(__xludf.DUMMYFUNCTION("""COMPUTED_VALUE"""),"")</f>
        <v/>
      </c>
      <c r="R423" s="189" t="str">
        <f ca="1">IFERROR(__xludf.DUMMYFUNCTION("""COMPUTED_VALUE"""),"")</f>
        <v/>
      </c>
      <c r="S423" s="189" t="str">
        <f ca="1">IFERROR(__xludf.DUMMYFUNCTION("""COMPUTED_VALUE"""),"")</f>
        <v/>
      </c>
      <c r="T423" s="189" t="str">
        <f ca="1">IFERROR(__xludf.DUMMYFUNCTION("""COMPUTED_VALUE"""),"")</f>
        <v/>
      </c>
      <c r="U423" s="189" t="str">
        <f ca="1">IFERROR(__xludf.DUMMYFUNCTION("""COMPUTED_VALUE"""),"")</f>
        <v/>
      </c>
      <c r="V423" s="189" t="str">
        <f ca="1">IFERROR(__xludf.DUMMYFUNCTION("""COMPUTED_VALUE"""),"")</f>
        <v/>
      </c>
      <c r="W423" s="189" t="str">
        <f ca="1">IFERROR(__xludf.DUMMYFUNCTION("""COMPUTED_VALUE"""),"")</f>
        <v/>
      </c>
      <c r="X423" s="189" t="str">
        <f ca="1">IFERROR(__xludf.DUMMYFUNCTION("""COMPUTED_VALUE"""),"")</f>
        <v/>
      </c>
      <c r="Y423" s="189" t="str">
        <f ca="1">IFERROR(__xludf.DUMMYFUNCTION("""COMPUTED_VALUE"""),"")</f>
        <v/>
      </c>
      <c r="Z423" s="189"/>
    </row>
    <row r="424" spans="1:26" ht="12.75">
      <c r="A424" s="189" t="str">
        <f ca="1">IFERROR(__xludf.DUMMYFUNCTION("""COMPUTED_VALUE"""),"")</f>
        <v/>
      </c>
      <c r="B424" s="189" t="str">
        <f ca="1">IFERROR(__xludf.DUMMYFUNCTION("""COMPUTED_VALUE"""),"")</f>
        <v/>
      </c>
      <c r="C424" s="189" t="str">
        <f ca="1">IFERROR(__xludf.DUMMYFUNCTION("""COMPUTED_VALUE"""),"")</f>
        <v/>
      </c>
      <c r="D424" s="189" t="str">
        <f ca="1">IFERROR(__xludf.DUMMYFUNCTION("""COMPUTED_VALUE"""),"")</f>
        <v/>
      </c>
      <c r="E424" s="189" t="str">
        <f ca="1">IFERROR(__xludf.DUMMYFUNCTION("""COMPUTED_VALUE"""),"")</f>
        <v/>
      </c>
      <c r="F424" s="189" t="str">
        <f ca="1">IFERROR(__xludf.DUMMYFUNCTION("""COMPUTED_VALUE"""),"")</f>
        <v/>
      </c>
      <c r="G424" s="189" t="str">
        <f ca="1">IFERROR(__xludf.DUMMYFUNCTION("""COMPUTED_VALUE"""),"")</f>
        <v/>
      </c>
      <c r="H424" s="189" t="str">
        <f ca="1">IFERROR(__xludf.DUMMYFUNCTION("""COMPUTED_VALUE"""),"")</f>
        <v/>
      </c>
      <c r="I424" s="120" t="str">
        <f ca="1">IFERROR(__xludf.DUMMYFUNCTION("""COMPUTED_VALUE"""),"")</f>
        <v/>
      </c>
      <c r="J424" s="189" t="str">
        <f ca="1">IFERROR(__xludf.DUMMYFUNCTION("""COMPUTED_VALUE"""),"")</f>
        <v/>
      </c>
      <c r="K424" s="189" t="str">
        <f ca="1">IFERROR(__xludf.DUMMYFUNCTION("""COMPUTED_VALUE"""),"")</f>
        <v/>
      </c>
      <c r="L424" s="189" t="str">
        <f ca="1">IFERROR(__xludf.DUMMYFUNCTION("""COMPUTED_VALUE"""),"")</f>
        <v/>
      </c>
      <c r="M424" s="189" t="str">
        <f ca="1">IFERROR(__xludf.DUMMYFUNCTION("""COMPUTED_VALUE"""),"")</f>
        <v/>
      </c>
      <c r="N424" s="189" t="str">
        <f ca="1">IFERROR(__xludf.DUMMYFUNCTION("""COMPUTED_VALUE"""),"")</f>
        <v/>
      </c>
      <c r="O424" s="189" t="str">
        <f ca="1">IFERROR(__xludf.DUMMYFUNCTION("""COMPUTED_VALUE"""),"")</f>
        <v/>
      </c>
      <c r="P424" s="189" t="str">
        <f ca="1">IFERROR(__xludf.DUMMYFUNCTION("""COMPUTED_VALUE"""),"")</f>
        <v/>
      </c>
      <c r="Q424" s="189" t="str">
        <f ca="1">IFERROR(__xludf.DUMMYFUNCTION("""COMPUTED_VALUE"""),"")</f>
        <v/>
      </c>
      <c r="R424" s="189" t="str">
        <f ca="1">IFERROR(__xludf.DUMMYFUNCTION("""COMPUTED_VALUE"""),"")</f>
        <v/>
      </c>
      <c r="S424" s="189" t="str">
        <f ca="1">IFERROR(__xludf.DUMMYFUNCTION("""COMPUTED_VALUE"""),"")</f>
        <v/>
      </c>
      <c r="T424" s="189" t="str">
        <f ca="1">IFERROR(__xludf.DUMMYFUNCTION("""COMPUTED_VALUE"""),"")</f>
        <v/>
      </c>
      <c r="U424" s="189" t="str">
        <f ca="1">IFERROR(__xludf.DUMMYFUNCTION("""COMPUTED_VALUE"""),"")</f>
        <v/>
      </c>
      <c r="V424" s="189" t="str">
        <f ca="1">IFERROR(__xludf.DUMMYFUNCTION("""COMPUTED_VALUE"""),"")</f>
        <v/>
      </c>
      <c r="W424" s="189" t="str">
        <f ca="1">IFERROR(__xludf.DUMMYFUNCTION("""COMPUTED_VALUE"""),"")</f>
        <v/>
      </c>
      <c r="X424" s="189" t="str">
        <f ca="1">IFERROR(__xludf.DUMMYFUNCTION("""COMPUTED_VALUE"""),"")</f>
        <v/>
      </c>
      <c r="Y424" s="189" t="str">
        <f ca="1">IFERROR(__xludf.DUMMYFUNCTION("""COMPUTED_VALUE"""),"")</f>
        <v/>
      </c>
      <c r="Z424" s="189"/>
    </row>
    <row r="425" spans="1:26" ht="12.75">
      <c r="A425" s="189" t="str">
        <f ca="1">IFERROR(__xludf.DUMMYFUNCTION("""COMPUTED_VALUE"""),"")</f>
        <v/>
      </c>
      <c r="B425" s="189" t="str">
        <f ca="1">IFERROR(__xludf.DUMMYFUNCTION("""COMPUTED_VALUE"""),"")</f>
        <v/>
      </c>
      <c r="C425" s="189" t="str">
        <f ca="1">IFERROR(__xludf.DUMMYFUNCTION("""COMPUTED_VALUE"""),"")</f>
        <v/>
      </c>
      <c r="D425" s="189" t="str">
        <f ca="1">IFERROR(__xludf.DUMMYFUNCTION("""COMPUTED_VALUE"""),"")</f>
        <v/>
      </c>
      <c r="E425" s="189" t="str">
        <f ca="1">IFERROR(__xludf.DUMMYFUNCTION("""COMPUTED_VALUE"""),"")</f>
        <v/>
      </c>
      <c r="F425" s="189" t="str">
        <f ca="1">IFERROR(__xludf.DUMMYFUNCTION("""COMPUTED_VALUE"""),"")</f>
        <v/>
      </c>
      <c r="G425" s="189" t="str">
        <f ca="1">IFERROR(__xludf.DUMMYFUNCTION("""COMPUTED_VALUE"""),"")</f>
        <v/>
      </c>
      <c r="H425" s="189" t="str">
        <f ca="1">IFERROR(__xludf.DUMMYFUNCTION("""COMPUTED_VALUE"""),"")</f>
        <v/>
      </c>
      <c r="I425" s="120" t="str">
        <f ca="1">IFERROR(__xludf.DUMMYFUNCTION("""COMPUTED_VALUE"""),"")</f>
        <v/>
      </c>
      <c r="J425" s="189" t="str">
        <f ca="1">IFERROR(__xludf.DUMMYFUNCTION("""COMPUTED_VALUE"""),"")</f>
        <v/>
      </c>
      <c r="K425" s="189" t="str">
        <f ca="1">IFERROR(__xludf.DUMMYFUNCTION("""COMPUTED_VALUE"""),"")</f>
        <v/>
      </c>
      <c r="L425" s="189" t="str">
        <f ca="1">IFERROR(__xludf.DUMMYFUNCTION("""COMPUTED_VALUE"""),"")</f>
        <v/>
      </c>
      <c r="M425" s="189" t="str">
        <f ca="1">IFERROR(__xludf.DUMMYFUNCTION("""COMPUTED_VALUE"""),"")</f>
        <v/>
      </c>
      <c r="N425" s="189" t="str">
        <f ca="1">IFERROR(__xludf.DUMMYFUNCTION("""COMPUTED_VALUE"""),"")</f>
        <v/>
      </c>
      <c r="O425" s="189" t="str">
        <f ca="1">IFERROR(__xludf.DUMMYFUNCTION("""COMPUTED_VALUE"""),"")</f>
        <v/>
      </c>
      <c r="P425" s="189" t="str">
        <f ca="1">IFERROR(__xludf.DUMMYFUNCTION("""COMPUTED_VALUE"""),"")</f>
        <v/>
      </c>
      <c r="Q425" s="189" t="str">
        <f ca="1">IFERROR(__xludf.DUMMYFUNCTION("""COMPUTED_VALUE"""),"")</f>
        <v/>
      </c>
      <c r="R425" s="189" t="str">
        <f ca="1">IFERROR(__xludf.DUMMYFUNCTION("""COMPUTED_VALUE"""),"")</f>
        <v/>
      </c>
      <c r="S425" s="189" t="str">
        <f ca="1">IFERROR(__xludf.DUMMYFUNCTION("""COMPUTED_VALUE"""),"")</f>
        <v/>
      </c>
      <c r="T425" s="189" t="str">
        <f ca="1">IFERROR(__xludf.DUMMYFUNCTION("""COMPUTED_VALUE"""),"")</f>
        <v/>
      </c>
      <c r="U425" s="189" t="str">
        <f ca="1">IFERROR(__xludf.DUMMYFUNCTION("""COMPUTED_VALUE"""),"")</f>
        <v/>
      </c>
      <c r="V425" s="189" t="str">
        <f ca="1">IFERROR(__xludf.DUMMYFUNCTION("""COMPUTED_VALUE"""),"")</f>
        <v/>
      </c>
      <c r="W425" s="189" t="str">
        <f ca="1">IFERROR(__xludf.DUMMYFUNCTION("""COMPUTED_VALUE"""),"")</f>
        <v/>
      </c>
      <c r="X425" s="189" t="str">
        <f ca="1">IFERROR(__xludf.DUMMYFUNCTION("""COMPUTED_VALUE"""),"")</f>
        <v/>
      </c>
      <c r="Y425" s="189" t="str">
        <f ca="1">IFERROR(__xludf.DUMMYFUNCTION("""COMPUTED_VALUE"""),"")</f>
        <v/>
      </c>
      <c r="Z425" s="189"/>
    </row>
    <row r="426" spans="1:26" ht="12.75">
      <c r="A426" s="189" t="str">
        <f ca="1">IFERROR(__xludf.DUMMYFUNCTION("""COMPUTED_VALUE"""),"")</f>
        <v/>
      </c>
      <c r="B426" s="189" t="str">
        <f ca="1">IFERROR(__xludf.DUMMYFUNCTION("""COMPUTED_VALUE"""),"")</f>
        <v/>
      </c>
      <c r="C426" s="189" t="str">
        <f ca="1">IFERROR(__xludf.DUMMYFUNCTION("""COMPUTED_VALUE"""),"")</f>
        <v/>
      </c>
      <c r="D426" s="189" t="str">
        <f ca="1">IFERROR(__xludf.DUMMYFUNCTION("""COMPUTED_VALUE"""),"")</f>
        <v/>
      </c>
      <c r="E426" s="189" t="str">
        <f ca="1">IFERROR(__xludf.DUMMYFUNCTION("""COMPUTED_VALUE"""),"")</f>
        <v/>
      </c>
      <c r="F426" s="189" t="str">
        <f ca="1">IFERROR(__xludf.DUMMYFUNCTION("""COMPUTED_VALUE"""),"")</f>
        <v/>
      </c>
      <c r="G426" s="189" t="str">
        <f ca="1">IFERROR(__xludf.DUMMYFUNCTION("""COMPUTED_VALUE"""),"")</f>
        <v/>
      </c>
      <c r="H426" s="189" t="str">
        <f ca="1">IFERROR(__xludf.DUMMYFUNCTION("""COMPUTED_VALUE"""),"")</f>
        <v/>
      </c>
      <c r="I426" s="120" t="str">
        <f ca="1">IFERROR(__xludf.DUMMYFUNCTION("""COMPUTED_VALUE"""),"")</f>
        <v/>
      </c>
      <c r="J426" s="189" t="str">
        <f ca="1">IFERROR(__xludf.DUMMYFUNCTION("""COMPUTED_VALUE"""),"")</f>
        <v/>
      </c>
      <c r="K426" s="189" t="str">
        <f ca="1">IFERROR(__xludf.DUMMYFUNCTION("""COMPUTED_VALUE"""),"")</f>
        <v/>
      </c>
      <c r="L426" s="189" t="str">
        <f ca="1">IFERROR(__xludf.DUMMYFUNCTION("""COMPUTED_VALUE"""),"")</f>
        <v/>
      </c>
      <c r="M426" s="189" t="str">
        <f ca="1">IFERROR(__xludf.DUMMYFUNCTION("""COMPUTED_VALUE"""),"")</f>
        <v/>
      </c>
      <c r="N426" s="189" t="str">
        <f ca="1">IFERROR(__xludf.DUMMYFUNCTION("""COMPUTED_VALUE"""),"")</f>
        <v/>
      </c>
      <c r="O426" s="189" t="str">
        <f ca="1">IFERROR(__xludf.DUMMYFUNCTION("""COMPUTED_VALUE"""),"")</f>
        <v/>
      </c>
      <c r="P426" s="189" t="str">
        <f ca="1">IFERROR(__xludf.DUMMYFUNCTION("""COMPUTED_VALUE"""),"")</f>
        <v/>
      </c>
      <c r="Q426" s="189" t="str">
        <f ca="1">IFERROR(__xludf.DUMMYFUNCTION("""COMPUTED_VALUE"""),"")</f>
        <v/>
      </c>
      <c r="R426" s="189" t="str">
        <f ca="1">IFERROR(__xludf.DUMMYFUNCTION("""COMPUTED_VALUE"""),"")</f>
        <v/>
      </c>
      <c r="S426" s="189" t="str">
        <f ca="1">IFERROR(__xludf.DUMMYFUNCTION("""COMPUTED_VALUE"""),"")</f>
        <v/>
      </c>
      <c r="T426" s="189" t="str">
        <f ca="1">IFERROR(__xludf.DUMMYFUNCTION("""COMPUTED_VALUE"""),"")</f>
        <v/>
      </c>
      <c r="U426" s="189" t="str">
        <f ca="1">IFERROR(__xludf.DUMMYFUNCTION("""COMPUTED_VALUE"""),"")</f>
        <v/>
      </c>
      <c r="V426" s="189" t="str">
        <f ca="1">IFERROR(__xludf.DUMMYFUNCTION("""COMPUTED_VALUE"""),"")</f>
        <v/>
      </c>
      <c r="W426" s="189" t="str">
        <f ca="1">IFERROR(__xludf.DUMMYFUNCTION("""COMPUTED_VALUE"""),"")</f>
        <v/>
      </c>
      <c r="X426" s="189" t="str">
        <f ca="1">IFERROR(__xludf.DUMMYFUNCTION("""COMPUTED_VALUE"""),"")</f>
        <v/>
      </c>
      <c r="Y426" s="189" t="str">
        <f ca="1">IFERROR(__xludf.DUMMYFUNCTION("""COMPUTED_VALUE"""),"")</f>
        <v/>
      </c>
      <c r="Z426" s="189"/>
    </row>
    <row r="427" spans="1:26" ht="12.75">
      <c r="A427" s="189" t="str">
        <f ca="1">IFERROR(__xludf.DUMMYFUNCTION("""COMPUTED_VALUE"""),"")</f>
        <v/>
      </c>
      <c r="B427" s="189" t="str">
        <f ca="1">IFERROR(__xludf.DUMMYFUNCTION("""COMPUTED_VALUE"""),"")</f>
        <v/>
      </c>
      <c r="C427" s="189" t="str">
        <f ca="1">IFERROR(__xludf.DUMMYFUNCTION("""COMPUTED_VALUE"""),"")</f>
        <v/>
      </c>
      <c r="D427" s="189" t="str">
        <f ca="1">IFERROR(__xludf.DUMMYFUNCTION("""COMPUTED_VALUE"""),"")</f>
        <v/>
      </c>
      <c r="E427" s="189" t="str">
        <f ca="1">IFERROR(__xludf.DUMMYFUNCTION("""COMPUTED_VALUE"""),"")</f>
        <v/>
      </c>
      <c r="F427" s="189" t="str">
        <f ca="1">IFERROR(__xludf.DUMMYFUNCTION("""COMPUTED_VALUE"""),"")</f>
        <v/>
      </c>
      <c r="G427" s="189" t="str">
        <f ca="1">IFERROR(__xludf.DUMMYFUNCTION("""COMPUTED_VALUE"""),"")</f>
        <v/>
      </c>
      <c r="H427" s="189" t="str">
        <f ca="1">IFERROR(__xludf.DUMMYFUNCTION("""COMPUTED_VALUE"""),"")</f>
        <v/>
      </c>
      <c r="I427" s="120" t="str">
        <f ca="1">IFERROR(__xludf.DUMMYFUNCTION("""COMPUTED_VALUE"""),"")</f>
        <v/>
      </c>
      <c r="J427" s="189" t="str">
        <f ca="1">IFERROR(__xludf.DUMMYFUNCTION("""COMPUTED_VALUE"""),"")</f>
        <v/>
      </c>
      <c r="K427" s="189" t="str">
        <f ca="1">IFERROR(__xludf.DUMMYFUNCTION("""COMPUTED_VALUE"""),"")</f>
        <v/>
      </c>
      <c r="L427" s="189" t="str">
        <f ca="1">IFERROR(__xludf.DUMMYFUNCTION("""COMPUTED_VALUE"""),"")</f>
        <v/>
      </c>
      <c r="M427" s="189" t="str">
        <f ca="1">IFERROR(__xludf.DUMMYFUNCTION("""COMPUTED_VALUE"""),"")</f>
        <v/>
      </c>
      <c r="N427" s="189" t="str">
        <f ca="1">IFERROR(__xludf.DUMMYFUNCTION("""COMPUTED_VALUE"""),"")</f>
        <v/>
      </c>
      <c r="O427" s="189" t="str">
        <f ca="1">IFERROR(__xludf.DUMMYFUNCTION("""COMPUTED_VALUE"""),"")</f>
        <v/>
      </c>
      <c r="P427" s="189" t="str">
        <f ca="1">IFERROR(__xludf.DUMMYFUNCTION("""COMPUTED_VALUE"""),"")</f>
        <v/>
      </c>
      <c r="Q427" s="189" t="str">
        <f ca="1">IFERROR(__xludf.DUMMYFUNCTION("""COMPUTED_VALUE"""),"")</f>
        <v/>
      </c>
      <c r="R427" s="189" t="str">
        <f ca="1">IFERROR(__xludf.DUMMYFUNCTION("""COMPUTED_VALUE"""),"")</f>
        <v/>
      </c>
      <c r="S427" s="189" t="str">
        <f ca="1">IFERROR(__xludf.DUMMYFUNCTION("""COMPUTED_VALUE"""),"")</f>
        <v/>
      </c>
      <c r="T427" s="189" t="str">
        <f ca="1">IFERROR(__xludf.DUMMYFUNCTION("""COMPUTED_VALUE"""),"")</f>
        <v/>
      </c>
      <c r="U427" s="189" t="str">
        <f ca="1">IFERROR(__xludf.DUMMYFUNCTION("""COMPUTED_VALUE"""),"")</f>
        <v/>
      </c>
      <c r="V427" s="189" t="str">
        <f ca="1">IFERROR(__xludf.DUMMYFUNCTION("""COMPUTED_VALUE"""),"")</f>
        <v/>
      </c>
      <c r="W427" s="189" t="str">
        <f ca="1">IFERROR(__xludf.DUMMYFUNCTION("""COMPUTED_VALUE"""),"")</f>
        <v/>
      </c>
      <c r="X427" s="189" t="str">
        <f ca="1">IFERROR(__xludf.DUMMYFUNCTION("""COMPUTED_VALUE"""),"")</f>
        <v/>
      </c>
      <c r="Y427" s="189" t="str">
        <f ca="1">IFERROR(__xludf.DUMMYFUNCTION("""COMPUTED_VALUE"""),"")</f>
        <v/>
      </c>
      <c r="Z427" s="189"/>
    </row>
    <row r="428" spans="1:26" ht="12.75">
      <c r="A428" s="189" t="str">
        <f ca="1">IFERROR(__xludf.DUMMYFUNCTION("""COMPUTED_VALUE"""),"")</f>
        <v/>
      </c>
      <c r="B428" s="189" t="str">
        <f ca="1">IFERROR(__xludf.DUMMYFUNCTION("""COMPUTED_VALUE"""),"")</f>
        <v/>
      </c>
      <c r="C428" s="189" t="str">
        <f ca="1">IFERROR(__xludf.DUMMYFUNCTION("""COMPUTED_VALUE"""),"")</f>
        <v/>
      </c>
      <c r="D428" s="189" t="str">
        <f ca="1">IFERROR(__xludf.DUMMYFUNCTION("""COMPUTED_VALUE"""),"")</f>
        <v/>
      </c>
      <c r="E428" s="189" t="str">
        <f ca="1">IFERROR(__xludf.DUMMYFUNCTION("""COMPUTED_VALUE"""),"")</f>
        <v/>
      </c>
      <c r="F428" s="189" t="str">
        <f ca="1">IFERROR(__xludf.DUMMYFUNCTION("""COMPUTED_VALUE"""),"")</f>
        <v/>
      </c>
      <c r="G428" s="189" t="str">
        <f ca="1">IFERROR(__xludf.DUMMYFUNCTION("""COMPUTED_VALUE"""),"")</f>
        <v/>
      </c>
      <c r="H428" s="189" t="str">
        <f ca="1">IFERROR(__xludf.DUMMYFUNCTION("""COMPUTED_VALUE"""),"")</f>
        <v/>
      </c>
      <c r="I428" s="120" t="str">
        <f ca="1">IFERROR(__xludf.DUMMYFUNCTION("""COMPUTED_VALUE"""),"")</f>
        <v/>
      </c>
      <c r="J428" s="189" t="str">
        <f ca="1">IFERROR(__xludf.DUMMYFUNCTION("""COMPUTED_VALUE"""),"")</f>
        <v/>
      </c>
      <c r="K428" s="189" t="str">
        <f ca="1">IFERROR(__xludf.DUMMYFUNCTION("""COMPUTED_VALUE"""),"")</f>
        <v/>
      </c>
      <c r="L428" s="189" t="str">
        <f ca="1">IFERROR(__xludf.DUMMYFUNCTION("""COMPUTED_VALUE"""),"")</f>
        <v/>
      </c>
      <c r="M428" s="189" t="str">
        <f ca="1">IFERROR(__xludf.DUMMYFUNCTION("""COMPUTED_VALUE"""),"")</f>
        <v/>
      </c>
      <c r="N428" s="189" t="str">
        <f ca="1">IFERROR(__xludf.DUMMYFUNCTION("""COMPUTED_VALUE"""),"")</f>
        <v/>
      </c>
      <c r="O428" s="189" t="str">
        <f ca="1">IFERROR(__xludf.DUMMYFUNCTION("""COMPUTED_VALUE"""),"")</f>
        <v/>
      </c>
      <c r="P428" s="189" t="str">
        <f ca="1">IFERROR(__xludf.DUMMYFUNCTION("""COMPUTED_VALUE"""),"")</f>
        <v/>
      </c>
      <c r="Q428" s="189" t="str">
        <f ca="1">IFERROR(__xludf.DUMMYFUNCTION("""COMPUTED_VALUE"""),"")</f>
        <v/>
      </c>
      <c r="R428" s="189" t="str">
        <f ca="1">IFERROR(__xludf.DUMMYFUNCTION("""COMPUTED_VALUE"""),"")</f>
        <v/>
      </c>
      <c r="S428" s="189" t="str">
        <f ca="1">IFERROR(__xludf.DUMMYFUNCTION("""COMPUTED_VALUE"""),"")</f>
        <v/>
      </c>
      <c r="T428" s="189" t="str">
        <f ca="1">IFERROR(__xludf.DUMMYFUNCTION("""COMPUTED_VALUE"""),"")</f>
        <v/>
      </c>
      <c r="U428" s="189" t="str">
        <f ca="1">IFERROR(__xludf.DUMMYFUNCTION("""COMPUTED_VALUE"""),"")</f>
        <v/>
      </c>
      <c r="V428" s="189" t="str">
        <f ca="1">IFERROR(__xludf.DUMMYFUNCTION("""COMPUTED_VALUE"""),"")</f>
        <v/>
      </c>
      <c r="W428" s="189" t="str">
        <f ca="1">IFERROR(__xludf.DUMMYFUNCTION("""COMPUTED_VALUE"""),"")</f>
        <v/>
      </c>
      <c r="X428" s="189" t="str">
        <f ca="1">IFERROR(__xludf.DUMMYFUNCTION("""COMPUTED_VALUE"""),"")</f>
        <v/>
      </c>
      <c r="Y428" s="189" t="str">
        <f ca="1">IFERROR(__xludf.DUMMYFUNCTION("""COMPUTED_VALUE"""),"")</f>
        <v/>
      </c>
      <c r="Z428" s="189"/>
    </row>
    <row r="429" spans="1:26" ht="12.75">
      <c r="A429" s="189" t="str">
        <f ca="1">IFERROR(__xludf.DUMMYFUNCTION("""COMPUTED_VALUE"""),"")</f>
        <v/>
      </c>
      <c r="B429" s="189" t="str">
        <f ca="1">IFERROR(__xludf.DUMMYFUNCTION("""COMPUTED_VALUE"""),"")</f>
        <v/>
      </c>
      <c r="C429" s="189" t="str">
        <f ca="1">IFERROR(__xludf.DUMMYFUNCTION("""COMPUTED_VALUE"""),"")</f>
        <v/>
      </c>
      <c r="D429" s="189" t="str">
        <f ca="1">IFERROR(__xludf.DUMMYFUNCTION("""COMPUTED_VALUE"""),"")</f>
        <v/>
      </c>
      <c r="E429" s="189" t="str">
        <f ca="1">IFERROR(__xludf.DUMMYFUNCTION("""COMPUTED_VALUE"""),"")</f>
        <v/>
      </c>
      <c r="F429" s="189" t="str">
        <f ca="1">IFERROR(__xludf.DUMMYFUNCTION("""COMPUTED_VALUE"""),"")</f>
        <v/>
      </c>
      <c r="G429" s="189" t="str">
        <f ca="1">IFERROR(__xludf.DUMMYFUNCTION("""COMPUTED_VALUE"""),"")</f>
        <v/>
      </c>
      <c r="H429" s="189" t="str">
        <f ca="1">IFERROR(__xludf.DUMMYFUNCTION("""COMPUTED_VALUE"""),"")</f>
        <v/>
      </c>
      <c r="I429" s="120" t="str">
        <f ca="1">IFERROR(__xludf.DUMMYFUNCTION("""COMPUTED_VALUE"""),"")</f>
        <v/>
      </c>
      <c r="J429" s="189" t="str">
        <f ca="1">IFERROR(__xludf.DUMMYFUNCTION("""COMPUTED_VALUE"""),"")</f>
        <v/>
      </c>
      <c r="K429" s="189" t="str">
        <f ca="1">IFERROR(__xludf.DUMMYFUNCTION("""COMPUTED_VALUE"""),"")</f>
        <v/>
      </c>
      <c r="L429" s="189" t="str">
        <f ca="1">IFERROR(__xludf.DUMMYFUNCTION("""COMPUTED_VALUE"""),"")</f>
        <v/>
      </c>
      <c r="M429" s="189" t="str">
        <f ca="1">IFERROR(__xludf.DUMMYFUNCTION("""COMPUTED_VALUE"""),"")</f>
        <v/>
      </c>
      <c r="N429" s="189" t="str">
        <f ca="1">IFERROR(__xludf.DUMMYFUNCTION("""COMPUTED_VALUE"""),"")</f>
        <v/>
      </c>
      <c r="O429" s="189" t="str">
        <f ca="1">IFERROR(__xludf.DUMMYFUNCTION("""COMPUTED_VALUE"""),"")</f>
        <v/>
      </c>
      <c r="P429" s="189" t="str">
        <f ca="1">IFERROR(__xludf.DUMMYFUNCTION("""COMPUTED_VALUE"""),"")</f>
        <v/>
      </c>
      <c r="Q429" s="189" t="str">
        <f ca="1">IFERROR(__xludf.DUMMYFUNCTION("""COMPUTED_VALUE"""),"")</f>
        <v/>
      </c>
      <c r="R429" s="189" t="str">
        <f ca="1">IFERROR(__xludf.DUMMYFUNCTION("""COMPUTED_VALUE"""),"")</f>
        <v/>
      </c>
      <c r="S429" s="189" t="str">
        <f ca="1">IFERROR(__xludf.DUMMYFUNCTION("""COMPUTED_VALUE"""),"")</f>
        <v/>
      </c>
      <c r="T429" s="189" t="str">
        <f ca="1">IFERROR(__xludf.DUMMYFUNCTION("""COMPUTED_VALUE"""),"")</f>
        <v/>
      </c>
      <c r="U429" s="189" t="str">
        <f ca="1">IFERROR(__xludf.DUMMYFUNCTION("""COMPUTED_VALUE"""),"")</f>
        <v/>
      </c>
      <c r="V429" s="189" t="str">
        <f ca="1">IFERROR(__xludf.DUMMYFUNCTION("""COMPUTED_VALUE"""),"")</f>
        <v/>
      </c>
      <c r="W429" s="189" t="str">
        <f ca="1">IFERROR(__xludf.DUMMYFUNCTION("""COMPUTED_VALUE"""),"")</f>
        <v/>
      </c>
      <c r="X429" s="189" t="str">
        <f ca="1">IFERROR(__xludf.DUMMYFUNCTION("""COMPUTED_VALUE"""),"")</f>
        <v/>
      </c>
      <c r="Y429" s="189" t="str">
        <f ca="1">IFERROR(__xludf.DUMMYFUNCTION("""COMPUTED_VALUE"""),"")</f>
        <v/>
      </c>
      <c r="Z429" s="189"/>
    </row>
    <row r="430" spans="1:26" ht="12.75">
      <c r="A430" s="189" t="str">
        <f ca="1">IFERROR(__xludf.DUMMYFUNCTION("""COMPUTED_VALUE"""),"")</f>
        <v/>
      </c>
      <c r="B430" s="189" t="str">
        <f ca="1">IFERROR(__xludf.DUMMYFUNCTION("""COMPUTED_VALUE"""),"")</f>
        <v/>
      </c>
      <c r="C430" s="189" t="str">
        <f ca="1">IFERROR(__xludf.DUMMYFUNCTION("""COMPUTED_VALUE"""),"")</f>
        <v/>
      </c>
      <c r="D430" s="189" t="str">
        <f ca="1">IFERROR(__xludf.DUMMYFUNCTION("""COMPUTED_VALUE"""),"")</f>
        <v/>
      </c>
      <c r="E430" s="189" t="str">
        <f ca="1">IFERROR(__xludf.DUMMYFUNCTION("""COMPUTED_VALUE"""),"")</f>
        <v/>
      </c>
      <c r="F430" s="189" t="str">
        <f ca="1">IFERROR(__xludf.DUMMYFUNCTION("""COMPUTED_VALUE"""),"")</f>
        <v/>
      </c>
      <c r="G430" s="189" t="str">
        <f ca="1">IFERROR(__xludf.DUMMYFUNCTION("""COMPUTED_VALUE"""),"")</f>
        <v/>
      </c>
      <c r="H430" s="189" t="str">
        <f ca="1">IFERROR(__xludf.DUMMYFUNCTION("""COMPUTED_VALUE"""),"")</f>
        <v/>
      </c>
      <c r="I430" s="120" t="str">
        <f ca="1">IFERROR(__xludf.DUMMYFUNCTION("""COMPUTED_VALUE"""),"")</f>
        <v/>
      </c>
      <c r="J430" s="189" t="str">
        <f ca="1">IFERROR(__xludf.DUMMYFUNCTION("""COMPUTED_VALUE"""),"")</f>
        <v/>
      </c>
      <c r="K430" s="189" t="str">
        <f ca="1">IFERROR(__xludf.DUMMYFUNCTION("""COMPUTED_VALUE"""),"")</f>
        <v/>
      </c>
      <c r="L430" s="189" t="str">
        <f ca="1">IFERROR(__xludf.DUMMYFUNCTION("""COMPUTED_VALUE"""),"")</f>
        <v/>
      </c>
      <c r="M430" s="189" t="str">
        <f ca="1">IFERROR(__xludf.DUMMYFUNCTION("""COMPUTED_VALUE"""),"")</f>
        <v/>
      </c>
      <c r="N430" s="189" t="str">
        <f ca="1">IFERROR(__xludf.DUMMYFUNCTION("""COMPUTED_VALUE"""),"")</f>
        <v/>
      </c>
      <c r="O430" s="189" t="str">
        <f ca="1">IFERROR(__xludf.DUMMYFUNCTION("""COMPUTED_VALUE"""),"")</f>
        <v/>
      </c>
      <c r="P430" s="189" t="str">
        <f ca="1">IFERROR(__xludf.DUMMYFUNCTION("""COMPUTED_VALUE"""),"")</f>
        <v/>
      </c>
      <c r="Q430" s="189" t="str">
        <f ca="1">IFERROR(__xludf.DUMMYFUNCTION("""COMPUTED_VALUE"""),"")</f>
        <v/>
      </c>
      <c r="R430" s="189" t="str">
        <f ca="1">IFERROR(__xludf.DUMMYFUNCTION("""COMPUTED_VALUE"""),"")</f>
        <v/>
      </c>
      <c r="S430" s="189" t="str">
        <f ca="1">IFERROR(__xludf.DUMMYFUNCTION("""COMPUTED_VALUE"""),"")</f>
        <v/>
      </c>
      <c r="T430" s="189" t="str">
        <f ca="1">IFERROR(__xludf.DUMMYFUNCTION("""COMPUTED_VALUE"""),"")</f>
        <v/>
      </c>
      <c r="U430" s="189" t="str">
        <f ca="1">IFERROR(__xludf.DUMMYFUNCTION("""COMPUTED_VALUE"""),"")</f>
        <v/>
      </c>
      <c r="V430" s="189" t="str">
        <f ca="1">IFERROR(__xludf.DUMMYFUNCTION("""COMPUTED_VALUE"""),"")</f>
        <v/>
      </c>
      <c r="W430" s="189" t="str">
        <f ca="1">IFERROR(__xludf.DUMMYFUNCTION("""COMPUTED_VALUE"""),"")</f>
        <v/>
      </c>
      <c r="X430" s="189" t="str">
        <f ca="1">IFERROR(__xludf.DUMMYFUNCTION("""COMPUTED_VALUE"""),"")</f>
        <v/>
      </c>
      <c r="Y430" s="189" t="str">
        <f ca="1">IFERROR(__xludf.DUMMYFUNCTION("""COMPUTED_VALUE"""),"")</f>
        <v/>
      </c>
      <c r="Z430" s="189"/>
    </row>
    <row r="431" spans="1:26" ht="12.75">
      <c r="A431" s="189" t="str">
        <f ca="1">IFERROR(__xludf.DUMMYFUNCTION("""COMPUTED_VALUE"""),"")</f>
        <v/>
      </c>
      <c r="B431" s="189" t="str">
        <f ca="1">IFERROR(__xludf.DUMMYFUNCTION("""COMPUTED_VALUE"""),"")</f>
        <v/>
      </c>
      <c r="C431" s="189" t="str">
        <f ca="1">IFERROR(__xludf.DUMMYFUNCTION("""COMPUTED_VALUE"""),"")</f>
        <v/>
      </c>
      <c r="D431" s="189" t="str">
        <f ca="1">IFERROR(__xludf.DUMMYFUNCTION("""COMPUTED_VALUE"""),"")</f>
        <v/>
      </c>
      <c r="E431" s="189" t="str">
        <f ca="1">IFERROR(__xludf.DUMMYFUNCTION("""COMPUTED_VALUE"""),"")</f>
        <v/>
      </c>
      <c r="F431" s="189" t="str">
        <f ca="1">IFERROR(__xludf.DUMMYFUNCTION("""COMPUTED_VALUE"""),"")</f>
        <v/>
      </c>
      <c r="G431" s="189" t="str">
        <f ca="1">IFERROR(__xludf.DUMMYFUNCTION("""COMPUTED_VALUE"""),"")</f>
        <v/>
      </c>
      <c r="H431" s="189" t="str">
        <f ca="1">IFERROR(__xludf.DUMMYFUNCTION("""COMPUTED_VALUE"""),"")</f>
        <v/>
      </c>
      <c r="I431" s="120" t="str">
        <f ca="1">IFERROR(__xludf.DUMMYFUNCTION("""COMPUTED_VALUE"""),"")</f>
        <v/>
      </c>
      <c r="J431" s="189" t="str">
        <f ca="1">IFERROR(__xludf.DUMMYFUNCTION("""COMPUTED_VALUE"""),"")</f>
        <v/>
      </c>
      <c r="K431" s="189" t="str">
        <f ca="1">IFERROR(__xludf.DUMMYFUNCTION("""COMPUTED_VALUE"""),"")</f>
        <v/>
      </c>
      <c r="L431" s="189" t="str">
        <f ca="1">IFERROR(__xludf.DUMMYFUNCTION("""COMPUTED_VALUE"""),"")</f>
        <v/>
      </c>
      <c r="M431" s="189" t="str">
        <f ca="1">IFERROR(__xludf.DUMMYFUNCTION("""COMPUTED_VALUE"""),"")</f>
        <v/>
      </c>
      <c r="N431" s="189" t="str">
        <f ca="1">IFERROR(__xludf.DUMMYFUNCTION("""COMPUTED_VALUE"""),"")</f>
        <v/>
      </c>
      <c r="O431" s="189" t="str">
        <f ca="1">IFERROR(__xludf.DUMMYFUNCTION("""COMPUTED_VALUE"""),"")</f>
        <v/>
      </c>
      <c r="P431" s="189" t="str">
        <f ca="1">IFERROR(__xludf.DUMMYFUNCTION("""COMPUTED_VALUE"""),"")</f>
        <v/>
      </c>
      <c r="Q431" s="189" t="str">
        <f ca="1">IFERROR(__xludf.DUMMYFUNCTION("""COMPUTED_VALUE"""),"")</f>
        <v/>
      </c>
      <c r="R431" s="189" t="str">
        <f ca="1">IFERROR(__xludf.DUMMYFUNCTION("""COMPUTED_VALUE"""),"")</f>
        <v/>
      </c>
      <c r="S431" s="189" t="str">
        <f ca="1">IFERROR(__xludf.DUMMYFUNCTION("""COMPUTED_VALUE"""),"")</f>
        <v/>
      </c>
      <c r="T431" s="189" t="str">
        <f ca="1">IFERROR(__xludf.DUMMYFUNCTION("""COMPUTED_VALUE"""),"")</f>
        <v/>
      </c>
      <c r="U431" s="189" t="str">
        <f ca="1">IFERROR(__xludf.DUMMYFUNCTION("""COMPUTED_VALUE"""),"")</f>
        <v/>
      </c>
      <c r="V431" s="189" t="str">
        <f ca="1">IFERROR(__xludf.DUMMYFUNCTION("""COMPUTED_VALUE"""),"")</f>
        <v/>
      </c>
      <c r="W431" s="189" t="str">
        <f ca="1">IFERROR(__xludf.DUMMYFUNCTION("""COMPUTED_VALUE"""),"")</f>
        <v/>
      </c>
      <c r="X431" s="189" t="str">
        <f ca="1">IFERROR(__xludf.DUMMYFUNCTION("""COMPUTED_VALUE"""),"")</f>
        <v/>
      </c>
      <c r="Y431" s="189" t="str">
        <f ca="1">IFERROR(__xludf.DUMMYFUNCTION("""COMPUTED_VALUE"""),"")</f>
        <v/>
      </c>
      <c r="Z431" s="189"/>
    </row>
    <row r="432" spans="1:26" ht="12.75">
      <c r="A432" s="189" t="str">
        <f ca="1">IFERROR(__xludf.DUMMYFUNCTION("""COMPUTED_VALUE"""),"")</f>
        <v/>
      </c>
      <c r="B432" s="189" t="str">
        <f ca="1">IFERROR(__xludf.DUMMYFUNCTION("""COMPUTED_VALUE"""),"")</f>
        <v/>
      </c>
      <c r="C432" s="189" t="str">
        <f ca="1">IFERROR(__xludf.DUMMYFUNCTION("""COMPUTED_VALUE"""),"")</f>
        <v/>
      </c>
      <c r="D432" s="189" t="str">
        <f ca="1">IFERROR(__xludf.DUMMYFUNCTION("""COMPUTED_VALUE"""),"")</f>
        <v/>
      </c>
      <c r="E432" s="189" t="str">
        <f ca="1">IFERROR(__xludf.DUMMYFUNCTION("""COMPUTED_VALUE"""),"")</f>
        <v/>
      </c>
      <c r="F432" s="189" t="str">
        <f ca="1">IFERROR(__xludf.DUMMYFUNCTION("""COMPUTED_VALUE"""),"")</f>
        <v/>
      </c>
      <c r="G432" s="189" t="str">
        <f ca="1">IFERROR(__xludf.DUMMYFUNCTION("""COMPUTED_VALUE"""),"")</f>
        <v/>
      </c>
      <c r="H432" s="189" t="str">
        <f ca="1">IFERROR(__xludf.DUMMYFUNCTION("""COMPUTED_VALUE"""),"")</f>
        <v/>
      </c>
      <c r="I432" s="120" t="str">
        <f ca="1">IFERROR(__xludf.DUMMYFUNCTION("""COMPUTED_VALUE"""),"")</f>
        <v/>
      </c>
      <c r="J432" s="189" t="str">
        <f ca="1">IFERROR(__xludf.DUMMYFUNCTION("""COMPUTED_VALUE"""),"")</f>
        <v/>
      </c>
      <c r="K432" s="189" t="str">
        <f ca="1">IFERROR(__xludf.DUMMYFUNCTION("""COMPUTED_VALUE"""),"")</f>
        <v/>
      </c>
      <c r="L432" s="189" t="str">
        <f ca="1">IFERROR(__xludf.DUMMYFUNCTION("""COMPUTED_VALUE"""),"")</f>
        <v/>
      </c>
      <c r="M432" s="189" t="str">
        <f ca="1">IFERROR(__xludf.DUMMYFUNCTION("""COMPUTED_VALUE"""),"")</f>
        <v/>
      </c>
      <c r="N432" s="189" t="str">
        <f ca="1">IFERROR(__xludf.DUMMYFUNCTION("""COMPUTED_VALUE"""),"")</f>
        <v/>
      </c>
      <c r="O432" s="189" t="str">
        <f ca="1">IFERROR(__xludf.DUMMYFUNCTION("""COMPUTED_VALUE"""),"")</f>
        <v/>
      </c>
      <c r="P432" s="189" t="str">
        <f ca="1">IFERROR(__xludf.DUMMYFUNCTION("""COMPUTED_VALUE"""),"")</f>
        <v/>
      </c>
      <c r="Q432" s="189" t="str">
        <f ca="1">IFERROR(__xludf.DUMMYFUNCTION("""COMPUTED_VALUE"""),"")</f>
        <v/>
      </c>
      <c r="R432" s="189" t="str">
        <f ca="1">IFERROR(__xludf.DUMMYFUNCTION("""COMPUTED_VALUE"""),"")</f>
        <v/>
      </c>
      <c r="S432" s="189" t="str">
        <f ca="1">IFERROR(__xludf.DUMMYFUNCTION("""COMPUTED_VALUE"""),"")</f>
        <v/>
      </c>
      <c r="T432" s="189" t="str">
        <f ca="1">IFERROR(__xludf.DUMMYFUNCTION("""COMPUTED_VALUE"""),"")</f>
        <v/>
      </c>
      <c r="U432" s="189" t="str">
        <f ca="1">IFERROR(__xludf.DUMMYFUNCTION("""COMPUTED_VALUE"""),"")</f>
        <v/>
      </c>
      <c r="V432" s="189" t="str">
        <f ca="1">IFERROR(__xludf.DUMMYFUNCTION("""COMPUTED_VALUE"""),"")</f>
        <v/>
      </c>
      <c r="W432" s="189" t="str">
        <f ca="1">IFERROR(__xludf.DUMMYFUNCTION("""COMPUTED_VALUE"""),"")</f>
        <v/>
      </c>
      <c r="X432" s="189" t="str">
        <f ca="1">IFERROR(__xludf.DUMMYFUNCTION("""COMPUTED_VALUE"""),"")</f>
        <v/>
      </c>
      <c r="Y432" s="189" t="str">
        <f ca="1">IFERROR(__xludf.DUMMYFUNCTION("""COMPUTED_VALUE"""),"")</f>
        <v/>
      </c>
      <c r="Z432" s="189"/>
    </row>
    <row r="433" spans="1:26" ht="12.75">
      <c r="A433" s="189" t="str">
        <f ca="1">IFERROR(__xludf.DUMMYFUNCTION("""COMPUTED_VALUE"""),"")</f>
        <v/>
      </c>
      <c r="B433" s="189" t="str">
        <f ca="1">IFERROR(__xludf.DUMMYFUNCTION("""COMPUTED_VALUE"""),"")</f>
        <v/>
      </c>
      <c r="C433" s="189" t="str">
        <f ca="1">IFERROR(__xludf.DUMMYFUNCTION("""COMPUTED_VALUE"""),"")</f>
        <v/>
      </c>
      <c r="D433" s="189" t="str">
        <f ca="1">IFERROR(__xludf.DUMMYFUNCTION("""COMPUTED_VALUE"""),"")</f>
        <v/>
      </c>
      <c r="E433" s="189" t="str">
        <f ca="1">IFERROR(__xludf.DUMMYFUNCTION("""COMPUTED_VALUE"""),"")</f>
        <v/>
      </c>
      <c r="F433" s="189" t="str">
        <f ca="1">IFERROR(__xludf.DUMMYFUNCTION("""COMPUTED_VALUE"""),"")</f>
        <v/>
      </c>
      <c r="G433" s="189" t="str">
        <f ca="1">IFERROR(__xludf.DUMMYFUNCTION("""COMPUTED_VALUE"""),"")</f>
        <v/>
      </c>
      <c r="H433" s="189" t="str">
        <f ca="1">IFERROR(__xludf.DUMMYFUNCTION("""COMPUTED_VALUE"""),"")</f>
        <v/>
      </c>
      <c r="I433" s="120" t="str">
        <f ca="1">IFERROR(__xludf.DUMMYFUNCTION("""COMPUTED_VALUE"""),"")</f>
        <v/>
      </c>
      <c r="J433" s="189" t="str">
        <f ca="1">IFERROR(__xludf.DUMMYFUNCTION("""COMPUTED_VALUE"""),"")</f>
        <v/>
      </c>
      <c r="K433" s="189" t="str">
        <f ca="1">IFERROR(__xludf.DUMMYFUNCTION("""COMPUTED_VALUE"""),"")</f>
        <v/>
      </c>
      <c r="L433" s="189" t="str">
        <f ca="1">IFERROR(__xludf.DUMMYFUNCTION("""COMPUTED_VALUE"""),"")</f>
        <v/>
      </c>
      <c r="M433" s="189" t="str">
        <f ca="1">IFERROR(__xludf.DUMMYFUNCTION("""COMPUTED_VALUE"""),"")</f>
        <v/>
      </c>
      <c r="N433" s="189" t="str">
        <f ca="1">IFERROR(__xludf.DUMMYFUNCTION("""COMPUTED_VALUE"""),"")</f>
        <v/>
      </c>
      <c r="O433" s="189" t="str">
        <f ca="1">IFERROR(__xludf.DUMMYFUNCTION("""COMPUTED_VALUE"""),"")</f>
        <v/>
      </c>
      <c r="P433" s="189" t="str">
        <f ca="1">IFERROR(__xludf.DUMMYFUNCTION("""COMPUTED_VALUE"""),"")</f>
        <v/>
      </c>
      <c r="Q433" s="189" t="str">
        <f ca="1">IFERROR(__xludf.DUMMYFUNCTION("""COMPUTED_VALUE"""),"")</f>
        <v/>
      </c>
      <c r="R433" s="189" t="str">
        <f ca="1">IFERROR(__xludf.DUMMYFUNCTION("""COMPUTED_VALUE"""),"")</f>
        <v/>
      </c>
      <c r="S433" s="189" t="str">
        <f ca="1">IFERROR(__xludf.DUMMYFUNCTION("""COMPUTED_VALUE"""),"")</f>
        <v/>
      </c>
      <c r="T433" s="189" t="str">
        <f ca="1">IFERROR(__xludf.DUMMYFUNCTION("""COMPUTED_VALUE"""),"")</f>
        <v/>
      </c>
      <c r="U433" s="189" t="str">
        <f ca="1">IFERROR(__xludf.DUMMYFUNCTION("""COMPUTED_VALUE"""),"")</f>
        <v/>
      </c>
      <c r="V433" s="189" t="str">
        <f ca="1">IFERROR(__xludf.DUMMYFUNCTION("""COMPUTED_VALUE"""),"")</f>
        <v/>
      </c>
      <c r="W433" s="189" t="str">
        <f ca="1">IFERROR(__xludf.DUMMYFUNCTION("""COMPUTED_VALUE"""),"")</f>
        <v/>
      </c>
      <c r="X433" s="189" t="str">
        <f ca="1">IFERROR(__xludf.DUMMYFUNCTION("""COMPUTED_VALUE"""),"")</f>
        <v/>
      </c>
      <c r="Y433" s="189" t="str">
        <f ca="1">IFERROR(__xludf.DUMMYFUNCTION("""COMPUTED_VALUE"""),"")</f>
        <v/>
      </c>
      <c r="Z433" s="189"/>
    </row>
    <row r="434" spans="1:26" ht="12.75">
      <c r="A434" s="189" t="str">
        <f ca="1">IFERROR(__xludf.DUMMYFUNCTION("""COMPUTED_VALUE"""),"")</f>
        <v/>
      </c>
      <c r="B434" s="189" t="str">
        <f ca="1">IFERROR(__xludf.DUMMYFUNCTION("""COMPUTED_VALUE"""),"")</f>
        <v/>
      </c>
      <c r="C434" s="189" t="str">
        <f ca="1">IFERROR(__xludf.DUMMYFUNCTION("""COMPUTED_VALUE"""),"")</f>
        <v/>
      </c>
      <c r="D434" s="189" t="str">
        <f ca="1">IFERROR(__xludf.DUMMYFUNCTION("""COMPUTED_VALUE"""),"")</f>
        <v/>
      </c>
      <c r="E434" s="189" t="str">
        <f ca="1">IFERROR(__xludf.DUMMYFUNCTION("""COMPUTED_VALUE"""),"")</f>
        <v/>
      </c>
      <c r="F434" s="189" t="str">
        <f ca="1">IFERROR(__xludf.DUMMYFUNCTION("""COMPUTED_VALUE"""),"")</f>
        <v/>
      </c>
      <c r="G434" s="189" t="str">
        <f ca="1">IFERROR(__xludf.DUMMYFUNCTION("""COMPUTED_VALUE"""),"")</f>
        <v/>
      </c>
      <c r="H434" s="189" t="str">
        <f ca="1">IFERROR(__xludf.DUMMYFUNCTION("""COMPUTED_VALUE"""),"")</f>
        <v/>
      </c>
      <c r="I434" s="120" t="str">
        <f ca="1">IFERROR(__xludf.DUMMYFUNCTION("""COMPUTED_VALUE"""),"")</f>
        <v/>
      </c>
      <c r="J434" s="189" t="str">
        <f ca="1">IFERROR(__xludf.DUMMYFUNCTION("""COMPUTED_VALUE"""),"")</f>
        <v/>
      </c>
      <c r="K434" s="189" t="str">
        <f ca="1">IFERROR(__xludf.DUMMYFUNCTION("""COMPUTED_VALUE"""),"")</f>
        <v/>
      </c>
      <c r="L434" s="189" t="str">
        <f ca="1">IFERROR(__xludf.DUMMYFUNCTION("""COMPUTED_VALUE"""),"")</f>
        <v/>
      </c>
      <c r="M434" s="189" t="str">
        <f ca="1">IFERROR(__xludf.DUMMYFUNCTION("""COMPUTED_VALUE"""),"")</f>
        <v/>
      </c>
      <c r="N434" s="189" t="str">
        <f ca="1">IFERROR(__xludf.DUMMYFUNCTION("""COMPUTED_VALUE"""),"")</f>
        <v/>
      </c>
      <c r="O434" s="189" t="str">
        <f ca="1">IFERROR(__xludf.DUMMYFUNCTION("""COMPUTED_VALUE"""),"")</f>
        <v/>
      </c>
      <c r="P434" s="189" t="str">
        <f ca="1">IFERROR(__xludf.DUMMYFUNCTION("""COMPUTED_VALUE"""),"")</f>
        <v/>
      </c>
      <c r="Q434" s="189" t="str">
        <f ca="1">IFERROR(__xludf.DUMMYFUNCTION("""COMPUTED_VALUE"""),"")</f>
        <v/>
      </c>
      <c r="R434" s="189" t="str">
        <f ca="1">IFERROR(__xludf.DUMMYFUNCTION("""COMPUTED_VALUE"""),"")</f>
        <v/>
      </c>
      <c r="S434" s="189" t="str">
        <f ca="1">IFERROR(__xludf.DUMMYFUNCTION("""COMPUTED_VALUE"""),"")</f>
        <v/>
      </c>
      <c r="T434" s="189" t="str">
        <f ca="1">IFERROR(__xludf.DUMMYFUNCTION("""COMPUTED_VALUE"""),"")</f>
        <v/>
      </c>
      <c r="U434" s="189" t="str">
        <f ca="1">IFERROR(__xludf.DUMMYFUNCTION("""COMPUTED_VALUE"""),"")</f>
        <v/>
      </c>
      <c r="V434" s="189" t="str">
        <f ca="1">IFERROR(__xludf.DUMMYFUNCTION("""COMPUTED_VALUE"""),"")</f>
        <v/>
      </c>
      <c r="W434" s="189" t="str">
        <f ca="1">IFERROR(__xludf.DUMMYFUNCTION("""COMPUTED_VALUE"""),"")</f>
        <v/>
      </c>
      <c r="X434" s="189" t="str">
        <f ca="1">IFERROR(__xludf.DUMMYFUNCTION("""COMPUTED_VALUE"""),"")</f>
        <v/>
      </c>
      <c r="Y434" s="189" t="str">
        <f ca="1">IFERROR(__xludf.DUMMYFUNCTION("""COMPUTED_VALUE"""),"")</f>
        <v/>
      </c>
      <c r="Z434" s="189"/>
    </row>
    <row r="435" spans="1:26" ht="12.75">
      <c r="A435" s="189" t="str">
        <f ca="1">IFERROR(__xludf.DUMMYFUNCTION("""COMPUTED_VALUE"""),"")</f>
        <v/>
      </c>
      <c r="B435" s="189" t="str">
        <f ca="1">IFERROR(__xludf.DUMMYFUNCTION("""COMPUTED_VALUE"""),"")</f>
        <v/>
      </c>
      <c r="C435" s="189" t="str">
        <f ca="1">IFERROR(__xludf.DUMMYFUNCTION("""COMPUTED_VALUE"""),"")</f>
        <v/>
      </c>
      <c r="D435" s="189" t="str">
        <f ca="1">IFERROR(__xludf.DUMMYFUNCTION("""COMPUTED_VALUE"""),"")</f>
        <v/>
      </c>
      <c r="E435" s="189" t="str">
        <f ca="1">IFERROR(__xludf.DUMMYFUNCTION("""COMPUTED_VALUE"""),"")</f>
        <v/>
      </c>
      <c r="F435" s="189" t="str">
        <f ca="1">IFERROR(__xludf.DUMMYFUNCTION("""COMPUTED_VALUE"""),"")</f>
        <v/>
      </c>
      <c r="G435" s="189" t="str">
        <f ca="1">IFERROR(__xludf.DUMMYFUNCTION("""COMPUTED_VALUE"""),"")</f>
        <v/>
      </c>
      <c r="H435" s="189" t="str">
        <f ca="1">IFERROR(__xludf.DUMMYFUNCTION("""COMPUTED_VALUE"""),"")</f>
        <v/>
      </c>
      <c r="I435" s="120" t="str">
        <f ca="1">IFERROR(__xludf.DUMMYFUNCTION("""COMPUTED_VALUE"""),"")</f>
        <v/>
      </c>
      <c r="J435" s="189" t="str">
        <f ca="1">IFERROR(__xludf.DUMMYFUNCTION("""COMPUTED_VALUE"""),"")</f>
        <v/>
      </c>
      <c r="K435" s="189" t="str">
        <f ca="1">IFERROR(__xludf.DUMMYFUNCTION("""COMPUTED_VALUE"""),"")</f>
        <v/>
      </c>
      <c r="L435" s="189" t="str">
        <f ca="1">IFERROR(__xludf.DUMMYFUNCTION("""COMPUTED_VALUE"""),"")</f>
        <v/>
      </c>
      <c r="M435" s="189" t="str">
        <f ca="1">IFERROR(__xludf.DUMMYFUNCTION("""COMPUTED_VALUE"""),"")</f>
        <v/>
      </c>
      <c r="N435" s="189" t="str">
        <f ca="1">IFERROR(__xludf.DUMMYFUNCTION("""COMPUTED_VALUE"""),"")</f>
        <v/>
      </c>
      <c r="O435" s="189" t="str">
        <f ca="1">IFERROR(__xludf.DUMMYFUNCTION("""COMPUTED_VALUE"""),"")</f>
        <v/>
      </c>
      <c r="P435" s="189" t="str">
        <f ca="1">IFERROR(__xludf.DUMMYFUNCTION("""COMPUTED_VALUE"""),"")</f>
        <v/>
      </c>
      <c r="Q435" s="189" t="str">
        <f ca="1">IFERROR(__xludf.DUMMYFUNCTION("""COMPUTED_VALUE"""),"")</f>
        <v/>
      </c>
      <c r="R435" s="189" t="str">
        <f ca="1">IFERROR(__xludf.DUMMYFUNCTION("""COMPUTED_VALUE"""),"")</f>
        <v/>
      </c>
      <c r="S435" s="189" t="str">
        <f ca="1">IFERROR(__xludf.DUMMYFUNCTION("""COMPUTED_VALUE"""),"")</f>
        <v/>
      </c>
      <c r="T435" s="189" t="str">
        <f ca="1">IFERROR(__xludf.DUMMYFUNCTION("""COMPUTED_VALUE"""),"")</f>
        <v/>
      </c>
      <c r="U435" s="189" t="str">
        <f ca="1">IFERROR(__xludf.DUMMYFUNCTION("""COMPUTED_VALUE"""),"")</f>
        <v/>
      </c>
      <c r="V435" s="189" t="str">
        <f ca="1">IFERROR(__xludf.DUMMYFUNCTION("""COMPUTED_VALUE"""),"")</f>
        <v/>
      </c>
      <c r="W435" s="189" t="str">
        <f ca="1">IFERROR(__xludf.DUMMYFUNCTION("""COMPUTED_VALUE"""),"")</f>
        <v/>
      </c>
      <c r="X435" s="189" t="str">
        <f ca="1">IFERROR(__xludf.DUMMYFUNCTION("""COMPUTED_VALUE"""),"")</f>
        <v/>
      </c>
      <c r="Y435" s="189" t="str">
        <f ca="1">IFERROR(__xludf.DUMMYFUNCTION("""COMPUTED_VALUE"""),"")</f>
        <v/>
      </c>
      <c r="Z435" s="189"/>
    </row>
    <row r="436" spans="1:26" ht="12.75">
      <c r="A436" s="189" t="str">
        <f ca="1">IFERROR(__xludf.DUMMYFUNCTION("""COMPUTED_VALUE"""),"")</f>
        <v/>
      </c>
      <c r="B436" s="189" t="str">
        <f ca="1">IFERROR(__xludf.DUMMYFUNCTION("""COMPUTED_VALUE"""),"")</f>
        <v/>
      </c>
      <c r="C436" s="189" t="str">
        <f ca="1">IFERROR(__xludf.DUMMYFUNCTION("""COMPUTED_VALUE"""),"")</f>
        <v/>
      </c>
      <c r="D436" s="189" t="str">
        <f ca="1">IFERROR(__xludf.DUMMYFUNCTION("""COMPUTED_VALUE"""),"")</f>
        <v/>
      </c>
      <c r="E436" s="189" t="str">
        <f ca="1">IFERROR(__xludf.DUMMYFUNCTION("""COMPUTED_VALUE"""),"")</f>
        <v/>
      </c>
      <c r="F436" s="189" t="str">
        <f ca="1">IFERROR(__xludf.DUMMYFUNCTION("""COMPUTED_VALUE"""),"")</f>
        <v/>
      </c>
      <c r="G436" s="189" t="str">
        <f ca="1">IFERROR(__xludf.DUMMYFUNCTION("""COMPUTED_VALUE"""),"")</f>
        <v/>
      </c>
      <c r="H436" s="189" t="str">
        <f ca="1">IFERROR(__xludf.DUMMYFUNCTION("""COMPUTED_VALUE"""),"")</f>
        <v/>
      </c>
      <c r="I436" s="120" t="str">
        <f ca="1">IFERROR(__xludf.DUMMYFUNCTION("""COMPUTED_VALUE"""),"")</f>
        <v/>
      </c>
      <c r="J436" s="189" t="str">
        <f ca="1">IFERROR(__xludf.DUMMYFUNCTION("""COMPUTED_VALUE"""),"")</f>
        <v/>
      </c>
      <c r="K436" s="189" t="str">
        <f ca="1">IFERROR(__xludf.DUMMYFUNCTION("""COMPUTED_VALUE"""),"")</f>
        <v/>
      </c>
      <c r="L436" s="189" t="str">
        <f ca="1">IFERROR(__xludf.DUMMYFUNCTION("""COMPUTED_VALUE"""),"")</f>
        <v/>
      </c>
      <c r="M436" s="189" t="str">
        <f ca="1">IFERROR(__xludf.DUMMYFUNCTION("""COMPUTED_VALUE"""),"")</f>
        <v/>
      </c>
      <c r="N436" s="189" t="str">
        <f ca="1">IFERROR(__xludf.DUMMYFUNCTION("""COMPUTED_VALUE"""),"")</f>
        <v/>
      </c>
      <c r="O436" s="189" t="str">
        <f ca="1">IFERROR(__xludf.DUMMYFUNCTION("""COMPUTED_VALUE"""),"")</f>
        <v/>
      </c>
      <c r="P436" s="189" t="str">
        <f ca="1">IFERROR(__xludf.DUMMYFUNCTION("""COMPUTED_VALUE"""),"")</f>
        <v/>
      </c>
      <c r="Q436" s="189" t="str">
        <f ca="1">IFERROR(__xludf.DUMMYFUNCTION("""COMPUTED_VALUE"""),"")</f>
        <v/>
      </c>
      <c r="R436" s="189" t="str">
        <f ca="1">IFERROR(__xludf.DUMMYFUNCTION("""COMPUTED_VALUE"""),"")</f>
        <v/>
      </c>
      <c r="S436" s="189" t="str">
        <f ca="1">IFERROR(__xludf.DUMMYFUNCTION("""COMPUTED_VALUE"""),"")</f>
        <v/>
      </c>
      <c r="T436" s="189" t="str">
        <f ca="1">IFERROR(__xludf.DUMMYFUNCTION("""COMPUTED_VALUE"""),"")</f>
        <v/>
      </c>
      <c r="U436" s="189" t="str">
        <f ca="1">IFERROR(__xludf.DUMMYFUNCTION("""COMPUTED_VALUE"""),"")</f>
        <v/>
      </c>
      <c r="V436" s="189" t="str">
        <f ca="1">IFERROR(__xludf.DUMMYFUNCTION("""COMPUTED_VALUE"""),"")</f>
        <v/>
      </c>
      <c r="W436" s="189" t="str">
        <f ca="1">IFERROR(__xludf.DUMMYFUNCTION("""COMPUTED_VALUE"""),"")</f>
        <v/>
      </c>
      <c r="X436" s="189" t="str">
        <f ca="1">IFERROR(__xludf.DUMMYFUNCTION("""COMPUTED_VALUE"""),"")</f>
        <v/>
      </c>
      <c r="Y436" s="189" t="str">
        <f ca="1">IFERROR(__xludf.DUMMYFUNCTION("""COMPUTED_VALUE"""),"")</f>
        <v/>
      </c>
      <c r="Z436" s="189"/>
    </row>
    <row r="437" spans="1:26" ht="12.75">
      <c r="A437" s="189" t="str">
        <f ca="1">IFERROR(__xludf.DUMMYFUNCTION("""COMPUTED_VALUE"""),"")</f>
        <v/>
      </c>
      <c r="B437" s="189" t="str">
        <f ca="1">IFERROR(__xludf.DUMMYFUNCTION("""COMPUTED_VALUE"""),"")</f>
        <v/>
      </c>
      <c r="C437" s="189" t="str">
        <f ca="1">IFERROR(__xludf.DUMMYFUNCTION("""COMPUTED_VALUE"""),"")</f>
        <v/>
      </c>
      <c r="D437" s="189" t="str">
        <f ca="1">IFERROR(__xludf.DUMMYFUNCTION("""COMPUTED_VALUE"""),"")</f>
        <v/>
      </c>
      <c r="E437" s="189" t="str">
        <f ca="1">IFERROR(__xludf.DUMMYFUNCTION("""COMPUTED_VALUE"""),"")</f>
        <v/>
      </c>
      <c r="F437" s="189" t="str">
        <f ca="1">IFERROR(__xludf.DUMMYFUNCTION("""COMPUTED_VALUE"""),"")</f>
        <v/>
      </c>
      <c r="G437" s="189" t="str">
        <f ca="1">IFERROR(__xludf.DUMMYFUNCTION("""COMPUTED_VALUE"""),"")</f>
        <v/>
      </c>
      <c r="H437" s="189" t="str">
        <f ca="1">IFERROR(__xludf.DUMMYFUNCTION("""COMPUTED_VALUE"""),"")</f>
        <v/>
      </c>
      <c r="I437" s="120" t="str">
        <f ca="1">IFERROR(__xludf.DUMMYFUNCTION("""COMPUTED_VALUE"""),"")</f>
        <v/>
      </c>
      <c r="J437" s="189" t="str">
        <f ca="1">IFERROR(__xludf.DUMMYFUNCTION("""COMPUTED_VALUE"""),"")</f>
        <v/>
      </c>
      <c r="K437" s="189" t="str">
        <f ca="1">IFERROR(__xludf.DUMMYFUNCTION("""COMPUTED_VALUE"""),"")</f>
        <v/>
      </c>
      <c r="L437" s="189" t="str">
        <f ca="1">IFERROR(__xludf.DUMMYFUNCTION("""COMPUTED_VALUE"""),"")</f>
        <v/>
      </c>
      <c r="M437" s="189" t="str">
        <f ca="1">IFERROR(__xludf.DUMMYFUNCTION("""COMPUTED_VALUE"""),"")</f>
        <v/>
      </c>
      <c r="N437" s="189" t="str">
        <f ca="1">IFERROR(__xludf.DUMMYFUNCTION("""COMPUTED_VALUE"""),"")</f>
        <v/>
      </c>
      <c r="O437" s="189" t="str">
        <f ca="1">IFERROR(__xludf.DUMMYFUNCTION("""COMPUTED_VALUE"""),"")</f>
        <v/>
      </c>
      <c r="P437" s="189" t="str">
        <f ca="1">IFERROR(__xludf.DUMMYFUNCTION("""COMPUTED_VALUE"""),"")</f>
        <v/>
      </c>
      <c r="Q437" s="189" t="str">
        <f ca="1">IFERROR(__xludf.DUMMYFUNCTION("""COMPUTED_VALUE"""),"")</f>
        <v/>
      </c>
      <c r="R437" s="189" t="str">
        <f ca="1">IFERROR(__xludf.DUMMYFUNCTION("""COMPUTED_VALUE"""),"")</f>
        <v/>
      </c>
      <c r="S437" s="189" t="str">
        <f ca="1">IFERROR(__xludf.DUMMYFUNCTION("""COMPUTED_VALUE"""),"")</f>
        <v/>
      </c>
      <c r="T437" s="189" t="str">
        <f ca="1">IFERROR(__xludf.DUMMYFUNCTION("""COMPUTED_VALUE"""),"")</f>
        <v/>
      </c>
      <c r="U437" s="189" t="str">
        <f ca="1">IFERROR(__xludf.DUMMYFUNCTION("""COMPUTED_VALUE"""),"")</f>
        <v/>
      </c>
      <c r="V437" s="189" t="str">
        <f ca="1">IFERROR(__xludf.DUMMYFUNCTION("""COMPUTED_VALUE"""),"")</f>
        <v/>
      </c>
      <c r="W437" s="189" t="str">
        <f ca="1">IFERROR(__xludf.DUMMYFUNCTION("""COMPUTED_VALUE"""),"")</f>
        <v/>
      </c>
      <c r="X437" s="189" t="str">
        <f ca="1">IFERROR(__xludf.DUMMYFUNCTION("""COMPUTED_VALUE"""),"")</f>
        <v/>
      </c>
      <c r="Y437" s="189" t="str">
        <f ca="1">IFERROR(__xludf.DUMMYFUNCTION("""COMPUTED_VALUE"""),"")</f>
        <v/>
      </c>
      <c r="Z437" s="189"/>
    </row>
    <row r="438" spans="1:26" ht="12.75">
      <c r="A438" s="189" t="str">
        <f ca="1">IFERROR(__xludf.DUMMYFUNCTION("""COMPUTED_VALUE"""),"")</f>
        <v/>
      </c>
      <c r="B438" s="189" t="str">
        <f ca="1">IFERROR(__xludf.DUMMYFUNCTION("""COMPUTED_VALUE"""),"")</f>
        <v/>
      </c>
      <c r="C438" s="189" t="str">
        <f ca="1">IFERROR(__xludf.DUMMYFUNCTION("""COMPUTED_VALUE"""),"")</f>
        <v/>
      </c>
      <c r="D438" s="189" t="str">
        <f ca="1">IFERROR(__xludf.DUMMYFUNCTION("""COMPUTED_VALUE"""),"")</f>
        <v/>
      </c>
      <c r="E438" s="189" t="str">
        <f ca="1">IFERROR(__xludf.DUMMYFUNCTION("""COMPUTED_VALUE"""),"")</f>
        <v/>
      </c>
      <c r="F438" s="189" t="str">
        <f ca="1">IFERROR(__xludf.DUMMYFUNCTION("""COMPUTED_VALUE"""),"")</f>
        <v/>
      </c>
      <c r="G438" s="189" t="str">
        <f ca="1">IFERROR(__xludf.DUMMYFUNCTION("""COMPUTED_VALUE"""),"")</f>
        <v/>
      </c>
      <c r="H438" s="189" t="str">
        <f ca="1">IFERROR(__xludf.DUMMYFUNCTION("""COMPUTED_VALUE"""),"")</f>
        <v/>
      </c>
      <c r="I438" s="120" t="str">
        <f ca="1">IFERROR(__xludf.DUMMYFUNCTION("""COMPUTED_VALUE"""),"")</f>
        <v/>
      </c>
      <c r="J438" s="189" t="str">
        <f ca="1">IFERROR(__xludf.DUMMYFUNCTION("""COMPUTED_VALUE"""),"")</f>
        <v/>
      </c>
      <c r="K438" s="189" t="str">
        <f ca="1">IFERROR(__xludf.DUMMYFUNCTION("""COMPUTED_VALUE"""),"")</f>
        <v/>
      </c>
      <c r="L438" s="189" t="str">
        <f ca="1">IFERROR(__xludf.DUMMYFUNCTION("""COMPUTED_VALUE"""),"")</f>
        <v/>
      </c>
      <c r="M438" s="189" t="str">
        <f ca="1">IFERROR(__xludf.DUMMYFUNCTION("""COMPUTED_VALUE"""),"")</f>
        <v/>
      </c>
      <c r="N438" s="189" t="str">
        <f ca="1">IFERROR(__xludf.DUMMYFUNCTION("""COMPUTED_VALUE"""),"")</f>
        <v/>
      </c>
      <c r="O438" s="189" t="str">
        <f ca="1">IFERROR(__xludf.DUMMYFUNCTION("""COMPUTED_VALUE"""),"")</f>
        <v/>
      </c>
      <c r="P438" s="189" t="str">
        <f ca="1">IFERROR(__xludf.DUMMYFUNCTION("""COMPUTED_VALUE"""),"")</f>
        <v/>
      </c>
      <c r="Q438" s="189" t="str">
        <f ca="1">IFERROR(__xludf.DUMMYFUNCTION("""COMPUTED_VALUE"""),"")</f>
        <v/>
      </c>
      <c r="R438" s="189" t="str">
        <f ca="1">IFERROR(__xludf.DUMMYFUNCTION("""COMPUTED_VALUE"""),"")</f>
        <v/>
      </c>
      <c r="S438" s="189" t="str">
        <f ca="1">IFERROR(__xludf.DUMMYFUNCTION("""COMPUTED_VALUE"""),"")</f>
        <v/>
      </c>
      <c r="T438" s="189" t="str">
        <f ca="1">IFERROR(__xludf.DUMMYFUNCTION("""COMPUTED_VALUE"""),"")</f>
        <v/>
      </c>
      <c r="U438" s="189" t="str">
        <f ca="1">IFERROR(__xludf.DUMMYFUNCTION("""COMPUTED_VALUE"""),"")</f>
        <v/>
      </c>
      <c r="V438" s="189" t="str">
        <f ca="1">IFERROR(__xludf.DUMMYFUNCTION("""COMPUTED_VALUE"""),"")</f>
        <v/>
      </c>
      <c r="W438" s="189" t="str">
        <f ca="1">IFERROR(__xludf.DUMMYFUNCTION("""COMPUTED_VALUE"""),"")</f>
        <v/>
      </c>
      <c r="X438" s="189" t="str">
        <f ca="1">IFERROR(__xludf.DUMMYFUNCTION("""COMPUTED_VALUE"""),"")</f>
        <v/>
      </c>
      <c r="Y438" s="189" t="str">
        <f ca="1">IFERROR(__xludf.DUMMYFUNCTION("""COMPUTED_VALUE"""),"")</f>
        <v/>
      </c>
      <c r="Z438" s="189"/>
    </row>
    <row r="439" spans="1:26" ht="12.75">
      <c r="A439" s="189" t="str">
        <f ca="1">IFERROR(__xludf.DUMMYFUNCTION("""COMPUTED_VALUE"""),"")</f>
        <v/>
      </c>
      <c r="B439" s="189" t="str">
        <f ca="1">IFERROR(__xludf.DUMMYFUNCTION("""COMPUTED_VALUE"""),"")</f>
        <v/>
      </c>
      <c r="C439" s="189" t="str">
        <f ca="1">IFERROR(__xludf.DUMMYFUNCTION("""COMPUTED_VALUE"""),"")</f>
        <v/>
      </c>
      <c r="D439" s="189" t="str">
        <f ca="1">IFERROR(__xludf.DUMMYFUNCTION("""COMPUTED_VALUE"""),"")</f>
        <v/>
      </c>
      <c r="E439" s="189" t="str">
        <f ca="1">IFERROR(__xludf.DUMMYFUNCTION("""COMPUTED_VALUE"""),"")</f>
        <v/>
      </c>
      <c r="F439" s="189" t="str">
        <f ca="1">IFERROR(__xludf.DUMMYFUNCTION("""COMPUTED_VALUE"""),"")</f>
        <v/>
      </c>
      <c r="G439" s="189" t="str">
        <f ca="1">IFERROR(__xludf.DUMMYFUNCTION("""COMPUTED_VALUE"""),"")</f>
        <v/>
      </c>
      <c r="H439" s="189" t="str">
        <f ca="1">IFERROR(__xludf.DUMMYFUNCTION("""COMPUTED_VALUE"""),"")</f>
        <v/>
      </c>
      <c r="I439" s="120" t="str">
        <f ca="1">IFERROR(__xludf.DUMMYFUNCTION("""COMPUTED_VALUE"""),"")</f>
        <v/>
      </c>
      <c r="J439" s="189" t="str">
        <f ca="1">IFERROR(__xludf.DUMMYFUNCTION("""COMPUTED_VALUE"""),"")</f>
        <v/>
      </c>
      <c r="K439" s="189" t="str">
        <f ca="1">IFERROR(__xludf.DUMMYFUNCTION("""COMPUTED_VALUE"""),"")</f>
        <v/>
      </c>
      <c r="L439" s="189" t="str">
        <f ca="1">IFERROR(__xludf.DUMMYFUNCTION("""COMPUTED_VALUE"""),"")</f>
        <v/>
      </c>
      <c r="M439" s="189" t="str">
        <f ca="1">IFERROR(__xludf.DUMMYFUNCTION("""COMPUTED_VALUE"""),"")</f>
        <v/>
      </c>
      <c r="N439" s="189" t="str">
        <f ca="1">IFERROR(__xludf.DUMMYFUNCTION("""COMPUTED_VALUE"""),"")</f>
        <v/>
      </c>
      <c r="O439" s="189" t="str">
        <f ca="1">IFERROR(__xludf.DUMMYFUNCTION("""COMPUTED_VALUE"""),"")</f>
        <v/>
      </c>
      <c r="P439" s="189" t="str">
        <f ca="1">IFERROR(__xludf.DUMMYFUNCTION("""COMPUTED_VALUE"""),"")</f>
        <v/>
      </c>
      <c r="Q439" s="189" t="str">
        <f ca="1">IFERROR(__xludf.DUMMYFUNCTION("""COMPUTED_VALUE"""),"")</f>
        <v/>
      </c>
      <c r="R439" s="189" t="str">
        <f ca="1">IFERROR(__xludf.DUMMYFUNCTION("""COMPUTED_VALUE"""),"")</f>
        <v/>
      </c>
      <c r="S439" s="189" t="str">
        <f ca="1">IFERROR(__xludf.DUMMYFUNCTION("""COMPUTED_VALUE"""),"")</f>
        <v/>
      </c>
      <c r="T439" s="189" t="str">
        <f ca="1">IFERROR(__xludf.DUMMYFUNCTION("""COMPUTED_VALUE"""),"")</f>
        <v/>
      </c>
      <c r="U439" s="189" t="str">
        <f ca="1">IFERROR(__xludf.DUMMYFUNCTION("""COMPUTED_VALUE"""),"")</f>
        <v/>
      </c>
      <c r="V439" s="189" t="str">
        <f ca="1">IFERROR(__xludf.DUMMYFUNCTION("""COMPUTED_VALUE"""),"")</f>
        <v/>
      </c>
      <c r="W439" s="189" t="str">
        <f ca="1">IFERROR(__xludf.DUMMYFUNCTION("""COMPUTED_VALUE"""),"")</f>
        <v/>
      </c>
      <c r="X439" s="189" t="str">
        <f ca="1">IFERROR(__xludf.DUMMYFUNCTION("""COMPUTED_VALUE"""),"")</f>
        <v/>
      </c>
      <c r="Y439" s="189" t="str">
        <f ca="1">IFERROR(__xludf.DUMMYFUNCTION("""COMPUTED_VALUE"""),"")</f>
        <v/>
      </c>
      <c r="Z439" s="189"/>
    </row>
    <row r="440" spans="1:26" ht="12.75">
      <c r="A440" s="189" t="str">
        <f ca="1">IFERROR(__xludf.DUMMYFUNCTION("""COMPUTED_VALUE"""),"")</f>
        <v/>
      </c>
      <c r="B440" s="189" t="str">
        <f ca="1">IFERROR(__xludf.DUMMYFUNCTION("""COMPUTED_VALUE"""),"")</f>
        <v/>
      </c>
      <c r="C440" s="189" t="str">
        <f ca="1">IFERROR(__xludf.DUMMYFUNCTION("""COMPUTED_VALUE"""),"")</f>
        <v/>
      </c>
      <c r="D440" s="189" t="str">
        <f ca="1">IFERROR(__xludf.DUMMYFUNCTION("""COMPUTED_VALUE"""),"")</f>
        <v/>
      </c>
      <c r="E440" s="189" t="str">
        <f ca="1">IFERROR(__xludf.DUMMYFUNCTION("""COMPUTED_VALUE"""),"")</f>
        <v/>
      </c>
      <c r="F440" s="189" t="str">
        <f ca="1">IFERROR(__xludf.DUMMYFUNCTION("""COMPUTED_VALUE"""),"")</f>
        <v/>
      </c>
      <c r="G440" s="189" t="str">
        <f ca="1">IFERROR(__xludf.DUMMYFUNCTION("""COMPUTED_VALUE"""),"")</f>
        <v/>
      </c>
      <c r="H440" s="189" t="str">
        <f ca="1">IFERROR(__xludf.DUMMYFUNCTION("""COMPUTED_VALUE"""),"")</f>
        <v/>
      </c>
      <c r="I440" s="120" t="str">
        <f ca="1">IFERROR(__xludf.DUMMYFUNCTION("""COMPUTED_VALUE"""),"")</f>
        <v/>
      </c>
      <c r="J440" s="189" t="str">
        <f ca="1">IFERROR(__xludf.DUMMYFUNCTION("""COMPUTED_VALUE"""),"")</f>
        <v/>
      </c>
      <c r="K440" s="189" t="str">
        <f ca="1">IFERROR(__xludf.DUMMYFUNCTION("""COMPUTED_VALUE"""),"")</f>
        <v/>
      </c>
      <c r="L440" s="189" t="str">
        <f ca="1">IFERROR(__xludf.DUMMYFUNCTION("""COMPUTED_VALUE"""),"")</f>
        <v/>
      </c>
      <c r="M440" s="189" t="str">
        <f ca="1">IFERROR(__xludf.DUMMYFUNCTION("""COMPUTED_VALUE"""),"")</f>
        <v/>
      </c>
      <c r="N440" s="189" t="str">
        <f ca="1">IFERROR(__xludf.DUMMYFUNCTION("""COMPUTED_VALUE"""),"")</f>
        <v/>
      </c>
      <c r="O440" s="189" t="str">
        <f ca="1">IFERROR(__xludf.DUMMYFUNCTION("""COMPUTED_VALUE"""),"")</f>
        <v/>
      </c>
      <c r="P440" s="189" t="str">
        <f ca="1">IFERROR(__xludf.DUMMYFUNCTION("""COMPUTED_VALUE"""),"")</f>
        <v/>
      </c>
      <c r="Q440" s="189" t="str">
        <f ca="1">IFERROR(__xludf.DUMMYFUNCTION("""COMPUTED_VALUE"""),"")</f>
        <v/>
      </c>
      <c r="R440" s="189" t="str">
        <f ca="1">IFERROR(__xludf.DUMMYFUNCTION("""COMPUTED_VALUE"""),"")</f>
        <v/>
      </c>
      <c r="S440" s="189" t="str">
        <f ca="1">IFERROR(__xludf.DUMMYFUNCTION("""COMPUTED_VALUE"""),"")</f>
        <v/>
      </c>
      <c r="T440" s="189" t="str">
        <f ca="1">IFERROR(__xludf.DUMMYFUNCTION("""COMPUTED_VALUE"""),"")</f>
        <v/>
      </c>
      <c r="U440" s="189" t="str">
        <f ca="1">IFERROR(__xludf.DUMMYFUNCTION("""COMPUTED_VALUE"""),"")</f>
        <v/>
      </c>
      <c r="V440" s="189" t="str">
        <f ca="1">IFERROR(__xludf.DUMMYFUNCTION("""COMPUTED_VALUE"""),"")</f>
        <v/>
      </c>
      <c r="W440" s="189" t="str">
        <f ca="1">IFERROR(__xludf.DUMMYFUNCTION("""COMPUTED_VALUE"""),"")</f>
        <v/>
      </c>
      <c r="X440" s="189" t="str">
        <f ca="1">IFERROR(__xludf.DUMMYFUNCTION("""COMPUTED_VALUE"""),"")</f>
        <v/>
      </c>
      <c r="Y440" s="189" t="str">
        <f ca="1">IFERROR(__xludf.DUMMYFUNCTION("""COMPUTED_VALUE"""),"")</f>
        <v/>
      </c>
      <c r="Z440" s="189"/>
    </row>
    <row r="441" spans="1:26" ht="12.75">
      <c r="A441" s="189" t="str">
        <f ca="1">IFERROR(__xludf.DUMMYFUNCTION("""COMPUTED_VALUE"""),"")</f>
        <v/>
      </c>
      <c r="B441" s="189" t="str">
        <f ca="1">IFERROR(__xludf.DUMMYFUNCTION("""COMPUTED_VALUE"""),"")</f>
        <v/>
      </c>
      <c r="C441" s="189" t="str">
        <f ca="1">IFERROR(__xludf.DUMMYFUNCTION("""COMPUTED_VALUE"""),"")</f>
        <v/>
      </c>
      <c r="D441" s="189" t="str">
        <f ca="1">IFERROR(__xludf.DUMMYFUNCTION("""COMPUTED_VALUE"""),"")</f>
        <v/>
      </c>
      <c r="E441" s="189" t="str">
        <f ca="1">IFERROR(__xludf.DUMMYFUNCTION("""COMPUTED_VALUE"""),"")</f>
        <v/>
      </c>
      <c r="F441" s="189" t="str">
        <f ca="1">IFERROR(__xludf.DUMMYFUNCTION("""COMPUTED_VALUE"""),"")</f>
        <v/>
      </c>
      <c r="G441" s="189" t="str">
        <f ca="1">IFERROR(__xludf.DUMMYFUNCTION("""COMPUTED_VALUE"""),"")</f>
        <v/>
      </c>
      <c r="H441" s="189" t="str">
        <f ca="1">IFERROR(__xludf.DUMMYFUNCTION("""COMPUTED_VALUE"""),"")</f>
        <v/>
      </c>
      <c r="I441" s="120" t="str">
        <f ca="1">IFERROR(__xludf.DUMMYFUNCTION("""COMPUTED_VALUE"""),"")</f>
        <v/>
      </c>
      <c r="J441" s="189" t="str">
        <f ca="1">IFERROR(__xludf.DUMMYFUNCTION("""COMPUTED_VALUE"""),"")</f>
        <v/>
      </c>
      <c r="K441" s="189" t="str">
        <f ca="1">IFERROR(__xludf.DUMMYFUNCTION("""COMPUTED_VALUE"""),"")</f>
        <v/>
      </c>
      <c r="L441" s="189" t="str">
        <f ca="1">IFERROR(__xludf.DUMMYFUNCTION("""COMPUTED_VALUE"""),"")</f>
        <v/>
      </c>
      <c r="M441" s="189" t="str">
        <f ca="1">IFERROR(__xludf.DUMMYFUNCTION("""COMPUTED_VALUE"""),"")</f>
        <v/>
      </c>
      <c r="N441" s="189" t="str">
        <f ca="1">IFERROR(__xludf.DUMMYFUNCTION("""COMPUTED_VALUE"""),"")</f>
        <v/>
      </c>
      <c r="O441" s="189" t="str">
        <f ca="1">IFERROR(__xludf.DUMMYFUNCTION("""COMPUTED_VALUE"""),"")</f>
        <v/>
      </c>
      <c r="P441" s="189" t="str">
        <f ca="1">IFERROR(__xludf.DUMMYFUNCTION("""COMPUTED_VALUE"""),"")</f>
        <v/>
      </c>
      <c r="Q441" s="189" t="str">
        <f ca="1">IFERROR(__xludf.DUMMYFUNCTION("""COMPUTED_VALUE"""),"")</f>
        <v/>
      </c>
      <c r="R441" s="189" t="str">
        <f ca="1">IFERROR(__xludf.DUMMYFUNCTION("""COMPUTED_VALUE"""),"")</f>
        <v/>
      </c>
      <c r="S441" s="189" t="str">
        <f ca="1">IFERROR(__xludf.DUMMYFUNCTION("""COMPUTED_VALUE"""),"")</f>
        <v/>
      </c>
      <c r="T441" s="189" t="str">
        <f ca="1">IFERROR(__xludf.DUMMYFUNCTION("""COMPUTED_VALUE"""),"")</f>
        <v/>
      </c>
      <c r="U441" s="189" t="str">
        <f ca="1">IFERROR(__xludf.DUMMYFUNCTION("""COMPUTED_VALUE"""),"")</f>
        <v/>
      </c>
      <c r="V441" s="189" t="str">
        <f ca="1">IFERROR(__xludf.DUMMYFUNCTION("""COMPUTED_VALUE"""),"")</f>
        <v/>
      </c>
      <c r="W441" s="189" t="str">
        <f ca="1">IFERROR(__xludf.DUMMYFUNCTION("""COMPUTED_VALUE"""),"")</f>
        <v/>
      </c>
      <c r="X441" s="189" t="str">
        <f ca="1">IFERROR(__xludf.DUMMYFUNCTION("""COMPUTED_VALUE"""),"")</f>
        <v/>
      </c>
      <c r="Y441" s="189" t="str">
        <f ca="1">IFERROR(__xludf.DUMMYFUNCTION("""COMPUTED_VALUE"""),"")</f>
        <v/>
      </c>
      <c r="Z441" s="189"/>
    </row>
    <row r="442" spans="1:26" ht="12.75">
      <c r="A442" s="189" t="str">
        <f ca="1">IFERROR(__xludf.DUMMYFUNCTION("""COMPUTED_VALUE"""),"")</f>
        <v/>
      </c>
      <c r="B442" s="189" t="str">
        <f ca="1">IFERROR(__xludf.DUMMYFUNCTION("""COMPUTED_VALUE"""),"")</f>
        <v/>
      </c>
      <c r="C442" s="189" t="str">
        <f ca="1">IFERROR(__xludf.DUMMYFUNCTION("""COMPUTED_VALUE"""),"")</f>
        <v/>
      </c>
      <c r="D442" s="189" t="str">
        <f ca="1">IFERROR(__xludf.DUMMYFUNCTION("""COMPUTED_VALUE"""),"")</f>
        <v/>
      </c>
      <c r="E442" s="189" t="str">
        <f ca="1">IFERROR(__xludf.DUMMYFUNCTION("""COMPUTED_VALUE"""),"")</f>
        <v/>
      </c>
      <c r="F442" s="189" t="str">
        <f ca="1">IFERROR(__xludf.DUMMYFUNCTION("""COMPUTED_VALUE"""),"")</f>
        <v/>
      </c>
      <c r="G442" s="189" t="str">
        <f ca="1">IFERROR(__xludf.DUMMYFUNCTION("""COMPUTED_VALUE"""),"")</f>
        <v/>
      </c>
      <c r="H442" s="189" t="str">
        <f ca="1">IFERROR(__xludf.DUMMYFUNCTION("""COMPUTED_VALUE"""),"")</f>
        <v/>
      </c>
      <c r="I442" s="120" t="str">
        <f ca="1">IFERROR(__xludf.DUMMYFUNCTION("""COMPUTED_VALUE"""),"")</f>
        <v/>
      </c>
      <c r="J442" s="189" t="str">
        <f ca="1">IFERROR(__xludf.DUMMYFUNCTION("""COMPUTED_VALUE"""),"")</f>
        <v/>
      </c>
      <c r="K442" s="189" t="str">
        <f ca="1">IFERROR(__xludf.DUMMYFUNCTION("""COMPUTED_VALUE"""),"")</f>
        <v/>
      </c>
      <c r="L442" s="189" t="str">
        <f ca="1">IFERROR(__xludf.DUMMYFUNCTION("""COMPUTED_VALUE"""),"")</f>
        <v/>
      </c>
      <c r="M442" s="189" t="str">
        <f ca="1">IFERROR(__xludf.DUMMYFUNCTION("""COMPUTED_VALUE"""),"")</f>
        <v/>
      </c>
      <c r="N442" s="189" t="str">
        <f ca="1">IFERROR(__xludf.DUMMYFUNCTION("""COMPUTED_VALUE"""),"")</f>
        <v/>
      </c>
      <c r="O442" s="189" t="str">
        <f ca="1">IFERROR(__xludf.DUMMYFUNCTION("""COMPUTED_VALUE"""),"")</f>
        <v/>
      </c>
      <c r="P442" s="189" t="str">
        <f ca="1">IFERROR(__xludf.DUMMYFUNCTION("""COMPUTED_VALUE"""),"")</f>
        <v/>
      </c>
      <c r="Q442" s="189" t="str">
        <f ca="1">IFERROR(__xludf.DUMMYFUNCTION("""COMPUTED_VALUE"""),"")</f>
        <v/>
      </c>
      <c r="R442" s="189" t="str">
        <f ca="1">IFERROR(__xludf.DUMMYFUNCTION("""COMPUTED_VALUE"""),"")</f>
        <v/>
      </c>
      <c r="S442" s="189" t="str">
        <f ca="1">IFERROR(__xludf.DUMMYFUNCTION("""COMPUTED_VALUE"""),"")</f>
        <v/>
      </c>
      <c r="T442" s="189" t="str">
        <f ca="1">IFERROR(__xludf.DUMMYFUNCTION("""COMPUTED_VALUE"""),"")</f>
        <v/>
      </c>
      <c r="U442" s="189" t="str">
        <f ca="1">IFERROR(__xludf.DUMMYFUNCTION("""COMPUTED_VALUE"""),"")</f>
        <v/>
      </c>
      <c r="V442" s="189" t="str">
        <f ca="1">IFERROR(__xludf.DUMMYFUNCTION("""COMPUTED_VALUE"""),"")</f>
        <v/>
      </c>
      <c r="W442" s="189" t="str">
        <f ca="1">IFERROR(__xludf.DUMMYFUNCTION("""COMPUTED_VALUE"""),"")</f>
        <v/>
      </c>
      <c r="X442" s="189" t="str">
        <f ca="1">IFERROR(__xludf.DUMMYFUNCTION("""COMPUTED_VALUE"""),"")</f>
        <v/>
      </c>
      <c r="Y442" s="189" t="str">
        <f ca="1">IFERROR(__xludf.DUMMYFUNCTION("""COMPUTED_VALUE"""),"")</f>
        <v/>
      </c>
      <c r="Z442" s="189"/>
    </row>
    <row r="443" spans="1:26" ht="12.75">
      <c r="A443" s="189" t="str">
        <f ca="1">IFERROR(__xludf.DUMMYFUNCTION("""COMPUTED_VALUE"""),"")</f>
        <v/>
      </c>
      <c r="B443" s="189" t="str">
        <f ca="1">IFERROR(__xludf.DUMMYFUNCTION("""COMPUTED_VALUE"""),"")</f>
        <v/>
      </c>
      <c r="C443" s="189" t="str">
        <f ca="1">IFERROR(__xludf.DUMMYFUNCTION("""COMPUTED_VALUE"""),"")</f>
        <v/>
      </c>
      <c r="D443" s="189" t="str">
        <f ca="1">IFERROR(__xludf.DUMMYFUNCTION("""COMPUTED_VALUE"""),"")</f>
        <v/>
      </c>
      <c r="E443" s="189" t="str">
        <f ca="1">IFERROR(__xludf.DUMMYFUNCTION("""COMPUTED_VALUE"""),"")</f>
        <v/>
      </c>
      <c r="F443" s="189" t="str">
        <f ca="1">IFERROR(__xludf.DUMMYFUNCTION("""COMPUTED_VALUE"""),"")</f>
        <v/>
      </c>
      <c r="G443" s="189" t="str">
        <f ca="1">IFERROR(__xludf.DUMMYFUNCTION("""COMPUTED_VALUE"""),"")</f>
        <v/>
      </c>
      <c r="H443" s="189" t="str">
        <f ca="1">IFERROR(__xludf.DUMMYFUNCTION("""COMPUTED_VALUE"""),"")</f>
        <v/>
      </c>
      <c r="I443" s="120" t="str">
        <f ca="1">IFERROR(__xludf.DUMMYFUNCTION("""COMPUTED_VALUE"""),"")</f>
        <v/>
      </c>
      <c r="J443" s="189" t="str">
        <f ca="1">IFERROR(__xludf.DUMMYFUNCTION("""COMPUTED_VALUE"""),"")</f>
        <v/>
      </c>
      <c r="K443" s="189" t="str">
        <f ca="1">IFERROR(__xludf.DUMMYFUNCTION("""COMPUTED_VALUE"""),"")</f>
        <v/>
      </c>
      <c r="L443" s="189" t="str">
        <f ca="1">IFERROR(__xludf.DUMMYFUNCTION("""COMPUTED_VALUE"""),"")</f>
        <v/>
      </c>
      <c r="M443" s="189" t="str">
        <f ca="1">IFERROR(__xludf.DUMMYFUNCTION("""COMPUTED_VALUE"""),"")</f>
        <v/>
      </c>
      <c r="N443" s="189" t="str">
        <f ca="1">IFERROR(__xludf.DUMMYFUNCTION("""COMPUTED_VALUE"""),"")</f>
        <v/>
      </c>
      <c r="O443" s="189" t="str">
        <f ca="1">IFERROR(__xludf.DUMMYFUNCTION("""COMPUTED_VALUE"""),"")</f>
        <v/>
      </c>
      <c r="P443" s="189" t="str">
        <f ca="1">IFERROR(__xludf.DUMMYFUNCTION("""COMPUTED_VALUE"""),"")</f>
        <v/>
      </c>
      <c r="Q443" s="189" t="str">
        <f ca="1">IFERROR(__xludf.DUMMYFUNCTION("""COMPUTED_VALUE"""),"")</f>
        <v/>
      </c>
      <c r="R443" s="189" t="str">
        <f ca="1">IFERROR(__xludf.DUMMYFUNCTION("""COMPUTED_VALUE"""),"")</f>
        <v/>
      </c>
      <c r="S443" s="189" t="str">
        <f ca="1">IFERROR(__xludf.DUMMYFUNCTION("""COMPUTED_VALUE"""),"")</f>
        <v/>
      </c>
      <c r="T443" s="189" t="str">
        <f ca="1">IFERROR(__xludf.DUMMYFUNCTION("""COMPUTED_VALUE"""),"")</f>
        <v/>
      </c>
      <c r="U443" s="189" t="str">
        <f ca="1">IFERROR(__xludf.DUMMYFUNCTION("""COMPUTED_VALUE"""),"")</f>
        <v/>
      </c>
      <c r="V443" s="189" t="str">
        <f ca="1">IFERROR(__xludf.DUMMYFUNCTION("""COMPUTED_VALUE"""),"")</f>
        <v/>
      </c>
      <c r="W443" s="189" t="str">
        <f ca="1">IFERROR(__xludf.DUMMYFUNCTION("""COMPUTED_VALUE"""),"")</f>
        <v/>
      </c>
      <c r="X443" s="189" t="str">
        <f ca="1">IFERROR(__xludf.DUMMYFUNCTION("""COMPUTED_VALUE"""),"")</f>
        <v/>
      </c>
      <c r="Y443" s="189" t="str">
        <f ca="1">IFERROR(__xludf.DUMMYFUNCTION("""COMPUTED_VALUE"""),"")</f>
        <v/>
      </c>
      <c r="Z443" s="189"/>
    </row>
    <row r="444" spans="1:26" ht="12.75">
      <c r="A444" s="189" t="str">
        <f ca="1">IFERROR(__xludf.DUMMYFUNCTION("""COMPUTED_VALUE"""),"")</f>
        <v/>
      </c>
      <c r="B444" s="189" t="str">
        <f ca="1">IFERROR(__xludf.DUMMYFUNCTION("""COMPUTED_VALUE"""),"")</f>
        <v/>
      </c>
      <c r="C444" s="189" t="str">
        <f ca="1">IFERROR(__xludf.DUMMYFUNCTION("""COMPUTED_VALUE"""),"")</f>
        <v/>
      </c>
      <c r="D444" s="189" t="str">
        <f ca="1">IFERROR(__xludf.DUMMYFUNCTION("""COMPUTED_VALUE"""),"")</f>
        <v/>
      </c>
      <c r="E444" s="189" t="str">
        <f ca="1">IFERROR(__xludf.DUMMYFUNCTION("""COMPUTED_VALUE"""),"")</f>
        <v/>
      </c>
      <c r="F444" s="189" t="str">
        <f ca="1">IFERROR(__xludf.DUMMYFUNCTION("""COMPUTED_VALUE"""),"")</f>
        <v/>
      </c>
      <c r="G444" s="189" t="str">
        <f ca="1">IFERROR(__xludf.DUMMYFUNCTION("""COMPUTED_VALUE"""),"")</f>
        <v/>
      </c>
      <c r="H444" s="189" t="str">
        <f ca="1">IFERROR(__xludf.DUMMYFUNCTION("""COMPUTED_VALUE"""),"")</f>
        <v/>
      </c>
      <c r="I444" s="120" t="str">
        <f ca="1">IFERROR(__xludf.DUMMYFUNCTION("""COMPUTED_VALUE"""),"")</f>
        <v/>
      </c>
      <c r="J444" s="189" t="str">
        <f ca="1">IFERROR(__xludf.DUMMYFUNCTION("""COMPUTED_VALUE"""),"")</f>
        <v/>
      </c>
      <c r="K444" s="189" t="str">
        <f ca="1">IFERROR(__xludf.DUMMYFUNCTION("""COMPUTED_VALUE"""),"")</f>
        <v/>
      </c>
      <c r="L444" s="189" t="str">
        <f ca="1">IFERROR(__xludf.DUMMYFUNCTION("""COMPUTED_VALUE"""),"")</f>
        <v/>
      </c>
      <c r="M444" s="189" t="str">
        <f ca="1">IFERROR(__xludf.DUMMYFUNCTION("""COMPUTED_VALUE"""),"")</f>
        <v/>
      </c>
      <c r="N444" s="189" t="str">
        <f ca="1">IFERROR(__xludf.DUMMYFUNCTION("""COMPUTED_VALUE"""),"")</f>
        <v/>
      </c>
      <c r="O444" s="189" t="str">
        <f ca="1">IFERROR(__xludf.DUMMYFUNCTION("""COMPUTED_VALUE"""),"")</f>
        <v/>
      </c>
      <c r="P444" s="189" t="str">
        <f ca="1">IFERROR(__xludf.DUMMYFUNCTION("""COMPUTED_VALUE"""),"")</f>
        <v/>
      </c>
      <c r="Q444" s="189" t="str">
        <f ca="1">IFERROR(__xludf.DUMMYFUNCTION("""COMPUTED_VALUE"""),"")</f>
        <v/>
      </c>
      <c r="R444" s="189" t="str">
        <f ca="1">IFERROR(__xludf.DUMMYFUNCTION("""COMPUTED_VALUE"""),"")</f>
        <v/>
      </c>
      <c r="S444" s="189" t="str">
        <f ca="1">IFERROR(__xludf.DUMMYFUNCTION("""COMPUTED_VALUE"""),"")</f>
        <v/>
      </c>
      <c r="T444" s="189" t="str">
        <f ca="1">IFERROR(__xludf.DUMMYFUNCTION("""COMPUTED_VALUE"""),"")</f>
        <v/>
      </c>
      <c r="U444" s="189" t="str">
        <f ca="1">IFERROR(__xludf.DUMMYFUNCTION("""COMPUTED_VALUE"""),"")</f>
        <v/>
      </c>
      <c r="V444" s="189" t="str">
        <f ca="1">IFERROR(__xludf.DUMMYFUNCTION("""COMPUTED_VALUE"""),"")</f>
        <v/>
      </c>
      <c r="W444" s="189" t="str">
        <f ca="1">IFERROR(__xludf.DUMMYFUNCTION("""COMPUTED_VALUE"""),"")</f>
        <v/>
      </c>
      <c r="X444" s="189" t="str">
        <f ca="1">IFERROR(__xludf.DUMMYFUNCTION("""COMPUTED_VALUE"""),"")</f>
        <v/>
      </c>
      <c r="Y444" s="189" t="str">
        <f ca="1">IFERROR(__xludf.DUMMYFUNCTION("""COMPUTED_VALUE"""),"")</f>
        <v/>
      </c>
      <c r="Z444" s="189"/>
    </row>
    <row r="445" spans="1:26" ht="12.75">
      <c r="A445" s="189" t="str">
        <f ca="1">IFERROR(__xludf.DUMMYFUNCTION("""COMPUTED_VALUE"""),"")</f>
        <v/>
      </c>
      <c r="B445" s="189" t="str">
        <f ca="1">IFERROR(__xludf.DUMMYFUNCTION("""COMPUTED_VALUE"""),"")</f>
        <v/>
      </c>
      <c r="C445" s="189" t="str">
        <f ca="1">IFERROR(__xludf.DUMMYFUNCTION("""COMPUTED_VALUE"""),"")</f>
        <v/>
      </c>
      <c r="D445" s="189" t="str">
        <f ca="1">IFERROR(__xludf.DUMMYFUNCTION("""COMPUTED_VALUE"""),"")</f>
        <v/>
      </c>
      <c r="E445" s="189" t="str">
        <f ca="1">IFERROR(__xludf.DUMMYFUNCTION("""COMPUTED_VALUE"""),"")</f>
        <v/>
      </c>
      <c r="F445" s="189" t="str">
        <f ca="1">IFERROR(__xludf.DUMMYFUNCTION("""COMPUTED_VALUE"""),"")</f>
        <v/>
      </c>
      <c r="G445" s="189" t="str">
        <f ca="1">IFERROR(__xludf.DUMMYFUNCTION("""COMPUTED_VALUE"""),"")</f>
        <v/>
      </c>
      <c r="H445" s="189" t="str">
        <f ca="1">IFERROR(__xludf.DUMMYFUNCTION("""COMPUTED_VALUE"""),"")</f>
        <v/>
      </c>
      <c r="I445" s="120" t="str">
        <f ca="1">IFERROR(__xludf.DUMMYFUNCTION("""COMPUTED_VALUE"""),"")</f>
        <v/>
      </c>
      <c r="J445" s="189" t="str">
        <f ca="1">IFERROR(__xludf.DUMMYFUNCTION("""COMPUTED_VALUE"""),"")</f>
        <v/>
      </c>
      <c r="K445" s="189" t="str">
        <f ca="1">IFERROR(__xludf.DUMMYFUNCTION("""COMPUTED_VALUE"""),"")</f>
        <v/>
      </c>
      <c r="L445" s="189" t="str">
        <f ca="1">IFERROR(__xludf.DUMMYFUNCTION("""COMPUTED_VALUE"""),"")</f>
        <v/>
      </c>
      <c r="M445" s="189" t="str">
        <f ca="1">IFERROR(__xludf.DUMMYFUNCTION("""COMPUTED_VALUE"""),"")</f>
        <v/>
      </c>
      <c r="N445" s="189" t="str">
        <f ca="1">IFERROR(__xludf.DUMMYFUNCTION("""COMPUTED_VALUE"""),"")</f>
        <v/>
      </c>
      <c r="O445" s="189" t="str">
        <f ca="1">IFERROR(__xludf.DUMMYFUNCTION("""COMPUTED_VALUE"""),"")</f>
        <v/>
      </c>
      <c r="P445" s="189" t="str">
        <f ca="1">IFERROR(__xludf.DUMMYFUNCTION("""COMPUTED_VALUE"""),"")</f>
        <v/>
      </c>
      <c r="Q445" s="189" t="str">
        <f ca="1">IFERROR(__xludf.DUMMYFUNCTION("""COMPUTED_VALUE"""),"")</f>
        <v/>
      </c>
      <c r="R445" s="189" t="str">
        <f ca="1">IFERROR(__xludf.DUMMYFUNCTION("""COMPUTED_VALUE"""),"")</f>
        <v/>
      </c>
      <c r="S445" s="189" t="str">
        <f ca="1">IFERROR(__xludf.DUMMYFUNCTION("""COMPUTED_VALUE"""),"")</f>
        <v/>
      </c>
      <c r="T445" s="189" t="str">
        <f ca="1">IFERROR(__xludf.DUMMYFUNCTION("""COMPUTED_VALUE"""),"")</f>
        <v/>
      </c>
      <c r="U445" s="189" t="str">
        <f ca="1">IFERROR(__xludf.DUMMYFUNCTION("""COMPUTED_VALUE"""),"")</f>
        <v/>
      </c>
      <c r="V445" s="189" t="str">
        <f ca="1">IFERROR(__xludf.DUMMYFUNCTION("""COMPUTED_VALUE"""),"")</f>
        <v/>
      </c>
      <c r="W445" s="189" t="str">
        <f ca="1">IFERROR(__xludf.DUMMYFUNCTION("""COMPUTED_VALUE"""),"")</f>
        <v/>
      </c>
      <c r="X445" s="189" t="str">
        <f ca="1">IFERROR(__xludf.DUMMYFUNCTION("""COMPUTED_VALUE"""),"")</f>
        <v/>
      </c>
      <c r="Y445" s="189" t="str">
        <f ca="1">IFERROR(__xludf.DUMMYFUNCTION("""COMPUTED_VALUE"""),"")</f>
        <v/>
      </c>
      <c r="Z445" s="189"/>
    </row>
    <row r="446" spans="1:26" ht="12.75">
      <c r="A446" s="189" t="str">
        <f ca="1">IFERROR(__xludf.DUMMYFUNCTION("""COMPUTED_VALUE"""),"")</f>
        <v/>
      </c>
      <c r="B446" s="189" t="str">
        <f ca="1">IFERROR(__xludf.DUMMYFUNCTION("""COMPUTED_VALUE"""),"")</f>
        <v/>
      </c>
      <c r="C446" s="189" t="str">
        <f ca="1">IFERROR(__xludf.DUMMYFUNCTION("""COMPUTED_VALUE"""),"")</f>
        <v/>
      </c>
      <c r="D446" s="189" t="str">
        <f ca="1">IFERROR(__xludf.DUMMYFUNCTION("""COMPUTED_VALUE"""),"")</f>
        <v/>
      </c>
      <c r="E446" s="189" t="str">
        <f ca="1">IFERROR(__xludf.DUMMYFUNCTION("""COMPUTED_VALUE"""),"")</f>
        <v/>
      </c>
      <c r="F446" s="189" t="str">
        <f ca="1">IFERROR(__xludf.DUMMYFUNCTION("""COMPUTED_VALUE"""),"")</f>
        <v/>
      </c>
      <c r="G446" s="189" t="str">
        <f ca="1">IFERROR(__xludf.DUMMYFUNCTION("""COMPUTED_VALUE"""),"")</f>
        <v/>
      </c>
      <c r="H446" s="189" t="str">
        <f ca="1">IFERROR(__xludf.DUMMYFUNCTION("""COMPUTED_VALUE"""),"")</f>
        <v/>
      </c>
      <c r="I446" s="120" t="str">
        <f ca="1">IFERROR(__xludf.DUMMYFUNCTION("""COMPUTED_VALUE"""),"")</f>
        <v/>
      </c>
      <c r="J446" s="189" t="str">
        <f ca="1">IFERROR(__xludf.DUMMYFUNCTION("""COMPUTED_VALUE"""),"")</f>
        <v/>
      </c>
      <c r="K446" s="189" t="str">
        <f ca="1">IFERROR(__xludf.DUMMYFUNCTION("""COMPUTED_VALUE"""),"")</f>
        <v/>
      </c>
      <c r="L446" s="189" t="str">
        <f ca="1">IFERROR(__xludf.DUMMYFUNCTION("""COMPUTED_VALUE"""),"")</f>
        <v/>
      </c>
      <c r="M446" s="189" t="str">
        <f ca="1">IFERROR(__xludf.DUMMYFUNCTION("""COMPUTED_VALUE"""),"")</f>
        <v/>
      </c>
      <c r="N446" s="189" t="str">
        <f ca="1">IFERROR(__xludf.DUMMYFUNCTION("""COMPUTED_VALUE"""),"")</f>
        <v/>
      </c>
      <c r="O446" s="189" t="str">
        <f ca="1">IFERROR(__xludf.DUMMYFUNCTION("""COMPUTED_VALUE"""),"")</f>
        <v/>
      </c>
      <c r="P446" s="189" t="str">
        <f ca="1">IFERROR(__xludf.DUMMYFUNCTION("""COMPUTED_VALUE"""),"")</f>
        <v/>
      </c>
      <c r="Q446" s="189" t="str">
        <f ca="1">IFERROR(__xludf.DUMMYFUNCTION("""COMPUTED_VALUE"""),"")</f>
        <v/>
      </c>
      <c r="R446" s="189" t="str">
        <f ca="1">IFERROR(__xludf.DUMMYFUNCTION("""COMPUTED_VALUE"""),"")</f>
        <v/>
      </c>
      <c r="S446" s="189" t="str">
        <f ca="1">IFERROR(__xludf.DUMMYFUNCTION("""COMPUTED_VALUE"""),"")</f>
        <v/>
      </c>
      <c r="T446" s="189" t="str">
        <f ca="1">IFERROR(__xludf.DUMMYFUNCTION("""COMPUTED_VALUE"""),"")</f>
        <v/>
      </c>
      <c r="U446" s="189" t="str">
        <f ca="1">IFERROR(__xludf.DUMMYFUNCTION("""COMPUTED_VALUE"""),"")</f>
        <v/>
      </c>
      <c r="V446" s="189" t="str">
        <f ca="1">IFERROR(__xludf.DUMMYFUNCTION("""COMPUTED_VALUE"""),"")</f>
        <v/>
      </c>
      <c r="W446" s="189" t="str">
        <f ca="1">IFERROR(__xludf.DUMMYFUNCTION("""COMPUTED_VALUE"""),"")</f>
        <v/>
      </c>
      <c r="X446" s="189" t="str">
        <f ca="1">IFERROR(__xludf.DUMMYFUNCTION("""COMPUTED_VALUE"""),"")</f>
        <v/>
      </c>
      <c r="Y446" s="189" t="str">
        <f ca="1">IFERROR(__xludf.DUMMYFUNCTION("""COMPUTED_VALUE"""),"")</f>
        <v/>
      </c>
      <c r="Z446" s="189"/>
    </row>
    <row r="447" spans="1:26" ht="12.75">
      <c r="A447" s="189" t="str">
        <f ca="1">IFERROR(__xludf.DUMMYFUNCTION("""COMPUTED_VALUE"""),"")</f>
        <v/>
      </c>
      <c r="B447" s="189" t="str">
        <f ca="1">IFERROR(__xludf.DUMMYFUNCTION("""COMPUTED_VALUE"""),"")</f>
        <v/>
      </c>
      <c r="C447" s="189" t="str">
        <f ca="1">IFERROR(__xludf.DUMMYFUNCTION("""COMPUTED_VALUE"""),"")</f>
        <v/>
      </c>
      <c r="D447" s="189" t="str">
        <f ca="1">IFERROR(__xludf.DUMMYFUNCTION("""COMPUTED_VALUE"""),"")</f>
        <v/>
      </c>
      <c r="E447" s="189" t="str">
        <f ca="1">IFERROR(__xludf.DUMMYFUNCTION("""COMPUTED_VALUE"""),"")</f>
        <v/>
      </c>
      <c r="F447" s="189" t="str">
        <f ca="1">IFERROR(__xludf.DUMMYFUNCTION("""COMPUTED_VALUE"""),"")</f>
        <v/>
      </c>
      <c r="G447" s="189" t="str">
        <f ca="1">IFERROR(__xludf.DUMMYFUNCTION("""COMPUTED_VALUE"""),"")</f>
        <v/>
      </c>
      <c r="H447" s="189" t="str">
        <f ca="1">IFERROR(__xludf.DUMMYFUNCTION("""COMPUTED_VALUE"""),"")</f>
        <v/>
      </c>
      <c r="I447" s="120" t="str">
        <f ca="1">IFERROR(__xludf.DUMMYFUNCTION("""COMPUTED_VALUE"""),"")</f>
        <v/>
      </c>
      <c r="J447" s="189" t="str">
        <f ca="1">IFERROR(__xludf.DUMMYFUNCTION("""COMPUTED_VALUE"""),"")</f>
        <v/>
      </c>
      <c r="K447" s="189" t="str">
        <f ca="1">IFERROR(__xludf.DUMMYFUNCTION("""COMPUTED_VALUE"""),"")</f>
        <v/>
      </c>
      <c r="L447" s="189" t="str">
        <f ca="1">IFERROR(__xludf.DUMMYFUNCTION("""COMPUTED_VALUE"""),"")</f>
        <v/>
      </c>
      <c r="M447" s="189" t="str">
        <f ca="1">IFERROR(__xludf.DUMMYFUNCTION("""COMPUTED_VALUE"""),"")</f>
        <v/>
      </c>
      <c r="N447" s="189" t="str">
        <f ca="1">IFERROR(__xludf.DUMMYFUNCTION("""COMPUTED_VALUE"""),"")</f>
        <v/>
      </c>
      <c r="O447" s="189" t="str">
        <f ca="1">IFERROR(__xludf.DUMMYFUNCTION("""COMPUTED_VALUE"""),"")</f>
        <v/>
      </c>
      <c r="P447" s="189" t="str">
        <f ca="1">IFERROR(__xludf.DUMMYFUNCTION("""COMPUTED_VALUE"""),"")</f>
        <v/>
      </c>
      <c r="Q447" s="189" t="str">
        <f ca="1">IFERROR(__xludf.DUMMYFUNCTION("""COMPUTED_VALUE"""),"")</f>
        <v/>
      </c>
      <c r="R447" s="189" t="str">
        <f ca="1">IFERROR(__xludf.DUMMYFUNCTION("""COMPUTED_VALUE"""),"")</f>
        <v/>
      </c>
      <c r="S447" s="189" t="str">
        <f ca="1">IFERROR(__xludf.DUMMYFUNCTION("""COMPUTED_VALUE"""),"")</f>
        <v/>
      </c>
      <c r="T447" s="189" t="str">
        <f ca="1">IFERROR(__xludf.DUMMYFUNCTION("""COMPUTED_VALUE"""),"")</f>
        <v/>
      </c>
      <c r="U447" s="189" t="str">
        <f ca="1">IFERROR(__xludf.DUMMYFUNCTION("""COMPUTED_VALUE"""),"")</f>
        <v/>
      </c>
      <c r="V447" s="189" t="str">
        <f ca="1">IFERROR(__xludf.DUMMYFUNCTION("""COMPUTED_VALUE"""),"")</f>
        <v/>
      </c>
      <c r="W447" s="189" t="str">
        <f ca="1">IFERROR(__xludf.DUMMYFUNCTION("""COMPUTED_VALUE"""),"")</f>
        <v/>
      </c>
      <c r="X447" s="189" t="str">
        <f ca="1">IFERROR(__xludf.DUMMYFUNCTION("""COMPUTED_VALUE"""),"")</f>
        <v/>
      </c>
      <c r="Y447" s="189" t="str">
        <f ca="1">IFERROR(__xludf.DUMMYFUNCTION("""COMPUTED_VALUE"""),"")</f>
        <v/>
      </c>
      <c r="Z447" s="189"/>
    </row>
    <row r="448" spans="1:26" ht="12.75">
      <c r="A448" s="189" t="str">
        <f ca="1">IFERROR(__xludf.DUMMYFUNCTION("""COMPUTED_VALUE"""),"")</f>
        <v/>
      </c>
      <c r="B448" s="189" t="str">
        <f ca="1">IFERROR(__xludf.DUMMYFUNCTION("""COMPUTED_VALUE"""),"")</f>
        <v/>
      </c>
      <c r="C448" s="189" t="str">
        <f ca="1">IFERROR(__xludf.DUMMYFUNCTION("""COMPUTED_VALUE"""),"")</f>
        <v/>
      </c>
      <c r="D448" s="189" t="str">
        <f ca="1">IFERROR(__xludf.DUMMYFUNCTION("""COMPUTED_VALUE"""),"")</f>
        <v/>
      </c>
      <c r="E448" s="189" t="str">
        <f ca="1">IFERROR(__xludf.DUMMYFUNCTION("""COMPUTED_VALUE"""),"")</f>
        <v/>
      </c>
      <c r="F448" s="189" t="str">
        <f ca="1">IFERROR(__xludf.DUMMYFUNCTION("""COMPUTED_VALUE"""),"")</f>
        <v/>
      </c>
      <c r="G448" s="189" t="str">
        <f ca="1">IFERROR(__xludf.DUMMYFUNCTION("""COMPUTED_VALUE"""),"")</f>
        <v/>
      </c>
      <c r="H448" s="189" t="str">
        <f ca="1">IFERROR(__xludf.DUMMYFUNCTION("""COMPUTED_VALUE"""),"")</f>
        <v/>
      </c>
      <c r="I448" s="120" t="str">
        <f ca="1">IFERROR(__xludf.DUMMYFUNCTION("""COMPUTED_VALUE"""),"")</f>
        <v/>
      </c>
      <c r="J448" s="189" t="str">
        <f ca="1">IFERROR(__xludf.DUMMYFUNCTION("""COMPUTED_VALUE"""),"")</f>
        <v/>
      </c>
      <c r="K448" s="189" t="str">
        <f ca="1">IFERROR(__xludf.DUMMYFUNCTION("""COMPUTED_VALUE"""),"")</f>
        <v/>
      </c>
      <c r="L448" s="189" t="str">
        <f ca="1">IFERROR(__xludf.DUMMYFUNCTION("""COMPUTED_VALUE"""),"")</f>
        <v/>
      </c>
      <c r="M448" s="189" t="str">
        <f ca="1">IFERROR(__xludf.DUMMYFUNCTION("""COMPUTED_VALUE"""),"")</f>
        <v/>
      </c>
      <c r="N448" s="189" t="str">
        <f ca="1">IFERROR(__xludf.DUMMYFUNCTION("""COMPUTED_VALUE"""),"")</f>
        <v/>
      </c>
      <c r="O448" s="189" t="str">
        <f ca="1">IFERROR(__xludf.DUMMYFUNCTION("""COMPUTED_VALUE"""),"")</f>
        <v/>
      </c>
      <c r="P448" s="189" t="str">
        <f ca="1">IFERROR(__xludf.DUMMYFUNCTION("""COMPUTED_VALUE"""),"")</f>
        <v/>
      </c>
      <c r="Q448" s="189" t="str">
        <f ca="1">IFERROR(__xludf.DUMMYFUNCTION("""COMPUTED_VALUE"""),"")</f>
        <v/>
      </c>
      <c r="R448" s="189" t="str">
        <f ca="1">IFERROR(__xludf.DUMMYFUNCTION("""COMPUTED_VALUE"""),"")</f>
        <v/>
      </c>
      <c r="S448" s="189" t="str">
        <f ca="1">IFERROR(__xludf.DUMMYFUNCTION("""COMPUTED_VALUE"""),"")</f>
        <v/>
      </c>
      <c r="T448" s="189" t="str">
        <f ca="1">IFERROR(__xludf.DUMMYFUNCTION("""COMPUTED_VALUE"""),"")</f>
        <v/>
      </c>
      <c r="U448" s="189" t="str">
        <f ca="1">IFERROR(__xludf.DUMMYFUNCTION("""COMPUTED_VALUE"""),"")</f>
        <v/>
      </c>
      <c r="V448" s="189" t="str">
        <f ca="1">IFERROR(__xludf.DUMMYFUNCTION("""COMPUTED_VALUE"""),"")</f>
        <v/>
      </c>
      <c r="W448" s="189" t="str">
        <f ca="1">IFERROR(__xludf.DUMMYFUNCTION("""COMPUTED_VALUE"""),"")</f>
        <v/>
      </c>
      <c r="X448" s="189" t="str">
        <f ca="1">IFERROR(__xludf.DUMMYFUNCTION("""COMPUTED_VALUE"""),"")</f>
        <v/>
      </c>
      <c r="Y448" s="189" t="str">
        <f ca="1">IFERROR(__xludf.DUMMYFUNCTION("""COMPUTED_VALUE"""),"")</f>
        <v/>
      </c>
      <c r="Z448" s="189"/>
    </row>
    <row r="449" spans="1:26" ht="12.75">
      <c r="A449" s="189" t="str">
        <f ca="1">IFERROR(__xludf.DUMMYFUNCTION("""COMPUTED_VALUE"""),"")</f>
        <v/>
      </c>
      <c r="B449" s="189" t="str">
        <f ca="1">IFERROR(__xludf.DUMMYFUNCTION("""COMPUTED_VALUE"""),"")</f>
        <v/>
      </c>
      <c r="C449" s="189" t="str">
        <f ca="1">IFERROR(__xludf.DUMMYFUNCTION("""COMPUTED_VALUE"""),"")</f>
        <v/>
      </c>
      <c r="D449" s="189" t="str">
        <f ca="1">IFERROR(__xludf.DUMMYFUNCTION("""COMPUTED_VALUE"""),"")</f>
        <v/>
      </c>
      <c r="E449" s="189" t="str">
        <f ca="1">IFERROR(__xludf.DUMMYFUNCTION("""COMPUTED_VALUE"""),"")</f>
        <v/>
      </c>
      <c r="F449" s="189" t="str">
        <f ca="1">IFERROR(__xludf.DUMMYFUNCTION("""COMPUTED_VALUE"""),"")</f>
        <v/>
      </c>
      <c r="G449" s="189" t="str">
        <f ca="1">IFERROR(__xludf.DUMMYFUNCTION("""COMPUTED_VALUE"""),"")</f>
        <v/>
      </c>
      <c r="H449" s="189" t="str">
        <f ca="1">IFERROR(__xludf.DUMMYFUNCTION("""COMPUTED_VALUE"""),"")</f>
        <v/>
      </c>
      <c r="I449" s="120" t="str">
        <f ca="1">IFERROR(__xludf.DUMMYFUNCTION("""COMPUTED_VALUE"""),"")</f>
        <v/>
      </c>
      <c r="J449" s="189" t="str">
        <f ca="1">IFERROR(__xludf.DUMMYFUNCTION("""COMPUTED_VALUE"""),"")</f>
        <v/>
      </c>
      <c r="K449" s="189" t="str">
        <f ca="1">IFERROR(__xludf.DUMMYFUNCTION("""COMPUTED_VALUE"""),"")</f>
        <v/>
      </c>
      <c r="L449" s="189" t="str">
        <f ca="1">IFERROR(__xludf.DUMMYFUNCTION("""COMPUTED_VALUE"""),"")</f>
        <v/>
      </c>
      <c r="M449" s="189" t="str">
        <f ca="1">IFERROR(__xludf.DUMMYFUNCTION("""COMPUTED_VALUE"""),"")</f>
        <v/>
      </c>
      <c r="N449" s="189" t="str">
        <f ca="1">IFERROR(__xludf.DUMMYFUNCTION("""COMPUTED_VALUE"""),"")</f>
        <v/>
      </c>
      <c r="O449" s="189" t="str">
        <f ca="1">IFERROR(__xludf.DUMMYFUNCTION("""COMPUTED_VALUE"""),"")</f>
        <v/>
      </c>
      <c r="P449" s="189" t="str">
        <f ca="1">IFERROR(__xludf.DUMMYFUNCTION("""COMPUTED_VALUE"""),"")</f>
        <v/>
      </c>
      <c r="Q449" s="189" t="str">
        <f ca="1">IFERROR(__xludf.DUMMYFUNCTION("""COMPUTED_VALUE"""),"")</f>
        <v/>
      </c>
      <c r="R449" s="189" t="str">
        <f ca="1">IFERROR(__xludf.DUMMYFUNCTION("""COMPUTED_VALUE"""),"")</f>
        <v/>
      </c>
      <c r="S449" s="189" t="str">
        <f ca="1">IFERROR(__xludf.DUMMYFUNCTION("""COMPUTED_VALUE"""),"")</f>
        <v/>
      </c>
      <c r="T449" s="189" t="str">
        <f ca="1">IFERROR(__xludf.DUMMYFUNCTION("""COMPUTED_VALUE"""),"")</f>
        <v/>
      </c>
      <c r="U449" s="189" t="str">
        <f ca="1">IFERROR(__xludf.DUMMYFUNCTION("""COMPUTED_VALUE"""),"")</f>
        <v/>
      </c>
      <c r="V449" s="189" t="str">
        <f ca="1">IFERROR(__xludf.DUMMYFUNCTION("""COMPUTED_VALUE"""),"")</f>
        <v/>
      </c>
      <c r="W449" s="189" t="str">
        <f ca="1">IFERROR(__xludf.DUMMYFUNCTION("""COMPUTED_VALUE"""),"")</f>
        <v/>
      </c>
      <c r="X449" s="189" t="str">
        <f ca="1">IFERROR(__xludf.DUMMYFUNCTION("""COMPUTED_VALUE"""),"")</f>
        <v/>
      </c>
      <c r="Y449" s="189" t="str">
        <f ca="1">IFERROR(__xludf.DUMMYFUNCTION("""COMPUTED_VALUE"""),"")</f>
        <v/>
      </c>
      <c r="Z449" s="189"/>
    </row>
    <row r="450" spans="1:26" ht="12.75">
      <c r="A450" s="189" t="str">
        <f ca="1">IFERROR(__xludf.DUMMYFUNCTION("""COMPUTED_VALUE"""),"")</f>
        <v/>
      </c>
      <c r="B450" s="189" t="str">
        <f ca="1">IFERROR(__xludf.DUMMYFUNCTION("""COMPUTED_VALUE"""),"")</f>
        <v/>
      </c>
      <c r="C450" s="189" t="str">
        <f ca="1">IFERROR(__xludf.DUMMYFUNCTION("""COMPUTED_VALUE"""),"")</f>
        <v/>
      </c>
      <c r="D450" s="189" t="str">
        <f ca="1">IFERROR(__xludf.DUMMYFUNCTION("""COMPUTED_VALUE"""),"")</f>
        <v/>
      </c>
      <c r="E450" s="189" t="str">
        <f ca="1">IFERROR(__xludf.DUMMYFUNCTION("""COMPUTED_VALUE"""),"")</f>
        <v/>
      </c>
      <c r="F450" s="189" t="str">
        <f ca="1">IFERROR(__xludf.DUMMYFUNCTION("""COMPUTED_VALUE"""),"")</f>
        <v/>
      </c>
      <c r="G450" s="189" t="str">
        <f ca="1">IFERROR(__xludf.DUMMYFUNCTION("""COMPUTED_VALUE"""),"")</f>
        <v/>
      </c>
      <c r="H450" s="189" t="str">
        <f ca="1">IFERROR(__xludf.DUMMYFUNCTION("""COMPUTED_VALUE"""),"")</f>
        <v/>
      </c>
      <c r="I450" s="120" t="str">
        <f ca="1">IFERROR(__xludf.DUMMYFUNCTION("""COMPUTED_VALUE"""),"")</f>
        <v/>
      </c>
      <c r="J450" s="189" t="str">
        <f ca="1">IFERROR(__xludf.DUMMYFUNCTION("""COMPUTED_VALUE"""),"")</f>
        <v/>
      </c>
      <c r="K450" s="189" t="str">
        <f ca="1">IFERROR(__xludf.DUMMYFUNCTION("""COMPUTED_VALUE"""),"")</f>
        <v/>
      </c>
      <c r="L450" s="189" t="str">
        <f ca="1">IFERROR(__xludf.DUMMYFUNCTION("""COMPUTED_VALUE"""),"")</f>
        <v/>
      </c>
      <c r="M450" s="189" t="str">
        <f ca="1">IFERROR(__xludf.DUMMYFUNCTION("""COMPUTED_VALUE"""),"")</f>
        <v/>
      </c>
      <c r="N450" s="189" t="str">
        <f ca="1">IFERROR(__xludf.DUMMYFUNCTION("""COMPUTED_VALUE"""),"")</f>
        <v/>
      </c>
      <c r="O450" s="189" t="str">
        <f ca="1">IFERROR(__xludf.DUMMYFUNCTION("""COMPUTED_VALUE"""),"")</f>
        <v/>
      </c>
      <c r="P450" s="189" t="str">
        <f ca="1">IFERROR(__xludf.DUMMYFUNCTION("""COMPUTED_VALUE"""),"")</f>
        <v/>
      </c>
      <c r="Q450" s="189" t="str">
        <f ca="1">IFERROR(__xludf.DUMMYFUNCTION("""COMPUTED_VALUE"""),"")</f>
        <v/>
      </c>
      <c r="R450" s="189" t="str">
        <f ca="1">IFERROR(__xludf.DUMMYFUNCTION("""COMPUTED_VALUE"""),"")</f>
        <v/>
      </c>
      <c r="S450" s="189" t="str">
        <f ca="1">IFERROR(__xludf.DUMMYFUNCTION("""COMPUTED_VALUE"""),"")</f>
        <v/>
      </c>
      <c r="T450" s="189" t="str">
        <f ca="1">IFERROR(__xludf.DUMMYFUNCTION("""COMPUTED_VALUE"""),"")</f>
        <v/>
      </c>
      <c r="U450" s="189" t="str">
        <f ca="1">IFERROR(__xludf.DUMMYFUNCTION("""COMPUTED_VALUE"""),"")</f>
        <v/>
      </c>
      <c r="V450" s="189" t="str">
        <f ca="1">IFERROR(__xludf.DUMMYFUNCTION("""COMPUTED_VALUE"""),"")</f>
        <v/>
      </c>
      <c r="W450" s="189" t="str">
        <f ca="1">IFERROR(__xludf.DUMMYFUNCTION("""COMPUTED_VALUE"""),"")</f>
        <v/>
      </c>
      <c r="X450" s="189" t="str">
        <f ca="1">IFERROR(__xludf.DUMMYFUNCTION("""COMPUTED_VALUE"""),"")</f>
        <v/>
      </c>
      <c r="Y450" s="189" t="str">
        <f ca="1">IFERROR(__xludf.DUMMYFUNCTION("""COMPUTED_VALUE"""),"")</f>
        <v/>
      </c>
      <c r="Z450" s="189"/>
    </row>
    <row r="451" spans="1:26" ht="12.75">
      <c r="A451" s="189" t="str">
        <f ca="1">IFERROR(__xludf.DUMMYFUNCTION("""COMPUTED_VALUE"""),"")</f>
        <v/>
      </c>
      <c r="B451" s="189" t="str">
        <f ca="1">IFERROR(__xludf.DUMMYFUNCTION("""COMPUTED_VALUE"""),"")</f>
        <v/>
      </c>
      <c r="C451" s="189" t="str">
        <f ca="1">IFERROR(__xludf.DUMMYFUNCTION("""COMPUTED_VALUE"""),"")</f>
        <v/>
      </c>
      <c r="D451" s="189" t="str">
        <f ca="1">IFERROR(__xludf.DUMMYFUNCTION("""COMPUTED_VALUE"""),"")</f>
        <v/>
      </c>
      <c r="E451" s="189" t="str">
        <f ca="1">IFERROR(__xludf.DUMMYFUNCTION("""COMPUTED_VALUE"""),"")</f>
        <v/>
      </c>
      <c r="F451" s="189" t="str">
        <f ca="1">IFERROR(__xludf.DUMMYFUNCTION("""COMPUTED_VALUE"""),"")</f>
        <v/>
      </c>
      <c r="G451" s="189" t="str">
        <f ca="1">IFERROR(__xludf.DUMMYFUNCTION("""COMPUTED_VALUE"""),"")</f>
        <v/>
      </c>
      <c r="H451" s="189" t="str">
        <f ca="1">IFERROR(__xludf.DUMMYFUNCTION("""COMPUTED_VALUE"""),"")</f>
        <v/>
      </c>
      <c r="I451" s="120" t="str">
        <f ca="1">IFERROR(__xludf.DUMMYFUNCTION("""COMPUTED_VALUE"""),"")</f>
        <v/>
      </c>
      <c r="J451" s="189" t="str">
        <f ca="1">IFERROR(__xludf.DUMMYFUNCTION("""COMPUTED_VALUE"""),"")</f>
        <v/>
      </c>
      <c r="K451" s="189" t="str">
        <f ca="1">IFERROR(__xludf.DUMMYFUNCTION("""COMPUTED_VALUE"""),"")</f>
        <v/>
      </c>
      <c r="L451" s="189" t="str">
        <f ca="1">IFERROR(__xludf.DUMMYFUNCTION("""COMPUTED_VALUE"""),"")</f>
        <v/>
      </c>
      <c r="M451" s="189" t="str">
        <f ca="1">IFERROR(__xludf.DUMMYFUNCTION("""COMPUTED_VALUE"""),"")</f>
        <v/>
      </c>
      <c r="N451" s="189" t="str">
        <f ca="1">IFERROR(__xludf.DUMMYFUNCTION("""COMPUTED_VALUE"""),"")</f>
        <v/>
      </c>
      <c r="O451" s="189" t="str">
        <f ca="1">IFERROR(__xludf.DUMMYFUNCTION("""COMPUTED_VALUE"""),"")</f>
        <v/>
      </c>
      <c r="P451" s="189" t="str">
        <f ca="1">IFERROR(__xludf.DUMMYFUNCTION("""COMPUTED_VALUE"""),"")</f>
        <v/>
      </c>
      <c r="Q451" s="189" t="str">
        <f ca="1">IFERROR(__xludf.DUMMYFUNCTION("""COMPUTED_VALUE"""),"")</f>
        <v/>
      </c>
      <c r="R451" s="189" t="str">
        <f ca="1">IFERROR(__xludf.DUMMYFUNCTION("""COMPUTED_VALUE"""),"")</f>
        <v/>
      </c>
      <c r="S451" s="189" t="str">
        <f ca="1">IFERROR(__xludf.DUMMYFUNCTION("""COMPUTED_VALUE"""),"")</f>
        <v/>
      </c>
      <c r="T451" s="189" t="str">
        <f ca="1">IFERROR(__xludf.DUMMYFUNCTION("""COMPUTED_VALUE"""),"")</f>
        <v/>
      </c>
      <c r="U451" s="189" t="str">
        <f ca="1">IFERROR(__xludf.DUMMYFUNCTION("""COMPUTED_VALUE"""),"")</f>
        <v/>
      </c>
      <c r="V451" s="189" t="str">
        <f ca="1">IFERROR(__xludf.DUMMYFUNCTION("""COMPUTED_VALUE"""),"")</f>
        <v/>
      </c>
      <c r="W451" s="189" t="str">
        <f ca="1">IFERROR(__xludf.DUMMYFUNCTION("""COMPUTED_VALUE"""),"")</f>
        <v/>
      </c>
      <c r="X451" s="189" t="str">
        <f ca="1">IFERROR(__xludf.DUMMYFUNCTION("""COMPUTED_VALUE"""),"")</f>
        <v/>
      </c>
      <c r="Y451" s="189" t="str">
        <f ca="1">IFERROR(__xludf.DUMMYFUNCTION("""COMPUTED_VALUE"""),"")</f>
        <v/>
      </c>
      <c r="Z451" s="189"/>
    </row>
    <row r="452" spans="1:26" ht="12.75">
      <c r="A452" s="189" t="str">
        <f ca="1">IFERROR(__xludf.DUMMYFUNCTION("""COMPUTED_VALUE"""),"")</f>
        <v/>
      </c>
      <c r="B452" s="189" t="str">
        <f ca="1">IFERROR(__xludf.DUMMYFUNCTION("""COMPUTED_VALUE"""),"")</f>
        <v/>
      </c>
      <c r="C452" s="189" t="str">
        <f ca="1">IFERROR(__xludf.DUMMYFUNCTION("""COMPUTED_VALUE"""),"")</f>
        <v/>
      </c>
      <c r="D452" s="189" t="str">
        <f ca="1">IFERROR(__xludf.DUMMYFUNCTION("""COMPUTED_VALUE"""),"")</f>
        <v/>
      </c>
      <c r="E452" s="189" t="str">
        <f ca="1">IFERROR(__xludf.DUMMYFUNCTION("""COMPUTED_VALUE"""),"")</f>
        <v/>
      </c>
      <c r="F452" s="189" t="str">
        <f ca="1">IFERROR(__xludf.DUMMYFUNCTION("""COMPUTED_VALUE"""),"")</f>
        <v/>
      </c>
      <c r="G452" s="189" t="str">
        <f ca="1">IFERROR(__xludf.DUMMYFUNCTION("""COMPUTED_VALUE"""),"")</f>
        <v/>
      </c>
      <c r="H452" s="189" t="str">
        <f ca="1">IFERROR(__xludf.DUMMYFUNCTION("""COMPUTED_VALUE"""),"")</f>
        <v/>
      </c>
      <c r="I452" s="120" t="str">
        <f ca="1">IFERROR(__xludf.DUMMYFUNCTION("""COMPUTED_VALUE"""),"")</f>
        <v/>
      </c>
      <c r="J452" s="189" t="str">
        <f ca="1">IFERROR(__xludf.DUMMYFUNCTION("""COMPUTED_VALUE"""),"")</f>
        <v/>
      </c>
      <c r="K452" s="189" t="str">
        <f ca="1">IFERROR(__xludf.DUMMYFUNCTION("""COMPUTED_VALUE"""),"")</f>
        <v/>
      </c>
      <c r="L452" s="189" t="str">
        <f ca="1">IFERROR(__xludf.DUMMYFUNCTION("""COMPUTED_VALUE"""),"")</f>
        <v/>
      </c>
      <c r="M452" s="189" t="str">
        <f ca="1">IFERROR(__xludf.DUMMYFUNCTION("""COMPUTED_VALUE"""),"")</f>
        <v/>
      </c>
      <c r="N452" s="189" t="str">
        <f ca="1">IFERROR(__xludf.DUMMYFUNCTION("""COMPUTED_VALUE"""),"")</f>
        <v/>
      </c>
      <c r="O452" s="189" t="str">
        <f ca="1">IFERROR(__xludf.DUMMYFUNCTION("""COMPUTED_VALUE"""),"")</f>
        <v/>
      </c>
      <c r="P452" s="189" t="str">
        <f ca="1">IFERROR(__xludf.DUMMYFUNCTION("""COMPUTED_VALUE"""),"")</f>
        <v/>
      </c>
      <c r="Q452" s="189" t="str">
        <f ca="1">IFERROR(__xludf.DUMMYFUNCTION("""COMPUTED_VALUE"""),"")</f>
        <v/>
      </c>
      <c r="R452" s="189" t="str">
        <f ca="1">IFERROR(__xludf.DUMMYFUNCTION("""COMPUTED_VALUE"""),"")</f>
        <v/>
      </c>
      <c r="S452" s="189" t="str">
        <f ca="1">IFERROR(__xludf.DUMMYFUNCTION("""COMPUTED_VALUE"""),"")</f>
        <v/>
      </c>
      <c r="T452" s="189" t="str">
        <f ca="1">IFERROR(__xludf.DUMMYFUNCTION("""COMPUTED_VALUE"""),"")</f>
        <v/>
      </c>
      <c r="U452" s="189" t="str">
        <f ca="1">IFERROR(__xludf.DUMMYFUNCTION("""COMPUTED_VALUE"""),"")</f>
        <v/>
      </c>
      <c r="V452" s="189" t="str">
        <f ca="1">IFERROR(__xludf.DUMMYFUNCTION("""COMPUTED_VALUE"""),"")</f>
        <v/>
      </c>
      <c r="W452" s="189" t="str">
        <f ca="1">IFERROR(__xludf.DUMMYFUNCTION("""COMPUTED_VALUE"""),"")</f>
        <v/>
      </c>
      <c r="X452" s="189" t="str">
        <f ca="1">IFERROR(__xludf.DUMMYFUNCTION("""COMPUTED_VALUE"""),"")</f>
        <v/>
      </c>
      <c r="Y452" s="189" t="str">
        <f ca="1">IFERROR(__xludf.DUMMYFUNCTION("""COMPUTED_VALUE"""),"")</f>
        <v/>
      </c>
      <c r="Z452" s="189"/>
    </row>
    <row r="453" spans="1:26" ht="12.75">
      <c r="A453" s="189" t="str">
        <f ca="1">IFERROR(__xludf.DUMMYFUNCTION("""COMPUTED_VALUE"""),"")</f>
        <v/>
      </c>
      <c r="B453" s="189" t="str">
        <f ca="1">IFERROR(__xludf.DUMMYFUNCTION("""COMPUTED_VALUE"""),"")</f>
        <v/>
      </c>
      <c r="C453" s="189" t="str">
        <f ca="1">IFERROR(__xludf.DUMMYFUNCTION("""COMPUTED_VALUE"""),"")</f>
        <v/>
      </c>
      <c r="D453" s="189" t="str">
        <f ca="1">IFERROR(__xludf.DUMMYFUNCTION("""COMPUTED_VALUE"""),"")</f>
        <v/>
      </c>
      <c r="E453" s="189" t="str">
        <f ca="1">IFERROR(__xludf.DUMMYFUNCTION("""COMPUTED_VALUE"""),"")</f>
        <v/>
      </c>
      <c r="F453" s="189" t="str">
        <f ca="1">IFERROR(__xludf.DUMMYFUNCTION("""COMPUTED_VALUE"""),"")</f>
        <v/>
      </c>
      <c r="G453" s="189" t="str">
        <f ca="1">IFERROR(__xludf.DUMMYFUNCTION("""COMPUTED_VALUE"""),"")</f>
        <v/>
      </c>
      <c r="H453" s="189" t="str">
        <f ca="1">IFERROR(__xludf.DUMMYFUNCTION("""COMPUTED_VALUE"""),"")</f>
        <v/>
      </c>
      <c r="I453" s="120" t="str">
        <f ca="1">IFERROR(__xludf.DUMMYFUNCTION("""COMPUTED_VALUE"""),"")</f>
        <v/>
      </c>
      <c r="J453" s="189" t="str">
        <f ca="1">IFERROR(__xludf.DUMMYFUNCTION("""COMPUTED_VALUE"""),"")</f>
        <v/>
      </c>
      <c r="K453" s="189" t="str">
        <f ca="1">IFERROR(__xludf.DUMMYFUNCTION("""COMPUTED_VALUE"""),"")</f>
        <v/>
      </c>
      <c r="L453" s="189" t="str">
        <f ca="1">IFERROR(__xludf.DUMMYFUNCTION("""COMPUTED_VALUE"""),"")</f>
        <v/>
      </c>
      <c r="M453" s="189" t="str">
        <f ca="1">IFERROR(__xludf.DUMMYFUNCTION("""COMPUTED_VALUE"""),"")</f>
        <v/>
      </c>
      <c r="N453" s="189" t="str">
        <f ca="1">IFERROR(__xludf.DUMMYFUNCTION("""COMPUTED_VALUE"""),"")</f>
        <v/>
      </c>
      <c r="O453" s="189" t="str">
        <f ca="1">IFERROR(__xludf.DUMMYFUNCTION("""COMPUTED_VALUE"""),"")</f>
        <v/>
      </c>
      <c r="P453" s="189" t="str">
        <f ca="1">IFERROR(__xludf.DUMMYFUNCTION("""COMPUTED_VALUE"""),"")</f>
        <v/>
      </c>
      <c r="Q453" s="189" t="str">
        <f ca="1">IFERROR(__xludf.DUMMYFUNCTION("""COMPUTED_VALUE"""),"")</f>
        <v/>
      </c>
      <c r="R453" s="189" t="str">
        <f ca="1">IFERROR(__xludf.DUMMYFUNCTION("""COMPUTED_VALUE"""),"")</f>
        <v/>
      </c>
      <c r="S453" s="189" t="str">
        <f ca="1">IFERROR(__xludf.DUMMYFUNCTION("""COMPUTED_VALUE"""),"")</f>
        <v/>
      </c>
      <c r="T453" s="189" t="str">
        <f ca="1">IFERROR(__xludf.DUMMYFUNCTION("""COMPUTED_VALUE"""),"")</f>
        <v/>
      </c>
      <c r="U453" s="189" t="str">
        <f ca="1">IFERROR(__xludf.DUMMYFUNCTION("""COMPUTED_VALUE"""),"")</f>
        <v/>
      </c>
      <c r="V453" s="189" t="str">
        <f ca="1">IFERROR(__xludf.DUMMYFUNCTION("""COMPUTED_VALUE"""),"")</f>
        <v/>
      </c>
      <c r="W453" s="189" t="str">
        <f ca="1">IFERROR(__xludf.DUMMYFUNCTION("""COMPUTED_VALUE"""),"")</f>
        <v/>
      </c>
      <c r="X453" s="189" t="str">
        <f ca="1">IFERROR(__xludf.DUMMYFUNCTION("""COMPUTED_VALUE"""),"")</f>
        <v/>
      </c>
      <c r="Y453" s="189" t="str">
        <f ca="1">IFERROR(__xludf.DUMMYFUNCTION("""COMPUTED_VALUE"""),"")</f>
        <v/>
      </c>
      <c r="Z453" s="189"/>
    </row>
    <row r="454" spans="1:26" ht="12.75">
      <c r="A454" s="189" t="str">
        <f ca="1">IFERROR(__xludf.DUMMYFUNCTION("""COMPUTED_VALUE"""),"")</f>
        <v/>
      </c>
      <c r="B454" s="189" t="str">
        <f ca="1">IFERROR(__xludf.DUMMYFUNCTION("""COMPUTED_VALUE"""),"")</f>
        <v/>
      </c>
      <c r="C454" s="189" t="str">
        <f ca="1">IFERROR(__xludf.DUMMYFUNCTION("""COMPUTED_VALUE"""),"")</f>
        <v/>
      </c>
      <c r="D454" s="189" t="str">
        <f ca="1">IFERROR(__xludf.DUMMYFUNCTION("""COMPUTED_VALUE"""),"")</f>
        <v/>
      </c>
      <c r="E454" s="189" t="str">
        <f ca="1">IFERROR(__xludf.DUMMYFUNCTION("""COMPUTED_VALUE"""),"")</f>
        <v/>
      </c>
      <c r="F454" s="189" t="str">
        <f ca="1">IFERROR(__xludf.DUMMYFUNCTION("""COMPUTED_VALUE"""),"")</f>
        <v/>
      </c>
      <c r="G454" s="189" t="str">
        <f ca="1">IFERROR(__xludf.DUMMYFUNCTION("""COMPUTED_VALUE"""),"")</f>
        <v/>
      </c>
      <c r="H454" s="189" t="str">
        <f ca="1">IFERROR(__xludf.DUMMYFUNCTION("""COMPUTED_VALUE"""),"")</f>
        <v/>
      </c>
      <c r="I454" s="120" t="str">
        <f ca="1">IFERROR(__xludf.DUMMYFUNCTION("""COMPUTED_VALUE"""),"")</f>
        <v/>
      </c>
      <c r="J454" s="189" t="str">
        <f ca="1">IFERROR(__xludf.DUMMYFUNCTION("""COMPUTED_VALUE"""),"")</f>
        <v/>
      </c>
      <c r="K454" s="189" t="str">
        <f ca="1">IFERROR(__xludf.DUMMYFUNCTION("""COMPUTED_VALUE"""),"")</f>
        <v/>
      </c>
      <c r="L454" s="189" t="str">
        <f ca="1">IFERROR(__xludf.DUMMYFUNCTION("""COMPUTED_VALUE"""),"")</f>
        <v/>
      </c>
      <c r="M454" s="189" t="str">
        <f ca="1">IFERROR(__xludf.DUMMYFUNCTION("""COMPUTED_VALUE"""),"")</f>
        <v/>
      </c>
      <c r="N454" s="189" t="str">
        <f ca="1">IFERROR(__xludf.DUMMYFUNCTION("""COMPUTED_VALUE"""),"")</f>
        <v/>
      </c>
      <c r="O454" s="189" t="str">
        <f ca="1">IFERROR(__xludf.DUMMYFUNCTION("""COMPUTED_VALUE"""),"")</f>
        <v/>
      </c>
      <c r="P454" s="189" t="str">
        <f ca="1">IFERROR(__xludf.DUMMYFUNCTION("""COMPUTED_VALUE"""),"")</f>
        <v/>
      </c>
      <c r="Q454" s="189" t="str">
        <f ca="1">IFERROR(__xludf.DUMMYFUNCTION("""COMPUTED_VALUE"""),"")</f>
        <v/>
      </c>
      <c r="R454" s="189" t="str">
        <f ca="1">IFERROR(__xludf.DUMMYFUNCTION("""COMPUTED_VALUE"""),"")</f>
        <v/>
      </c>
      <c r="S454" s="189" t="str">
        <f ca="1">IFERROR(__xludf.DUMMYFUNCTION("""COMPUTED_VALUE"""),"")</f>
        <v/>
      </c>
      <c r="T454" s="189" t="str">
        <f ca="1">IFERROR(__xludf.DUMMYFUNCTION("""COMPUTED_VALUE"""),"")</f>
        <v/>
      </c>
      <c r="U454" s="189" t="str">
        <f ca="1">IFERROR(__xludf.DUMMYFUNCTION("""COMPUTED_VALUE"""),"")</f>
        <v/>
      </c>
      <c r="V454" s="189" t="str">
        <f ca="1">IFERROR(__xludf.DUMMYFUNCTION("""COMPUTED_VALUE"""),"")</f>
        <v/>
      </c>
      <c r="W454" s="189" t="str">
        <f ca="1">IFERROR(__xludf.DUMMYFUNCTION("""COMPUTED_VALUE"""),"")</f>
        <v/>
      </c>
      <c r="X454" s="189" t="str">
        <f ca="1">IFERROR(__xludf.DUMMYFUNCTION("""COMPUTED_VALUE"""),"")</f>
        <v/>
      </c>
      <c r="Y454" s="189" t="str">
        <f ca="1">IFERROR(__xludf.DUMMYFUNCTION("""COMPUTED_VALUE"""),"")</f>
        <v/>
      </c>
      <c r="Z454" s="189"/>
    </row>
    <row r="455" spans="1:26" ht="12.75">
      <c r="A455" s="189" t="str">
        <f ca="1">IFERROR(__xludf.DUMMYFUNCTION("""COMPUTED_VALUE"""),"")</f>
        <v/>
      </c>
      <c r="B455" s="189" t="str">
        <f ca="1">IFERROR(__xludf.DUMMYFUNCTION("""COMPUTED_VALUE"""),"")</f>
        <v/>
      </c>
      <c r="C455" s="189" t="str">
        <f ca="1">IFERROR(__xludf.DUMMYFUNCTION("""COMPUTED_VALUE"""),"")</f>
        <v/>
      </c>
      <c r="D455" s="189" t="str">
        <f ca="1">IFERROR(__xludf.DUMMYFUNCTION("""COMPUTED_VALUE"""),"")</f>
        <v/>
      </c>
      <c r="E455" s="189" t="str">
        <f ca="1">IFERROR(__xludf.DUMMYFUNCTION("""COMPUTED_VALUE"""),"")</f>
        <v/>
      </c>
      <c r="F455" s="189" t="str">
        <f ca="1">IFERROR(__xludf.DUMMYFUNCTION("""COMPUTED_VALUE"""),"")</f>
        <v/>
      </c>
      <c r="G455" s="189" t="str">
        <f ca="1">IFERROR(__xludf.DUMMYFUNCTION("""COMPUTED_VALUE"""),"")</f>
        <v/>
      </c>
      <c r="H455" s="189" t="str">
        <f ca="1">IFERROR(__xludf.DUMMYFUNCTION("""COMPUTED_VALUE"""),"")</f>
        <v/>
      </c>
      <c r="I455" s="120" t="str">
        <f ca="1">IFERROR(__xludf.DUMMYFUNCTION("""COMPUTED_VALUE"""),"")</f>
        <v/>
      </c>
      <c r="J455" s="189" t="str">
        <f ca="1">IFERROR(__xludf.DUMMYFUNCTION("""COMPUTED_VALUE"""),"")</f>
        <v/>
      </c>
      <c r="K455" s="189" t="str">
        <f ca="1">IFERROR(__xludf.DUMMYFUNCTION("""COMPUTED_VALUE"""),"")</f>
        <v/>
      </c>
      <c r="L455" s="189" t="str">
        <f ca="1">IFERROR(__xludf.DUMMYFUNCTION("""COMPUTED_VALUE"""),"")</f>
        <v/>
      </c>
      <c r="M455" s="189" t="str">
        <f ca="1">IFERROR(__xludf.DUMMYFUNCTION("""COMPUTED_VALUE"""),"")</f>
        <v/>
      </c>
      <c r="N455" s="189" t="str">
        <f ca="1">IFERROR(__xludf.DUMMYFUNCTION("""COMPUTED_VALUE"""),"")</f>
        <v/>
      </c>
      <c r="O455" s="189" t="str">
        <f ca="1">IFERROR(__xludf.DUMMYFUNCTION("""COMPUTED_VALUE"""),"")</f>
        <v/>
      </c>
      <c r="P455" s="189" t="str">
        <f ca="1">IFERROR(__xludf.DUMMYFUNCTION("""COMPUTED_VALUE"""),"")</f>
        <v/>
      </c>
      <c r="Q455" s="189" t="str">
        <f ca="1">IFERROR(__xludf.DUMMYFUNCTION("""COMPUTED_VALUE"""),"")</f>
        <v/>
      </c>
      <c r="R455" s="189" t="str">
        <f ca="1">IFERROR(__xludf.DUMMYFUNCTION("""COMPUTED_VALUE"""),"")</f>
        <v/>
      </c>
      <c r="S455" s="189" t="str">
        <f ca="1">IFERROR(__xludf.DUMMYFUNCTION("""COMPUTED_VALUE"""),"")</f>
        <v/>
      </c>
      <c r="T455" s="189" t="str">
        <f ca="1">IFERROR(__xludf.DUMMYFUNCTION("""COMPUTED_VALUE"""),"")</f>
        <v/>
      </c>
      <c r="U455" s="189" t="str">
        <f ca="1">IFERROR(__xludf.DUMMYFUNCTION("""COMPUTED_VALUE"""),"")</f>
        <v/>
      </c>
      <c r="V455" s="189" t="str">
        <f ca="1">IFERROR(__xludf.DUMMYFUNCTION("""COMPUTED_VALUE"""),"")</f>
        <v/>
      </c>
      <c r="W455" s="189" t="str">
        <f ca="1">IFERROR(__xludf.DUMMYFUNCTION("""COMPUTED_VALUE"""),"")</f>
        <v/>
      </c>
      <c r="X455" s="189" t="str">
        <f ca="1">IFERROR(__xludf.DUMMYFUNCTION("""COMPUTED_VALUE"""),"")</f>
        <v/>
      </c>
      <c r="Y455" s="189" t="str">
        <f ca="1">IFERROR(__xludf.DUMMYFUNCTION("""COMPUTED_VALUE"""),"")</f>
        <v/>
      </c>
      <c r="Z455" s="189"/>
    </row>
    <row r="456" spans="1:26" ht="12.75">
      <c r="A456" s="189" t="str">
        <f ca="1">IFERROR(__xludf.DUMMYFUNCTION("""COMPUTED_VALUE"""),"")</f>
        <v/>
      </c>
      <c r="B456" s="189" t="str">
        <f ca="1">IFERROR(__xludf.DUMMYFUNCTION("""COMPUTED_VALUE"""),"")</f>
        <v/>
      </c>
      <c r="C456" s="189" t="str">
        <f ca="1">IFERROR(__xludf.DUMMYFUNCTION("""COMPUTED_VALUE"""),"")</f>
        <v/>
      </c>
      <c r="D456" s="189" t="str">
        <f ca="1">IFERROR(__xludf.DUMMYFUNCTION("""COMPUTED_VALUE"""),"")</f>
        <v/>
      </c>
      <c r="E456" s="189" t="str">
        <f ca="1">IFERROR(__xludf.DUMMYFUNCTION("""COMPUTED_VALUE"""),"")</f>
        <v/>
      </c>
      <c r="F456" s="189" t="str">
        <f ca="1">IFERROR(__xludf.DUMMYFUNCTION("""COMPUTED_VALUE"""),"")</f>
        <v/>
      </c>
      <c r="G456" s="189" t="str">
        <f ca="1">IFERROR(__xludf.DUMMYFUNCTION("""COMPUTED_VALUE"""),"")</f>
        <v/>
      </c>
      <c r="H456" s="189" t="str">
        <f ca="1">IFERROR(__xludf.DUMMYFUNCTION("""COMPUTED_VALUE"""),"")</f>
        <v/>
      </c>
      <c r="I456" s="120" t="str">
        <f ca="1">IFERROR(__xludf.DUMMYFUNCTION("""COMPUTED_VALUE"""),"")</f>
        <v/>
      </c>
      <c r="J456" s="189" t="str">
        <f ca="1">IFERROR(__xludf.DUMMYFUNCTION("""COMPUTED_VALUE"""),"")</f>
        <v/>
      </c>
      <c r="K456" s="189" t="str">
        <f ca="1">IFERROR(__xludf.DUMMYFUNCTION("""COMPUTED_VALUE"""),"")</f>
        <v/>
      </c>
      <c r="L456" s="189" t="str">
        <f ca="1">IFERROR(__xludf.DUMMYFUNCTION("""COMPUTED_VALUE"""),"")</f>
        <v/>
      </c>
      <c r="M456" s="189" t="str">
        <f ca="1">IFERROR(__xludf.DUMMYFUNCTION("""COMPUTED_VALUE"""),"")</f>
        <v/>
      </c>
      <c r="N456" s="189" t="str">
        <f ca="1">IFERROR(__xludf.DUMMYFUNCTION("""COMPUTED_VALUE"""),"")</f>
        <v/>
      </c>
      <c r="O456" s="189" t="str">
        <f ca="1">IFERROR(__xludf.DUMMYFUNCTION("""COMPUTED_VALUE"""),"")</f>
        <v/>
      </c>
      <c r="P456" s="189" t="str">
        <f ca="1">IFERROR(__xludf.DUMMYFUNCTION("""COMPUTED_VALUE"""),"")</f>
        <v/>
      </c>
      <c r="Q456" s="189" t="str">
        <f ca="1">IFERROR(__xludf.DUMMYFUNCTION("""COMPUTED_VALUE"""),"")</f>
        <v/>
      </c>
      <c r="R456" s="189" t="str">
        <f ca="1">IFERROR(__xludf.DUMMYFUNCTION("""COMPUTED_VALUE"""),"")</f>
        <v/>
      </c>
      <c r="S456" s="189" t="str">
        <f ca="1">IFERROR(__xludf.DUMMYFUNCTION("""COMPUTED_VALUE"""),"")</f>
        <v/>
      </c>
      <c r="T456" s="189" t="str">
        <f ca="1">IFERROR(__xludf.DUMMYFUNCTION("""COMPUTED_VALUE"""),"")</f>
        <v/>
      </c>
      <c r="U456" s="189" t="str">
        <f ca="1">IFERROR(__xludf.DUMMYFUNCTION("""COMPUTED_VALUE"""),"")</f>
        <v/>
      </c>
      <c r="V456" s="189" t="str">
        <f ca="1">IFERROR(__xludf.DUMMYFUNCTION("""COMPUTED_VALUE"""),"")</f>
        <v/>
      </c>
      <c r="W456" s="189" t="str">
        <f ca="1">IFERROR(__xludf.DUMMYFUNCTION("""COMPUTED_VALUE"""),"")</f>
        <v/>
      </c>
      <c r="X456" s="189" t="str">
        <f ca="1">IFERROR(__xludf.DUMMYFUNCTION("""COMPUTED_VALUE"""),"")</f>
        <v/>
      </c>
      <c r="Y456" s="189" t="str">
        <f ca="1">IFERROR(__xludf.DUMMYFUNCTION("""COMPUTED_VALUE"""),"")</f>
        <v/>
      </c>
      <c r="Z456" s="189"/>
    </row>
    <row r="457" spans="1:26" ht="12.75">
      <c r="A457" s="189" t="str">
        <f ca="1">IFERROR(__xludf.DUMMYFUNCTION("""COMPUTED_VALUE"""),"")</f>
        <v/>
      </c>
      <c r="B457" s="189" t="str">
        <f ca="1">IFERROR(__xludf.DUMMYFUNCTION("""COMPUTED_VALUE"""),"")</f>
        <v/>
      </c>
      <c r="C457" s="189" t="str">
        <f ca="1">IFERROR(__xludf.DUMMYFUNCTION("""COMPUTED_VALUE"""),"")</f>
        <v/>
      </c>
      <c r="D457" s="189" t="str">
        <f ca="1">IFERROR(__xludf.DUMMYFUNCTION("""COMPUTED_VALUE"""),"")</f>
        <v/>
      </c>
      <c r="E457" s="189" t="str">
        <f ca="1">IFERROR(__xludf.DUMMYFUNCTION("""COMPUTED_VALUE"""),"")</f>
        <v/>
      </c>
      <c r="F457" s="189" t="str">
        <f ca="1">IFERROR(__xludf.DUMMYFUNCTION("""COMPUTED_VALUE"""),"")</f>
        <v/>
      </c>
      <c r="G457" s="189" t="str">
        <f ca="1">IFERROR(__xludf.DUMMYFUNCTION("""COMPUTED_VALUE"""),"")</f>
        <v/>
      </c>
      <c r="H457" s="189" t="str">
        <f ca="1">IFERROR(__xludf.DUMMYFUNCTION("""COMPUTED_VALUE"""),"")</f>
        <v/>
      </c>
      <c r="I457" s="120" t="str">
        <f ca="1">IFERROR(__xludf.DUMMYFUNCTION("""COMPUTED_VALUE"""),"")</f>
        <v/>
      </c>
      <c r="J457" s="189" t="str">
        <f ca="1">IFERROR(__xludf.DUMMYFUNCTION("""COMPUTED_VALUE"""),"")</f>
        <v/>
      </c>
      <c r="K457" s="189" t="str">
        <f ca="1">IFERROR(__xludf.DUMMYFUNCTION("""COMPUTED_VALUE"""),"")</f>
        <v/>
      </c>
      <c r="L457" s="189" t="str">
        <f ca="1">IFERROR(__xludf.DUMMYFUNCTION("""COMPUTED_VALUE"""),"")</f>
        <v/>
      </c>
      <c r="M457" s="189" t="str">
        <f ca="1">IFERROR(__xludf.DUMMYFUNCTION("""COMPUTED_VALUE"""),"")</f>
        <v/>
      </c>
      <c r="N457" s="189" t="str">
        <f ca="1">IFERROR(__xludf.DUMMYFUNCTION("""COMPUTED_VALUE"""),"")</f>
        <v/>
      </c>
      <c r="O457" s="189" t="str">
        <f ca="1">IFERROR(__xludf.DUMMYFUNCTION("""COMPUTED_VALUE"""),"")</f>
        <v/>
      </c>
      <c r="P457" s="189" t="str">
        <f ca="1">IFERROR(__xludf.DUMMYFUNCTION("""COMPUTED_VALUE"""),"")</f>
        <v/>
      </c>
      <c r="Q457" s="189" t="str">
        <f ca="1">IFERROR(__xludf.DUMMYFUNCTION("""COMPUTED_VALUE"""),"")</f>
        <v/>
      </c>
      <c r="R457" s="189" t="str">
        <f ca="1">IFERROR(__xludf.DUMMYFUNCTION("""COMPUTED_VALUE"""),"")</f>
        <v/>
      </c>
      <c r="S457" s="189" t="str">
        <f ca="1">IFERROR(__xludf.DUMMYFUNCTION("""COMPUTED_VALUE"""),"")</f>
        <v/>
      </c>
      <c r="T457" s="189" t="str">
        <f ca="1">IFERROR(__xludf.DUMMYFUNCTION("""COMPUTED_VALUE"""),"")</f>
        <v/>
      </c>
      <c r="U457" s="189" t="str">
        <f ca="1">IFERROR(__xludf.DUMMYFUNCTION("""COMPUTED_VALUE"""),"")</f>
        <v/>
      </c>
      <c r="V457" s="189" t="str">
        <f ca="1">IFERROR(__xludf.DUMMYFUNCTION("""COMPUTED_VALUE"""),"")</f>
        <v/>
      </c>
      <c r="W457" s="189" t="str">
        <f ca="1">IFERROR(__xludf.DUMMYFUNCTION("""COMPUTED_VALUE"""),"")</f>
        <v/>
      </c>
      <c r="X457" s="189" t="str">
        <f ca="1">IFERROR(__xludf.DUMMYFUNCTION("""COMPUTED_VALUE"""),"")</f>
        <v/>
      </c>
      <c r="Y457" s="189" t="str">
        <f ca="1">IFERROR(__xludf.DUMMYFUNCTION("""COMPUTED_VALUE"""),"")</f>
        <v/>
      </c>
      <c r="Z457" s="189"/>
    </row>
    <row r="458" spans="1:26" ht="12.75">
      <c r="A458" s="189" t="str">
        <f ca="1">IFERROR(__xludf.DUMMYFUNCTION("""COMPUTED_VALUE"""),"")</f>
        <v/>
      </c>
      <c r="B458" s="189" t="str">
        <f ca="1">IFERROR(__xludf.DUMMYFUNCTION("""COMPUTED_VALUE"""),"")</f>
        <v/>
      </c>
      <c r="C458" s="189" t="str">
        <f ca="1">IFERROR(__xludf.DUMMYFUNCTION("""COMPUTED_VALUE"""),"")</f>
        <v/>
      </c>
      <c r="D458" s="189" t="str">
        <f ca="1">IFERROR(__xludf.DUMMYFUNCTION("""COMPUTED_VALUE"""),"")</f>
        <v/>
      </c>
      <c r="E458" s="189" t="str">
        <f ca="1">IFERROR(__xludf.DUMMYFUNCTION("""COMPUTED_VALUE"""),"")</f>
        <v/>
      </c>
      <c r="F458" s="189" t="str">
        <f ca="1">IFERROR(__xludf.DUMMYFUNCTION("""COMPUTED_VALUE"""),"")</f>
        <v/>
      </c>
      <c r="G458" s="189" t="str">
        <f ca="1">IFERROR(__xludf.DUMMYFUNCTION("""COMPUTED_VALUE"""),"")</f>
        <v/>
      </c>
      <c r="H458" s="189" t="str">
        <f ca="1">IFERROR(__xludf.DUMMYFUNCTION("""COMPUTED_VALUE"""),"")</f>
        <v/>
      </c>
      <c r="I458" s="120" t="str">
        <f ca="1">IFERROR(__xludf.DUMMYFUNCTION("""COMPUTED_VALUE"""),"")</f>
        <v/>
      </c>
      <c r="J458" s="189" t="str">
        <f ca="1">IFERROR(__xludf.DUMMYFUNCTION("""COMPUTED_VALUE"""),"")</f>
        <v/>
      </c>
      <c r="K458" s="189" t="str">
        <f ca="1">IFERROR(__xludf.DUMMYFUNCTION("""COMPUTED_VALUE"""),"")</f>
        <v/>
      </c>
      <c r="L458" s="189" t="str">
        <f ca="1">IFERROR(__xludf.DUMMYFUNCTION("""COMPUTED_VALUE"""),"")</f>
        <v/>
      </c>
      <c r="M458" s="189" t="str">
        <f ca="1">IFERROR(__xludf.DUMMYFUNCTION("""COMPUTED_VALUE"""),"")</f>
        <v/>
      </c>
      <c r="N458" s="189" t="str">
        <f ca="1">IFERROR(__xludf.DUMMYFUNCTION("""COMPUTED_VALUE"""),"")</f>
        <v/>
      </c>
      <c r="O458" s="189" t="str">
        <f ca="1">IFERROR(__xludf.DUMMYFUNCTION("""COMPUTED_VALUE"""),"")</f>
        <v/>
      </c>
      <c r="P458" s="189" t="str">
        <f ca="1">IFERROR(__xludf.DUMMYFUNCTION("""COMPUTED_VALUE"""),"")</f>
        <v/>
      </c>
      <c r="Q458" s="189" t="str">
        <f ca="1">IFERROR(__xludf.DUMMYFUNCTION("""COMPUTED_VALUE"""),"")</f>
        <v/>
      </c>
      <c r="R458" s="189" t="str">
        <f ca="1">IFERROR(__xludf.DUMMYFUNCTION("""COMPUTED_VALUE"""),"")</f>
        <v/>
      </c>
      <c r="S458" s="189" t="str">
        <f ca="1">IFERROR(__xludf.DUMMYFUNCTION("""COMPUTED_VALUE"""),"")</f>
        <v/>
      </c>
      <c r="T458" s="189" t="str">
        <f ca="1">IFERROR(__xludf.DUMMYFUNCTION("""COMPUTED_VALUE"""),"")</f>
        <v/>
      </c>
      <c r="U458" s="189" t="str">
        <f ca="1">IFERROR(__xludf.DUMMYFUNCTION("""COMPUTED_VALUE"""),"")</f>
        <v/>
      </c>
      <c r="V458" s="189" t="str">
        <f ca="1">IFERROR(__xludf.DUMMYFUNCTION("""COMPUTED_VALUE"""),"")</f>
        <v/>
      </c>
      <c r="W458" s="189" t="str">
        <f ca="1">IFERROR(__xludf.DUMMYFUNCTION("""COMPUTED_VALUE"""),"")</f>
        <v/>
      </c>
      <c r="X458" s="189" t="str">
        <f ca="1">IFERROR(__xludf.DUMMYFUNCTION("""COMPUTED_VALUE"""),"")</f>
        <v/>
      </c>
      <c r="Y458" s="189" t="str">
        <f ca="1">IFERROR(__xludf.DUMMYFUNCTION("""COMPUTED_VALUE"""),"")</f>
        <v/>
      </c>
      <c r="Z458" s="189"/>
    </row>
    <row r="459" spans="1:26" ht="12.75">
      <c r="A459" s="189" t="str">
        <f ca="1">IFERROR(__xludf.DUMMYFUNCTION("""COMPUTED_VALUE"""),"")</f>
        <v/>
      </c>
      <c r="B459" s="189" t="str">
        <f ca="1">IFERROR(__xludf.DUMMYFUNCTION("""COMPUTED_VALUE"""),"")</f>
        <v/>
      </c>
      <c r="C459" s="189" t="str">
        <f ca="1">IFERROR(__xludf.DUMMYFUNCTION("""COMPUTED_VALUE"""),"")</f>
        <v/>
      </c>
      <c r="D459" s="189" t="str">
        <f ca="1">IFERROR(__xludf.DUMMYFUNCTION("""COMPUTED_VALUE"""),"")</f>
        <v/>
      </c>
      <c r="E459" s="189" t="str">
        <f ca="1">IFERROR(__xludf.DUMMYFUNCTION("""COMPUTED_VALUE"""),"")</f>
        <v/>
      </c>
      <c r="F459" s="189" t="str">
        <f ca="1">IFERROR(__xludf.DUMMYFUNCTION("""COMPUTED_VALUE"""),"")</f>
        <v/>
      </c>
      <c r="G459" s="189" t="str">
        <f ca="1">IFERROR(__xludf.DUMMYFUNCTION("""COMPUTED_VALUE"""),"")</f>
        <v/>
      </c>
      <c r="H459" s="189" t="str">
        <f ca="1">IFERROR(__xludf.DUMMYFUNCTION("""COMPUTED_VALUE"""),"")</f>
        <v/>
      </c>
      <c r="I459" s="120" t="str">
        <f ca="1">IFERROR(__xludf.DUMMYFUNCTION("""COMPUTED_VALUE"""),"")</f>
        <v/>
      </c>
      <c r="J459" s="189" t="str">
        <f ca="1">IFERROR(__xludf.DUMMYFUNCTION("""COMPUTED_VALUE"""),"")</f>
        <v/>
      </c>
      <c r="K459" s="189" t="str">
        <f ca="1">IFERROR(__xludf.DUMMYFUNCTION("""COMPUTED_VALUE"""),"")</f>
        <v/>
      </c>
      <c r="L459" s="189" t="str">
        <f ca="1">IFERROR(__xludf.DUMMYFUNCTION("""COMPUTED_VALUE"""),"")</f>
        <v/>
      </c>
      <c r="M459" s="189" t="str">
        <f ca="1">IFERROR(__xludf.DUMMYFUNCTION("""COMPUTED_VALUE"""),"")</f>
        <v/>
      </c>
      <c r="N459" s="189" t="str">
        <f ca="1">IFERROR(__xludf.DUMMYFUNCTION("""COMPUTED_VALUE"""),"")</f>
        <v/>
      </c>
      <c r="O459" s="189" t="str">
        <f ca="1">IFERROR(__xludf.DUMMYFUNCTION("""COMPUTED_VALUE"""),"")</f>
        <v/>
      </c>
      <c r="P459" s="189" t="str">
        <f ca="1">IFERROR(__xludf.DUMMYFUNCTION("""COMPUTED_VALUE"""),"")</f>
        <v/>
      </c>
      <c r="Q459" s="189" t="str">
        <f ca="1">IFERROR(__xludf.DUMMYFUNCTION("""COMPUTED_VALUE"""),"")</f>
        <v/>
      </c>
      <c r="R459" s="189" t="str">
        <f ca="1">IFERROR(__xludf.DUMMYFUNCTION("""COMPUTED_VALUE"""),"")</f>
        <v/>
      </c>
      <c r="S459" s="189" t="str">
        <f ca="1">IFERROR(__xludf.DUMMYFUNCTION("""COMPUTED_VALUE"""),"")</f>
        <v/>
      </c>
      <c r="T459" s="189" t="str">
        <f ca="1">IFERROR(__xludf.DUMMYFUNCTION("""COMPUTED_VALUE"""),"")</f>
        <v/>
      </c>
      <c r="U459" s="189" t="str">
        <f ca="1">IFERROR(__xludf.DUMMYFUNCTION("""COMPUTED_VALUE"""),"")</f>
        <v/>
      </c>
      <c r="V459" s="189" t="str">
        <f ca="1">IFERROR(__xludf.DUMMYFUNCTION("""COMPUTED_VALUE"""),"")</f>
        <v/>
      </c>
      <c r="W459" s="189" t="str">
        <f ca="1">IFERROR(__xludf.DUMMYFUNCTION("""COMPUTED_VALUE"""),"")</f>
        <v/>
      </c>
      <c r="X459" s="189" t="str">
        <f ca="1">IFERROR(__xludf.DUMMYFUNCTION("""COMPUTED_VALUE"""),"")</f>
        <v/>
      </c>
      <c r="Y459" s="189" t="str">
        <f ca="1">IFERROR(__xludf.DUMMYFUNCTION("""COMPUTED_VALUE"""),"")</f>
        <v/>
      </c>
      <c r="Z459" s="189"/>
    </row>
    <row r="460" spans="1:26" ht="12.75">
      <c r="A460" s="189" t="str">
        <f ca="1">IFERROR(__xludf.DUMMYFUNCTION("""COMPUTED_VALUE"""),"")</f>
        <v/>
      </c>
      <c r="B460" s="189" t="str">
        <f ca="1">IFERROR(__xludf.DUMMYFUNCTION("""COMPUTED_VALUE"""),"")</f>
        <v/>
      </c>
      <c r="C460" s="189" t="str">
        <f ca="1">IFERROR(__xludf.DUMMYFUNCTION("""COMPUTED_VALUE"""),"")</f>
        <v/>
      </c>
      <c r="D460" s="189" t="str">
        <f ca="1">IFERROR(__xludf.DUMMYFUNCTION("""COMPUTED_VALUE"""),"")</f>
        <v/>
      </c>
      <c r="E460" s="189" t="str">
        <f ca="1">IFERROR(__xludf.DUMMYFUNCTION("""COMPUTED_VALUE"""),"")</f>
        <v/>
      </c>
      <c r="F460" s="189" t="str">
        <f ca="1">IFERROR(__xludf.DUMMYFUNCTION("""COMPUTED_VALUE"""),"")</f>
        <v/>
      </c>
      <c r="G460" s="189" t="str">
        <f ca="1">IFERROR(__xludf.DUMMYFUNCTION("""COMPUTED_VALUE"""),"")</f>
        <v/>
      </c>
      <c r="H460" s="189" t="str">
        <f ca="1">IFERROR(__xludf.DUMMYFUNCTION("""COMPUTED_VALUE"""),"")</f>
        <v/>
      </c>
      <c r="I460" s="120" t="str">
        <f ca="1">IFERROR(__xludf.DUMMYFUNCTION("""COMPUTED_VALUE"""),"")</f>
        <v/>
      </c>
      <c r="J460" s="189" t="str">
        <f ca="1">IFERROR(__xludf.DUMMYFUNCTION("""COMPUTED_VALUE"""),"")</f>
        <v/>
      </c>
      <c r="K460" s="189" t="str">
        <f ca="1">IFERROR(__xludf.DUMMYFUNCTION("""COMPUTED_VALUE"""),"")</f>
        <v/>
      </c>
      <c r="L460" s="189" t="str">
        <f ca="1">IFERROR(__xludf.DUMMYFUNCTION("""COMPUTED_VALUE"""),"")</f>
        <v/>
      </c>
      <c r="M460" s="189" t="str">
        <f ca="1">IFERROR(__xludf.DUMMYFUNCTION("""COMPUTED_VALUE"""),"")</f>
        <v/>
      </c>
      <c r="N460" s="189" t="str">
        <f ca="1">IFERROR(__xludf.DUMMYFUNCTION("""COMPUTED_VALUE"""),"")</f>
        <v/>
      </c>
      <c r="O460" s="189" t="str">
        <f ca="1">IFERROR(__xludf.DUMMYFUNCTION("""COMPUTED_VALUE"""),"")</f>
        <v/>
      </c>
      <c r="P460" s="189" t="str">
        <f ca="1">IFERROR(__xludf.DUMMYFUNCTION("""COMPUTED_VALUE"""),"")</f>
        <v/>
      </c>
      <c r="Q460" s="189" t="str">
        <f ca="1">IFERROR(__xludf.DUMMYFUNCTION("""COMPUTED_VALUE"""),"")</f>
        <v/>
      </c>
      <c r="R460" s="189" t="str">
        <f ca="1">IFERROR(__xludf.DUMMYFUNCTION("""COMPUTED_VALUE"""),"")</f>
        <v/>
      </c>
      <c r="S460" s="189" t="str">
        <f ca="1">IFERROR(__xludf.DUMMYFUNCTION("""COMPUTED_VALUE"""),"")</f>
        <v/>
      </c>
      <c r="T460" s="189" t="str">
        <f ca="1">IFERROR(__xludf.DUMMYFUNCTION("""COMPUTED_VALUE"""),"")</f>
        <v/>
      </c>
      <c r="U460" s="189" t="str">
        <f ca="1">IFERROR(__xludf.DUMMYFUNCTION("""COMPUTED_VALUE"""),"")</f>
        <v/>
      </c>
      <c r="V460" s="189" t="str">
        <f ca="1">IFERROR(__xludf.DUMMYFUNCTION("""COMPUTED_VALUE"""),"")</f>
        <v/>
      </c>
      <c r="W460" s="189" t="str">
        <f ca="1">IFERROR(__xludf.DUMMYFUNCTION("""COMPUTED_VALUE"""),"")</f>
        <v/>
      </c>
      <c r="X460" s="189" t="str">
        <f ca="1">IFERROR(__xludf.DUMMYFUNCTION("""COMPUTED_VALUE"""),"")</f>
        <v/>
      </c>
      <c r="Y460" s="189" t="str">
        <f ca="1">IFERROR(__xludf.DUMMYFUNCTION("""COMPUTED_VALUE"""),"")</f>
        <v/>
      </c>
      <c r="Z460" s="189"/>
    </row>
    <row r="461" spans="1:26" ht="12.75">
      <c r="A461" s="189" t="str">
        <f ca="1">IFERROR(__xludf.DUMMYFUNCTION("""COMPUTED_VALUE"""),"")</f>
        <v/>
      </c>
      <c r="B461" s="189" t="str">
        <f ca="1">IFERROR(__xludf.DUMMYFUNCTION("""COMPUTED_VALUE"""),"")</f>
        <v/>
      </c>
      <c r="C461" s="189" t="str">
        <f ca="1">IFERROR(__xludf.DUMMYFUNCTION("""COMPUTED_VALUE"""),"")</f>
        <v/>
      </c>
      <c r="D461" s="189" t="str">
        <f ca="1">IFERROR(__xludf.DUMMYFUNCTION("""COMPUTED_VALUE"""),"")</f>
        <v/>
      </c>
      <c r="E461" s="189" t="str">
        <f ca="1">IFERROR(__xludf.DUMMYFUNCTION("""COMPUTED_VALUE"""),"")</f>
        <v/>
      </c>
      <c r="F461" s="189" t="str">
        <f ca="1">IFERROR(__xludf.DUMMYFUNCTION("""COMPUTED_VALUE"""),"")</f>
        <v/>
      </c>
      <c r="G461" s="189" t="str">
        <f ca="1">IFERROR(__xludf.DUMMYFUNCTION("""COMPUTED_VALUE"""),"")</f>
        <v/>
      </c>
      <c r="H461" s="189" t="str">
        <f ca="1">IFERROR(__xludf.DUMMYFUNCTION("""COMPUTED_VALUE"""),"")</f>
        <v/>
      </c>
      <c r="I461" s="120" t="str">
        <f ca="1">IFERROR(__xludf.DUMMYFUNCTION("""COMPUTED_VALUE"""),"")</f>
        <v/>
      </c>
      <c r="J461" s="189" t="str">
        <f ca="1">IFERROR(__xludf.DUMMYFUNCTION("""COMPUTED_VALUE"""),"")</f>
        <v/>
      </c>
      <c r="K461" s="189" t="str">
        <f ca="1">IFERROR(__xludf.DUMMYFUNCTION("""COMPUTED_VALUE"""),"")</f>
        <v/>
      </c>
      <c r="L461" s="189" t="str">
        <f ca="1">IFERROR(__xludf.DUMMYFUNCTION("""COMPUTED_VALUE"""),"")</f>
        <v/>
      </c>
      <c r="M461" s="189" t="str">
        <f ca="1">IFERROR(__xludf.DUMMYFUNCTION("""COMPUTED_VALUE"""),"")</f>
        <v/>
      </c>
      <c r="N461" s="189" t="str">
        <f ca="1">IFERROR(__xludf.DUMMYFUNCTION("""COMPUTED_VALUE"""),"")</f>
        <v/>
      </c>
      <c r="O461" s="189" t="str">
        <f ca="1">IFERROR(__xludf.DUMMYFUNCTION("""COMPUTED_VALUE"""),"")</f>
        <v/>
      </c>
      <c r="P461" s="189" t="str">
        <f ca="1">IFERROR(__xludf.DUMMYFUNCTION("""COMPUTED_VALUE"""),"")</f>
        <v/>
      </c>
      <c r="Q461" s="189" t="str">
        <f ca="1">IFERROR(__xludf.DUMMYFUNCTION("""COMPUTED_VALUE"""),"")</f>
        <v/>
      </c>
      <c r="R461" s="189" t="str">
        <f ca="1">IFERROR(__xludf.DUMMYFUNCTION("""COMPUTED_VALUE"""),"")</f>
        <v/>
      </c>
      <c r="S461" s="189" t="str">
        <f ca="1">IFERROR(__xludf.DUMMYFUNCTION("""COMPUTED_VALUE"""),"")</f>
        <v/>
      </c>
      <c r="T461" s="189" t="str">
        <f ca="1">IFERROR(__xludf.DUMMYFUNCTION("""COMPUTED_VALUE"""),"")</f>
        <v/>
      </c>
      <c r="U461" s="189" t="str">
        <f ca="1">IFERROR(__xludf.DUMMYFUNCTION("""COMPUTED_VALUE"""),"")</f>
        <v/>
      </c>
      <c r="V461" s="189" t="str">
        <f ca="1">IFERROR(__xludf.DUMMYFUNCTION("""COMPUTED_VALUE"""),"")</f>
        <v/>
      </c>
      <c r="W461" s="189" t="str">
        <f ca="1">IFERROR(__xludf.DUMMYFUNCTION("""COMPUTED_VALUE"""),"")</f>
        <v/>
      </c>
      <c r="X461" s="189" t="str">
        <f ca="1">IFERROR(__xludf.DUMMYFUNCTION("""COMPUTED_VALUE"""),"")</f>
        <v/>
      </c>
      <c r="Y461" s="189" t="str">
        <f ca="1">IFERROR(__xludf.DUMMYFUNCTION("""COMPUTED_VALUE"""),"")</f>
        <v/>
      </c>
      <c r="Z461" s="189"/>
    </row>
    <row r="462" spans="1:26" ht="12.75">
      <c r="A462" s="189" t="str">
        <f ca="1">IFERROR(__xludf.DUMMYFUNCTION("""COMPUTED_VALUE"""),"")</f>
        <v/>
      </c>
      <c r="B462" s="189" t="str">
        <f ca="1">IFERROR(__xludf.DUMMYFUNCTION("""COMPUTED_VALUE"""),"")</f>
        <v/>
      </c>
      <c r="C462" s="189" t="str">
        <f ca="1">IFERROR(__xludf.DUMMYFUNCTION("""COMPUTED_VALUE"""),"")</f>
        <v/>
      </c>
      <c r="D462" s="189" t="str">
        <f ca="1">IFERROR(__xludf.DUMMYFUNCTION("""COMPUTED_VALUE"""),"")</f>
        <v/>
      </c>
      <c r="E462" s="189" t="str">
        <f ca="1">IFERROR(__xludf.DUMMYFUNCTION("""COMPUTED_VALUE"""),"")</f>
        <v/>
      </c>
      <c r="F462" s="189" t="str">
        <f ca="1">IFERROR(__xludf.DUMMYFUNCTION("""COMPUTED_VALUE"""),"")</f>
        <v/>
      </c>
      <c r="G462" s="189" t="str">
        <f ca="1">IFERROR(__xludf.DUMMYFUNCTION("""COMPUTED_VALUE"""),"")</f>
        <v/>
      </c>
      <c r="H462" s="189" t="str">
        <f ca="1">IFERROR(__xludf.DUMMYFUNCTION("""COMPUTED_VALUE"""),"")</f>
        <v/>
      </c>
      <c r="I462" s="120" t="str">
        <f ca="1">IFERROR(__xludf.DUMMYFUNCTION("""COMPUTED_VALUE"""),"")</f>
        <v/>
      </c>
      <c r="J462" s="189" t="str">
        <f ca="1">IFERROR(__xludf.DUMMYFUNCTION("""COMPUTED_VALUE"""),"")</f>
        <v/>
      </c>
      <c r="K462" s="189" t="str">
        <f ca="1">IFERROR(__xludf.DUMMYFUNCTION("""COMPUTED_VALUE"""),"")</f>
        <v/>
      </c>
      <c r="L462" s="189" t="str">
        <f ca="1">IFERROR(__xludf.DUMMYFUNCTION("""COMPUTED_VALUE"""),"")</f>
        <v/>
      </c>
      <c r="M462" s="189" t="str">
        <f ca="1">IFERROR(__xludf.DUMMYFUNCTION("""COMPUTED_VALUE"""),"")</f>
        <v/>
      </c>
      <c r="N462" s="189" t="str">
        <f ca="1">IFERROR(__xludf.DUMMYFUNCTION("""COMPUTED_VALUE"""),"")</f>
        <v/>
      </c>
      <c r="O462" s="189" t="str">
        <f ca="1">IFERROR(__xludf.DUMMYFUNCTION("""COMPUTED_VALUE"""),"")</f>
        <v/>
      </c>
      <c r="P462" s="189" t="str">
        <f ca="1">IFERROR(__xludf.DUMMYFUNCTION("""COMPUTED_VALUE"""),"")</f>
        <v/>
      </c>
      <c r="Q462" s="189" t="str">
        <f ca="1">IFERROR(__xludf.DUMMYFUNCTION("""COMPUTED_VALUE"""),"")</f>
        <v/>
      </c>
      <c r="R462" s="189" t="str">
        <f ca="1">IFERROR(__xludf.DUMMYFUNCTION("""COMPUTED_VALUE"""),"")</f>
        <v/>
      </c>
      <c r="S462" s="189" t="str">
        <f ca="1">IFERROR(__xludf.DUMMYFUNCTION("""COMPUTED_VALUE"""),"")</f>
        <v/>
      </c>
      <c r="T462" s="189" t="str">
        <f ca="1">IFERROR(__xludf.DUMMYFUNCTION("""COMPUTED_VALUE"""),"")</f>
        <v/>
      </c>
      <c r="U462" s="189" t="str">
        <f ca="1">IFERROR(__xludf.DUMMYFUNCTION("""COMPUTED_VALUE"""),"")</f>
        <v/>
      </c>
      <c r="V462" s="189" t="str">
        <f ca="1">IFERROR(__xludf.DUMMYFUNCTION("""COMPUTED_VALUE"""),"")</f>
        <v/>
      </c>
      <c r="W462" s="189" t="str">
        <f ca="1">IFERROR(__xludf.DUMMYFUNCTION("""COMPUTED_VALUE"""),"")</f>
        <v/>
      </c>
      <c r="X462" s="189" t="str">
        <f ca="1">IFERROR(__xludf.DUMMYFUNCTION("""COMPUTED_VALUE"""),"")</f>
        <v/>
      </c>
      <c r="Y462" s="189" t="str">
        <f ca="1">IFERROR(__xludf.DUMMYFUNCTION("""COMPUTED_VALUE"""),"")</f>
        <v/>
      </c>
      <c r="Z462" s="189"/>
    </row>
    <row r="463" spans="1:26" ht="12.75">
      <c r="A463" s="189" t="str">
        <f ca="1">IFERROR(__xludf.DUMMYFUNCTION("""COMPUTED_VALUE"""),"")</f>
        <v/>
      </c>
      <c r="B463" s="189" t="str">
        <f ca="1">IFERROR(__xludf.DUMMYFUNCTION("""COMPUTED_VALUE"""),"")</f>
        <v/>
      </c>
      <c r="C463" s="189" t="str">
        <f ca="1">IFERROR(__xludf.DUMMYFUNCTION("""COMPUTED_VALUE"""),"")</f>
        <v/>
      </c>
      <c r="D463" s="189" t="str">
        <f ca="1">IFERROR(__xludf.DUMMYFUNCTION("""COMPUTED_VALUE"""),"")</f>
        <v/>
      </c>
      <c r="E463" s="189" t="str">
        <f ca="1">IFERROR(__xludf.DUMMYFUNCTION("""COMPUTED_VALUE"""),"")</f>
        <v/>
      </c>
      <c r="F463" s="189" t="str">
        <f ca="1">IFERROR(__xludf.DUMMYFUNCTION("""COMPUTED_VALUE"""),"")</f>
        <v/>
      </c>
      <c r="G463" s="189" t="str">
        <f ca="1">IFERROR(__xludf.DUMMYFUNCTION("""COMPUTED_VALUE"""),"")</f>
        <v/>
      </c>
      <c r="H463" s="189" t="str">
        <f ca="1">IFERROR(__xludf.DUMMYFUNCTION("""COMPUTED_VALUE"""),"")</f>
        <v/>
      </c>
      <c r="I463" s="120" t="str">
        <f ca="1">IFERROR(__xludf.DUMMYFUNCTION("""COMPUTED_VALUE"""),"")</f>
        <v/>
      </c>
      <c r="J463" s="189" t="str">
        <f ca="1">IFERROR(__xludf.DUMMYFUNCTION("""COMPUTED_VALUE"""),"")</f>
        <v/>
      </c>
      <c r="K463" s="189" t="str">
        <f ca="1">IFERROR(__xludf.DUMMYFUNCTION("""COMPUTED_VALUE"""),"")</f>
        <v/>
      </c>
      <c r="L463" s="189" t="str">
        <f ca="1">IFERROR(__xludf.DUMMYFUNCTION("""COMPUTED_VALUE"""),"")</f>
        <v/>
      </c>
      <c r="M463" s="189" t="str">
        <f ca="1">IFERROR(__xludf.DUMMYFUNCTION("""COMPUTED_VALUE"""),"")</f>
        <v/>
      </c>
      <c r="N463" s="189" t="str">
        <f ca="1">IFERROR(__xludf.DUMMYFUNCTION("""COMPUTED_VALUE"""),"")</f>
        <v/>
      </c>
      <c r="O463" s="189" t="str">
        <f ca="1">IFERROR(__xludf.DUMMYFUNCTION("""COMPUTED_VALUE"""),"")</f>
        <v/>
      </c>
      <c r="P463" s="189" t="str">
        <f ca="1">IFERROR(__xludf.DUMMYFUNCTION("""COMPUTED_VALUE"""),"")</f>
        <v/>
      </c>
      <c r="Q463" s="189" t="str">
        <f ca="1">IFERROR(__xludf.DUMMYFUNCTION("""COMPUTED_VALUE"""),"")</f>
        <v/>
      </c>
      <c r="R463" s="189" t="str">
        <f ca="1">IFERROR(__xludf.DUMMYFUNCTION("""COMPUTED_VALUE"""),"")</f>
        <v/>
      </c>
      <c r="S463" s="189" t="str">
        <f ca="1">IFERROR(__xludf.DUMMYFUNCTION("""COMPUTED_VALUE"""),"")</f>
        <v/>
      </c>
      <c r="T463" s="189" t="str">
        <f ca="1">IFERROR(__xludf.DUMMYFUNCTION("""COMPUTED_VALUE"""),"")</f>
        <v/>
      </c>
      <c r="U463" s="189" t="str">
        <f ca="1">IFERROR(__xludf.DUMMYFUNCTION("""COMPUTED_VALUE"""),"")</f>
        <v/>
      </c>
      <c r="V463" s="189" t="str">
        <f ca="1">IFERROR(__xludf.DUMMYFUNCTION("""COMPUTED_VALUE"""),"")</f>
        <v/>
      </c>
      <c r="W463" s="189" t="str">
        <f ca="1">IFERROR(__xludf.DUMMYFUNCTION("""COMPUTED_VALUE"""),"")</f>
        <v/>
      </c>
      <c r="X463" s="189" t="str">
        <f ca="1">IFERROR(__xludf.DUMMYFUNCTION("""COMPUTED_VALUE"""),"")</f>
        <v/>
      </c>
      <c r="Y463" s="189" t="str">
        <f ca="1">IFERROR(__xludf.DUMMYFUNCTION("""COMPUTED_VALUE"""),"")</f>
        <v/>
      </c>
      <c r="Z463" s="189"/>
    </row>
    <row r="464" spans="1:26" ht="12.75">
      <c r="A464" s="189" t="str">
        <f ca="1">IFERROR(__xludf.DUMMYFUNCTION("""COMPUTED_VALUE"""),"")</f>
        <v/>
      </c>
      <c r="B464" s="189" t="str">
        <f ca="1">IFERROR(__xludf.DUMMYFUNCTION("""COMPUTED_VALUE"""),"")</f>
        <v/>
      </c>
      <c r="C464" s="189" t="str">
        <f ca="1">IFERROR(__xludf.DUMMYFUNCTION("""COMPUTED_VALUE"""),"")</f>
        <v/>
      </c>
      <c r="D464" s="189" t="str">
        <f ca="1">IFERROR(__xludf.DUMMYFUNCTION("""COMPUTED_VALUE"""),"")</f>
        <v/>
      </c>
      <c r="E464" s="189" t="str">
        <f ca="1">IFERROR(__xludf.DUMMYFUNCTION("""COMPUTED_VALUE"""),"")</f>
        <v/>
      </c>
      <c r="F464" s="189" t="str">
        <f ca="1">IFERROR(__xludf.DUMMYFUNCTION("""COMPUTED_VALUE"""),"")</f>
        <v/>
      </c>
      <c r="G464" s="189" t="str">
        <f ca="1">IFERROR(__xludf.DUMMYFUNCTION("""COMPUTED_VALUE"""),"")</f>
        <v/>
      </c>
      <c r="H464" s="189" t="str">
        <f ca="1">IFERROR(__xludf.DUMMYFUNCTION("""COMPUTED_VALUE"""),"")</f>
        <v/>
      </c>
      <c r="I464" s="120" t="str">
        <f ca="1">IFERROR(__xludf.DUMMYFUNCTION("""COMPUTED_VALUE"""),"")</f>
        <v/>
      </c>
      <c r="J464" s="189" t="str">
        <f ca="1">IFERROR(__xludf.DUMMYFUNCTION("""COMPUTED_VALUE"""),"")</f>
        <v/>
      </c>
      <c r="K464" s="189" t="str">
        <f ca="1">IFERROR(__xludf.DUMMYFUNCTION("""COMPUTED_VALUE"""),"")</f>
        <v/>
      </c>
      <c r="L464" s="189" t="str">
        <f ca="1">IFERROR(__xludf.DUMMYFUNCTION("""COMPUTED_VALUE"""),"")</f>
        <v/>
      </c>
      <c r="M464" s="189" t="str">
        <f ca="1">IFERROR(__xludf.DUMMYFUNCTION("""COMPUTED_VALUE"""),"")</f>
        <v/>
      </c>
      <c r="N464" s="189" t="str">
        <f ca="1">IFERROR(__xludf.DUMMYFUNCTION("""COMPUTED_VALUE"""),"")</f>
        <v/>
      </c>
      <c r="O464" s="189" t="str">
        <f ca="1">IFERROR(__xludf.DUMMYFUNCTION("""COMPUTED_VALUE"""),"")</f>
        <v/>
      </c>
      <c r="P464" s="189" t="str">
        <f ca="1">IFERROR(__xludf.DUMMYFUNCTION("""COMPUTED_VALUE"""),"")</f>
        <v/>
      </c>
      <c r="Q464" s="189" t="str">
        <f ca="1">IFERROR(__xludf.DUMMYFUNCTION("""COMPUTED_VALUE"""),"")</f>
        <v/>
      </c>
      <c r="R464" s="189" t="str">
        <f ca="1">IFERROR(__xludf.DUMMYFUNCTION("""COMPUTED_VALUE"""),"")</f>
        <v/>
      </c>
      <c r="S464" s="189" t="str">
        <f ca="1">IFERROR(__xludf.DUMMYFUNCTION("""COMPUTED_VALUE"""),"")</f>
        <v/>
      </c>
      <c r="T464" s="189" t="str">
        <f ca="1">IFERROR(__xludf.DUMMYFUNCTION("""COMPUTED_VALUE"""),"")</f>
        <v/>
      </c>
      <c r="U464" s="189" t="str">
        <f ca="1">IFERROR(__xludf.DUMMYFUNCTION("""COMPUTED_VALUE"""),"")</f>
        <v/>
      </c>
      <c r="V464" s="189" t="str">
        <f ca="1">IFERROR(__xludf.DUMMYFUNCTION("""COMPUTED_VALUE"""),"")</f>
        <v/>
      </c>
      <c r="W464" s="189" t="str">
        <f ca="1">IFERROR(__xludf.DUMMYFUNCTION("""COMPUTED_VALUE"""),"")</f>
        <v/>
      </c>
      <c r="X464" s="189" t="str">
        <f ca="1">IFERROR(__xludf.DUMMYFUNCTION("""COMPUTED_VALUE"""),"")</f>
        <v/>
      </c>
      <c r="Y464" s="189" t="str">
        <f ca="1">IFERROR(__xludf.DUMMYFUNCTION("""COMPUTED_VALUE"""),"")</f>
        <v/>
      </c>
      <c r="Z464" s="189"/>
    </row>
    <row r="465" spans="1:26" ht="12.75">
      <c r="A465" s="189" t="str">
        <f ca="1">IFERROR(__xludf.DUMMYFUNCTION("""COMPUTED_VALUE"""),"")</f>
        <v/>
      </c>
      <c r="B465" s="189" t="str">
        <f ca="1">IFERROR(__xludf.DUMMYFUNCTION("""COMPUTED_VALUE"""),"")</f>
        <v/>
      </c>
      <c r="C465" s="189" t="str">
        <f ca="1">IFERROR(__xludf.DUMMYFUNCTION("""COMPUTED_VALUE"""),"")</f>
        <v/>
      </c>
      <c r="D465" s="189" t="str">
        <f ca="1">IFERROR(__xludf.DUMMYFUNCTION("""COMPUTED_VALUE"""),"")</f>
        <v/>
      </c>
      <c r="E465" s="189" t="str">
        <f ca="1">IFERROR(__xludf.DUMMYFUNCTION("""COMPUTED_VALUE"""),"")</f>
        <v/>
      </c>
      <c r="F465" s="189" t="str">
        <f ca="1">IFERROR(__xludf.DUMMYFUNCTION("""COMPUTED_VALUE"""),"")</f>
        <v/>
      </c>
      <c r="G465" s="189" t="str">
        <f ca="1">IFERROR(__xludf.DUMMYFUNCTION("""COMPUTED_VALUE"""),"")</f>
        <v/>
      </c>
      <c r="H465" s="189" t="str">
        <f ca="1">IFERROR(__xludf.DUMMYFUNCTION("""COMPUTED_VALUE"""),"")</f>
        <v/>
      </c>
      <c r="I465" s="120" t="str">
        <f ca="1">IFERROR(__xludf.DUMMYFUNCTION("""COMPUTED_VALUE"""),"")</f>
        <v/>
      </c>
      <c r="J465" s="189" t="str">
        <f ca="1">IFERROR(__xludf.DUMMYFUNCTION("""COMPUTED_VALUE"""),"")</f>
        <v/>
      </c>
      <c r="K465" s="189" t="str">
        <f ca="1">IFERROR(__xludf.DUMMYFUNCTION("""COMPUTED_VALUE"""),"")</f>
        <v/>
      </c>
      <c r="L465" s="189" t="str">
        <f ca="1">IFERROR(__xludf.DUMMYFUNCTION("""COMPUTED_VALUE"""),"")</f>
        <v/>
      </c>
      <c r="M465" s="189" t="str">
        <f ca="1">IFERROR(__xludf.DUMMYFUNCTION("""COMPUTED_VALUE"""),"")</f>
        <v/>
      </c>
      <c r="N465" s="189" t="str">
        <f ca="1">IFERROR(__xludf.DUMMYFUNCTION("""COMPUTED_VALUE"""),"")</f>
        <v/>
      </c>
      <c r="O465" s="189" t="str">
        <f ca="1">IFERROR(__xludf.DUMMYFUNCTION("""COMPUTED_VALUE"""),"")</f>
        <v/>
      </c>
      <c r="P465" s="189" t="str">
        <f ca="1">IFERROR(__xludf.DUMMYFUNCTION("""COMPUTED_VALUE"""),"")</f>
        <v/>
      </c>
      <c r="Q465" s="189" t="str">
        <f ca="1">IFERROR(__xludf.DUMMYFUNCTION("""COMPUTED_VALUE"""),"")</f>
        <v/>
      </c>
      <c r="R465" s="189" t="str">
        <f ca="1">IFERROR(__xludf.DUMMYFUNCTION("""COMPUTED_VALUE"""),"")</f>
        <v/>
      </c>
      <c r="S465" s="189" t="str">
        <f ca="1">IFERROR(__xludf.DUMMYFUNCTION("""COMPUTED_VALUE"""),"")</f>
        <v/>
      </c>
      <c r="T465" s="189" t="str">
        <f ca="1">IFERROR(__xludf.DUMMYFUNCTION("""COMPUTED_VALUE"""),"")</f>
        <v/>
      </c>
      <c r="U465" s="189" t="str">
        <f ca="1">IFERROR(__xludf.DUMMYFUNCTION("""COMPUTED_VALUE"""),"")</f>
        <v/>
      </c>
      <c r="V465" s="189" t="str">
        <f ca="1">IFERROR(__xludf.DUMMYFUNCTION("""COMPUTED_VALUE"""),"")</f>
        <v/>
      </c>
      <c r="W465" s="189" t="str">
        <f ca="1">IFERROR(__xludf.DUMMYFUNCTION("""COMPUTED_VALUE"""),"")</f>
        <v/>
      </c>
      <c r="X465" s="189" t="str">
        <f ca="1">IFERROR(__xludf.DUMMYFUNCTION("""COMPUTED_VALUE"""),"")</f>
        <v/>
      </c>
      <c r="Y465" s="189" t="str">
        <f ca="1">IFERROR(__xludf.DUMMYFUNCTION("""COMPUTED_VALUE"""),"")</f>
        <v/>
      </c>
      <c r="Z465" s="189"/>
    </row>
    <row r="466" spans="1:26" ht="12.75">
      <c r="A466" s="189" t="str">
        <f ca="1">IFERROR(__xludf.DUMMYFUNCTION("""COMPUTED_VALUE"""),"")</f>
        <v/>
      </c>
      <c r="B466" s="189" t="str">
        <f ca="1">IFERROR(__xludf.DUMMYFUNCTION("""COMPUTED_VALUE"""),"")</f>
        <v/>
      </c>
      <c r="C466" s="189" t="str">
        <f ca="1">IFERROR(__xludf.DUMMYFUNCTION("""COMPUTED_VALUE"""),"")</f>
        <v/>
      </c>
      <c r="D466" s="189" t="str">
        <f ca="1">IFERROR(__xludf.DUMMYFUNCTION("""COMPUTED_VALUE"""),"")</f>
        <v/>
      </c>
      <c r="E466" s="189" t="str">
        <f ca="1">IFERROR(__xludf.DUMMYFUNCTION("""COMPUTED_VALUE"""),"")</f>
        <v/>
      </c>
      <c r="F466" s="189" t="str">
        <f ca="1">IFERROR(__xludf.DUMMYFUNCTION("""COMPUTED_VALUE"""),"")</f>
        <v/>
      </c>
      <c r="G466" s="189" t="str">
        <f ca="1">IFERROR(__xludf.DUMMYFUNCTION("""COMPUTED_VALUE"""),"")</f>
        <v/>
      </c>
      <c r="H466" s="189" t="str">
        <f ca="1">IFERROR(__xludf.DUMMYFUNCTION("""COMPUTED_VALUE"""),"")</f>
        <v/>
      </c>
      <c r="I466" s="120" t="str">
        <f ca="1">IFERROR(__xludf.DUMMYFUNCTION("""COMPUTED_VALUE"""),"")</f>
        <v/>
      </c>
      <c r="J466" s="189" t="str">
        <f ca="1">IFERROR(__xludf.DUMMYFUNCTION("""COMPUTED_VALUE"""),"")</f>
        <v/>
      </c>
      <c r="K466" s="189" t="str">
        <f ca="1">IFERROR(__xludf.DUMMYFUNCTION("""COMPUTED_VALUE"""),"")</f>
        <v/>
      </c>
      <c r="L466" s="189" t="str">
        <f ca="1">IFERROR(__xludf.DUMMYFUNCTION("""COMPUTED_VALUE"""),"")</f>
        <v/>
      </c>
      <c r="M466" s="189" t="str">
        <f ca="1">IFERROR(__xludf.DUMMYFUNCTION("""COMPUTED_VALUE"""),"")</f>
        <v/>
      </c>
      <c r="N466" s="189" t="str">
        <f ca="1">IFERROR(__xludf.DUMMYFUNCTION("""COMPUTED_VALUE"""),"")</f>
        <v/>
      </c>
      <c r="O466" s="189" t="str">
        <f ca="1">IFERROR(__xludf.DUMMYFUNCTION("""COMPUTED_VALUE"""),"")</f>
        <v/>
      </c>
      <c r="P466" s="189" t="str">
        <f ca="1">IFERROR(__xludf.DUMMYFUNCTION("""COMPUTED_VALUE"""),"")</f>
        <v/>
      </c>
      <c r="Q466" s="189" t="str">
        <f ca="1">IFERROR(__xludf.DUMMYFUNCTION("""COMPUTED_VALUE"""),"")</f>
        <v/>
      </c>
      <c r="R466" s="189" t="str">
        <f ca="1">IFERROR(__xludf.DUMMYFUNCTION("""COMPUTED_VALUE"""),"")</f>
        <v/>
      </c>
      <c r="S466" s="189" t="str">
        <f ca="1">IFERROR(__xludf.DUMMYFUNCTION("""COMPUTED_VALUE"""),"")</f>
        <v/>
      </c>
      <c r="T466" s="189" t="str">
        <f ca="1">IFERROR(__xludf.DUMMYFUNCTION("""COMPUTED_VALUE"""),"")</f>
        <v/>
      </c>
      <c r="U466" s="189" t="str">
        <f ca="1">IFERROR(__xludf.DUMMYFUNCTION("""COMPUTED_VALUE"""),"")</f>
        <v/>
      </c>
      <c r="V466" s="189" t="str">
        <f ca="1">IFERROR(__xludf.DUMMYFUNCTION("""COMPUTED_VALUE"""),"")</f>
        <v/>
      </c>
      <c r="W466" s="189" t="str">
        <f ca="1">IFERROR(__xludf.DUMMYFUNCTION("""COMPUTED_VALUE"""),"")</f>
        <v/>
      </c>
      <c r="X466" s="189" t="str">
        <f ca="1">IFERROR(__xludf.DUMMYFUNCTION("""COMPUTED_VALUE"""),"")</f>
        <v/>
      </c>
      <c r="Y466" s="189" t="str">
        <f ca="1">IFERROR(__xludf.DUMMYFUNCTION("""COMPUTED_VALUE"""),"")</f>
        <v/>
      </c>
      <c r="Z466" s="189"/>
    </row>
    <row r="467" spans="1:26" ht="12.75">
      <c r="A467" s="189" t="str">
        <f ca="1">IFERROR(__xludf.DUMMYFUNCTION("""COMPUTED_VALUE"""),"")</f>
        <v/>
      </c>
      <c r="B467" s="189" t="str">
        <f ca="1">IFERROR(__xludf.DUMMYFUNCTION("""COMPUTED_VALUE"""),"")</f>
        <v/>
      </c>
      <c r="C467" s="189" t="str">
        <f ca="1">IFERROR(__xludf.DUMMYFUNCTION("""COMPUTED_VALUE"""),"")</f>
        <v/>
      </c>
      <c r="D467" s="189" t="str">
        <f ca="1">IFERROR(__xludf.DUMMYFUNCTION("""COMPUTED_VALUE"""),"")</f>
        <v/>
      </c>
      <c r="E467" s="189" t="str">
        <f ca="1">IFERROR(__xludf.DUMMYFUNCTION("""COMPUTED_VALUE"""),"")</f>
        <v/>
      </c>
      <c r="F467" s="189" t="str">
        <f ca="1">IFERROR(__xludf.DUMMYFUNCTION("""COMPUTED_VALUE"""),"")</f>
        <v/>
      </c>
      <c r="G467" s="189" t="str">
        <f ca="1">IFERROR(__xludf.DUMMYFUNCTION("""COMPUTED_VALUE"""),"")</f>
        <v/>
      </c>
      <c r="H467" s="189" t="str">
        <f ca="1">IFERROR(__xludf.DUMMYFUNCTION("""COMPUTED_VALUE"""),"")</f>
        <v/>
      </c>
      <c r="I467" s="120" t="str">
        <f ca="1">IFERROR(__xludf.DUMMYFUNCTION("""COMPUTED_VALUE"""),"")</f>
        <v/>
      </c>
      <c r="J467" s="189" t="str">
        <f ca="1">IFERROR(__xludf.DUMMYFUNCTION("""COMPUTED_VALUE"""),"")</f>
        <v/>
      </c>
      <c r="K467" s="189" t="str">
        <f ca="1">IFERROR(__xludf.DUMMYFUNCTION("""COMPUTED_VALUE"""),"")</f>
        <v/>
      </c>
      <c r="L467" s="189" t="str">
        <f ca="1">IFERROR(__xludf.DUMMYFUNCTION("""COMPUTED_VALUE"""),"")</f>
        <v/>
      </c>
      <c r="M467" s="189" t="str">
        <f ca="1">IFERROR(__xludf.DUMMYFUNCTION("""COMPUTED_VALUE"""),"")</f>
        <v/>
      </c>
      <c r="N467" s="189" t="str">
        <f ca="1">IFERROR(__xludf.DUMMYFUNCTION("""COMPUTED_VALUE"""),"")</f>
        <v/>
      </c>
      <c r="O467" s="189" t="str">
        <f ca="1">IFERROR(__xludf.DUMMYFUNCTION("""COMPUTED_VALUE"""),"")</f>
        <v/>
      </c>
      <c r="P467" s="189" t="str">
        <f ca="1">IFERROR(__xludf.DUMMYFUNCTION("""COMPUTED_VALUE"""),"")</f>
        <v/>
      </c>
      <c r="Q467" s="189" t="str">
        <f ca="1">IFERROR(__xludf.DUMMYFUNCTION("""COMPUTED_VALUE"""),"")</f>
        <v/>
      </c>
      <c r="R467" s="189" t="str">
        <f ca="1">IFERROR(__xludf.DUMMYFUNCTION("""COMPUTED_VALUE"""),"")</f>
        <v/>
      </c>
      <c r="S467" s="189" t="str">
        <f ca="1">IFERROR(__xludf.DUMMYFUNCTION("""COMPUTED_VALUE"""),"")</f>
        <v/>
      </c>
      <c r="T467" s="189" t="str">
        <f ca="1">IFERROR(__xludf.DUMMYFUNCTION("""COMPUTED_VALUE"""),"")</f>
        <v/>
      </c>
      <c r="U467" s="189" t="str">
        <f ca="1">IFERROR(__xludf.DUMMYFUNCTION("""COMPUTED_VALUE"""),"")</f>
        <v/>
      </c>
      <c r="V467" s="189" t="str">
        <f ca="1">IFERROR(__xludf.DUMMYFUNCTION("""COMPUTED_VALUE"""),"")</f>
        <v/>
      </c>
      <c r="W467" s="189" t="str">
        <f ca="1">IFERROR(__xludf.DUMMYFUNCTION("""COMPUTED_VALUE"""),"")</f>
        <v/>
      </c>
      <c r="X467" s="189" t="str">
        <f ca="1">IFERROR(__xludf.DUMMYFUNCTION("""COMPUTED_VALUE"""),"")</f>
        <v/>
      </c>
      <c r="Y467" s="189" t="str">
        <f ca="1">IFERROR(__xludf.DUMMYFUNCTION("""COMPUTED_VALUE"""),"")</f>
        <v/>
      </c>
      <c r="Z467" s="189"/>
    </row>
    <row r="468" spans="1:26" ht="12.75">
      <c r="A468" s="189" t="str">
        <f ca="1">IFERROR(__xludf.DUMMYFUNCTION("""COMPUTED_VALUE"""),"")</f>
        <v/>
      </c>
      <c r="B468" s="189" t="str">
        <f ca="1">IFERROR(__xludf.DUMMYFUNCTION("""COMPUTED_VALUE"""),"")</f>
        <v/>
      </c>
      <c r="C468" s="189" t="str">
        <f ca="1">IFERROR(__xludf.DUMMYFUNCTION("""COMPUTED_VALUE"""),"")</f>
        <v/>
      </c>
      <c r="D468" s="189" t="str">
        <f ca="1">IFERROR(__xludf.DUMMYFUNCTION("""COMPUTED_VALUE"""),"")</f>
        <v/>
      </c>
      <c r="E468" s="189" t="str">
        <f ca="1">IFERROR(__xludf.DUMMYFUNCTION("""COMPUTED_VALUE"""),"")</f>
        <v/>
      </c>
      <c r="F468" s="189" t="str">
        <f ca="1">IFERROR(__xludf.DUMMYFUNCTION("""COMPUTED_VALUE"""),"")</f>
        <v/>
      </c>
      <c r="G468" s="189" t="str">
        <f ca="1">IFERROR(__xludf.DUMMYFUNCTION("""COMPUTED_VALUE"""),"")</f>
        <v/>
      </c>
      <c r="H468" s="189" t="str">
        <f ca="1">IFERROR(__xludf.DUMMYFUNCTION("""COMPUTED_VALUE"""),"")</f>
        <v/>
      </c>
      <c r="I468" s="120" t="str">
        <f ca="1">IFERROR(__xludf.DUMMYFUNCTION("""COMPUTED_VALUE"""),"")</f>
        <v/>
      </c>
      <c r="J468" s="189" t="str">
        <f ca="1">IFERROR(__xludf.DUMMYFUNCTION("""COMPUTED_VALUE"""),"")</f>
        <v/>
      </c>
      <c r="K468" s="189" t="str">
        <f ca="1">IFERROR(__xludf.DUMMYFUNCTION("""COMPUTED_VALUE"""),"")</f>
        <v/>
      </c>
      <c r="L468" s="189" t="str">
        <f ca="1">IFERROR(__xludf.DUMMYFUNCTION("""COMPUTED_VALUE"""),"")</f>
        <v/>
      </c>
      <c r="M468" s="189" t="str">
        <f ca="1">IFERROR(__xludf.DUMMYFUNCTION("""COMPUTED_VALUE"""),"")</f>
        <v/>
      </c>
      <c r="N468" s="189" t="str">
        <f ca="1">IFERROR(__xludf.DUMMYFUNCTION("""COMPUTED_VALUE"""),"")</f>
        <v/>
      </c>
      <c r="O468" s="189" t="str">
        <f ca="1">IFERROR(__xludf.DUMMYFUNCTION("""COMPUTED_VALUE"""),"")</f>
        <v/>
      </c>
      <c r="P468" s="189" t="str">
        <f ca="1">IFERROR(__xludf.DUMMYFUNCTION("""COMPUTED_VALUE"""),"")</f>
        <v/>
      </c>
      <c r="Q468" s="189" t="str">
        <f ca="1">IFERROR(__xludf.DUMMYFUNCTION("""COMPUTED_VALUE"""),"")</f>
        <v/>
      </c>
      <c r="R468" s="189" t="str">
        <f ca="1">IFERROR(__xludf.DUMMYFUNCTION("""COMPUTED_VALUE"""),"")</f>
        <v/>
      </c>
      <c r="S468" s="189" t="str">
        <f ca="1">IFERROR(__xludf.DUMMYFUNCTION("""COMPUTED_VALUE"""),"")</f>
        <v/>
      </c>
      <c r="T468" s="189" t="str">
        <f ca="1">IFERROR(__xludf.DUMMYFUNCTION("""COMPUTED_VALUE"""),"")</f>
        <v/>
      </c>
      <c r="U468" s="189" t="str">
        <f ca="1">IFERROR(__xludf.DUMMYFUNCTION("""COMPUTED_VALUE"""),"")</f>
        <v/>
      </c>
      <c r="V468" s="189" t="str">
        <f ca="1">IFERROR(__xludf.DUMMYFUNCTION("""COMPUTED_VALUE"""),"")</f>
        <v/>
      </c>
      <c r="W468" s="189" t="str">
        <f ca="1">IFERROR(__xludf.DUMMYFUNCTION("""COMPUTED_VALUE"""),"")</f>
        <v/>
      </c>
      <c r="X468" s="189" t="str">
        <f ca="1">IFERROR(__xludf.DUMMYFUNCTION("""COMPUTED_VALUE"""),"")</f>
        <v/>
      </c>
      <c r="Y468" s="189" t="str">
        <f ca="1">IFERROR(__xludf.DUMMYFUNCTION("""COMPUTED_VALUE"""),"")</f>
        <v/>
      </c>
      <c r="Z468" s="189"/>
    </row>
    <row r="469" spans="1:26" ht="12.75">
      <c r="A469" s="189" t="str">
        <f ca="1">IFERROR(__xludf.DUMMYFUNCTION("""COMPUTED_VALUE"""),"")</f>
        <v/>
      </c>
      <c r="B469" s="189" t="str">
        <f ca="1">IFERROR(__xludf.DUMMYFUNCTION("""COMPUTED_VALUE"""),"")</f>
        <v/>
      </c>
      <c r="C469" s="189" t="str">
        <f ca="1">IFERROR(__xludf.DUMMYFUNCTION("""COMPUTED_VALUE"""),"")</f>
        <v/>
      </c>
      <c r="D469" s="189" t="str">
        <f ca="1">IFERROR(__xludf.DUMMYFUNCTION("""COMPUTED_VALUE"""),"")</f>
        <v/>
      </c>
      <c r="E469" s="189" t="str">
        <f ca="1">IFERROR(__xludf.DUMMYFUNCTION("""COMPUTED_VALUE"""),"")</f>
        <v/>
      </c>
      <c r="F469" s="189" t="str">
        <f ca="1">IFERROR(__xludf.DUMMYFUNCTION("""COMPUTED_VALUE"""),"")</f>
        <v/>
      </c>
      <c r="G469" s="189" t="str">
        <f ca="1">IFERROR(__xludf.DUMMYFUNCTION("""COMPUTED_VALUE"""),"")</f>
        <v/>
      </c>
      <c r="H469" s="189" t="str">
        <f ca="1">IFERROR(__xludf.DUMMYFUNCTION("""COMPUTED_VALUE"""),"")</f>
        <v/>
      </c>
      <c r="I469" s="120" t="str">
        <f ca="1">IFERROR(__xludf.DUMMYFUNCTION("""COMPUTED_VALUE"""),"")</f>
        <v/>
      </c>
      <c r="J469" s="189" t="str">
        <f ca="1">IFERROR(__xludf.DUMMYFUNCTION("""COMPUTED_VALUE"""),"")</f>
        <v/>
      </c>
      <c r="K469" s="189" t="str">
        <f ca="1">IFERROR(__xludf.DUMMYFUNCTION("""COMPUTED_VALUE"""),"")</f>
        <v/>
      </c>
      <c r="L469" s="189" t="str">
        <f ca="1">IFERROR(__xludf.DUMMYFUNCTION("""COMPUTED_VALUE"""),"")</f>
        <v/>
      </c>
      <c r="M469" s="189" t="str">
        <f ca="1">IFERROR(__xludf.DUMMYFUNCTION("""COMPUTED_VALUE"""),"")</f>
        <v/>
      </c>
      <c r="N469" s="189" t="str">
        <f ca="1">IFERROR(__xludf.DUMMYFUNCTION("""COMPUTED_VALUE"""),"")</f>
        <v/>
      </c>
      <c r="O469" s="189" t="str">
        <f ca="1">IFERROR(__xludf.DUMMYFUNCTION("""COMPUTED_VALUE"""),"")</f>
        <v/>
      </c>
      <c r="P469" s="189" t="str">
        <f ca="1">IFERROR(__xludf.DUMMYFUNCTION("""COMPUTED_VALUE"""),"")</f>
        <v/>
      </c>
      <c r="Q469" s="189" t="str">
        <f ca="1">IFERROR(__xludf.DUMMYFUNCTION("""COMPUTED_VALUE"""),"")</f>
        <v/>
      </c>
      <c r="R469" s="189" t="str">
        <f ca="1">IFERROR(__xludf.DUMMYFUNCTION("""COMPUTED_VALUE"""),"")</f>
        <v/>
      </c>
      <c r="S469" s="189" t="str">
        <f ca="1">IFERROR(__xludf.DUMMYFUNCTION("""COMPUTED_VALUE"""),"")</f>
        <v/>
      </c>
      <c r="T469" s="189" t="str">
        <f ca="1">IFERROR(__xludf.DUMMYFUNCTION("""COMPUTED_VALUE"""),"")</f>
        <v/>
      </c>
      <c r="U469" s="189" t="str">
        <f ca="1">IFERROR(__xludf.DUMMYFUNCTION("""COMPUTED_VALUE"""),"")</f>
        <v/>
      </c>
      <c r="V469" s="189" t="str">
        <f ca="1">IFERROR(__xludf.DUMMYFUNCTION("""COMPUTED_VALUE"""),"")</f>
        <v/>
      </c>
      <c r="W469" s="189" t="str">
        <f ca="1">IFERROR(__xludf.DUMMYFUNCTION("""COMPUTED_VALUE"""),"")</f>
        <v/>
      </c>
      <c r="X469" s="189" t="str">
        <f ca="1">IFERROR(__xludf.DUMMYFUNCTION("""COMPUTED_VALUE"""),"")</f>
        <v/>
      </c>
      <c r="Y469" s="189" t="str">
        <f ca="1">IFERROR(__xludf.DUMMYFUNCTION("""COMPUTED_VALUE"""),"")</f>
        <v/>
      </c>
      <c r="Z469" s="189"/>
    </row>
    <row r="470" spans="1:26" ht="12.75">
      <c r="A470" s="189" t="str">
        <f ca="1">IFERROR(__xludf.DUMMYFUNCTION("""COMPUTED_VALUE"""),"")</f>
        <v/>
      </c>
      <c r="B470" s="189" t="str">
        <f ca="1">IFERROR(__xludf.DUMMYFUNCTION("""COMPUTED_VALUE"""),"")</f>
        <v/>
      </c>
      <c r="C470" s="189" t="str">
        <f ca="1">IFERROR(__xludf.DUMMYFUNCTION("""COMPUTED_VALUE"""),"")</f>
        <v/>
      </c>
      <c r="D470" s="189" t="str">
        <f ca="1">IFERROR(__xludf.DUMMYFUNCTION("""COMPUTED_VALUE"""),"")</f>
        <v/>
      </c>
      <c r="E470" s="189" t="str">
        <f ca="1">IFERROR(__xludf.DUMMYFUNCTION("""COMPUTED_VALUE"""),"")</f>
        <v/>
      </c>
      <c r="F470" s="189" t="str">
        <f ca="1">IFERROR(__xludf.DUMMYFUNCTION("""COMPUTED_VALUE"""),"")</f>
        <v/>
      </c>
      <c r="G470" s="189" t="str">
        <f ca="1">IFERROR(__xludf.DUMMYFUNCTION("""COMPUTED_VALUE"""),"")</f>
        <v/>
      </c>
      <c r="H470" s="189" t="str">
        <f ca="1">IFERROR(__xludf.DUMMYFUNCTION("""COMPUTED_VALUE"""),"")</f>
        <v/>
      </c>
      <c r="I470" s="120" t="str">
        <f ca="1">IFERROR(__xludf.DUMMYFUNCTION("""COMPUTED_VALUE"""),"")</f>
        <v/>
      </c>
      <c r="J470" s="189" t="str">
        <f ca="1">IFERROR(__xludf.DUMMYFUNCTION("""COMPUTED_VALUE"""),"")</f>
        <v/>
      </c>
      <c r="K470" s="189" t="str">
        <f ca="1">IFERROR(__xludf.DUMMYFUNCTION("""COMPUTED_VALUE"""),"")</f>
        <v/>
      </c>
      <c r="L470" s="189" t="str">
        <f ca="1">IFERROR(__xludf.DUMMYFUNCTION("""COMPUTED_VALUE"""),"")</f>
        <v/>
      </c>
      <c r="M470" s="189" t="str">
        <f ca="1">IFERROR(__xludf.DUMMYFUNCTION("""COMPUTED_VALUE"""),"")</f>
        <v/>
      </c>
      <c r="N470" s="189" t="str">
        <f ca="1">IFERROR(__xludf.DUMMYFUNCTION("""COMPUTED_VALUE"""),"")</f>
        <v/>
      </c>
      <c r="O470" s="189" t="str">
        <f ca="1">IFERROR(__xludf.DUMMYFUNCTION("""COMPUTED_VALUE"""),"")</f>
        <v/>
      </c>
      <c r="P470" s="189" t="str">
        <f ca="1">IFERROR(__xludf.DUMMYFUNCTION("""COMPUTED_VALUE"""),"")</f>
        <v/>
      </c>
      <c r="Q470" s="189" t="str">
        <f ca="1">IFERROR(__xludf.DUMMYFUNCTION("""COMPUTED_VALUE"""),"")</f>
        <v/>
      </c>
      <c r="R470" s="189" t="str">
        <f ca="1">IFERROR(__xludf.DUMMYFUNCTION("""COMPUTED_VALUE"""),"")</f>
        <v/>
      </c>
      <c r="S470" s="189" t="str">
        <f ca="1">IFERROR(__xludf.DUMMYFUNCTION("""COMPUTED_VALUE"""),"")</f>
        <v/>
      </c>
      <c r="T470" s="189" t="str">
        <f ca="1">IFERROR(__xludf.DUMMYFUNCTION("""COMPUTED_VALUE"""),"")</f>
        <v/>
      </c>
      <c r="U470" s="189" t="str">
        <f ca="1">IFERROR(__xludf.DUMMYFUNCTION("""COMPUTED_VALUE"""),"")</f>
        <v/>
      </c>
      <c r="V470" s="189" t="str">
        <f ca="1">IFERROR(__xludf.DUMMYFUNCTION("""COMPUTED_VALUE"""),"")</f>
        <v/>
      </c>
      <c r="W470" s="189" t="str">
        <f ca="1">IFERROR(__xludf.DUMMYFUNCTION("""COMPUTED_VALUE"""),"")</f>
        <v/>
      </c>
      <c r="X470" s="189" t="str">
        <f ca="1">IFERROR(__xludf.DUMMYFUNCTION("""COMPUTED_VALUE"""),"")</f>
        <v/>
      </c>
      <c r="Y470" s="189" t="str">
        <f ca="1">IFERROR(__xludf.DUMMYFUNCTION("""COMPUTED_VALUE"""),"")</f>
        <v/>
      </c>
      <c r="Z470" s="189"/>
    </row>
    <row r="471" spans="1:26" ht="12.75">
      <c r="A471" s="189" t="str">
        <f ca="1">IFERROR(__xludf.DUMMYFUNCTION("""COMPUTED_VALUE"""),"")</f>
        <v/>
      </c>
      <c r="B471" s="189" t="str">
        <f ca="1">IFERROR(__xludf.DUMMYFUNCTION("""COMPUTED_VALUE"""),"")</f>
        <v/>
      </c>
      <c r="C471" s="189" t="str">
        <f ca="1">IFERROR(__xludf.DUMMYFUNCTION("""COMPUTED_VALUE"""),"")</f>
        <v/>
      </c>
      <c r="D471" s="189" t="str">
        <f ca="1">IFERROR(__xludf.DUMMYFUNCTION("""COMPUTED_VALUE"""),"")</f>
        <v/>
      </c>
      <c r="E471" s="189" t="str">
        <f ca="1">IFERROR(__xludf.DUMMYFUNCTION("""COMPUTED_VALUE"""),"")</f>
        <v/>
      </c>
      <c r="F471" s="189" t="str">
        <f ca="1">IFERROR(__xludf.DUMMYFUNCTION("""COMPUTED_VALUE"""),"")</f>
        <v/>
      </c>
      <c r="G471" s="189" t="str">
        <f ca="1">IFERROR(__xludf.DUMMYFUNCTION("""COMPUTED_VALUE"""),"")</f>
        <v/>
      </c>
      <c r="H471" s="189" t="str">
        <f ca="1">IFERROR(__xludf.DUMMYFUNCTION("""COMPUTED_VALUE"""),"")</f>
        <v/>
      </c>
      <c r="I471" s="120" t="str">
        <f ca="1">IFERROR(__xludf.DUMMYFUNCTION("""COMPUTED_VALUE"""),"")</f>
        <v/>
      </c>
      <c r="J471" s="189" t="str">
        <f ca="1">IFERROR(__xludf.DUMMYFUNCTION("""COMPUTED_VALUE"""),"")</f>
        <v/>
      </c>
      <c r="K471" s="189" t="str">
        <f ca="1">IFERROR(__xludf.DUMMYFUNCTION("""COMPUTED_VALUE"""),"")</f>
        <v/>
      </c>
      <c r="L471" s="189" t="str">
        <f ca="1">IFERROR(__xludf.DUMMYFUNCTION("""COMPUTED_VALUE"""),"")</f>
        <v/>
      </c>
      <c r="M471" s="189" t="str">
        <f ca="1">IFERROR(__xludf.DUMMYFUNCTION("""COMPUTED_VALUE"""),"")</f>
        <v/>
      </c>
      <c r="N471" s="189" t="str">
        <f ca="1">IFERROR(__xludf.DUMMYFUNCTION("""COMPUTED_VALUE"""),"")</f>
        <v/>
      </c>
      <c r="O471" s="189" t="str">
        <f ca="1">IFERROR(__xludf.DUMMYFUNCTION("""COMPUTED_VALUE"""),"")</f>
        <v/>
      </c>
      <c r="P471" s="189" t="str">
        <f ca="1">IFERROR(__xludf.DUMMYFUNCTION("""COMPUTED_VALUE"""),"")</f>
        <v/>
      </c>
      <c r="Q471" s="189" t="str">
        <f ca="1">IFERROR(__xludf.DUMMYFUNCTION("""COMPUTED_VALUE"""),"")</f>
        <v/>
      </c>
      <c r="R471" s="189" t="str">
        <f ca="1">IFERROR(__xludf.DUMMYFUNCTION("""COMPUTED_VALUE"""),"")</f>
        <v/>
      </c>
      <c r="S471" s="189" t="str">
        <f ca="1">IFERROR(__xludf.DUMMYFUNCTION("""COMPUTED_VALUE"""),"")</f>
        <v/>
      </c>
      <c r="T471" s="189" t="str">
        <f ca="1">IFERROR(__xludf.DUMMYFUNCTION("""COMPUTED_VALUE"""),"")</f>
        <v/>
      </c>
      <c r="U471" s="189" t="str">
        <f ca="1">IFERROR(__xludf.DUMMYFUNCTION("""COMPUTED_VALUE"""),"")</f>
        <v/>
      </c>
      <c r="V471" s="189" t="str">
        <f ca="1">IFERROR(__xludf.DUMMYFUNCTION("""COMPUTED_VALUE"""),"")</f>
        <v/>
      </c>
      <c r="W471" s="189" t="str">
        <f ca="1">IFERROR(__xludf.DUMMYFUNCTION("""COMPUTED_VALUE"""),"")</f>
        <v/>
      </c>
      <c r="X471" s="189" t="str">
        <f ca="1">IFERROR(__xludf.DUMMYFUNCTION("""COMPUTED_VALUE"""),"")</f>
        <v/>
      </c>
      <c r="Y471" s="189" t="str">
        <f ca="1">IFERROR(__xludf.DUMMYFUNCTION("""COMPUTED_VALUE"""),"")</f>
        <v/>
      </c>
      <c r="Z471" s="189"/>
    </row>
    <row r="472" spans="1:26" ht="12.75">
      <c r="A472" s="189" t="str">
        <f ca="1">IFERROR(__xludf.DUMMYFUNCTION("""COMPUTED_VALUE"""),"")</f>
        <v/>
      </c>
      <c r="B472" s="189" t="str">
        <f ca="1">IFERROR(__xludf.DUMMYFUNCTION("""COMPUTED_VALUE"""),"")</f>
        <v/>
      </c>
      <c r="C472" s="189" t="str">
        <f ca="1">IFERROR(__xludf.DUMMYFUNCTION("""COMPUTED_VALUE"""),"")</f>
        <v/>
      </c>
      <c r="D472" s="189" t="str">
        <f ca="1">IFERROR(__xludf.DUMMYFUNCTION("""COMPUTED_VALUE"""),"")</f>
        <v/>
      </c>
      <c r="E472" s="189" t="str">
        <f ca="1">IFERROR(__xludf.DUMMYFUNCTION("""COMPUTED_VALUE"""),"")</f>
        <v/>
      </c>
      <c r="F472" s="189" t="str">
        <f ca="1">IFERROR(__xludf.DUMMYFUNCTION("""COMPUTED_VALUE"""),"")</f>
        <v/>
      </c>
      <c r="G472" s="189" t="str">
        <f ca="1">IFERROR(__xludf.DUMMYFUNCTION("""COMPUTED_VALUE"""),"")</f>
        <v/>
      </c>
      <c r="H472" s="189" t="str">
        <f ca="1">IFERROR(__xludf.DUMMYFUNCTION("""COMPUTED_VALUE"""),"")</f>
        <v/>
      </c>
      <c r="I472" s="120" t="str">
        <f ca="1">IFERROR(__xludf.DUMMYFUNCTION("""COMPUTED_VALUE"""),"")</f>
        <v/>
      </c>
      <c r="J472" s="189" t="str">
        <f ca="1">IFERROR(__xludf.DUMMYFUNCTION("""COMPUTED_VALUE"""),"")</f>
        <v/>
      </c>
      <c r="K472" s="189" t="str">
        <f ca="1">IFERROR(__xludf.DUMMYFUNCTION("""COMPUTED_VALUE"""),"")</f>
        <v/>
      </c>
      <c r="L472" s="189" t="str">
        <f ca="1">IFERROR(__xludf.DUMMYFUNCTION("""COMPUTED_VALUE"""),"")</f>
        <v/>
      </c>
      <c r="M472" s="189" t="str">
        <f ca="1">IFERROR(__xludf.DUMMYFUNCTION("""COMPUTED_VALUE"""),"")</f>
        <v/>
      </c>
      <c r="N472" s="189" t="str">
        <f ca="1">IFERROR(__xludf.DUMMYFUNCTION("""COMPUTED_VALUE"""),"")</f>
        <v/>
      </c>
      <c r="O472" s="189" t="str">
        <f ca="1">IFERROR(__xludf.DUMMYFUNCTION("""COMPUTED_VALUE"""),"")</f>
        <v/>
      </c>
      <c r="P472" s="189" t="str">
        <f ca="1">IFERROR(__xludf.DUMMYFUNCTION("""COMPUTED_VALUE"""),"")</f>
        <v/>
      </c>
      <c r="Q472" s="189" t="str">
        <f ca="1">IFERROR(__xludf.DUMMYFUNCTION("""COMPUTED_VALUE"""),"")</f>
        <v/>
      </c>
      <c r="R472" s="189" t="str">
        <f ca="1">IFERROR(__xludf.DUMMYFUNCTION("""COMPUTED_VALUE"""),"")</f>
        <v/>
      </c>
      <c r="S472" s="189" t="str">
        <f ca="1">IFERROR(__xludf.DUMMYFUNCTION("""COMPUTED_VALUE"""),"")</f>
        <v/>
      </c>
      <c r="T472" s="189" t="str">
        <f ca="1">IFERROR(__xludf.DUMMYFUNCTION("""COMPUTED_VALUE"""),"")</f>
        <v/>
      </c>
      <c r="U472" s="189" t="str">
        <f ca="1">IFERROR(__xludf.DUMMYFUNCTION("""COMPUTED_VALUE"""),"")</f>
        <v/>
      </c>
      <c r="V472" s="189" t="str">
        <f ca="1">IFERROR(__xludf.DUMMYFUNCTION("""COMPUTED_VALUE"""),"")</f>
        <v/>
      </c>
      <c r="W472" s="189" t="str">
        <f ca="1">IFERROR(__xludf.DUMMYFUNCTION("""COMPUTED_VALUE"""),"")</f>
        <v/>
      </c>
      <c r="X472" s="189" t="str">
        <f ca="1">IFERROR(__xludf.DUMMYFUNCTION("""COMPUTED_VALUE"""),"")</f>
        <v/>
      </c>
      <c r="Y472" s="189" t="str">
        <f ca="1">IFERROR(__xludf.DUMMYFUNCTION("""COMPUTED_VALUE"""),"")</f>
        <v/>
      </c>
      <c r="Z472" s="189"/>
    </row>
    <row r="473" spans="1:26" ht="12.75">
      <c r="A473" s="189" t="str">
        <f ca="1">IFERROR(__xludf.DUMMYFUNCTION("""COMPUTED_VALUE"""),"")</f>
        <v/>
      </c>
      <c r="B473" s="189" t="str">
        <f ca="1">IFERROR(__xludf.DUMMYFUNCTION("""COMPUTED_VALUE"""),"")</f>
        <v/>
      </c>
      <c r="C473" s="189" t="str">
        <f ca="1">IFERROR(__xludf.DUMMYFUNCTION("""COMPUTED_VALUE"""),"")</f>
        <v/>
      </c>
      <c r="D473" s="189" t="str">
        <f ca="1">IFERROR(__xludf.DUMMYFUNCTION("""COMPUTED_VALUE"""),"")</f>
        <v/>
      </c>
      <c r="E473" s="189" t="str">
        <f ca="1">IFERROR(__xludf.DUMMYFUNCTION("""COMPUTED_VALUE"""),"")</f>
        <v/>
      </c>
      <c r="F473" s="189" t="str">
        <f ca="1">IFERROR(__xludf.DUMMYFUNCTION("""COMPUTED_VALUE"""),"")</f>
        <v/>
      </c>
      <c r="G473" s="189" t="str">
        <f ca="1">IFERROR(__xludf.DUMMYFUNCTION("""COMPUTED_VALUE"""),"")</f>
        <v/>
      </c>
      <c r="H473" s="189" t="str">
        <f ca="1">IFERROR(__xludf.DUMMYFUNCTION("""COMPUTED_VALUE"""),"")</f>
        <v/>
      </c>
      <c r="I473" s="120" t="str">
        <f ca="1">IFERROR(__xludf.DUMMYFUNCTION("""COMPUTED_VALUE"""),"")</f>
        <v/>
      </c>
      <c r="J473" s="189" t="str">
        <f ca="1">IFERROR(__xludf.DUMMYFUNCTION("""COMPUTED_VALUE"""),"")</f>
        <v/>
      </c>
      <c r="K473" s="189" t="str">
        <f ca="1">IFERROR(__xludf.DUMMYFUNCTION("""COMPUTED_VALUE"""),"")</f>
        <v/>
      </c>
      <c r="L473" s="189" t="str">
        <f ca="1">IFERROR(__xludf.DUMMYFUNCTION("""COMPUTED_VALUE"""),"")</f>
        <v/>
      </c>
      <c r="M473" s="189" t="str">
        <f ca="1">IFERROR(__xludf.DUMMYFUNCTION("""COMPUTED_VALUE"""),"")</f>
        <v/>
      </c>
      <c r="N473" s="189" t="str">
        <f ca="1">IFERROR(__xludf.DUMMYFUNCTION("""COMPUTED_VALUE"""),"")</f>
        <v/>
      </c>
      <c r="O473" s="189" t="str">
        <f ca="1">IFERROR(__xludf.DUMMYFUNCTION("""COMPUTED_VALUE"""),"")</f>
        <v/>
      </c>
      <c r="P473" s="189" t="str">
        <f ca="1">IFERROR(__xludf.DUMMYFUNCTION("""COMPUTED_VALUE"""),"")</f>
        <v/>
      </c>
      <c r="Q473" s="189" t="str">
        <f ca="1">IFERROR(__xludf.DUMMYFUNCTION("""COMPUTED_VALUE"""),"")</f>
        <v/>
      </c>
      <c r="R473" s="189" t="str">
        <f ca="1">IFERROR(__xludf.DUMMYFUNCTION("""COMPUTED_VALUE"""),"")</f>
        <v/>
      </c>
      <c r="S473" s="189" t="str">
        <f ca="1">IFERROR(__xludf.DUMMYFUNCTION("""COMPUTED_VALUE"""),"")</f>
        <v/>
      </c>
      <c r="T473" s="189" t="str">
        <f ca="1">IFERROR(__xludf.DUMMYFUNCTION("""COMPUTED_VALUE"""),"")</f>
        <v/>
      </c>
      <c r="U473" s="189" t="str">
        <f ca="1">IFERROR(__xludf.DUMMYFUNCTION("""COMPUTED_VALUE"""),"")</f>
        <v/>
      </c>
      <c r="V473" s="189" t="str">
        <f ca="1">IFERROR(__xludf.DUMMYFUNCTION("""COMPUTED_VALUE"""),"")</f>
        <v/>
      </c>
      <c r="W473" s="189" t="str">
        <f ca="1">IFERROR(__xludf.DUMMYFUNCTION("""COMPUTED_VALUE"""),"")</f>
        <v/>
      </c>
      <c r="X473" s="189" t="str">
        <f ca="1">IFERROR(__xludf.DUMMYFUNCTION("""COMPUTED_VALUE"""),"")</f>
        <v/>
      </c>
      <c r="Y473" s="189" t="str">
        <f ca="1">IFERROR(__xludf.DUMMYFUNCTION("""COMPUTED_VALUE"""),"")</f>
        <v/>
      </c>
      <c r="Z473" s="189"/>
    </row>
    <row r="474" spans="1:26" ht="12.75">
      <c r="A474" s="189" t="str">
        <f ca="1">IFERROR(__xludf.DUMMYFUNCTION("""COMPUTED_VALUE"""),"")</f>
        <v/>
      </c>
      <c r="B474" s="189" t="str">
        <f ca="1">IFERROR(__xludf.DUMMYFUNCTION("""COMPUTED_VALUE"""),"")</f>
        <v/>
      </c>
      <c r="C474" s="189" t="str">
        <f ca="1">IFERROR(__xludf.DUMMYFUNCTION("""COMPUTED_VALUE"""),"")</f>
        <v/>
      </c>
      <c r="D474" s="189" t="str">
        <f ca="1">IFERROR(__xludf.DUMMYFUNCTION("""COMPUTED_VALUE"""),"")</f>
        <v/>
      </c>
      <c r="E474" s="189" t="str">
        <f ca="1">IFERROR(__xludf.DUMMYFUNCTION("""COMPUTED_VALUE"""),"")</f>
        <v/>
      </c>
      <c r="F474" s="189" t="str">
        <f ca="1">IFERROR(__xludf.DUMMYFUNCTION("""COMPUTED_VALUE"""),"")</f>
        <v/>
      </c>
      <c r="G474" s="189" t="str">
        <f ca="1">IFERROR(__xludf.DUMMYFUNCTION("""COMPUTED_VALUE"""),"")</f>
        <v/>
      </c>
      <c r="H474" s="189" t="str">
        <f ca="1">IFERROR(__xludf.DUMMYFUNCTION("""COMPUTED_VALUE"""),"")</f>
        <v/>
      </c>
      <c r="I474" s="120" t="str">
        <f ca="1">IFERROR(__xludf.DUMMYFUNCTION("""COMPUTED_VALUE"""),"")</f>
        <v/>
      </c>
      <c r="J474" s="189" t="str">
        <f ca="1">IFERROR(__xludf.DUMMYFUNCTION("""COMPUTED_VALUE"""),"")</f>
        <v/>
      </c>
      <c r="K474" s="189" t="str">
        <f ca="1">IFERROR(__xludf.DUMMYFUNCTION("""COMPUTED_VALUE"""),"")</f>
        <v/>
      </c>
      <c r="L474" s="189" t="str">
        <f ca="1">IFERROR(__xludf.DUMMYFUNCTION("""COMPUTED_VALUE"""),"")</f>
        <v/>
      </c>
      <c r="M474" s="189" t="str">
        <f ca="1">IFERROR(__xludf.DUMMYFUNCTION("""COMPUTED_VALUE"""),"")</f>
        <v/>
      </c>
      <c r="N474" s="189" t="str">
        <f ca="1">IFERROR(__xludf.DUMMYFUNCTION("""COMPUTED_VALUE"""),"")</f>
        <v/>
      </c>
      <c r="O474" s="189" t="str">
        <f ca="1">IFERROR(__xludf.DUMMYFUNCTION("""COMPUTED_VALUE"""),"")</f>
        <v/>
      </c>
      <c r="P474" s="189" t="str">
        <f ca="1">IFERROR(__xludf.DUMMYFUNCTION("""COMPUTED_VALUE"""),"")</f>
        <v/>
      </c>
      <c r="Q474" s="189" t="str">
        <f ca="1">IFERROR(__xludf.DUMMYFUNCTION("""COMPUTED_VALUE"""),"")</f>
        <v/>
      </c>
      <c r="R474" s="189" t="str">
        <f ca="1">IFERROR(__xludf.DUMMYFUNCTION("""COMPUTED_VALUE"""),"")</f>
        <v/>
      </c>
      <c r="S474" s="189" t="str">
        <f ca="1">IFERROR(__xludf.DUMMYFUNCTION("""COMPUTED_VALUE"""),"")</f>
        <v/>
      </c>
      <c r="T474" s="189" t="str">
        <f ca="1">IFERROR(__xludf.DUMMYFUNCTION("""COMPUTED_VALUE"""),"")</f>
        <v/>
      </c>
      <c r="U474" s="189" t="str">
        <f ca="1">IFERROR(__xludf.DUMMYFUNCTION("""COMPUTED_VALUE"""),"")</f>
        <v/>
      </c>
      <c r="V474" s="189" t="str">
        <f ca="1">IFERROR(__xludf.DUMMYFUNCTION("""COMPUTED_VALUE"""),"")</f>
        <v/>
      </c>
      <c r="W474" s="189" t="str">
        <f ca="1">IFERROR(__xludf.DUMMYFUNCTION("""COMPUTED_VALUE"""),"")</f>
        <v/>
      </c>
      <c r="X474" s="189" t="str">
        <f ca="1">IFERROR(__xludf.DUMMYFUNCTION("""COMPUTED_VALUE"""),"")</f>
        <v/>
      </c>
      <c r="Y474" s="189" t="str">
        <f ca="1">IFERROR(__xludf.DUMMYFUNCTION("""COMPUTED_VALUE"""),"")</f>
        <v/>
      </c>
      <c r="Z474" s="189"/>
    </row>
    <row r="475" spans="1:26" ht="12.75">
      <c r="A475" s="189" t="str">
        <f ca="1">IFERROR(__xludf.DUMMYFUNCTION("""COMPUTED_VALUE"""),"")</f>
        <v/>
      </c>
      <c r="B475" s="189" t="str">
        <f ca="1">IFERROR(__xludf.DUMMYFUNCTION("""COMPUTED_VALUE"""),"")</f>
        <v/>
      </c>
      <c r="C475" s="189" t="str">
        <f ca="1">IFERROR(__xludf.DUMMYFUNCTION("""COMPUTED_VALUE"""),"")</f>
        <v/>
      </c>
      <c r="D475" s="189" t="str">
        <f ca="1">IFERROR(__xludf.DUMMYFUNCTION("""COMPUTED_VALUE"""),"")</f>
        <v/>
      </c>
      <c r="E475" s="189" t="str">
        <f ca="1">IFERROR(__xludf.DUMMYFUNCTION("""COMPUTED_VALUE"""),"")</f>
        <v/>
      </c>
      <c r="F475" s="189" t="str">
        <f ca="1">IFERROR(__xludf.DUMMYFUNCTION("""COMPUTED_VALUE"""),"")</f>
        <v/>
      </c>
      <c r="G475" s="189" t="str">
        <f ca="1">IFERROR(__xludf.DUMMYFUNCTION("""COMPUTED_VALUE"""),"")</f>
        <v/>
      </c>
      <c r="H475" s="189" t="str">
        <f ca="1">IFERROR(__xludf.DUMMYFUNCTION("""COMPUTED_VALUE"""),"")</f>
        <v/>
      </c>
      <c r="I475" s="120" t="str">
        <f ca="1">IFERROR(__xludf.DUMMYFUNCTION("""COMPUTED_VALUE"""),"")</f>
        <v/>
      </c>
      <c r="J475" s="189" t="str">
        <f ca="1">IFERROR(__xludf.DUMMYFUNCTION("""COMPUTED_VALUE"""),"")</f>
        <v/>
      </c>
      <c r="K475" s="189" t="str">
        <f ca="1">IFERROR(__xludf.DUMMYFUNCTION("""COMPUTED_VALUE"""),"")</f>
        <v/>
      </c>
      <c r="L475" s="189" t="str">
        <f ca="1">IFERROR(__xludf.DUMMYFUNCTION("""COMPUTED_VALUE"""),"")</f>
        <v/>
      </c>
      <c r="M475" s="189" t="str">
        <f ca="1">IFERROR(__xludf.DUMMYFUNCTION("""COMPUTED_VALUE"""),"")</f>
        <v/>
      </c>
      <c r="N475" s="189" t="str">
        <f ca="1">IFERROR(__xludf.DUMMYFUNCTION("""COMPUTED_VALUE"""),"")</f>
        <v/>
      </c>
      <c r="O475" s="189" t="str">
        <f ca="1">IFERROR(__xludf.DUMMYFUNCTION("""COMPUTED_VALUE"""),"")</f>
        <v/>
      </c>
      <c r="P475" s="189" t="str">
        <f ca="1">IFERROR(__xludf.DUMMYFUNCTION("""COMPUTED_VALUE"""),"")</f>
        <v/>
      </c>
      <c r="Q475" s="189" t="str">
        <f ca="1">IFERROR(__xludf.DUMMYFUNCTION("""COMPUTED_VALUE"""),"")</f>
        <v/>
      </c>
      <c r="R475" s="189" t="str">
        <f ca="1">IFERROR(__xludf.DUMMYFUNCTION("""COMPUTED_VALUE"""),"")</f>
        <v/>
      </c>
      <c r="S475" s="189" t="str">
        <f ca="1">IFERROR(__xludf.DUMMYFUNCTION("""COMPUTED_VALUE"""),"")</f>
        <v/>
      </c>
      <c r="T475" s="189" t="str">
        <f ca="1">IFERROR(__xludf.DUMMYFUNCTION("""COMPUTED_VALUE"""),"")</f>
        <v/>
      </c>
      <c r="U475" s="189" t="str">
        <f ca="1">IFERROR(__xludf.DUMMYFUNCTION("""COMPUTED_VALUE"""),"")</f>
        <v/>
      </c>
      <c r="V475" s="189" t="str">
        <f ca="1">IFERROR(__xludf.DUMMYFUNCTION("""COMPUTED_VALUE"""),"")</f>
        <v/>
      </c>
      <c r="W475" s="189" t="str">
        <f ca="1">IFERROR(__xludf.DUMMYFUNCTION("""COMPUTED_VALUE"""),"")</f>
        <v/>
      </c>
      <c r="X475" s="189" t="str">
        <f ca="1">IFERROR(__xludf.DUMMYFUNCTION("""COMPUTED_VALUE"""),"")</f>
        <v/>
      </c>
      <c r="Y475" s="189" t="str">
        <f ca="1">IFERROR(__xludf.DUMMYFUNCTION("""COMPUTED_VALUE"""),"")</f>
        <v/>
      </c>
      <c r="Z475" s="189"/>
    </row>
    <row r="476" spans="1:26" ht="12.75">
      <c r="A476" s="189" t="str">
        <f ca="1">IFERROR(__xludf.DUMMYFUNCTION("""COMPUTED_VALUE"""),"")</f>
        <v/>
      </c>
      <c r="B476" s="189" t="str">
        <f ca="1">IFERROR(__xludf.DUMMYFUNCTION("""COMPUTED_VALUE"""),"")</f>
        <v/>
      </c>
      <c r="C476" s="189" t="str">
        <f ca="1">IFERROR(__xludf.DUMMYFUNCTION("""COMPUTED_VALUE"""),"")</f>
        <v/>
      </c>
      <c r="D476" s="189" t="str">
        <f ca="1">IFERROR(__xludf.DUMMYFUNCTION("""COMPUTED_VALUE"""),"")</f>
        <v/>
      </c>
      <c r="E476" s="189" t="str">
        <f ca="1">IFERROR(__xludf.DUMMYFUNCTION("""COMPUTED_VALUE"""),"")</f>
        <v/>
      </c>
      <c r="F476" s="189" t="str">
        <f ca="1">IFERROR(__xludf.DUMMYFUNCTION("""COMPUTED_VALUE"""),"")</f>
        <v/>
      </c>
      <c r="G476" s="189" t="str">
        <f ca="1">IFERROR(__xludf.DUMMYFUNCTION("""COMPUTED_VALUE"""),"")</f>
        <v/>
      </c>
      <c r="H476" s="189" t="str">
        <f ca="1">IFERROR(__xludf.DUMMYFUNCTION("""COMPUTED_VALUE"""),"")</f>
        <v/>
      </c>
      <c r="I476" s="120" t="str">
        <f ca="1">IFERROR(__xludf.DUMMYFUNCTION("""COMPUTED_VALUE"""),"")</f>
        <v/>
      </c>
      <c r="J476" s="189" t="str">
        <f ca="1">IFERROR(__xludf.DUMMYFUNCTION("""COMPUTED_VALUE"""),"")</f>
        <v/>
      </c>
      <c r="K476" s="189" t="str">
        <f ca="1">IFERROR(__xludf.DUMMYFUNCTION("""COMPUTED_VALUE"""),"")</f>
        <v/>
      </c>
      <c r="L476" s="189" t="str">
        <f ca="1">IFERROR(__xludf.DUMMYFUNCTION("""COMPUTED_VALUE"""),"")</f>
        <v/>
      </c>
      <c r="M476" s="189" t="str">
        <f ca="1">IFERROR(__xludf.DUMMYFUNCTION("""COMPUTED_VALUE"""),"")</f>
        <v/>
      </c>
      <c r="N476" s="189" t="str">
        <f ca="1">IFERROR(__xludf.DUMMYFUNCTION("""COMPUTED_VALUE"""),"")</f>
        <v/>
      </c>
      <c r="O476" s="189" t="str">
        <f ca="1">IFERROR(__xludf.DUMMYFUNCTION("""COMPUTED_VALUE"""),"")</f>
        <v/>
      </c>
      <c r="P476" s="189" t="str">
        <f ca="1">IFERROR(__xludf.DUMMYFUNCTION("""COMPUTED_VALUE"""),"")</f>
        <v/>
      </c>
      <c r="Q476" s="189" t="str">
        <f ca="1">IFERROR(__xludf.DUMMYFUNCTION("""COMPUTED_VALUE"""),"")</f>
        <v/>
      </c>
      <c r="R476" s="189" t="str">
        <f ca="1">IFERROR(__xludf.DUMMYFUNCTION("""COMPUTED_VALUE"""),"")</f>
        <v/>
      </c>
      <c r="S476" s="189" t="str">
        <f ca="1">IFERROR(__xludf.DUMMYFUNCTION("""COMPUTED_VALUE"""),"")</f>
        <v/>
      </c>
      <c r="T476" s="189" t="str">
        <f ca="1">IFERROR(__xludf.DUMMYFUNCTION("""COMPUTED_VALUE"""),"")</f>
        <v/>
      </c>
      <c r="U476" s="189" t="str">
        <f ca="1">IFERROR(__xludf.DUMMYFUNCTION("""COMPUTED_VALUE"""),"")</f>
        <v/>
      </c>
      <c r="V476" s="189" t="str">
        <f ca="1">IFERROR(__xludf.DUMMYFUNCTION("""COMPUTED_VALUE"""),"")</f>
        <v/>
      </c>
      <c r="W476" s="189" t="str">
        <f ca="1">IFERROR(__xludf.DUMMYFUNCTION("""COMPUTED_VALUE"""),"")</f>
        <v/>
      </c>
      <c r="X476" s="189" t="str">
        <f ca="1">IFERROR(__xludf.DUMMYFUNCTION("""COMPUTED_VALUE"""),"")</f>
        <v/>
      </c>
      <c r="Y476" s="189" t="str">
        <f ca="1">IFERROR(__xludf.DUMMYFUNCTION("""COMPUTED_VALUE"""),"")</f>
        <v/>
      </c>
      <c r="Z476" s="189"/>
    </row>
    <row r="477" spans="1:26" ht="12.75">
      <c r="A477" s="189" t="str">
        <f ca="1">IFERROR(__xludf.DUMMYFUNCTION("""COMPUTED_VALUE"""),"")</f>
        <v/>
      </c>
      <c r="B477" s="189" t="str">
        <f ca="1">IFERROR(__xludf.DUMMYFUNCTION("""COMPUTED_VALUE"""),"")</f>
        <v/>
      </c>
      <c r="C477" s="189" t="str">
        <f ca="1">IFERROR(__xludf.DUMMYFUNCTION("""COMPUTED_VALUE"""),"")</f>
        <v/>
      </c>
      <c r="D477" s="189" t="str">
        <f ca="1">IFERROR(__xludf.DUMMYFUNCTION("""COMPUTED_VALUE"""),"")</f>
        <v/>
      </c>
      <c r="E477" s="189" t="str">
        <f ca="1">IFERROR(__xludf.DUMMYFUNCTION("""COMPUTED_VALUE"""),"")</f>
        <v/>
      </c>
      <c r="F477" s="189" t="str">
        <f ca="1">IFERROR(__xludf.DUMMYFUNCTION("""COMPUTED_VALUE"""),"")</f>
        <v/>
      </c>
      <c r="G477" s="189" t="str">
        <f ca="1">IFERROR(__xludf.DUMMYFUNCTION("""COMPUTED_VALUE"""),"")</f>
        <v/>
      </c>
      <c r="H477" s="189" t="str">
        <f ca="1">IFERROR(__xludf.DUMMYFUNCTION("""COMPUTED_VALUE"""),"")</f>
        <v/>
      </c>
      <c r="I477" s="120" t="str">
        <f ca="1">IFERROR(__xludf.DUMMYFUNCTION("""COMPUTED_VALUE"""),"")</f>
        <v/>
      </c>
      <c r="J477" s="189" t="str">
        <f ca="1">IFERROR(__xludf.DUMMYFUNCTION("""COMPUTED_VALUE"""),"")</f>
        <v/>
      </c>
      <c r="K477" s="189" t="str">
        <f ca="1">IFERROR(__xludf.DUMMYFUNCTION("""COMPUTED_VALUE"""),"")</f>
        <v/>
      </c>
      <c r="L477" s="189" t="str">
        <f ca="1">IFERROR(__xludf.DUMMYFUNCTION("""COMPUTED_VALUE"""),"")</f>
        <v/>
      </c>
      <c r="M477" s="189" t="str">
        <f ca="1">IFERROR(__xludf.DUMMYFUNCTION("""COMPUTED_VALUE"""),"")</f>
        <v/>
      </c>
      <c r="N477" s="189" t="str">
        <f ca="1">IFERROR(__xludf.DUMMYFUNCTION("""COMPUTED_VALUE"""),"")</f>
        <v/>
      </c>
      <c r="O477" s="189" t="str">
        <f ca="1">IFERROR(__xludf.DUMMYFUNCTION("""COMPUTED_VALUE"""),"")</f>
        <v/>
      </c>
      <c r="P477" s="189" t="str">
        <f ca="1">IFERROR(__xludf.DUMMYFUNCTION("""COMPUTED_VALUE"""),"")</f>
        <v/>
      </c>
      <c r="Q477" s="189" t="str">
        <f ca="1">IFERROR(__xludf.DUMMYFUNCTION("""COMPUTED_VALUE"""),"")</f>
        <v/>
      </c>
      <c r="R477" s="189" t="str">
        <f ca="1">IFERROR(__xludf.DUMMYFUNCTION("""COMPUTED_VALUE"""),"")</f>
        <v/>
      </c>
      <c r="S477" s="189" t="str">
        <f ca="1">IFERROR(__xludf.DUMMYFUNCTION("""COMPUTED_VALUE"""),"")</f>
        <v/>
      </c>
      <c r="T477" s="189" t="str">
        <f ca="1">IFERROR(__xludf.DUMMYFUNCTION("""COMPUTED_VALUE"""),"")</f>
        <v/>
      </c>
      <c r="U477" s="189" t="str">
        <f ca="1">IFERROR(__xludf.DUMMYFUNCTION("""COMPUTED_VALUE"""),"")</f>
        <v/>
      </c>
      <c r="V477" s="189" t="str">
        <f ca="1">IFERROR(__xludf.DUMMYFUNCTION("""COMPUTED_VALUE"""),"")</f>
        <v/>
      </c>
      <c r="W477" s="189" t="str">
        <f ca="1">IFERROR(__xludf.DUMMYFUNCTION("""COMPUTED_VALUE"""),"")</f>
        <v/>
      </c>
      <c r="X477" s="189" t="str">
        <f ca="1">IFERROR(__xludf.DUMMYFUNCTION("""COMPUTED_VALUE"""),"")</f>
        <v/>
      </c>
      <c r="Y477" s="189" t="str">
        <f ca="1">IFERROR(__xludf.DUMMYFUNCTION("""COMPUTED_VALUE"""),"")</f>
        <v/>
      </c>
      <c r="Z477" s="189"/>
    </row>
    <row r="478" spans="1:26" ht="12.75">
      <c r="A478" s="189" t="str">
        <f ca="1">IFERROR(__xludf.DUMMYFUNCTION("""COMPUTED_VALUE"""),"")</f>
        <v/>
      </c>
      <c r="B478" s="189" t="str">
        <f ca="1">IFERROR(__xludf.DUMMYFUNCTION("""COMPUTED_VALUE"""),"")</f>
        <v/>
      </c>
      <c r="C478" s="189" t="str">
        <f ca="1">IFERROR(__xludf.DUMMYFUNCTION("""COMPUTED_VALUE"""),"")</f>
        <v/>
      </c>
      <c r="D478" s="189" t="str">
        <f ca="1">IFERROR(__xludf.DUMMYFUNCTION("""COMPUTED_VALUE"""),"")</f>
        <v/>
      </c>
      <c r="E478" s="189" t="str">
        <f ca="1">IFERROR(__xludf.DUMMYFUNCTION("""COMPUTED_VALUE"""),"")</f>
        <v/>
      </c>
      <c r="F478" s="189" t="str">
        <f ca="1">IFERROR(__xludf.DUMMYFUNCTION("""COMPUTED_VALUE"""),"")</f>
        <v/>
      </c>
      <c r="G478" s="189" t="str">
        <f ca="1">IFERROR(__xludf.DUMMYFUNCTION("""COMPUTED_VALUE"""),"")</f>
        <v/>
      </c>
      <c r="H478" s="189" t="str">
        <f ca="1">IFERROR(__xludf.DUMMYFUNCTION("""COMPUTED_VALUE"""),"")</f>
        <v/>
      </c>
      <c r="I478" s="120" t="str">
        <f ca="1">IFERROR(__xludf.DUMMYFUNCTION("""COMPUTED_VALUE"""),"")</f>
        <v/>
      </c>
      <c r="J478" s="189" t="str">
        <f ca="1">IFERROR(__xludf.DUMMYFUNCTION("""COMPUTED_VALUE"""),"")</f>
        <v/>
      </c>
      <c r="K478" s="189" t="str">
        <f ca="1">IFERROR(__xludf.DUMMYFUNCTION("""COMPUTED_VALUE"""),"")</f>
        <v/>
      </c>
      <c r="L478" s="189" t="str">
        <f ca="1">IFERROR(__xludf.DUMMYFUNCTION("""COMPUTED_VALUE"""),"")</f>
        <v/>
      </c>
      <c r="M478" s="189" t="str">
        <f ca="1">IFERROR(__xludf.DUMMYFUNCTION("""COMPUTED_VALUE"""),"")</f>
        <v/>
      </c>
      <c r="N478" s="189" t="str">
        <f ca="1">IFERROR(__xludf.DUMMYFUNCTION("""COMPUTED_VALUE"""),"")</f>
        <v/>
      </c>
      <c r="O478" s="189" t="str">
        <f ca="1">IFERROR(__xludf.DUMMYFUNCTION("""COMPUTED_VALUE"""),"")</f>
        <v/>
      </c>
      <c r="P478" s="189" t="str">
        <f ca="1">IFERROR(__xludf.DUMMYFUNCTION("""COMPUTED_VALUE"""),"")</f>
        <v/>
      </c>
      <c r="Q478" s="189" t="str">
        <f ca="1">IFERROR(__xludf.DUMMYFUNCTION("""COMPUTED_VALUE"""),"")</f>
        <v/>
      </c>
      <c r="R478" s="189" t="str">
        <f ca="1">IFERROR(__xludf.DUMMYFUNCTION("""COMPUTED_VALUE"""),"")</f>
        <v/>
      </c>
      <c r="S478" s="189" t="str">
        <f ca="1">IFERROR(__xludf.DUMMYFUNCTION("""COMPUTED_VALUE"""),"")</f>
        <v/>
      </c>
      <c r="T478" s="189" t="str">
        <f ca="1">IFERROR(__xludf.DUMMYFUNCTION("""COMPUTED_VALUE"""),"")</f>
        <v/>
      </c>
      <c r="U478" s="189" t="str">
        <f ca="1">IFERROR(__xludf.DUMMYFUNCTION("""COMPUTED_VALUE"""),"")</f>
        <v/>
      </c>
      <c r="V478" s="189" t="str">
        <f ca="1">IFERROR(__xludf.DUMMYFUNCTION("""COMPUTED_VALUE"""),"")</f>
        <v/>
      </c>
      <c r="W478" s="189" t="str">
        <f ca="1">IFERROR(__xludf.DUMMYFUNCTION("""COMPUTED_VALUE"""),"")</f>
        <v/>
      </c>
      <c r="X478" s="189" t="str">
        <f ca="1">IFERROR(__xludf.DUMMYFUNCTION("""COMPUTED_VALUE"""),"")</f>
        <v/>
      </c>
      <c r="Y478" s="189" t="str">
        <f ca="1">IFERROR(__xludf.DUMMYFUNCTION("""COMPUTED_VALUE"""),"")</f>
        <v/>
      </c>
      <c r="Z478" s="189"/>
    </row>
    <row r="479" spans="1:26" ht="12.75">
      <c r="A479" s="189" t="str">
        <f ca="1">IFERROR(__xludf.DUMMYFUNCTION("""COMPUTED_VALUE"""),"")</f>
        <v/>
      </c>
      <c r="B479" s="189" t="str">
        <f ca="1">IFERROR(__xludf.DUMMYFUNCTION("""COMPUTED_VALUE"""),"")</f>
        <v/>
      </c>
      <c r="C479" s="189" t="str">
        <f ca="1">IFERROR(__xludf.DUMMYFUNCTION("""COMPUTED_VALUE"""),"")</f>
        <v/>
      </c>
      <c r="D479" s="189" t="str">
        <f ca="1">IFERROR(__xludf.DUMMYFUNCTION("""COMPUTED_VALUE"""),"")</f>
        <v/>
      </c>
      <c r="E479" s="189" t="str">
        <f ca="1">IFERROR(__xludf.DUMMYFUNCTION("""COMPUTED_VALUE"""),"")</f>
        <v/>
      </c>
      <c r="F479" s="189" t="str">
        <f ca="1">IFERROR(__xludf.DUMMYFUNCTION("""COMPUTED_VALUE"""),"")</f>
        <v/>
      </c>
      <c r="G479" s="189" t="str">
        <f ca="1">IFERROR(__xludf.DUMMYFUNCTION("""COMPUTED_VALUE"""),"")</f>
        <v/>
      </c>
      <c r="H479" s="189" t="str">
        <f ca="1">IFERROR(__xludf.DUMMYFUNCTION("""COMPUTED_VALUE"""),"")</f>
        <v/>
      </c>
      <c r="I479" s="120" t="str">
        <f ca="1">IFERROR(__xludf.DUMMYFUNCTION("""COMPUTED_VALUE"""),"")</f>
        <v/>
      </c>
      <c r="J479" s="189" t="str">
        <f ca="1">IFERROR(__xludf.DUMMYFUNCTION("""COMPUTED_VALUE"""),"")</f>
        <v/>
      </c>
      <c r="K479" s="189" t="str">
        <f ca="1">IFERROR(__xludf.DUMMYFUNCTION("""COMPUTED_VALUE"""),"")</f>
        <v/>
      </c>
      <c r="L479" s="189" t="str">
        <f ca="1">IFERROR(__xludf.DUMMYFUNCTION("""COMPUTED_VALUE"""),"")</f>
        <v/>
      </c>
      <c r="M479" s="189" t="str">
        <f ca="1">IFERROR(__xludf.DUMMYFUNCTION("""COMPUTED_VALUE"""),"")</f>
        <v/>
      </c>
      <c r="N479" s="189" t="str">
        <f ca="1">IFERROR(__xludf.DUMMYFUNCTION("""COMPUTED_VALUE"""),"")</f>
        <v/>
      </c>
      <c r="O479" s="189" t="str">
        <f ca="1">IFERROR(__xludf.DUMMYFUNCTION("""COMPUTED_VALUE"""),"")</f>
        <v/>
      </c>
      <c r="P479" s="189" t="str">
        <f ca="1">IFERROR(__xludf.DUMMYFUNCTION("""COMPUTED_VALUE"""),"")</f>
        <v/>
      </c>
      <c r="Q479" s="189" t="str">
        <f ca="1">IFERROR(__xludf.DUMMYFUNCTION("""COMPUTED_VALUE"""),"")</f>
        <v/>
      </c>
      <c r="R479" s="189" t="str">
        <f ca="1">IFERROR(__xludf.DUMMYFUNCTION("""COMPUTED_VALUE"""),"")</f>
        <v/>
      </c>
      <c r="S479" s="189" t="str">
        <f ca="1">IFERROR(__xludf.DUMMYFUNCTION("""COMPUTED_VALUE"""),"")</f>
        <v/>
      </c>
      <c r="T479" s="189" t="str">
        <f ca="1">IFERROR(__xludf.DUMMYFUNCTION("""COMPUTED_VALUE"""),"")</f>
        <v/>
      </c>
      <c r="U479" s="189" t="str">
        <f ca="1">IFERROR(__xludf.DUMMYFUNCTION("""COMPUTED_VALUE"""),"")</f>
        <v/>
      </c>
      <c r="V479" s="189" t="str">
        <f ca="1">IFERROR(__xludf.DUMMYFUNCTION("""COMPUTED_VALUE"""),"")</f>
        <v/>
      </c>
      <c r="W479" s="189" t="str">
        <f ca="1">IFERROR(__xludf.DUMMYFUNCTION("""COMPUTED_VALUE"""),"")</f>
        <v/>
      </c>
      <c r="X479" s="189" t="str">
        <f ca="1">IFERROR(__xludf.DUMMYFUNCTION("""COMPUTED_VALUE"""),"")</f>
        <v/>
      </c>
      <c r="Y479" s="189" t="str">
        <f ca="1">IFERROR(__xludf.DUMMYFUNCTION("""COMPUTED_VALUE"""),"")</f>
        <v/>
      </c>
      <c r="Z479" s="189"/>
    </row>
    <row r="480" spans="1:26" ht="12.75">
      <c r="A480" s="189" t="str">
        <f ca="1">IFERROR(__xludf.DUMMYFUNCTION("""COMPUTED_VALUE"""),"")</f>
        <v/>
      </c>
      <c r="B480" s="189" t="str">
        <f ca="1">IFERROR(__xludf.DUMMYFUNCTION("""COMPUTED_VALUE"""),"")</f>
        <v/>
      </c>
      <c r="C480" s="189" t="str">
        <f ca="1">IFERROR(__xludf.DUMMYFUNCTION("""COMPUTED_VALUE"""),"")</f>
        <v/>
      </c>
      <c r="D480" s="189" t="str">
        <f ca="1">IFERROR(__xludf.DUMMYFUNCTION("""COMPUTED_VALUE"""),"")</f>
        <v/>
      </c>
      <c r="E480" s="189" t="str">
        <f ca="1">IFERROR(__xludf.DUMMYFUNCTION("""COMPUTED_VALUE"""),"")</f>
        <v/>
      </c>
      <c r="F480" s="189" t="str">
        <f ca="1">IFERROR(__xludf.DUMMYFUNCTION("""COMPUTED_VALUE"""),"")</f>
        <v/>
      </c>
      <c r="G480" s="189" t="str">
        <f ca="1">IFERROR(__xludf.DUMMYFUNCTION("""COMPUTED_VALUE"""),"")</f>
        <v/>
      </c>
      <c r="H480" s="189" t="str">
        <f ca="1">IFERROR(__xludf.DUMMYFUNCTION("""COMPUTED_VALUE"""),"")</f>
        <v/>
      </c>
      <c r="I480" s="120" t="str">
        <f ca="1">IFERROR(__xludf.DUMMYFUNCTION("""COMPUTED_VALUE"""),"")</f>
        <v/>
      </c>
      <c r="J480" s="189" t="str">
        <f ca="1">IFERROR(__xludf.DUMMYFUNCTION("""COMPUTED_VALUE"""),"")</f>
        <v/>
      </c>
      <c r="K480" s="189" t="str">
        <f ca="1">IFERROR(__xludf.DUMMYFUNCTION("""COMPUTED_VALUE"""),"")</f>
        <v/>
      </c>
      <c r="L480" s="189" t="str">
        <f ca="1">IFERROR(__xludf.DUMMYFUNCTION("""COMPUTED_VALUE"""),"")</f>
        <v/>
      </c>
      <c r="M480" s="189" t="str">
        <f ca="1">IFERROR(__xludf.DUMMYFUNCTION("""COMPUTED_VALUE"""),"")</f>
        <v/>
      </c>
      <c r="N480" s="189" t="str">
        <f ca="1">IFERROR(__xludf.DUMMYFUNCTION("""COMPUTED_VALUE"""),"")</f>
        <v/>
      </c>
      <c r="O480" s="189" t="str">
        <f ca="1">IFERROR(__xludf.DUMMYFUNCTION("""COMPUTED_VALUE"""),"")</f>
        <v/>
      </c>
      <c r="P480" s="189" t="str">
        <f ca="1">IFERROR(__xludf.DUMMYFUNCTION("""COMPUTED_VALUE"""),"")</f>
        <v/>
      </c>
      <c r="Q480" s="189" t="str">
        <f ca="1">IFERROR(__xludf.DUMMYFUNCTION("""COMPUTED_VALUE"""),"")</f>
        <v/>
      </c>
      <c r="R480" s="189" t="str">
        <f ca="1">IFERROR(__xludf.DUMMYFUNCTION("""COMPUTED_VALUE"""),"")</f>
        <v/>
      </c>
      <c r="S480" s="189" t="str">
        <f ca="1">IFERROR(__xludf.DUMMYFUNCTION("""COMPUTED_VALUE"""),"")</f>
        <v/>
      </c>
      <c r="T480" s="189" t="str">
        <f ca="1">IFERROR(__xludf.DUMMYFUNCTION("""COMPUTED_VALUE"""),"")</f>
        <v/>
      </c>
      <c r="U480" s="189" t="str">
        <f ca="1">IFERROR(__xludf.DUMMYFUNCTION("""COMPUTED_VALUE"""),"")</f>
        <v/>
      </c>
      <c r="V480" s="189" t="str">
        <f ca="1">IFERROR(__xludf.DUMMYFUNCTION("""COMPUTED_VALUE"""),"")</f>
        <v/>
      </c>
      <c r="W480" s="189" t="str">
        <f ca="1">IFERROR(__xludf.DUMMYFUNCTION("""COMPUTED_VALUE"""),"")</f>
        <v/>
      </c>
      <c r="X480" s="189" t="str">
        <f ca="1">IFERROR(__xludf.DUMMYFUNCTION("""COMPUTED_VALUE"""),"")</f>
        <v/>
      </c>
      <c r="Y480" s="189" t="str">
        <f ca="1">IFERROR(__xludf.DUMMYFUNCTION("""COMPUTED_VALUE"""),"")</f>
        <v/>
      </c>
      <c r="Z480" s="189"/>
    </row>
    <row r="481" spans="1:26" ht="12.75">
      <c r="A481" s="189" t="str">
        <f ca="1">IFERROR(__xludf.DUMMYFUNCTION("""COMPUTED_VALUE"""),"")</f>
        <v/>
      </c>
      <c r="B481" s="189" t="str">
        <f ca="1">IFERROR(__xludf.DUMMYFUNCTION("""COMPUTED_VALUE"""),"")</f>
        <v/>
      </c>
      <c r="C481" s="189" t="str">
        <f ca="1">IFERROR(__xludf.DUMMYFUNCTION("""COMPUTED_VALUE"""),"")</f>
        <v/>
      </c>
      <c r="D481" s="189" t="str">
        <f ca="1">IFERROR(__xludf.DUMMYFUNCTION("""COMPUTED_VALUE"""),"")</f>
        <v/>
      </c>
      <c r="E481" s="189" t="str">
        <f ca="1">IFERROR(__xludf.DUMMYFUNCTION("""COMPUTED_VALUE"""),"")</f>
        <v/>
      </c>
      <c r="F481" s="189" t="str">
        <f ca="1">IFERROR(__xludf.DUMMYFUNCTION("""COMPUTED_VALUE"""),"")</f>
        <v/>
      </c>
      <c r="G481" s="189" t="str">
        <f ca="1">IFERROR(__xludf.DUMMYFUNCTION("""COMPUTED_VALUE"""),"")</f>
        <v/>
      </c>
      <c r="H481" s="189" t="str">
        <f ca="1">IFERROR(__xludf.DUMMYFUNCTION("""COMPUTED_VALUE"""),"")</f>
        <v/>
      </c>
      <c r="I481" s="120" t="str">
        <f ca="1">IFERROR(__xludf.DUMMYFUNCTION("""COMPUTED_VALUE"""),"")</f>
        <v/>
      </c>
      <c r="J481" s="189" t="str">
        <f ca="1">IFERROR(__xludf.DUMMYFUNCTION("""COMPUTED_VALUE"""),"")</f>
        <v/>
      </c>
      <c r="K481" s="189" t="str">
        <f ca="1">IFERROR(__xludf.DUMMYFUNCTION("""COMPUTED_VALUE"""),"")</f>
        <v/>
      </c>
      <c r="L481" s="189" t="str">
        <f ca="1">IFERROR(__xludf.DUMMYFUNCTION("""COMPUTED_VALUE"""),"")</f>
        <v/>
      </c>
      <c r="M481" s="189" t="str">
        <f ca="1">IFERROR(__xludf.DUMMYFUNCTION("""COMPUTED_VALUE"""),"")</f>
        <v/>
      </c>
      <c r="N481" s="189" t="str">
        <f ca="1">IFERROR(__xludf.DUMMYFUNCTION("""COMPUTED_VALUE"""),"")</f>
        <v/>
      </c>
      <c r="O481" s="189" t="str">
        <f ca="1">IFERROR(__xludf.DUMMYFUNCTION("""COMPUTED_VALUE"""),"")</f>
        <v/>
      </c>
      <c r="P481" s="189" t="str">
        <f ca="1">IFERROR(__xludf.DUMMYFUNCTION("""COMPUTED_VALUE"""),"")</f>
        <v/>
      </c>
      <c r="Q481" s="189" t="str">
        <f ca="1">IFERROR(__xludf.DUMMYFUNCTION("""COMPUTED_VALUE"""),"")</f>
        <v/>
      </c>
      <c r="R481" s="189" t="str">
        <f ca="1">IFERROR(__xludf.DUMMYFUNCTION("""COMPUTED_VALUE"""),"")</f>
        <v/>
      </c>
      <c r="S481" s="189" t="str">
        <f ca="1">IFERROR(__xludf.DUMMYFUNCTION("""COMPUTED_VALUE"""),"")</f>
        <v/>
      </c>
      <c r="T481" s="189" t="str">
        <f ca="1">IFERROR(__xludf.DUMMYFUNCTION("""COMPUTED_VALUE"""),"")</f>
        <v/>
      </c>
      <c r="U481" s="189" t="str">
        <f ca="1">IFERROR(__xludf.DUMMYFUNCTION("""COMPUTED_VALUE"""),"")</f>
        <v/>
      </c>
      <c r="V481" s="189" t="str">
        <f ca="1">IFERROR(__xludf.DUMMYFUNCTION("""COMPUTED_VALUE"""),"")</f>
        <v/>
      </c>
      <c r="W481" s="189" t="str">
        <f ca="1">IFERROR(__xludf.DUMMYFUNCTION("""COMPUTED_VALUE"""),"")</f>
        <v/>
      </c>
      <c r="X481" s="189" t="str">
        <f ca="1">IFERROR(__xludf.DUMMYFUNCTION("""COMPUTED_VALUE"""),"")</f>
        <v/>
      </c>
      <c r="Y481" s="189" t="str">
        <f ca="1">IFERROR(__xludf.DUMMYFUNCTION("""COMPUTED_VALUE"""),"")</f>
        <v/>
      </c>
      <c r="Z481" s="189"/>
    </row>
    <row r="482" spans="1:26" ht="12.75">
      <c r="A482" s="189" t="str">
        <f ca="1">IFERROR(__xludf.DUMMYFUNCTION("""COMPUTED_VALUE"""),"")</f>
        <v/>
      </c>
      <c r="B482" s="189" t="str">
        <f ca="1">IFERROR(__xludf.DUMMYFUNCTION("""COMPUTED_VALUE"""),"")</f>
        <v/>
      </c>
      <c r="C482" s="189" t="str">
        <f ca="1">IFERROR(__xludf.DUMMYFUNCTION("""COMPUTED_VALUE"""),"")</f>
        <v/>
      </c>
      <c r="D482" s="189" t="str">
        <f ca="1">IFERROR(__xludf.DUMMYFUNCTION("""COMPUTED_VALUE"""),"")</f>
        <v/>
      </c>
      <c r="E482" s="189" t="str">
        <f ca="1">IFERROR(__xludf.DUMMYFUNCTION("""COMPUTED_VALUE"""),"")</f>
        <v/>
      </c>
      <c r="F482" s="189" t="str">
        <f ca="1">IFERROR(__xludf.DUMMYFUNCTION("""COMPUTED_VALUE"""),"")</f>
        <v/>
      </c>
      <c r="G482" s="189" t="str">
        <f ca="1">IFERROR(__xludf.DUMMYFUNCTION("""COMPUTED_VALUE"""),"")</f>
        <v/>
      </c>
      <c r="H482" s="189" t="str">
        <f ca="1">IFERROR(__xludf.DUMMYFUNCTION("""COMPUTED_VALUE"""),"")</f>
        <v/>
      </c>
      <c r="I482" s="120" t="str">
        <f ca="1">IFERROR(__xludf.DUMMYFUNCTION("""COMPUTED_VALUE"""),"")</f>
        <v/>
      </c>
      <c r="J482" s="189" t="str">
        <f ca="1">IFERROR(__xludf.DUMMYFUNCTION("""COMPUTED_VALUE"""),"")</f>
        <v/>
      </c>
      <c r="K482" s="189" t="str">
        <f ca="1">IFERROR(__xludf.DUMMYFUNCTION("""COMPUTED_VALUE"""),"")</f>
        <v/>
      </c>
      <c r="L482" s="189" t="str">
        <f ca="1">IFERROR(__xludf.DUMMYFUNCTION("""COMPUTED_VALUE"""),"")</f>
        <v/>
      </c>
      <c r="M482" s="189" t="str">
        <f ca="1">IFERROR(__xludf.DUMMYFUNCTION("""COMPUTED_VALUE"""),"")</f>
        <v/>
      </c>
      <c r="N482" s="189" t="str">
        <f ca="1">IFERROR(__xludf.DUMMYFUNCTION("""COMPUTED_VALUE"""),"")</f>
        <v/>
      </c>
      <c r="O482" s="189" t="str">
        <f ca="1">IFERROR(__xludf.DUMMYFUNCTION("""COMPUTED_VALUE"""),"")</f>
        <v/>
      </c>
      <c r="P482" s="189" t="str">
        <f ca="1">IFERROR(__xludf.DUMMYFUNCTION("""COMPUTED_VALUE"""),"")</f>
        <v/>
      </c>
      <c r="Q482" s="189" t="str">
        <f ca="1">IFERROR(__xludf.DUMMYFUNCTION("""COMPUTED_VALUE"""),"")</f>
        <v/>
      </c>
      <c r="R482" s="189" t="str">
        <f ca="1">IFERROR(__xludf.DUMMYFUNCTION("""COMPUTED_VALUE"""),"")</f>
        <v/>
      </c>
      <c r="S482" s="189" t="str">
        <f ca="1">IFERROR(__xludf.DUMMYFUNCTION("""COMPUTED_VALUE"""),"")</f>
        <v/>
      </c>
      <c r="T482" s="189" t="str">
        <f ca="1">IFERROR(__xludf.DUMMYFUNCTION("""COMPUTED_VALUE"""),"")</f>
        <v/>
      </c>
      <c r="U482" s="189" t="str">
        <f ca="1">IFERROR(__xludf.DUMMYFUNCTION("""COMPUTED_VALUE"""),"")</f>
        <v/>
      </c>
      <c r="V482" s="189" t="str">
        <f ca="1">IFERROR(__xludf.DUMMYFUNCTION("""COMPUTED_VALUE"""),"")</f>
        <v/>
      </c>
      <c r="W482" s="189" t="str">
        <f ca="1">IFERROR(__xludf.DUMMYFUNCTION("""COMPUTED_VALUE"""),"")</f>
        <v/>
      </c>
      <c r="X482" s="189" t="str">
        <f ca="1">IFERROR(__xludf.DUMMYFUNCTION("""COMPUTED_VALUE"""),"")</f>
        <v/>
      </c>
      <c r="Y482" s="189" t="str">
        <f ca="1">IFERROR(__xludf.DUMMYFUNCTION("""COMPUTED_VALUE"""),"")</f>
        <v/>
      </c>
      <c r="Z482" s="189"/>
    </row>
    <row r="483" spans="1:26" ht="12.75">
      <c r="A483" s="189" t="str">
        <f ca="1">IFERROR(__xludf.DUMMYFUNCTION("""COMPUTED_VALUE"""),"")</f>
        <v/>
      </c>
      <c r="B483" s="189" t="str">
        <f ca="1">IFERROR(__xludf.DUMMYFUNCTION("""COMPUTED_VALUE"""),"")</f>
        <v/>
      </c>
      <c r="C483" s="189" t="str">
        <f ca="1">IFERROR(__xludf.DUMMYFUNCTION("""COMPUTED_VALUE"""),"")</f>
        <v/>
      </c>
      <c r="D483" s="189" t="str">
        <f ca="1">IFERROR(__xludf.DUMMYFUNCTION("""COMPUTED_VALUE"""),"")</f>
        <v/>
      </c>
      <c r="E483" s="189" t="str">
        <f ca="1">IFERROR(__xludf.DUMMYFUNCTION("""COMPUTED_VALUE"""),"")</f>
        <v/>
      </c>
      <c r="F483" s="189" t="str">
        <f ca="1">IFERROR(__xludf.DUMMYFUNCTION("""COMPUTED_VALUE"""),"")</f>
        <v/>
      </c>
      <c r="G483" s="189" t="str">
        <f ca="1">IFERROR(__xludf.DUMMYFUNCTION("""COMPUTED_VALUE"""),"")</f>
        <v/>
      </c>
      <c r="H483" s="189" t="str">
        <f ca="1">IFERROR(__xludf.DUMMYFUNCTION("""COMPUTED_VALUE"""),"")</f>
        <v/>
      </c>
      <c r="I483" s="120" t="str">
        <f ca="1">IFERROR(__xludf.DUMMYFUNCTION("""COMPUTED_VALUE"""),"")</f>
        <v/>
      </c>
      <c r="J483" s="189" t="str">
        <f ca="1">IFERROR(__xludf.DUMMYFUNCTION("""COMPUTED_VALUE"""),"")</f>
        <v/>
      </c>
      <c r="K483" s="189" t="str">
        <f ca="1">IFERROR(__xludf.DUMMYFUNCTION("""COMPUTED_VALUE"""),"")</f>
        <v/>
      </c>
      <c r="L483" s="189" t="str">
        <f ca="1">IFERROR(__xludf.DUMMYFUNCTION("""COMPUTED_VALUE"""),"")</f>
        <v/>
      </c>
      <c r="M483" s="189" t="str">
        <f ca="1">IFERROR(__xludf.DUMMYFUNCTION("""COMPUTED_VALUE"""),"")</f>
        <v/>
      </c>
      <c r="N483" s="189" t="str">
        <f ca="1">IFERROR(__xludf.DUMMYFUNCTION("""COMPUTED_VALUE"""),"")</f>
        <v/>
      </c>
      <c r="O483" s="189" t="str">
        <f ca="1">IFERROR(__xludf.DUMMYFUNCTION("""COMPUTED_VALUE"""),"")</f>
        <v/>
      </c>
      <c r="P483" s="189" t="str">
        <f ca="1">IFERROR(__xludf.DUMMYFUNCTION("""COMPUTED_VALUE"""),"")</f>
        <v/>
      </c>
      <c r="Q483" s="189" t="str">
        <f ca="1">IFERROR(__xludf.DUMMYFUNCTION("""COMPUTED_VALUE"""),"")</f>
        <v/>
      </c>
      <c r="R483" s="189" t="str">
        <f ca="1">IFERROR(__xludf.DUMMYFUNCTION("""COMPUTED_VALUE"""),"")</f>
        <v/>
      </c>
      <c r="S483" s="189" t="str">
        <f ca="1">IFERROR(__xludf.DUMMYFUNCTION("""COMPUTED_VALUE"""),"")</f>
        <v/>
      </c>
      <c r="T483" s="189" t="str">
        <f ca="1">IFERROR(__xludf.DUMMYFUNCTION("""COMPUTED_VALUE"""),"")</f>
        <v/>
      </c>
      <c r="U483" s="189" t="str">
        <f ca="1">IFERROR(__xludf.DUMMYFUNCTION("""COMPUTED_VALUE"""),"")</f>
        <v/>
      </c>
      <c r="V483" s="189" t="str">
        <f ca="1">IFERROR(__xludf.DUMMYFUNCTION("""COMPUTED_VALUE"""),"")</f>
        <v/>
      </c>
      <c r="W483" s="189" t="str">
        <f ca="1">IFERROR(__xludf.DUMMYFUNCTION("""COMPUTED_VALUE"""),"")</f>
        <v/>
      </c>
      <c r="X483" s="189" t="str">
        <f ca="1">IFERROR(__xludf.DUMMYFUNCTION("""COMPUTED_VALUE"""),"")</f>
        <v/>
      </c>
      <c r="Y483" s="189" t="str">
        <f ca="1">IFERROR(__xludf.DUMMYFUNCTION("""COMPUTED_VALUE"""),"")</f>
        <v/>
      </c>
      <c r="Z483" s="189"/>
    </row>
    <row r="484" spans="1:26" ht="12.75">
      <c r="A484" s="189" t="str">
        <f ca="1">IFERROR(__xludf.DUMMYFUNCTION("""COMPUTED_VALUE"""),"")</f>
        <v/>
      </c>
      <c r="B484" s="189" t="str">
        <f ca="1">IFERROR(__xludf.DUMMYFUNCTION("""COMPUTED_VALUE"""),"")</f>
        <v/>
      </c>
      <c r="C484" s="189" t="str">
        <f ca="1">IFERROR(__xludf.DUMMYFUNCTION("""COMPUTED_VALUE"""),"")</f>
        <v/>
      </c>
      <c r="D484" s="189" t="str">
        <f ca="1">IFERROR(__xludf.DUMMYFUNCTION("""COMPUTED_VALUE"""),"")</f>
        <v/>
      </c>
      <c r="E484" s="189" t="str">
        <f ca="1">IFERROR(__xludf.DUMMYFUNCTION("""COMPUTED_VALUE"""),"")</f>
        <v/>
      </c>
      <c r="F484" s="189" t="str">
        <f ca="1">IFERROR(__xludf.DUMMYFUNCTION("""COMPUTED_VALUE"""),"")</f>
        <v/>
      </c>
      <c r="G484" s="189" t="str">
        <f ca="1">IFERROR(__xludf.DUMMYFUNCTION("""COMPUTED_VALUE"""),"")</f>
        <v/>
      </c>
      <c r="H484" s="189" t="str">
        <f ca="1">IFERROR(__xludf.DUMMYFUNCTION("""COMPUTED_VALUE"""),"")</f>
        <v/>
      </c>
      <c r="I484" s="120" t="str">
        <f ca="1">IFERROR(__xludf.DUMMYFUNCTION("""COMPUTED_VALUE"""),"")</f>
        <v/>
      </c>
      <c r="J484" s="189" t="str">
        <f ca="1">IFERROR(__xludf.DUMMYFUNCTION("""COMPUTED_VALUE"""),"")</f>
        <v/>
      </c>
      <c r="K484" s="189" t="str">
        <f ca="1">IFERROR(__xludf.DUMMYFUNCTION("""COMPUTED_VALUE"""),"")</f>
        <v/>
      </c>
      <c r="L484" s="189" t="str">
        <f ca="1">IFERROR(__xludf.DUMMYFUNCTION("""COMPUTED_VALUE"""),"")</f>
        <v/>
      </c>
      <c r="M484" s="189" t="str">
        <f ca="1">IFERROR(__xludf.DUMMYFUNCTION("""COMPUTED_VALUE"""),"")</f>
        <v/>
      </c>
      <c r="N484" s="189" t="str">
        <f ca="1">IFERROR(__xludf.DUMMYFUNCTION("""COMPUTED_VALUE"""),"")</f>
        <v/>
      </c>
      <c r="O484" s="189" t="str">
        <f ca="1">IFERROR(__xludf.DUMMYFUNCTION("""COMPUTED_VALUE"""),"")</f>
        <v/>
      </c>
      <c r="P484" s="189" t="str">
        <f ca="1">IFERROR(__xludf.DUMMYFUNCTION("""COMPUTED_VALUE"""),"")</f>
        <v/>
      </c>
      <c r="Q484" s="189" t="str">
        <f ca="1">IFERROR(__xludf.DUMMYFUNCTION("""COMPUTED_VALUE"""),"")</f>
        <v/>
      </c>
      <c r="R484" s="189" t="str">
        <f ca="1">IFERROR(__xludf.DUMMYFUNCTION("""COMPUTED_VALUE"""),"")</f>
        <v/>
      </c>
      <c r="S484" s="189" t="str">
        <f ca="1">IFERROR(__xludf.DUMMYFUNCTION("""COMPUTED_VALUE"""),"")</f>
        <v/>
      </c>
      <c r="T484" s="189" t="str">
        <f ca="1">IFERROR(__xludf.DUMMYFUNCTION("""COMPUTED_VALUE"""),"")</f>
        <v/>
      </c>
      <c r="U484" s="189" t="str">
        <f ca="1">IFERROR(__xludf.DUMMYFUNCTION("""COMPUTED_VALUE"""),"")</f>
        <v/>
      </c>
      <c r="V484" s="189" t="str">
        <f ca="1">IFERROR(__xludf.DUMMYFUNCTION("""COMPUTED_VALUE"""),"")</f>
        <v/>
      </c>
      <c r="W484" s="189" t="str">
        <f ca="1">IFERROR(__xludf.DUMMYFUNCTION("""COMPUTED_VALUE"""),"")</f>
        <v/>
      </c>
      <c r="X484" s="189" t="str">
        <f ca="1">IFERROR(__xludf.DUMMYFUNCTION("""COMPUTED_VALUE"""),"")</f>
        <v/>
      </c>
      <c r="Y484" s="189" t="str">
        <f ca="1">IFERROR(__xludf.DUMMYFUNCTION("""COMPUTED_VALUE"""),"")</f>
        <v/>
      </c>
      <c r="Z484" s="189"/>
    </row>
    <row r="485" spans="1:26" ht="12.75">
      <c r="A485" s="189" t="str">
        <f ca="1">IFERROR(__xludf.DUMMYFUNCTION("""COMPUTED_VALUE"""),"")</f>
        <v/>
      </c>
      <c r="B485" s="189" t="str">
        <f ca="1">IFERROR(__xludf.DUMMYFUNCTION("""COMPUTED_VALUE"""),"")</f>
        <v/>
      </c>
      <c r="C485" s="189" t="str">
        <f ca="1">IFERROR(__xludf.DUMMYFUNCTION("""COMPUTED_VALUE"""),"")</f>
        <v/>
      </c>
      <c r="D485" s="189" t="str">
        <f ca="1">IFERROR(__xludf.DUMMYFUNCTION("""COMPUTED_VALUE"""),"")</f>
        <v/>
      </c>
      <c r="E485" s="189" t="str">
        <f ca="1">IFERROR(__xludf.DUMMYFUNCTION("""COMPUTED_VALUE"""),"")</f>
        <v/>
      </c>
      <c r="F485" s="189" t="str">
        <f ca="1">IFERROR(__xludf.DUMMYFUNCTION("""COMPUTED_VALUE"""),"")</f>
        <v/>
      </c>
      <c r="G485" s="189" t="str">
        <f ca="1">IFERROR(__xludf.DUMMYFUNCTION("""COMPUTED_VALUE"""),"")</f>
        <v/>
      </c>
      <c r="H485" s="189" t="str">
        <f ca="1">IFERROR(__xludf.DUMMYFUNCTION("""COMPUTED_VALUE"""),"")</f>
        <v/>
      </c>
      <c r="I485" s="120" t="str">
        <f ca="1">IFERROR(__xludf.DUMMYFUNCTION("""COMPUTED_VALUE"""),"")</f>
        <v/>
      </c>
      <c r="J485" s="189" t="str">
        <f ca="1">IFERROR(__xludf.DUMMYFUNCTION("""COMPUTED_VALUE"""),"")</f>
        <v/>
      </c>
      <c r="K485" s="189" t="str">
        <f ca="1">IFERROR(__xludf.DUMMYFUNCTION("""COMPUTED_VALUE"""),"")</f>
        <v/>
      </c>
      <c r="L485" s="189" t="str">
        <f ca="1">IFERROR(__xludf.DUMMYFUNCTION("""COMPUTED_VALUE"""),"")</f>
        <v/>
      </c>
      <c r="M485" s="189" t="str">
        <f ca="1">IFERROR(__xludf.DUMMYFUNCTION("""COMPUTED_VALUE"""),"")</f>
        <v/>
      </c>
      <c r="N485" s="189" t="str">
        <f ca="1">IFERROR(__xludf.DUMMYFUNCTION("""COMPUTED_VALUE"""),"")</f>
        <v/>
      </c>
      <c r="O485" s="189" t="str">
        <f ca="1">IFERROR(__xludf.DUMMYFUNCTION("""COMPUTED_VALUE"""),"")</f>
        <v/>
      </c>
      <c r="P485" s="189" t="str">
        <f ca="1">IFERROR(__xludf.DUMMYFUNCTION("""COMPUTED_VALUE"""),"")</f>
        <v/>
      </c>
      <c r="Q485" s="189" t="str">
        <f ca="1">IFERROR(__xludf.DUMMYFUNCTION("""COMPUTED_VALUE"""),"")</f>
        <v/>
      </c>
      <c r="R485" s="189" t="str">
        <f ca="1">IFERROR(__xludf.DUMMYFUNCTION("""COMPUTED_VALUE"""),"")</f>
        <v/>
      </c>
      <c r="S485" s="189" t="str">
        <f ca="1">IFERROR(__xludf.DUMMYFUNCTION("""COMPUTED_VALUE"""),"")</f>
        <v/>
      </c>
      <c r="T485" s="189" t="str">
        <f ca="1">IFERROR(__xludf.DUMMYFUNCTION("""COMPUTED_VALUE"""),"")</f>
        <v/>
      </c>
      <c r="U485" s="189" t="str">
        <f ca="1">IFERROR(__xludf.DUMMYFUNCTION("""COMPUTED_VALUE"""),"")</f>
        <v/>
      </c>
      <c r="V485" s="189" t="str">
        <f ca="1">IFERROR(__xludf.DUMMYFUNCTION("""COMPUTED_VALUE"""),"")</f>
        <v/>
      </c>
      <c r="W485" s="189" t="str">
        <f ca="1">IFERROR(__xludf.DUMMYFUNCTION("""COMPUTED_VALUE"""),"")</f>
        <v/>
      </c>
      <c r="X485" s="189" t="str">
        <f ca="1">IFERROR(__xludf.DUMMYFUNCTION("""COMPUTED_VALUE"""),"")</f>
        <v/>
      </c>
      <c r="Y485" s="189" t="str">
        <f ca="1">IFERROR(__xludf.DUMMYFUNCTION("""COMPUTED_VALUE"""),"")</f>
        <v/>
      </c>
      <c r="Z485" s="189"/>
    </row>
    <row r="486" spans="1:26" ht="12.75">
      <c r="A486" s="189" t="str">
        <f ca="1">IFERROR(__xludf.DUMMYFUNCTION("""COMPUTED_VALUE"""),"")</f>
        <v/>
      </c>
      <c r="B486" s="189" t="str">
        <f ca="1">IFERROR(__xludf.DUMMYFUNCTION("""COMPUTED_VALUE"""),"")</f>
        <v/>
      </c>
      <c r="C486" s="189" t="str">
        <f ca="1">IFERROR(__xludf.DUMMYFUNCTION("""COMPUTED_VALUE"""),"")</f>
        <v/>
      </c>
      <c r="D486" s="189" t="str">
        <f ca="1">IFERROR(__xludf.DUMMYFUNCTION("""COMPUTED_VALUE"""),"")</f>
        <v/>
      </c>
      <c r="E486" s="189" t="str">
        <f ca="1">IFERROR(__xludf.DUMMYFUNCTION("""COMPUTED_VALUE"""),"")</f>
        <v/>
      </c>
      <c r="F486" s="189" t="str">
        <f ca="1">IFERROR(__xludf.DUMMYFUNCTION("""COMPUTED_VALUE"""),"")</f>
        <v/>
      </c>
      <c r="G486" s="189" t="str">
        <f ca="1">IFERROR(__xludf.DUMMYFUNCTION("""COMPUTED_VALUE"""),"")</f>
        <v/>
      </c>
      <c r="H486" s="189" t="str">
        <f ca="1">IFERROR(__xludf.DUMMYFUNCTION("""COMPUTED_VALUE"""),"")</f>
        <v/>
      </c>
      <c r="I486" s="120" t="str">
        <f ca="1">IFERROR(__xludf.DUMMYFUNCTION("""COMPUTED_VALUE"""),"")</f>
        <v/>
      </c>
      <c r="J486" s="189" t="str">
        <f ca="1">IFERROR(__xludf.DUMMYFUNCTION("""COMPUTED_VALUE"""),"")</f>
        <v/>
      </c>
      <c r="K486" s="189" t="str">
        <f ca="1">IFERROR(__xludf.DUMMYFUNCTION("""COMPUTED_VALUE"""),"")</f>
        <v/>
      </c>
      <c r="L486" s="189" t="str">
        <f ca="1">IFERROR(__xludf.DUMMYFUNCTION("""COMPUTED_VALUE"""),"")</f>
        <v/>
      </c>
      <c r="M486" s="189" t="str">
        <f ca="1">IFERROR(__xludf.DUMMYFUNCTION("""COMPUTED_VALUE"""),"")</f>
        <v/>
      </c>
      <c r="N486" s="189" t="str">
        <f ca="1">IFERROR(__xludf.DUMMYFUNCTION("""COMPUTED_VALUE"""),"")</f>
        <v/>
      </c>
      <c r="O486" s="189" t="str">
        <f ca="1">IFERROR(__xludf.DUMMYFUNCTION("""COMPUTED_VALUE"""),"")</f>
        <v/>
      </c>
      <c r="P486" s="189" t="str">
        <f ca="1">IFERROR(__xludf.DUMMYFUNCTION("""COMPUTED_VALUE"""),"")</f>
        <v/>
      </c>
      <c r="Q486" s="189" t="str">
        <f ca="1">IFERROR(__xludf.DUMMYFUNCTION("""COMPUTED_VALUE"""),"")</f>
        <v/>
      </c>
      <c r="R486" s="189" t="str">
        <f ca="1">IFERROR(__xludf.DUMMYFUNCTION("""COMPUTED_VALUE"""),"")</f>
        <v/>
      </c>
      <c r="S486" s="189" t="str">
        <f ca="1">IFERROR(__xludf.DUMMYFUNCTION("""COMPUTED_VALUE"""),"")</f>
        <v/>
      </c>
      <c r="T486" s="189" t="str">
        <f ca="1">IFERROR(__xludf.DUMMYFUNCTION("""COMPUTED_VALUE"""),"")</f>
        <v/>
      </c>
      <c r="U486" s="189" t="str">
        <f ca="1">IFERROR(__xludf.DUMMYFUNCTION("""COMPUTED_VALUE"""),"")</f>
        <v/>
      </c>
      <c r="V486" s="189" t="str">
        <f ca="1">IFERROR(__xludf.DUMMYFUNCTION("""COMPUTED_VALUE"""),"")</f>
        <v/>
      </c>
      <c r="W486" s="189" t="str">
        <f ca="1">IFERROR(__xludf.DUMMYFUNCTION("""COMPUTED_VALUE"""),"")</f>
        <v/>
      </c>
      <c r="X486" s="189" t="str">
        <f ca="1">IFERROR(__xludf.DUMMYFUNCTION("""COMPUTED_VALUE"""),"")</f>
        <v/>
      </c>
      <c r="Y486" s="189" t="str">
        <f ca="1">IFERROR(__xludf.DUMMYFUNCTION("""COMPUTED_VALUE"""),"")</f>
        <v/>
      </c>
      <c r="Z486" s="189"/>
    </row>
    <row r="487" spans="1:26" ht="12.75">
      <c r="A487" s="189" t="str">
        <f ca="1">IFERROR(__xludf.DUMMYFUNCTION("""COMPUTED_VALUE"""),"")</f>
        <v/>
      </c>
      <c r="B487" s="189" t="str">
        <f ca="1">IFERROR(__xludf.DUMMYFUNCTION("""COMPUTED_VALUE"""),"")</f>
        <v/>
      </c>
      <c r="C487" s="189" t="str">
        <f ca="1">IFERROR(__xludf.DUMMYFUNCTION("""COMPUTED_VALUE"""),"")</f>
        <v/>
      </c>
      <c r="D487" s="189" t="str">
        <f ca="1">IFERROR(__xludf.DUMMYFUNCTION("""COMPUTED_VALUE"""),"")</f>
        <v/>
      </c>
      <c r="E487" s="189" t="str">
        <f ca="1">IFERROR(__xludf.DUMMYFUNCTION("""COMPUTED_VALUE"""),"")</f>
        <v/>
      </c>
      <c r="F487" s="189" t="str">
        <f ca="1">IFERROR(__xludf.DUMMYFUNCTION("""COMPUTED_VALUE"""),"")</f>
        <v/>
      </c>
      <c r="G487" s="189" t="str">
        <f ca="1">IFERROR(__xludf.DUMMYFUNCTION("""COMPUTED_VALUE"""),"")</f>
        <v/>
      </c>
      <c r="H487" s="189" t="str">
        <f ca="1">IFERROR(__xludf.DUMMYFUNCTION("""COMPUTED_VALUE"""),"")</f>
        <v/>
      </c>
      <c r="I487" s="120" t="str">
        <f ca="1">IFERROR(__xludf.DUMMYFUNCTION("""COMPUTED_VALUE"""),"")</f>
        <v/>
      </c>
      <c r="J487" s="189" t="str">
        <f ca="1">IFERROR(__xludf.DUMMYFUNCTION("""COMPUTED_VALUE"""),"")</f>
        <v/>
      </c>
      <c r="K487" s="189" t="str">
        <f ca="1">IFERROR(__xludf.DUMMYFUNCTION("""COMPUTED_VALUE"""),"")</f>
        <v/>
      </c>
      <c r="L487" s="189" t="str">
        <f ca="1">IFERROR(__xludf.DUMMYFUNCTION("""COMPUTED_VALUE"""),"")</f>
        <v/>
      </c>
      <c r="M487" s="189" t="str">
        <f ca="1">IFERROR(__xludf.DUMMYFUNCTION("""COMPUTED_VALUE"""),"")</f>
        <v/>
      </c>
      <c r="N487" s="189" t="str">
        <f ca="1">IFERROR(__xludf.DUMMYFUNCTION("""COMPUTED_VALUE"""),"")</f>
        <v/>
      </c>
      <c r="O487" s="189" t="str">
        <f ca="1">IFERROR(__xludf.DUMMYFUNCTION("""COMPUTED_VALUE"""),"")</f>
        <v/>
      </c>
      <c r="P487" s="189" t="str">
        <f ca="1">IFERROR(__xludf.DUMMYFUNCTION("""COMPUTED_VALUE"""),"")</f>
        <v/>
      </c>
      <c r="Q487" s="189" t="str">
        <f ca="1">IFERROR(__xludf.DUMMYFUNCTION("""COMPUTED_VALUE"""),"")</f>
        <v/>
      </c>
      <c r="R487" s="189" t="str">
        <f ca="1">IFERROR(__xludf.DUMMYFUNCTION("""COMPUTED_VALUE"""),"")</f>
        <v/>
      </c>
      <c r="S487" s="189" t="str">
        <f ca="1">IFERROR(__xludf.DUMMYFUNCTION("""COMPUTED_VALUE"""),"")</f>
        <v/>
      </c>
      <c r="T487" s="189" t="str">
        <f ca="1">IFERROR(__xludf.DUMMYFUNCTION("""COMPUTED_VALUE"""),"")</f>
        <v/>
      </c>
      <c r="U487" s="189" t="str">
        <f ca="1">IFERROR(__xludf.DUMMYFUNCTION("""COMPUTED_VALUE"""),"")</f>
        <v/>
      </c>
      <c r="V487" s="189" t="str">
        <f ca="1">IFERROR(__xludf.DUMMYFUNCTION("""COMPUTED_VALUE"""),"")</f>
        <v/>
      </c>
      <c r="W487" s="189" t="str">
        <f ca="1">IFERROR(__xludf.DUMMYFUNCTION("""COMPUTED_VALUE"""),"")</f>
        <v/>
      </c>
      <c r="X487" s="189" t="str">
        <f ca="1">IFERROR(__xludf.DUMMYFUNCTION("""COMPUTED_VALUE"""),"")</f>
        <v/>
      </c>
      <c r="Y487" s="189" t="str">
        <f ca="1">IFERROR(__xludf.DUMMYFUNCTION("""COMPUTED_VALUE"""),"")</f>
        <v/>
      </c>
      <c r="Z487" s="189"/>
    </row>
    <row r="488" spans="1:26" ht="12.75">
      <c r="A488" s="189" t="str">
        <f ca="1">IFERROR(__xludf.DUMMYFUNCTION("""COMPUTED_VALUE"""),"")</f>
        <v/>
      </c>
      <c r="B488" s="189" t="str">
        <f ca="1">IFERROR(__xludf.DUMMYFUNCTION("""COMPUTED_VALUE"""),"")</f>
        <v/>
      </c>
      <c r="C488" s="189" t="str">
        <f ca="1">IFERROR(__xludf.DUMMYFUNCTION("""COMPUTED_VALUE"""),"")</f>
        <v/>
      </c>
      <c r="D488" s="189" t="str">
        <f ca="1">IFERROR(__xludf.DUMMYFUNCTION("""COMPUTED_VALUE"""),"")</f>
        <v/>
      </c>
      <c r="E488" s="189" t="str">
        <f ca="1">IFERROR(__xludf.DUMMYFUNCTION("""COMPUTED_VALUE"""),"")</f>
        <v/>
      </c>
      <c r="F488" s="189" t="str">
        <f ca="1">IFERROR(__xludf.DUMMYFUNCTION("""COMPUTED_VALUE"""),"")</f>
        <v/>
      </c>
      <c r="G488" s="189" t="str">
        <f ca="1">IFERROR(__xludf.DUMMYFUNCTION("""COMPUTED_VALUE"""),"")</f>
        <v/>
      </c>
      <c r="H488" s="189" t="str">
        <f ca="1">IFERROR(__xludf.DUMMYFUNCTION("""COMPUTED_VALUE"""),"")</f>
        <v/>
      </c>
      <c r="I488" s="120" t="str">
        <f ca="1">IFERROR(__xludf.DUMMYFUNCTION("""COMPUTED_VALUE"""),"")</f>
        <v/>
      </c>
      <c r="J488" s="189" t="str">
        <f ca="1">IFERROR(__xludf.DUMMYFUNCTION("""COMPUTED_VALUE"""),"")</f>
        <v/>
      </c>
      <c r="K488" s="189" t="str">
        <f ca="1">IFERROR(__xludf.DUMMYFUNCTION("""COMPUTED_VALUE"""),"")</f>
        <v/>
      </c>
      <c r="L488" s="189" t="str">
        <f ca="1">IFERROR(__xludf.DUMMYFUNCTION("""COMPUTED_VALUE"""),"")</f>
        <v/>
      </c>
      <c r="M488" s="189" t="str">
        <f ca="1">IFERROR(__xludf.DUMMYFUNCTION("""COMPUTED_VALUE"""),"")</f>
        <v/>
      </c>
      <c r="N488" s="189" t="str">
        <f ca="1">IFERROR(__xludf.DUMMYFUNCTION("""COMPUTED_VALUE"""),"")</f>
        <v/>
      </c>
      <c r="O488" s="189" t="str">
        <f ca="1">IFERROR(__xludf.DUMMYFUNCTION("""COMPUTED_VALUE"""),"")</f>
        <v/>
      </c>
      <c r="P488" s="189" t="str">
        <f ca="1">IFERROR(__xludf.DUMMYFUNCTION("""COMPUTED_VALUE"""),"")</f>
        <v/>
      </c>
      <c r="Q488" s="189" t="str">
        <f ca="1">IFERROR(__xludf.DUMMYFUNCTION("""COMPUTED_VALUE"""),"")</f>
        <v/>
      </c>
      <c r="R488" s="189" t="str">
        <f ca="1">IFERROR(__xludf.DUMMYFUNCTION("""COMPUTED_VALUE"""),"")</f>
        <v/>
      </c>
      <c r="S488" s="189" t="str">
        <f ca="1">IFERROR(__xludf.DUMMYFUNCTION("""COMPUTED_VALUE"""),"")</f>
        <v/>
      </c>
      <c r="T488" s="189" t="str">
        <f ca="1">IFERROR(__xludf.DUMMYFUNCTION("""COMPUTED_VALUE"""),"")</f>
        <v/>
      </c>
      <c r="U488" s="189" t="str">
        <f ca="1">IFERROR(__xludf.DUMMYFUNCTION("""COMPUTED_VALUE"""),"")</f>
        <v/>
      </c>
      <c r="V488" s="189" t="str">
        <f ca="1">IFERROR(__xludf.DUMMYFUNCTION("""COMPUTED_VALUE"""),"")</f>
        <v/>
      </c>
      <c r="W488" s="189" t="str">
        <f ca="1">IFERROR(__xludf.DUMMYFUNCTION("""COMPUTED_VALUE"""),"")</f>
        <v/>
      </c>
      <c r="X488" s="189" t="str">
        <f ca="1">IFERROR(__xludf.DUMMYFUNCTION("""COMPUTED_VALUE"""),"")</f>
        <v/>
      </c>
      <c r="Y488" s="189" t="str">
        <f ca="1">IFERROR(__xludf.DUMMYFUNCTION("""COMPUTED_VALUE"""),"")</f>
        <v/>
      </c>
      <c r="Z488" s="189"/>
    </row>
    <row r="489" spans="1:26" ht="12.75">
      <c r="A489" s="189" t="str">
        <f ca="1">IFERROR(__xludf.DUMMYFUNCTION("""COMPUTED_VALUE"""),"")</f>
        <v/>
      </c>
      <c r="B489" s="189" t="str">
        <f ca="1">IFERROR(__xludf.DUMMYFUNCTION("""COMPUTED_VALUE"""),"")</f>
        <v/>
      </c>
      <c r="C489" s="189" t="str">
        <f ca="1">IFERROR(__xludf.DUMMYFUNCTION("""COMPUTED_VALUE"""),"")</f>
        <v/>
      </c>
      <c r="D489" s="189" t="str">
        <f ca="1">IFERROR(__xludf.DUMMYFUNCTION("""COMPUTED_VALUE"""),"")</f>
        <v/>
      </c>
      <c r="E489" s="189" t="str">
        <f ca="1">IFERROR(__xludf.DUMMYFUNCTION("""COMPUTED_VALUE"""),"")</f>
        <v/>
      </c>
      <c r="F489" s="189" t="str">
        <f ca="1">IFERROR(__xludf.DUMMYFUNCTION("""COMPUTED_VALUE"""),"")</f>
        <v/>
      </c>
      <c r="G489" s="189" t="str">
        <f ca="1">IFERROR(__xludf.DUMMYFUNCTION("""COMPUTED_VALUE"""),"")</f>
        <v/>
      </c>
      <c r="H489" s="189" t="str">
        <f ca="1">IFERROR(__xludf.DUMMYFUNCTION("""COMPUTED_VALUE"""),"")</f>
        <v/>
      </c>
      <c r="I489" s="120" t="str">
        <f ca="1">IFERROR(__xludf.DUMMYFUNCTION("""COMPUTED_VALUE"""),"")</f>
        <v/>
      </c>
      <c r="J489" s="189" t="str">
        <f ca="1">IFERROR(__xludf.DUMMYFUNCTION("""COMPUTED_VALUE"""),"")</f>
        <v/>
      </c>
      <c r="K489" s="189" t="str">
        <f ca="1">IFERROR(__xludf.DUMMYFUNCTION("""COMPUTED_VALUE"""),"")</f>
        <v/>
      </c>
      <c r="L489" s="189" t="str">
        <f ca="1">IFERROR(__xludf.DUMMYFUNCTION("""COMPUTED_VALUE"""),"")</f>
        <v/>
      </c>
      <c r="M489" s="189" t="str">
        <f ca="1">IFERROR(__xludf.DUMMYFUNCTION("""COMPUTED_VALUE"""),"")</f>
        <v/>
      </c>
      <c r="N489" s="189" t="str">
        <f ca="1">IFERROR(__xludf.DUMMYFUNCTION("""COMPUTED_VALUE"""),"")</f>
        <v/>
      </c>
      <c r="O489" s="189" t="str">
        <f ca="1">IFERROR(__xludf.DUMMYFUNCTION("""COMPUTED_VALUE"""),"")</f>
        <v/>
      </c>
      <c r="P489" s="189" t="str">
        <f ca="1">IFERROR(__xludf.DUMMYFUNCTION("""COMPUTED_VALUE"""),"")</f>
        <v/>
      </c>
      <c r="Q489" s="189" t="str">
        <f ca="1">IFERROR(__xludf.DUMMYFUNCTION("""COMPUTED_VALUE"""),"")</f>
        <v/>
      </c>
      <c r="R489" s="189" t="str">
        <f ca="1">IFERROR(__xludf.DUMMYFUNCTION("""COMPUTED_VALUE"""),"")</f>
        <v/>
      </c>
      <c r="S489" s="189" t="str">
        <f ca="1">IFERROR(__xludf.DUMMYFUNCTION("""COMPUTED_VALUE"""),"")</f>
        <v/>
      </c>
      <c r="T489" s="189" t="str">
        <f ca="1">IFERROR(__xludf.DUMMYFUNCTION("""COMPUTED_VALUE"""),"")</f>
        <v/>
      </c>
      <c r="U489" s="189" t="str">
        <f ca="1">IFERROR(__xludf.DUMMYFUNCTION("""COMPUTED_VALUE"""),"")</f>
        <v/>
      </c>
      <c r="V489" s="189" t="str">
        <f ca="1">IFERROR(__xludf.DUMMYFUNCTION("""COMPUTED_VALUE"""),"")</f>
        <v/>
      </c>
      <c r="W489" s="189" t="str">
        <f ca="1">IFERROR(__xludf.DUMMYFUNCTION("""COMPUTED_VALUE"""),"")</f>
        <v/>
      </c>
      <c r="X489" s="189" t="str">
        <f ca="1">IFERROR(__xludf.DUMMYFUNCTION("""COMPUTED_VALUE"""),"")</f>
        <v/>
      </c>
      <c r="Y489" s="189" t="str">
        <f ca="1">IFERROR(__xludf.DUMMYFUNCTION("""COMPUTED_VALUE"""),"")</f>
        <v/>
      </c>
      <c r="Z489" s="189"/>
    </row>
    <row r="490" spans="1:26" ht="12.75">
      <c r="A490" s="189" t="str">
        <f ca="1">IFERROR(__xludf.DUMMYFUNCTION("""COMPUTED_VALUE"""),"")</f>
        <v/>
      </c>
      <c r="B490" s="189" t="str">
        <f ca="1">IFERROR(__xludf.DUMMYFUNCTION("""COMPUTED_VALUE"""),"")</f>
        <v/>
      </c>
      <c r="C490" s="189" t="str">
        <f ca="1">IFERROR(__xludf.DUMMYFUNCTION("""COMPUTED_VALUE"""),"")</f>
        <v/>
      </c>
      <c r="D490" s="189" t="str">
        <f ca="1">IFERROR(__xludf.DUMMYFUNCTION("""COMPUTED_VALUE"""),"")</f>
        <v/>
      </c>
      <c r="E490" s="189" t="str">
        <f ca="1">IFERROR(__xludf.DUMMYFUNCTION("""COMPUTED_VALUE"""),"")</f>
        <v/>
      </c>
      <c r="F490" s="189" t="str">
        <f ca="1">IFERROR(__xludf.DUMMYFUNCTION("""COMPUTED_VALUE"""),"")</f>
        <v/>
      </c>
      <c r="G490" s="189" t="str">
        <f ca="1">IFERROR(__xludf.DUMMYFUNCTION("""COMPUTED_VALUE"""),"")</f>
        <v/>
      </c>
      <c r="H490" s="189" t="str">
        <f ca="1">IFERROR(__xludf.DUMMYFUNCTION("""COMPUTED_VALUE"""),"")</f>
        <v/>
      </c>
      <c r="I490" s="120" t="str">
        <f ca="1">IFERROR(__xludf.DUMMYFUNCTION("""COMPUTED_VALUE"""),"")</f>
        <v/>
      </c>
      <c r="J490" s="189" t="str">
        <f ca="1">IFERROR(__xludf.DUMMYFUNCTION("""COMPUTED_VALUE"""),"")</f>
        <v/>
      </c>
      <c r="K490" s="189" t="str">
        <f ca="1">IFERROR(__xludf.DUMMYFUNCTION("""COMPUTED_VALUE"""),"")</f>
        <v/>
      </c>
      <c r="L490" s="189" t="str">
        <f ca="1">IFERROR(__xludf.DUMMYFUNCTION("""COMPUTED_VALUE"""),"")</f>
        <v/>
      </c>
      <c r="M490" s="189" t="str">
        <f ca="1">IFERROR(__xludf.DUMMYFUNCTION("""COMPUTED_VALUE"""),"")</f>
        <v/>
      </c>
      <c r="N490" s="189" t="str">
        <f ca="1">IFERROR(__xludf.DUMMYFUNCTION("""COMPUTED_VALUE"""),"")</f>
        <v/>
      </c>
      <c r="O490" s="189" t="str">
        <f ca="1">IFERROR(__xludf.DUMMYFUNCTION("""COMPUTED_VALUE"""),"")</f>
        <v/>
      </c>
      <c r="P490" s="189" t="str">
        <f ca="1">IFERROR(__xludf.DUMMYFUNCTION("""COMPUTED_VALUE"""),"")</f>
        <v/>
      </c>
      <c r="Q490" s="189" t="str">
        <f ca="1">IFERROR(__xludf.DUMMYFUNCTION("""COMPUTED_VALUE"""),"")</f>
        <v/>
      </c>
      <c r="R490" s="189" t="str">
        <f ca="1">IFERROR(__xludf.DUMMYFUNCTION("""COMPUTED_VALUE"""),"")</f>
        <v/>
      </c>
      <c r="S490" s="189" t="str">
        <f ca="1">IFERROR(__xludf.DUMMYFUNCTION("""COMPUTED_VALUE"""),"")</f>
        <v/>
      </c>
      <c r="T490" s="189" t="str">
        <f ca="1">IFERROR(__xludf.DUMMYFUNCTION("""COMPUTED_VALUE"""),"")</f>
        <v/>
      </c>
      <c r="U490" s="189" t="str">
        <f ca="1">IFERROR(__xludf.DUMMYFUNCTION("""COMPUTED_VALUE"""),"")</f>
        <v/>
      </c>
      <c r="V490" s="189" t="str">
        <f ca="1">IFERROR(__xludf.DUMMYFUNCTION("""COMPUTED_VALUE"""),"")</f>
        <v/>
      </c>
      <c r="W490" s="189" t="str">
        <f ca="1">IFERROR(__xludf.DUMMYFUNCTION("""COMPUTED_VALUE"""),"")</f>
        <v/>
      </c>
      <c r="X490" s="189" t="str">
        <f ca="1">IFERROR(__xludf.DUMMYFUNCTION("""COMPUTED_VALUE"""),"")</f>
        <v/>
      </c>
      <c r="Y490" s="189" t="str">
        <f ca="1">IFERROR(__xludf.DUMMYFUNCTION("""COMPUTED_VALUE"""),"")</f>
        <v/>
      </c>
      <c r="Z490" s="189"/>
    </row>
    <row r="491" spans="1:26" ht="12.75">
      <c r="A491" s="189" t="str">
        <f ca="1">IFERROR(__xludf.DUMMYFUNCTION("""COMPUTED_VALUE"""),"")</f>
        <v/>
      </c>
      <c r="B491" s="189" t="str">
        <f ca="1">IFERROR(__xludf.DUMMYFUNCTION("""COMPUTED_VALUE"""),"")</f>
        <v/>
      </c>
      <c r="C491" s="189" t="str">
        <f ca="1">IFERROR(__xludf.DUMMYFUNCTION("""COMPUTED_VALUE"""),"")</f>
        <v/>
      </c>
      <c r="D491" s="189" t="str">
        <f ca="1">IFERROR(__xludf.DUMMYFUNCTION("""COMPUTED_VALUE"""),"")</f>
        <v/>
      </c>
      <c r="E491" s="189" t="str">
        <f ca="1">IFERROR(__xludf.DUMMYFUNCTION("""COMPUTED_VALUE"""),"")</f>
        <v/>
      </c>
      <c r="F491" s="189" t="str">
        <f ca="1">IFERROR(__xludf.DUMMYFUNCTION("""COMPUTED_VALUE"""),"")</f>
        <v/>
      </c>
      <c r="G491" s="189" t="str">
        <f ca="1">IFERROR(__xludf.DUMMYFUNCTION("""COMPUTED_VALUE"""),"")</f>
        <v/>
      </c>
      <c r="H491" s="189" t="str">
        <f ca="1">IFERROR(__xludf.DUMMYFUNCTION("""COMPUTED_VALUE"""),"")</f>
        <v/>
      </c>
      <c r="I491" s="120" t="str">
        <f ca="1">IFERROR(__xludf.DUMMYFUNCTION("""COMPUTED_VALUE"""),"")</f>
        <v/>
      </c>
      <c r="J491" s="189" t="str">
        <f ca="1">IFERROR(__xludf.DUMMYFUNCTION("""COMPUTED_VALUE"""),"")</f>
        <v/>
      </c>
      <c r="K491" s="189" t="str">
        <f ca="1">IFERROR(__xludf.DUMMYFUNCTION("""COMPUTED_VALUE"""),"")</f>
        <v/>
      </c>
      <c r="L491" s="189" t="str">
        <f ca="1">IFERROR(__xludf.DUMMYFUNCTION("""COMPUTED_VALUE"""),"")</f>
        <v/>
      </c>
      <c r="M491" s="189" t="str">
        <f ca="1">IFERROR(__xludf.DUMMYFUNCTION("""COMPUTED_VALUE"""),"")</f>
        <v/>
      </c>
      <c r="N491" s="189" t="str">
        <f ca="1">IFERROR(__xludf.DUMMYFUNCTION("""COMPUTED_VALUE"""),"")</f>
        <v/>
      </c>
      <c r="O491" s="189" t="str">
        <f ca="1">IFERROR(__xludf.DUMMYFUNCTION("""COMPUTED_VALUE"""),"")</f>
        <v/>
      </c>
      <c r="P491" s="189" t="str">
        <f ca="1">IFERROR(__xludf.DUMMYFUNCTION("""COMPUTED_VALUE"""),"")</f>
        <v/>
      </c>
      <c r="Q491" s="189" t="str">
        <f ca="1">IFERROR(__xludf.DUMMYFUNCTION("""COMPUTED_VALUE"""),"")</f>
        <v/>
      </c>
      <c r="R491" s="189" t="str">
        <f ca="1">IFERROR(__xludf.DUMMYFUNCTION("""COMPUTED_VALUE"""),"")</f>
        <v/>
      </c>
      <c r="S491" s="189" t="str">
        <f ca="1">IFERROR(__xludf.DUMMYFUNCTION("""COMPUTED_VALUE"""),"")</f>
        <v/>
      </c>
      <c r="T491" s="189" t="str">
        <f ca="1">IFERROR(__xludf.DUMMYFUNCTION("""COMPUTED_VALUE"""),"")</f>
        <v/>
      </c>
      <c r="U491" s="189" t="str">
        <f ca="1">IFERROR(__xludf.DUMMYFUNCTION("""COMPUTED_VALUE"""),"")</f>
        <v/>
      </c>
      <c r="V491" s="189" t="str">
        <f ca="1">IFERROR(__xludf.DUMMYFUNCTION("""COMPUTED_VALUE"""),"")</f>
        <v/>
      </c>
      <c r="W491" s="189" t="str">
        <f ca="1">IFERROR(__xludf.DUMMYFUNCTION("""COMPUTED_VALUE"""),"")</f>
        <v/>
      </c>
      <c r="X491" s="189" t="str">
        <f ca="1">IFERROR(__xludf.DUMMYFUNCTION("""COMPUTED_VALUE"""),"")</f>
        <v/>
      </c>
      <c r="Y491" s="189" t="str">
        <f ca="1">IFERROR(__xludf.DUMMYFUNCTION("""COMPUTED_VALUE"""),"")</f>
        <v/>
      </c>
      <c r="Z491" s="189"/>
    </row>
    <row r="492" spans="1:26" ht="12.75">
      <c r="A492" s="189" t="str">
        <f ca="1">IFERROR(__xludf.DUMMYFUNCTION("""COMPUTED_VALUE"""),"")</f>
        <v/>
      </c>
      <c r="B492" s="189" t="str">
        <f ca="1">IFERROR(__xludf.DUMMYFUNCTION("""COMPUTED_VALUE"""),"")</f>
        <v/>
      </c>
      <c r="C492" s="189" t="str">
        <f ca="1">IFERROR(__xludf.DUMMYFUNCTION("""COMPUTED_VALUE"""),"")</f>
        <v/>
      </c>
      <c r="D492" s="189" t="str">
        <f ca="1">IFERROR(__xludf.DUMMYFUNCTION("""COMPUTED_VALUE"""),"")</f>
        <v/>
      </c>
      <c r="E492" s="189" t="str">
        <f ca="1">IFERROR(__xludf.DUMMYFUNCTION("""COMPUTED_VALUE"""),"")</f>
        <v/>
      </c>
      <c r="F492" s="189" t="str">
        <f ca="1">IFERROR(__xludf.DUMMYFUNCTION("""COMPUTED_VALUE"""),"")</f>
        <v/>
      </c>
      <c r="G492" s="189" t="str">
        <f ca="1">IFERROR(__xludf.DUMMYFUNCTION("""COMPUTED_VALUE"""),"")</f>
        <v/>
      </c>
      <c r="H492" s="189" t="str">
        <f ca="1">IFERROR(__xludf.DUMMYFUNCTION("""COMPUTED_VALUE"""),"")</f>
        <v/>
      </c>
      <c r="I492" s="120" t="str">
        <f ca="1">IFERROR(__xludf.DUMMYFUNCTION("""COMPUTED_VALUE"""),"")</f>
        <v/>
      </c>
      <c r="J492" s="189" t="str">
        <f ca="1">IFERROR(__xludf.DUMMYFUNCTION("""COMPUTED_VALUE"""),"")</f>
        <v/>
      </c>
      <c r="K492" s="189" t="str">
        <f ca="1">IFERROR(__xludf.DUMMYFUNCTION("""COMPUTED_VALUE"""),"")</f>
        <v/>
      </c>
      <c r="L492" s="189" t="str">
        <f ca="1">IFERROR(__xludf.DUMMYFUNCTION("""COMPUTED_VALUE"""),"")</f>
        <v/>
      </c>
      <c r="M492" s="189" t="str">
        <f ca="1">IFERROR(__xludf.DUMMYFUNCTION("""COMPUTED_VALUE"""),"")</f>
        <v/>
      </c>
      <c r="N492" s="189" t="str">
        <f ca="1">IFERROR(__xludf.DUMMYFUNCTION("""COMPUTED_VALUE"""),"")</f>
        <v/>
      </c>
      <c r="O492" s="189" t="str">
        <f ca="1">IFERROR(__xludf.DUMMYFUNCTION("""COMPUTED_VALUE"""),"")</f>
        <v/>
      </c>
      <c r="P492" s="189" t="str">
        <f ca="1">IFERROR(__xludf.DUMMYFUNCTION("""COMPUTED_VALUE"""),"")</f>
        <v/>
      </c>
      <c r="Q492" s="189" t="str">
        <f ca="1">IFERROR(__xludf.DUMMYFUNCTION("""COMPUTED_VALUE"""),"")</f>
        <v/>
      </c>
      <c r="R492" s="189" t="str">
        <f ca="1">IFERROR(__xludf.DUMMYFUNCTION("""COMPUTED_VALUE"""),"")</f>
        <v/>
      </c>
      <c r="S492" s="189" t="str">
        <f ca="1">IFERROR(__xludf.DUMMYFUNCTION("""COMPUTED_VALUE"""),"")</f>
        <v/>
      </c>
      <c r="T492" s="189" t="str">
        <f ca="1">IFERROR(__xludf.DUMMYFUNCTION("""COMPUTED_VALUE"""),"")</f>
        <v/>
      </c>
      <c r="U492" s="189" t="str">
        <f ca="1">IFERROR(__xludf.DUMMYFUNCTION("""COMPUTED_VALUE"""),"")</f>
        <v/>
      </c>
      <c r="V492" s="189" t="str">
        <f ca="1">IFERROR(__xludf.DUMMYFUNCTION("""COMPUTED_VALUE"""),"")</f>
        <v/>
      </c>
      <c r="W492" s="189" t="str">
        <f ca="1">IFERROR(__xludf.DUMMYFUNCTION("""COMPUTED_VALUE"""),"")</f>
        <v/>
      </c>
      <c r="X492" s="189" t="str">
        <f ca="1">IFERROR(__xludf.DUMMYFUNCTION("""COMPUTED_VALUE"""),"")</f>
        <v/>
      </c>
      <c r="Y492" s="189" t="str">
        <f ca="1">IFERROR(__xludf.DUMMYFUNCTION("""COMPUTED_VALUE"""),"")</f>
        <v/>
      </c>
      <c r="Z492" s="189"/>
    </row>
    <row r="493" spans="1:26" ht="12.75">
      <c r="A493" s="189" t="str">
        <f ca="1">IFERROR(__xludf.DUMMYFUNCTION("""COMPUTED_VALUE"""),"")</f>
        <v/>
      </c>
      <c r="B493" s="189" t="str">
        <f ca="1">IFERROR(__xludf.DUMMYFUNCTION("""COMPUTED_VALUE"""),"")</f>
        <v/>
      </c>
      <c r="C493" s="189" t="str">
        <f ca="1">IFERROR(__xludf.DUMMYFUNCTION("""COMPUTED_VALUE"""),"")</f>
        <v/>
      </c>
      <c r="D493" s="189" t="str">
        <f ca="1">IFERROR(__xludf.DUMMYFUNCTION("""COMPUTED_VALUE"""),"")</f>
        <v/>
      </c>
      <c r="E493" s="189" t="str">
        <f ca="1">IFERROR(__xludf.DUMMYFUNCTION("""COMPUTED_VALUE"""),"")</f>
        <v/>
      </c>
      <c r="F493" s="189" t="str">
        <f ca="1">IFERROR(__xludf.DUMMYFUNCTION("""COMPUTED_VALUE"""),"")</f>
        <v/>
      </c>
      <c r="G493" s="189" t="str">
        <f ca="1">IFERROR(__xludf.DUMMYFUNCTION("""COMPUTED_VALUE"""),"")</f>
        <v/>
      </c>
      <c r="H493" s="189" t="str">
        <f ca="1">IFERROR(__xludf.DUMMYFUNCTION("""COMPUTED_VALUE"""),"")</f>
        <v/>
      </c>
      <c r="I493" s="120" t="str">
        <f ca="1">IFERROR(__xludf.DUMMYFUNCTION("""COMPUTED_VALUE"""),"")</f>
        <v/>
      </c>
      <c r="J493" s="189" t="str">
        <f ca="1">IFERROR(__xludf.DUMMYFUNCTION("""COMPUTED_VALUE"""),"")</f>
        <v/>
      </c>
      <c r="K493" s="189" t="str">
        <f ca="1">IFERROR(__xludf.DUMMYFUNCTION("""COMPUTED_VALUE"""),"")</f>
        <v/>
      </c>
      <c r="L493" s="189" t="str">
        <f ca="1">IFERROR(__xludf.DUMMYFUNCTION("""COMPUTED_VALUE"""),"")</f>
        <v/>
      </c>
      <c r="M493" s="189" t="str">
        <f ca="1">IFERROR(__xludf.DUMMYFUNCTION("""COMPUTED_VALUE"""),"")</f>
        <v/>
      </c>
      <c r="N493" s="189" t="str">
        <f ca="1">IFERROR(__xludf.DUMMYFUNCTION("""COMPUTED_VALUE"""),"")</f>
        <v/>
      </c>
      <c r="O493" s="189" t="str">
        <f ca="1">IFERROR(__xludf.DUMMYFUNCTION("""COMPUTED_VALUE"""),"")</f>
        <v/>
      </c>
      <c r="P493" s="189" t="str">
        <f ca="1">IFERROR(__xludf.DUMMYFUNCTION("""COMPUTED_VALUE"""),"")</f>
        <v/>
      </c>
      <c r="Q493" s="189" t="str">
        <f ca="1">IFERROR(__xludf.DUMMYFUNCTION("""COMPUTED_VALUE"""),"")</f>
        <v/>
      </c>
      <c r="R493" s="189" t="str">
        <f ca="1">IFERROR(__xludf.DUMMYFUNCTION("""COMPUTED_VALUE"""),"")</f>
        <v/>
      </c>
      <c r="S493" s="189" t="str">
        <f ca="1">IFERROR(__xludf.DUMMYFUNCTION("""COMPUTED_VALUE"""),"")</f>
        <v/>
      </c>
      <c r="T493" s="189" t="str">
        <f ca="1">IFERROR(__xludf.DUMMYFUNCTION("""COMPUTED_VALUE"""),"")</f>
        <v/>
      </c>
      <c r="U493" s="189" t="str">
        <f ca="1">IFERROR(__xludf.DUMMYFUNCTION("""COMPUTED_VALUE"""),"")</f>
        <v/>
      </c>
      <c r="V493" s="189" t="str">
        <f ca="1">IFERROR(__xludf.DUMMYFUNCTION("""COMPUTED_VALUE"""),"")</f>
        <v/>
      </c>
      <c r="W493" s="189" t="str">
        <f ca="1">IFERROR(__xludf.DUMMYFUNCTION("""COMPUTED_VALUE"""),"")</f>
        <v/>
      </c>
      <c r="X493" s="189" t="str">
        <f ca="1">IFERROR(__xludf.DUMMYFUNCTION("""COMPUTED_VALUE"""),"")</f>
        <v/>
      </c>
      <c r="Y493" s="189" t="str">
        <f ca="1">IFERROR(__xludf.DUMMYFUNCTION("""COMPUTED_VALUE"""),"")</f>
        <v/>
      </c>
      <c r="Z493" s="189"/>
    </row>
    <row r="494" spans="1:26" ht="12.75">
      <c r="A494" s="189" t="str">
        <f ca="1">IFERROR(__xludf.DUMMYFUNCTION("""COMPUTED_VALUE"""),"")</f>
        <v/>
      </c>
      <c r="B494" s="189" t="str">
        <f ca="1">IFERROR(__xludf.DUMMYFUNCTION("""COMPUTED_VALUE"""),"")</f>
        <v/>
      </c>
      <c r="C494" s="189" t="str">
        <f ca="1">IFERROR(__xludf.DUMMYFUNCTION("""COMPUTED_VALUE"""),"")</f>
        <v/>
      </c>
      <c r="D494" s="189" t="str">
        <f ca="1">IFERROR(__xludf.DUMMYFUNCTION("""COMPUTED_VALUE"""),"")</f>
        <v/>
      </c>
      <c r="E494" s="189" t="str">
        <f ca="1">IFERROR(__xludf.DUMMYFUNCTION("""COMPUTED_VALUE"""),"")</f>
        <v/>
      </c>
      <c r="F494" s="189" t="str">
        <f ca="1">IFERROR(__xludf.DUMMYFUNCTION("""COMPUTED_VALUE"""),"")</f>
        <v/>
      </c>
      <c r="G494" s="189" t="str">
        <f ca="1">IFERROR(__xludf.DUMMYFUNCTION("""COMPUTED_VALUE"""),"")</f>
        <v/>
      </c>
      <c r="H494" s="189" t="str">
        <f ca="1">IFERROR(__xludf.DUMMYFUNCTION("""COMPUTED_VALUE"""),"")</f>
        <v/>
      </c>
      <c r="I494" s="120" t="str">
        <f ca="1">IFERROR(__xludf.DUMMYFUNCTION("""COMPUTED_VALUE"""),"")</f>
        <v/>
      </c>
      <c r="J494" s="189" t="str">
        <f ca="1">IFERROR(__xludf.DUMMYFUNCTION("""COMPUTED_VALUE"""),"")</f>
        <v/>
      </c>
      <c r="K494" s="189" t="str">
        <f ca="1">IFERROR(__xludf.DUMMYFUNCTION("""COMPUTED_VALUE"""),"")</f>
        <v/>
      </c>
      <c r="L494" s="189" t="str">
        <f ca="1">IFERROR(__xludf.DUMMYFUNCTION("""COMPUTED_VALUE"""),"")</f>
        <v/>
      </c>
      <c r="M494" s="189" t="str">
        <f ca="1">IFERROR(__xludf.DUMMYFUNCTION("""COMPUTED_VALUE"""),"")</f>
        <v/>
      </c>
      <c r="N494" s="189" t="str">
        <f ca="1">IFERROR(__xludf.DUMMYFUNCTION("""COMPUTED_VALUE"""),"")</f>
        <v/>
      </c>
      <c r="O494" s="189" t="str">
        <f ca="1">IFERROR(__xludf.DUMMYFUNCTION("""COMPUTED_VALUE"""),"")</f>
        <v/>
      </c>
      <c r="P494" s="189" t="str">
        <f ca="1">IFERROR(__xludf.DUMMYFUNCTION("""COMPUTED_VALUE"""),"")</f>
        <v/>
      </c>
      <c r="Q494" s="189" t="str">
        <f ca="1">IFERROR(__xludf.DUMMYFUNCTION("""COMPUTED_VALUE"""),"")</f>
        <v/>
      </c>
      <c r="R494" s="189" t="str">
        <f ca="1">IFERROR(__xludf.DUMMYFUNCTION("""COMPUTED_VALUE"""),"")</f>
        <v/>
      </c>
      <c r="S494" s="189" t="str">
        <f ca="1">IFERROR(__xludf.DUMMYFUNCTION("""COMPUTED_VALUE"""),"")</f>
        <v/>
      </c>
      <c r="T494" s="189" t="str">
        <f ca="1">IFERROR(__xludf.DUMMYFUNCTION("""COMPUTED_VALUE"""),"")</f>
        <v/>
      </c>
      <c r="U494" s="189" t="str">
        <f ca="1">IFERROR(__xludf.DUMMYFUNCTION("""COMPUTED_VALUE"""),"")</f>
        <v/>
      </c>
      <c r="V494" s="189" t="str">
        <f ca="1">IFERROR(__xludf.DUMMYFUNCTION("""COMPUTED_VALUE"""),"")</f>
        <v/>
      </c>
      <c r="W494" s="189" t="str">
        <f ca="1">IFERROR(__xludf.DUMMYFUNCTION("""COMPUTED_VALUE"""),"")</f>
        <v/>
      </c>
      <c r="X494" s="189" t="str">
        <f ca="1">IFERROR(__xludf.DUMMYFUNCTION("""COMPUTED_VALUE"""),"")</f>
        <v/>
      </c>
      <c r="Y494" s="189" t="str">
        <f ca="1">IFERROR(__xludf.DUMMYFUNCTION("""COMPUTED_VALUE"""),"")</f>
        <v/>
      </c>
      <c r="Z494" s="189"/>
    </row>
    <row r="495" spans="1:26" ht="12.75">
      <c r="A495" s="189" t="str">
        <f ca="1">IFERROR(__xludf.DUMMYFUNCTION("""COMPUTED_VALUE"""),"")</f>
        <v/>
      </c>
      <c r="B495" s="189" t="str">
        <f ca="1">IFERROR(__xludf.DUMMYFUNCTION("""COMPUTED_VALUE"""),"")</f>
        <v/>
      </c>
      <c r="C495" s="189" t="str">
        <f ca="1">IFERROR(__xludf.DUMMYFUNCTION("""COMPUTED_VALUE"""),"")</f>
        <v/>
      </c>
      <c r="D495" s="189" t="str">
        <f ca="1">IFERROR(__xludf.DUMMYFUNCTION("""COMPUTED_VALUE"""),"")</f>
        <v/>
      </c>
      <c r="E495" s="189" t="str">
        <f ca="1">IFERROR(__xludf.DUMMYFUNCTION("""COMPUTED_VALUE"""),"")</f>
        <v/>
      </c>
      <c r="F495" s="189" t="str">
        <f ca="1">IFERROR(__xludf.DUMMYFUNCTION("""COMPUTED_VALUE"""),"")</f>
        <v/>
      </c>
      <c r="G495" s="189" t="str">
        <f ca="1">IFERROR(__xludf.DUMMYFUNCTION("""COMPUTED_VALUE"""),"")</f>
        <v/>
      </c>
      <c r="H495" s="189" t="str">
        <f ca="1">IFERROR(__xludf.DUMMYFUNCTION("""COMPUTED_VALUE"""),"")</f>
        <v/>
      </c>
      <c r="I495" s="120" t="str">
        <f ca="1">IFERROR(__xludf.DUMMYFUNCTION("""COMPUTED_VALUE"""),"")</f>
        <v/>
      </c>
      <c r="J495" s="189" t="str">
        <f ca="1">IFERROR(__xludf.DUMMYFUNCTION("""COMPUTED_VALUE"""),"")</f>
        <v/>
      </c>
      <c r="K495" s="189" t="str">
        <f ca="1">IFERROR(__xludf.DUMMYFUNCTION("""COMPUTED_VALUE"""),"")</f>
        <v/>
      </c>
      <c r="L495" s="189" t="str">
        <f ca="1">IFERROR(__xludf.DUMMYFUNCTION("""COMPUTED_VALUE"""),"")</f>
        <v/>
      </c>
      <c r="M495" s="189" t="str">
        <f ca="1">IFERROR(__xludf.DUMMYFUNCTION("""COMPUTED_VALUE"""),"")</f>
        <v/>
      </c>
      <c r="N495" s="189" t="str">
        <f ca="1">IFERROR(__xludf.DUMMYFUNCTION("""COMPUTED_VALUE"""),"")</f>
        <v/>
      </c>
      <c r="O495" s="189" t="str">
        <f ca="1">IFERROR(__xludf.DUMMYFUNCTION("""COMPUTED_VALUE"""),"")</f>
        <v/>
      </c>
      <c r="P495" s="189" t="str">
        <f ca="1">IFERROR(__xludf.DUMMYFUNCTION("""COMPUTED_VALUE"""),"")</f>
        <v/>
      </c>
      <c r="Q495" s="189" t="str">
        <f ca="1">IFERROR(__xludf.DUMMYFUNCTION("""COMPUTED_VALUE"""),"")</f>
        <v/>
      </c>
      <c r="R495" s="189" t="str">
        <f ca="1">IFERROR(__xludf.DUMMYFUNCTION("""COMPUTED_VALUE"""),"")</f>
        <v/>
      </c>
      <c r="S495" s="189" t="str">
        <f ca="1">IFERROR(__xludf.DUMMYFUNCTION("""COMPUTED_VALUE"""),"")</f>
        <v/>
      </c>
      <c r="T495" s="189" t="str">
        <f ca="1">IFERROR(__xludf.DUMMYFUNCTION("""COMPUTED_VALUE"""),"")</f>
        <v/>
      </c>
      <c r="U495" s="189" t="str">
        <f ca="1">IFERROR(__xludf.DUMMYFUNCTION("""COMPUTED_VALUE"""),"")</f>
        <v/>
      </c>
      <c r="V495" s="189" t="str">
        <f ca="1">IFERROR(__xludf.DUMMYFUNCTION("""COMPUTED_VALUE"""),"")</f>
        <v/>
      </c>
      <c r="W495" s="189" t="str">
        <f ca="1">IFERROR(__xludf.DUMMYFUNCTION("""COMPUTED_VALUE"""),"")</f>
        <v/>
      </c>
      <c r="X495" s="189" t="str">
        <f ca="1">IFERROR(__xludf.DUMMYFUNCTION("""COMPUTED_VALUE"""),"")</f>
        <v/>
      </c>
      <c r="Y495" s="189" t="str">
        <f ca="1">IFERROR(__xludf.DUMMYFUNCTION("""COMPUTED_VALUE"""),"")</f>
        <v/>
      </c>
      <c r="Z495" s="189"/>
    </row>
    <row r="496" spans="1:26" ht="12.75">
      <c r="A496" s="189" t="str">
        <f ca="1">IFERROR(__xludf.DUMMYFUNCTION("""COMPUTED_VALUE"""),"")</f>
        <v/>
      </c>
      <c r="B496" s="189" t="str">
        <f ca="1">IFERROR(__xludf.DUMMYFUNCTION("""COMPUTED_VALUE"""),"")</f>
        <v/>
      </c>
      <c r="C496" s="189" t="str">
        <f ca="1">IFERROR(__xludf.DUMMYFUNCTION("""COMPUTED_VALUE"""),"")</f>
        <v/>
      </c>
      <c r="D496" s="189" t="str">
        <f ca="1">IFERROR(__xludf.DUMMYFUNCTION("""COMPUTED_VALUE"""),"")</f>
        <v/>
      </c>
      <c r="E496" s="189" t="str">
        <f ca="1">IFERROR(__xludf.DUMMYFUNCTION("""COMPUTED_VALUE"""),"")</f>
        <v/>
      </c>
      <c r="F496" s="189" t="str">
        <f ca="1">IFERROR(__xludf.DUMMYFUNCTION("""COMPUTED_VALUE"""),"")</f>
        <v/>
      </c>
      <c r="G496" s="189" t="str">
        <f ca="1">IFERROR(__xludf.DUMMYFUNCTION("""COMPUTED_VALUE"""),"")</f>
        <v/>
      </c>
      <c r="H496" s="189" t="str">
        <f ca="1">IFERROR(__xludf.DUMMYFUNCTION("""COMPUTED_VALUE"""),"")</f>
        <v/>
      </c>
      <c r="I496" s="120" t="str">
        <f ca="1">IFERROR(__xludf.DUMMYFUNCTION("""COMPUTED_VALUE"""),"")</f>
        <v/>
      </c>
      <c r="J496" s="189" t="str">
        <f ca="1">IFERROR(__xludf.DUMMYFUNCTION("""COMPUTED_VALUE"""),"")</f>
        <v/>
      </c>
      <c r="K496" s="189" t="str">
        <f ca="1">IFERROR(__xludf.DUMMYFUNCTION("""COMPUTED_VALUE"""),"")</f>
        <v/>
      </c>
      <c r="L496" s="189" t="str">
        <f ca="1">IFERROR(__xludf.DUMMYFUNCTION("""COMPUTED_VALUE"""),"")</f>
        <v/>
      </c>
      <c r="M496" s="189" t="str">
        <f ca="1">IFERROR(__xludf.DUMMYFUNCTION("""COMPUTED_VALUE"""),"")</f>
        <v/>
      </c>
      <c r="N496" s="189" t="str">
        <f ca="1">IFERROR(__xludf.DUMMYFUNCTION("""COMPUTED_VALUE"""),"")</f>
        <v/>
      </c>
      <c r="O496" s="189" t="str">
        <f ca="1">IFERROR(__xludf.DUMMYFUNCTION("""COMPUTED_VALUE"""),"")</f>
        <v/>
      </c>
      <c r="P496" s="189" t="str">
        <f ca="1">IFERROR(__xludf.DUMMYFUNCTION("""COMPUTED_VALUE"""),"")</f>
        <v/>
      </c>
      <c r="Q496" s="189" t="str">
        <f ca="1">IFERROR(__xludf.DUMMYFUNCTION("""COMPUTED_VALUE"""),"")</f>
        <v/>
      </c>
      <c r="R496" s="189" t="str">
        <f ca="1">IFERROR(__xludf.DUMMYFUNCTION("""COMPUTED_VALUE"""),"")</f>
        <v/>
      </c>
      <c r="S496" s="189" t="str">
        <f ca="1">IFERROR(__xludf.DUMMYFUNCTION("""COMPUTED_VALUE"""),"")</f>
        <v/>
      </c>
      <c r="T496" s="189" t="str">
        <f ca="1">IFERROR(__xludf.DUMMYFUNCTION("""COMPUTED_VALUE"""),"")</f>
        <v/>
      </c>
      <c r="U496" s="189" t="str">
        <f ca="1">IFERROR(__xludf.DUMMYFUNCTION("""COMPUTED_VALUE"""),"")</f>
        <v/>
      </c>
      <c r="V496" s="189" t="str">
        <f ca="1">IFERROR(__xludf.DUMMYFUNCTION("""COMPUTED_VALUE"""),"")</f>
        <v/>
      </c>
      <c r="W496" s="189" t="str">
        <f ca="1">IFERROR(__xludf.DUMMYFUNCTION("""COMPUTED_VALUE"""),"")</f>
        <v/>
      </c>
      <c r="X496" s="189" t="str">
        <f ca="1">IFERROR(__xludf.DUMMYFUNCTION("""COMPUTED_VALUE"""),"")</f>
        <v/>
      </c>
      <c r="Y496" s="189" t="str">
        <f ca="1">IFERROR(__xludf.DUMMYFUNCTION("""COMPUTED_VALUE"""),"")</f>
        <v/>
      </c>
      <c r="Z496" s="189"/>
    </row>
    <row r="497" spans="1:26" ht="12.75">
      <c r="A497" s="189" t="str">
        <f ca="1">IFERROR(__xludf.DUMMYFUNCTION("""COMPUTED_VALUE"""),"")</f>
        <v/>
      </c>
      <c r="B497" s="189" t="str">
        <f ca="1">IFERROR(__xludf.DUMMYFUNCTION("""COMPUTED_VALUE"""),"")</f>
        <v/>
      </c>
      <c r="C497" s="189" t="str">
        <f ca="1">IFERROR(__xludf.DUMMYFUNCTION("""COMPUTED_VALUE"""),"")</f>
        <v/>
      </c>
      <c r="D497" s="189" t="str">
        <f ca="1">IFERROR(__xludf.DUMMYFUNCTION("""COMPUTED_VALUE"""),"")</f>
        <v/>
      </c>
      <c r="E497" s="189" t="str">
        <f ca="1">IFERROR(__xludf.DUMMYFUNCTION("""COMPUTED_VALUE"""),"")</f>
        <v/>
      </c>
      <c r="F497" s="189" t="str">
        <f ca="1">IFERROR(__xludf.DUMMYFUNCTION("""COMPUTED_VALUE"""),"")</f>
        <v/>
      </c>
      <c r="G497" s="189" t="str">
        <f ca="1">IFERROR(__xludf.DUMMYFUNCTION("""COMPUTED_VALUE"""),"")</f>
        <v/>
      </c>
      <c r="H497" s="189" t="str">
        <f ca="1">IFERROR(__xludf.DUMMYFUNCTION("""COMPUTED_VALUE"""),"")</f>
        <v/>
      </c>
      <c r="I497" s="120" t="str">
        <f ca="1">IFERROR(__xludf.DUMMYFUNCTION("""COMPUTED_VALUE"""),"")</f>
        <v/>
      </c>
      <c r="J497" s="189" t="str">
        <f ca="1">IFERROR(__xludf.DUMMYFUNCTION("""COMPUTED_VALUE"""),"")</f>
        <v/>
      </c>
      <c r="K497" s="189" t="str">
        <f ca="1">IFERROR(__xludf.DUMMYFUNCTION("""COMPUTED_VALUE"""),"")</f>
        <v/>
      </c>
      <c r="L497" s="189" t="str">
        <f ca="1">IFERROR(__xludf.DUMMYFUNCTION("""COMPUTED_VALUE"""),"")</f>
        <v/>
      </c>
      <c r="M497" s="189" t="str">
        <f ca="1">IFERROR(__xludf.DUMMYFUNCTION("""COMPUTED_VALUE"""),"")</f>
        <v/>
      </c>
      <c r="N497" s="189" t="str">
        <f ca="1">IFERROR(__xludf.DUMMYFUNCTION("""COMPUTED_VALUE"""),"")</f>
        <v/>
      </c>
      <c r="O497" s="189" t="str">
        <f ca="1">IFERROR(__xludf.DUMMYFUNCTION("""COMPUTED_VALUE"""),"")</f>
        <v/>
      </c>
      <c r="P497" s="189" t="str">
        <f ca="1">IFERROR(__xludf.DUMMYFUNCTION("""COMPUTED_VALUE"""),"")</f>
        <v/>
      </c>
      <c r="Q497" s="189" t="str">
        <f ca="1">IFERROR(__xludf.DUMMYFUNCTION("""COMPUTED_VALUE"""),"")</f>
        <v/>
      </c>
      <c r="R497" s="189" t="str">
        <f ca="1">IFERROR(__xludf.DUMMYFUNCTION("""COMPUTED_VALUE"""),"")</f>
        <v/>
      </c>
      <c r="S497" s="189" t="str">
        <f ca="1">IFERROR(__xludf.DUMMYFUNCTION("""COMPUTED_VALUE"""),"")</f>
        <v/>
      </c>
      <c r="T497" s="189" t="str">
        <f ca="1">IFERROR(__xludf.DUMMYFUNCTION("""COMPUTED_VALUE"""),"")</f>
        <v/>
      </c>
      <c r="U497" s="189" t="str">
        <f ca="1">IFERROR(__xludf.DUMMYFUNCTION("""COMPUTED_VALUE"""),"")</f>
        <v/>
      </c>
      <c r="V497" s="189" t="str">
        <f ca="1">IFERROR(__xludf.DUMMYFUNCTION("""COMPUTED_VALUE"""),"")</f>
        <v/>
      </c>
      <c r="W497" s="189" t="str">
        <f ca="1">IFERROR(__xludf.DUMMYFUNCTION("""COMPUTED_VALUE"""),"")</f>
        <v/>
      </c>
      <c r="X497" s="189" t="str">
        <f ca="1">IFERROR(__xludf.DUMMYFUNCTION("""COMPUTED_VALUE"""),"")</f>
        <v/>
      </c>
      <c r="Y497" s="189" t="str">
        <f ca="1">IFERROR(__xludf.DUMMYFUNCTION("""COMPUTED_VALUE"""),"")</f>
        <v/>
      </c>
      <c r="Z497" s="189"/>
    </row>
    <row r="498" spans="1:26" ht="12.75">
      <c r="A498" s="189" t="str">
        <f ca="1">IFERROR(__xludf.DUMMYFUNCTION("""COMPUTED_VALUE"""),"")</f>
        <v/>
      </c>
      <c r="B498" s="189" t="str">
        <f ca="1">IFERROR(__xludf.DUMMYFUNCTION("""COMPUTED_VALUE"""),"")</f>
        <v/>
      </c>
      <c r="C498" s="189" t="str">
        <f ca="1">IFERROR(__xludf.DUMMYFUNCTION("""COMPUTED_VALUE"""),"")</f>
        <v/>
      </c>
      <c r="D498" s="189" t="str">
        <f ca="1">IFERROR(__xludf.DUMMYFUNCTION("""COMPUTED_VALUE"""),"")</f>
        <v/>
      </c>
      <c r="E498" s="189" t="str">
        <f ca="1">IFERROR(__xludf.DUMMYFUNCTION("""COMPUTED_VALUE"""),"")</f>
        <v/>
      </c>
      <c r="F498" s="189" t="str">
        <f ca="1">IFERROR(__xludf.DUMMYFUNCTION("""COMPUTED_VALUE"""),"")</f>
        <v/>
      </c>
      <c r="G498" s="189" t="str">
        <f ca="1">IFERROR(__xludf.DUMMYFUNCTION("""COMPUTED_VALUE"""),"")</f>
        <v/>
      </c>
      <c r="H498" s="189" t="str">
        <f ca="1">IFERROR(__xludf.DUMMYFUNCTION("""COMPUTED_VALUE"""),"")</f>
        <v/>
      </c>
      <c r="I498" s="120" t="str">
        <f ca="1">IFERROR(__xludf.DUMMYFUNCTION("""COMPUTED_VALUE"""),"")</f>
        <v/>
      </c>
      <c r="J498" s="189" t="str">
        <f ca="1">IFERROR(__xludf.DUMMYFUNCTION("""COMPUTED_VALUE"""),"")</f>
        <v/>
      </c>
      <c r="K498" s="189" t="str">
        <f ca="1">IFERROR(__xludf.DUMMYFUNCTION("""COMPUTED_VALUE"""),"")</f>
        <v/>
      </c>
      <c r="L498" s="189" t="str">
        <f ca="1">IFERROR(__xludf.DUMMYFUNCTION("""COMPUTED_VALUE"""),"")</f>
        <v/>
      </c>
      <c r="M498" s="189" t="str">
        <f ca="1">IFERROR(__xludf.DUMMYFUNCTION("""COMPUTED_VALUE"""),"")</f>
        <v/>
      </c>
      <c r="N498" s="189" t="str">
        <f ca="1">IFERROR(__xludf.DUMMYFUNCTION("""COMPUTED_VALUE"""),"")</f>
        <v/>
      </c>
      <c r="O498" s="189" t="str">
        <f ca="1">IFERROR(__xludf.DUMMYFUNCTION("""COMPUTED_VALUE"""),"")</f>
        <v/>
      </c>
      <c r="P498" s="189" t="str">
        <f ca="1">IFERROR(__xludf.DUMMYFUNCTION("""COMPUTED_VALUE"""),"")</f>
        <v/>
      </c>
      <c r="Q498" s="189" t="str">
        <f ca="1">IFERROR(__xludf.DUMMYFUNCTION("""COMPUTED_VALUE"""),"")</f>
        <v/>
      </c>
      <c r="R498" s="189" t="str">
        <f ca="1">IFERROR(__xludf.DUMMYFUNCTION("""COMPUTED_VALUE"""),"")</f>
        <v/>
      </c>
      <c r="S498" s="189" t="str">
        <f ca="1">IFERROR(__xludf.DUMMYFUNCTION("""COMPUTED_VALUE"""),"")</f>
        <v/>
      </c>
      <c r="T498" s="189" t="str">
        <f ca="1">IFERROR(__xludf.DUMMYFUNCTION("""COMPUTED_VALUE"""),"")</f>
        <v/>
      </c>
      <c r="U498" s="189" t="str">
        <f ca="1">IFERROR(__xludf.DUMMYFUNCTION("""COMPUTED_VALUE"""),"")</f>
        <v/>
      </c>
      <c r="V498" s="189" t="str">
        <f ca="1">IFERROR(__xludf.DUMMYFUNCTION("""COMPUTED_VALUE"""),"")</f>
        <v/>
      </c>
      <c r="W498" s="189" t="str">
        <f ca="1">IFERROR(__xludf.DUMMYFUNCTION("""COMPUTED_VALUE"""),"")</f>
        <v/>
      </c>
      <c r="X498" s="189" t="str">
        <f ca="1">IFERROR(__xludf.DUMMYFUNCTION("""COMPUTED_VALUE"""),"")</f>
        <v/>
      </c>
      <c r="Y498" s="189" t="str">
        <f ca="1">IFERROR(__xludf.DUMMYFUNCTION("""COMPUTED_VALUE"""),"")</f>
        <v/>
      </c>
      <c r="Z498" s="189"/>
    </row>
    <row r="499" spans="1:26" ht="12.75">
      <c r="A499" s="189" t="str">
        <f ca="1">IFERROR(__xludf.DUMMYFUNCTION("""COMPUTED_VALUE"""),"")</f>
        <v/>
      </c>
      <c r="B499" s="189" t="str">
        <f ca="1">IFERROR(__xludf.DUMMYFUNCTION("""COMPUTED_VALUE"""),"")</f>
        <v/>
      </c>
      <c r="C499" s="189" t="str">
        <f ca="1">IFERROR(__xludf.DUMMYFUNCTION("""COMPUTED_VALUE"""),"")</f>
        <v/>
      </c>
      <c r="D499" s="189" t="str">
        <f ca="1">IFERROR(__xludf.DUMMYFUNCTION("""COMPUTED_VALUE"""),"")</f>
        <v/>
      </c>
      <c r="E499" s="189" t="str">
        <f ca="1">IFERROR(__xludf.DUMMYFUNCTION("""COMPUTED_VALUE"""),"")</f>
        <v/>
      </c>
      <c r="F499" s="189" t="str">
        <f ca="1">IFERROR(__xludf.DUMMYFUNCTION("""COMPUTED_VALUE"""),"")</f>
        <v/>
      </c>
      <c r="G499" s="189" t="str">
        <f ca="1">IFERROR(__xludf.DUMMYFUNCTION("""COMPUTED_VALUE"""),"")</f>
        <v/>
      </c>
      <c r="H499" s="189" t="str">
        <f ca="1">IFERROR(__xludf.DUMMYFUNCTION("""COMPUTED_VALUE"""),"")</f>
        <v/>
      </c>
      <c r="I499" s="120" t="str">
        <f ca="1">IFERROR(__xludf.DUMMYFUNCTION("""COMPUTED_VALUE"""),"")</f>
        <v/>
      </c>
      <c r="J499" s="189" t="str">
        <f ca="1">IFERROR(__xludf.DUMMYFUNCTION("""COMPUTED_VALUE"""),"")</f>
        <v/>
      </c>
      <c r="K499" s="189" t="str">
        <f ca="1">IFERROR(__xludf.DUMMYFUNCTION("""COMPUTED_VALUE"""),"")</f>
        <v/>
      </c>
      <c r="L499" s="189" t="str">
        <f ca="1">IFERROR(__xludf.DUMMYFUNCTION("""COMPUTED_VALUE"""),"")</f>
        <v/>
      </c>
      <c r="M499" s="189" t="str">
        <f ca="1">IFERROR(__xludf.DUMMYFUNCTION("""COMPUTED_VALUE"""),"")</f>
        <v/>
      </c>
      <c r="N499" s="189" t="str">
        <f ca="1">IFERROR(__xludf.DUMMYFUNCTION("""COMPUTED_VALUE"""),"")</f>
        <v/>
      </c>
      <c r="O499" s="189" t="str">
        <f ca="1">IFERROR(__xludf.DUMMYFUNCTION("""COMPUTED_VALUE"""),"")</f>
        <v/>
      </c>
      <c r="P499" s="189" t="str">
        <f ca="1">IFERROR(__xludf.DUMMYFUNCTION("""COMPUTED_VALUE"""),"")</f>
        <v/>
      </c>
      <c r="Q499" s="189" t="str">
        <f ca="1">IFERROR(__xludf.DUMMYFUNCTION("""COMPUTED_VALUE"""),"")</f>
        <v/>
      </c>
      <c r="R499" s="189" t="str">
        <f ca="1">IFERROR(__xludf.DUMMYFUNCTION("""COMPUTED_VALUE"""),"")</f>
        <v/>
      </c>
      <c r="S499" s="189" t="str">
        <f ca="1">IFERROR(__xludf.DUMMYFUNCTION("""COMPUTED_VALUE"""),"")</f>
        <v/>
      </c>
      <c r="T499" s="189" t="str">
        <f ca="1">IFERROR(__xludf.DUMMYFUNCTION("""COMPUTED_VALUE"""),"")</f>
        <v/>
      </c>
      <c r="U499" s="189" t="str">
        <f ca="1">IFERROR(__xludf.DUMMYFUNCTION("""COMPUTED_VALUE"""),"")</f>
        <v/>
      </c>
      <c r="V499" s="189" t="str">
        <f ca="1">IFERROR(__xludf.DUMMYFUNCTION("""COMPUTED_VALUE"""),"")</f>
        <v/>
      </c>
      <c r="W499" s="189" t="str">
        <f ca="1">IFERROR(__xludf.DUMMYFUNCTION("""COMPUTED_VALUE"""),"")</f>
        <v/>
      </c>
      <c r="X499" s="189" t="str">
        <f ca="1">IFERROR(__xludf.DUMMYFUNCTION("""COMPUTED_VALUE"""),"")</f>
        <v/>
      </c>
      <c r="Y499" s="189" t="str">
        <f ca="1">IFERROR(__xludf.DUMMYFUNCTION("""COMPUTED_VALUE"""),"")</f>
        <v/>
      </c>
      <c r="Z499" s="189"/>
    </row>
    <row r="500" spans="1:26" ht="12.75">
      <c r="A500" s="189" t="str">
        <f ca="1">IFERROR(__xludf.DUMMYFUNCTION("""COMPUTED_VALUE"""),"")</f>
        <v/>
      </c>
      <c r="B500" s="189" t="str">
        <f ca="1">IFERROR(__xludf.DUMMYFUNCTION("""COMPUTED_VALUE"""),"")</f>
        <v/>
      </c>
      <c r="C500" s="189" t="str">
        <f ca="1">IFERROR(__xludf.DUMMYFUNCTION("""COMPUTED_VALUE"""),"")</f>
        <v/>
      </c>
      <c r="D500" s="189" t="str">
        <f ca="1">IFERROR(__xludf.DUMMYFUNCTION("""COMPUTED_VALUE"""),"")</f>
        <v/>
      </c>
      <c r="E500" s="189" t="str">
        <f ca="1">IFERROR(__xludf.DUMMYFUNCTION("""COMPUTED_VALUE"""),"")</f>
        <v/>
      </c>
      <c r="F500" s="189" t="str">
        <f ca="1">IFERROR(__xludf.DUMMYFUNCTION("""COMPUTED_VALUE"""),"")</f>
        <v/>
      </c>
      <c r="G500" s="189" t="str">
        <f ca="1">IFERROR(__xludf.DUMMYFUNCTION("""COMPUTED_VALUE"""),"")</f>
        <v/>
      </c>
      <c r="H500" s="189" t="str">
        <f ca="1">IFERROR(__xludf.DUMMYFUNCTION("""COMPUTED_VALUE"""),"")</f>
        <v/>
      </c>
      <c r="I500" s="120" t="str">
        <f ca="1">IFERROR(__xludf.DUMMYFUNCTION("""COMPUTED_VALUE"""),"")</f>
        <v/>
      </c>
      <c r="J500" s="189" t="str">
        <f ca="1">IFERROR(__xludf.DUMMYFUNCTION("""COMPUTED_VALUE"""),"")</f>
        <v/>
      </c>
      <c r="K500" s="189" t="str">
        <f ca="1">IFERROR(__xludf.DUMMYFUNCTION("""COMPUTED_VALUE"""),"")</f>
        <v/>
      </c>
      <c r="L500" s="189" t="str">
        <f ca="1">IFERROR(__xludf.DUMMYFUNCTION("""COMPUTED_VALUE"""),"")</f>
        <v/>
      </c>
      <c r="M500" s="189" t="str">
        <f ca="1">IFERROR(__xludf.DUMMYFUNCTION("""COMPUTED_VALUE"""),"")</f>
        <v/>
      </c>
      <c r="N500" s="189" t="str">
        <f ca="1">IFERROR(__xludf.DUMMYFUNCTION("""COMPUTED_VALUE"""),"")</f>
        <v/>
      </c>
      <c r="O500" s="189" t="str">
        <f ca="1">IFERROR(__xludf.DUMMYFUNCTION("""COMPUTED_VALUE"""),"")</f>
        <v/>
      </c>
      <c r="P500" s="189" t="str">
        <f ca="1">IFERROR(__xludf.DUMMYFUNCTION("""COMPUTED_VALUE"""),"")</f>
        <v/>
      </c>
      <c r="Q500" s="189" t="str">
        <f ca="1">IFERROR(__xludf.DUMMYFUNCTION("""COMPUTED_VALUE"""),"")</f>
        <v/>
      </c>
      <c r="R500" s="189" t="str">
        <f ca="1">IFERROR(__xludf.DUMMYFUNCTION("""COMPUTED_VALUE"""),"")</f>
        <v/>
      </c>
      <c r="S500" s="189" t="str">
        <f ca="1">IFERROR(__xludf.DUMMYFUNCTION("""COMPUTED_VALUE"""),"")</f>
        <v/>
      </c>
      <c r="T500" s="189" t="str">
        <f ca="1">IFERROR(__xludf.DUMMYFUNCTION("""COMPUTED_VALUE"""),"")</f>
        <v/>
      </c>
      <c r="U500" s="189" t="str">
        <f ca="1">IFERROR(__xludf.DUMMYFUNCTION("""COMPUTED_VALUE"""),"")</f>
        <v/>
      </c>
      <c r="V500" s="189" t="str">
        <f ca="1">IFERROR(__xludf.DUMMYFUNCTION("""COMPUTED_VALUE"""),"")</f>
        <v/>
      </c>
      <c r="W500" s="189" t="str">
        <f ca="1">IFERROR(__xludf.DUMMYFUNCTION("""COMPUTED_VALUE"""),"")</f>
        <v/>
      </c>
      <c r="X500" s="189" t="str">
        <f ca="1">IFERROR(__xludf.DUMMYFUNCTION("""COMPUTED_VALUE"""),"")</f>
        <v/>
      </c>
      <c r="Y500" s="189" t="str">
        <f ca="1">IFERROR(__xludf.DUMMYFUNCTION("""COMPUTED_VALUE"""),"")</f>
        <v/>
      </c>
      <c r="Z500" s="189"/>
    </row>
    <row r="501" spans="1:26" ht="12.75">
      <c r="A501" s="189" t="str">
        <f ca="1">IFERROR(__xludf.DUMMYFUNCTION("""COMPUTED_VALUE"""),"")</f>
        <v/>
      </c>
      <c r="B501" s="189" t="str">
        <f ca="1">IFERROR(__xludf.DUMMYFUNCTION("""COMPUTED_VALUE"""),"")</f>
        <v/>
      </c>
      <c r="C501" s="189" t="str">
        <f ca="1">IFERROR(__xludf.DUMMYFUNCTION("""COMPUTED_VALUE"""),"")</f>
        <v/>
      </c>
      <c r="D501" s="189" t="str">
        <f ca="1">IFERROR(__xludf.DUMMYFUNCTION("""COMPUTED_VALUE"""),"")</f>
        <v/>
      </c>
      <c r="E501" s="189" t="str">
        <f ca="1">IFERROR(__xludf.DUMMYFUNCTION("""COMPUTED_VALUE"""),"")</f>
        <v/>
      </c>
      <c r="F501" s="189" t="str">
        <f ca="1">IFERROR(__xludf.DUMMYFUNCTION("""COMPUTED_VALUE"""),"")</f>
        <v/>
      </c>
      <c r="G501" s="189" t="str">
        <f ca="1">IFERROR(__xludf.DUMMYFUNCTION("""COMPUTED_VALUE"""),"")</f>
        <v/>
      </c>
      <c r="H501" s="189" t="str">
        <f ca="1">IFERROR(__xludf.DUMMYFUNCTION("""COMPUTED_VALUE"""),"")</f>
        <v/>
      </c>
      <c r="I501" s="120" t="str">
        <f ca="1">IFERROR(__xludf.DUMMYFUNCTION("""COMPUTED_VALUE"""),"")</f>
        <v/>
      </c>
      <c r="J501" s="189" t="str">
        <f ca="1">IFERROR(__xludf.DUMMYFUNCTION("""COMPUTED_VALUE"""),"")</f>
        <v/>
      </c>
      <c r="K501" s="189" t="str">
        <f ca="1">IFERROR(__xludf.DUMMYFUNCTION("""COMPUTED_VALUE"""),"")</f>
        <v/>
      </c>
      <c r="L501" s="189" t="str">
        <f ca="1">IFERROR(__xludf.DUMMYFUNCTION("""COMPUTED_VALUE"""),"")</f>
        <v/>
      </c>
      <c r="M501" s="189" t="str">
        <f ca="1">IFERROR(__xludf.DUMMYFUNCTION("""COMPUTED_VALUE"""),"")</f>
        <v/>
      </c>
      <c r="N501" s="189" t="str">
        <f ca="1">IFERROR(__xludf.DUMMYFUNCTION("""COMPUTED_VALUE"""),"")</f>
        <v/>
      </c>
      <c r="O501" s="189" t="str">
        <f ca="1">IFERROR(__xludf.DUMMYFUNCTION("""COMPUTED_VALUE"""),"")</f>
        <v/>
      </c>
      <c r="P501" s="189" t="str">
        <f ca="1">IFERROR(__xludf.DUMMYFUNCTION("""COMPUTED_VALUE"""),"")</f>
        <v/>
      </c>
      <c r="Q501" s="189" t="str">
        <f ca="1">IFERROR(__xludf.DUMMYFUNCTION("""COMPUTED_VALUE"""),"")</f>
        <v/>
      </c>
      <c r="R501" s="189" t="str">
        <f ca="1">IFERROR(__xludf.DUMMYFUNCTION("""COMPUTED_VALUE"""),"")</f>
        <v/>
      </c>
      <c r="S501" s="189" t="str">
        <f ca="1">IFERROR(__xludf.DUMMYFUNCTION("""COMPUTED_VALUE"""),"")</f>
        <v/>
      </c>
      <c r="T501" s="189" t="str">
        <f ca="1">IFERROR(__xludf.DUMMYFUNCTION("""COMPUTED_VALUE"""),"")</f>
        <v/>
      </c>
      <c r="U501" s="189" t="str">
        <f ca="1">IFERROR(__xludf.DUMMYFUNCTION("""COMPUTED_VALUE"""),"")</f>
        <v/>
      </c>
      <c r="V501" s="189" t="str">
        <f ca="1">IFERROR(__xludf.DUMMYFUNCTION("""COMPUTED_VALUE"""),"")</f>
        <v/>
      </c>
      <c r="W501" s="189" t="str">
        <f ca="1">IFERROR(__xludf.DUMMYFUNCTION("""COMPUTED_VALUE"""),"")</f>
        <v/>
      </c>
      <c r="X501" s="189" t="str">
        <f ca="1">IFERROR(__xludf.DUMMYFUNCTION("""COMPUTED_VALUE"""),"")</f>
        <v/>
      </c>
      <c r="Y501" s="189" t="str">
        <f ca="1">IFERROR(__xludf.DUMMYFUNCTION("""COMPUTED_VALUE"""),"")</f>
        <v/>
      </c>
      <c r="Z501" s="189"/>
    </row>
    <row r="502" spans="1:26" ht="12.75">
      <c r="A502" s="189" t="str">
        <f ca="1">IFERROR(__xludf.DUMMYFUNCTION("""COMPUTED_VALUE"""),"")</f>
        <v/>
      </c>
      <c r="B502" s="189" t="str">
        <f ca="1">IFERROR(__xludf.DUMMYFUNCTION("""COMPUTED_VALUE"""),"")</f>
        <v/>
      </c>
      <c r="C502" s="189" t="str">
        <f ca="1">IFERROR(__xludf.DUMMYFUNCTION("""COMPUTED_VALUE"""),"")</f>
        <v/>
      </c>
      <c r="D502" s="189" t="str">
        <f ca="1">IFERROR(__xludf.DUMMYFUNCTION("""COMPUTED_VALUE"""),"")</f>
        <v/>
      </c>
      <c r="E502" s="189" t="str">
        <f ca="1">IFERROR(__xludf.DUMMYFUNCTION("""COMPUTED_VALUE"""),"")</f>
        <v/>
      </c>
      <c r="F502" s="189" t="str">
        <f ca="1">IFERROR(__xludf.DUMMYFUNCTION("""COMPUTED_VALUE"""),"")</f>
        <v/>
      </c>
      <c r="G502" s="189" t="str">
        <f ca="1">IFERROR(__xludf.DUMMYFUNCTION("""COMPUTED_VALUE"""),"")</f>
        <v/>
      </c>
      <c r="H502" s="189" t="str">
        <f ca="1">IFERROR(__xludf.DUMMYFUNCTION("""COMPUTED_VALUE"""),"")</f>
        <v/>
      </c>
      <c r="I502" s="120" t="str">
        <f ca="1">IFERROR(__xludf.DUMMYFUNCTION("""COMPUTED_VALUE"""),"")</f>
        <v/>
      </c>
      <c r="J502" s="189" t="str">
        <f ca="1">IFERROR(__xludf.DUMMYFUNCTION("""COMPUTED_VALUE"""),"")</f>
        <v/>
      </c>
      <c r="K502" s="189" t="str">
        <f ca="1">IFERROR(__xludf.DUMMYFUNCTION("""COMPUTED_VALUE"""),"")</f>
        <v/>
      </c>
      <c r="L502" s="189" t="str">
        <f ca="1">IFERROR(__xludf.DUMMYFUNCTION("""COMPUTED_VALUE"""),"")</f>
        <v/>
      </c>
      <c r="M502" s="189" t="str">
        <f ca="1">IFERROR(__xludf.DUMMYFUNCTION("""COMPUTED_VALUE"""),"")</f>
        <v/>
      </c>
      <c r="N502" s="189" t="str">
        <f ca="1">IFERROR(__xludf.DUMMYFUNCTION("""COMPUTED_VALUE"""),"")</f>
        <v/>
      </c>
      <c r="O502" s="189" t="str">
        <f ca="1">IFERROR(__xludf.DUMMYFUNCTION("""COMPUTED_VALUE"""),"")</f>
        <v/>
      </c>
      <c r="P502" s="189" t="str">
        <f ca="1">IFERROR(__xludf.DUMMYFUNCTION("""COMPUTED_VALUE"""),"")</f>
        <v/>
      </c>
      <c r="Q502" s="189" t="str">
        <f ca="1">IFERROR(__xludf.DUMMYFUNCTION("""COMPUTED_VALUE"""),"")</f>
        <v/>
      </c>
      <c r="R502" s="189" t="str">
        <f ca="1">IFERROR(__xludf.DUMMYFUNCTION("""COMPUTED_VALUE"""),"")</f>
        <v/>
      </c>
      <c r="S502" s="189" t="str">
        <f ca="1">IFERROR(__xludf.DUMMYFUNCTION("""COMPUTED_VALUE"""),"")</f>
        <v/>
      </c>
      <c r="T502" s="189" t="str">
        <f ca="1">IFERROR(__xludf.DUMMYFUNCTION("""COMPUTED_VALUE"""),"")</f>
        <v/>
      </c>
      <c r="U502" s="189" t="str">
        <f ca="1">IFERROR(__xludf.DUMMYFUNCTION("""COMPUTED_VALUE"""),"")</f>
        <v/>
      </c>
      <c r="V502" s="189" t="str">
        <f ca="1">IFERROR(__xludf.DUMMYFUNCTION("""COMPUTED_VALUE"""),"")</f>
        <v/>
      </c>
      <c r="W502" s="189" t="str">
        <f ca="1">IFERROR(__xludf.DUMMYFUNCTION("""COMPUTED_VALUE"""),"")</f>
        <v/>
      </c>
      <c r="X502" s="189" t="str">
        <f ca="1">IFERROR(__xludf.DUMMYFUNCTION("""COMPUTED_VALUE"""),"")</f>
        <v/>
      </c>
      <c r="Y502" s="189" t="str">
        <f ca="1">IFERROR(__xludf.DUMMYFUNCTION("""COMPUTED_VALUE"""),"")</f>
        <v/>
      </c>
      <c r="Z502" s="189"/>
    </row>
    <row r="503" spans="1:26" ht="12.75">
      <c r="A503" s="189" t="str">
        <f ca="1">IFERROR(__xludf.DUMMYFUNCTION("""COMPUTED_VALUE"""),"")</f>
        <v/>
      </c>
      <c r="B503" s="189" t="str">
        <f ca="1">IFERROR(__xludf.DUMMYFUNCTION("""COMPUTED_VALUE"""),"")</f>
        <v/>
      </c>
      <c r="C503" s="189" t="str">
        <f ca="1">IFERROR(__xludf.DUMMYFUNCTION("""COMPUTED_VALUE"""),"")</f>
        <v/>
      </c>
      <c r="D503" s="189" t="str">
        <f ca="1">IFERROR(__xludf.DUMMYFUNCTION("""COMPUTED_VALUE"""),"")</f>
        <v/>
      </c>
      <c r="E503" s="189" t="str">
        <f ca="1">IFERROR(__xludf.DUMMYFUNCTION("""COMPUTED_VALUE"""),"")</f>
        <v/>
      </c>
      <c r="F503" s="189" t="str">
        <f ca="1">IFERROR(__xludf.DUMMYFUNCTION("""COMPUTED_VALUE"""),"")</f>
        <v/>
      </c>
      <c r="G503" s="189" t="str">
        <f ca="1">IFERROR(__xludf.DUMMYFUNCTION("""COMPUTED_VALUE"""),"")</f>
        <v/>
      </c>
      <c r="H503" s="189" t="str">
        <f ca="1">IFERROR(__xludf.DUMMYFUNCTION("""COMPUTED_VALUE"""),"")</f>
        <v/>
      </c>
      <c r="I503" s="120" t="str">
        <f ca="1">IFERROR(__xludf.DUMMYFUNCTION("""COMPUTED_VALUE"""),"")</f>
        <v/>
      </c>
      <c r="J503" s="189" t="str">
        <f ca="1">IFERROR(__xludf.DUMMYFUNCTION("""COMPUTED_VALUE"""),"")</f>
        <v/>
      </c>
      <c r="K503" s="189" t="str">
        <f ca="1">IFERROR(__xludf.DUMMYFUNCTION("""COMPUTED_VALUE"""),"")</f>
        <v/>
      </c>
      <c r="L503" s="189" t="str">
        <f ca="1">IFERROR(__xludf.DUMMYFUNCTION("""COMPUTED_VALUE"""),"")</f>
        <v/>
      </c>
      <c r="M503" s="189" t="str">
        <f ca="1">IFERROR(__xludf.DUMMYFUNCTION("""COMPUTED_VALUE"""),"")</f>
        <v/>
      </c>
      <c r="N503" s="189" t="str">
        <f ca="1">IFERROR(__xludf.DUMMYFUNCTION("""COMPUTED_VALUE"""),"")</f>
        <v/>
      </c>
      <c r="O503" s="189" t="str">
        <f ca="1">IFERROR(__xludf.DUMMYFUNCTION("""COMPUTED_VALUE"""),"")</f>
        <v/>
      </c>
      <c r="P503" s="189" t="str">
        <f ca="1">IFERROR(__xludf.DUMMYFUNCTION("""COMPUTED_VALUE"""),"")</f>
        <v/>
      </c>
      <c r="Q503" s="189" t="str">
        <f ca="1">IFERROR(__xludf.DUMMYFUNCTION("""COMPUTED_VALUE"""),"")</f>
        <v/>
      </c>
      <c r="R503" s="189" t="str">
        <f ca="1">IFERROR(__xludf.DUMMYFUNCTION("""COMPUTED_VALUE"""),"")</f>
        <v/>
      </c>
      <c r="S503" s="189" t="str">
        <f ca="1">IFERROR(__xludf.DUMMYFUNCTION("""COMPUTED_VALUE"""),"")</f>
        <v/>
      </c>
      <c r="T503" s="189" t="str">
        <f ca="1">IFERROR(__xludf.DUMMYFUNCTION("""COMPUTED_VALUE"""),"")</f>
        <v/>
      </c>
      <c r="U503" s="189" t="str">
        <f ca="1">IFERROR(__xludf.DUMMYFUNCTION("""COMPUTED_VALUE"""),"")</f>
        <v/>
      </c>
      <c r="V503" s="189" t="str">
        <f ca="1">IFERROR(__xludf.DUMMYFUNCTION("""COMPUTED_VALUE"""),"")</f>
        <v/>
      </c>
      <c r="W503" s="189" t="str">
        <f ca="1">IFERROR(__xludf.DUMMYFUNCTION("""COMPUTED_VALUE"""),"")</f>
        <v/>
      </c>
      <c r="X503" s="189" t="str">
        <f ca="1">IFERROR(__xludf.DUMMYFUNCTION("""COMPUTED_VALUE"""),"")</f>
        <v/>
      </c>
      <c r="Y503" s="189" t="str">
        <f ca="1">IFERROR(__xludf.DUMMYFUNCTION("""COMPUTED_VALUE"""),"")</f>
        <v/>
      </c>
      <c r="Z503" s="189"/>
    </row>
    <row r="504" spans="1:26" ht="12.75">
      <c r="A504" s="189" t="str">
        <f ca="1">IFERROR(__xludf.DUMMYFUNCTION("""COMPUTED_VALUE"""),"")</f>
        <v/>
      </c>
      <c r="B504" s="189" t="str">
        <f ca="1">IFERROR(__xludf.DUMMYFUNCTION("""COMPUTED_VALUE"""),"")</f>
        <v/>
      </c>
      <c r="C504" s="189" t="str">
        <f ca="1">IFERROR(__xludf.DUMMYFUNCTION("""COMPUTED_VALUE"""),"")</f>
        <v/>
      </c>
      <c r="D504" s="189" t="str">
        <f ca="1">IFERROR(__xludf.DUMMYFUNCTION("""COMPUTED_VALUE"""),"")</f>
        <v/>
      </c>
      <c r="E504" s="189" t="str">
        <f ca="1">IFERROR(__xludf.DUMMYFUNCTION("""COMPUTED_VALUE"""),"")</f>
        <v/>
      </c>
      <c r="F504" s="189" t="str">
        <f ca="1">IFERROR(__xludf.DUMMYFUNCTION("""COMPUTED_VALUE"""),"")</f>
        <v/>
      </c>
      <c r="G504" s="189" t="str">
        <f ca="1">IFERROR(__xludf.DUMMYFUNCTION("""COMPUTED_VALUE"""),"")</f>
        <v/>
      </c>
      <c r="H504" s="189" t="str">
        <f ca="1">IFERROR(__xludf.DUMMYFUNCTION("""COMPUTED_VALUE"""),"")</f>
        <v/>
      </c>
      <c r="I504" s="120" t="str">
        <f ca="1">IFERROR(__xludf.DUMMYFUNCTION("""COMPUTED_VALUE"""),"")</f>
        <v/>
      </c>
      <c r="J504" s="189" t="str">
        <f ca="1">IFERROR(__xludf.DUMMYFUNCTION("""COMPUTED_VALUE"""),"")</f>
        <v/>
      </c>
      <c r="K504" s="189" t="str">
        <f ca="1">IFERROR(__xludf.DUMMYFUNCTION("""COMPUTED_VALUE"""),"")</f>
        <v/>
      </c>
      <c r="L504" s="189" t="str">
        <f ca="1">IFERROR(__xludf.DUMMYFUNCTION("""COMPUTED_VALUE"""),"")</f>
        <v/>
      </c>
      <c r="M504" s="189" t="str">
        <f ca="1">IFERROR(__xludf.DUMMYFUNCTION("""COMPUTED_VALUE"""),"")</f>
        <v/>
      </c>
      <c r="N504" s="189" t="str">
        <f ca="1">IFERROR(__xludf.DUMMYFUNCTION("""COMPUTED_VALUE"""),"")</f>
        <v/>
      </c>
      <c r="O504" s="189" t="str">
        <f ca="1">IFERROR(__xludf.DUMMYFUNCTION("""COMPUTED_VALUE"""),"")</f>
        <v/>
      </c>
      <c r="P504" s="189" t="str">
        <f ca="1">IFERROR(__xludf.DUMMYFUNCTION("""COMPUTED_VALUE"""),"")</f>
        <v/>
      </c>
      <c r="Q504" s="189" t="str">
        <f ca="1">IFERROR(__xludf.DUMMYFUNCTION("""COMPUTED_VALUE"""),"")</f>
        <v/>
      </c>
      <c r="R504" s="189" t="str">
        <f ca="1">IFERROR(__xludf.DUMMYFUNCTION("""COMPUTED_VALUE"""),"")</f>
        <v/>
      </c>
      <c r="S504" s="189" t="str">
        <f ca="1">IFERROR(__xludf.DUMMYFUNCTION("""COMPUTED_VALUE"""),"")</f>
        <v/>
      </c>
      <c r="T504" s="189" t="str">
        <f ca="1">IFERROR(__xludf.DUMMYFUNCTION("""COMPUTED_VALUE"""),"")</f>
        <v/>
      </c>
      <c r="U504" s="189" t="str">
        <f ca="1">IFERROR(__xludf.DUMMYFUNCTION("""COMPUTED_VALUE"""),"")</f>
        <v/>
      </c>
      <c r="V504" s="189" t="str">
        <f ca="1">IFERROR(__xludf.DUMMYFUNCTION("""COMPUTED_VALUE"""),"")</f>
        <v/>
      </c>
      <c r="W504" s="189" t="str">
        <f ca="1">IFERROR(__xludf.DUMMYFUNCTION("""COMPUTED_VALUE"""),"")</f>
        <v/>
      </c>
      <c r="X504" s="189" t="str">
        <f ca="1">IFERROR(__xludf.DUMMYFUNCTION("""COMPUTED_VALUE"""),"")</f>
        <v/>
      </c>
      <c r="Y504" s="189" t="str">
        <f ca="1">IFERROR(__xludf.DUMMYFUNCTION("""COMPUTED_VALUE"""),"")</f>
        <v/>
      </c>
      <c r="Z504" s="189"/>
    </row>
    <row r="505" spans="1:26" ht="12.75">
      <c r="A505" s="189" t="str">
        <f ca="1">IFERROR(__xludf.DUMMYFUNCTION("""COMPUTED_VALUE"""),"")</f>
        <v/>
      </c>
      <c r="B505" s="189" t="str">
        <f ca="1">IFERROR(__xludf.DUMMYFUNCTION("""COMPUTED_VALUE"""),"")</f>
        <v/>
      </c>
      <c r="C505" s="189" t="str">
        <f ca="1">IFERROR(__xludf.DUMMYFUNCTION("""COMPUTED_VALUE"""),"")</f>
        <v/>
      </c>
      <c r="D505" s="189" t="str">
        <f ca="1">IFERROR(__xludf.DUMMYFUNCTION("""COMPUTED_VALUE"""),"")</f>
        <v/>
      </c>
      <c r="E505" s="189" t="str">
        <f ca="1">IFERROR(__xludf.DUMMYFUNCTION("""COMPUTED_VALUE"""),"")</f>
        <v/>
      </c>
      <c r="F505" s="189" t="str">
        <f ca="1">IFERROR(__xludf.DUMMYFUNCTION("""COMPUTED_VALUE"""),"")</f>
        <v/>
      </c>
      <c r="G505" s="189" t="str">
        <f ca="1">IFERROR(__xludf.DUMMYFUNCTION("""COMPUTED_VALUE"""),"")</f>
        <v/>
      </c>
      <c r="H505" s="189" t="str">
        <f ca="1">IFERROR(__xludf.DUMMYFUNCTION("""COMPUTED_VALUE"""),"")</f>
        <v/>
      </c>
      <c r="I505" s="120" t="str">
        <f ca="1">IFERROR(__xludf.DUMMYFUNCTION("""COMPUTED_VALUE"""),"")</f>
        <v/>
      </c>
      <c r="J505" s="189" t="str">
        <f ca="1">IFERROR(__xludf.DUMMYFUNCTION("""COMPUTED_VALUE"""),"")</f>
        <v/>
      </c>
      <c r="K505" s="189" t="str">
        <f ca="1">IFERROR(__xludf.DUMMYFUNCTION("""COMPUTED_VALUE"""),"")</f>
        <v/>
      </c>
      <c r="L505" s="189" t="str">
        <f ca="1">IFERROR(__xludf.DUMMYFUNCTION("""COMPUTED_VALUE"""),"")</f>
        <v/>
      </c>
      <c r="M505" s="189" t="str">
        <f ca="1">IFERROR(__xludf.DUMMYFUNCTION("""COMPUTED_VALUE"""),"")</f>
        <v/>
      </c>
      <c r="N505" s="189" t="str">
        <f ca="1">IFERROR(__xludf.DUMMYFUNCTION("""COMPUTED_VALUE"""),"")</f>
        <v/>
      </c>
      <c r="O505" s="189" t="str">
        <f ca="1">IFERROR(__xludf.DUMMYFUNCTION("""COMPUTED_VALUE"""),"")</f>
        <v/>
      </c>
      <c r="P505" s="189" t="str">
        <f ca="1">IFERROR(__xludf.DUMMYFUNCTION("""COMPUTED_VALUE"""),"")</f>
        <v/>
      </c>
      <c r="Q505" s="189" t="str">
        <f ca="1">IFERROR(__xludf.DUMMYFUNCTION("""COMPUTED_VALUE"""),"")</f>
        <v/>
      </c>
      <c r="R505" s="189" t="str">
        <f ca="1">IFERROR(__xludf.DUMMYFUNCTION("""COMPUTED_VALUE"""),"")</f>
        <v/>
      </c>
      <c r="S505" s="189" t="str">
        <f ca="1">IFERROR(__xludf.DUMMYFUNCTION("""COMPUTED_VALUE"""),"")</f>
        <v/>
      </c>
      <c r="T505" s="189" t="str">
        <f ca="1">IFERROR(__xludf.DUMMYFUNCTION("""COMPUTED_VALUE"""),"")</f>
        <v/>
      </c>
      <c r="U505" s="189" t="str">
        <f ca="1">IFERROR(__xludf.DUMMYFUNCTION("""COMPUTED_VALUE"""),"")</f>
        <v/>
      </c>
      <c r="V505" s="189" t="str">
        <f ca="1">IFERROR(__xludf.DUMMYFUNCTION("""COMPUTED_VALUE"""),"")</f>
        <v/>
      </c>
      <c r="W505" s="189" t="str">
        <f ca="1">IFERROR(__xludf.DUMMYFUNCTION("""COMPUTED_VALUE"""),"")</f>
        <v/>
      </c>
      <c r="X505" s="189" t="str">
        <f ca="1">IFERROR(__xludf.DUMMYFUNCTION("""COMPUTED_VALUE"""),"")</f>
        <v/>
      </c>
      <c r="Y505" s="189" t="str">
        <f ca="1">IFERROR(__xludf.DUMMYFUNCTION("""COMPUTED_VALUE"""),"")</f>
        <v/>
      </c>
      <c r="Z505" s="189"/>
    </row>
    <row r="506" spans="1:26" ht="12.75">
      <c r="A506" s="189" t="str">
        <f ca="1">IFERROR(__xludf.DUMMYFUNCTION("""COMPUTED_VALUE"""),"")</f>
        <v/>
      </c>
      <c r="B506" s="189" t="str">
        <f ca="1">IFERROR(__xludf.DUMMYFUNCTION("""COMPUTED_VALUE"""),"")</f>
        <v/>
      </c>
      <c r="C506" s="189" t="str">
        <f ca="1">IFERROR(__xludf.DUMMYFUNCTION("""COMPUTED_VALUE"""),"")</f>
        <v/>
      </c>
      <c r="D506" s="189" t="str">
        <f ca="1">IFERROR(__xludf.DUMMYFUNCTION("""COMPUTED_VALUE"""),"")</f>
        <v/>
      </c>
      <c r="E506" s="189" t="str">
        <f ca="1">IFERROR(__xludf.DUMMYFUNCTION("""COMPUTED_VALUE"""),"")</f>
        <v/>
      </c>
      <c r="F506" s="189" t="str">
        <f ca="1">IFERROR(__xludf.DUMMYFUNCTION("""COMPUTED_VALUE"""),"")</f>
        <v/>
      </c>
      <c r="G506" s="189" t="str">
        <f ca="1">IFERROR(__xludf.DUMMYFUNCTION("""COMPUTED_VALUE"""),"")</f>
        <v/>
      </c>
      <c r="H506" s="189" t="str">
        <f ca="1">IFERROR(__xludf.DUMMYFUNCTION("""COMPUTED_VALUE"""),"")</f>
        <v/>
      </c>
      <c r="I506" s="120" t="str">
        <f ca="1">IFERROR(__xludf.DUMMYFUNCTION("""COMPUTED_VALUE"""),"")</f>
        <v/>
      </c>
      <c r="J506" s="189" t="str">
        <f ca="1">IFERROR(__xludf.DUMMYFUNCTION("""COMPUTED_VALUE"""),"")</f>
        <v/>
      </c>
      <c r="K506" s="189" t="str">
        <f ca="1">IFERROR(__xludf.DUMMYFUNCTION("""COMPUTED_VALUE"""),"")</f>
        <v/>
      </c>
      <c r="L506" s="189" t="str">
        <f ca="1">IFERROR(__xludf.DUMMYFUNCTION("""COMPUTED_VALUE"""),"")</f>
        <v/>
      </c>
      <c r="M506" s="189" t="str">
        <f ca="1">IFERROR(__xludf.DUMMYFUNCTION("""COMPUTED_VALUE"""),"")</f>
        <v/>
      </c>
      <c r="N506" s="189" t="str">
        <f ca="1">IFERROR(__xludf.DUMMYFUNCTION("""COMPUTED_VALUE"""),"")</f>
        <v/>
      </c>
      <c r="O506" s="189" t="str">
        <f ca="1">IFERROR(__xludf.DUMMYFUNCTION("""COMPUTED_VALUE"""),"")</f>
        <v/>
      </c>
      <c r="P506" s="189" t="str">
        <f ca="1">IFERROR(__xludf.DUMMYFUNCTION("""COMPUTED_VALUE"""),"")</f>
        <v/>
      </c>
      <c r="Q506" s="189" t="str">
        <f ca="1">IFERROR(__xludf.DUMMYFUNCTION("""COMPUTED_VALUE"""),"")</f>
        <v/>
      </c>
      <c r="R506" s="189" t="str">
        <f ca="1">IFERROR(__xludf.DUMMYFUNCTION("""COMPUTED_VALUE"""),"")</f>
        <v/>
      </c>
      <c r="S506" s="189" t="str">
        <f ca="1">IFERROR(__xludf.DUMMYFUNCTION("""COMPUTED_VALUE"""),"")</f>
        <v/>
      </c>
      <c r="T506" s="189" t="str">
        <f ca="1">IFERROR(__xludf.DUMMYFUNCTION("""COMPUTED_VALUE"""),"")</f>
        <v/>
      </c>
      <c r="U506" s="189" t="str">
        <f ca="1">IFERROR(__xludf.DUMMYFUNCTION("""COMPUTED_VALUE"""),"")</f>
        <v/>
      </c>
      <c r="V506" s="189" t="str">
        <f ca="1">IFERROR(__xludf.DUMMYFUNCTION("""COMPUTED_VALUE"""),"")</f>
        <v/>
      </c>
      <c r="W506" s="189" t="str">
        <f ca="1">IFERROR(__xludf.DUMMYFUNCTION("""COMPUTED_VALUE"""),"")</f>
        <v/>
      </c>
      <c r="X506" s="189" t="str">
        <f ca="1">IFERROR(__xludf.DUMMYFUNCTION("""COMPUTED_VALUE"""),"")</f>
        <v/>
      </c>
      <c r="Y506" s="189" t="str">
        <f ca="1">IFERROR(__xludf.DUMMYFUNCTION("""COMPUTED_VALUE"""),"")</f>
        <v/>
      </c>
      <c r="Z506" s="189"/>
    </row>
    <row r="507" spans="1:26" ht="12.75">
      <c r="A507" s="189" t="str">
        <f ca="1">IFERROR(__xludf.DUMMYFUNCTION("""COMPUTED_VALUE"""),"")</f>
        <v/>
      </c>
      <c r="B507" s="189" t="str">
        <f ca="1">IFERROR(__xludf.DUMMYFUNCTION("""COMPUTED_VALUE"""),"")</f>
        <v/>
      </c>
      <c r="C507" s="189" t="str">
        <f ca="1">IFERROR(__xludf.DUMMYFUNCTION("""COMPUTED_VALUE"""),"")</f>
        <v/>
      </c>
      <c r="D507" s="189" t="str">
        <f ca="1">IFERROR(__xludf.DUMMYFUNCTION("""COMPUTED_VALUE"""),"")</f>
        <v/>
      </c>
      <c r="E507" s="189" t="str">
        <f ca="1">IFERROR(__xludf.DUMMYFUNCTION("""COMPUTED_VALUE"""),"")</f>
        <v/>
      </c>
      <c r="F507" s="189" t="str">
        <f ca="1">IFERROR(__xludf.DUMMYFUNCTION("""COMPUTED_VALUE"""),"")</f>
        <v/>
      </c>
      <c r="G507" s="189" t="str">
        <f ca="1">IFERROR(__xludf.DUMMYFUNCTION("""COMPUTED_VALUE"""),"")</f>
        <v/>
      </c>
      <c r="H507" s="189" t="str">
        <f ca="1">IFERROR(__xludf.DUMMYFUNCTION("""COMPUTED_VALUE"""),"")</f>
        <v/>
      </c>
      <c r="I507" s="120" t="str">
        <f ca="1">IFERROR(__xludf.DUMMYFUNCTION("""COMPUTED_VALUE"""),"")</f>
        <v/>
      </c>
      <c r="J507" s="189" t="str">
        <f ca="1">IFERROR(__xludf.DUMMYFUNCTION("""COMPUTED_VALUE"""),"")</f>
        <v/>
      </c>
      <c r="K507" s="189" t="str">
        <f ca="1">IFERROR(__xludf.DUMMYFUNCTION("""COMPUTED_VALUE"""),"")</f>
        <v/>
      </c>
      <c r="L507" s="189" t="str">
        <f ca="1">IFERROR(__xludf.DUMMYFUNCTION("""COMPUTED_VALUE"""),"")</f>
        <v/>
      </c>
      <c r="M507" s="189" t="str">
        <f ca="1">IFERROR(__xludf.DUMMYFUNCTION("""COMPUTED_VALUE"""),"")</f>
        <v/>
      </c>
      <c r="N507" s="189" t="str">
        <f ca="1">IFERROR(__xludf.DUMMYFUNCTION("""COMPUTED_VALUE"""),"")</f>
        <v/>
      </c>
      <c r="O507" s="189" t="str">
        <f ca="1">IFERROR(__xludf.DUMMYFUNCTION("""COMPUTED_VALUE"""),"")</f>
        <v/>
      </c>
      <c r="P507" s="189" t="str">
        <f ca="1">IFERROR(__xludf.DUMMYFUNCTION("""COMPUTED_VALUE"""),"")</f>
        <v/>
      </c>
      <c r="Q507" s="189" t="str">
        <f ca="1">IFERROR(__xludf.DUMMYFUNCTION("""COMPUTED_VALUE"""),"")</f>
        <v/>
      </c>
      <c r="R507" s="189" t="str">
        <f ca="1">IFERROR(__xludf.DUMMYFUNCTION("""COMPUTED_VALUE"""),"")</f>
        <v/>
      </c>
      <c r="S507" s="189" t="str">
        <f ca="1">IFERROR(__xludf.DUMMYFUNCTION("""COMPUTED_VALUE"""),"")</f>
        <v/>
      </c>
      <c r="T507" s="189" t="str">
        <f ca="1">IFERROR(__xludf.DUMMYFUNCTION("""COMPUTED_VALUE"""),"")</f>
        <v/>
      </c>
      <c r="U507" s="189" t="str">
        <f ca="1">IFERROR(__xludf.DUMMYFUNCTION("""COMPUTED_VALUE"""),"")</f>
        <v/>
      </c>
      <c r="V507" s="189" t="str">
        <f ca="1">IFERROR(__xludf.DUMMYFUNCTION("""COMPUTED_VALUE"""),"")</f>
        <v/>
      </c>
      <c r="W507" s="189" t="str">
        <f ca="1">IFERROR(__xludf.DUMMYFUNCTION("""COMPUTED_VALUE"""),"")</f>
        <v/>
      </c>
      <c r="X507" s="189" t="str">
        <f ca="1">IFERROR(__xludf.DUMMYFUNCTION("""COMPUTED_VALUE"""),"")</f>
        <v/>
      </c>
      <c r="Y507" s="189" t="str">
        <f ca="1">IFERROR(__xludf.DUMMYFUNCTION("""COMPUTED_VALUE"""),"")</f>
        <v/>
      </c>
      <c r="Z507" s="189"/>
    </row>
    <row r="508" spans="1:26" ht="12.75">
      <c r="A508" s="189" t="str">
        <f ca="1">IFERROR(__xludf.DUMMYFUNCTION("""COMPUTED_VALUE"""),"")</f>
        <v/>
      </c>
      <c r="B508" s="189" t="str">
        <f ca="1">IFERROR(__xludf.DUMMYFUNCTION("""COMPUTED_VALUE"""),"")</f>
        <v/>
      </c>
      <c r="C508" s="189" t="str">
        <f ca="1">IFERROR(__xludf.DUMMYFUNCTION("""COMPUTED_VALUE"""),"")</f>
        <v/>
      </c>
      <c r="D508" s="189" t="str">
        <f ca="1">IFERROR(__xludf.DUMMYFUNCTION("""COMPUTED_VALUE"""),"")</f>
        <v/>
      </c>
      <c r="E508" s="189" t="str">
        <f ca="1">IFERROR(__xludf.DUMMYFUNCTION("""COMPUTED_VALUE"""),"")</f>
        <v/>
      </c>
      <c r="F508" s="189" t="str">
        <f ca="1">IFERROR(__xludf.DUMMYFUNCTION("""COMPUTED_VALUE"""),"")</f>
        <v/>
      </c>
      <c r="G508" s="189" t="str">
        <f ca="1">IFERROR(__xludf.DUMMYFUNCTION("""COMPUTED_VALUE"""),"")</f>
        <v/>
      </c>
      <c r="H508" s="189" t="str">
        <f ca="1">IFERROR(__xludf.DUMMYFUNCTION("""COMPUTED_VALUE"""),"")</f>
        <v/>
      </c>
      <c r="I508" s="120" t="str">
        <f ca="1">IFERROR(__xludf.DUMMYFUNCTION("""COMPUTED_VALUE"""),"")</f>
        <v/>
      </c>
      <c r="J508" s="189" t="str">
        <f ca="1">IFERROR(__xludf.DUMMYFUNCTION("""COMPUTED_VALUE"""),"")</f>
        <v/>
      </c>
      <c r="K508" s="189" t="str">
        <f ca="1">IFERROR(__xludf.DUMMYFUNCTION("""COMPUTED_VALUE"""),"")</f>
        <v/>
      </c>
      <c r="L508" s="189" t="str">
        <f ca="1">IFERROR(__xludf.DUMMYFUNCTION("""COMPUTED_VALUE"""),"")</f>
        <v/>
      </c>
      <c r="M508" s="189" t="str">
        <f ca="1">IFERROR(__xludf.DUMMYFUNCTION("""COMPUTED_VALUE"""),"")</f>
        <v/>
      </c>
      <c r="N508" s="189" t="str">
        <f ca="1">IFERROR(__xludf.DUMMYFUNCTION("""COMPUTED_VALUE"""),"")</f>
        <v/>
      </c>
      <c r="O508" s="189" t="str">
        <f ca="1">IFERROR(__xludf.DUMMYFUNCTION("""COMPUTED_VALUE"""),"")</f>
        <v/>
      </c>
      <c r="P508" s="189" t="str">
        <f ca="1">IFERROR(__xludf.DUMMYFUNCTION("""COMPUTED_VALUE"""),"")</f>
        <v/>
      </c>
      <c r="Q508" s="189" t="str">
        <f ca="1">IFERROR(__xludf.DUMMYFUNCTION("""COMPUTED_VALUE"""),"")</f>
        <v/>
      </c>
      <c r="R508" s="189" t="str">
        <f ca="1">IFERROR(__xludf.DUMMYFUNCTION("""COMPUTED_VALUE"""),"")</f>
        <v/>
      </c>
      <c r="S508" s="189" t="str">
        <f ca="1">IFERROR(__xludf.DUMMYFUNCTION("""COMPUTED_VALUE"""),"")</f>
        <v/>
      </c>
      <c r="T508" s="189" t="str">
        <f ca="1">IFERROR(__xludf.DUMMYFUNCTION("""COMPUTED_VALUE"""),"")</f>
        <v/>
      </c>
      <c r="U508" s="189" t="str">
        <f ca="1">IFERROR(__xludf.DUMMYFUNCTION("""COMPUTED_VALUE"""),"")</f>
        <v/>
      </c>
      <c r="V508" s="189" t="str">
        <f ca="1">IFERROR(__xludf.DUMMYFUNCTION("""COMPUTED_VALUE"""),"")</f>
        <v/>
      </c>
      <c r="W508" s="189" t="str">
        <f ca="1">IFERROR(__xludf.DUMMYFUNCTION("""COMPUTED_VALUE"""),"")</f>
        <v/>
      </c>
      <c r="X508" s="189" t="str">
        <f ca="1">IFERROR(__xludf.DUMMYFUNCTION("""COMPUTED_VALUE"""),"")</f>
        <v/>
      </c>
      <c r="Y508" s="189" t="str">
        <f ca="1">IFERROR(__xludf.DUMMYFUNCTION("""COMPUTED_VALUE"""),"")</f>
        <v/>
      </c>
      <c r="Z508" s="189"/>
    </row>
    <row r="509" spans="1:26" ht="12.75">
      <c r="A509" s="189" t="str">
        <f ca="1">IFERROR(__xludf.DUMMYFUNCTION("""COMPUTED_VALUE"""),"")</f>
        <v/>
      </c>
      <c r="B509" s="189" t="str">
        <f ca="1">IFERROR(__xludf.DUMMYFUNCTION("""COMPUTED_VALUE"""),"")</f>
        <v/>
      </c>
      <c r="C509" s="189" t="str">
        <f ca="1">IFERROR(__xludf.DUMMYFUNCTION("""COMPUTED_VALUE"""),"")</f>
        <v/>
      </c>
      <c r="D509" s="189" t="str">
        <f ca="1">IFERROR(__xludf.DUMMYFUNCTION("""COMPUTED_VALUE"""),"")</f>
        <v/>
      </c>
      <c r="E509" s="189" t="str">
        <f ca="1">IFERROR(__xludf.DUMMYFUNCTION("""COMPUTED_VALUE"""),"")</f>
        <v/>
      </c>
      <c r="F509" s="189" t="str">
        <f ca="1">IFERROR(__xludf.DUMMYFUNCTION("""COMPUTED_VALUE"""),"")</f>
        <v/>
      </c>
      <c r="G509" s="189" t="str">
        <f ca="1">IFERROR(__xludf.DUMMYFUNCTION("""COMPUTED_VALUE"""),"")</f>
        <v/>
      </c>
      <c r="H509" s="189" t="str">
        <f ca="1">IFERROR(__xludf.DUMMYFUNCTION("""COMPUTED_VALUE"""),"")</f>
        <v/>
      </c>
      <c r="I509" s="120" t="str">
        <f ca="1">IFERROR(__xludf.DUMMYFUNCTION("""COMPUTED_VALUE"""),"")</f>
        <v/>
      </c>
      <c r="J509" s="189" t="str">
        <f ca="1">IFERROR(__xludf.DUMMYFUNCTION("""COMPUTED_VALUE"""),"")</f>
        <v/>
      </c>
      <c r="K509" s="189" t="str">
        <f ca="1">IFERROR(__xludf.DUMMYFUNCTION("""COMPUTED_VALUE"""),"")</f>
        <v/>
      </c>
      <c r="L509" s="189" t="str">
        <f ca="1">IFERROR(__xludf.DUMMYFUNCTION("""COMPUTED_VALUE"""),"")</f>
        <v/>
      </c>
      <c r="M509" s="189" t="str">
        <f ca="1">IFERROR(__xludf.DUMMYFUNCTION("""COMPUTED_VALUE"""),"")</f>
        <v/>
      </c>
      <c r="N509" s="189" t="str">
        <f ca="1">IFERROR(__xludf.DUMMYFUNCTION("""COMPUTED_VALUE"""),"")</f>
        <v/>
      </c>
      <c r="O509" s="189" t="str">
        <f ca="1">IFERROR(__xludf.DUMMYFUNCTION("""COMPUTED_VALUE"""),"")</f>
        <v/>
      </c>
      <c r="P509" s="189" t="str">
        <f ca="1">IFERROR(__xludf.DUMMYFUNCTION("""COMPUTED_VALUE"""),"")</f>
        <v/>
      </c>
      <c r="Q509" s="189" t="str">
        <f ca="1">IFERROR(__xludf.DUMMYFUNCTION("""COMPUTED_VALUE"""),"")</f>
        <v/>
      </c>
      <c r="R509" s="189" t="str">
        <f ca="1">IFERROR(__xludf.DUMMYFUNCTION("""COMPUTED_VALUE"""),"")</f>
        <v/>
      </c>
      <c r="S509" s="189" t="str">
        <f ca="1">IFERROR(__xludf.DUMMYFUNCTION("""COMPUTED_VALUE"""),"")</f>
        <v/>
      </c>
      <c r="T509" s="189" t="str">
        <f ca="1">IFERROR(__xludf.DUMMYFUNCTION("""COMPUTED_VALUE"""),"")</f>
        <v/>
      </c>
      <c r="U509" s="189" t="str">
        <f ca="1">IFERROR(__xludf.DUMMYFUNCTION("""COMPUTED_VALUE"""),"")</f>
        <v/>
      </c>
      <c r="V509" s="189" t="str">
        <f ca="1">IFERROR(__xludf.DUMMYFUNCTION("""COMPUTED_VALUE"""),"")</f>
        <v/>
      </c>
      <c r="W509" s="189" t="str">
        <f ca="1">IFERROR(__xludf.DUMMYFUNCTION("""COMPUTED_VALUE"""),"")</f>
        <v/>
      </c>
      <c r="X509" s="189" t="str">
        <f ca="1">IFERROR(__xludf.DUMMYFUNCTION("""COMPUTED_VALUE"""),"")</f>
        <v/>
      </c>
      <c r="Y509" s="189" t="str">
        <f ca="1">IFERROR(__xludf.DUMMYFUNCTION("""COMPUTED_VALUE"""),"")</f>
        <v/>
      </c>
      <c r="Z509" s="189"/>
    </row>
    <row r="510" spans="1:26" ht="12.75">
      <c r="A510" s="189" t="str">
        <f ca="1">IFERROR(__xludf.DUMMYFUNCTION("""COMPUTED_VALUE"""),"")</f>
        <v/>
      </c>
      <c r="B510" s="189" t="str">
        <f ca="1">IFERROR(__xludf.DUMMYFUNCTION("""COMPUTED_VALUE"""),"")</f>
        <v/>
      </c>
      <c r="C510" s="189" t="str">
        <f ca="1">IFERROR(__xludf.DUMMYFUNCTION("""COMPUTED_VALUE"""),"")</f>
        <v/>
      </c>
      <c r="D510" s="189" t="str">
        <f ca="1">IFERROR(__xludf.DUMMYFUNCTION("""COMPUTED_VALUE"""),"")</f>
        <v/>
      </c>
      <c r="E510" s="189" t="str">
        <f ca="1">IFERROR(__xludf.DUMMYFUNCTION("""COMPUTED_VALUE"""),"")</f>
        <v/>
      </c>
      <c r="F510" s="189" t="str">
        <f ca="1">IFERROR(__xludf.DUMMYFUNCTION("""COMPUTED_VALUE"""),"")</f>
        <v/>
      </c>
      <c r="G510" s="189" t="str">
        <f ca="1">IFERROR(__xludf.DUMMYFUNCTION("""COMPUTED_VALUE"""),"")</f>
        <v/>
      </c>
      <c r="H510" s="189" t="str">
        <f ca="1">IFERROR(__xludf.DUMMYFUNCTION("""COMPUTED_VALUE"""),"")</f>
        <v/>
      </c>
      <c r="I510" s="120" t="str">
        <f ca="1">IFERROR(__xludf.DUMMYFUNCTION("""COMPUTED_VALUE"""),"")</f>
        <v/>
      </c>
      <c r="J510" s="189" t="str">
        <f ca="1">IFERROR(__xludf.DUMMYFUNCTION("""COMPUTED_VALUE"""),"")</f>
        <v/>
      </c>
      <c r="K510" s="189" t="str">
        <f ca="1">IFERROR(__xludf.DUMMYFUNCTION("""COMPUTED_VALUE"""),"")</f>
        <v/>
      </c>
      <c r="L510" s="189" t="str">
        <f ca="1">IFERROR(__xludf.DUMMYFUNCTION("""COMPUTED_VALUE"""),"")</f>
        <v/>
      </c>
      <c r="M510" s="189" t="str">
        <f ca="1">IFERROR(__xludf.DUMMYFUNCTION("""COMPUTED_VALUE"""),"")</f>
        <v/>
      </c>
      <c r="N510" s="189" t="str">
        <f ca="1">IFERROR(__xludf.DUMMYFUNCTION("""COMPUTED_VALUE"""),"")</f>
        <v/>
      </c>
      <c r="O510" s="189" t="str">
        <f ca="1">IFERROR(__xludf.DUMMYFUNCTION("""COMPUTED_VALUE"""),"")</f>
        <v/>
      </c>
      <c r="P510" s="189" t="str">
        <f ca="1">IFERROR(__xludf.DUMMYFUNCTION("""COMPUTED_VALUE"""),"")</f>
        <v/>
      </c>
      <c r="Q510" s="189" t="str">
        <f ca="1">IFERROR(__xludf.DUMMYFUNCTION("""COMPUTED_VALUE"""),"")</f>
        <v/>
      </c>
      <c r="R510" s="189" t="str">
        <f ca="1">IFERROR(__xludf.DUMMYFUNCTION("""COMPUTED_VALUE"""),"")</f>
        <v/>
      </c>
      <c r="S510" s="189" t="str">
        <f ca="1">IFERROR(__xludf.DUMMYFUNCTION("""COMPUTED_VALUE"""),"")</f>
        <v/>
      </c>
      <c r="T510" s="189" t="str">
        <f ca="1">IFERROR(__xludf.DUMMYFUNCTION("""COMPUTED_VALUE"""),"")</f>
        <v/>
      </c>
      <c r="U510" s="189" t="str">
        <f ca="1">IFERROR(__xludf.DUMMYFUNCTION("""COMPUTED_VALUE"""),"")</f>
        <v/>
      </c>
      <c r="V510" s="189" t="str">
        <f ca="1">IFERROR(__xludf.DUMMYFUNCTION("""COMPUTED_VALUE"""),"")</f>
        <v/>
      </c>
      <c r="W510" s="189" t="str">
        <f ca="1">IFERROR(__xludf.DUMMYFUNCTION("""COMPUTED_VALUE"""),"")</f>
        <v/>
      </c>
      <c r="X510" s="189" t="str">
        <f ca="1">IFERROR(__xludf.DUMMYFUNCTION("""COMPUTED_VALUE"""),"")</f>
        <v/>
      </c>
      <c r="Y510" s="189" t="str">
        <f ca="1">IFERROR(__xludf.DUMMYFUNCTION("""COMPUTED_VALUE"""),"")</f>
        <v/>
      </c>
      <c r="Z510" s="189"/>
    </row>
    <row r="511" spans="1:26" ht="12.75">
      <c r="A511" s="189" t="str">
        <f ca="1">IFERROR(__xludf.DUMMYFUNCTION("""COMPUTED_VALUE"""),"")</f>
        <v/>
      </c>
      <c r="B511" s="189" t="str">
        <f ca="1">IFERROR(__xludf.DUMMYFUNCTION("""COMPUTED_VALUE"""),"")</f>
        <v/>
      </c>
      <c r="C511" s="189" t="str">
        <f ca="1">IFERROR(__xludf.DUMMYFUNCTION("""COMPUTED_VALUE"""),"")</f>
        <v/>
      </c>
      <c r="D511" s="189" t="str">
        <f ca="1">IFERROR(__xludf.DUMMYFUNCTION("""COMPUTED_VALUE"""),"")</f>
        <v/>
      </c>
      <c r="E511" s="189" t="str">
        <f ca="1">IFERROR(__xludf.DUMMYFUNCTION("""COMPUTED_VALUE"""),"")</f>
        <v/>
      </c>
      <c r="F511" s="189" t="str">
        <f ca="1">IFERROR(__xludf.DUMMYFUNCTION("""COMPUTED_VALUE"""),"")</f>
        <v/>
      </c>
      <c r="G511" s="189" t="str">
        <f ca="1">IFERROR(__xludf.DUMMYFUNCTION("""COMPUTED_VALUE"""),"")</f>
        <v/>
      </c>
      <c r="H511" s="189" t="str">
        <f ca="1">IFERROR(__xludf.DUMMYFUNCTION("""COMPUTED_VALUE"""),"")</f>
        <v/>
      </c>
      <c r="I511" s="120" t="str">
        <f ca="1">IFERROR(__xludf.DUMMYFUNCTION("""COMPUTED_VALUE"""),"")</f>
        <v/>
      </c>
      <c r="J511" s="189" t="str">
        <f ca="1">IFERROR(__xludf.DUMMYFUNCTION("""COMPUTED_VALUE"""),"")</f>
        <v/>
      </c>
      <c r="K511" s="189" t="str">
        <f ca="1">IFERROR(__xludf.DUMMYFUNCTION("""COMPUTED_VALUE"""),"")</f>
        <v/>
      </c>
      <c r="L511" s="189" t="str">
        <f ca="1">IFERROR(__xludf.DUMMYFUNCTION("""COMPUTED_VALUE"""),"")</f>
        <v/>
      </c>
      <c r="M511" s="189" t="str">
        <f ca="1">IFERROR(__xludf.DUMMYFUNCTION("""COMPUTED_VALUE"""),"")</f>
        <v/>
      </c>
      <c r="N511" s="189" t="str">
        <f ca="1">IFERROR(__xludf.DUMMYFUNCTION("""COMPUTED_VALUE"""),"")</f>
        <v/>
      </c>
      <c r="O511" s="189" t="str">
        <f ca="1">IFERROR(__xludf.DUMMYFUNCTION("""COMPUTED_VALUE"""),"")</f>
        <v/>
      </c>
      <c r="P511" s="189" t="str">
        <f ca="1">IFERROR(__xludf.DUMMYFUNCTION("""COMPUTED_VALUE"""),"")</f>
        <v/>
      </c>
      <c r="Q511" s="189" t="str">
        <f ca="1">IFERROR(__xludf.DUMMYFUNCTION("""COMPUTED_VALUE"""),"")</f>
        <v/>
      </c>
      <c r="R511" s="189" t="str">
        <f ca="1">IFERROR(__xludf.DUMMYFUNCTION("""COMPUTED_VALUE"""),"")</f>
        <v/>
      </c>
      <c r="S511" s="189" t="str">
        <f ca="1">IFERROR(__xludf.DUMMYFUNCTION("""COMPUTED_VALUE"""),"")</f>
        <v/>
      </c>
      <c r="T511" s="189" t="str">
        <f ca="1">IFERROR(__xludf.DUMMYFUNCTION("""COMPUTED_VALUE"""),"")</f>
        <v/>
      </c>
      <c r="U511" s="189" t="str">
        <f ca="1">IFERROR(__xludf.DUMMYFUNCTION("""COMPUTED_VALUE"""),"")</f>
        <v/>
      </c>
      <c r="V511" s="189" t="str">
        <f ca="1">IFERROR(__xludf.DUMMYFUNCTION("""COMPUTED_VALUE"""),"")</f>
        <v/>
      </c>
      <c r="W511" s="189" t="str">
        <f ca="1">IFERROR(__xludf.DUMMYFUNCTION("""COMPUTED_VALUE"""),"")</f>
        <v/>
      </c>
      <c r="X511" s="189" t="str">
        <f ca="1">IFERROR(__xludf.DUMMYFUNCTION("""COMPUTED_VALUE"""),"")</f>
        <v/>
      </c>
      <c r="Y511" s="189" t="str">
        <f ca="1">IFERROR(__xludf.DUMMYFUNCTION("""COMPUTED_VALUE"""),"")</f>
        <v/>
      </c>
      <c r="Z511" s="189"/>
    </row>
    <row r="512" spans="1:26" ht="12.75">
      <c r="A512" s="189" t="str">
        <f ca="1">IFERROR(__xludf.DUMMYFUNCTION("""COMPUTED_VALUE"""),"")</f>
        <v/>
      </c>
      <c r="B512" s="189" t="str">
        <f ca="1">IFERROR(__xludf.DUMMYFUNCTION("""COMPUTED_VALUE"""),"")</f>
        <v/>
      </c>
      <c r="C512" s="189" t="str">
        <f ca="1">IFERROR(__xludf.DUMMYFUNCTION("""COMPUTED_VALUE"""),"")</f>
        <v/>
      </c>
      <c r="D512" s="189" t="str">
        <f ca="1">IFERROR(__xludf.DUMMYFUNCTION("""COMPUTED_VALUE"""),"")</f>
        <v/>
      </c>
      <c r="E512" s="189" t="str">
        <f ca="1">IFERROR(__xludf.DUMMYFUNCTION("""COMPUTED_VALUE"""),"")</f>
        <v/>
      </c>
      <c r="F512" s="189" t="str">
        <f ca="1">IFERROR(__xludf.DUMMYFUNCTION("""COMPUTED_VALUE"""),"")</f>
        <v/>
      </c>
      <c r="G512" s="189" t="str">
        <f ca="1">IFERROR(__xludf.DUMMYFUNCTION("""COMPUTED_VALUE"""),"")</f>
        <v/>
      </c>
      <c r="H512" s="189" t="str">
        <f ca="1">IFERROR(__xludf.DUMMYFUNCTION("""COMPUTED_VALUE"""),"")</f>
        <v/>
      </c>
      <c r="I512" s="120" t="str">
        <f ca="1">IFERROR(__xludf.DUMMYFUNCTION("""COMPUTED_VALUE"""),"")</f>
        <v/>
      </c>
      <c r="J512" s="189" t="str">
        <f ca="1">IFERROR(__xludf.DUMMYFUNCTION("""COMPUTED_VALUE"""),"")</f>
        <v/>
      </c>
      <c r="K512" s="189" t="str">
        <f ca="1">IFERROR(__xludf.DUMMYFUNCTION("""COMPUTED_VALUE"""),"")</f>
        <v/>
      </c>
      <c r="L512" s="189" t="str">
        <f ca="1">IFERROR(__xludf.DUMMYFUNCTION("""COMPUTED_VALUE"""),"")</f>
        <v/>
      </c>
      <c r="M512" s="189" t="str">
        <f ca="1">IFERROR(__xludf.DUMMYFUNCTION("""COMPUTED_VALUE"""),"")</f>
        <v/>
      </c>
      <c r="N512" s="189" t="str">
        <f ca="1">IFERROR(__xludf.DUMMYFUNCTION("""COMPUTED_VALUE"""),"")</f>
        <v/>
      </c>
      <c r="O512" s="189" t="str">
        <f ca="1">IFERROR(__xludf.DUMMYFUNCTION("""COMPUTED_VALUE"""),"")</f>
        <v/>
      </c>
      <c r="P512" s="189" t="str">
        <f ca="1">IFERROR(__xludf.DUMMYFUNCTION("""COMPUTED_VALUE"""),"")</f>
        <v/>
      </c>
      <c r="Q512" s="189" t="str">
        <f ca="1">IFERROR(__xludf.DUMMYFUNCTION("""COMPUTED_VALUE"""),"")</f>
        <v/>
      </c>
      <c r="R512" s="189" t="str">
        <f ca="1">IFERROR(__xludf.DUMMYFUNCTION("""COMPUTED_VALUE"""),"")</f>
        <v/>
      </c>
      <c r="S512" s="189" t="str">
        <f ca="1">IFERROR(__xludf.DUMMYFUNCTION("""COMPUTED_VALUE"""),"")</f>
        <v/>
      </c>
      <c r="T512" s="189" t="str">
        <f ca="1">IFERROR(__xludf.DUMMYFUNCTION("""COMPUTED_VALUE"""),"")</f>
        <v/>
      </c>
      <c r="U512" s="189" t="str">
        <f ca="1">IFERROR(__xludf.DUMMYFUNCTION("""COMPUTED_VALUE"""),"")</f>
        <v/>
      </c>
      <c r="V512" s="189" t="str">
        <f ca="1">IFERROR(__xludf.DUMMYFUNCTION("""COMPUTED_VALUE"""),"")</f>
        <v/>
      </c>
      <c r="W512" s="189" t="str">
        <f ca="1">IFERROR(__xludf.DUMMYFUNCTION("""COMPUTED_VALUE"""),"")</f>
        <v/>
      </c>
      <c r="X512" s="189" t="str">
        <f ca="1">IFERROR(__xludf.DUMMYFUNCTION("""COMPUTED_VALUE"""),"")</f>
        <v/>
      </c>
      <c r="Y512" s="189" t="str">
        <f ca="1">IFERROR(__xludf.DUMMYFUNCTION("""COMPUTED_VALUE"""),"")</f>
        <v/>
      </c>
      <c r="Z512" s="189"/>
    </row>
    <row r="513" spans="1:26" ht="12.75">
      <c r="A513" s="189" t="str">
        <f ca="1">IFERROR(__xludf.DUMMYFUNCTION("""COMPUTED_VALUE"""),"")</f>
        <v/>
      </c>
      <c r="B513" s="189" t="str">
        <f ca="1">IFERROR(__xludf.DUMMYFUNCTION("""COMPUTED_VALUE"""),"")</f>
        <v/>
      </c>
      <c r="C513" s="189" t="str">
        <f ca="1">IFERROR(__xludf.DUMMYFUNCTION("""COMPUTED_VALUE"""),"")</f>
        <v/>
      </c>
      <c r="D513" s="189" t="str">
        <f ca="1">IFERROR(__xludf.DUMMYFUNCTION("""COMPUTED_VALUE"""),"")</f>
        <v/>
      </c>
      <c r="E513" s="189" t="str">
        <f ca="1">IFERROR(__xludf.DUMMYFUNCTION("""COMPUTED_VALUE"""),"")</f>
        <v/>
      </c>
      <c r="F513" s="189" t="str">
        <f ca="1">IFERROR(__xludf.DUMMYFUNCTION("""COMPUTED_VALUE"""),"")</f>
        <v/>
      </c>
      <c r="G513" s="189" t="str">
        <f ca="1">IFERROR(__xludf.DUMMYFUNCTION("""COMPUTED_VALUE"""),"")</f>
        <v/>
      </c>
      <c r="H513" s="189" t="str">
        <f ca="1">IFERROR(__xludf.DUMMYFUNCTION("""COMPUTED_VALUE"""),"")</f>
        <v/>
      </c>
      <c r="I513" s="120" t="str">
        <f ca="1">IFERROR(__xludf.DUMMYFUNCTION("""COMPUTED_VALUE"""),"")</f>
        <v/>
      </c>
      <c r="J513" s="189" t="str">
        <f ca="1">IFERROR(__xludf.DUMMYFUNCTION("""COMPUTED_VALUE"""),"")</f>
        <v/>
      </c>
      <c r="K513" s="189" t="str">
        <f ca="1">IFERROR(__xludf.DUMMYFUNCTION("""COMPUTED_VALUE"""),"")</f>
        <v/>
      </c>
      <c r="L513" s="189" t="str">
        <f ca="1">IFERROR(__xludf.DUMMYFUNCTION("""COMPUTED_VALUE"""),"")</f>
        <v/>
      </c>
      <c r="M513" s="189" t="str">
        <f ca="1">IFERROR(__xludf.DUMMYFUNCTION("""COMPUTED_VALUE"""),"")</f>
        <v/>
      </c>
      <c r="N513" s="189" t="str">
        <f ca="1">IFERROR(__xludf.DUMMYFUNCTION("""COMPUTED_VALUE"""),"")</f>
        <v/>
      </c>
      <c r="O513" s="189" t="str">
        <f ca="1">IFERROR(__xludf.DUMMYFUNCTION("""COMPUTED_VALUE"""),"")</f>
        <v/>
      </c>
      <c r="P513" s="189" t="str">
        <f ca="1">IFERROR(__xludf.DUMMYFUNCTION("""COMPUTED_VALUE"""),"")</f>
        <v/>
      </c>
      <c r="Q513" s="189" t="str">
        <f ca="1">IFERROR(__xludf.DUMMYFUNCTION("""COMPUTED_VALUE"""),"")</f>
        <v/>
      </c>
      <c r="R513" s="189" t="str">
        <f ca="1">IFERROR(__xludf.DUMMYFUNCTION("""COMPUTED_VALUE"""),"")</f>
        <v/>
      </c>
      <c r="S513" s="189" t="str">
        <f ca="1">IFERROR(__xludf.DUMMYFUNCTION("""COMPUTED_VALUE"""),"")</f>
        <v/>
      </c>
      <c r="T513" s="189" t="str">
        <f ca="1">IFERROR(__xludf.DUMMYFUNCTION("""COMPUTED_VALUE"""),"")</f>
        <v/>
      </c>
      <c r="U513" s="189" t="str">
        <f ca="1">IFERROR(__xludf.DUMMYFUNCTION("""COMPUTED_VALUE"""),"")</f>
        <v/>
      </c>
      <c r="V513" s="189" t="str">
        <f ca="1">IFERROR(__xludf.DUMMYFUNCTION("""COMPUTED_VALUE"""),"")</f>
        <v/>
      </c>
      <c r="W513" s="189" t="str">
        <f ca="1">IFERROR(__xludf.DUMMYFUNCTION("""COMPUTED_VALUE"""),"")</f>
        <v/>
      </c>
      <c r="X513" s="189" t="str">
        <f ca="1">IFERROR(__xludf.DUMMYFUNCTION("""COMPUTED_VALUE"""),"")</f>
        <v/>
      </c>
      <c r="Y513" s="189" t="str">
        <f ca="1">IFERROR(__xludf.DUMMYFUNCTION("""COMPUTED_VALUE"""),"")</f>
        <v/>
      </c>
      <c r="Z513" s="189"/>
    </row>
    <row r="514" spans="1:26" ht="12.75">
      <c r="A514" s="189" t="str">
        <f ca="1">IFERROR(__xludf.DUMMYFUNCTION("""COMPUTED_VALUE"""),"")</f>
        <v/>
      </c>
      <c r="B514" s="189" t="str">
        <f ca="1">IFERROR(__xludf.DUMMYFUNCTION("""COMPUTED_VALUE"""),"")</f>
        <v/>
      </c>
      <c r="C514" s="189" t="str">
        <f ca="1">IFERROR(__xludf.DUMMYFUNCTION("""COMPUTED_VALUE"""),"")</f>
        <v/>
      </c>
      <c r="D514" s="189" t="str">
        <f ca="1">IFERROR(__xludf.DUMMYFUNCTION("""COMPUTED_VALUE"""),"")</f>
        <v/>
      </c>
      <c r="E514" s="189" t="str">
        <f ca="1">IFERROR(__xludf.DUMMYFUNCTION("""COMPUTED_VALUE"""),"")</f>
        <v/>
      </c>
      <c r="F514" s="189" t="str">
        <f ca="1">IFERROR(__xludf.DUMMYFUNCTION("""COMPUTED_VALUE"""),"")</f>
        <v/>
      </c>
      <c r="G514" s="189" t="str">
        <f ca="1">IFERROR(__xludf.DUMMYFUNCTION("""COMPUTED_VALUE"""),"")</f>
        <v/>
      </c>
      <c r="H514" s="189" t="str">
        <f ca="1">IFERROR(__xludf.DUMMYFUNCTION("""COMPUTED_VALUE"""),"")</f>
        <v/>
      </c>
      <c r="I514" s="120" t="str">
        <f ca="1">IFERROR(__xludf.DUMMYFUNCTION("""COMPUTED_VALUE"""),"")</f>
        <v/>
      </c>
      <c r="J514" s="189" t="str">
        <f ca="1">IFERROR(__xludf.DUMMYFUNCTION("""COMPUTED_VALUE"""),"")</f>
        <v/>
      </c>
      <c r="K514" s="189" t="str">
        <f ca="1">IFERROR(__xludf.DUMMYFUNCTION("""COMPUTED_VALUE"""),"")</f>
        <v/>
      </c>
      <c r="L514" s="189" t="str">
        <f ca="1">IFERROR(__xludf.DUMMYFUNCTION("""COMPUTED_VALUE"""),"")</f>
        <v/>
      </c>
      <c r="M514" s="189" t="str">
        <f ca="1">IFERROR(__xludf.DUMMYFUNCTION("""COMPUTED_VALUE"""),"")</f>
        <v/>
      </c>
      <c r="N514" s="189" t="str">
        <f ca="1">IFERROR(__xludf.DUMMYFUNCTION("""COMPUTED_VALUE"""),"")</f>
        <v/>
      </c>
      <c r="O514" s="189" t="str">
        <f ca="1">IFERROR(__xludf.DUMMYFUNCTION("""COMPUTED_VALUE"""),"")</f>
        <v/>
      </c>
      <c r="P514" s="189" t="str">
        <f ca="1">IFERROR(__xludf.DUMMYFUNCTION("""COMPUTED_VALUE"""),"")</f>
        <v/>
      </c>
      <c r="Q514" s="189" t="str">
        <f ca="1">IFERROR(__xludf.DUMMYFUNCTION("""COMPUTED_VALUE"""),"")</f>
        <v/>
      </c>
      <c r="R514" s="189" t="str">
        <f ca="1">IFERROR(__xludf.DUMMYFUNCTION("""COMPUTED_VALUE"""),"")</f>
        <v/>
      </c>
      <c r="S514" s="189" t="str">
        <f ca="1">IFERROR(__xludf.DUMMYFUNCTION("""COMPUTED_VALUE"""),"")</f>
        <v/>
      </c>
      <c r="T514" s="189" t="str">
        <f ca="1">IFERROR(__xludf.DUMMYFUNCTION("""COMPUTED_VALUE"""),"")</f>
        <v/>
      </c>
      <c r="U514" s="189" t="str">
        <f ca="1">IFERROR(__xludf.DUMMYFUNCTION("""COMPUTED_VALUE"""),"")</f>
        <v/>
      </c>
      <c r="V514" s="189" t="str">
        <f ca="1">IFERROR(__xludf.DUMMYFUNCTION("""COMPUTED_VALUE"""),"")</f>
        <v/>
      </c>
      <c r="W514" s="189" t="str">
        <f ca="1">IFERROR(__xludf.DUMMYFUNCTION("""COMPUTED_VALUE"""),"")</f>
        <v/>
      </c>
      <c r="X514" s="189" t="str">
        <f ca="1">IFERROR(__xludf.DUMMYFUNCTION("""COMPUTED_VALUE"""),"")</f>
        <v/>
      </c>
      <c r="Y514" s="189" t="str">
        <f ca="1">IFERROR(__xludf.DUMMYFUNCTION("""COMPUTED_VALUE"""),"")</f>
        <v/>
      </c>
      <c r="Z514" s="189"/>
    </row>
    <row r="515" spans="1:26" ht="12.75">
      <c r="A515" s="189" t="str">
        <f ca="1">IFERROR(__xludf.DUMMYFUNCTION("""COMPUTED_VALUE"""),"")</f>
        <v/>
      </c>
      <c r="B515" s="189" t="str">
        <f ca="1">IFERROR(__xludf.DUMMYFUNCTION("""COMPUTED_VALUE"""),"")</f>
        <v/>
      </c>
      <c r="C515" s="189" t="str">
        <f ca="1">IFERROR(__xludf.DUMMYFUNCTION("""COMPUTED_VALUE"""),"")</f>
        <v/>
      </c>
      <c r="D515" s="189" t="str">
        <f ca="1">IFERROR(__xludf.DUMMYFUNCTION("""COMPUTED_VALUE"""),"")</f>
        <v/>
      </c>
      <c r="E515" s="189" t="str">
        <f ca="1">IFERROR(__xludf.DUMMYFUNCTION("""COMPUTED_VALUE"""),"")</f>
        <v/>
      </c>
      <c r="F515" s="189" t="str">
        <f ca="1">IFERROR(__xludf.DUMMYFUNCTION("""COMPUTED_VALUE"""),"")</f>
        <v/>
      </c>
      <c r="G515" s="189" t="str">
        <f ca="1">IFERROR(__xludf.DUMMYFUNCTION("""COMPUTED_VALUE"""),"")</f>
        <v/>
      </c>
      <c r="H515" s="189" t="str">
        <f ca="1">IFERROR(__xludf.DUMMYFUNCTION("""COMPUTED_VALUE"""),"")</f>
        <v/>
      </c>
      <c r="I515" s="120" t="str">
        <f ca="1">IFERROR(__xludf.DUMMYFUNCTION("""COMPUTED_VALUE"""),"")</f>
        <v/>
      </c>
      <c r="J515" s="189" t="str">
        <f ca="1">IFERROR(__xludf.DUMMYFUNCTION("""COMPUTED_VALUE"""),"")</f>
        <v/>
      </c>
      <c r="K515" s="189" t="str">
        <f ca="1">IFERROR(__xludf.DUMMYFUNCTION("""COMPUTED_VALUE"""),"")</f>
        <v/>
      </c>
      <c r="L515" s="189" t="str">
        <f ca="1">IFERROR(__xludf.DUMMYFUNCTION("""COMPUTED_VALUE"""),"")</f>
        <v/>
      </c>
      <c r="M515" s="189" t="str">
        <f ca="1">IFERROR(__xludf.DUMMYFUNCTION("""COMPUTED_VALUE"""),"")</f>
        <v/>
      </c>
      <c r="N515" s="189" t="str">
        <f ca="1">IFERROR(__xludf.DUMMYFUNCTION("""COMPUTED_VALUE"""),"")</f>
        <v/>
      </c>
      <c r="O515" s="189" t="str">
        <f ca="1">IFERROR(__xludf.DUMMYFUNCTION("""COMPUTED_VALUE"""),"")</f>
        <v/>
      </c>
      <c r="P515" s="189" t="str">
        <f ca="1">IFERROR(__xludf.DUMMYFUNCTION("""COMPUTED_VALUE"""),"")</f>
        <v/>
      </c>
      <c r="Q515" s="189" t="str">
        <f ca="1">IFERROR(__xludf.DUMMYFUNCTION("""COMPUTED_VALUE"""),"")</f>
        <v/>
      </c>
      <c r="R515" s="189" t="str">
        <f ca="1">IFERROR(__xludf.DUMMYFUNCTION("""COMPUTED_VALUE"""),"")</f>
        <v/>
      </c>
      <c r="S515" s="189" t="str">
        <f ca="1">IFERROR(__xludf.DUMMYFUNCTION("""COMPUTED_VALUE"""),"")</f>
        <v/>
      </c>
      <c r="T515" s="189" t="str">
        <f ca="1">IFERROR(__xludf.DUMMYFUNCTION("""COMPUTED_VALUE"""),"")</f>
        <v/>
      </c>
      <c r="U515" s="189" t="str">
        <f ca="1">IFERROR(__xludf.DUMMYFUNCTION("""COMPUTED_VALUE"""),"")</f>
        <v/>
      </c>
      <c r="V515" s="189" t="str">
        <f ca="1">IFERROR(__xludf.DUMMYFUNCTION("""COMPUTED_VALUE"""),"")</f>
        <v/>
      </c>
      <c r="W515" s="189" t="str">
        <f ca="1">IFERROR(__xludf.DUMMYFUNCTION("""COMPUTED_VALUE"""),"")</f>
        <v/>
      </c>
      <c r="X515" s="189" t="str">
        <f ca="1">IFERROR(__xludf.DUMMYFUNCTION("""COMPUTED_VALUE"""),"")</f>
        <v/>
      </c>
      <c r="Y515" s="189" t="str">
        <f ca="1">IFERROR(__xludf.DUMMYFUNCTION("""COMPUTED_VALUE"""),"")</f>
        <v/>
      </c>
      <c r="Z515" s="189"/>
    </row>
    <row r="516" spans="1:26" ht="12.75">
      <c r="A516" s="189" t="str">
        <f ca="1">IFERROR(__xludf.DUMMYFUNCTION("""COMPUTED_VALUE"""),"")</f>
        <v/>
      </c>
      <c r="B516" s="189" t="str">
        <f ca="1">IFERROR(__xludf.DUMMYFUNCTION("""COMPUTED_VALUE"""),"")</f>
        <v/>
      </c>
      <c r="C516" s="189" t="str">
        <f ca="1">IFERROR(__xludf.DUMMYFUNCTION("""COMPUTED_VALUE"""),"")</f>
        <v/>
      </c>
      <c r="D516" s="189" t="str">
        <f ca="1">IFERROR(__xludf.DUMMYFUNCTION("""COMPUTED_VALUE"""),"")</f>
        <v/>
      </c>
      <c r="E516" s="189" t="str">
        <f ca="1">IFERROR(__xludf.DUMMYFUNCTION("""COMPUTED_VALUE"""),"")</f>
        <v/>
      </c>
      <c r="F516" s="189" t="str">
        <f ca="1">IFERROR(__xludf.DUMMYFUNCTION("""COMPUTED_VALUE"""),"")</f>
        <v/>
      </c>
      <c r="G516" s="189" t="str">
        <f ca="1">IFERROR(__xludf.DUMMYFUNCTION("""COMPUTED_VALUE"""),"")</f>
        <v/>
      </c>
      <c r="H516" s="189" t="str">
        <f ca="1">IFERROR(__xludf.DUMMYFUNCTION("""COMPUTED_VALUE"""),"")</f>
        <v/>
      </c>
      <c r="I516" s="120" t="str">
        <f ca="1">IFERROR(__xludf.DUMMYFUNCTION("""COMPUTED_VALUE"""),"")</f>
        <v/>
      </c>
      <c r="J516" s="189" t="str">
        <f ca="1">IFERROR(__xludf.DUMMYFUNCTION("""COMPUTED_VALUE"""),"")</f>
        <v/>
      </c>
      <c r="K516" s="189" t="str">
        <f ca="1">IFERROR(__xludf.DUMMYFUNCTION("""COMPUTED_VALUE"""),"")</f>
        <v/>
      </c>
      <c r="L516" s="189" t="str">
        <f ca="1">IFERROR(__xludf.DUMMYFUNCTION("""COMPUTED_VALUE"""),"")</f>
        <v/>
      </c>
      <c r="M516" s="189" t="str">
        <f ca="1">IFERROR(__xludf.DUMMYFUNCTION("""COMPUTED_VALUE"""),"")</f>
        <v/>
      </c>
      <c r="N516" s="189" t="str">
        <f ca="1">IFERROR(__xludf.DUMMYFUNCTION("""COMPUTED_VALUE"""),"")</f>
        <v/>
      </c>
      <c r="O516" s="189" t="str">
        <f ca="1">IFERROR(__xludf.DUMMYFUNCTION("""COMPUTED_VALUE"""),"")</f>
        <v/>
      </c>
      <c r="P516" s="189" t="str">
        <f ca="1">IFERROR(__xludf.DUMMYFUNCTION("""COMPUTED_VALUE"""),"")</f>
        <v/>
      </c>
      <c r="Q516" s="189" t="str">
        <f ca="1">IFERROR(__xludf.DUMMYFUNCTION("""COMPUTED_VALUE"""),"")</f>
        <v/>
      </c>
      <c r="R516" s="189" t="str">
        <f ca="1">IFERROR(__xludf.DUMMYFUNCTION("""COMPUTED_VALUE"""),"")</f>
        <v/>
      </c>
      <c r="S516" s="189" t="str">
        <f ca="1">IFERROR(__xludf.DUMMYFUNCTION("""COMPUTED_VALUE"""),"")</f>
        <v/>
      </c>
      <c r="T516" s="189" t="str">
        <f ca="1">IFERROR(__xludf.DUMMYFUNCTION("""COMPUTED_VALUE"""),"")</f>
        <v/>
      </c>
      <c r="U516" s="189" t="str">
        <f ca="1">IFERROR(__xludf.DUMMYFUNCTION("""COMPUTED_VALUE"""),"")</f>
        <v/>
      </c>
      <c r="V516" s="189" t="str">
        <f ca="1">IFERROR(__xludf.DUMMYFUNCTION("""COMPUTED_VALUE"""),"")</f>
        <v/>
      </c>
      <c r="W516" s="189" t="str">
        <f ca="1">IFERROR(__xludf.DUMMYFUNCTION("""COMPUTED_VALUE"""),"")</f>
        <v/>
      </c>
      <c r="X516" s="189" t="str">
        <f ca="1">IFERROR(__xludf.DUMMYFUNCTION("""COMPUTED_VALUE"""),"")</f>
        <v/>
      </c>
      <c r="Y516" s="189" t="str">
        <f ca="1">IFERROR(__xludf.DUMMYFUNCTION("""COMPUTED_VALUE"""),"")</f>
        <v/>
      </c>
      <c r="Z516" s="189"/>
    </row>
    <row r="517" spans="1:26" ht="12.75">
      <c r="A517" s="189" t="str">
        <f ca="1">IFERROR(__xludf.DUMMYFUNCTION("""COMPUTED_VALUE"""),"")</f>
        <v/>
      </c>
      <c r="B517" s="189" t="str">
        <f ca="1">IFERROR(__xludf.DUMMYFUNCTION("""COMPUTED_VALUE"""),"")</f>
        <v/>
      </c>
      <c r="C517" s="189" t="str">
        <f ca="1">IFERROR(__xludf.DUMMYFUNCTION("""COMPUTED_VALUE"""),"")</f>
        <v/>
      </c>
      <c r="D517" s="189" t="str">
        <f ca="1">IFERROR(__xludf.DUMMYFUNCTION("""COMPUTED_VALUE"""),"")</f>
        <v/>
      </c>
      <c r="E517" s="189" t="str">
        <f ca="1">IFERROR(__xludf.DUMMYFUNCTION("""COMPUTED_VALUE"""),"")</f>
        <v/>
      </c>
      <c r="F517" s="189" t="str">
        <f ca="1">IFERROR(__xludf.DUMMYFUNCTION("""COMPUTED_VALUE"""),"")</f>
        <v/>
      </c>
      <c r="G517" s="189" t="str">
        <f ca="1">IFERROR(__xludf.DUMMYFUNCTION("""COMPUTED_VALUE"""),"")</f>
        <v/>
      </c>
      <c r="H517" s="189" t="str">
        <f ca="1">IFERROR(__xludf.DUMMYFUNCTION("""COMPUTED_VALUE"""),"")</f>
        <v/>
      </c>
      <c r="I517" s="120" t="str">
        <f ca="1">IFERROR(__xludf.DUMMYFUNCTION("""COMPUTED_VALUE"""),"")</f>
        <v/>
      </c>
      <c r="J517" s="189" t="str">
        <f ca="1">IFERROR(__xludf.DUMMYFUNCTION("""COMPUTED_VALUE"""),"")</f>
        <v/>
      </c>
      <c r="K517" s="189" t="str">
        <f ca="1">IFERROR(__xludf.DUMMYFUNCTION("""COMPUTED_VALUE"""),"")</f>
        <v/>
      </c>
      <c r="L517" s="189" t="str">
        <f ca="1">IFERROR(__xludf.DUMMYFUNCTION("""COMPUTED_VALUE"""),"")</f>
        <v/>
      </c>
      <c r="M517" s="189" t="str">
        <f ca="1">IFERROR(__xludf.DUMMYFUNCTION("""COMPUTED_VALUE"""),"")</f>
        <v/>
      </c>
      <c r="N517" s="189" t="str">
        <f ca="1">IFERROR(__xludf.DUMMYFUNCTION("""COMPUTED_VALUE"""),"")</f>
        <v/>
      </c>
      <c r="O517" s="189" t="str">
        <f ca="1">IFERROR(__xludf.DUMMYFUNCTION("""COMPUTED_VALUE"""),"")</f>
        <v/>
      </c>
      <c r="P517" s="189" t="str">
        <f ca="1">IFERROR(__xludf.DUMMYFUNCTION("""COMPUTED_VALUE"""),"")</f>
        <v/>
      </c>
      <c r="Q517" s="189" t="str">
        <f ca="1">IFERROR(__xludf.DUMMYFUNCTION("""COMPUTED_VALUE"""),"")</f>
        <v/>
      </c>
      <c r="R517" s="189" t="str">
        <f ca="1">IFERROR(__xludf.DUMMYFUNCTION("""COMPUTED_VALUE"""),"")</f>
        <v/>
      </c>
      <c r="S517" s="189" t="str">
        <f ca="1">IFERROR(__xludf.DUMMYFUNCTION("""COMPUTED_VALUE"""),"")</f>
        <v/>
      </c>
      <c r="T517" s="189" t="str">
        <f ca="1">IFERROR(__xludf.DUMMYFUNCTION("""COMPUTED_VALUE"""),"")</f>
        <v/>
      </c>
      <c r="U517" s="189" t="str">
        <f ca="1">IFERROR(__xludf.DUMMYFUNCTION("""COMPUTED_VALUE"""),"")</f>
        <v/>
      </c>
      <c r="V517" s="189" t="str">
        <f ca="1">IFERROR(__xludf.DUMMYFUNCTION("""COMPUTED_VALUE"""),"")</f>
        <v/>
      </c>
      <c r="W517" s="189" t="str">
        <f ca="1">IFERROR(__xludf.DUMMYFUNCTION("""COMPUTED_VALUE"""),"")</f>
        <v/>
      </c>
      <c r="X517" s="189" t="str">
        <f ca="1">IFERROR(__xludf.DUMMYFUNCTION("""COMPUTED_VALUE"""),"")</f>
        <v/>
      </c>
      <c r="Y517" s="189" t="str">
        <f ca="1">IFERROR(__xludf.DUMMYFUNCTION("""COMPUTED_VALUE"""),"")</f>
        <v/>
      </c>
      <c r="Z517" s="189"/>
    </row>
    <row r="518" spans="1:26" ht="12.75">
      <c r="A518" s="189" t="str">
        <f ca="1">IFERROR(__xludf.DUMMYFUNCTION("""COMPUTED_VALUE"""),"")</f>
        <v/>
      </c>
      <c r="B518" s="189" t="str">
        <f ca="1">IFERROR(__xludf.DUMMYFUNCTION("""COMPUTED_VALUE"""),"")</f>
        <v/>
      </c>
      <c r="C518" s="189" t="str">
        <f ca="1">IFERROR(__xludf.DUMMYFUNCTION("""COMPUTED_VALUE"""),"")</f>
        <v/>
      </c>
      <c r="D518" s="189" t="str">
        <f ca="1">IFERROR(__xludf.DUMMYFUNCTION("""COMPUTED_VALUE"""),"")</f>
        <v/>
      </c>
      <c r="E518" s="189" t="str">
        <f ca="1">IFERROR(__xludf.DUMMYFUNCTION("""COMPUTED_VALUE"""),"")</f>
        <v/>
      </c>
      <c r="F518" s="189" t="str">
        <f ca="1">IFERROR(__xludf.DUMMYFUNCTION("""COMPUTED_VALUE"""),"")</f>
        <v/>
      </c>
      <c r="G518" s="189" t="str">
        <f ca="1">IFERROR(__xludf.DUMMYFUNCTION("""COMPUTED_VALUE"""),"")</f>
        <v/>
      </c>
      <c r="H518" s="189" t="str">
        <f ca="1">IFERROR(__xludf.DUMMYFUNCTION("""COMPUTED_VALUE"""),"")</f>
        <v/>
      </c>
      <c r="I518" s="120" t="str">
        <f ca="1">IFERROR(__xludf.DUMMYFUNCTION("""COMPUTED_VALUE"""),"")</f>
        <v/>
      </c>
      <c r="J518" s="189" t="str">
        <f ca="1">IFERROR(__xludf.DUMMYFUNCTION("""COMPUTED_VALUE"""),"")</f>
        <v/>
      </c>
      <c r="K518" s="189" t="str">
        <f ca="1">IFERROR(__xludf.DUMMYFUNCTION("""COMPUTED_VALUE"""),"")</f>
        <v/>
      </c>
      <c r="L518" s="189" t="str">
        <f ca="1">IFERROR(__xludf.DUMMYFUNCTION("""COMPUTED_VALUE"""),"")</f>
        <v/>
      </c>
      <c r="M518" s="189" t="str">
        <f ca="1">IFERROR(__xludf.DUMMYFUNCTION("""COMPUTED_VALUE"""),"")</f>
        <v/>
      </c>
      <c r="N518" s="189" t="str">
        <f ca="1">IFERROR(__xludf.DUMMYFUNCTION("""COMPUTED_VALUE"""),"")</f>
        <v/>
      </c>
      <c r="O518" s="189" t="str">
        <f ca="1">IFERROR(__xludf.DUMMYFUNCTION("""COMPUTED_VALUE"""),"")</f>
        <v/>
      </c>
      <c r="P518" s="189" t="str">
        <f ca="1">IFERROR(__xludf.DUMMYFUNCTION("""COMPUTED_VALUE"""),"")</f>
        <v/>
      </c>
      <c r="Q518" s="189" t="str">
        <f ca="1">IFERROR(__xludf.DUMMYFUNCTION("""COMPUTED_VALUE"""),"")</f>
        <v/>
      </c>
      <c r="R518" s="189" t="str">
        <f ca="1">IFERROR(__xludf.DUMMYFUNCTION("""COMPUTED_VALUE"""),"")</f>
        <v/>
      </c>
      <c r="S518" s="189" t="str">
        <f ca="1">IFERROR(__xludf.DUMMYFUNCTION("""COMPUTED_VALUE"""),"")</f>
        <v/>
      </c>
      <c r="T518" s="189" t="str">
        <f ca="1">IFERROR(__xludf.DUMMYFUNCTION("""COMPUTED_VALUE"""),"")</f>
        <v/>
      </c>
      <c r="U518" s="189" t="str">
        <f ca="1">IFERROR(__xludf.DUMMYFUNCTION("""COMPUTED_VALUE"""),"")</f>
        <v/>
      </c>
      <c r="V518" s="189" t="str">
        <f ca="1">IFERROR(__xludf.DUMMYFUNCTION("""COMPUTED_VALUE"""),"")</f>
        <v/>
      </c>
      <c r="W518" s="189" t="str">
        <f ca="1">IFERROR(__xludf.DUMMYFUNCTION("""COMPUTED_VALUE"""),"")</f>
        <v/>
      </c>
      <c r="X518" s="189" t="str">
        <f ca="1">IFERROR(__xludf.DUMMYFUNCTION("""COMPUTED_VALUE"""),"")</f>
        <v/>
      </c>
      <c r="Y518" s="189" t="str">
        <f ca="1">IFERROR(__xludf.DUMMYFUNCTION("""COMPUTED_VALUE"""),"")</f>
        <v/>
      </c>
      <c r="Z518" s="189"/>
    </row>
    <row r="519" spans="1:26" ht="12.75">
      <c r="A519" s="189" t="str">
        <f ca="1">IFERROR(__xludf.DUMMYFUNCTION("""COMPUTED_VALUE"""),"")</f>
        <v/>
      </c>
      <c r="B519" s="189" t="str">
        <f ca="1">IFERROR(__xludf.DUMMYFUNCTION("""COMPUTED_VALUE"""),"")</f>
        <v/>
      </c>
      <c r="C519" s="189" t="str">
        <f ca="1">IFERROR(__xludf.DUMMYFUNCTION("""COMPUTED_VALUE"""),"")</f>
        <v/>
      </c>
      <c r="D519" s="189" t="str">
        <f ca="1">IFERROR(__xludf.DUMMYFUNCTION("""COMPUTED_VALUE"""),"")</f>
        <v/>
      </c>
      <c r="E519" s="189" t="str">
        <f ca="1">IFERROR(__xludf.DUMMYFUNCTION("""COMPUTED_VALUE"""),"")</f>
        <v/>
      </c>
      <c r="F519" s="189" t="str">
        <f ca="1">IFERROR(__xludf.DUMMYFUNCTION("""COMPUTED_VALUE"""),"")</f>
        <v/>
      </c>
      <c r="G519" s="189" t="str">
        <f ca="1">IFERROR(__xludf.DUMMYFUNCTION("""COMPUTED_VALUE"""),"")</f>
        <v/>
      </c>
      <c r="H519" s="189" t="str">
        <f ca="1">IFERROR(__xludf.DUMMYFUNCTION("""COMPUTED_VALUE"""),"")</f>
        <v/>
      </c>
      <c r="I519" s="120" t="str">
        <f ca="1">IFERROR(__xludf.DUMMYFUNCTION("""COMPUTED_VALUE"""),"")</f>
        <v/>
      </c>
      <c r="J519" s="189" t="str">
        <f ca="1">IFERROR(__xludf.DUMMYFUNCTION("""COMPUTED_VALUE"""),"")</f>
        <v/>
      </c>
      <c r="K519" s="189" t="str">
        <f ca="1">IFERROR(__xludf.DUMMYFUNCTION("""COMPUTED_VALUE"""),"")</f>
        <v/>
      </c>
      <c r="L519" s="189" t="str">
        <f ca="1">IFERROR(__xludf.DUMMYFUNCTION("""COMPUTED_VALUE"""),"")</f>
        <v/>
      </c>
      <c r="M519" s="189" t="str">
        <f ca="1">IFERROR(__xludf.DUMMYFUNCTION("""COMPUTED_VALUE"""),"")</f>
        <v/>
      </c>
      <c r="N519" s="189" t="str">
        <f ca="1">IFERROR(__xludf.DUMMYFUNCTION("""COMPUTED_VALUE"""),"")</f>
        <v/>
      </c>
      <c r="O519" s="189" t="str">
        <f ca="1">IFERROR(__xludf.DUMMYFUNCTION("""COMPUTED_VALUE"""),"")</f>
        <v/>
      </c>
      <c r="P519" s="189" t="str">
        <f ca="1">IFERROR(__xludf.DUMMYFUNCTION("""COMPUTED_VALUE"""),"")</f>
        <v/>
      </c>
      <c r="Q519" s="189" t="str">
        <f ca="1">IFERROR(__xludf.DUMMYFUNCTION("""COMPUTED_VALUE"""),"")</f>
        <v/>
      </c>
      <c r="R519" s="189" t="str">
        <f ca="1">IFERROR(__xludf.DUMMYFUNCTION("""COMPUTED_VALUE"""),"")</f>
        <v/>
      </c>
      <c r="S519" s="189" t="str">
        <f ca="1">IFERROR(__xludf.DUMMYFUNCTION("""COMPUTED_VALUE"""),"")</f>
        <v/>
      </c>
      <c r="T519" s="189" t="str">
        <f ca="1">IFERROR(__xludf.DUMMYFUNCTION("""COMPUTED_VALUE"""),"")</f>
        <v/>
      </c>
      <c r="U519" s="189" t="str">
        <f ca="1">IFERROR(__xludf.DUMMYFUNCTION("""COMPUTED_VALUE"""),"")</f>
        <v/>
      </c>
      <c r="V519" s="189" t="str">
        <f ca="1">IFERROR(__xludf.DUMMYFUNCTION("""COMPUTED_VALUE"""),"")</f>
        <v/>
      </c>
      <c r="W519" s="189" t="str">
        <f ca="1">IFERROR(__xludf.DUMMYFUNCTION("""COMPUTED_VALUE"""),"")</f>
        <v/>
      </c>
      <c r="X519" s="189" t="str">
        <f ca="1">IFERROR(__xludf.DUMMYFUNCTION("""COMPUTED_VALUE"""),"")</f>
        <v/>
      </c>
      <c r="Y519" s="189" t="str">
        <f ca="1">IFERROR(__xludf.DUMMYFUNCTION("""COMPUTED_VALUE"""),"")</f>
        <v/>
      </c>
      <c r="Z519" s="189"/>
    </row>
    <row r="520" spans="1:26" ht="12.75">
      <c r="A520" s="189" t="str">
        <f ca="1">IFERROR(__xludf.DUMMYFUNCTION("""COMPUTED_VALUE"""),"")</f>
        <v/>
      </c>
      <c r="B520" s="189" t="str">
        <f ca="1">IFERROR(__xludf.DUMMYFUNCTION("""COMPUTED_VALUE"""),"")</f>
        <v/>
      </c>
      <c r="C520" s="189" t="str">
        <f ca="1">IFERROR(__xludf.DUMMYFUNCTION("""COMPUTED_VALUE"""),"")</f>
        <v/>
      </c>
      <c r="D520" s="189" t="str">
        <f ca="1">IFERROR(__xludf.DUMMYFUNCTION("""COMPUTED_VALUE"""),"")</f>
        <v/>
      </c>
      <c r="E520" s="189" t="str">
        <f ca="1">IFERROR(__xludf.DUMMYFUNCTION("""COMPUTED_VALUE"""),"")</f>
        <v/>
      </c>
      <c r="F520" s="189" t="str">
        <f ca="1">IFERROR(__xludf.DUMMYFUNCTION("""COMPUTED_VALUE"""),"")</f>
        <v/>
      </c>
      <c r="G520" s="189" t="str">
        <f ca="1">IFERROR(__xludf.DUMMYFUNCTION("""COMPUTED_VALUE"""),"")</f>
        <v/>
      </c>
      <c r="H520" s="189" t="str">
        <f ca="1">IFERROR(__xludf.DUMMYFUNCTION("""COMPUTED_VALUE"""),"")</f>
        <v/>
      </c>
      <c r="I520" s="120" t="str">
        <f ca="1">IFERROR(__xludf.DUMMYFUNCTION("""COMPUTED_VALUE"""),"")</f>
        <v/>
      </c>
      <c r="J520" s="189" t="str">
        <f ca="1">IFERROR(__xludf.DUMMYFUNCTION("""COMPUTED_VALUE"""),"")</f>
        <v/>
      </c>
      <c r="K520" s="189" t="str">
        <f ca="1">IFERROR(__xludf.DUMMYFUNCTION("""COMPUTED_VALUE"""),"")</f>
        <v/>
      </c>
      <c r="L520" s="189" t="str">
        <f ca="1">IFERROR(__xludf.DUMMYFUNCTION("""COMPUTED_VALUE"""),"")</f>
        <v/>
      </c>
      <c r="M520" s="189" t="str">
        <f ca="1">IFERROR(__xludf.DUMMYFUNCTION("""COMPUTED_VALUE"""),"")</f>
        <v/>
      </c>
      <c r="N520" s="189" t="str">
        <f ca="1">IFERROR(__xludf.DUMMYFUNCTION("""COMPUTED_VALUE"""),"")</f>
        <v/>
      </c>
      <c r="O520" s="189" t="str">
        <f ca="1">IFERROR(__xludf.DUMMYFUNCTION("""COMPUTED_VALUE"""),"")</f>
        <v/>
      </c>
      <c r="P520" s="189" t="str">
        <f ca="1">IFERROR(__xludf.DUMMYFUNCTION("""COMPUTED_VALUE"""),"")</f>
        <v/>
      </c>
      <c r="Q520" s="189" t="str">
        <f ca="1">IFERROR(__xludf.DUMMYFUNCTION("""COMPUTED_VALUE"""),"")</f>
        <v/>
      </c>
      <c r="R520" s="189" t="str">
        <f ca="1">IFERROR(__xludf.DUMMYFUNCTION("""COMPUTED_VALUE"""),"")</f>
        <v/>
      </c>
      <c r="S520" s="189" t="str">
        <f ca="1">IFERROR(__xludf.DUMMYFUNCTION("""COMPUTED_VALUE"""),"")</f>
        <v/>
      </c>
      <c r="T520" s="189" t="str">
        <f ca="1">IFERROR(__xludf.DUMMYFUNCTION("""COMPUTED_VALUE"""),"")</f>
        <v/>
      </c>
      <c r="U520" s="189" t="str">
        <f ca="1">IFERROR(__xludf.DUMMYFUNCTION("""COMPUTED_VALUE"""),"")</f>
        <v/>
      </c>
      <c r="V520" s="189" t="str">
        <f ca="1">IFERROR(__xludf.DUMMYFUNCTION("""COMPUTED_VALUE"""),"")</f>
        <v/>
      </c>
      <c r="W520" s="189" t="str">
        <f ca="1">IFERROR(__xludf.DUMMYFUNCTION("""COMPUTED_VALUE"""),"")</f>
        <v/>
      </c>
      <c r="X520" s="189" t="str">
        <f ca="1">IFERROR(__xludf.DUMMYFUNCTION("""COMPUTED_VALUE"""),"")</f>
        <v/>
      </c>
      <c r="Y520" s="189" t="str">
        <f ca="1">IFERROR(__xludf.DUMMYFUNCTION("""COMPUTED_VALUE"""),"")</f>
        <v/>
      </c>
      <c r="Z520" s="189"/>
    </row>
    <row r="521" spans="1:26" ht="12.75">
      <c r="A521" s="189" t="str">
        <f ca="1">IFERROR(__xludf.DUMMYFUNCTION("""COMPUTED_VALUE"""),"")</f>
        <v/>
      </c>
      <c r="B521" s="189" t="str">
        <f ca="1">IFERROR(__xludf.DUMMYFUNCTION("""COMPUTED_VALUE"""),"")</f>
        <v/>
      </c>
      <c r="C521" s="189" t="str">
        <f ca="1">IFERROR(__xludf.DUMMYFUNCTION("""COMPUTED_VALUE"""),"")</f>
        <v/>
      </c>
      <c r="D521" s="189" t="str">
        <f ca="1">IFERROR(__xludf.DUMMYFUNCTION("""COMPUTED_VALUE"""),"")</f>
        <v/>
      </c>
      <c r="E521" s="189" t="str">
        <f ca="1">IFERROR(__xludf.DUMMYFUNCTION("""COMPUTED_VALUE"""),"")</f>
        <v/>
      </c>
      <c r="F521" s="189" t="str">
        <f ca="1">IFERROR(__xludf.DUMMYFUNCTION("""COMPUTED_VALUE"""),"")</f>
        <v/>
      </c>
      <c r="G521" s="189" t="str">
        <f ca="1">IFERROR(__xludf.DUMMYFUNCTION("""COMPUTED_VALUE"""),"")</f>
        <v/>
      </c>
      <c r="H521" s="189" t="str">
        <f ca="1">IFERROR(__xludf.DUMMYFUNCTION("""COMPUTED_VALUE"""),"")</f>
        <v/>
      </c>
      <c r="I521" s="120" t="str">
        <f ca="1">IFERROR(__xludf.DUMMYFUNCTION("""COMPUTED_VALUE"""),"")</f>
        <v/>
      </c>
      <c r="J521" s="189" t="str">
        <f ca="1">IFERROR(__xludf.DUMMYFUNCTION("""COMPUTED_VALUE"""),"")</f>
        <v/>
      </c>
      <c r="K521" s="189" t="str">
        <f ca="1">IFERROR(__xludf.DUMMYFUNCTION("""COMPUTED_VALUE"""),"")</f>
        <v/>
      </c>
      <c r="L521" s="189" t="str">
        <f ca="1">IFERROR(__xludf.DUMMYFUNCTION("""COMPUTED_VALUE"""),"")</f>
        <v/>
      </c>
      <c r="M521" s="189" t="str">
        <f ca="1">IFERROR(__xludf.DUMMYFUNCTION("""COMPUTED_VALUE"""),"")</f>
        <v/>
      </c>
      <c r="N521" s="189" t="str">
        <f ca="1">IFERROR(__xludf.DUMMYFUNCTION("""COMPUTED_VALUE"""),"")</f>
        <v/>
      </c>
      <c r="O521" s="189" t="str">
        <f ca="1">IFERROR(__xludf.DUMMYFUNCTION("""COMPUTED_VALUE"""),"")</f>
        <v/>
      </c>
      <c r="P521" s="189" t="str">
        <f ca="1">IFERROR(__xludf.DUMMYFUNCTION("""COMPUTED_VALUE"""),"")</f>
        <v/>
      </c>
      <c r="Q521" s="189" t="str">
        <f ca="1">IFERROR(__xludf.DUMMYFUNCTION("""COMPUTED_VALUE"""),"")</f>
        <v/>
      </c>
      <c r="R521" s="189" t="str">
        <f ca="1">IFERROR(__xludf.DUMMYFUNCTION("""COMPUTED_VALUE"""),"")</f>
        <v/>
      </c>
      <c r="S521" s="189" t="str">
        <f ca="1">IFERROR(__xludf.DUMMYFUNCTION("""COMPUTED_VALUE"""),"")</f>
        <v/>
      </c>
      <c r="T521" s="189" t="str">
        <f ca="1">IFERROR(__xludf.DUMMYFUNCTION("""COMPUTED_VALUE"""),"")</f>
        <v/>
      </c>
      <c r="U521" s="189" t="str">
        <f ca="1">IFERROR(__xludf.DUMMYFUNCTION("""COMPUTED_VALUE"""),"")</f>
        <v/>
      </c>
      <c r="V521" s="189" t="str">
        <f ca="1">IFERROR(__xludf.DUMMYFUNCTION("""COMPUTED_VALUE"""),"")</f>
        <v/>
      </c>
      <c r="W521" s="189" t="str">
        <f ca="1">IFERROR(__xludf.DUMMYFUNCTION("""COMPUTED_VALUE"""),"")</f>
        <v/>
      </c>
      <c r="X521" s="189" t="str">
        <f ca="1">IFERROR(__xludf.DUMMYFUNCTION("""COMPUTED_VALUE"""),"")</f>
        <v/>
      </c>
      <c r="Y521" s="189" t="str">
        <f ca="1">IFERROR(__xludf.DUMMYFUNCTION("""COMPUTED_VALUE"""),"")</f>
        <v/>
      </c>
      <c r="Z521" s="189"/>
    </row>
    <row r="522" spans="1:26" ht="12.75">
      <c r="A522" s="189" t="str">
        <f ca="1">IFERROR(__xludf.DUMMYFUNCTION("""COMPUTED_VALUE"""),"")</f>
        <v/>
      </c>
      <c r="B522" s="189" t="str">
        <f ca="1">IFERROR(__xludf.DUMMYFUNCTION("""COMPUTED_VALUE"""),"")</f>
        <v/>
      </c>
      <c r="C522" s="189" t="str">
        <f ca="1">IFERROR(__xludf.DUMMYFUNCTION("""COMPUTED_VALUE"""),"")</f>
        <v/>
      </c>
      <c r="D522" s="189" t="str">
        <f ca="1">IFERROR(__xludf.DUMMYFUNCTION("""COMPUTED_VALUE"""),"")</f>
        <v/>
      </c>
      <c r="E522" s="189" t="str">
        <f ca="1">IFERROR(__xludf.DUMMYFUNCTION("""COMPUTED_VALUE"""),"")</f>
        <v/>
      </c>
      <c r="F522" s="189" t="str">
        <f ca="1">IFERROR(__xludf.DUMMYFUNCTION("""COMPUTED_VALUE"""),"")</f>
        <v/>
      </c>
      <c r="G522" s="189" t="str">
        <f ca="1">IFERROR(__xludf.DUMMYFUNCTION("""COMPUTED_VALUE"""),"")</f>
        <v/>
      </c>
      <c r="H522" s="189" t="str">
        <f ca="1">IFERROR(__xludf.DUMMYFUNCTION("""COMPUTED_VALUE"""),"")</f>
        <v/>
      </c>
      <c r="I522" s="120" t="str">
        <f ca="1">IFERROR(__xludf.DUMMYFUNCTION("""COMPUTED_VALUE"""),"")</f>
        <v/>
      </c>
      <c r="J522" s="189" t="str">
        <f ca="1">IFERROR(__xludf.DUMMYFUNCTION("""COMPUTED_VALUE"""),"")</f>
        <v/>
      </c>
      <c r="K522" s="189" t="str">
        <f ca="1">IFERROR(__xludf.DUMMYFUNCTION("""COMPUTED_VALUE"""),"")</f>
        <v/>
      </c>
      <c r="L522" s="189" t="str">
        <f ca="1">IFERROR(__xludf.DUMMYFUNCTION("""COMPUTED_VALUE"""),"")</f>
        <v/>
      </c>
      <c r="M522" s="189" t="str">
        <f ca="1">IFERROR(__xludf.DUMMYFUNCTION("""COMPUTED_VALUE"""),"")</f>
        <v/>
      </c>
      <c r="N522" s="189" t="str">
        <f ca="1">IFERROR(__xludf.DUMMYFUNCTION("""COMPUTED_VALUE"""),"")</f>
        <v/>
      </c>
      <c r="O522" s="189" t="str">
        <f ca="1">IFERROR(__xludf.DUMMYFUNCTION("""COMPUTED_VALUE"""),"")</f>
        <v/>
      </c>
      <c r="P522" s="189" t="str">
        <f ca="1">IFERROR(__xludf.DUMMYFUNCTION("""COMPUTED_VALUE"""),"")</f>
        <v/>
      </c>
      <c r="Q522" s="189" t="str">
        <f ca="1">IFERROR(__xludf.DUMMYFUNCTION("""COMPUTED_VALUE"""),"")</f>
        <v/>
      </c>
      <c r="R522" s="189" t="str">
        <f ca="1">IFERROR(__xludf.DUMMYFUNCTION("""COMPUTED_VALUE"""),"")</f>
        <v/>
      </c>
      <c r="S522" s="189" t="str">
        <f ca="1">IFERROR(__xludf.DUMMYFUNCTION("""COMPUTED_VALUE"""),"")</f>
        <v/>
      </c>
      <c r="T522" s="189" t="str">
        <f ca="1">IFERROR(__xludf.DUMMYFUNCTION("""COMPUTED_VALUE"""),"")</f>
        <v/>
      </c>
      <c r="U522" s="189" t="str">
        <f ca="1">IFERROR(__xludf.DUMMYFUNCTION("""COMPUTED_VALUE"""),"")</f>
        <v/>
      </c>
      <c r="V522" s="189" t="str">
        <f ca="1">IFERROR(__xludf.DUMMYFUNCTION("""COMPUTED_VALUE"""),"")</f>
        <v/>
      </c>
      <c r="W522" s="189" t="str">
        <f ca="1">IFERROR(__xludf.DUMMYFUNCTION("""COMPUTED_VALUE"""),"")</f>
        <v/>
      </c>
      <c r="X522" s="189" t="str">
        <f ca="1">IFERROR(__xludf.DUMMYFUNCTION("""COMPUTED_VALUE"""),"")</f>
        <v/>
      </c>
      <c r="Y522" s="189" t="str">
        <f ca="1">IFERROR(__xludf.DUMMYFUNCTION("""COMPUTED_VALUE"""),"")</f>
        <v/>
      </c>
      <c r="Z522" s="189"/>
    </row>
    <row r="523" spans="1:26" ht="12.75">
      <c r="A523" s="189" t="str">
        <f ca="1">IFERROR(__xludf.DUMMYFUNCTION("""COMPUTED_VALUE"""),"")</f>
        <v/>
      </c>
      <c r="B523" s="189" t="str">
        <f ca="1">IFERROR(__xludf.DUMMYFUNCTION("""COMPUTED_VALUE"""),"")</f>
        <v/>
      </c>
      <c r="C523" s="189" t="str">
        <f ca="1">IFERROR(__xludf.DUMMYFUNCTION("""COMPUTED_VALUE"""),"")</f>
        <v/>
      </c>
      <c r="D523" s="189" t="str">
        <f ca="1">IFERROR(__xludf.DUMMYFUNCTION("""COMPUTED_VALUE"""),"")</f>
        <v/>
      </c>
      <c r="E523" s="189" t="str">
        <f ca="1">IFERROR(__xludf.DUMMYFUNCTION("""COMPUTED_VALUE"""),"")</f>
        <v/>
      </c>
      <c r="F523" s="189" t="str">
        <f ca="1">IFERROR(__xludf.DUMMYFUNCTION("""COMPUTED_VALUE"""),"")</f>
        <v/>
      </c>
      <c r="G523" s="189" t="str">
        <f ca="1">IFERROR(__xludf.DUMMYFUNCTION("""COMPUTED_VALUE"""),"")</f>
        <v/>
      </c>
      <c r="H523" s="189" t="str">
        <f ca="1">IFERROR(__xludf.DUMMYFUNCTION("""COMPUTED_VALUE"""),"")</f>
        <v/>
      </c>
      <c r="I523" s="120" t="str">
        <f ca="1">IFERROR(__xludf.DUMMYFUNCTION("""COMPUTED_VALUE"""),"")</f>
        <v/>
      </c>
      <c r="J523" s="189" t="str">
        <f ca="1">IFERROR(__xludf.DUMMYFUNCTION("""COMPUTED_VALUE"""),"")</f>
        <v/>
      </c>
      <c r="K523" s="189" t="str">
        <f ca="1">IFERROR(__xludf.DUMMYFUNCTION("""COMPUTED_VALUE"""),"")</f>
        <v/>
      </c>
      <c r="L523" s="189" t="str">
        <f ca="1">IFERROR(__xludf.DUMMYFUNCTION("""COMPUTED_VALUE"""),"")</f>
        <v/>
      </c>
      <c r="M523" s="189" t="str">
        <f ca="1">IFERROR(__xludf.DUMMYFUNCTION("""COMPUTED_VALUE"""),"")</f>
        <v/>
      </c>
      <c r="N523" s="189" t="str">
        <f ca="1">IFERROR(__xludf.DUMMYFUNCTION("""COMPUTED_VALUE"""),"")</f>
        <v/>
      </c>
      <c r="O523" s="189" t="str">
        <f ca="1">IFERROR(__xludf.DUMMYFUNCTION("""COMPUTED_VALUE"""),"")</f>
        <v/>
      </c>
      <c r="P523" s="189" t="str">
        <f ca="1">IFERROR(__xludf.DUMMYFUNCTION("""COMPUTED_VALUE"""),"")</f>
        <v/>
      </c>
      <c r="Q523" s="189" t="str">
        <f ca="1">IFERROR(__xludf.DUMMYFUNCTION("""COMPUTED_VALUE"""),"")</f>
        <v/>
      </c>
      <c r="R523" s="189" t="str">
        <f ca="1">IFERROR(__xludf.DUMMYFUNCTION("""COMPUTED_VALUE"""),"")</f>
        <v/>
      </c>
      <c r="S523" s="189" t="str">
        <f ca="1">IFERROR(__xludf.DUMMYFUNCTION("""COMPUTED_VALUE"""),"")</f>
        <v/>
      </c>
      <c r="T523" s="189" t="str">
        <f ca="1">IFERROR(__xludf.DUMMYFUNCTION("""COMPUTED_VALUE"""),"")</f>
        <v/>
      </c>
      <c r="U523" s="189" t="str">
        <f ca="1">IFERROR(__xludf.DUMMYFUNCTION("""COMPUTED_VALUE"""),"")</f>
        <v/>
      </c>
      <c r="V523" s="189" t="str">
        <f ca="1">IFERROR(__xludf.DUMMYFUNCTION("""COMPUTED_VALUE"""),"")</f>
        <v/>
      </c>
      <c r="W523" s="189" t="str">
        <f ca="1">IFERROR(__xludf.DUMMYFUNCTION("""COMPUTED_VALUE"""),"")</f>
        <v/>
      </c>
      <c r="X523" s="189" t="str">
        <f ca="1">IFERROR(__xludf.DUMMYFUNCTION("""COMPUTED_VALUE"""),"")</f>
        <v/>
      </c>
      <c r="Y523" s="189" t="str">
        <f ca="1">IFERROR(__xludf.DUMMYFUNCTION("""COMPUTED_VALUE"""),"")</f>
        <v/>
      </c>
      <c r="Z523" s="189"/>
    </row>
    <row r="524" spans="1:26" ht="12.75">
      <c r="A524" s="189" t="str">
        <f ca="1">IFERROR(__xludf.DUMMYFUNCTION("""COMPUTED_VALUE"""),"")</f>
        <v/>
      </c>
      <c r="B524" s="189" t="str">
        <f ca="1">IFERROR(__xludf.DUMMYFUNCTION("""COMPUTED_VALUE"""),"")</f>
        <v/>
      </c>
      <c r="C524" s="189" t="str">
        <f ca="1">IFERROR(__xludf.DUMMYFUNCTION("""COMPUTED_VALUE"""),"")</f>
        <v/>
      </c>
      <c r="D524" s="189" t="str">
        <f ca="1">IFERROR(__xludf.DUMMYFUNCTION("""COMPUTED_VALUE"""),"")</f>
        <v/>
      </c>
      <c r="E524" s="189" t="str">
        <f ca="1">IFERROR(__xludf.DUMMYFUNCTION("""COMPUTED_VALUE"""),"")</f>
        <v/>
      </c>
      <c r="F524" s="189" t="str">
        <f ca="1">IFERROR(__xludf.DUMMYFUNCTION("""COMPUTED_VALUE"""),"")</f>
        <v/>
      </c>
      <c r="G524" s="189" t="str">
        <f ca="1">IFERROR(__xludf.DUMMYFUNCTION("""COMPUTED_VALUE"""),"")</f>
        <v/>
      </c>
      <c r="H524" s="189" t="str">
        <f ca="1">IFERROR(__xludf.DUMMYFUNCTION("""COMPUTED_VALUE"""),"")</f>
        <v/>
      </c>
      <c r="I524" s="120" t="str">
        <f ca="1">IFERROR(__xludf.DUMMYFUNCTION("""COMPUTED_VALUE"""),"")</f>
        <v/>
      </c>
      <c r="J524" s="189" t="str">
        <f ca="1">IFERROR(__xludf.DUMMYFUNCTION("""COMPUTED_VALUE"""),"")</f>
        <v/>
      </c>
      <c r="K524" s="189" t="str">
        <f ca="1">IFERROR(__xludf.DUMMYFUNCTION("""COMPUTED_VALUE"""),"")</f>
        <v/>
      </c>
      <c r="L524" s="189" t="str">
        <f ca="1">IFERROR(__xludf.DUMMYFUNCTION("""COMPUTED_VALUE"""),"")</f>
        <v/>
      </c>
      <c r="M524" s="189" t="str">
        <f ca="1">IFERROR(__xludf.DUMMYFUNCTION("""COMPUTED_VALUE"""),"")</f>
        <v/>
      </c>
      <c r="N524" s="189" t="str">
        <f ca="1">IFERROR(__xludf.DUMMYFUNCTION("""COMPUTED_VALUE"""),"")</f>
        <v/>
      </c>
      <c r="O524" s="189" t="str">
        <f ca="1">IFERROR(__xludf.DUMMYFUNCTION("""COMPUTED_VALUE"""),"")</f>
        <v/>
      </c>
      <c r="P524" s="189" t="str">
        <f ca="1">IFERROR(__xludf.DUMMYFUNCTION("""COMPUTED_VALUE"""),"")</f>
        <v/>
      </c>
      <c r="Q524" s="189" t="str">
        <f ca="1">IFERROR(__xludf.DUMMYFUNCTION("""COMPUTED_VALUE"""),"")</f>
        <v/>
      </c>
      <c r="R524" s="189" t="str">
        <f ca="1">IFERROR(__xludf.DUMMYFUNCTION("""COMPUTED_VALUE"""),"")</f>
        <v/>
      </c>
      <c r="S524" s="189" t="str">
        <f ca="1">IFERROR(__xludf.DUMMYFUNCTION("""COMPUTED_VALUE"""),"")</f>
        <v/>
      </c>
      <c r="T524" s="189" t="str">
        <f ca="1">IFERROR(__xludf.DUMMYFUNCTION("""COMPUTED_VALUE"""),"")</f>
        <v/>
      </c>
      <c r="U524" s="189" t="str">
        <f ca="1">IFERROR(__xludf.DUMMYFUNCTION("""COMPUTED_VALUE"""),"")</f>
        <v/>
      </c>
      <c r="V524" s="189" t="str">
        <f ca="1">IFERROR(__xludf.DUMMYFUNCTION("""COMPUTED_VALUE"""),"")</f>
        <v/>
      </c>
      <c r="W524" s="189" t="str">
        <f ca="1">IFERROR(__xludf.DUMMYFUNCTION("""COMPUTED_VALUE"""),"")</f>
        <v/>
      </c>
      <c r="X524" s="189" t="str">
        <f ca="1">IFERROR(__xludf.DUMMYFUNCTION("""COMPUTED_VALUE"""),"")</f>
        <v/>
      </c>
      <c r="Y524" s="189" t="str">
        <f ca="1">IFERROR(__xludf.DUMMYFUNCTION("""COMPUTED_VALUE"""),"")</f>
        <v/>
      </c>
      <c r="Z524" s="189"/>
    </row>
    <row r="525" spans="1:26" ht="12.75">
      <c r="A525" s="189" t="str">
        <f ca="1">IFERROR(__xludf.DUMMYFUNCTION("""COMPUTED_VALUE"""),"")</f>
        <v/>
      </c>
      <c r="B525" s="189" t="str">
        <f ca="1">IFERROR(__xludf.DUMMYFUNCTION("""COMPUTED_VALUE"""),"")</f>
        <v/>
      </c>
      <c r="C525" s="189" t="str">
        <f ca="1">IFERROR(__xludf.DUMMYFUNCTION("""COMPUTED_VALUE"""),"")</f>
        <v/>
      </c>
      <c r="D525" s="189" t="str">
        <f ca="1">IFERROR(__xludf.DUMMYFUNCTION("""COMPUTED_VALUE"""),"")</f>
        <v/>
      </c>
      <c r="E525" s="189" t="str">
        <f ca="1">IFERROR(__xludf.DUMMYFUNCTION("""COMPUTED_VALUE"""),"")</f>
        <v/>
      </c>
      <c r="F525" s="189" t="str">
        <f ca="1">IFERROR(__xludf.DUMMYFUNCTION("""COMPUTED_VALUE"""),"")</f>
        <v/>
      </c>
      <c r="G525" s="189" t="str">
        <f ca="1">IFERROR(__xludf.DUMMYFUNCTION("""COMPUTED_VALUE"""),"")</f>
        <v/>
      </c>
      <c r="H525" s="189" t="str">
        <f ca="1">IFERROR(__xludf.DUMMYFUNCTION("""COMPUTED_VALUE"""),"")</f>
        <v/>
      </c>
      <c r="I525" s="120" t="str">
        <f ca="1">IFERROR(__xludf.DUMMYFUNCTION("""COMPUTED_VALUE"""),"")</f>
        <v/>
      </c>
      <c r="J525" s="189" t="str">
        <f ca="1">IFERROR(__xludf.DUMMYFUNCTION("""COMPUTED_VALUE"""),"")</f>
        <v/>
      </c>
      <c r="K525" s="189" t="str">
        <f ca="1">IFERROR(__xludf.DUMMYFUNCTION("""COMPUTED_VALUE"""),"")</f>
        <v/>
      </c>
      <c r="L525" s="189" t="str">
        <f ca="1">IFERROR(__xludf.DUMMYFUNCTION("""COMPUTED_VALUE"""),"")</f>
        <v/>
      </c>
      <c r="M525" s="189" t="str">
        <f ca="1">IFERROR(__xludf.DUMMYFUNCTION("""COMPUTED_VALUE"""),"")</f>
        <v/>
      </c>
      <c r="N525" s="189" t="str">
        <f ca="1">IFERROR(__xludf.DUMMYFUNCTION("""COMPUTED_VALUE"""),"")</f>
        <v/>
      </c>
      <c r="O525" s="189" t="str">
        <f ca="1">IFERROR(__xludf.DUMMYFUNCTION("""COMPUTED_VALUE"""),"")</f>
        <v/>
      </c>
      <c r="P525" s="189" t="str">
        <f ca="1">IFERROR(__xludf.DUMMYFUNCTION("""COMPUTED_VALUE"""),"")</f>
        <v/>
      </c>
      <c r="Q525" s="189" t="str">
        <f ca="1">IFERROR(__xludf.DUMMYFUNCTION("""COMPUTED_VALUE"""),"")</f>
        <v/>
      </c>
      <c r="R525" s="189" t="str">
        <f ca="1">IFERROR(__xludf.DUMMYFUNCTION("""COMPUTED_VALUE"""),"")</f>
        <v/>
      </c>
      <c r="S525" s="189" t="str">
        <f ca="1">IFERROR(__xludf.DUMMYFUNCTION("""COMPUTED_VALUE"""),"")</f>
        <v/>
      </c>
      <c r="T525" s="189" t="str">
        <f ca="1">IFERROR(__xludf.DUMMYFUNCTION("""COMPUTED_VALUE"""),"")</f>
        <v/>
      </c>
      <c r="U525" s="189" t="str">
        <f ca="1">IFERROR(__xludf.DUMMYFUNCTION("""COMPUTED_VALUE"""),"")</f>
        <v/>
      </c>
      <c r="V525" s="189" t="str">
        <f ca="1">IFERROR(__xludf.DUMMYFUNCTION("""COMPUTED_VALUE"""),"")</f>
        <v/>
      </c>
      <c r="W525" s="189" t="str">
        <f ca="1">IFERROR(__xludf.DUMMYFUNCTION("""COMPUTED_VALUE"""),"")</f>
        <v/>
      </c>
      <c r="X525" s="189" t="str">
        <f ca="1">IFERROR(__xludf.DUMMYFUNCTION("""COMPUTED_VALUE"""),"")</f>
        <v/>
      </c>
      <c r="Y525" s="189" t="str">
        <f ca="1">IFERROR(__xludf.DUMMYFUNCTION("""COMPUTED_VALUE"""),"")</f>
        <v/>
      </c>
      <c r="Z525" s="189"/>
    </row>
    <row r="526" spans="1:26" ht="12.75">
      <c r="A526" s="189" t="str">
        <f ca="1">IFERROR(__xludf.DUMMYFUNCTION("""COMPUTED_VALUE"""),"")</f>
        <v/>
      </c>
      <c r="B526" s="189" t="str">
        <f ca="1">IFERROR(__xludf.DUMMYFUNCTION("""COMPUTED_VALUE"""),"")</f>
        <v/>
      </c>
      <c r="C526" s="189" t="str">
        <f ca="1">IFERROR(__xludf.DUMMYFUNCTION("""COMPUTED_VALUE"""),"")</f>
        <v/>
      </c>
      <c r="D526" s="189" t="str">
        <f ca="1">IFERROR(__xludf.DUMMYFUNCTION("""COMPUTED_VALUE"""),"")</f>
        <v/>
      </c>
      <c r="E526" s="189" t="str">
        <f ca="1">IFERROR(__xludf.DUMMYFUNCTION("""COMPUTED_VALUE"""),"")</f>
        <v/>
      </c>
      <c r="F526" s="189" t="str">
        <f ca="1">IFERROR(__xludf.DUMMYFUNCTION("""COMPUTED_VALUE"""),"")</f>
        <v/>
      </c>
      <c r="G526" s="189" t="str">
        <f ca="1">IFERROR(__xludf.DUMMYFUNCTION("""COMPUTED_VALUE"""),"")</f>
        <v/>
      </c>
      <c r="H526" s="189" t="str">
        <f ca="1">IFERROR(__xludf.DUMMYFUNCTION("""COMPUTED_VALUE"""),"")</f>
        <v/>
      </c>
      <c r="I526" s="120" t="str">
        <f ca="1">IFERROR(__xludf.DUMMYFUNCTION("""COMPUTED_VALUE"""),"")</f>
        <v/>
      </c>
      <c r="J526" s="189" t="str">
        <f ca="1">IFERROR(__xludf.DUMMYFUNCTION("""COMPUTED_VALUE"""),"")</f>
        <v/>
      </c>
      <c r="K526" s="189" t="str">
        <f ca="1">IFERROR(__xludf.DUMMYFUNCTION("""COMPUTED_VALUE"""),"")</f>
        <v/>
      </c>
      <c r="L526" s="189" t="str">
        <f ca="1">IFERROR(__xludf.DUMMYFUNCTION("""COMPUTED_VALUE"""),"")</f>
        <v/>
      </c>
      <c r="M526" s="189" t="str">
        <f ca="1">IFERROR(__xludf.DUMMYFUNCTION("""COMPUTED_VALUE"""),"")</f>
        <v/>
      </c>
      <c r="N526" s="189" t="str">
        <f ca="1">IFERROR(__xludf.DUMMYFUNCTION("""COMPUTED_VALUE"""),"")</f>
        <v/>
      </c>
      <c r="O526" s="189" t="str">
        <f ca="1">IFERROR(__xludf.DUMMYFUNCTION("""COMPUTED_VALUE"""),"")</f>
        <v/>
      </c>
      <c r="P526" s="189" t="str">
        <f ca="1">IFERROR(__xludf.DUMMYFUNCTION("""COMPUTED_VALUE"""),"")</f>
        <v/>
      </c>
      <c r="Q526" s="189" t="str">
        <f ca="1">IFERROR(__xludf.DUMMYFUNCTION("""COMPUTED_VALUE"""),"")</f>
        <v/>
      </c>
      <c r="R526" s="189" t="str">
        <f ca="1">IFERROR(__xludf.DUMMYFUNCTION("""COMPUTED_VALUE"""),"")</f>
        <v/>
      </c>
      <c r="S526" s="189" t="str">
        <f ca="1">IFERROR(__xludf.DUMMYFUNCTION("""COMPUTED_VALUE"""),"")</f>
        <v/>
      </c>
      <c r="T526" s="189" t="str">
        <f ca="1">IFERROR(__xludf.DUMMYFUNCTION("""COMPUTED_VALUE"""),"")</f>
        <v/>
      </c>
      <c r="U526" s="189" t="str">
        <f ca="1">IFERROR(__xludf.DUMMYFUNCTION("""COMPUTED_VALUE"""),"")</f>
        <v/>
      </c>
      <c r="V526" s="189" t="str">
        <f ca="1">IFERROR(__xludf.DUMMYFUNCTION("""COMPUTED_VALUE"""),"")</f>
        <v/>
      </c>
      <c r="W526" s="189" t="str">
        <f ca="1">IFERROR(__xludf.DUMMYFUNCTION("""COMPUTED_VALUE"""),"")</f>
        <v/>
      </c>
      <c r="X526" s="189" t="str">
        <f ca="1">IFERROR(__xludf.DUMMYFUNCTION("""COMPUTED_VALUE"""),"")</f>
        <v/>
      </c>
      <c r="Y526" s="189" t="str">
        <f ca="1">IFERROR(__xludf.DUMMYFUNCTION("""COMPUTED_VALUE"""),"")</f>
        <v/>
      </c>
      <c r="Z526" s="189"/>
    </row>
    <row r="527" spans="1:26" ht="12.75">
      <c r="A527" s="189" t="str">
        <f ca="1">IFERROR(__xludf.DUMMYFUNCTION("""COMPUTED_VALUE"""),"")</f>
        <v/>
      </c>
      <c r="B527" s="189" t="str">
        <f ca="1">IFERROR(__xludf.DUMMYFUNCTION("""COMPUTED_VALUE"""),"")</f>
        <v/>
      </c>
      <c r="C527" s="189" t="str">
        <f ca="1">IFERROR(__xludf.DUMMYFUNCTION("""COMPUTED_VALUE"""),"")</f>
        <v/>
      </c>
      <c r="D527" s="189" t="str">
        <f ca="1">IFERROR(__xludf.DUMMYFUNCTION("""COMPUTED_VALUE"""),"")</f>
        <v/>
      </c>
      <c r="E527" s="189" t="str">
        <f ca="1">IFERROR(__xludf.DUMMYFUNCTION("""COMPUTED_VALUE"""),"")</f>
        <v/>
      </c>
      <c r="F527" s="189" t="str">
        <f ca="1">IFERROR(__xludf.DUMMYFUNCTION("""COMPUTED_VALUE"""),"")</f>
        <v/>
      </c>
      <c r="G527" s="189" t="str">
        <f ca="1">IFERROR(__xludf.DUMMYFUNCTION("""COMPUTED_VALUE"""),"")</f>
        <v/>
      </c>
      <c r="H527" s="189" t="str">
        <f ca="1">IFERROR(__xludf.DUMMYFUNCTION("""COMPUTED_VALUE"""),"")</f>
        <v/>
      </c>
      <c r="I527" s="120" t="str">
        <f ca="1">IFERROR(__xludf.DUMMYFUNCTION("""COMPUTED_VALUE"""),"")</f>
        <v/>
      </c>
      <c r="J527" s="189" t="str">
        <f ca="1">IFERROR(__xludf.DUMMYFUNCTION("""COMPUTED_VALUE"""),"")</f>
        <v/>
      </c>
      <c r="K527" s="189" t="str">
        <f ca="1">IFERROR(__xludf.DUMMYFUNCTION("""COMPUTED_VALUE"""),"")</f>
        <v/>
      </c>
      <c r="L527" s="189" t="str">
        <f ca="1">IFERROR(__xludf.DUMMYFUNCTION("""COMPUTED_VALUE"""),"")</f>
        <v/>
      </c>
      <c r="M527" s="189" t="str">
        <f ca="1">IFERROR(__xludf.DUMMYFUNCTION("""COMPUTED_VALUE"""),"")</f>
        <v/>
      </c>
      <c r="N527" s="189" t="str">
        <f ca="1">IFERROR(__xludf.DUMMYFUNCTION("""COMPUTED_VALUE"""),"")</f>
        <v/>
      </c>
      <c r="O527" s="189" t="str">
        <f ca="1">IFERROR(__xludf.DUMMYFUNCTION("""COMPUTED_VALUE"""),"")</f>
        <v/>
      </c>
      <c r="P527" s="189" t="str">
        <f ca="1">IFERROR(__xludf.DUMMYFUNCTION("""COMPUTED_VALUE"""),"")</f>
        <v/>
      </c>
      <c r="Q527" s="189" t="str">
        <f ca="1">IFERROR(__xludf.DUMMYFUNCTION("""COMPUTED_VALUE"""),"")</f>
        <v/>
      </c>
      <c r="R527" s="189" t="str">
        <f ca="1">IFERROR(__xludf.DUMMYFUNCTION("""COMPUTED_VALUE"""),"")</f>
        <v/>
      </c>
      <c r="S527" s="189" t="str">
        <f ca="1">IFERROR(__xludf.DUMMYFUNCTION("""COMPUTED_VALUE"""),"")</f>
        <v/>
      </c>
      <c r="T527" s="189" t="str">
        <f ca="1">IFERROR(__xludf.DUMMYFUNCTION("""COMPUTED_VALUE"""),"")</f>
        <v/>
      </c>
      <c r="U527" s="189" t="str">
        <f ca="1">IFERROR(__xludf.DUMMYFUNCTION("""COMPUTED_VALUE"""),"")</f>
        <v/>
      </c>
      <c r="V527" s="189" t="str">
        <f ca="1">IFERROR(__xludf.DUMMYFUNCTION("""COMPUTED_VALUE"""),"")</f>
        <v/>
      </c>
      <c r="W527" s="189" t="str">
        <f ca="1">IFERROR(__xludf.DUMMYFUNCTION("""COMPUTED_VALUE"""),"")</f>
        <v/>
      </c>
      <c r="X527" s="189" t="str">
        <f ca="1">IFERROR(__xludf.DUMMYFUNCTION("""COMPUTED_VALUE"""),"")</f>
        <v/>
      </c>
      <c r="Y527" s="189" t="str">
        <f ca="1">IFERROR(__xludf.DUMMYFUNCTION("""COMPUTED_VALUE"""),"")</f>
        <v/>
      </c>
      <c r="Z527" s="189"/>
    </row>
    <row r="528" spans="1:26" ht="12.75">
      <c r="A528" s="189" t="str">
        <f ca="1">IFERROR(__xludf.DUMMYFUNCTION("""COMPUTED_VALUE"""),"")</f>
        <v/>
      </c>
      <c r="B528" s="189" t="str">
        <f ca="1">IFERROR(__xludf.DUMMYFUNCTION("""COMPUTED_VALUE"""),"")</f>
        <v/>
      </c>
      <c r="C528" s="189" t="str">
        <f ca="1">IFERROR(__xludf.DUMMYFUNCTION("""COMPUTED_VALUE"""),"")</f>
        <v/>
      </c>
      <c r="D528" s="189" t="str">
        <f ca="1">IFERROR(__xludf.DUMMYFUNCTION("""COMPUTED_VALUE"""),"")</f>
        <v/>
      </c>
      <c r="E528" s="189" t="str">
        <f ca="1">IFERROR(__xludf.DUMMYFUNCTION("""COMPUTED_VALUE"""),"")</f>
        <v/>
      </c>
      <c r="F528" s="189" t="str">
        <f ca="1">IFERROR(__xludf.DUMMYFUNCTION("""COMPUTED_VALUE"""),"")</f>
        <v/>
      </c>
      <c r="G528" s="189" t="str">
        <f ca="1">IFERROR(__xludf.DUMMYFUNCTION("""COMPUTED_VALUE"""),"")</f>
        <v/>
      </c>
      <c r="H528" s="189" t="str">
        <f ca="1">IFERROR(__xludf.DUMMYFUNCTION("""COMPUTED_VALUE"""),"")</f>
        <v/>
      </c>
      <c r="I528" s="120" t="str">
        <f ca="1">IFERROR(__xludf.DUMMYFUNCTION("""COMPUTED_VALUE"""),"")</f>
        <v/>
      </c>
      <c r="J528" s="189" t="str">
        <f ca="1">IFERROR(__xludf.DUMMYFUNCTION("""COMPUTED_VALUE"""),"")</f>
        <v/>
      </c>
      <c r="K528" s="189" t="str">
        <f ca="1">IFERROR(__xludf.DUMMYFUNCTION("""COMPUTED_VALUE"""),"")</f>
        <v/>
      </c>
      <c r="L528" s="189" t="str">
        <f ca="1">IFERROR(__xludf.DUMMYFUNCTION("""COMPUTED_VALUE"""),"")</f>
        <v/>
      </c>
      <c r="M528" s="189" t="str">
        <f ca="1">IFERROR(__xludf.DUMMYFUNCTION("""COMPUTED_VALUE"""),"")</f>
        <v/>
      </c>
      <c r="N528" s="189" t="str">
        <f ca="1">IFERROR(__xludf.DUMMYFUNCTION("""COMPUTED_VALUE"""),"")</f>
        <v/>
      </c>
      <c r="O528" s="189" t="str">
        <f ca="1">IFERROR(__xludf.DUMMYFUNCTION("""COMPUTED_VALUE"""),"")</f>
        <v/>
      </c>
      <c r="P528" s="189" t="str">
        <f ca="1">IFERROR(__xludf.DUMMYFUNCTION("""COMPUTED_VALUE"""),"")</f>
        <v/>
      </c>
      <c r="Q528" s="189" t="str">
        <f ca="1">IFERROR(__xludf.DUMMYFUNCTION("""COMPUTED_VALUE"""),"")</f>
        <v/>
      </c>
      <c r="R528" s="189" t="str">
        <f ca="1">IFERROR(__xludf.DUMMYFUNCTION("""COMPUTED_VALUE"""),"")</f>
        <v/>
      </c>
      <c r="S528" s="189" t="str">
        <f ca="1">IFERROR(__xludf.DUMMYFUNCTION("""COMPUTED_VALUE"""),"")</f>
        <v/>
      </c>
      <c r="T528" s="189" t="str">
        <f ca="1">IFERROR(__xludf.DUMMYFUNCTION("""COMPUTED_VALUE"""),"")</f>
        <v/>
      </c>
      <c r="U528" s="189" t="str">
        <f ca="1">IFERROR(__xludf.DUMMYFUNCTION("""COMPUTED_VALUE"""),"")</f>
        <v/>
      </c>
      <c r="V528" s="189" t="str">
        <f ca="1">IFERROR(__xludf.DUMMYFUNCTION("""COMPUTED_VALUE"""),"")</f>
        <v/>
      </c>
      <c r="W528" s="189" t="str">
        <f ca="1">IFERROR(__xludf.DUMMYFUNCTION("""COMPUTED_VALUE"""),"")</f>
        <v/>
      </c>
      <c r="X528" s="189" t="str">
        <f ca="1">IFERROR(__xludf.DUMMYFUNCTION("""COMPUTED_VALUE"""),"")</f>
        <v/>
      </c>
      <c r="Y528" s="189" t="str">
        <f ca="1">IFERROR(__xludf.DUMMYFUNCTION("""COMPUTED_VALUE"""),"")</f>
        <v/>
      </c>
      <c r="Z528" s="189"/>
    </row>
    <row r="529" spans="1:26" ht="12.75">
      <c r="A529" s="189" t="str">
        <f ca="1">IFERROR(__xludf.DUMMYFUNCTION("""COMPUTED_VALUE"""),"")</f>
        <v/>
      </c>
      <c r="B529" s="189" t="str">
        <f ca="1">IFERROR(__xludf.DUMMYFUNCTION("""COMPUTED_VALUE"""),"")</f>
        <v/>
      </c>
      <c r="C529" s="189" t="str">
        <f ca="1">IFERROR(__xludf.DUMMYFUNCTION("""COMPUTED_VALUE"""),"")</f>
        <v/>
      </c>
      <c r="D529" s="189" t="str">
        <f ca="1">IFERROR(__xludf.DUMMYFUNCTION("""COMPUTED_VALUE"""),"")</f>
        <v/>
      </c>
      <c r="E529" s="189" t="str">
        <f ca="1">IFERROR(__xludf.DUMMYFUNCTION("""COMPUTED_VALUE"""),"")</f>
        <v/>
      </c>
      <c r="F529" s="189" t="str">
        <f ca="1">IFERROR(__xludf.DUMMYFUNCTION("""COMPUTED_VALUE"""),"")</f>
        <v/>
      </c>
      <c r="G529" s="189" t="str">
        <f ca="1">IFERROR(__xludf.DUMMYFUNCTION("""COMPUTED_VALUE"""),"")</f>
        <v/>
      </c>
      <c r="H529" s="189" t="str">
        <f ca="1">IFERROR(__xludf.DUMMYFUNCTION("""COMPUTED_VALUE"""),"")</f>
        <v/>
      </c>
      <c r="I529" s="120" t="str">
        <f ca="1">IFERROR(__xludf.DUMMYFUNCTION("""COMPUTED_VALUE"""),"")</f>
        <v/>
      </c>
      <c r="J529" s="189" t="str">
        <f ca="1">IFERROR(__xludf.DUMMYFUNCTION("""COMPUTED_VALUE"""),"")</f>
        <v/>
      </c>
      <c r="K529" s="189" t="str">
        <f ca="1">IFERROR(__xludf.DUMMYFUNCTION("""COMPUTED_VALUE"""),"")</f>
        <v/>
      </c>
      <c r="L529" s="189" t="str">
        <f ca="1">IFERROR(__xludf.DUMMYFUNCTION("""COMPUTED_VALUE"""),"")</f>
        <v/>
      </c>
      <c r="M529" s="189" t="str">
        <f ca="1">IFERROR(__xludf.DUMMYFUNCTION("""COMPUTED_VALUE"""),"")</f>
        <v/>
      </c>
      <c r="N529" s="189" t="str">
        <f ca="1">IFERROR(__xludf.DUMMYFUNCTION("""COMPUTED_VALUE"""),"")</f>
        <v/>
      </c>
      <c r="O529" s="189" t="str">
        <f ca="1">IFERROR(__xludf.DUMMYFUNCTION("""COMPUTED_VALUE"""),"")</f>
        <v/>
      </c>
      <c r="P529" s="189" t="str">
        <f ca="1">IFERROR(__xludf.DUMMYFUNCTION("""COMPUTED_VALUE"""),"")</f>
        <v/>
      </c>
      <c r="Q529" s="189" t="str">
        <f ca="1">IFERROR(__xludf.DUMMYFUNCTION("""COMPUTED_VALUE"""),"")</f>
        <v/>
      </c>
      <c r="R529" s="189" t="str">
        <f ca="1">IFERROR(__xludf.DUMMYFUNCTION("""COMPUTED_VALUE"""),"")</f>
        <v/>
      </c>
      <c r="S529" s="189" t="str">
        <f ca="1">IFERROR(__xludf.DUMMYFUNCTION("""COMPUTED_VALUE"""),"")</f>
        <v/>
      </c>
      <c r="T529" s="189" t="str">
        <f ca="1">IFERROR(__xludf.DUMMYFUNCTION("""COMPUTED_VALUE"""),"")</f>
        <v/>
      </c>
      <c r="U529" s="189" t="str">
        <f ca="1">IFERROR(__xludf.DUMMYFUNCTION("""COMPUTED_VALUE"""),"")</f>
        <v/>
      </c>
      <c r="V529" s="189" t="str">
        <f ca="1">IFERROR(__xludf.DUMMYFUNCTION("""COMPUTED_VALUE"""),"")</f>
        <v/>
      </c>
      <c r="W529" s="189" t="str">
        <f ca="1">IFERROR(__xludf.DUMMYFUNCTION("""COMPUTED_VALUE"""),"")</f>
        <v/>
      </c>
      <c r="X529" s="189" t="str">
        <f ca="1">IFERROR(__xludf.DUMMYFUNCTION("""COMPUTED_VALUE"""),"")</f>
        <v/>
      </c>
      <c r="Y529" s="189" t="str">
        <f ca="1">IFERROR(__xludf.DUMMYFUNCTION("""COMPUTED_VALUE"""),"")</f>
        <v/>
      </c>
      <c r="Z529" s="189"/>
    </row>
    <row r="530" spans="1:26" ht="12.75">
      <c r="A530" s="189" t="str">
        <f ca="1">IFERROR(__xludf.DUMMYFUNCTION("""COMPUTED_VALUE"""),"")</f>
        <v/>
      </c>
      <c r="B530" s="189" t="str">
        <f ca="1">IFERROR(__xludf.DUMMYFUNCTION("""COMPUTED_VALUE"""),"")</f>
        <v/>
      </c>
      <c r="C530" s="189" t="str">
        <f ca="1">IFERROR(__xludf.DUMMYFUNCTION("""COMPUTED_VALUE"""),"")</f>
        <v/>
      </c>
      <c r="D530" s="189" t="str">
        <f ca="1">IFERROR(__xludf.DUMMYFUNCTION("""COMPUTED_VALUE"""),"")</f>
        <v/>
      </c>
      <c r="E530" s="189" t="str">
        <f ca="1">IFERROR(__xludf.DUMMYFUNCTION("""COMPUTED_VALUE"""),"")</f>
        <v/>
      </c>
      <c r="F530" s="189" t="str">
        <f ca="1">IFERROR(__xludf.DUMMYFUNCTION("""COMPUTED_VALUE"""),"")</f>
        <v/>
      </c>
      <c r="G530" s="189" t="str">
        <f ca="1">IFERROR(__xludf.DUMMYFUNCTION("""COMPUTED_VALUE"""),"")</f>
        <v/>
      </c>
      <c r="H530" s="189" t="str">
        <f ca="1">IFERROR(__xludf.DUMMYFUNCTION("""COMPUTED_VALUE"""),"")</f>
        <v/>
      </c>
      <c r="I530" s="120" t="str">
        <f ca="1">IFERROR(__xludf.DUMMYFUNCTION("""COMPUTED_VALUE"""),"")</f>
        <v/>
      </c>
      <c r="J530" s="189" t="str">
        <f ca="1">IFERROR(__xludf.DUMMYFUNCTION("""COMPUTED_VALUE"""),"")</f>
        <v/>
      </c>
      <c r="K530" s="189" t="str">
        <f ca="1">IFERROR(__xludf.DUMMYFUNCTION("""COMPUTED_VALUE"""),"")</f>
        <v/>
      </c>
      <c r="L530" s="189" t="str">
        <f ca="1">IFERROR(__xludf.DUMMYFUNCTION("""COMPUTED_VALUE"""),"")</f>
        <v/>
      </c>
      <c r="M530" s="189" t="str">
        <f ca="1">IFERROR(__xludf.DUMMYFUNCTION("""COMPUTED_VALUE"""),"")</f>
        <v/>
      </c>
      <c r="N530" s="189" t="str">
        <f ca="1">IFERROR(__xludf.DUMMYFUNCTION("""COMPUTED_VALUE"""),"")</f>
        <v/>
      </c>
      <c r="O530" s="189" t="str">
        <f ca="1">IFERROR(__xludf.DUMMYFUNCTION("""COMPUTED_VALUE"""),"")</f>
        <v/>
      </c>
      <c r="P530" s="189" t="str">
        <f ca="1">IFERROR(__xludf.DUMMYFUNCTION("""COMPUTED_VALUE"""),"")</f>
        <v/>
      </c>
      <c r="Q530" s="189" t="str">
        <f ca="1">IFERROR(__xludf.DUMMYFUNCTION("""COMPUTED_VALUE"""),"")</f>
        <v/>
      </c>
      <c r="R530" s="189" t="str">
        <f ca="1">IFERROR(__xludf.DUMMYFUNCTION("""COMPUTED_VALUE"""),"")</f>
        <v/>
      </c>
      <c r="S530" s="189" t="str">
        <f ca="1">IFERROR(__xludf.DUMMYFUNCTION("""COMPUTED_VALUE"""),"")</f>
        <v/>
      </c>
      <c r="T530" s="189" t="str">
        <f ca="1">IFERROR(__xludf.DUMMYFUNCTION("""COMPUTED_VALUE"""),"")</f>
        <v/>
      </c>
      <c r="U530" s="189" t="str">
        <f ca="1">IFERROR(__xludf.DUMMYFUNCTION("""COMPUTED_VALUE"""),"")</f>
        <v/>
      </c>
      <c r="V530" s="189" t="str">
        <f ca="1">IFERROR(__xludf.DUMMYFUNCTION("""COMPUTED_VALUE"""),"")</f>
        <v/>
      </c>
      <c r="W530" s="189" t="str">
        <f ca="1">IFERROR(__xludf.DUMMYFUNCTION("""COMPUTED_VALUE"""),"")</f>
        <v/>
      </c>
      <c r="X530" s="189" t="str">
        <f ca="1">IFERROR(__xludf.DUMMYFUNCTION("""COMPUTED_VALUE"""),"")</f>
        <v/>
      </c>
      <c r="Y530" s="189" t="str">
        <f ca="1">IFERROR(__xludf.DUMMYFUNCTION("""COMPUTED_VALUE"""),"")</f>
        <v/>
      </c>
      <c r="Z530" s="189"/>
    </row>
    <row r="531" spans="1:26" ht="12.75">
      <c r="A531" s="189" t="str">
        <f ca="1">IFERROR(__xludf.DUMMYFUNCTION("""COMPUTED_VALUE"""),"")</f>
        <v/>
      </c>
      <c r="B531" s="189" t="str">
        <f ca="1">IFERROR(__xludf.DUMMYFUNCTION("""COMPUTED_VALUE"""),"")</f>
        <v/>
      </c>
      <c r="C531" s="189" t="str">
        <f ca="1">IFERROR(__xludf.DUMMYFUNCTION("""COMPUTED_VALUE"""),"")</f>
        <v/>
      </c>
      <c r="D531" s="189" t="str">
        <f ca="1">IFERROR(__xludf.DUMMYFUNCTION("""COMPUTED_VALUE"""),"")</f>
        <v/>
      </c>
      <c r="E531" s="189" t="str">
        <f ca="1">IFERROR(__xludf.DUMMYFUNCTION("""COMPUTED_VALUE"""),"")</f>
        <v/>
      </c>
      <c r="F531" s="189" t="str">
        <f ca="1">IFERROR(__xludf.DUMMYFUNCTION("""COMPUTED_VALUE"""),"")</f>
        <v/>
      </c>
      <c r="G531" s="189" t="str">
        <f ca="1">IFERROR(__xludf.DUMMYFUNCTION("""COMPUTED_VALUE"""),"")</f>
        <v/>
      </c>
      <c r="H531" s="189" t="str">
        <f ca="1">IFERROR(__xludf.DUMMYFUNCTION("""COMPUTED_VALUE"""),"")</f>
        <v/>
      </c>
      <c r="I531" s="120" t="str">
        <f ca="1">IFERROR(__xludf.DUMMYFUNCTION("""COMPUTED_VALUE"""),"")</f>
        <v/>
      </c>
      <c r="J531" s="189" t="str">
        <f ca="1">IFERROR(__xludf.DUMMYFUNCTION("""COMPUTED_VALUE"""),"")</f>
        <v/>
      </c>
      <c r="K531" s="189" t="str">
        <f ca="1">IFERROR(__xludf.DUMMYFUNCTION("""COMPUTED_VALUE"""),"")</f>
        <v/>
      </c>
      <c r="L531" s="189" t="str">
        <f ca="1">IFERROR(__xludf.DUMMYFUNCTION("""COMPUTED_VALUE"""),"")</f>
        <v/>
      </c>
      <c r="M531" s="189" t="str">
        <f ca="1">IFERROR(__xludf.DUMMYFUNCTION("""COMPUTED_VALUE"""),"")</f>
        <v/>
      </c>
      <c r="N531" s="189" t="str">
        <f ca="1">IFERROR(__xludf.DUMMYFUNCTION("""COMPUTED_VALUE"""),"")</f>
        <v/>
      </c>
      <c r="O531" s="189" t="str">
        <f ca="1">IFERROR(__xludf.DUMMYFUNCTION("""COMPUTED_VALUE"""),"")</f>
        <v/>
      </c>
      <c r="P531" s="189" t="str">
        <f ca="1">IFERROR(__xludf.DUMMYFUNCTION("""COMPUTED_VALUE"""),"")</f>
        <v/>
      </c>
      <c r="Q531" s="189" t="str">
        <f ca="1">IFERROR(__xludf.DUMMYFUNCTION("""COMPUTED_VALUE"""),"")</f>
        <v/>
      </c>
      <c r="R531" s="189" t="str">
        <f ca="1">IFERROR(__xludf.DUMMYFUNCTION("""COMPUTED_VALUE"""),"")</f>
        <v/>
      </c>
      <c r="S531" s="189" t="str">
        <f ca="1">IFERROR(__xludf.DUMMYFUNCTION("""COMPUTED_VALUE"""),"")</f>
        <v/>
      </c>
      <c r="T531" s="189" t="str">
        <f ca="1">IFERROR(__xludf.DUMMYFUNCTION("""COMPUTED_VALUE"""),"")</f>
        <v/>
      </c>
      <c r="U531" s="189" t="str">
        <f ca="1">IFERROR(__xludf.DUMMYFUNCTION("""COMPUTED_VALUE"""),"")</f>
        <v/>
      </c>
      <c r="V531" s="189" t="str">
        <f ca="1">IFERROR(__xludf.DUMMYFUNCTION("""COMPUTED_VALUE"""),"")</f>
        <v/>
      </c>
      <c r="W531" s="189" t="str">
        <f ca="1">IFERROR(__xludf.DUMMYFUNCTION("""COMPUTED_VALUE"""),"")</f>
        <v/>
      </c>
      <c r="X531" s="189" t="str">
        <f ca="1">IFERROR(__xludf.DUMMYFUNCTION("""COMPUTED_VALUE"""),"")</f>
        <v/>
      </c>
      <c r="Y531" s="189" t="str">
        <f ca="1">IFERROR(__xludf.DUMMYFUNCTION("""COMPUTED_VALUE"""),"")</f>
        <v/>
      </c>
      <c r="Z531" s="189"/>
    </row>
    <row r="532" spans="1:26" ht="12.75">
      <c r="A532" s="189" t="str">
        <f ca="1">IFERROR(__xludf.DUMMYFUNCTION("""COMPUTED_VALUE"""),"")</f>
        <v/>
      </c>
      <c r="B532" s="189" t="str">
        <f ca="1">IFERROR(__xludf.DUMMYFUNCTION("""COMPUTED_VALUE"""),"")</f>
        <v/>
      </c>
      <c r="C532" s="189" t="str">
        <f ca="1">IFERROR(__xludf.DUMMYFUNCTION("""COMPUTED_VALUE"""),"")</f>
        <v/>
      </c>
      <c r="D532" s="189" t="str">
        <f ca="1">IFERROR(__xludf.DUMMYFUNCTION("""COMPUTED_VALUE"""),"")</f>
        <v/>
      </c>
      <c r="E532" s="189" t="str">
        <f ca="1">IFERROR(__xludf.DUMMYFUNCTION("""COMPUTED_VALUE"""),"")</f>
        <v/>
      </c>
      <c r="F532" s="189" t="str">
        <f ca="1">IFERROR(__xludf.DUMMYFUNCTION("""COMPUTED_VALUE"""),"")</f>
        <v/>
      </c>
      <c r="G532" s="189" t="str">
        <f ca="1">IFERROR(__xludf.DUMMYFUNCTION("""COMPUTED_VALUE"""),"")</f>
        <v/>
      </c>
      <c r="H532" s="189" t="str">
        <f ca="1">IFERROR(__xludf.DUMMYFUNCTION("""COMPUTED_VALUE"""),"")</f>
        <v/>
      </c>
      <c r="I532" s="120" t="str">
        <f ca="1">IFERROR(__xludf.DUMMYFUNCTION("""COMPUTED_VALUE"""),"")</f>
        <v/>
      </c>
      <c r="J532" s="189" t="str">
        <f ca="1">IFERROR(__xludf.DUMMYFUNCTION("""COMPUTED_VALUE"""),"")</f>
        <v/>
      </c>
      <c r="K532" s="189" t="str">
        <f ca="1">IFERROR(__xludf.DUMMYFUNCTION("""COMPUTED_VALUE"""),"")</f>
        <v/>
      </c>
      <c r="L532" s="189" t="str">
        <f ca="1">IFERROR(__xludf.DUMMYFUNCTION("""COMPUTED_VALUE"""),"")</f>
        <v/>
      </c>
      <c r="M532" s="189" t="str">
        <f ca="1">IFERROR(__xludf.DUMMYFUNCTION("""COMPUTED_VALUE"""),"")</f>
        <v/>
      </c>
      <c r="N532" s="189" t="str">
        <f ca="1">IFERROR(__xludf.DUMMYFUNCTION("""COMPUTED_VALUE"""),"")</f>
        <v/>
      </c>
      <c r="O532" s="189" t="str">
        <f ca="1">IFERROR(__xludf.DUMMYFUNCTION("""COMPUTED_VALUE"""),"")</f>
        <v/>
      </c>
      <c r="P532" s="189" t="str">
        <f ca="1">IFERROR(__xludf.DUMMYFUNCTION("""COMPUTED_VALUE"""),"")</f>
        <v/>
      </c>
      <c r="Q532" s="189" t="str">
        <f ca="1">IFERROR(__xludf.DUMMYFUNCTION("""COMPUTED_VALUE"""),"")</f>
        <v/>
      </c>
      <c r="R532" s="189" t="str">
        <f ca="1">IFERROR(__xludf.DUMMYFUNCTION("""COMPUTED_VALUE"""),"")</f>
        <v/>
      </c>
      <c r="S532" s="189" t="str">
        <f ca="1">IFERROR(__xludf.DUMMYFUNCTION("""COMPUTED_VALUE"""),"")</f>
        <v/>
      </c>
      <c r="T532" s="189" t="str">
        <f ca="1">IFERROR(__xludf.DUMMYFUNCTION("""COMPUTED_VALUE"""),"")</f>
        <v/>
      </c>
      <c r="U532" s="189" t="str">
        <f ca="1">IFERROR(__xludf.DUMMYFUNCTION("""COMPUTED_VALUE"""),"")</f>
        <v/>
      </c>
      <c r="V532" s="189" t="str">
        <f ca="1">IFERROR(__xludf.DUMMYFUNCTION("""COMPUTED_VALUE"""),"")</f>
        <v/>
      </c>
      <c r="W532" s="189" t="str">
        <f ca="1">IFERROR(__xludf.DUMMYFUNCTION("""COMPUTED_VALUE"""),"")</f>
        <v/>
      </c>
      <c r="X532" s="189" t="str">
        <f ca="1">IFERROR(__xludf.DUMMYFUNCTION("""COMPUTED_VALUE"""),"")</f>
        <v/>
      </c>
      <c r="Y532" s="189" t="str">
        <f ca="1">IFERROR(__xludf.DUMMYFUNCTION("""COMPUTED_VALUE"""),"")</f>
        <v/>
      </c>
      <c r="Z532" s="189"/>
    </row>
    <row r="533" spans="1:26" ht="12.75">
      <c r="A533" s="189" t="str">
        <f ca="1">IFERROR(__xludf.DUMMYFUNCTION("""COMPUTED_VALUE"""),"")</f>
        <v/>
      </c>
      <c r="B533" s="189" t="str">
        <f ca="1">IFERROR(__xludf.DUMMYFUNCTION("""COMPUTED_VALUE"""),"")</f>
        <v/>
      </c>
      <c r="C533" s="189" t="str">
        <f ca="1">IFERROR(__xludf.DUMMYFUNCTION("""COMPUTED_VALUE"""),"")</f>
        <v/>
      </c>
      <c r="D533" s="189" t="str">
        <f ca="1">IFERROR(__xludf.DUMMYFUNCTION("""COMPUTED_VALUE"""),"")</f>
        <v/>
      </c>
      <c r="E533" s="189" t="str">
        <f ca="1">IFERROR(__xludf.DUMMYFUNCTION("""COMPUTED_VALUE"""),"")</f>
        <v/>
      </c>
      <c r="F533" s="189" t="str">
        <f ca="1">IFERROR(__xludf.DUMMYFUNCTION("""COMPUTED_VALUE"""),"")</f>
        <v/>
      </c>
      <c r="G533" s="189" t="str">
        <f ca="1">IFERROR(__xludf.DUMMYFUNCTION("""COMPUTED_VALUE"""),"")</f>
        <v/>
      </c>
      <c r="H533" s="189" t="str">
        <f ca="1">IFERROR(__xludf.DUMMYFUNCTION("""COMPUTED_VALUE"""),"")</f>
        <v/>
      </c>
      <c r="I533" s="120" t="str">
        <f ca="1">IFERROR(__xludf.DUMMYFUNCTION("""COMPUTED_VALUE"""),"")</f>
        <v/>
      </c>
      <c r="J533" s="189" t="str">
        <f ca="1">IFERROR(__xludf.DUMMYFUNCTION("""COMPUTED_VALUE"""),"")</f>
        <v/>
      </c>
      <c r="K533" s="189" t="str">
        <f ca="1">IFERROR(__xludf.DUMMYFUNCTION("""COMPUTED_VALUE"""),"")</f>
        <v/>
      </c>
      <c r="L533" s="189" t="str">
        <f ca="1">IFERROR(__xludf.DUMMYFUNCTION("""COMPUTED_VALUE"""),"")</f>
        <v/>
      </c>
      <c r="M533" s="189" t="str">
        <f ca="1">IFERROR(__xludf.DUMMYFUNCTION("""COMPUTED_VALUE"""),"")</f>
        <v/>
      </c>
      <c r="N533" s="189" t="str">
        <f ca="1">IFERROR(__xludf.DUMMYFUNCTION("""COMPUTED_VALUE"""),"")</f>
        <v/>
      </c>
      <c r="O533" s="189" t="str">
        <f ca="1">IFERROR(__xludf.DUMMYFUNCTION("""COMPUTED_VALUE"""),"")</f>
        <v/>
      </c>
      <c r="P533" s="189" t="str">
        <f ca="1">IFERROR(__xludf.DUMMYFUNCTION("""COMPUTED_VALUE"""),"")</f>
        <v/>
      </c>
      <c r="Q533" s="189" t="str">
        <f ca="1">IFERROR(__xludf.DUMMYFUNCTION("""COMPUTED_VALUE"""),"")</f>
        <v/>
      </c>
      <c r="R533" s="189" t="str">
        <f ca="1">IFERROR(__xludf.DUMMYFUNCTION("""COMPUTED_VALUE"""),"")</f>
        <v/>
      </c>
      <c r="S533" s="189" t="str">
        <f ca="1">IFERROR(__xludf.DUMMYFUNCTION("""COMPUTED_VALUE"""),"")</f>
        <v/>
      </c>
      <c r="T533" s="189" t="str">
        <f ca="1">IFERROR(__xludf.DUMMYFUNCTION("""COMPUTED_VALUE"""),"")</f>
        <v/>
      </c>
      <c r="U533" s="189" t="str">
        <f ca="1">IFERROR(__xludf.DUMMYFUNCTION("""COMPUTED_VALUE"""),"")</f>
        <v/>
      </c>
      <c r="V533" s="189" t="str">
        <f ca="1">IFERROR(__xludf.DUMMYFUNCTION("""COMPUTED_VALUE"""),"")</f>
        <v/>
      </c>
      <c r="W533" s="189" t="str">
        <f ca="1">IFERROR(__xludf.DUMMYFUNCTION("""COMPUTED_VALUE"""),"")</f>
        <v/>
      </c>
      <c r="X533" s="189" t="str">
        <f ca="1">IFERROR(__xludf.DUMMYFUNCTION("""COMPUTED_VALUE"""),"")</f>
        <v/>
      </c>
      <c r="Y533" s="189" t="str">
        <f ca="1">IFERROR(__xludf.DUMMYFUNCTION("""COMPUTED_VALUE"""),"")</f>
        <v/>
      </c>
      <c r="Z533" s="189"/>
    </row>
    <row r="534" spans="1:26" ht="12.75">
      <c r="A534" s="189" t="str">
        <f ca="1">IFERROR(__xludf.DUMMYFUNCTION("""COMPUTED_VALUE"""),"")</f>
        <v/>
      </c>
      <c r="B534" s="189" t="str">
        <f ca="1">IFERROR(__xludf.DUMMYFUNCTION("""COMPUTED_VALUE"""),"")</f>
        <v/>
      </c>
      <c r="C534" s="189" t="str">
        <f ca="1">IFERROR(__xludf.DUMMYFUNCTION("""COMPUTED_VALUE"""),"")</f>
        <v/>
      </c>
      <c r="D534" s="189" t="str">
        <f ca="1">IFERROR(__xludf.DUMMYFUNCTION("""COMPUTED_VALUE"""),"")</f>
        <v/>
      </c>
      <c r="E534" s="189" t="str">
        <f ca="1">IFERROR(__xludf.DUMMYFUNCTION("""COMPUTED_VALUE"""),"")</f>
        <v/>
      </c>
      <c r="F534" s="189" t="str">
        <f ca="1">IFERROR(__xludf.DUMMYFUNCTION("""COMPUTED_VALUE"""),"")</f>
        <v/>
      </c>
      <c r="G534" s="189" t="str">
        <f ca="1">IFERROR(__xludf.DUMMYFUNCTION("""COMPUTED_VALUE"""),"")</f>
        <v/>
      </c>
      <c r="H534" s="189" t="str">
        <f ca="1">IFERROR(__xludf.DUMMYFUNCTION("""COMPUTED_VALUE"""),"")</f>
        <v/>
      </c>
      <c r="I534" s="120" t="str">
        <f ca="1">IFERROR(__xludf.DUMMYFUNCTION("""COMPUTED_VALUE"""),"")</f>
        <v/>
      </c>
      <c r="J534" s="189" t="str">
        <f ca="1">IFERROR(__xludf.DUMMYFUNCTION("""COMPUTED_VALUE"""),"")</f>
        <v/>
      </c>
      <c r="K534" s="189" t="str">
        <f ca="1">IFERROR(__xludf.DUMMYFUNCTION("""COMPUTED_VALUE"""),"")</f>
        <v/>
      </c>
      <c r="L534" s="189" t="str">
        <f ca="1">IFERROR(__xludf.DUMMYFUNCTION("""COMPUTED_VALUE"""),"")</f>
        <v/>
      </c>
      <c r="M534" s="189" t="str">
        <f ca="1">IFERROR(__xludf.DUMMYFUNCTION("""COMPUTED_VALUE"""),"")</f>
        <v/>
      </c>
      <c r="N534" s="189" t="str">
        <f ca="1">IFERROR(__xludf.DUMMYFUNCTION("""COMPUTED_VALUE"""),"")</f>
        <v/>
      </c>
      <c r="O534" s="189" t="str">
        <f ca="1">IFERROR(__xludf.DUMMYFUNCTION("""COMPUTED_VALUE"""),"")</f>
        <v/>
      </c>
      <c r="P534" s="189" t="str">
        <f ca="1">IFERROR(__xludf.DUMMYFUNCTION("""COMPUTED_VALUE"""),"")</f>
        <v/>
      </c>
      <c r="Q534" s="189" t="str">
        <f ca="1">IFERROR(__xludf.DUMMYFUNCTION("""COMPUTED_VALUE"""),"")</f>
        <v/>
      </c>
      <c r="R534" s="189" t="str">
        <f ca="1">IFERROR(__xludf.DUMMYFUNCTION("""COMPUTED_VALUE"""),"")</f>
        <v/>
      </c>
      <c r="S534" s="189" t="str">
        <f ca="1">IFERROR(__xludf.DUMMYFUNCTION("""COMPUTED_VALUE"""),"")</f>
        <v/>
      </c>
      <c r="T534" s="189" t="str">
        <f ca="1">IFERROR(__xludf.DUMMYFUNCTION("""COMPUTED_VALUE"""),"")</f>
        <v/>
      </c>
      <c r="U534" s="189" t="str">
        <f ca="1">IFERROR(__xludf.DUMMYFUNCTION("""COMPUTED_VALUE"""),"")</f>
        <v/>
      </c>
      <c r="V534" s="189" t="str">
        <f ca="1">IFERROR(__xludf.DUMMYFUNCTION("""COMPUTED_VALUE"""),"")</f>
        <v/>
      </c>
      <c r="W534" s="189" t="str">
        <f ca="1">IFERROR(__xludf.DUMMYFUNCTION("""COMPUTED_VALUE"""),"")</f>
        <v/>
      </c>
      <c r="X534" s="189" t="str">
        <f ca="1">IFERROR(__xludf.DUMMYFUNCTION("""COMPUTED_VALUE"""),"")</f>
        <v/>
      </c>
      <c r="Y534" s="189" t="str">
        <f ca="1">IFERROR(__xludf.DUMMYFUNCTION("""COMPUTED_VALUE"""),"")</f>
        <v/>
      </c>
      <c r="Z534" s="189"/>
    </row>
    <row r="535" spans="1:26" ht="12.75">
      <c r="A535" s="189" t="str">
        <f ca="1">IFERROR(__xludf.DUMMYFUNCTION("""COMPUTED_VALUE"""),"")</f>
        <v/>
      </c>
      <c r="B535" s="189" t="str">
        <f ca="1">IFERROR(__xludf.DUMMYFUNCTION("""COMPUTED_VALUE"""),"")</f>
        <v/>
      </c>
      <c r="C535" s="189" t="str">
        <f ca="1">IFERROR(__xludf.DUMMYFUNCTION("""COMPUTED_VALUE"""),"")</f>
        <v/>
      </c>
      <c r="D535" s="189" t="str">
        <f ca="1">IFERROR(__xludf.DUMMYFUNCTION("""COMPUTED_VALUE"""),"")</f>
        <v/>
      </c>
      <c r="E535" s="189" t="str">
        <f ca="1">IFERROR(__xludf.DUMMYFUNCTION("""COMPUTED_VALUE"""),"")</f>
        <v/>
      </c>
      <c r="F535" s="189" t="str">
        <f ca="1">IFERROR(__xludf.DUMMYFUNCTION("""COMPUTED_VALUE"""),"")</f>
        <v/>
      </c>
      <c r="G535" s="189" t="str">
        <f ca="1">IFERROR(__xludf.DUMMYFUNCTION("""COMPUTED_VALUE"""),"")</f>
        <v/>
      </c>
      <c r="H535" s="189" t="str">
        <f ca="1">IFERROR(__xludf.DUMMYFUNCTION("""COMPUTED_VALUE"""),"")</f>
        <v/>
      </c>
      <c r="I535" s="120" t="str">
        <f ca="1">IFERROR(__xludf.DUMMYFUNCTION("""COMPUTED_VALUE"""),"")</f>
        <v/>
      </c>
      <c r="J535" s="189" t="str">
        <f ca="1">IFERROR(__xludf.DUMMYFUNCTION("""COMPUTED_VALUE"""),"")</f>
        <v/>
      </c>
      <c r="K535" s="189" t="str">
        <f ca="1">IFERROR(__xludf.DUMMYFUNCTION("""COMPUTED_VALUE"""),"")</f>
        <v/>
      </c>
      <c r="L535" s="189" t="str">
        <f ca="1">IFERROR(__xludf.DUMMYFUNCTION("""COMPUTED_VALUE"""),"")</f>
        <v/>
      </c>
      <c r="M535" s="189" t="str">
        <f ca="1">IFERROR(__xludf.DUMMYFUNCTION("""COMPUTED_VALUE"""),"")</f>
        <v/>
      </c>
      <c r="N535" s="189" t="str">
        <f ca="1">IFERROR(__xludf.DUMMYFUNCTION("""COMPUTED_VALUE"""),"")</f>
        <v/>
      </c>
      <c r="O535" s="189" t="str">
        <f ca="1">IFERROR(__xludf.DUMMYFUNCTION("""COMPUTED_VALUE"""),"")</f>
        <v/>
      </c>
      <c r="P535" s="189" t="str">
        <f ca="1">IFERROR(__xludf.DUMMYFUNCTION("""COMPUTED_VALUE"""),"")</f>
        <v/>
      </c>
      <c r="Q535" s="189" t="str">
        <f ca="1">IFERROR(__xludf.DUMMYFUNCTION("""COMPUTED_VALUE"""),"")</f>
        <v/>
      </c>
      <c r="R535" s="189" t="str">
        <f ca="1">IFERROR(__xludf.DUMMYFUNCTION("""COMPUTED_VALUE"""),"")</f>
        <v/>
      </c>
      <c r="S535" s="189" t="str">
        <f ca="1">IFERROR(__xludf.DUMMYFUNCTION("""COMPUTED_VALUE"""),"")</f>
        <v/>
      </c>
      <c r="T535" s="189" t="str">
        <f ca="1">IFERROR(__xludf.DUMMYFUNCTION("""COMPUTED_VALUE"""),"")</f>
        <v/>
      </c>
      <c r="U535" s="189" t="str">
        <f ca="1">IFERROR(__xludf.DUMMYFUNCTION("""COMPUTED_VALUE"""),"")</f>
        <v/>
      </c>
      <c r="V535" s="189" t="str">
        <f ca="1">IFERROR(__xludf.DUMMYFUNCTION("""COMPUTED_VALUE"""),"")</f>
        <v/>
      </c>
      <c r="W535" s="189" t="str">
        <f ca="1">IFERROR(__xludf.DUMMYFUNCTION("""COMPUTED_VALUE"""),"")</f>
        <v/>
      </c>
      <c r="X535" s="189" t="str">
        <f ca="1">IFERROR(__xludf.DUMMYFUNCTION("""COMPUTED_VALUE"""),"")</f>
        <v/>
      </c>
      <c r="Y535" s="189" t="str">
        <f ca="1">IFERROR(__xludf.DUMMYFUNCTION("""COMPUTED_VALUE"""),"")</f>
        <v/>
      </c>
      <c r="Z535" s="189"/>
    </row>
    <row r="536" spans="1:26" ht="12.75">
      <c r="A536" s="189" t="str">
        <f ca="1">IFERROR(__xludf.DUMMYFUNCTION("""COMPUTED_VALUE"""),"")</f>
        <v/>
      </c>
      <c r="B536" s="189" t="str">
        <f ca="1">IFERROR(__xludf.DUMMYFUNCTION("""COMPUTED_VALUE"""),"")</f>
        <v/>
      </c>
      <c r="C536" s="189" t="str">
        <f ca="1">IFERROR(__xludf.DUMMYFUNCTION("""COMPUTED_VALUE"""),"")</f>
        <v/>
      </c>
      <c r="D536" s="189" t="str">
        <f ca="1">IFERROR(__xludf.DUMMYFUNCTION("""COMPUTED_VALUE"""),"")</f>
        <v/>
      </c>
      <c r="E536" s="189" t="str">
        <f ca="1">IFERROR(__xludf.DUMMYFUNCTION("""COMPUTED_VALUE"""),"")</f>
        <v/>
      </c>
      <c r="F536" s="189" t="str">
        <f ca="1">IFERROR(__xludf.DUMMYFUNCTION("""COMPUTED_VALUE"""),"")</f>
        <v/>
      </c>
      <c r="G536" s="189" t="str">
        <f ca="1">IFERROR(__xludf.DUMMYFUNCTION("""COMPUTED_VALUE"""),"")</f>
        <v/>
      </c>
      <c r="H536" s="189" t="str">
        <f ca="1">IFERROR(__xludf.DUMMYFUNCTION("""COMPUTED_VALUE"""),"")</f>
        <v/>
      </c>
      <c r="I536" s="120" t="str">
        <f ca="1">IFERROR(__xludf.DUMMYFUNCTION("""COMPUTED_VALUE"""),"")</f>
        <v/>
      </c>
      <c r="J536" s="189" t="str">
        <f ca="1">IFERROR(__xludf.DUMMYFUNCTION("""COMPUTED_VALUE"""),"")</f>
        <v/>
      </c>
      <c r="K536" s="189" t="str">
        <f ca="1">IFERROR(__xludf.DUMMYFUNCTION("""COMPUTED_VALUE"""),"")</f>
        <v/>
      </c>
      <c r="L536" s="189" t="str">
        <f ca="1">IFERROR(__xludf.DUMMYFUNCTION("""COMPUTED_VALUE"""),"")</f>
        <v/>
      </c>
      <c r="M536" s="189" t="str">
        <f ca="1">IFERROR(__xludf.DUMMYFUNCTION("""COMPUTED_VALUE"""),"")</f>
        <v/>
      </c>
      <c r="N536" s="189" t="str">
        <f ca="1">IFERROR(__xludf.DUMMYFUNCTION("""COMPUTED_VALUE"""),"")</f>
        <v/>
      </c>
      <c r="O536" s="189" t="str">
        <f ca="1">IFERROR(__xludf.DUMMYFUNCTION("""COMPUTED_VALUE"""),"")</f>
        <v/>
      </c>
      <c r="P536" s="189" t="str">
        <f ca="1">IFERROR(__xludf.DUMMYFUNCTION("""COMPUTED_VALUE"""),"")</f>
        <v/>
      </c>
      <c r="Q536" s="189" t="str">
        <f ca="1">IFERROR(__xludf.DUMMYFUNCTION("""COMPUTED_VALUE"""),"")</f>
        <v/>
      </c>
      <c r="R536" s="189" t="str">
        <f ca="1">IFERROR(__xludf.DUMMYFUNCTION("""COMPUTED_VALUE"""),"")</f>
        <v/>
      </c>
      <c r="S536" s="189" t="str">
        <f ca="1">IFERROR(__xludf.DUMMYFUNCTION("""COMPUTED_VALUE"""),"")</f>
        <v/>
      </c>
      <c r="T536" s="189" t="str">
        <f ca="1">IFERROR(__xludf.DUMMYFUNCTION("""COMPUTED_VALUE"""),"")</f>
        <v/>
      </c>
      <c r="U536" s="189" t="str">
        <f ca="1">IFERROR(__xludf.DUMMYFUNCTION("""COMPUTED_VALUE"""),"")</f>
        <v/>
      </c>
      <c r="V536" s="189" t="str">
        <f ca="1">IFERROR(__xludf.DUMMYFUNCTION("""COMPUTED_VALUE"""),"")</f>
        <v/>
      </c>
      <c r="W536" s="189" t="str">
        <f ca="1">IFERROR(__xludf.DUMMYFUNCTION("""COMPUTED_VALUE"""),"")</f>
        <v/>
      </c>
      <c r="X536" s="189" t="str">
        <f ca="1">IFERROR(__xludf.DUMMYFUNCTION("""COMPUTED_VALUE"""),"")</f>
        <v/>
      </c>
      <c r="Y536" s="189" t="str">
        <f ca="1">IFERROR(__xludf.DUMMYFUNCTION("""COMPUTED_VALUE"""),"")</f>
        <v/>
      </c>
      <c r="Z536" s="189"/>
    </row>
    <row r="537" spans="1:26" ht="12.75">
      <c r="A537" s="189" t="str">
        <f ca="1">IFERROR(__xludf.DUMMYFUNCTION("""COMPUTED_VALUE"""),"")</f>
        <v/>
      </c>
      <c r="B537" s="189" t="str">
        <f ca="1">IFERROR(__xludf.DUMMYFUNCTION("""COMPUTED_VALUE"""),"")</f>
        <v/>
      </c>
      <c r="C537" s="189" t="str">
        <f ca="1">IFERROR(__xludf.DUMMYFUNCTION("""COMPUTED_VALUE"""),"")</f>
        <v/>
      </c>
      <c r="D537" s="189" t="str">
        <f ca="1">IFERROR(__xludf.DUMMYFUNCTION("""COMPUTED_VALUE"""),"")</f>
        <v/>
      </c>
      <c r="E537" s="189" t="str">
        <f ca="1">IFERROR(__xludf.DUMMYFUNCTION("""COMPUTED_VALUE"""),"")</f>
        <v/>
      </c>
      <c r="F537" s="189" t="str">
        <f ca="1">IFERROR(__xludf.DUMMYFUNCTION("""COMPUTED_VALUE"""),"")</f>
        <v/>
      </c>
      <c r="G537" s="189" t="str">
        <f ca="1">IFERROR(__xludf.DUMMYFUNCTION("""COMPUTED_VALUE"""),"")</f>
        <v/>
      </c>
      <c r="H537" s="189" t="str">
        <f ca="1">IFERROR(__xludf.DUMMYFUNCTION("""COMPUTED_VALUE"""),"")</f>
        <v/>
      </c>
      <c r="I537" s="120" t="str">
        <f ca="1">IFERROR(__xludf.DUMMYFUNCTION("""COMPUTED_VALUE"""),"")</f>
        <v/>
      </c>
      <c r="J537" s="189" t="str">
        <f ca="1">IFERROR(__xludf.DUMMYFUNCTION("""COMPUTED_VALUE"""),"")</f>
        <v/>
      </c>
      <c r="K537" s="189" t="str">
        <f ca="1">IFERROR(__xludf.DUMMYFUNCTION("""COMPUTED_VALUE"""),"")</f>
        <v/>
      </c>
      <c r="L537" s="189" t="str">
        <f ca="1">IFERROR(__xludf.DUMMYFUNCTION("""COMPUTED_VALUE"""),"")</f>
        <v/>
      </c>
      <c r="M537" s="189" t="str">
        <f ca="1">IFERROR(__xludf.DUMMYFUNCTION("""COMPUTED_VALUE"""),"")</f>
        <v/>
      </c>
      <c r="N537" s="189" t="str">
        <f ca="1">IFERROR(__xludf.DUMMYFUNCTION("""COMPUTED_VALUE"""),"")</f>
        <v/>
      </c>
      <c r="O537" s="189" t="str">
        <f ca="1">IFERROR(__xludf.DUMMYFUNCTION("""COMPUTED_VALUE"""),"")</f>
        <v/>
      </c>
      <c r="P537" s="189" t="str">
        <f ca="1">IFERROR(__xludf.DUMMYFUNCTION("""COMPUTED_VALUE"""),"")</f>
        <v/>
      </c>
      <c r="Q537" s="189" t="str">
        <f ca="1">IFERROR(__xludf.DUMMYFUNCTION("""COMPUTED_VALUE"""),"")</f>
        <v/>
      </c>
      <c r="R537" s="189" t="str">
        <f ca="1">IFERROR(__xludf.DUMMYFUNCTION("""COMPUTED_VALUE"""),"")</f>
        <v/>
      </c>
      <c r="S537" s="189" t="str">
        <f ca="1">IFERROR(__xludf.DUMMYFUNCTION("""COMPUTED_VALUE"""),"")</f>
        <v/>
      </c>
      <c r="T537" s="189" t="str">
        <f ca="1">IFERROR(__xludf.DUMMYFUNCTION("""COMPUTED_VALUE"""),"")</f>
        <v/>
      </c>
      <c r="U537" s="189" t="str">
        <f ca="1">IFERROR(__xludf.DUMMYFUNCTION("""COMPUTED_VALUE"""),"")</f>
        <v/>
      </c>
      <c r="V537" s="189" t="str">
        <f ca="1">IFERROR(__xludf.DUMMYFUNCTION("""COMPUTED_VALUE"""),"")</f>
        <v/>
      </c>
      <c r="W537" s="189" t="str">
        <f ca="1">IFERROR(__xludf.DUMMYFUNCTION("""COMPUTED_VALUE"""),"")</f>
        <v/>
      </c>
      <c r="X537" s="189" t="str">
        <f ca="1">IFERROR(__xludf.DUMMYFUNCTION("""COMPUTED_VALUE"""),"")</f>
        <v/>
      </c>
      <c r="Y537" s="189" t="str">
        <f ca="1">IFERROR(__xludf.DUMMYFUNCTION("""COMPUTED_VALUE"""),"")</f>
        <v/>
      </c>
      <c r="Z537" s="189"/>
    </row>
    <row r="538" spans="1:26" ht="12.75">
      <c r="A538" s="189" t="str">
        <f ca="1">IFERROR(__xludf.DUMMYFUNCTION("""COMPUTED_VALUE"""),"")</f>
        <v/>
      </c>
      <c r="B538" s="189" t="str">
        <f ca="1">IFERROR(__xludf.DUMMYFUNCTION("""COMPUTED_VALUE"""),"")</f>
        <v/>
      </c>
      <c r="C538" s="189" t="str">
        <f ca="1">IFERROR(__xludf.DUMMYFUNCTION("""COMPUTED_VALUE"""),"")</f>
        <v/>
      </c>
      <c r="D538" s="189" t="str">
        <f ca="1">IFERROR(__xludf.DUMMYFUNCTION("""COMPUTED_VALUE"""),"")</f>
        <v/>
      </c>
      <c r="E538" s="189" t="str">
        <f ca="1">IFERROR(__xludf.DUMMYFUNCTION("""COMPUTED_VALUE"""),"")</f>
        <v/>
      </c>
      <c r="F538" s="189" t="str">
        <f ca="1">IFERROR(__xludf.DUMMYFUNCTION("""COMPUTED_VALUE"""),"")</f>
        <v/>
      </c>
      <c r="G538" s="189" t="str">
        <f ca="1">IFERROR(__xludf.DUMMYFUNCTION("""COMPUTED_VALUE"""),"")</f>
        <v/>
      </c>
      <c r="H538" s="189" t="str">
        <f ca="1">IFERROR(__xludf.DUMMYFUNCTION("""COMPUTED_VALUE"""),"")</f>
        <v/>
      </c>
      <c r="I538" s="120" t="str">
        <f ca="1">IFERROR(__xludf.DUMMYFUNCTION("""COMPUTED_VALUE"""),"")</f>
        <v/>
      </c>
      <c r="J538" s="189" t="str">
        <f ca="1">IFERROR(__xludf.DUMMYFUNCTION("""COMPUTED_VALUE"""),"")</f>
        <v/>
      </c>
      <c r="K538" s="189" t="str">
        <f ca="1">IFERROR(__xludf.DUMMYFUNCTION("""COMPUTED_VALUE"""),"")</f>
        <v/>
      </c>
      <c r="L538" s="189" t="str">
        <f ca="1">IFERROR(__xludf.DUMMYFUNCTION("""COMPUTED_VALUE"""),"")</f>
        <v/>
      </c>
      <c r="M538" s="189" t="str">
        <f ca="1">IFERROR(__xludf.DUMMYFUNCTION("""COMPUTED_VALUE"""),"")</f>
        <v/>
      </c>
      <c r="N538" s="189" t="str">
        <f ca="1">IFERROR(__xludf.DUMMYFUNCTION("""COMPUTED_VALUE"""),"")</f>
        <v/>
      </c>
      <c r="O538" s="189" t="str">
        <f ca="1">IFERROR(__xludf.DUMMYFUNCTION("""COMPUTED_VALUE"""),"")</f>
        <v/>
      </c>
      <c r="P538" s="189" t="str">
        <f ca="1">IFERROR(__xludf.DUMMYFUNCTION("""COMPUTED_VALUE"""),"")</f>
        <v/>
      </c>
      <c r="Q538" s="189" t="str">
        <f ca="1">IFERROR(__xludf.DUMMYFUNCTION("""COMPUTED_VALUE"""),"")</f>
        <v/>
      </c>
      <c r="R538" s="189" t="str">
        <f ca="1">IFERROR(__xludf.DUMMYFUNCTION("""COMPUTED_VALUE"""),"")</f>
        <v/>
      </c>
      <c r="S538" s="189" t="str">
        <f ca="1">IFERROR(__xludf.DUMMYFUNCTION("""COMPUTED_VALUE"""),"")</f>
        <v/>
      </c>
      <c r="T538" s="189" t="str">
        <f ca="1">IFERROR(__xludf.DUMMYFUNCTION("""COMPUTED_VALUE"""),"")</f>
        <v/>
      </c>
      <c r="U538" s="189" t="str">
        <f ca="1">IFERROR(__xludf.DUMMYFUNCTION("""COMPUTED_VALUE"""),"")</f>
        <v/>
      </c>
      <c r="V538" s="189" t="str">
        <f ca="1">IFERROR(__xludf.DUMMYFUNCTION("""COMPUTED_VALUE"""),"")</f>
        <v/>
      </c>
      <c r="W538" s="189" t="str">
        <f ca="1">IFERROR(__xludf.DUMMYFUNCTION("""COMPUTED_VALUE"""),"")</f>
        <v/>
      </c>
      <c r="X538" s="189" t="str">
        <f ca="1">IFERROR(__xludf.DUMMYFUNCTION("""COMPUTED_VALUE"""),"")</f>
        <v/>
      </c>
      <c r="Y538" s="189" t="str">
        <f ca="1">IFERROR(__xludf.DUMMYFUNCTION("""COMPUTED_VALUE"""),"")</f>
        <v/>
      </c>
      <c r="Z538" s="189"/>
    </row>
    <row r="539" spans="1:26" ht="12.75">
      <c r="A539" s="189" t="str">
        <f ca="1">IFERROR(__xludf.DUMMYFUNCTION("""COMPUTED_VALUE"""),"")</f>
        <v/>
      </c>
      <c r="B539" s="189" t="str">
        <f ca="1">IFERROR(__xludf.DUMMYFUNCTION("""COMPUTED_VALUE"""),"")</f>
        <v/>
      </c>
      <c r="C539" s="189" t="str">
        <f ca="1">IFERROR(__xludf.DUMMYFUNCTION("""COMPUTED_VALUE"""),"")</f>
        <v/>
      </c>
      <c r="D539" s="189" t="str">
        <f ca="1">IFERROR(__xludf.DUMMYFUNCTION("""COMPUTED_VALUE"""),"")</f>
        <v/>
      </c>
      <c r="E539" s="189" t="str">
        <f ca="1">IFERROR(__xludf.DUMMYFUNCTION("""COMPUTED_VALUE"""),"")</f>
        <v/>
      </c>
      <c r="F539" s="189" t="str">
        <f ca="1">IFERROR(__xludf.DUMMYFUNCTION("""COMPUTED_VALUE"""),"")</f>
        <v/>
      </c>
      <c r="G539" s="189" t="str">
        <f ca="1">IFERROR(__xludf.DUMMYFUNCTION("""COMPUTED_VALUE"""),"")</f>
        <v/>
      </c>
      <c r="H539" s="189" t="str">
        <f ca="1">IFERROR(__xludf.DUMMYFUNCTION("""COMPUTED_VALUE"""),"")</f>
        <v/>
      </c>
      <c r="I539" s="120" t="str">
        <f ca="1">IFERROR(__xludf.DUMMYFUNCTION("""COMPUTED_VALUE"""),"")</f>
        <v/>
      </c>
      <c r="J539" s="189" t="str">
        <f ca="1">IFERROR(__xludf.DUMMYFUNCTION("""COMPUTED_VALUE"""),"")</f>
        <v/>
      </c>
      <c r="K539" s="189" t="str">
        <f ca="1">IFERROR(__xludf.DUMMYFUNCTION("""COMPUTED_VALUE"""),"")</f>
        <v/>
      </c>
      <c r="L539" s="189" t="str">
        <f ca="1">IFERROR(__xludf.DUMMYFUNCTION("""COMPUTED_VALUE"""),"")</f>
        <v/>
      </c>
      <c r="M539" s="189" t="str">
        <f ca="1">IFERROR(__xludf.DUMMYFUNCTION("""COMPUTED_VALUE"""),"")</f>
        <v/>
      </c>
      <c r="N539" s="189" t="str">
        <f ca="1">IFERROR(__xludf.DUMMYFUNCTION("""COMPUTED_VALUE"""),"")</f>
        <v/>
      </c>
      <c r="O539" s="189" t="str">
        <f ca="1">IFERROR(__xludf.DUMMYFUNCTION("""COMPUTED_VALUE"""),"")</f>
        <v/>
      </c>
      <c r="P539" s="189" t="str">
        <f ca="1">IFERROR(__xludf.DUMMYFUNCTION("""COMPUTED_VALUE"""),"")</f>
        <v/>
      </c>
      <c r="Q539" s="189" t="str">
        <f ca="1">IFERROR(__xludf.DUMMYFUNCTION("""COMPUTED_VALUE"""),"")</f>
        <v/>
      </c>
      <c r="R539" s="189" t="str">
        <f ca="1">IFERROR(__xludf.DUMMYFUNCTION("""COMPUTED_VALUE"""),"")</f>
        <v/>
      </c>
      <c r="S539" s="189" t="str">
        <f ca="1">IFERROR(__xludf.DUMMYFUNCTION("""COMPUTED_VALUE"""),"")</f>
        <v/>
      </c>
      <c r="T539" s="189" t="str">
        <f ca="1">IFERROR(__xludf.DUMMYFUNCTION("""COMPUTED_VALUE"""),"")</f>
        <v/>
      </c>
      <c r="U539" s="189" t="str">
        <f ca="1">IFERROR(__xludf.DUMMYFUNCTION("""COMPUTED_VALUE"""),"")</f>
        <v/>
      </c>
      <c r="V539" s="189" t="str">
        <f ca="1">IFERROR(__xludf.DUMMYFUNCTION("""COMPUTED_VALUE"""),"")</f>
        <v/>
      </c>
      <c r="W539" s="189" t="str">
        <f ca="1">IFERROR(__xludf.DUMMYFUNCTION("""COMPUTED_VALUE"""),"")</f>
        <v/>
      </c>
      <c r="X539" s="189" t="str">
        <f ca="1">IFERROR(__xludf.DUMMYFUNCTION("""COMPUTED_VALUE"""),"")</f>
        <v/>
      </c>
      <c r="Y539" s="189" t="str">
        <f ca="1">IFERROR(__xludf.DUMMYFUNCTION("""COMPUTED_VALUE"""),"")</f>
        <v/>
      </c>
      <c r="Z539" s="189"/>
    </row>
    <row r="540" spans="1:26" ht="12.75">
      <c r="A540" s="189" t="str">
        <f ca="1">IFERROR(__xludf.DUMMYFUNCTION("""COMPUTED_VALUE"""),"")</f>
        <v/>
      </c>
      <c r="B540" s="189" t="str">
        <f ca="1">IFERROR(__xludf.DUMMYFUNCTION("""COMPUTED_VALUE"""),"")</f>
        <v/>
      </c>
      <c r="C540" s="189" t="str">
        <f ca="1">IFERROR(__xludf.DUMMYFUNCTION("""COMPUTED_VALUE"""),"")</f>
        <v/>
      </c>
      <c r="D540" s="189" t="str">
        <f ca="1">IFERROR(__xludf.DUMMYFUNCTION("""COMPUTED_VALUE"""),"")</f>
        <v/>
      </c>
      <c r="E540" s="189" t="str">
        <f ca="1">IFERROR(__xludf.DUMMYFUNCTION("""COMPUTED_VALUE"""),"")</f>
        <v/>
      </c>
      <c r="F540" s="189" t="str">
        <f ca="1">IFERROR(__xludf.DUMMYFUNCTION("""COMPUTED_VALUE"""),"")</f>
        <v/>
      </c>
      <c r="G540" s="189" t="str">
        <f ca="1">IFERROR(__xludf.DUMMYFUNCTION("""COMPUTED_VALUE"""),"")</f>
        <v/>
      </c>
      <c r="H540" s="189" t="str">
        <f ca="1">IFERROR(__xludf.DUMMYFUNCTION("""COMPUTED_VALUE"""),"")</f>
        <v/>
      </c>
      <c r="I540" s="120" t="str">
        <f ca="1">IFERROR(__xludf.DUMMYFUNCTION("""COMPUTED_VALUE"""),"")</f>
        <v/>
      </c>
      <c r="J540" s="189" t="str">
        <f ca="1">IFERROR(__xludf.DUMMYFUNCTION("""COMPUTED_VALUE"""),"")</f>
        <v/>
      </c>
      <c r="K540" s="189" t="str">
        <f ca="1">IFERROR(__xludf.DUMMYFUNCTION("""COMPUTED_VALUE"""),"")</f>
        <v/>
      </c>
      <c r="L540" s="189" t="str">
        <f ca="1">IFERROR(__xludf.DUMMYFUNCTION("""COMPUTED_VALUE"""),"")</f>
        <v/>
      </c>
      <c r="M540" s="189" t="str">
        <f ca="1">IFERROR(__xludf.DUMMYFUNCTION("""COMPUTED_VALUE"""),"")</f>
        <v/>
      </c>
      <c r="N540" s="189" t="str">
        <f ca="1">IFERROR(__xludf.DUMMYFUNCTION("""COMPUTED_VALUE"""),"")</f>
        <v/>
      </c>
      <c r="O540" s="189" t="str">
        <f ca="1">IFERROR(__xludf.DUMMYFUNCTION("""COMPUTED_VALUE"""),"")</f>
        <v/>
      </c>
      <c r="P540" s="189" t="str">
        <f ca="1">IFERROR(__xludf.DUMMYFUNCTION("""COMPUTED_VALUE"""),"")</f>
        <v/>
      </c>
      <c r="Q540" s="189" t="str">
        <f ca="1">IFERROR(__xludf.DUMMYFUNCTION("""COMPUTED_VALUE"""),"")</f>
        <v/>
      </c>
      <c r="R540" s="189" t="str">
        <f ca="1">IFERROR(__xludf.DUMMYFUNCTION("""COMPUTED_VALUE"""),"")</f>
        <v/>
      </c>
      <c r="S540" s="189" t="str">
        <f ca="1">IFERROR(__xludf.DUMMYFUNCTION("""COMPUTED_VALUE"""),"")</f>
        <v/>
      </c>
      <c r="T540" s="189" t="str">
        <f ca="1">IFERROR(__xludf.DUMMYFUNCTION("""COMPUTED_VALUE"""),"")</f>
        <v/>
      </c>
      <c r="U540" s="189" t="str">
        <f ca="1">IFERROR(__xludf.DUMMYFUNCTION("""COMPUTED_VALUE"""),"")</f>
        <v/>
      </c>
      <c r="V540" s="189" t="str">
        <f ca="1">IFERROR(__xludf.DUMMYFUNCTION("""COMPUTED_VALUE"""),"")</f>
        <v/>
      </c>
      <c r="W540" s="189" t="str">
        <f ca="1">IFERROR(__xludf.DUMMYFUNCTION("""COMPUTED_VALUE"""),"")</f>
        <v/>
      </c>
      <c r="X540" s="189" t="str">
        <f ca="1">IFERROR(__xludf.DUMMYFUNCTION("""COMPUTED_VALUE"""),"")</f>
        <v/>
      </c>
      <c r="Y540" s="189" t="str">
        <f ca="1">IFERROR(__xludf.DUMMYFUNCTION("""COMPUTED_VALUE"""),"")</f>
        <v/>
      </c>
      <c r="Z540" s="189"/>
    </row>
    <row r="541" spans="1:26" ht="12.75">
      <c r="A541" s="189" t="str">
        <f ca="1">IFERROR(__xludf.DUMMYFUNCTION("""COMPUTED_VALUE"""),"")</f>
        <v/>
      </c>
      <c r="B541" s="189" t="str">
        <f ca="1">IFERROR(__xludf.DUMMYFUNCTION("""COMPUTED_VALUE"""),"")</f>
        <v/>
      </c>
      <c r="C541" s="189" t="str">
        <f ca="1">IFERROR(__xludf.DUMMYFUNCTION("""COMPUTED_VALUE"""),"")</f>
        <v/>
      </c>
      <c r="D541" s="189" t="str">
        <f ca="1">IFERROR(__xludf.DUMMYFUNCTION("""COMPUTED_VALUE"""),"")</f>
        <v/>
      </c>
      <c r="E541" s="189" t="str">
        <f ca="1">IFERROR(__xludf.DUMMYFUNCTION("""COMPUTED_VALUE"""),"")</f>
        <v/>
      </c>
      <c r="F541" s="189" t="str">
        <f ca="1">IFERROR(__xludf.DUMMYFUNCTION("""COMPUTED_VALUE"""),"")</f>
        <v/>
      </c>
      <c r="G541" s="189" t="str">
        <f ca="1">IFERROR(__xludf.DUMMYFUNCTION("""COMPUTED_VALUE"""),"")</f>
        <v/>
      </c>
      <c r="H541" s="189" t="str">
        <f ca="1">IFERROR(__xludf.DUMMYFUNCTION("""COMPUTED_VALUE"""),"")</f>
        <v/>
      </c>
      <c r="I541" s="120" t="str">
        <f ca="1">IFERROR(__xludf.DUMMYFUNCTION("""COMPUTED_VALUE"""),"")</f>
        <v/>
      </c>
      <c r="J541" s="189" t="str">
        <f ca="1">IFERROR(__xludf.DUMMYFUNCTION("""COMPUTED_VALUE"""),"")</f>
        <v/>
      </c>
      <c r="K541" s="189" t="str">
        <f ca="1">IFERROR(__xludf.DUMMYFUNCTION("""COMPUTED_VALUE"""),"")</f>
        <v/>
      </c>
      <c r="L541" s="189" t="str">
        <f ca="1">IFERROR(__xludf.DUMMYFUNCTION("""COMPUTED_VALUE"""),"")</f>
        <v/>
      </c>
      <c r="M541" s="189" t="str">
        <f ca="1">IFERROR(__xludf.DUMMYFUNCTION("""COMPUTED_VALUE"""),"")</f>
        <v/>
      </c>
      <c r="N541" s="189" t="str">
        <f ca="1">IFERROR(__xludf.DUMMYFUNCTION("""COMPUTED_VALUE"""),"")</f>
        <v/>
      </c>
      <c r="O541" s="189" t="str">
        <f ca="1">IFERROR(__xludf.DUMMYFUNCTION("""COMPUTED_VALUE"""),"")</f>
        <v/>
      </c>
      <c r="P541" s="189" t="str">
        <f ca="1">IFERROR(__xludf.DUMMYFUNCTION("""COMPUTED_VALUE"""),"")</f>
        <v/>
      </c>
      <c r="Q541" s="189" t="str">
        <f ca="1">IFERROR(__xludf.DUMMYFUNCTION("""COMPUTED_VALUE"""),"")</f>
        <v/>
      </c>
      <c r="R541" s="189" t="str">
        <f ca="1">IFERROR(__xludf.DUMMYFUNCTION("""COMPUTED_VALUE"""),"")</f>
        <v/>
      </c>
      <c r="S541" s="189" t="str">
        <f ca="1">IFERROR(__xludf.DUMMYFUNCTION("""COMPUTED_VALUE"""),"")</f>
        <v/>
      </c>
      <c r="T541" s="189" t="str">
        <f ca="1">IFERROR(__xludf.DUMMYFUNCTION("""COMPUTED_VALUE"""),"")</f>
        <v/>
      </c>
      <c r="U541" s="189" t="str">
        <f ca="1">IFERROR(__xludf.DUMMYFUNCTION("""COMPUTED_VALUE"""),"")</f>
        <v/>
      </c>
      <c r="V541" s="189" t="str">
        <f ca="1">IFERROR(__xludf.DUMMYFUNCTION("""COMPUTED_VALUE"""),"")</f>
        <v/>
      </c>
      <c r="W541" s="189" t="str">
        <f ca="1">IFERROR(__xludf.DUMMYFUNCTION("""COMPUTED_VALUE"""),"")</f>
        <v/>
      </c>
      <c r="X541" s="189" t="str">
        <f ca="1">IFERROR(__xludf.DUMMYFUNCTION("""COMPUTED_VALUE"""),"")</f>
        <v/>
      </c>
      <c r="Y541" s="189" t="str">
        <f ca="1">IFERROR(__xludf.DUMMYFUNCTION("""COMPUTED_VALUE"""),"")</f>
        <v/>
      </c>
      <c r="Z541" s="189"/>
    </row>
    <row r="542" spans="1:26" ht="12.75">
      <c r="A542" s="189" t="str">
        <f ca="1">IFERROR(__xludf.DUMMYFUNCTION("""COMPUTED_VALUE"""),"")</f>
        <v/>
      </c>
      <c r="B542" s="189" t="str">
        <f ca="1">IFERROR(__xludf.DUMMYFUNCTION("""COMPUTED_VALUE"""),"")</f>
        <v/>
      </c>
      <c r="C542" s="189" t="str">
        <f ca="1">IFERROR(__xludf.DUMMYFUNCTION("""COMPUTED_VALUE"""),"")</f>
        <v/>
      </c>
      <c r="D542" s="189" t="str">
        <f ca="1">IFERROR(__xludf.DUMMYFUNCTION("""COMPUTED_VALUE"""),"")</f>
        <v/>
      </c>
      <c r="E542" s="189" t="str">
        <f ca="1">IFERROR(__xludf.DUMMYFUNCTION("""COMPUTED_VALUE"""),"")</f>
        <v/>
      </c>
      <c r="F542" s="189" t="str">
        <f ca="1">IFERROR(__xludf.DUMMYFUNCTION("""COMPUTED_VALUE"""),"")</f>
        <v/>
      </c>
      <c r="G542" s="189" t="str">
        <f ca="1">IFERROR(__xludf.DUMMYFUNCTION("""COMPUTED_VALUE"""),"")</f>
        <v/>
      </c>
      <c r="H542" s="189" t="str">
        <f ca="1">IFERROR(__xludf.DUMMYFUNCTION("""COMPUTED_VALUE"""),"")</f>
        <v/>
      </c>
      <c r="I542" s="120" t="str">
        <f ca="1">IFERROR(__xludf.DUMMYFUNCTION("""COMPUTED_VALUE"""),"")</f>
        <v/>
      </c>
      <c r="J542" s="189" t="str">
        <f ca="1">IFERROR(__xludf.DUMMYFUNCTION("""COMPUTED_VALUE"""),"")</f>
        <v/>
      </c>
      <c r="K542" s="189" t="str">
        <f ca="1">IFERROR(__xludf.DUMMYFUNCTION("""COMPUTED_VALUE"""),"")</f>
        <v/>
      </c>
      <c r="L542" s="189" t="str">
        <f ca="1">IFERROR(__xludf.DUMMYFUNCTION("""COMPUTED_VALUE"""),"")</f>
        <v/>
      </c>
      <c r="M542" s="189" t="str">
        <f ca="1">IFERROR(__xludf.DUMMYFUNCTION("""COMPUTED_VALUE"""),"")</f>
        <v/>
      </c>
      <c r="N542" s="189" t="str">
        <f ca="1">IFERROR(__xludf.DUMMYFUNCTION("""COMPUTED_VALUE"""),"")</f>
        <v/>
      </c>
      <c r="O542" s="189" t="str">
        <f ca="1">IFERROR(__xludf.DUMMYFUNCTION("""COMPUTED_VALUE"""),"")</f>
        <v/>
      </c>
      <c r="P542" s="189" t="str">
        <f ca="1">IFERROR(__xludf.DUMMYFUNCTION("""COMPUTED_VALUE"""),"")</f>
        <v/>
      </c>
      <c r="Q542" s="189" t="str">
        <f ca="1">IFERROR(__xludf.DUMMYFUNCTION("""COMPUTED_VALUE"""),"")</f>
        <v/>
      </c>
      <c r="R542" s="189" t="str">
        <f ca="1">IFERROR(__xludf.DUMMYFUNCTION("""COMPUTED_VALUE"""),"")</f>
        <v/>
      </c>
      <c r="S542" s="189" t="str">
        <f ca="1">IFERROR(__xludf.DUMMYFUNCTION("""COMPUTED_VALUE"""),"")</f>
        <v/>
      </c>
      <c r="T542" s="189" t="str">
        <f ca="1">IFERROR(__xludf.DUMMYFUNCTION("""COMPUTED_VALUE"""),"")</f>
        <v/>
      </c>
      <c r="U542" s="189" t="str">
        <f ca="1">IFERROR(__xludf.DUMMYFUNCTION("""COMPUTED_VALUE"""),"")</f>
        <v/>
      </c>
      <c r="V542" s="189" t="str">
        <f ca="1">IFERROR(__xludf.DUMMYFUNCTION("""COMPUTED_VALUE"""),"")</f>
        <v/>
      </c>
      <c r="W542" s="189" t="str">
        <f ca="1">IFERROR(__xludf.DUMMYFUNCTION("""COMPUTED_VALUE"""),"")</f>
        <v/>
      </c>
      <c r="X542" s="189" t="str">
        <f ca="1">IFERROR(__xludf.DUMMYFUNCTION("""COMPUTED_VALUE"""),"")</f>
        <v/>
      </c>
      <c r="Y542" s="189" t="str">
        <f ca="1">IFERROR(__xludf.DUMMYFUNCTION("""COMPUTED_VALUE"""),"")</f>
        <v/>
      </c>
      <c r="Z542" s="189"/>
    </row>
    <row r="543" spans="1:26" ht="12.75">
      <c r="A543" s="189" t="str">
        <f ca="1">IFERROR(__xludf.DUMMYFUNCTION("""COMPUTED_VALUE"""),"")</f>
        <v/>
      </c>
      <c r="B543" s="189" t="str">
        <f ca="1">IFERROR(__xludf.DUMMYFUNCTION("""COMPUTED_VALUE"""),"")</f>
        <v/>
      </c>
      <c r="C543" s="189" t="str">
        <f ca="1">IFERROR(__xludf.DUMMYFUNCTION("""COMPUTED_VALUE"""),"")</f>
        <v/>
      </c>
      <c r="D543" s="189" t="str">
        <f ca="1">IFERROR(__xludf.DUMMYFUNCTION("""COMPUTED_VALUE"""),"")</f>
        <v/>
      </c>
      <c r="E543" s="189" t="str">
        <f ca="1">IFERROR(__xludf.DUMMYFUNCTION("""COMPUTED_VALUE"""),"")</f>
        <v/>
      </c>
      <c r="F543" s="189" t="str">
        <f ca="1">IFERROR(__xludf.DUMMYFUNCTION("""COMPUTED_VALUE"""),"")</f>
        <v/>
      </c>
      <c r="G543" s="189" t="str">
        <f ca="1">IFERROR(__xludf.DUMMYFUNCTION("""COMPUTED_VALUE"""),"")</f>
        <v/>
      </c>
      <c r="H543" s="189" t="str">
        <f ca="1">IFERROR(__xludf.DUMMYFUNCTION("""COMPUTED_VALUE"""),"")</f>
        <v/>
      </c>
      <c r="I543" s="120" t="str">
        <f ca="1">IFERROR(__xludf.DUMMYFUNCTION("""COMPUTED_VALUE"""),"")</f>
        <v/>
      </c>
      <c r="J543" s="189" t="str">
        <f ca="1">IFERROR(__xludf.DUMMYFUNCTION("""COMPUTED_VALUE"""),"")</f>
        <v/>
      </c>
      <c r="K543" s="189" t="str">
        <f ca="1">IFERROR(__xludf.DUMMYFUNCTION("""COMPUTED_VALUE"""),"")</f>
        <v/>
      </c>
      <c r="L543" s="189" t="str">
        <f ca="1">IFERROR(__xludf.DUMMYFUNCTION("""COMPUTED_VALUE"""),"")</f>
        <v/>
      </c>
      <c r="M543" s="189" t="str">
        <f ca="1">IFERROR(__xludf.DUMMYFUNCTION("""COMPUTED_VALUE"""),"")</f>
        <v/>
      </c>
      <c r="N543" s="189" t="str">
        <f ca="1">IFERROR(__xludf.DUMMYFUNCTION("""COMPUTED_VALUE"""),"")</f>
        <v/>
      </c>
      <c r="O543" s="189" t="str">
        <f ca="1">IFERROR(__xludf.DUMMYFUNCTION("""COMPUTED_VALUE"""),"")</f>
        <v/>
      </c>
      <c r="P543" s="189" t="str">
        <f ca="1">IFERROR(__xludf.DUMMYFUNCTION("""COMPUTED_VALUE"""),"")</f>
        <v/>
      </c>
      <c r="Q543" s="189" t="str">
        <f ca="1">IFERROR(__xludf.DUMMYFUNCTION("""COMPUTED_VALUE"""),"")</f>
        <v/>
      </c>
      <c r="R543" s="189" t="str">
        <f ca="1">IFERROR(__xludf.DUMMYFUNCTION("""COMPUTED_VALUE"""),"")</f>
        <v/>
      </c>
      <c r="S543" s="189" t="str">
        <f ca="1">IFERROR(__xludf.DUMMYFUNCTION("""COMPUTED_VALUE"""),"")</f>
        <v/>
      </c>
      <c r="T543" s="189" t="str">
        <f ca="1">IFERROR(__xludf.DUMMYFUNCTION("""COMPUTED_VALUE"""),"")</f>
        <v/>
      </c>
      <c r="U543" s="189" t="str">
        <f ca="1">IFERROR(__xludf.DUMMYFUNCTION("""COMPUTED_VALUE"""),"")</f>
        <v/>
      </c>
      <c r="V543" s="189" t="str">
        <f ca="1">IFERROR(__xludf.DUMMYFUNCTION("""COMPUTED_VALUE"""),"")</f>
        <v/>
      </c>
      <c r="W543" s="189" t="str">
        <f ca="1">IFERROR(__xludf.DUMMYFUNCTION("""COMPUTED_VALUE"""),"")</f>
        <v/>
      </c>
      <c r="X543" s="189" t="str">
        <f ca="1">IFERROR(__xludf.DUMMYFUNCTION("""COMPUTED_VALUE"""),"")</f>
        <v/>
      </c>
      <c r="Y543" s="189" t="str">
        <f ca="1">IFERROR(__xludf.DUMMYFUNCTION("""COMPUTED_VALUE"""),"")</f>
        <v/>
      </c>
      <c r="Z543" s="189"/>
    </row>
    <row r="544" spans="1:26" ht="12.75">
      <c r="A544" s="189" t="str">
        <f ca="1">IFERROR(__xludf.DUMMYFUNCTION("""COMPUTED_VALUE"""),"")</f>
        <v/>
      </c>
      <c r="B544" s="189" t="str">
        <f ca="1">IFERROR(__xludf.DUMMYFUNCTION("""COMPUTED_VALUE"""),"")</f>
        <v/>
      </c>
      <c r="C544" s="189" t="str">
        <f ca="1">IFERROR(__xludf.DUMMYFUNCTION("""COMPUTED_VALUE"""),"")</f>
        <v/>
      </c>
      <c r="D544" s="189" t="str">
        <f ca="1">IFERROR(__xludf.DUMMYFUNCTION("""COMPUTED_VALUE"""),"")</f>
        <v/>
      </c>
      <c r="E544" s="189" t="str">
        <f ca="1">IFERROR(__xludf.DUMMYFUNCTION("""COMPUTED_VALUE"""),"")</f>
        <v/>
      </c>
      <c r="F544" s="189" t="str">
        <f ca="1">IFERROR(__xludf.DUMMYFUNCTION("""COMPUTED_VALUE"""),"")</f>
        <v/>
      </c>
      <c r="G544" s="189" t="str">
        <f ca="1">IFERROR(__xludf.DUMMYFUNCTION("""COMPUTED_VALUE"""),"")</f>
        <v/>
      </c>
      <c r="H544" s="189" t="str">
        <f ca="1">IFERROR(__xludf.DUMMYFUNCTION("""COMPUTED_VALUE"""),"")</f>
        <v/>
      </c>
      <c r="I544" s="120" t="str">
        <f ca="1">IFERROR(__xludf.DUMMYFUNCTION("""COMPUTED_VALUE"""),"")</f>
        <v/>
      </c>
      <c r="J544" s="189" t="str">
        <f ca="1">IFERROR(__xludf.DUMMYFUNCTION("""COMPUTED_VALUE"""),"")</f>
        <v/>
      </c>
      <c r="K544" s="189" t="str">
        <f ca="1">IFERROR(__xludf.DUMMYFUNCTION("""COMPUTED_VALUE"""),"")</f>
        <v/>
      </c>
      <c r="L544" s="189" t="str">
        <f ca="1">IFERROR(__xludf.DUMMYFUNCTION("""COMPUTED_VALUE"""),"")</f>
        <v/>
      </c>
      <c r="M544" s="189" t="str">
        <f ca="1">IFERROR(__xludf.DUMMYFUNCTION("""COMPUTED_VALUE"""),"")</f>
        <v/>
      </c>
      <c r="N544" s="189" t="str">
        <f ca="1">IFERROR(__xludf.DUMMYFUNCTION("""COMPUTED_VALUE"""),"")</f>
        <v/>
      </c>
      <c r="O544" s="189" t="str">
        <f ca="1">IFERROR(__xludf.DUMMYFUNCTION("""COMPUTED_VALUE"""),"")</f>
        <v/>
      </c>
      <c r="P544" s="189" t="str">
        <f ca="1">IFERROR(__xludf.DUMMYFUNCTION("""COMPUTED_VALUE"""),"")</f>
        <v/>
      </c>
      <c r="Q544" s="189" t="str">
        <f ca="1">IFERROR(__xludf.DUMMYFUNCTION("""COMPUTED_VALUE"""),"")</f>
        <v/>
      </c>
      <c r="R544" s="189" t="str">
        <f ca="1">IFERROR(__xludf.DUMMYFUNCTION("""COMPUTED_VALUE"""),"")</f>
        <v/>
      </c>
      <c r="S544" s="189" t="str">
        <f ca="1">IFERROR(__xludf.DUMMYFUNCTION("""COMPUTED_VALUE"""),"")</f>
        <v/>
      </c>
      <c r="T544" s="189" t="str">
        <f ca="1">IFERROR(__xludf.DUMMYFUNCTION("""COMPUTED_VALUE"""),"")</f>
        <v/>
      </c>
      <c r="U544" s="189" t="str">
        <f ca="1">IFERROR(__xludf.DUMMYFUNCTION("""COMPUTED_VALUE"""),"")</f>
        <v/>
      </c>
      <c r="V544" s="189" t="str">
        <f ca="1">IFERROR(__xludf.DUMMYFUNCTION("""COMPUTED_VALUE"""),"")</f>
        <v/>
      </c>
      <c r="W544" s="189" t="str">
        <f ca="1">IFERROR(__xludf.DUMMYFUNCTION("""COMPUTED_VALUE"""),"")</f>
        <v/>
      </c>
      <c r="X544" s="189" t="str">
        <f ca="1">IFERROR(__xludf.DUMMYFUNCTION("""COMPUTED_VALUE"""),"")</f>
        <v/>
      </c>
      <c r="Y544" s="189" t="str">
        <f ca="1">IFERROR(__xludf.DUMMYFUNCTION("""COMPUTED_VALUE"""),"")</f>
        <v/>
      </c>
      <c r="Z544" s="189"/>
    </row>
    <row r="545" spans="1:26" ht="12.75">
      <c r="A545" s="189" t="str">
        <f ca="1">IFERROR(__xludf.DUMMYFUNCTION("""COMPUTED_VALUE"""),"")</f>
        <v/>
      </c>
      <c r="B545" s="189" t="str">
        <f ca="1">IFERROR(__xludf.DUMMYFUNCTION("""COMPUTED_VALUE"""),"")</f>
        <v/>
      </c>
      <c r="C545" s="189" t="str">
        <f ca="1">IFERROR(__xludf.DUMMYFUNCTION("""COMPUTED_VALUE"""),"")</f>
        <v/>
      </c>
      <c r="D545" s="189" t="str">
        <f ca="1">IFERROR(__xludf.DUMMYFUNCTION("""COMPUTED_VALUE"""),"")</f>
        <v/>
      </c>
      <c r="E545" s="189" t="str">
        <f ca="1">IFERROR(__xludf.DUMMYFUNCTION("""COMPUTED_VALUE"""),"")</f>
        <v/>
      </c>
      <c r="F545" s="189" t="str">
        <f ca="1">IFERROR(__xludf.DUMMYFUNCTION("""COMPUTED_VALUE"""),"")</f>
        <v/>
      </c>
      <c r="G545" s="189" t="str">
        <f ca="1">IFERROR(__xludf.DUMMYFUNCTION("""COMPUTED_VALUE"""),"")</f>
        <v/>
      </c>
      <c r="H545" s="189" t="str">
        <f ca="1">IFERROR(__xludf.DUMMYFUNCTION("""COMPUTED_VALUE"""),"")</f>
        <v/>
      </c>
      <c r="I545" s="120" t="str">
        <f ca="1">IFERROR(__xludf.DUMMYFUNCTION("""COMPUTED_VALUE"""),"")</f>
        <v/>
      </c>
      <c r="J545" s="189" t="str">
        <f ca="1">IFERROR(__xludf.DUMMYFUNCTION("""COMPUTED_VALUE"""),"")</f>
        <v/>
      </c>
      <c r="K545" s="189" t="str">
        <f ca="1">IFERROR(__xludf.DUMMYFUNCTION("""COMPUTED_VALUE"""),"")</f>
        <v/>
      </c>
      <c r="L545" s="189" t="str">
        <f ca="1">IFERROR(__xludf.DUMMYFUNCTION("""COMPUTED_VALUE"""),"")</f>
        <v/>
      </c>
      <c r="M545" s="189" t="str">
        <f ca="1">IFERROR(__xludf.DUMMYFUNCTION("""COMPUTED_VALUE"""),"")</f>
        <v/>
      </c>
      <c r="N545" s="189" t="str">
        <f ca="1">IFERROR(__xludf.DUMMYFUNCTION("""COMPUTED_VALUE"""),"")</f>
        <v/>
      </c>
      <c r="O545" s="189" t="str">
        <f ca="1">IFERROR(__xludf.DUMMYFUNCTION("""COMPUTED_VALUE"""),"")</f>
        <v/>
      </c>
      <c r="P545" s="189" t="str">
        <f ca="1">IFERROR(__xludf.DUMMYFUNCTION("""COMPUTED_VALUE"""),"")</f>
        <v/>
      </c>
      <c r="Q545" s="189" t="str">
        <f ca="1">IFERROR(__xludf.DUMMYFUNCTION("""COMPUTED_VALUE"""),"")</f>
        <v/>
      </c>
      <c r="R545" s="189" t="str">
        <f ca="1">IFERROR(__xludf.DUMMYFUNCTION("""COMPUTED_VALUE"""),"")</f>
        <v/>
      </c>
      <c r="S545" s="189" t="str">
        <f ca="1">IFERROR(__xludf.DUMMYFUNCTION("""COMPUTED_VALUE"""),"")</f>
        <v/>
      </c>
      <c r="T545" s="189" t="str">
        <f ca="1">IFERROR(__xludf.DUMMYFUNCTION("""COMPUTED_VALUE"""),"")</f>
        <v/>
      </c>
      <c r="U545" s="189" t="str">
        <f ca="1">IFERROR(__xludf.DUMMYFUNCTION("""COMPUTED_VALUE"""),"")</f>
        <v/>
      </c>
      <c r="V545" s="189" t="str">
        <f ca="1">IFERROR(__xludf.DUMMYFUNCTION("""COMPUTED_VALUE"""),"")</f>
        <v/>
      </c>
      <c r="W545" s="189" t="str">
        <f ca="1">IFERROR(__xludf.DUMMYFUNCTION("""COMPUTED_VALUE"""),"")</f>
        <v/>
      </c>
      <c r="X545" s="189" t="str">
        <f ca="1">IFERROR(__xludf.DUMMYFUNCTION("""COMPUTED_VALUE"""),"")</f>
        <v/>
      </c>
      <c r="Y545" s="189" t="str">
        <f ca="1">IFERROR(__xludf.DUMMYFUNCTION("""COMPUTED_VALUE"""),"")</f>
        <v/>
      </c>
      <c r="Z545" s="189"/>
    </row>
    <row r="546" spans="1:26" ht="12.75">
      <c r="A546" s="189" t="str">
        <f ca="1">IFERROR(__xludf.DUMMYFUNCTION("""COMPUTED_VALUE"""),"")</f>
        <v/>
      </c>
      <c r="B546" s="189" t="str">
        <f ca="1">IFERROR(__xludf.DUMMYFUNCTION("""COMPUTED_VALUE"""),"")</f>
        <v/>
      </c>
      <c r="C546" s="189" t="str">
        <f ca="1">IFERROR(__xludf.DUMMYFUNCTION("""COMPUTED_VALUE"""),"")</f>
        <v/>
      </c>
      <c r="D546" s="189" t="str">
        <f ca="1">IFERROR(__xludf.DUMMYFUNCTION("""COMPUTED_VALUE"""),"")</f>
        <v/>
      </c>
      <c r="E546" s="189" t="str">
        <f ca="1">IFERROR(__xludf.DUMMYFUNCTION("""COMPUTED_VALUE"""),"")</f>
        <v/>
      </c>
      <c r="F546" s="189" t="str">
        <f ca="1">IFERROR(__xludf.DUMMYFUNCTION("""COMPUTED_VALUE"""),"")</f>
        <v/>
      </c>
      <c r="G546" s="189" t="str">
        <f ca="1">IFERROR(__xludf.DUMMYFUNCTION("""COMPUTED_VALUE"""),"")</f>
        <v/>
      </c>
      <c r="H546" s="189" t="str">
        <f ca="1">IFERROR(__xludf.DUMMYFUNCTION("""COMPUTED_VALUE"""),"")</f>
        <v/>
      </c>
      <c r="I546" s="120" t="str">
        <f ca="1">IFERROR(__xludf.DUMMYFUNCTION("""COMPUTED_VALUE"""),"")</f>
        <v/>
      </c>
      <c r="J546" s="189" t="str">
        <f ca="1">IFERROR(__xludf.DUMMYFUNCTION("""COMPUTED_VALUE"""),"")</f>
        <v/>
      </c>
      <c r="K546" s="189" t="str">
        <f ca="1">IFERROR(__xludf.DUMMYFUNCTION("""COMPUTED_VALUE"""),"")</f>
        <v/>
      </c>
      <c r="L546" s="189" t="str">
        <f ca="1">IFERROR(__xludf.DUMMYFUNCTION("""COMPUTED_VALUE"""),"")</f>
        <v/>
      </c>
      <c r="M546" s="189" t="str">
        <f ca="1">IFERROR(__xludf.DUMMYFUNCTION("""COMPUTED_VALUE"""),"")</f>
        <v/>
      </c>
      <c r="N546" s="189" t="str">
        <f ca="1">IFERROR(__xludf.DUMMYFUNCTION("""COMPUTED_VALUE"""),"")</f>
        <v/>
      </c>
      <c r="O546" s="189" t="str">
        <f ca="1">IFERROR(__xludf.DUMMYFUNCTION("""COMPUTED_VALUE"""),"")</f>
        <v/>
      </c>
      <c r="P546" s="189" t="str">
        <f ca="1">IFERROR(__xludf.DUMMYFUNCTION("""COMPUTED_VALUE"""),"")</f>
        <v/>
      </c>
      <c r="Q546" s="189" t="str">
        <f ca="1">IFERROR(__xludf.DUMMYFUNCTION("""COMPUTED_VALUE"""),"")</f>
        <v/>
      </c>
      <c r="R546" s="189" t="str">
        <f ca="1">IFERROR(__xludf.DUMMYFUNCTION("""COMPUTED_VALUE"""),"")</f>
        <v/>
      </c>
      <c r="S546" s="189" t="str">
        <f ca="1">IFERROR(__xludf.DUMMYFUNCTION("""COMPUTED_VALUE"""),"")</f>
        <v/>
      </c>
      <c r="T546" s="189" t="str">
        <f ca="1">IFERROR(__xludf.DUMMYFUNCTION("""COMPUTED_VALUE"""),"")</f>
        <v/>
      </c>
      <c r="U546" s="189" t="str">
        <f ca="1">IFERROR(__xludf.DUMMYFUNCTION("""COMPUTED_VALUE"""),"")</f>
        <v/>
      </c>
      <c r="V546" s="189" t="str">
        <f ca="1">IFERROR(__xludf.DUMMYFUNCTION("""COMPUTED_VALUE"""),"")</f>
        <v/>
      </c>
      <c r="W546" s="189" t="str">
        <f ca="1">IFERROR(__xludf.DUMMYFUNCTION("""COMPUTED_VALUE"""),"")</f>
        <v/>
      </c>
      <c r="X546" s="189" t="str">
        <f ca="1">IFERROR(__xludf.DUMMYFUNCTION("""COMPUTED_VALUE"""),"")</f>
        <v/>
      </c>
      <c r="Y546" s="189" t="str">
        <f ca="1">IFERROR(__xludf.DUMMYFUNCTION("""COMPUTED_VALUE"""),"")</f>
        <v/>
      </c>
      <c r="Z546" s="189"/>
    </row>
    <row r="547" spans="1:26" ht="12.75">
      <c r="A547" s="189" t="str">
        <f ca="1">IFERROR(__xludf.DUMMYFUNCTION("""COMPUTED_VALUE"""),"")</f>
        <v/>
      </c>
      <c r="B547" s="189" t="str">
        <f ca="1">IFERROR(__xludf.DUMMYFUNCTION("""COMPUTED_VALUE"""),"")</f>
        <v/>
      </c>
      <c r="C547" s="189" t="str">
        <f ca="1">IFERROR(__xludf.DUMMYFUNCTION("""COMPUTED_VALUE"""),"")</f>
        <v/>
      </c>
      <c r="D547" s="189" t="str">
        <f ca="1">IFERROR(__xludf.DUMMYFUNCTION("""COMPUTED_VALUE"""),"")</f>
        <v/>
      </c>
      <c r="E547" s="189" t="str">
        <f ca="1">IFERROR(__xludf.DUMMYFUNCTION("""COMPUTED_VALUE"""),"")</f>
        <v/>
      </c>
      <c r="F547" s="189" t="str">
        <f ca="1">IFERROR(__xludf.DUMMYFUNCTION("""COMPUTED_VALUE"""),"")</f>
        <v/>
      </c>
      <c r="G547" s="189" t="str">
        <f ca="1">IFERROR(__xludf.DUMMYFUNCTION("""COMPUTED_VALUE"""),"")</f>
        <v/>
      </c>
      <c r="H547" s="189" t="str">
        <f ca="1">IFERROR(__xludf.DUMMYFUNCTION("""COMPUTED_VALUE"""),"")</f>
        <v/>
      </c>
      <c r="I547" s="120" t="str">
        <f ca="1">IFERROR(__xludf.DUMMYFUNCTION("""COMPUTED_VALUE"""),"")</f>
        <v/>
      </c>
      <c r="J547" s="189" t="str">
        <f ca="1">IFERROR(__xludf.DUMMYFUNCTION("""COMPUTED_VALUE"""),"")</f>
        <v/>
      </c>
      <c r="K547" s="189" t="str">
        <f ca="1">IFERROR(__xludf.DUMMYFUNCTION("""COMPUTED_VALUE"""),"")</f>
        <v/>
      </c>
      <c r="L547" s="189" t="str">
        <f ca="1">IFERROR(__xludf.DUMMYFUNCTION("""COMPUTED_VALUE"""),"")</f>
        <v/>
      </c>
      <c r="M547" s="189" t="str">
        <f ca="1">IFERROR(__xludf.DUMMYFUNCTION("""COMPUTED_VALUE"""),"")</f>
        <v/>
      </c>
      <c r="N547" s="189" t="str">
        <f ca="1">IFERROR(__xludf.DUMMYFUNCTION("""COMPUTED_VALUE"""),"")</f>
        <v/>
      </c>
      <c r="O547" s="189" t="str">
        <f ca="1">IFERROR(__xludf.DUMMYFUNCTION("""COMPUTED_VALUE"""),"")</f>
        <v/>
      </c>
      <c r="P547" s="189" t="str">
        <f ca="1">IFERROR(__xludf.DUMMYFUNCTION("""COMPUTED_VALUE"""),"")</f>
        <v/>
      </c>
      <c r="Q547" s="189" t="str">
        <f ca="1">IFERROR(__xludf.DUMMYFUNCTION("""COMPUTED_VALUE"""),"")</f>
        <v/>
      </c>
      <c r="R547" s="189" t="str">
        <f ca="1">IFERROR(__xludf.DUMMYFUNCTION("""COMPUTED_VALUE"""),"")</f>
        <v/>
      </c>
      <c r="S547" s="189" t="str">
        <f ca="1">IFERROR(__xludf.DUMMYFUNCTION("""COMPUTED_VALUE"""),"")</f>
        <v/>
      </c>
      <c r="T547" s="189" t="str">
        <f ca="1">IFERROR(__xludf.DUMMYFUNCTION("""COMPUTED_VALUE"""),"")</f>
        <v/>
      </c>
      <c r="U547" s="189" t="str">
        <f ca="1">IFERROR(__xludf.DUMMYFUNCTION("""COMPUTED_VALUE"""),"")</f>
        <v/>
      </c>
      <c r="V547" s="189" t="str">
        <f ca="1">IFERROR(__xludf.DUMMYFUNCTION("""COMPUTED_VALUE"""),"")</f>
        <v/>
      </c>
      <c r="W547" s="189" t="str">
        <f ca="1">IFERROR(__xludf.DUMMYFUNCTION("""COMPUTED_VALUE"""),"")</f>
        <v/>
      </c>
      <c r="X547" s="189" t="str">
        <f ca="1">IFERROR(__xludf.DUMMYFUNCTION("""COMPUTED_VALUE"""),"")</f>
        <v/>
      </c>
      <c r="Y547" s="189" t="str">
        <f ca="1">IFERROR(__xludf.DUMMYFUNCTION("""COMPUTED_VALUE"""),"")</f>
        <v/>
      </c>
      <c r="Z547" s="189"/>
    </row>
    <row r="548" spans="1:26" ht="12.75">
      <c r="A548" s="189" t="str">
        <f ca="1">IFERROR(__xludf.DUMMYFUNCTION("""COMPUTED_VALUE"""),"")</f>
        <v/>
      </c>
      <c r="B548" s="189" t="str">
        <f ca="1">IFERROR(__xludf.DUMMYFUNCTION("""COMPUTED_VALUE"""),"")</f>
        <v/>
      </c>
      <c r="C548" s="189" t="str">
        <f ca="1">IFERROR(__xludf.DUMMYFUNCTION("""COMPUTED_VALUE"""),"")</f>
        <v/>
      </c>
      <c r="D548" s="189" t="str">
        <f ca="1">IFERROR(__xludf.DUMMYFUNCTION("""COMPUTED_VALUE"""),"")</f>
        <v/>
      </c>
      <c r="E548" s="189" t="str">
        <f ca="1">IFERROR(__xludf.DUMMYFUNCTION("""COMPUTED_VALUE"""),"")</f>
        <v/>
      </c>
      <c r="F548" s="189" t="str">
        <f ca="1">IFERROR(__xludf.DUMMYFUNCTION("""COMPUTED_VALUE"""),"")</f>
        <v/>
      </c>
      <c r="G548" s="189" t="str">
        <f ca="1">IFERROR(__xludf.DUMMYFUNCTION("""COMPUTED_VALUE"""),"")</f>
        <v/>
      </c>
      <c r="H548" s="189" t="str">
        <f ca="1">IFERROR(__xludf.DUMMYFUNCTION("""COMPUTED_VALUE"""),"")</f>
        <v/>
      </c>
      <c r="I548" s="120" t="str">
        <f ca="1">IFERROR(__xludf.DUMMYFUNCTION("""COMPUTED_VALUE"""),"")</f>
        <v/>
      </c>
      <c r="J548" s="189" t="str">
        <f ca="1">IFERROR(__xludf.DUMMYFUNCTION("""COMPUTED_VALUE"""),"")</f>
        <v/>
      </c>
      <c r="K548" s="189" t="str">
        <f ca="1">IFERROR(__xludf.DUMMYFUNCTION("""COMPUTED_VALUE"""),"")</f>
        <v/>
      </c>
      <c r="L548" s="189" t="str">
        <f ca="1">IFERROR(__xludf.DUMMYFUNCTION("""COMPUTED_VALUE"""),"")</f>
        <v/>
      </c>
      <c r="M548" s="189" t="str">
        <f ca="1">IFERROR(__xludf.DUMMYFUNCTION("""COMPUTED_VALUE"""),"")</f>
        <v/>
      </c>
      <c r="N548" s="189" t="str">
        <f ca="1">IFERROR(__xludf.DUMMYFUNCTION("""COMPUTED_VALUE"""),"")</f>
        <v/>
      </c>
      <c r="O548" s="189" t="str">
        <f ca="1">IFERROR(__xludf.DUMMYFUNCTION("""COMPUTED_VALUE"""),"")</f>
        <v/>
      </c>
      <c r="P548" s="189" t="str">
        <f ca="1">IFERROR(__xludf.DUMMYFUNCTION("""COMPUTED_VALUE"""),"")</f>
        <v/>
      </c>
      <c r="Q548" s="189" t="str">
        <f ca="1">IFERROR(__xludf.DUMMYFUNCTION("""COMPUTED_VALUE"""),"")</f>
        <v/>
      </c>
      <c r="R548" s="189" t="str">
        <f ca="1">IFERROR(__xludf.DUMMYFUNCTION("""COMPUTED_VALUE"""),"")</f>
        <v/>
      </c>
      <c r="S548" s="189" t="str">
        <f ca="1">IFERROR(__xludf.DUMMYFUNCTION("""COMPUTED_VALUE"""),"")</f>
        <v/>
      </c>
      <c r="T548" s="189" t="str">
        <f ca="1">IFERROR(__xludf.DUMMYFUNCTION("""COMPUTED_VALUE"""),"")</f>
        <v/>
      </c>
      <c r="U548" s="189" t="str">
        <f ca="1">IFERROR(__xludf.DUMMYFUNCTION("""COMPUTED_VALUE"""),"")</f>
        <v/>
      </c>
      <c r="V548" s="189" t="str">
        <f ca="1">IFERROR(__xludf.DUMMYFUNCTION("""COMPUTED_VALUE"""),"")</f>
        <v/>
      </c>
      <c r="W548" s="189" t="str">
        <f ca="1">IFERROR(__xludf.DUMMYFUNCTION("""COMPUTED_VALUE"""),"")</f>
        <v/>
      </c>
      <c r="X548" s="189" t="str">
        <f ca="1">IFERROR(__xludf.DUMMYFUNCTION("""COMPUTED_VALUE"""),"")</f>
        <v/>
      </c>
      <c r="Y548" s="189" t="str">
        <f ca="1">IFERROR(__xludf.DUMMYFUNCTION("""COMPUTED_VALUE"""),"")</f>
        <v/>
      </c>
      <c r="Z548" s="189"/>
    </row>
    <row r="549" spans="1:26" ht="12.75">
      <c r="A549" s="189" t="str">
        <f ca="1">IFERROR(__xludf.DUMMYFUNCTION("""COMPUTED_VALUE"""),"")</f>
        <v/>
      </c>
      <c r="B549" s="189" t="str">
        <f ca="1">IFERROR(__xludf.DUMMYFUNCTION("""COMPUTED_VALUE"""),"")</f>
        <v/>
      </c>
      <c r="C549" s="189" t="str">
        <f ca="1">IFERROR(__xludf.DUMMYFUNCTION("""COMPUTED_VALUE"""),"")</f>
        <v/>
      </c>
      <c r="D549" s="189" t="str">
        <f ca="1">IFERROR(__xludf.DUMMYFUNCTION("""COMPUTED_VALUE"""),"")</f>
        <v/>
      </c>
      <c r="E549" s="189" t="str">
        <f ca="1">IFERROR(__xludf.DUMMYFUNCTION("""COMPUTED_VALUE"""),"")</f>
        <v/>
      </c>
      <c r="F549" s="189" t="str">
        <f ca="1">IFERROR(__xludf.DUMMYFUNCTION("""COMPUTED_VALUE"""),"")</f>
        <v/>
      </c>
      <c r="G549" s="189" t="str">
        <f ca="1">IFERROR(__xludf.DUMMYFUNCTION("""COMPUTED_VALUE"""),"")</f>
        <v/>
      </c>
      <c r="H549" s="189" t="str">
        <f ca="1">IFERROR(__xludf.DUMMYFUNCTION("""COMPUTED_VALUE"""),"")</f>
        <v/>
      </c>
      <c r="I549" s="120" t="str">
        <f ca="1">IFERROR(__xludf.DUMMYFUNCTION("""COMPUTED_VALUE"""),"")</f>
        <v/>
      </c>
      <c r="J549" s="189" t="str">
        <f ca="1">IFERROR(__xludf.DUMMYFUNCTION("""COMPUTED_VALUE"""),"")</f>
        <v/>
      </c>
      <c r="K549" s="189" t="str">
        <f ca="1">IFERROR(__xludf.DUMMYFUNCTION("""COMPUTED_VALUE"""),"")</f>
        <v/>
      </c>
      <c r="L549" s="189" t="str">
        <f ca="1">IFERROR(__xludf.DUMMYFUNCTION("""COMPUTED_VALUE"""),"")</f>
        <v/>
      </c>
      <c r="M549" s="189" t="str">
        <f ca="1">IFERROR(__xludf.DUMMYFUNCTION("""COMPUTED_VALUE"""),"")</f>
        <v/>
      </c>
      <c r="N549" s="189" t="str">
        <f ca="1">IFERROR(__xludf.DUMMYFUNCTION("""COMPUTED_VALUE"""),"")</f>
        <v/>
      </c>
      <c r="O549" s="189" t="str">
        <f ca="1">IFERROR(__xludf.DUMMYFUNCTION("""COMPUTED_VALUE"""),"")</f>
        <v/>
      </c>
      <c r="P549" s="189" t="str">
        <f ca="1">IFERROR(__xludf.DUMMYFUNCTION("""COMPUTED_VALUE"""),"")</f>
        <v/>
      </c>
      <c r="Q549" s="189" t="str">
        <f ca="1">IFERROR(__xludf.DUMMYFUNCTION("""COMPUTED_VALUE"""),"")</f>
        <v/>
      </c>
      <c r="R549" s="189" t="str">
        <f ca="1">IFERROR(__xludf.DUMMYFUNCTION("""COMPUTED_VALUE"""),"")</f>
        <v/>
      </c>
      <c r="S549" s="189" t="str">
        <f ca="1">IFERROR(__xludf.DUMMYFUNCTION("""COMPUTED_VALUE"""),"")</f>
        <v/>
      </c>
      <c r="T549" s="189" t="str">
        <f ca="1">IFERROR(__xludf.DUMMYFUNCTION("""COMPUTED_VALUE"""),"")</f>
        <v/>
      </c>
      <c r="U549" s="189" t="str">
        <f ca="1">IFERROR(__xludf.DUMMYFUNCTION("""COMPUTED_VALUE"""),"")</f>
        <v/>
      </c>
      <c r="V549" s="189" t="str">
        <f ca="1">IFERROR(__xludf.DUMMYFUNCTION("""COMPUTED_VALUE"""),"")</f>
        <v/>
      </c>
      <c r="W549" s="189" t="str">
        <f ca="1">IFERROR(__xludf.DUMMYFUNCTION("""COMPUTED_VALUE"""),"")</f>
        <v/>
      </c>
      <c r="X549" s="189" t="str">
        <f ca="1">IFERROR(__xludf.DUMMYFUNCTION("""COMPUTED_VALUE"""),"")</f>
        <v/>
      </c>
      <c r="Y549" s="189" t="str">
        <f ca="1">IFERROR(__xludf.DUMMYFUNCTION("""COMPUTED_VALUE"""),"")</f>
        <v/>
      </c>
      <c r="Z549" s="189"/>
    </row>
    <row r="550" spans="1:26" ht="12.75">
      <c r="A550" s="189" t="str">
        <f ca="1">IFERROR(__xludf.DUMMYFUNCTION("""COMPUTED_VALUE"""),"")</f>
        <v/>
      </c>
      <c r="B550" s="189" t="str">
        <f ca="1">IFERROR(__xludf.DUMMYFUNCTION("""COMPUTED_VALUE"""),"")</f>
        <v/>
      </c>
      <c r="C550" s="189" t="str">
        <f ca="1">IFERROR(__xludf.DUMMYFUNCTION("""COMPUTED_VALUE"""),"")</f>
        <v/>
      </c>
      <c r="D550" s="189" t="str">
        <f ca="1">IFERROR(__xludf.DUMMYFUNCTION("""COMPUTED_VALUE"""),"")</f>
        <v/>
      </c>
      <c r="E550" s="189" t="str">
        <f ca="1">IFERROR(__xludf.DUMMYFUNCTION("""COMPUTED_VALUE"""),"")</f>
        <v/>
      </c>
      <c r="F550" s="189" t="str">
        <f ca="1">IFERROR(__xludf.DUMMYFUNCTION("""COMPUTED_VALUE"""),"")</f>
        <v/>
      </c>
      <c r="G550" s="189" t="str">
        <f ca="1">IFERROR(__xludf.DUMMYFUNCTION("""COMPUTED_VALUE"""),"")</f>
        <v/>
      </c>
      <c r="H550" s="189" t="str">
        <f ca="1">IFERROR(__xludf.DUMMYFUNCTION("""COMPUTED_VALUE"""),"")</f>
        <v/>
      </c>
      <c r="I550" s="120" t="str">
        <f ca="1">IFERROR(__xludf.DUMMYFUNCTION("""COMPUTED_VALUE"""),"")</f>
        <v/>
      </c>
      <c r="J550" s="189" t="str">
        <f ca="1">IFERROR(__xludf.DUMMYFUNCTION("""COMPUTED_VALUE"""),"")</f>
        <v/>
      </c>
      <c r="K550" s="189" t="str">
        <f ca="1">IFERROR(__xludf.DUMMYFUNCTION("""COMPUTED_VALUE"""),"")</f>
        <v/>
      </c>
      <c r="L550" s="189" t="str">
        <f ca="1">IFERROR(__xludf.DUMMYFUNCTION("""COMPUTED_VALUE"""),"")</f>
        <v/>
      </c>
      <c r="M550" s="189" t="str">
        <f ca="1">IFERROR(__xludf.DUMMYFUNCTION("""COMPUTED_VALUE"""),"")</f>
        <v/>
      </c>
      <c r="N550" s="189" t="str">
        <f ca="1">IFERROR(__xludf.DUMMYFUNCTION("""COMPUTED_VALUE"""),"")</f>
        <v/>
      </c>
      <c r="O550" s="189" t="str">
        <f ca="1">IFERROR(__xludf.DUMMYFUNCTION("""COMPUTED_VALUE"""),"")</f>
        <v/>
      </c>
      <c r="P550" s="189" t="str">
        <f ca="1">IFERROR(__xludf.DUMMYFUNCTION("""COMPUTED_VALUE"""),"")</f>
        <v/>
      </c>
      <c r="Q550" s="189" t="str">
        <f ca="1">IFERROR(__xludf.DUMMYFUNCTION("""COMPUTED_VALUE"""),"")</f>
        <v/>
      </c>
      <c r="R550" s="189" t="str">
        <f ca="1">IFERROR(__xludf.DUMMYFUNCTION("""COMPUTED_VALUE"""),"")</f>
        <v/>
      </c>
      <c r="S550" s="189" t="str">
        <f ca="1">IFERROR(__xludf.DUMMYFUNCTION("""COMPUTED_VALUE"""),"")</f>
        <v/>
      </c>
      <c r="T550" s="189" t="str">
        <f ca="1">IFERROR(__xludf.DUMMYFUNCTION("""COMPUTED_VALUE"""),"")</f>
        <v/>
      </c>
      <c r="U550" s="189" t="str">
        <f ca="1">IFERROR(__xludf.DUMMYFUNCTION("""COMPUTED_VALUE"""),"")</f>
        <v/>
      </c>
      <c r="V550" s="189" t="str">
        <f ca="1">IFERROR(__xludf.DUMMYFUNCTION("""COMPUTED_VALUE"""),"")</f>
        <v/>
      </c>
      <c r="W550" s="189" t="str">
        <f ca="1">IFERROR(__xludf.DUMMYFUNCTION("""COMPUTED_VALUE"""),"")</f>
        <v/>
      </c>
      <c r="X550" s="189" t="str">
        <f ca="1">IFERROR(__xludf.DUMMYFUNCTION("""COMPUTED_VALUE"""),"")</f>
        <v/>
      </c>
      <c r="Y550" s="189" t="str">
        <f ca="1">IFERROR(__xludf.DUMMYFUNCTION("""COMPUTED_VALUE"""),"")</f>
        <v/>
      </c>
      <c r="Z550" s="189"/>
    </row>
    <row r="551" spans="1:26" ht="12.75">
      <c r="A551" s="189" t="str">
        <f ca="1">IFERROR(__xludf.DUMMYFUNCTION("""COMPUTED_VALUE"""),"")</f>
        <v/>
      </c>
      <c r="B551" s="189" t="str">
        <f ca="1">IFERROR(__xludf.DUMMYFUNCTION("""COMPUTED_VALUE"""),"")</f>
        <v/>
      </c>
      <c r="C551" s="189" t="str">
        <f ca="1">IFERROR(__xludf.DUMMYFUNCTION("""COMPUTED_VALUE"""),"")</f>
        <v/>
      </c>
      <c r="D551" s="189" t="str">
        <f ca="1">IFERROR(__xludf.DUMMYFUNCTION("""COMPUTED_VALUE"""),"")</f>
        <v/>
      </c>
      <c r="E551" s="189" t="str">
        <f ca="1">IFERROR(__xludf.DUMMYFUNCTION("""COMPUTED_VALUE"""),"")</f>
        <v/>
      </c>
      <c r="F551" s="189" t="str">
        <f ca="1">IFERROR(__xludf.DUMMYFUNCTION("""COMPUTED_VALUE"""),"")</f>
        <v/>
      </c>
      <c r="G551" s="189" t="str">
        <f ca="1">IFERROR(__xludf.DUMMYFUNCTION("""COMPUTED_VALUE"""),"")</f>
        <v/>
      </c>
      <c r="H551" s="189" t="str">
        <f ca="1">IFERROR(__xludf.DUMMYFUNCTION("""COMPUTED_VALUE"""),"")</f>
        <v/>
      </c>
      <c r="I551" s="120" t="str">
        <f ca="1">IFERROR(__xludf.DUMMYFUNCTION("""COMPUTED_VALUE"""),"")</f>
        <v/>
      </c>
      <c r="J551" s="189" t="str">
        <f ca="1">IFERROR(__xludf.DUMMYFUNCTION("""COMPUTED_VALUE"""),"")</f>
        <v/>
      </c>
      <c r="K551" s="189" t="str">
        <f ca="1">IFERROR(__xludf.DUMMYFUNCTION("""COMPUTED_VALUE"""),"")</f>
        <v/>
      </c>
      <c r="L551" s="189" t="str">
        <f ca="1">IFERROR(__xludf.DUMMYFUNCTION("""COMPUTED_VALUE"""),"")</f>
        <v/>
      </c>
      <c r="M551" s="189" t="str">
        <f ca="1">IFERROR(__xludf.DUMMYFUNCTION("""COMPUTED_VALUE"""),"")</f>
        <v/>
      </c>
      <c r="N551" s="189" t="str">
        <f ca="1">IFERROR(__xludf.DUMMYFUNCTION("""COMPUTED_VALUE"""),"")</f>
        <v/>
      </c>
      <c r="O551" s="189" t="str">
        <f ca="1">IFERROR(__xludf.DUMMYFUNCTION("""COMPUTED_VALUE"""),"")</f>
        <v/>
      </c>
      <c r="P551" s="189" t="str">
        <f ca="1">IFERROR(__xludf.DUMMYFUNCTION("""COMPUTED_VALUE"""),"")</f>
        <v/>
      </c>
      <c r="Q551" s="189" t="str">
        <f ca="1">IFERROR(__xludf.DUMMYFUNCTION("""COMPUTED_VALUE"""),"")</f>
        <v/>
      </c>
      <c r="R551" s="189" t="str">
        <f ca="1">IFERROR(__xludf.DUMMYFUNCTION("""COMPUTED_VALUE"""),"")</f>
        <v/>
      </c>
      <c r="S551" s="189" t="str">
        <f ca="1">IFERROR(__xludf.DUMMYFUNCTION("""COMPUTED_VALUE"""),"")</f>
        <v/>
      </c>
      <c r="T551" s="189" t="str">
        <f ca="1">IFERROR(__xludf.DUMMYFUNCTION("""COMPUTED_VALUE"""),"")</f>
        <v/>
      </c>
      <c r="U551" s="189" t="str">
        <f ca="1">IFERROR(__xludf.DUMMYFUNCTION("""COMPUTED_VALUE"""),"")</f>
        <v/>
      </c>
      <c r="V551" s="189" t="str">
        <f ca="1">IFERROR(__xludf.DUMMYFUNCTION("""COMPUTED_VALUE"""),"")</f>
        <v/>
      </c>
      <c r="W551" s="189" t="str">
        <f ca="1">IFERROR(__xludf.DUMMYFUNCTION("""COMPUTED_VALUE"""),"")</f>
        <v/>
      </c>
      <c r="X551" s="189" t="str">
        <f ca="1">IFERROR(__xludf.DUMMYFUNCTION("""COMPUTED_VALUE"""),"")</f>
        <v/>
      </c>
      <c r="Y551" s="189" t="str">
        <f ca="1">IFERROR(__xludf.DUMMYFUNCTION("""COMPUTED_VALUE"""),"")</f>
        <v/>
      </c>
      <c r="Z551" s="189"/>
    </row>
    <row r="552" spans="1:26" ht="12.75">
      <c r="A552" s="189" t="str">
        <f ca="1">IFERROR(__xludf.DUMMYFUNCTION("""COMPUTED_VALUE"""),"")</f>
        <v/>
      </c>
      <c r="B552" s="189" t="str">
        <f ca="1">IFERROR(__xludf.DUMMYFUNCTION("""COMPUTED_VALUE"""),"")</f>
        <v/>
      </c>
      <c r="C552" s="189" t="str">
        <f ca="1">IFERROR(__xludf.DUMMYFUNCTION("""COMPUTED_VALUE"""),"")</f>
        <v/>
      </c>
      <c r="D552" s="189" t="str">
        <f ca="1">IFERROR(__xludf.DUMMYFUNCTION("""COMPUTED_VALUE"""),"")</f>
        <v/>
      </c>
      <c r="E552" s="189" t="str">
        <f ca="1">IFERROR(__xludf.DUMMYFUNCTION("""COMPUTED_VALUE"""),"")</f>
        <v/>
      </c>
      <c r="F552" s="189" t="str">
        <f ca="1">IFERROR(__xludf.DUMMYFUNCTION("""COMPUTED_VALUE"""),"")</f>
        <v/>
      </c>
      <c r="G552" s="189" t="str">
        <f ca="1">IFERROR(__xludf.DUMMYFUNCTION("""COMPUTED_VALUE"""),"")</f>
        <v/>
      </c>
      <c r="H552" s="189" t="str">
        <f ca="1">IFERROR(__xludf.DUMMYFUNCTION("""COMPUTED_VALUE"""),"")</f>
        <v/>
      </c>
      <c r="I552" s="120" t="str">
        <f ca="1">IFERROR(__xludf.DUMMYFUNCTION("""COMPUTED_VALUE"""),"")</f>
        <v/>
      </c>
      <c r="J552" s="189" t="str">
        <f ca="1">IFERROR(__xludf.DUMMYFUNCTION("""COMPUTED_VALUE"""),"")</f>
        <v/>
      </c>
      <c r="K552" s="189" t="str">
        <f ca="1">IFERROR(__xludf.DUMMYFUNCTION("""COMPUTED_VALUE"""),"")</f>
        <v/>
      </c>
      <c r="L552" s="189" t="str">
        <f ca="1">IFERROR(__xludf.DUMMYFUNCTION("""COMPUTED_VALUE"""),"")</f>
        <v/>
      </c>
      <c r="M552" s="189" t="str">
        <f ca="1">IFERROR(__xludf.DUMMYFUNCTION("""COMPUTED_VALUE"""),"")</f>
        <v/>
      </c>
      <c r="N552" s="189" t="str">
        <f ca="1">IFERROR(__xludf.DUMMYFUNCTION("""COMPUTED_VALUE"""),"")</f>
        <v/>
      </c>
      <c r="O552" s="189" t="str">
        <f ca="1">IFERROR(__xludf.DUMMYFUNCTION("""COMPUTED_VALUE"""),"")</f>
        <v/>
      </c>
      <c r="P552" s="189" t="str">
        <f ca="1">IFERROR(__xludf.DUMMYFUNCTION("""COMPUTED_VALUE"""),"")</f>
        <v/>
      </c>
      <c r="Q552" s="189" t="str">
        <f ca="1">IFERROR(__xludf.DUMMYFUNCTION("""COMPUTED_VALUE"""),"")</f>
        <v/>
      </c>
      <c r="R552" s="189" t="str">
        <f ca="1">IFERROR(__xludf.DUMMYFUNCTION("""COMPUTED_VALUE"""),"")</f>
        <v/>
      </c>
      <c r="S552" s="189" t="str">
        <f ca="1">IFERROR(__xludf.DUMMYFUNCTION("""COMPUTED_VALUE"""),"")</f>
        <v/>
      </c>
      <c r="T552" s="189" t="str">
        <f ca="1">IFERROR(__xludf.DUMMYFUNCTION("""COMPUTED_VALUE"""),"")</f>
        <v/>
      </c>
      <c r="U552" s="189" t="str">
        <f ca="1">IFERROR(__xludf.DUMMYFUNCTION("""COMPUTED_VALUE"""),"")</f>
        <v/>
      </c>
      <c r="V552" s="189" t="str">
        <f ca="1">IFERROR(__xludf.DUMMYFUNCTION("""COMPUTED_VALUE"""),"")</f>
        <v/>
      </c>
      <c r="W552" s="189" t="str">
        <f ca="1">IFERROR(__xludf.DUMMYFUNCTION("""COMPUTED_VALUE"""),"")</f>
        <v/>
      </c>
      <c r="X552" s="189" t="str">
        <f ca="1">IFERROR(__xludf.DUMMYFUNCTION("""COMPUTED_VALUE"""),"")</f>
        <v/>
      </c>
      <c r="Y552" s="189" t="str">
        <f ca="1">IFERROR(__xludf.DUMMYFUNCTION("""COMPUTED_VALUE"""),"")</f>
        <v/>
      </c>
      <c r="Z552" s="189"/>
    </row>
    <row r="553" spans="1:26" ht="12.75">
      <c r="A553" s="189" t="str">
        <f ca="1">IFERROR(__xludf.DUMMYFUNCTION("""COMPUTED_VALUE"""),"")</f>
        <v/>
      </c>
      <c r="B553" s="189" t="str">
        <f ca="1">IFERROR(__xludf.DUMMYFUNCTION("""COMPUTED_VALUE"""),"")</f>
        <v/>
      </c>
      <c r="C553" s="189" t="str">
        <f ca="1">IFERROR(__xludf.DUMMYFUNCTION("""COMPUTED_VALUE"""),"")</f>
        <v/>
      </c>
      <c r="D553" s="189" t="str">
        <f ca="1">IFERROR(__xludf.DUMMYFUNCTION("""COMPUTED_VALUE"""),"")</f>
        <v/>
      </c>
      <c r="E553" s="189" t="str">
        <f ca="1">IFERROR(__xludf.DUMMYFUNCTION("""COMPUTED_VALUE"""),"")</f>
        <v/>
      </c>
      <c r="F553" s="189" t="str">
        <f ca="1">IFERROR(__xludf.DUMMYFUNCTION("""COMPUTED_VALUE"""),"")</f>
        <v/>
      </c>
      <c r="G553" s="189" t="str">
        <f ca="1">IFERROR(__xludf.DUMMYFUNCTION("""COMPUTED_VALUE"""),"")</f>
        <v/>
      </c>
      <c r="H553" s="189" t="str">
        <f ca="1">IFERROR(__xludf.DUMMYFUNCTION("""COMPUTED_VALUE"""),"")</f>
        <v/>
      </c>
      <c r="I553" s="120" t="str">
        <f ca="1">IFERROR(__xludf.DUMMYFUNCTION("""COMPUTED_VALUE"""),"")</f>
        <v/>
      </c>
      <c r="J553" s="189" t="str">
        <f ca="1">IFERROR(__xludf.DUMMYFUNCTION("""COMPUTED_VALUE"""),"")</f>
        <v/>
      </c>
      <c r="K553" s="189" t="str">
        <f ca="1">IFERROR(__xludf.DUMMYFUNCTION("""COMPUTED_VALUE"""),"")</f>
        <v/>
      </c>
      <c r="L553" s="189" t="str">
        <f ca="1">IFERROR(__xludf.DUMMYFUNCTION("""COMPUTED_VALUE"""),"")</f>
        <v/>
      </c>
      <c r="M553" s="189" t="str">
        <f ca="1">IFERROR(__xludf.DUMMYFUNCTION("""COMPUTED_VALUE"""),"")</f>
        <v/>
      </c>
      <c r="N553" s="189" t="str">
        <f ca="1">IFERROR(__xludf.DUMMYFUNCTION("""COMPUTED_VALUE"""),"")</f>
        <v/>
      </c>
      <c r="O553" s="189" t="str">
        <f ca="1">IFERROR(__xludf.DUMMYFUNCTION("""COMPUTED_VALUE"""),"")</f>
        <v/>
      </c>
      <c r="P553" s="189" t="str">
        <f ca="1">IFERROR(__xludf.DUMMYFUNCTION("""COMPUTED_VALUE"""),"")</f>
        <v/>
      </c>
      <c r="Q553" s="189" t="str">
        <f ca="1">IFERROR(__xludf.DUMMYFUNCTION("""COMPUTED_VALUE"""),"")</f>
        <v/>
      </c>
      <c r="R553" s="189" t="str">
        <f ca="1">IFERROR(__xludf.DUMMYFUNCTION("""COMPUTED_VALUE"""),"")</f>
        <v/>
      </c>
      <c r="S553" s="189" t="str">
        <f ca="1">IFERROR(__xludf.DUMMYFUNCTION("""COMPUTED_VALUE"""),"")</f>
        <v/>
      </c>
      <c r="T553" s="189" t="str">
        <f ca="1">IFERROR(__xludf.DUMMYFUNCTION("""COMPUTED_VALUE"""),"")</f>
        <v/>
      </c>
      <c r="U553" s="189" t="str">
        <f ca="1">IFERROR(__xludf.DUMMYFUNCTION("""COMPUTED_VALUE"""),"")</f>
        <v/>
      </c>
      <c r="V553" s="189" t="str">
        <f ca="1">IFERROR(__xludf.DUMMYFUNCTION("""COMPUTED_VALUE"""),"")</f>
        <v/>
      </c>
      <c r="W553" s="189" t="str">
        <f ca="1">IFERROR(__xludf.DUMMYFUNCTION("""COMPUTED_VALUE"""),"")</f>
        <v/>
      </c>
      <c r="X553" s="189" t="str">
        <f ca="1">IFERROR(__xludf.DUMMYFUNCTION("""COMPUTED_VALUE"""),"")</f>
        <v/>
      </c>
      <c r="Y553" s="189" t="str">
        <f ca="1">IFERROR(__xludf.DUMMYFUNCTION("""COMPUTED_VALUE"""),"")</f>
        <v/>
      </c>
      <c r="Z553" s="189"/>
    </row>
    <row r="554" spans="1:26" ht="12.75">
      <c r="A554" s="189" t="str">
        <f ca="1">IFERROR(__xludf.DUMMYFUNCTION("""COMPUTED_VALUE"""),"")</f>
        <v/>
      </c>
      <c r="B554" s="189" t="str">
        <f ca="1">IFERROR(__xludf.DUMMYFUNCTION("""COMPUTED_VALUE"""),"")</f>
        <v/>
      </c>
      <c r="C554" s="189" t="str">
        <f ca="1">IFERROR(__xludf.DUMMYFUNCTION("""COMPUTED_VALUE"""),"")</f>
        <v/>
      </c>
      <c r="D554" s="189" t="str">
        <f ca="1">IFERROR(__xludf.DUMMYFUNCTION("""COMPUTED_VALUE"""),"")</f>
        <v/>
      </c>
      <c r="E554" s="189" t="str">
        <f ca="1">IFERROR(__xludf.DUMMYFUNCTION("""COMPUTED_VALUE"""),"")</f>
        <v/>
      </c>
      <c r="F554" s="189" t="str">
        <f ca="1">IFERROR(__xludf.DUMMYFUNCTION("""COMPUTED_VALUE"""),"")</f>
        <v/>
      </c>
      <c r="G554" s="189" t="str">
        <f ca="1">IFERROR(__xludf.DUMMYFUNCTION("""COMPUTED_VALUE"""),"")</f>
        <v/>
      </c>
      <c r="H554" s="189" t="str">
        <f ca="1">IFERROR(__xludf.DUMMYFUNCTION("""COMPUTED_VALUE"""),"")</f>
        <v/>
      </c>
      <c r="I554" s="120" t="str">
        <f ca="1">IFERROR(__xludf.DUMMYFUNCTION("""COMPUTED_VALUE"""),"")</f>
        <v/>
      </c>
      <c r="J554" s="189" t="str">
        <f ca="1">IFERROR(__xludf.DUMMYFUNCTION("""COMPUTED_VALUE"""),"")</f>
        <v/>
      </c>
      <c r="K554" s="189" t="str">
        <f ca="1">IFERROR(__xludf.DUMMYFUNCTION("""COMPUTED_VALUE"""),"")</f>
        <v/>
      </c>
      <c r="L554" s="189" t="str">
        <f ca="1">IFERROR(__xludf.DUMMYFUNCTION("""COMPUTED_VALUE"""),"")</f>
        <v/>
      </c>
      <c r="M554" s="189" t="str">
        <f ca="1">IFERROR(__xludf.DUMMYFUNCTION("""COMPUTED_VALUE"""),"")</f>
        <v/>
      </c>
      <c r="N554" s="189" t="str">
        <f ca="1">IFERROR(__xludf.DUMMYFUNCTION("""COMPUTED_VALUE"""),"")</f>
        <v/>
      </c>
      <c r="O554" s="189" t="str">
        <f ca="1">IFERROR(__xludf.DUMMYFUNCTION("""COMPUTED_VALUE"""),"")</f>
        <v/>
      </c>
      <c r="P554" s="189" t="str">
        <f ca="1">IFERROR(__xludf.DUMMYFUNCTION("""COMPUTED_VALUE"""),"")</f>
        <v/>
      </c>
      <c r="Q554" s="189" t="str">
        <f ca="1">IFERROR(__xludf.DUMMYFUNCTION("""COMPUTED_VALUE"""),"")</f>
        <v/>
      </c>
      <c r="R554" s="189" t="str">
        <f ca="1">IFERROR(__xludf.DUMMYFUNCTION("""COMPUTED_VALUE"""),"")</f>
        <v/>
      </c>
      <c r="S554" s="189" t="str">
        <f ca="1">IFERROR(__xludf.DUMMYFUNCTION("""COMPUTED_VALUE"""),"")</f>
        <v/>
      </c>
      <c r="T554" s="189" t="str">
        <f ca="1">IFERROR(__xludf.DUMMYFUNCTION("""COMPUTED_VALUE"""),"")</f>
        <v/>
      </c>
      <c r="U554" s="189" t="str">
        <f ca="1">IFERROR(__xludf.DUMMYFUNCTION("""COMPUTED_VALUE"""),"")</f>
        <v/>
      </c>
      <c r="V554" s="189" t="str">
        <f ca="1">IFERROR(__xludf.DUMMYFUNCTION("""COMPUTED_VALUE"""),"")</f>
        <v/>
      </c>
      <c r="W554" s="189" t="str">
        <f ca="1">IFERROR(__xludf.DUMMYFUNCTION("""COMPUTED_VALUE"""),"")</f>
        <v/>
      </c>
      <c r="X554" s="189" t="str">
        <f ca="1">IFERROR(__xludf.DUMMYFUNCTION("""COMPUTED_VALUE"""),"")</f>
        <v/>
      </c>
      <c r="Y554" s="189" t="str">
        <f ca="1">IFERROR(__xludf.DUMMYFUNCTION("""COMPUTED_VALUE"""),"")</f>
        <v/>
      </c>
      <c r="Z554" s="189"/>
    </row>
    <row r="555" spans="1:26" ht="12.75">
      <c r="A555" s="189" t="str">
        <f ca="1">IFERROR(__xludf.DUMMYFUNCTION("""COMPUTED_VALUE"""),"")</f>
        <v/>
      </c>
      <c r="B555" s="189" t="str">
        <f ca="1">IFERROR(__xludf.DUMMYFUNCTION("""COMPUTED_VALUE"""),"")</f>
        <v/>
      </c>
      <c r="C555" s="189" t="str">
        <f ca="1">IFERROR(__xludf.DUMMYFUNCTION("""COMPUTED_VALUE"""),"")</f>
        <v/>
      </c>
      <c r="D555" s="189" t="str">
        <f ca="1">IFERROR(__xludf.DUMMYFUNCTION("""COMPUTED_VALUE"""),"")</f>
        <v/>
      </c>
      <c r="E555" s="189" t="str">
        <f ca="1">IFERROR(__xludf.DUMMYFUNCTION("""COMPUTED_VALUE"""),"")</f>
        <v/>
      </c>
      <c r="F555" s="189" t="str">
        <f ca="1">IFERROR(__xludf.DUMMYFUNCTION("""COMPUTED_VALUE"""),"")</f>
        <v/>
      </c>
      <c r="G555" s="189" t="str">
        <f ca="1">IFERROR(__xludf.DUMMYFUNCTION("""COMPUTED_VALUE"""),"")</f>
        <v/>
      </c>
      <c r="H555" s="189" t="str">
        <f ca="1">IFERROR(__xludf.DUMMYFUNCTION("""COMPUTED_VALUE"""),"")</f>
        <v/>
      </c>
      <c r="I555" s="120" t="str">
        <f ca="1">IFERROR(__xludf.DUMMYFUNCTION("""COMPUTED_VALUE"""),"")</f>
        <v/>
      </c>
      <c r="J555" s="189" t="str">
        <f ca="1">IFERROR(__xludf.DUMMYFUNCTION("""COMPUTED_VALUE"""),"")</f>
        <v/>
      </c>
      <c r="K555" s="189" t="str">
        <f ca="1">IFERROR(__xludf.DUMMYFUNCTION("""COMPUTED_VALUE"""),"")</f>
        <v/>
      </c>
      <c r="L555" s="189" t="str">
        <f ca="1">IFERROR(__xludf.DUMMYFUNCTION("""COMPUTED_VALUE"""),"")</f>
        <v/>
      </c>
      <c r="M555" s="189" t="str">
        <f ca="1">IFERROR(__xludf.DUMMYFUNCTION("""COMPUTED_VALUE"""),"")</f>
        <v/>
      </c>
      <c r="N555" s="189" t="str">
        <f ca="1">IFERROR(__xludf.DUMMYFUNCTION("""COMPUTED_VALUE"""),"")</f>
        <v/>
      </c>
      <c r="O555" s="189" t="str">
        <f ca="1">IFERROR(__xludf.DUMMYFUNCTION("""COMPUTED_VALUE"""),"")</f>
        <v/>
      </c>
      <c r="P555" s="189" t="str">
        <f ca="1">IFERROR(__xludf.DUMMYFUNCTION("""COMPUTED_VALUE"""),"")</f>
        <v/>
      </c>
      <c r="Q555" s="189" t="str">
        <f ca="1">IFERROR(__xludf.DUMMYFUNCTION("""COMPUTED_VALUE"""),"")</f>
        <v/>
      </c>
      <c r="R555" s="189" t="str">
        <f ca="1">IFERROR(__xludf.DUMMYFUNCTION("""COMPUTED_VALUE"""),"")</f>
        <v/>
      </c>
      <c r="S555" s="189" t="str">
        <f ca="1">IFERROR(__xludf.DUMMYFUNCTION("""COMPUTED_VALUE"""),"")</f>
        <v/>
      </c>
      <c r="T555" s="189" t="str">
        <f ca="1">IFERROR(__xludf.DUMMYFUNCTION("""COMPUTED_VALUE"""),"")</f>
        <v/>
      </c>
      <c r="U555" s="189" t="str">
        <f ca="1">IFERROR(__xludf.DUMMYFUNCTION("""COMPUTED_VALUE"""),"")</f>
        <v/>
      </c>
      <c r="V555" s="189" t="str">
        <f ca="1">IFERROR(__xludf.DUMMYFUNCTION("""COMPUTED_VALUE"""),"")</f>
        <v/>
      </c>
      <c r="W555" s="189" t="str">
        <f ca="1">IFERROR(__xludf.DUMMYFUNCTION("""COMPUTED_VALUE"""),"")</f>
        <v/>
      </c>
      <c r="X555" s="189" t="str">
        <f ca="1">IFERROR(__xludf.DUMMYFUNCTION("""COMPUTED_VALUE"""),"")</f>
        <v/>
      </c>
      <c r="Y555" s="189" t="str">
        <f ca="1">IFERROR(__xludf.DUMMYFUNCTION("""COMPUTED_VALUE"""),"")</f>
        <v/>
      </c>
      <c r="Z555" s="189"/>
    </row>
    <row r="556" spans="1:26" ht="12.75">
      <c r="A556" s="189" t="str">
        <f ca="1">IFERROR(__xludf.DUMMYFUNCTION("""COMPUTED_VALUE"""),"")</f>
        <v/>
      </c>
      <c r="B556" s="189" t="str">
        <f ca="1">IFERROR(__xludf.DUMMYFUNCTION("""COMPUTED_VALUE"""),"")</f>
        <v/>
      </c>
      <c r="C556" s="189" t="str">
        <f ca="1">IFERROR(__xludf.DUMMYFUNCTION("""COMPUTED_VALUE"""),"")</f>
        <v/>
      </c>
      <c r="D556" s="189" t="str">
        <f ca="1">IFERROR(__xludf.DUMMYFUNCTION("""COMPUTED_VALUE"""),"")</f>
        <v/>
      </c>
      <c r="E556" s="189" t="str">
        <f ca="1">IFERROR(__xludf.DUMMYFUNCTION("""COMPUTED_VALUE"""),"")</f>
        <v/>
      </c>
      <c r="F556" s="189" t="str">
        <f ca="1">IFERROR(__xludf.DUMMYFUNCTION("""COMPUTED_VALUE"""),"")</f>
        <v/>
      </c>
      <c r="G556" s="189" t="str">
        <f ca="1">IFERROR(__xludf.DUMMYFUNCTION("""COMPUTED_VALUE"""),"")</f>
        <v/>
      </c>
      <c r="H556" s="189" t="str">
        <f ca="1">IFERROR(__xludf.DUMMYFUNCTION("""COMPUTED_VALUE"""),"")</f>
        <v/>
      </c>
      <c r="I556" s="120" t="str">
        <f ca="1">IFERROR(__xludf.DUMMYFUNCTION("""COMPUTED_VALUE"""),"")</f>
        <v/>
      </c>
      <c r="J556" s="189" t="str">
        <f ca="1">IFERROR(__xludf.DUMMYFUNCTION("""COMPUTED_VALUE"""),"")</f>
        <v/>
      </c>
      <c r="K556" s="189" t="str">
        <f ca="1">IFERROR(__xludf.DUMMYFUNCTION("""COMPUTED_VALUE"""),"")</f>
        <v/>
      </c>
      <c r="L556" s="189" t="str">
        <f ca="1">IFERROR(__xludf.DUMMYFUNCTION("""COMPUTED_VALUE"""),"")</f>
        <v/>
      </c>
      <c r="M556" s="189" t="str">
        <f ca="1">IFERROR(__xludf.DUMMYFUNCTION("""COMPUTED_VALUE"""),"")</f>
        <v/>
      </c>
      <c r="N556" s="189" t="str">
        <f ca="1">IFERROR(__xludf.DUMMYFUNCTION("""COMPUTED_VALUE"""),"")</f>
        <v/>
      </c>
      <c r="O556" s="189" t="str">
        <f ca="1">IFERROR(__xludf.DUMMYFUNCTION("""COMPUTED_VALUE"""),"")</f>
        <v/>
      </c>
      <c r="P556" s="189" t="str">
        <f ca="1">IFERROR(__xludf.DUMMYFUNCTION("""COMPUTED_VALUE"""),"")</f>
        <v/>
      </c>
      <c r="Q556" s="189" t="str">
        <f ca="1">IFERROR(__xludf.DUMMYFUNCTION("""COMPUTED_VALUE"""),"")</f>
        <v/>
      </c>
      <c r="R556" s="189" t="str">
        <f ca="1">IFERROR(__xludf.DUMMYFUNCTION("""COMPUTED_VALUE"""),"")</f>
        <v/>
      </c>
      <c r="S556" s="189" t="str">
        <f ca="1">IFERROR(__xludf.DUMMYFUNCTION("""COMPUTED_VALUE"""),"")</f>
        <v/>
      </c>
      <c r="T556" s="189" t="str">
        <f ca="1">IFERROR(__xludf.DUMMYFUNCTION("""COMPUTED_VALUE"""),"")</f>
        <v/>
      </c>
      <c r="U556" s="189" t="str">
        <f ca="1">IFERROR(__xludf.DUMMYFUNCTION("""COMPUTED_VALUE"""),"")</f>
        <v/>
      </c>
      <c r="V556" s="189" t="str">
        <f ca="1">IFERROR(__xludf.DUMMYFUNCTION("""COMPUTED_VALUE"""),"")</f>
        <v/>
      </c>
      <c r="W556" s="189" t="str">
        <f ca="1">IFERROR(__xludf.DUMMYFUNCTION("""COMPUTED_VALUE"""),"")</f>
        <v/>
      </c>
      <c r="X556" s="189" t="str">
        <f ca="1">IFERROR(__xludf.DUMMYFUNCTION("""COMPUTED_VALUE"""),"")</f>
        <v/>
      </c>
      <c r="Y556" s="189" t="str">
        <f ca="1">IFERROR(__xludf.DUMMYFUNCTION("""COMPUTED_VALUE"""),"")</f>
        <v/>
      </c>
      <c r="Z556" s="189"/>
    </row>
    <row r="557" spans="1:26" ht="12.75">
      <c r="A557" s="189" t="str">
        <f ca="1">IFERROR(__xludf.DUMMYFUNCTION("""COMPUTED_VALUE"""),"")</f>
        <v/>
      </c>
      <c r="B557" s="189" t="str">
        <f ca="1">IFERROR(__xludf.DUMMYFUNCTION("""COMPUTED_VALUE"""),"")</f>
        <v/>
      </c>
      <c r="C557" s="189" t="str">
        <f ca="1">IFERROR(__xludf.DUMMYFUNCTION("""COMPUTED_VALUE"""),"")</f>
        <v/>
      </c>
      <c r="D557" s="189" t="str">
        <f ca="1">IFERROR(__xludf.DUMMYFUNCTION("""COMPUTED_VALUE"""),"")</f>
        <v/>
      </c>
      <c r="E557" s="189" t="str">
        <f ca="1">IFERROR(__xludf.DUMMYFUNCTION("""COMPUTED_VALUE"""),"")</f>
        <v/>
      </c>
      <c r="F557" s="189" t="str">
        <f ca="1">IFERROR(__xludf.DUMMYFUNCTION("""COMPUTED_VALUE"""),"")</f>
        <v/>
      </c>
      <c r="G557" s="189" t="str">
        <f ca="1">IFERROR(__xludf.DUMMYFUNCTION("""COMPUTED_VALUE"""),"")</f>
        <v/>
      </c>
      <c r="H557" s="189" t="str">
        <f ca="1">IFERROR(__xludf.DUMMYFUNCTION("""COMPUTED_VALUE"""),"")</f>
        <v/>
      </c>
      <c r="I557" s="120" t="str">
        <f ca="1">IFERROR(__xludf.DUMMYFUNCTION("""COMPUTED_VALUE"""),"")</f>
        <v/>
      </c>
      <c r="J557" s="189" t="str">
        <f ca="1">IFERROR(__xludf.DUMMYFUNCTION("""COMPUTED_VALUE"""),"")</f>
        <v/>
      </c>
      <c r="K557" s="189" t="str">
        <f ca="1">IFERROR(__xludf.DUMMYFUNCTION("""COMPUTED_VALUE"""),"")</f>
        <v/>
      </c>
      <c r="L557" s="189" t="str">
        <f ca="1">IFERROR(__xludf.DUMMYFUNCTION("""COMPUTED_VALUE"""),"")</f>
        <v/>
      </c>
      <c r="M557" s="189" t="str">
        <f ca="1">IFERROR(__xludf.DUMMYFUNCTION("""COMPUTED_VALUE"""),"")</f>
        <v/>
      </c>
      <c r="N557" s="189" t="str">
        <f ca="1">IFERROR(__xludf.DUMMYFUNCTION("""COMPUTED_VALUE"""),"")</f>
        <v/>
      </c>
      <c r="O557" s="189" t="str">
        <f ca="1">IFERROR(__xludf.DUMMYFUNCTION("""COMPUTED_VALUE"""),"")</f>
        <v/>
      </c>
      <c r="P557" s="189" t="str">
        <f ca="1">IFERROR(__xludf.DUMMYFUNCTION("""COMPUTED_VALUE"""),"")</f>
        <v/>
      </c>
      <c r="Q557" s="189" t="str">
        <f ca="1">IFERROR(__xludf.DUMMYFUNCTION("""COMPUTED_VALUE"""),"")</f>
        <v/>
      </c>
      <c r="R557" s="189" t="str">
        <f ca="1">IFERROR(__xludf.DUMMYFUNCTION("""COMPUTED_VALUE"""),"")</f>
        <v/>
      </c>
      <c r="S557" s="189" t="str">
        <f ca="1">IFERROR(__xludf.DUMMYFUNCTION("""COMPUTED_VALUE"""),"")</f>
        <v/>
      </c>
      <c r="T557" s="189" t="str">
        <f ca="1">IFERROR(__xludf.DUMMYFUNCTION("""COMPUTED_VALUE"""),"")</f>
        <v/>
      </c>
      <c r="U557" s="189" t="str">
        <f ca="1">IFERROR(__xludf.DUMMYFUNCTION("""COMPUTED_VALUE"""),"")</f>
        <v/>
      </c>
      <c r="V557" s="189" t="str">
        <f ca="1">IFERROR(__xludf.DUMMYFUNCTION("""COMPUTED_VALUE"""),"")</f>
        <v/>
      </c>
      <c r="W557" s="189" t="str">
        <f ca="1">IFERROR(__xludf.DUMMYFUNCTION("""COMPUTED_VALUE"""),"")</f>
        <v/>
      </c>
      <c r="X557" s="189" t="str">
        <f ca="1">IFERROR(__xludf.DUMMYFUNCTION("""COMPUTED_VALUE"""),"")</f>
        <v/>
      </c>
      <c r="Y557" s="189" t="str">
        <f ca="1">IFERROR(__xludf.DUMMYFUNCTION("""COMPUTED_VALUE"""),"")</f>
        <v/>
      </c>
      <c r="Z557" s="189"/>
    </row>
    <row r="558" spans="1:26" ht="12.75">
      <c r="A558" s="189" t="str">
        <f ca="1">IFERROR(__xludf.DUMMYFUNCTION("""COMPUTED_VALUE"""),"")</f>
        <v/>
      </c>
      <c r="B558" s="189" t="str">
        <f ca="1">IFERROR(__xludf.DUMMYFUNCTION("""COMPUTED_VALUE"""),"")</f>
        <v/>
      </c>
      <c r="C558" s="189" t="str">
        <f ca="1">IFERROR(__xludf.DUMMYFUNCTION("""COMPUTED_VALUE"""),"")</f>
        <v/>
      </c>
      <c r="D558" s="189" t="str">
        <f ca="1">IFERROR(__xludf.DUMMYFUNCTION("""COMPUTED_VALUE"""),"")</f>
        <v/>
      </c>
      <c r="E558" s="189" t="str">
        <f ca="1">IFERROR(__xludf.DUMMYFUNCTION("""COMPUTED_VALUE"""),"")</f>
        <v/>
      </c>
      <c r="F558" s="189" t="str">
        <f ca="1">IFERROR(__xludf.DUMMYFUNCTION("""COMPUTED_VALUE"""),"")</f>
        <v/>
      </c>
      <c r="G558" s="189" t="str">
        <f ca="1">IFERROR(__xludf.DUMMYFUNCTION("""COMPUTED_VALUE"""),"")</f>
        <v/>
      </c>
      <c r="H558" s="189" t="str">
        <f ca="1">IFERROR(__xludf.DUMMYFUNCTION("""COMPUTED_VALUE"""),"")</f>
        <v/>
      </c>
      <c r="I558" s="120" t="str">
        <f ca="1">IFERROR(__xludf.DUMMYFUNCTION("""COMPUTED_VALUE"""),"")</f>
        <v/>
      </c>
      <c r="J558" s="189" t="str">
        <f ca="1">IFERROR(__xludf.DUMMYFUNCTION("""COMPUTED_VALUE"""),"")</f>
        <v/>
      </c>
      <c r="K558" s="189" t="str">
        <f ca="1">IFERROR(__xludf.DUMMYFUNCTION("""COMPUTED_VALUE"""),"")</f>
        <v/>
      </c>
      <c r="L558" s="189" t="str">
        <f ca="1">IFERROR(__xludf.DUMMYFUNCTION("""COMPUTED_VALUE"""),"")</f>
        <v/>
      </c>
      <c r="M558" s="189" t="str">
        <f ca="1">IFERROR(__xludf.DUMMYFUNCTION("""COMPUTED_VALUE"""),"")</f>
        <v/>
      </c>
      <c r="N558" s="189" t="str">
        <f ca="1">IFERROR(__xludf.DUMMYFUNCTION("""COMPUTED_VALUE"""),"")</f>
        <v/>
      </c>
      <c r="O558" s="189" t="str">
        <f ca="1">IFERROR(__xludf.DUMMYFUNCTION("""COMPUTED_VALUE"""),"")</f>
        <v/>
      </c>
      <c r="P558" s="189" t="str">
        <f ca="1">IFERROR(__xludf.DUMMYFUNCTION("""COMPUTED_VALUE"""),"")</f>
        <v/>
      </c>
      <c r="Q558" s="189" t="str">
        <f ca="1">IFERROR(__xludf.DUMMYFUNCTION("""COMPUTED_VALUE"""),"")</f>
        <v/>
      </c>
      <c r="R558" s="189" t="str">
        <f ca="1">IFERROR(__xludf.DUMMYFUNCTION("""COMPUTED_VALUE"""),"")</f>
        <v/>
      </c>
      <c r="S558" s="189" t="str">
        <f ca="1">IFERROR(__xludf.DUMMYFUNCTION("""COMPUTED_VALUE"""),"")</f>
        <v/>
      </c>
      <c r="T558" s="189" t="str">
        <f ca="1">IFERROR(__xludf.DUMMYFUNCTION("""COMPUTED_VALUE"""),"")</f>
        <v/>
      </c>
      <c r="U558" s="189" t="str">
        <f ca="1">IFERROR(__xludf.DUMMYFUNCTION("""COMPUTED_VALUE"""),"")</f>
        <v/>
      </c>
      <c r="V558" s="189" t="str">
        <f ca="1">IFERROR(__xludf.DUMMYFUNCTION("""COMPUTED_VALUE"""),"")</f>
        <v/>
      </c>
      <c r="W558" s="189" t="str">
        <f ca="1">IFERROR(__xludf.DUMMYFUNCTION("""COMPUTED_VALUE"""),"")</f>
        <v/>
      </c>
      <c r="X558" s="189" t="str">
        <f ca="1">IFERROR(__xludf.DUMMYFUNCTION("""COMPUTED_VALUE"""),"")</f>
        <v/>
      </c>
      <c r="Y558" s="189" t="str">
        <f ca="1">IFERROR(__xludf.DUMMYFUNCTION("""COMPUTED_VALUE"""),"")</f>
        <v/>
      </c>
      <c r="Z558" s="189"/>
    </row>
    <row r="559" spans="1:26" ht="12.75">
      <c r="A559" s="189" t="str">
        <f ca="1">IFERROR(__xludf.DUMMYFUNCTION("""COMPUTED_VALUE"""),"")</f>
        <v/>
      </c>
      <c r="B559" s="189" t="str">
        <f ca="1">IFERROR(__xludf.DUMMYFUNCTION("""COMPUTED_VALUE"""),"")</f>
        <v/>
      </c>
      <c r="C559" s="189" t="str">
        <f ca="1">IFERROR(__xludf.DUMMYFUNCTION("""COMPUTED_VALUE"""),"")</f>
        <v/>
      </c>
      <c r="D559" s="189" t="str">
        <f ca="1">IFERROR(__xludf.DUMMYFUNCTION("""COMPUTED_VALUE"""),"")</f>
        <v/>
      </c>
      <c r="E559" s="189" t="str">
        <f ca="1">IFERROR(__xludf.DUMMYFUNCTION("""COMPUTED_VALUE"""),"")</f>
        <v/>
      </c>
      <c r="F559" s="189" t="str">
        <f ca="1">IFERROR(__xludf.DUMMYFUNCTION("""COMPUTED_VALUE"""),"")</f>
        <v/>
      </c>
      <c r="G559" s="189" t="str">
        <f ca="1">IFERROR(__xludf.DUMMYFUNCTION("""COMPUTED_VALUE"""),"")</f>
        <v/>
      </c>
      <c r="H559" s="189" t="str">
        <f ca="1">IFERROR(__xludf.DUMMYFUNCTION("""COMPUTED_VALUE"""),"")</f>
        <v/>
      </c>
      <c r="I559" s="120" t="str">
        <f ca="1">IFERROR(__xludf.DUMMYFUNCTION("""COMPUTED_VALUE"""),"")</f>
        <v/>
      </c>
      <c r="J559" s="189" t="str">
        <f ca="1">IFERROR(__xludf.DUMMYFUNCTION("""COMPUTED_VALUE"""),"")</f>
        <v/>
      </c>
      <c r="K559" s="189" t="str">
        <f ca="1">IFERROR(__xludf.DUMMYFUNCTION("""COMPUTED_VALUE"""),"")</f>
        <v/>
      </c>
      <c r="L559" s="189" t="str">
        <f ca="1">IFERROR(__xludf.DUMMYFUNCTION("""COMPUTED_VALUE"""),"")</f>
        <v/>
      </c>
      <c r="M559" s="189" t="str">
        <f ca="1">IFERROR(__xludf.DUMMYFUNCTION("""COMPUTED_VALUE"""),"")</f>
        <v/>
      </c>
      <c r="N559" s="189" t="str">
        <f ca="1">IFERROR(__xludf.DUMMYFUNCTION("""COMPUTED_VALUE"""),"")</f>
        <v/>
      </c>
      <c r="O559" s="189" t="str">
        <f ca="1">IFERROR(__xludf.DUMMYFUNCTION("""COMPUTED_VALUE"""),"")</f>
        <v/>
      </c>
      <c r="P559" s="189" t="str">
        <f ca="1">IFERROR(__xludf.DUMMYFUNCTION("""COMPUTED_VALUE"""),"")</f>
        <v/>
      </c>
      <c r="Q559" s="189" t="str">
        <f ca="1">IFERROR(__xludf.DUMMYFUNCTION("""COMPUTED_VALUE"""),"")</f>
        <v/>
      </c>
      <c r="R559" s="189" t="str">
        <f ca="1">IFERROR(__xludf.DUMMYFUNCTION("""COMPUTED_VALUE"""),"")</f>
        <v/>
      </c>
      <c r="S559" s="189" t="str">
        <f ca="1">IFERROR(__xludf.DUMMYFUNCTION("""COMPUTED_VALUE"""),"")</f>
        <v/>
      </c>
      <c r="T559" s="189" t="str">
        <f ca="1">IFERROR(__xludf.DUMMYFUNCTION("""COMPUTED_VALUE"""),"")</f>
        <v/>
      </c>
      <c r="U559" s="189" t="str">
        <f ca="1">IFERROR(__xludf.DUMMYFUNCTION("""COMPUTED_VALUE"""),"")</f>
        <v/>
      </c>
      <c r="V559" s="189" t="str">
        <f ca="1">IFERROR(__xludf.DUMMYFUNCTION("""COMPUTED_VALUE"""),"")</f>
        <v/>
      </c>
      <c r="W559" s="189" t="str">
        <f ca="1">IFERROR(__xludf.DUMMYFUNCTION("""COMPUTED_VALUE"""),"")</f>
        <v/>
      </c>
      <c r="X559" s="189" t="str">
        <f ca="1">IFERROR(__xludf.DUMMYFUNCTION("""COMPUTED_VALUE"""),"")</f>
        <v/>
      </c>
      <c r="Y559" s="189" t="str">
        <f ca="1">IFERROR(__xludf.DUMMYFUNCTION("""COMPUTED_VALUE"""),"")</f>
        <v/>
      </c>
      <c r="Z559" s="189"/>
    </row>
    <row r="560" spans="1:26" ht="12.75">
      <c r="A560" s="189" t="str">
        <f ca="1">IFERROR(__xludf.DUMMYFUNCTION("""COMPUTED_VALUE"""),"")</f>
        <v/>
      </c>
      <c r="B560" s="189" t="str">
        <f ca="1">IFERROR(__xludf.DUMMYFUNCTION("""COMPUTED_VALUE"""),"")</f>
        <v/>
      </c>
      <c r="C560" s="189" t="str">
        <f ca="1">IFERROR(__xludf.DUMMYFUNCTION("""COMPUTED_VALUE"""),"")</f>
        <v/>
      </c>
      <c r="D560" s="189" t="str">
        <f ca="1">IFERROR(__xludf.DUMMYFUNCTION("""COMPUTED_VALUE"""),"")</f>
        <v/>
      </c>
      <c r="E560" s="189" t="str">
        <f ca="1">IFERROR(__xludf.DUMMYFUNCTION("""COMPUTED_VALUE"""),"")</f>
        <v/>
      </c>
      <c r="F560" s="189" t="str">
        <f ca="1">IFERROR(__xludf.DUMMYFUNCTION("""COMPUTED_VALUE"""),"")</f>
        <v/>
      </c>
      <c r="G560" s="189" t="str">
        <f ca="1">IFERROR(__xludf.DUMMYFUNCTION("""COMPUTED_VALUE"""),"")</f>
        <v/>
      </c>
      <c r="H560" s="189" t="str">
        <f ca="1">IFERROR(__xludf.DUMMYFUNCTION("""COMPUTED_VALUE"""),"")</f>
        <v/>
      </c>
      <c r="I560" s="120" t="str">
        <f ca="1">IFERROR(__xludf.DUMMYFUNCTION("""COMPUTED_VALUE"""),"")</f>
        <v/>
      </c>
      <c r="J560" s="189" t="str">
        <f ca="1">IFERROR(__xludf.DUMMYFUNCTION("""COMPUTED_VALUE"""),"")</f>
        <v/>
      </c>
      <c r="K560" s="189" t="str">
        <f ca="1">IFERROR(__xludf.DUMMYFUNCTION("""COMPUTED_VALUE"""),"")</f>
        <v/>
      </c>
      <c r="L560" s="189" t="str">
        <f ca="1">IFERROR(__xludf.DUMMYFUNCTION("""COMPUTED_VALUE"""),"")</f>
        <v/>
      </c>
      <c r="M560" s="189" t="str">
        <f ca="1">IFERROR(__xludf.DUMMYFUNCTION("""COMPUTED_VALUE"""),"")</f>
        <v/>
      </c>
      <c r="N560" s="189" t="str">
        <f ca="1">IFERROR(__xludf.DUMMYFUNCTION("""COMPUTED_VALUE"""),"")</f>
        <v/>
      </c>
      <c r="O560" s="189" t="str">
        <f ca="1">IFERROR(__xludf.DUMMYFUNCTION("""COMPUTED_VALUE"""),"")</f>
        <v/>
      </c>
      <c r="P560" s="189" t="str">
        <f ca="1">IFERROR(__xludf.DUMMYFUNCTION("""COMPUTED_VALUE"""),"")</f>
        <v/>
      </c>
      <c r="Q560" s="189" t="str">
        <f ca="1">IFERROR(__xludf.DUMMYFUNCTION("""COMPUTED_VALUE"""),"")</f>
        <v/>
      </c>
      <c r="R560" s="189" t="str">
        <f ca="1">IFERROR(__xludf.DUMMYFUNCTION("""COMPUTED_VALUE"""),"")</f>
        <v/>
      </c>
      <c r="S560" s="189" t="str">
        <f ca="1">IFERROR(__xludf.DUMMYFUNCTION("""COMPUTED_VALUE"""),"")</f>
        <v/>
      </c>
      <c r="T560" s="189" t="str">
        <f ca="1">IFERROR(__xludf.DUMMYFUNCTION("""COMPUTED_VALUE"""),"")</f>
        <v/>
      </c>
      <c r="U560" s="189" t="str">
        <f ca="1">IFERROR(__xludf.DUMMYFUNCTION("""COMPUTED_VALUE"""),"")</f>
        <v/>
      </c>
      <c r="V560" s="189" t="str">
        <f ca="1">IFERROR(__xludf.DUMMYFUNCTION("""COMPUTED_VALUE"""),"")</f>
        <v/>
      </c>
      <c r="W560" s="189" t="str">
        <f ca="1">IFERROR(__xludf.DUMMYFUNCTION("""COMPUTED_VALUE"""),"")</f>
        <v/>
      </c>
      <c r="X560" s="189" t="str">
        <f ca="1">IFERROR(__xludf.DUMMYFUNCTION("""COMPUTED_VALUE"""),"")</f>
        <v/>
      </c>
      <c r="Y560" s="189" t="str">
        <f ca="1">IFERROR(__xludf.DUMMYFUNCTION("""COMPUTED_VALUE"""),"")</f>
        <v/>
      </c>
      <c r="Z560" s="189"/>
    </row>
    <row r="561" spans="1:26" ht="12.75">
      <c r="A561" s="189" t="str">
        <f ca="1">IFERROR(__xludf.DUMMYFUNCTION("""COMPUTED_VALUE"""),"")</f>
        <v/>
      </c>
      <c r="B561" s="189" t="str">
        <f ca="1">IFERROR(__xludf.DUMMYFUNCTION("""COMPUTED_VALUE"""),"")</f>
        <v/>
      </c>
      <c r="C561" s="189" t="str">
        <f ca="1">IFERROR(__xludf.DUMMYFUNCTION("""COMPUTED_VALUE"""),"")</f>
        <v/>
      </c>
      <c r="D561" s="189" t="str">
        <f ca="1">IFERROR(__xludf.DUMMYFUNCTION("""COMPUTED_VALUE"""),"")</f>
        <v/>
      </c>
      <c r="E561" s="189" t="str">
        <f ca="1">IFERROR(__xludf.DUMMYFUNCTION("""COMPUTED_VALUE"""),"")</f>
        <v/>
      </c>
      <c r="F561" s="189" t="str">
        <f ca="1">IFERROR(__xludf.DUMMYFUNCTION("""COMPUTED_VALUE"""),"")</f>
        <v/>
      </c>
      <c r="G561" s="189" t="str">
        <f ca="1">IFERROR(__xludf.DUMMYFUNCTION("""COMPUTED_VALUE"""),"")</f>
        <v/>
      </c>
      <c r="H561" s="189" t="str">
        <f ca="1">IFERROR(__xludf.DUMMYFUNCTION("""COMPUTED_VALUE"""),"")</f>
        <v/>
      </c>
      <c r="I561" s="120" t="str">
        <f ca="1">IFERROR(__xludf.DUMMYFUNCTION("""COMPUTED_VALUE"""),"")</f>
        <v/>
      </c>
      <c r="J561" s="189" t="str">
        <f ca="1">IFERROR(__xludf.DUMMYFUNCTION("""COMPUTED_VALUE"""),"")</f>
        <v/>
      </c>
      <c r="K561" s="189" t="str">
        <f ca="1">IFERROR(__xludf.DUMMYFUNCTION("""COMPUTED_VALUE"""),"")</f>
        <v/>
      </c>
      <c r="L561" s="189" t="str">
        <f ca="1">IFERROR(__xludf.DUMMYFUNCTION("""COMPUTED_VALUE"""),"")</f>
        <v/>
      </c>
      <c r="M561" s="189" t="str">
        <f ca="1">IFERROR(__xludf.DUMMYFUNCTION("""COMPUTED_VALUE"""),"")</f>
        <v/>
      </c>
      <c r="N561" s="189" t="str">
        <f ca="1">IFERROR(__xludf.DUMMYFUNCTION("""COMPUTED_VALUE"""),"")</f>
        <v/>
      </c>
      <c r="O561" s="189" t="str">
        <f ca="1">IFERROR(__xludf.DUMMYFUNCTION("""COMPUTED_VALUE"""),"")</f>
        <v/>
      </c>
      <c r="P561" s="189" t="str">
        <f ca="1">IFERROR(__xludf.DUMMYFUNCTION("""COMPUTED_VALUE"""),"")</f>
        <v/>
      </c>
      <c r="Q561" s="189" t="str">
        <f ca="1">IFERROR(__xludf.DUMMYFUNCTION("""COMPUTED_VALUE"""),"")</f>
        <v/>
      </c>
      <c r="R561" s="189" t="str">
        <f ca="1">IFERROR(__xludf.DUMMYFUNCTION("""COMPUTED_VALUE"""),"")</f>
        <v/>
      </c>
      <c r="S561" s="189" t="str">
        <f ca="1">IFERROR(__xludf.DUMMYFUNCTION("""COMPUTED_VALUE"""),"")</f>
        <v/>
      </c>
      <c r="T561" s="189" t="str">
        <f ca="1">IFERROR(__xludf.DUMMYFUNCTION("""COMPUTED_VALUE"""),"")</f>
        <v/>
      </c>
      <c r="U561" s="189" t="str">
        <f ca="1">IFERROR(__xludf.DUMMYFUNCTION("""COMPUTED_VALUE"""),"")</f>
        <v/>
      </c>
      <c r="V561" s="189" t="str">
        <f ca="1">IFERROR(__xludf.DUMMYFUNCTION("""COMPUTED_VALUE"""),"")</f>
        <v/>
      </c>
      <c r="W561" s="189" t="str">
        <f ca="1">IFERROR(__xludf.DUMMYFUNCTION("""COMPUTED_VALUE"""),"")</f>
        <v/>
      </c>
      <c r="X561" s="189" t="str">
        <f ca="1">IFERROR(__xludf.DUMMYFUNCTION("""COMPUTED_VALUE"""),"")</f>
        <v/>
      </c>
      <c r="Y561" s="189" t="str">
        <f ca="1">IFERROR(__xludf.DUMMYFUNCTION("""COMPUTED_VALUE"""),"")</f>
        <v/>
      </c>
      <c r="Z561" s="189"/>
    </row>
    <row r="562" spans="1:26" ht="12.75">
      <c r="A562" s="189" t="str">
        <f ca="1">IFERROR(__xludf.DUMMYFUNCTION("""COMPUTED_VALUE"""),"")</f>
        <v/>
      </c>
      <c r="B562" s="189" t="str">
        <f ca="1">IFERROR(__xludf.DUMMYFUNCTION("""COMPUTED_VALUE"""),"")</f>
        <v/>
      </c>
      <c r="C562" s="189" t="str">
        <f ca="1">IFERROR(__xludf.DUMMYFUNCTION("""COMPUTED_VALUE"""),"")</f>
        <v/>
      </c>
      <c r="D562" s="189" t="str">
        <f ca="1">IFERROR(__xludf.DUMMYFUNCTION("""COMPUTED_VALUE"""),"")</f>
        <v/>
      </c>
      <c r="E562" s="189" t="str">
        <f ca="1">IFERROR(__xludf.DUMMYFUNCTION("""COMPUTED_VALUE"""),"")</f>
        <v/>
      </c>
      <c r="F562" s="189" t="str">
        <f ca="1">IFERROR(__xludf.DUMMYFUNCTION("""COMPUTED_VALUE"""),"")</f>
        <v/>
      </c>
      <c r="G562" s="189" t="str">
        <f ca="1">IFERROR(__xludf.DUMMYFUNCTION("""COMPUTED_VALUE"""),"")</f>
        <v/>
      </c>
      <c r="H562" s="189" t="str">
        <f ca="1">IFERROR(__xludf.DUMMYFUNCTION("""COMPUTED_VALUE"""),"")</f>
        <v/>
      </c>
      <c r="I562" s="120" t="str">
        <f ca="1">IFERROR(__xludf.DUMMYFUNCTION("""COMPUTED_VALUE"""),"")</f>
        <v/>
      </c>
      <c r="J562" s="189" t="str">
        <f ca="1">IFERROR(__xludf.DUMMYFUNCTION("""COMPUTED_VALUE"""),"")</f>
        <v/>
      </c>
      <c r="K562" s="189" t="str">
        <f ca="1">IFERROR(__xludf.DUMMYFUNCTION("""COMPUTED_VALUE"""),"")</f>
        <v/>
      </c>
      <c r="L562" s="189" t="str">
        <f ca="1">IFERROR(__xludf.DUMMYFUNCTION("""COMPUTED_VALUE"""),"")</f>
        <v/>
      </c>
      <c r="M562" s="189" t="str">
        <f ca="1">IFERROR(__xludf.DUMMYFUNCTION("""COMPUTED_VALUE"""),"")</f>
        <v/>
      </c>
      <c r="N562" s="189" t="str">
        <f ca="1">IFERROR(__xludf.DUMMYFUNCTION("""COMPUTED_VALUE"""),"")</f>
        <v/>
      </c>
      <c r="O562" s="189" t="str">
        <f ca="1">IFERROR(__xludf.DUMMYFUNCTION("""COMPUTED_VALUE"""),"")</f>
        <v/>
      </c>
      <c r="P562" s="189" t="str">
        <f ca="1">IFERROR(__xludf.DUMMYFUNCTION("""COMPUTED_VALUE"""),"")</f>
        <v/>
      </c>
      <c r="Q562" s="189" t="str">
        <f ca="1">IFERROR(__xludf.DUMMYFUNCTION("""COMPUTED_VALUE"""),"")</f>
        <v/>
      </c>
      <c r="R562" s="189" t="str">
        <f ca="1">IFERROR(__xludf.DUMMYFUNCTION("""COMPUTED_VALUE"""),"")</f>
        <v/>
      </c>
      <c r="S562" s="189" t="str">
        <f ca="1">IFERROR(__xludf.DUMMYFUNCTION("""COMPUTED_VALUE"""),"")</f>
        <v/>
      </c>
      <c r="T562" s="189" t="str">
        <f ca="1">IFERROR(__xludf.DUMMYFUNCTION("""COMPUTED_VALUE"""),"")</f>
        <v/>
      </c>
      <c r="U562" s="189" t="str">
        <f ca="1">IFERROR(__xludf.DUMMYFUNCTION("""COMPUTED_VALUE"""),"")</f>
        <v/>
      </c>
      <c r="V562" s="189" t="str">
        <f ca="1">IFERROR(__xludf.DUMMYFUNCTION("""COMPUTED_VALUE"""),"")</f>
        <v/>
      </c>
      <c r="W562" s="189" t="str">
        <f ca="1">IFERROR(__xludf.DUMMYFUNCTION("""COMPUTED_VALUE"""),"")</f>
        <v/>
      </c>
      <c r="X562" s="189" t="str">
        <f ca="1">IFERROR(__xludf.DUMMYFUNCTION("""COMPUTED_VALUE"""),"")</f>
        <v/>
      </c>
      <c r="Y562" s="189" t="str">
        <f ca="1">IFERROR(__xludf.DUMMYFUNCTION("""COMPUTED_VALUE"""),"")</f>
        <v/>
      </c>
      <c r="Z562" s="189"/>
    </row>
    <row r="563" spans="1:26" ht="12.75">
      <c r="A563" s="189" t="str">
        <f ca="1">IFERROR(__xludf.DUMMYFUNCTION("""COMPUTED_VALUE"""),"")</f>
        <v/>
      </c>
      <c r="B563" s="189" t="str">
        <f ca="1">IFERROR(__xludf.DUMMYFUNCTION("""COMPUTED_VALUE"""),"")</f>
        <v/>
      </c>
      <c r="C563" s="189" t="str">
        <f ca="1">IFERROR(__xludf.DUMMYFUNCTION("""COMPUTED_VALUE"""),"")</f>
        <v/>
      </c>
      <c r="D563" s="189" t="str">
        <f ca="1">IFERROR(__xludf.DUMMYFUNCTION("""COMPUTED_VALUE"""),"")</f>
        <v/>
      </c>
      <c r="E563" s="189" t="str">
        <f ca="1">IFERROR(__xludf.DUMMYFUNCTION("""COMPUTED_VALUE"""),"")</f>
        <v/>
      </c>
      <c r="F563" s="189" t="str">
        <f ca="1">IFERROR(__xludf.DUMMYFUNCTION("""COMPUTED_VALUE"""),"")</f>
        <v/>
      </c>
      <c r="G563" s="189" t="str">
        <f ca="1">IFERROR(__xludf.DUMMYFUNCTION("""COMPUTED_VALUE"""),"")</f>
        <v/>
      </c>
      <c r="H563" s="189" t="str">
        <f ca="1">IFERROR(__xludf.DUMMYFUNCTION("""COMPUTED_VALUE"""),"")</f>
        <v/>
      </c>
      <c r="I563" s="120" t="str">
        <f ca="1">IFERROR(__xludf.DUMMYFUNCTION("""COMPUTED_VALUE"""),"")</f>
        <v/>
      </c>
      <c r="J563" s="189" t="str">
        <f ca="1">IFERROR(__xludf.DUMMYFUNCTION("""COMPUTED_VALUE"""),"")</f>
        <v/>
      </c>
      <c r="K563" s="189" t="str">
        <f ca="1">IFERROR(__xludf.DUMMYFUNCTION("""COMPUTED_VALUE"""),"")</f>
        <v/>
      </c>
      <c r="L563" s="189" t="str">
        <f ca="1">IFERROR(__xludf.DUMMYFUNCTION("""COMPUTED_VALUE"""),"")</f>
        <v/>
      </c>
      <c r="M563" s="189" t="str">
        <f ca="1">IFERROR(__xludf.DUMMYFUNCTION("""COMPUTED_VALUE"""),"")</f>
        <v/>
      </c>
      <c r="N563" s="189" t="str">
        <f ca="1">IFERROR(__xludf.DUMMYFUNCTION("""COMPUTED_VALUE"""),"")</f>
        <v/>
      </c>
      <c r="O563" s="189" t="str">
        <f ca="1">IFERROR(__xludf.DUMMYFUNCTION("""COMPUTED_VALUE"""),"")</f>
        <v/>
      </c>
      <c r="P563" s="189" t="str">
        <f ca="1">IFERROR(__xludf.DUMMYFUNCTION("""COMPUTED_VALUE"""),"")</f>
        <v/>
      </c>
      <c r="Q563" s="189" t="str">
        <f ca="1">IFERROR(__xludf.DUMMYFUNCTION("""COMPUTED_VALUE"""),"")</f>
        <v/>
      </c>
      <c r="R563" s="189" t="str">
        <f ca="1">IFERROR(__xludf.DUMMYFUNCTION("""COMPUTED_VALUE"""),"")</f>
        <v/>
      </c>
      <c r="S563" s="189" t="str">
        <f ca="1">IFERROR(__xludf.DUMMYFUNCTION("""COMPUTED_VALUE"""),"")</f>
        <v/>
      </c>
      <c r="T563" s="189" t="str">
        <f ca="1">IFERROR(__xludf.DUMMYFUNCTION("""COMPUTED_VALUE"""),"")</f>
        <v/>
      </c>
      <c r="U563" s="189" t="str">
        <f ca="1">IFERROR(__xludf.DUMMYFUNCTION("""COMPUTED_VALUE"""),"")</f>
        <v/>
      </c>
      <c r="V563" s="189" t="str">
        <f ca="1">IFERROR(__xludf.DUMMYFUNCTION("""COMPUTED_VALUE"""),"")</f>
        <v/>
      </c>
      <c r="W563" s="189" t="str">
        <f ca="1">IFERROR(__xludf.DUMMYFUNCTION("""COMPUTED_VALUE"""),"")</f>
        <v/>
      </c>
      <c r="X563" s="189" t="str">
        <f ca="1">IFERROR(__xludf.DUMMYFUNCTION("""COMPUTED_VALUE"""),"")</f>
        <v/>
      </c>
      <c r="Y563" s="189" t="str">
        <f ca="1">IFERROR(__xludf.DUMMYFUNCTION("""COMPUTED_VALUE"""),"")</f>
        <v/>
      </c>
      <c r="Z563" s="189"/>
    </row>
    <row r="564" spans="1:26" ht="12.75">
      <c r="A564" s="189" t="str">
        <f ca="1">IFERROR(__xludf.DUMMYFUNCTION("""COMPUTED_VALUE"""),"")</f>
        <v/>
      </c>
      <c r="B564" s="189" t="str">
        <f ca="1">IFERROR(__xludf.DUMMYFUNCTION("""COMPUTED_VALUE"""),"")</f>
        <v/>
      </c>
      <c r="C564" s="189" t="str">
        <f ca="1">IFERROR(__xludf.DUMMYFUNCTION("""COMPUTED_VALUE"""),"")</f>
        <v/>
      </c>
      <c r="D564" s="189" t="str">
        <f ca="1">IFERROR(__xludf.DUMMYFUNCTION("""COMPUTED_VALUE"""),"")</f>
        <v/>
      </c>
      <c r="E564" s="189" t="str">
        <f ca="1">IFERROR(__xludf.DUMMYFUNCTION("""COMPUTED_VALUE"""),"")</f>
        <v/>
      </c>
      <c r="F564" s="189" t="str">
        <f ca="1">IFERROR(__xludf.DUMMYFUNCTION("""COMPUTED_VALUE"""),"")</f>
        <v/>
      </c>
      <c r="G564" s="189" t="str">
        <f ca="1">IFERROR(__xludf.DUMMYFUNCTION("""COMPUTED_VALUE"""),"")</f>
        <v/>
      </c>
      <c r="H564" s="189" t="str">
        <f ca="1">IFERROR(__xludf.DUMMYFUNCTION("""COMPUTED_VALUE"""),"")</f>
        <v/>
      </c>
      <c r="I564" s="120" t="str">
        <f ca="1">IFERROR(__xludf.DUMMYFUNCTION("""COMPUTED_VALUE"""),"")</f>
        <v/>
      </c>
      <c r="J564" s="189" t="str">
        <f ca="1">IFERROR(__xludf.DUMMYFUNCTION("""COMPUTED_VALUE"""),"")</f>
        <v/>
      </c>
      <c r="K564" s="189" t="str">
        <f ca="1">IFERROR(__xludf.DUMMYFUNCTION("""COMPUTED_VALUE"""),"")</f>
        <v/>
      </c>
      <c r="L564" s="189" t="str">
        <f ca="1">IFERROR(__xludf.DUMMYFUNCTION("""COMPUTED_VALUE"""),"")</f>
        <v/>
      </c>
      <c r="M564" s="189" t="str">
        <f ca="1">IFERROR(__xludf.DUMMYFUNCTION("""COMPUTED_VALUE"""),"")</f>
        <v/>
      </c>
      <c r="N564" s="189" t="str">
        <f ca="1">IFERROR(__xludf.DUMMYFUNCTION("""COMPUTED_VALUE"""),"")</f>
        <v/>
      </c>
      <c r="O564" s="189" t="str">
        <f ca="1">IFERROR(__xludf.DUMMYFUNCTION("""COMPUTED_VALUE"""),"")</f>
        <v/>
      </c>
      <c r="P564" s="189" t="str">
        <f ca="1">IFERROR(__xludf.DUMMYFUNCTION("""COMPUTED_VALUE"""),"")</f>
        <v/>
      </c>
      <c r="Q564" s="189" t="str">
        <f ca="1">IFERROR(__xludf.DUMMYFUNCTION("""COMPUTED_VALUE"""),"")</f>
        <v/>
      </c>
      <c r="R564" s="189" t="str">
        <f ca="1">IFERROR(__xludf.DUMMYFUNCTION("""COMPUTED_VALUE"""),"")</f>
        <v/>
      </c>
      <c r="S564" s="189" t="str">
        <f ca="1">IFERROR(__xludf.DUMMYFUNCTION("""COMPUTED_VALUE"""),"")</f>
        <v/>
      </c>
      <c r="T564" s="189" t="str">
        <f ca="1">IFERROR(__xludf.DUMMYFUNCTION("""COMPUTED_VALUE"""),"")</f>
        <v/>
      </c>
      <c r="U564" s="189" t="str">
        <f ca="1">IFERROR(__xludf.DUMMYFUNCTION("""COMPUTED_VALUE"""),"")</f>
        <v/>
      </c>
      <c r="V564" s="189" t="str">
        <f ca="1">IFERROR(__xludf.DUMMYFUNCTION("""COMPUTED_VALUE"""),"")</f>
        <v/>
      </c>
      <c r="W564" s="189" t="str">
        <f ca="1">IFERROR(__xludf.DUMMYFUNCTION("""COMPUTED_VALUE"""),"")</f>
        <v/>
      </c>
      <c r="X564" s="189" t="str">
        <f ca="1">IFERROR(__xludf.DUMMYFUNCTION("""COMPUTED_VALUE"""),"")</f>
        <v/>
      </c>
      <c r="Y564" s="189" t="str">
        <f ca="1">IFERROR(__xludf.DUMMYFUNCTION("""COMPUTED_VALUE"""),"")</f>
        <v/>
      </c>
      <c r="Z564" s="189"/>
    </row>
    <row r="565" spans="1:26" ht="12.75">
      <c r="A565" s="189" t="str">
        <f ca="1">IFERROR(__xludf.DUMMYFUNCTION("""COMPUTED_VALUE"""),"")</f>
        <v/>
      </c>
      <c r="B565" s="189" t="str">
        <f ca="1">IFERROR(__xludf.DUMMYFUNCTION("""COMPUTED_VALUE"""),"")</f>
        <v/>
      </c>
      <c r="C565" s="189" t="str">
        <f ca="1">IFERROR(__xludf.DUMMYFUNCTION("""COMPUTED_VALUE"""),"")</f>
        <v/>
      </c>
      <c r="D565" s="189" t="str">
        <f ca="1">IFERROR(__xludf.DUMMYFUNCTION("""COMPUTED_VALUE"""),"")</f>
        <v/>
      </c>
      <c r="E565" s="189" t="str">
        <f ca="1">IFERROR(__xludf.DUMMYFUNCTION("""COMPUTED_VALUE"""),"")</f>
        <v/>
      </c>
      <c r="F565" s="189" t="str">
        <f ca="1">IFERROR(__xludf.DUMMYFUNCTION("""COMPUTED_VALUE"""),"")</f>
        <v/>
      </c>
      <c r="G565" s="189" t="str">
        <f ca="1">IFERROR(__xludf.DUMMYFUNCTION("""COMPUTED_VALUE"""),"")</f>
        <v/>
      </c>
      <c r="H565" s="189" t="str">
        <f ca="1">IFERROR(__xludf.DUMMYFUNCTION("""COMPUTED_VALUE"""),"")</f>
        <v/>
      </c>
      <c r="I565" s="120" t="str">
        <f ca="1">IFERROR(__xludf.DUMMYFUNCTION("""COMPUTED_VALUE"""),"")</f>
        <v/>
      </c>
      <c r="J565" s="189" t="str">
        <f ca="1">IFERROR(__xludf.DUMMYFUNCTION("""COMPUTED_VALUE"""),"")</f>
        <v/>
      </c>
      <c r="K565" s="189" t="str">
        <f ca="1">IFERROR(__xludf.DUMMYFUNCTION("""COMPUTED_VALUE"""),"")</f>
        <v/>
      </c>
      <c r="L565" s="189" t="str">
        <f ca="1">IFERROR(__xludf.DUMMYFUNCTION("""COMPUTED_VALUE"""),"")</f>
        <v/>
      </c>
      <c r="M565" s="189" t="str">
        <f ca="1">IFERROR(__xludf.DUMMYFUNCTION("""COMPUTED_VALUE"""),"")</f>
        <v/>
      </c>
      <c r="N565" s="189" t="str">
        <f ca="1">IFERROR(__xludf.DUMMYFUNCTION("""COMPUTED_VALUE"""),"")</f>
        <v/>
      </c>
      <c r="O565" s="189" t="str">
        <f ca="1">IFERROR(__xludf.DUMMYFUNCTION("""COMPUTED_VALUE"""),"")</f>
        <v/>
      </c>
      <c r="P565" s="189" t="str">
        <f ca="1">IFERROR(__xludf.DUMMYFUNCTION("""COMPUTED_VALUE"""),"")</f>
        <v/>
      </c>
      <c r="Q565" s="189" t="str">
        <f ca="1">IFERROR(__xludf.DUMMYFUNCTION("""COMPUTED_VALUE"""),"")</f>
        <v/>
      </c>
      <c r="R565" s="189" t="str">
        <f ca="1">IFERROR(__xludf.DUMMYFUNCTION("""COMPUTED_VALUE"""),"")</f>
        <v/>
      </c>
      <c r="S565" s="189" t="str">
        <f ca="1">IFERROR(__xludf.DUMMYFUNCTION("""COMPUTED_VALUE"""),"")</f>
        <v/>
      </c>
      <c r="T565" s="189" t="str">
        <f ca="1">IFERROR(__xludf.DUMMYFUNCTION("""COMPUTED_VALUE"""),"")</f>
        <v/>
      </c>
      <c r="U565" s="189" t="str">
        <f ca="1">IFERROR(__xludf.DUMMYFUNCTION("""COMPUTED_VALUE"""),"")</f>
        <v/>
      </c>
      <c r="V565" s="189" t="str">
        <f ca="1">IFERROR(__xludf.DUMMYFUNCTION("""COMPUTED_VALUE"""),"")</f>
        <v/>
      </c>
      <c r="W565" s="189" t="str">
        <f ca="1">IFERROR(__xludf.DUMMYFUNCTION("""COMPUTED_VALUE"""),"")</f>
        <v/>
      </c>
      <c r="X565" s="189" t="str">
        <f ca="1">IFERROR(__xludf.DUMMYFUNCTION("""COMPUTED_VALUE"""),"")</f>
        <v/>
      </c>
      <c r="Y565" s="189" t="str">
        <f ca="1">IFERROR(__xludf.DUMMYFUNCTION("""COMPUTED_VALUE"""),"")</f>
        <v/>
      </c>
      <c r="Z565" s="189"/>
    </row>
    <row r="566" spans="1:26" ht="12.75">
      <c r="A566" s="189" t="str">
        <f ca="1">IFERROR(__xludf.DUMMYFUNCTION("""COMPUTED_VALUE"""),"")</f>
        <v/>
      </c>
      <c r="B566" s="189" t="str">
        <f ca="1">IFERROR(__xludf.DUMMYFUNCTION("""COMPUTED_VALUE"""),"")</f>
        <v/>
      </c>
      <c r="C566" s="189" t="str">
        <f ca="1">IFERROR(__xludf.DUMMYFUNCTION("""COMPUTED_VALUE"""),"")</f>
        <v/>
      </c>
      <c r="D566" s="189" t="str">
        <f ca="1">IFERROR(__xludf.DUMMYFUNCTION("""COMPUTED_VALUE"""),"")</f>
        <v/>
      </c>
      <c r="E566" s="189" t="str">
        <f ca="1">IFERROR(__xludf.DUMMYFUNCTION("""COMPUTED_VALUE"""),"")</f>
        <v/>
      </c>
      <c r="F566" s="189" t="str">
        <f ca="1">IFERROR(__xludf.DUMMYFUNCTION("""COMPUTED_VALUE"""),"")</f>
        <v/>
      </c>
      <c r="G566" s="189" t="str">
        <f ca="1">IFERROR(__xludf.DUMMYFUNCTION("""COMPUTED_VALUE"""),"")</f>
        <v/>
      </c>
      <c r="H566" s="189" t="str">
        <f ca="1">IFERROR(__xludf.DUMMYFUNCTION("""COMPUTED_VALUE"""),"")</f>
        <v/>
      </c>
      <c r="I566" s="120" t="str">
        <f ca="1">IFERROR(__xludf.DUMMYFUNCTION("""COMPUTED_VALUE"""),"")</f>
        <v/>
      </c>
      <c r="J566" s="189" t="str">
        <f ca="1">IFERROR(__xludf.DUMMYFUNCTION("""COMPUTED_VALUE"""),"")</f>
        <v/>
      </c>
      <c r="K566" s="189" t="str">
        <f ca="1">IFERROR(__xludf.DUMMYFUNCTION("""COMPUTED_VALUE"""),"")</f>
        <v/>
      </c>
      <c r="L566" s="189" t="str">
        <f ca="1">IFERROR(__xludf.DUMMYFUNCTION("""COMPUTED_VALUE"""),"")</f>
        <v/>
      </c>
      <c r="M566" s="189" t="str">
        <f ca="1">IFERROR(__xludf.DUMMYFUNCTION("""COMPUTED_VALUE"""),"")</f>
        <v/>
      </c>
      <c r="N566" s="189" t="str">
        <f ca="1">IFERROR(__xludf.DUMMYFUNCTION("""COMPUTED_VALUE"""),"")</f>
        <v/>
      </c>
      <c r="O566" s="189" t="str">
        <f ca="1">IFERROR(__xludf.DUMMYFUNCTION("""COMPUTED_VALUE"""),"")</f>
        <v/>
      </c>
      <c r="P566" s="189" t="str">
        <f ca="1">IFERROR(__xludf.DUMMYFUNCTION("""COMPUTED_VALUE"""),"")</f>
        <v/>
      </c>
      <c r="Q566" s="189" t="str">
        <f ca="1">IFERROR(__xludf.DUMMYFUNCTION("""COMPUTED_VALUE"""),"")</f>
        <v/>
      </c>
      <c r="R566" s="189" t="str">
        <f ca="1">IFERROR(__xludf.DUMMYFUNCTION("""COMPUTED_VALUE"""),"")</f>
        <v/>
      </c>
      <c r="S566" s="189" t="str">
        <f ca="1">IFERROR(__xludf.DUMMYFUNCTION("""COMPUTED_VALUE"""),"")</f>
        <v/>
      </c>
      <c r="T566" s="189" t="str">
        <f ca="1">IFERROR(__xludf.DUMMYFUNCTION("""COMPUTED_VALUE"""),"")</f>
        <v/>
      </c>
      <c r="U566" s="189" t="str">
        <f ca="1">IFERROR(__xludf.DUMMYFUNCTION("""COMPUTED_VALUE"""),"")</f>
        <v/>
      </c>
      <c r="V566" s="189" t="str">
        <f ca="1">IFERROR(__xludf.DUMMYFUNCTION("""COMPUTED_VALUE"""),"")</f>
        <v/>
      </c>
      <c r="W566" s="189" t="str">
        <f ca="1">IFERROR(__xludf.DUMMYFUNCTION("""COMPUTED_VALUE"""),"")</f>
        <v/>
      </c>
      <c r="X566" s="189" t="str">
        <f ca="1">IFERROR(__xludf.DUMMYFUNCTION("""COMPUTED_VALUE"""),"")</f>
        <v/>
      </c>
      <c r="Y566" s="189" t="str">
        <f ca="1">IFERROR(__xludf.DUMMYFUNCTION("""COMPUTED_VALUE"""),"")</f>
        <v/>
      </c>
      <c r="Z566" s="189"/>
    </row>
    <row r="567" spans="1:26" ht="12.75">
      <c r="A567" s="189" t="str">
        <f ca="1">IFERROR(__xludf.DUMMYFUNCTION("""COMPUTED_VALUE"""),"")</f>
        <v/>
      </c>
      <c r="B567" s="189" t="str">
        <f ca="1">IFERROR(__xludf.DUMMYFUNCTION("""COMPUTED_VALUE"""),"")</f>
        <v/>
      </c>
      <c r="C567" s="189" t="str">
        <f ca="1">IFERROR(__xludf.DUMMYFUNCTION("""COMPUTED_VALUE"""),"")</f>
        <v/>
      </c>
      <c r="D567" s="189" t="str">
        <f ca="1">IFERROR(__xludf.DUMMYFUNCTION("""COMPUTED_VALUE"""),"")</f>
        <v/>
      </c>
      <c r="E567" s="189" t="str">
        <f ca="1">IFERROR(__xludf.DUMMYFUNCTION("""COMPUTED_VALUE"""),"")</f>
        <v/>
      </c>
      <c r="F567" s="189" t="str">
        <f ca="1">IFERROR(__xludf.DUMMYFUNCTION("""COMPUTED_VALUE"""),"")</f>
        <v/>
      </c>
      <c r="G567" s="189" t="str">
        <f ca="1">IFERROR(__xludf.DUMMYFUNCTION("""COMPUTED_VALUE"""),"")</f>
        <v/>
      </c>
      <c r="H567" s="189" t="str">
        <f ca="1">IFERROR(__xludf.DUMMYFUNCTION("""COMPUTED_VALUE"""),"")</f>
        <v/>
      </c>
      <c r="I567" s="120" t="str">
        <f ca="1">IFERROR(__xludf.DUMMYFUNCTION("""COMPUTED_VALUE"""),"")</f>
        <v/>
      </c>
      <c r="J567" s="189" t="str">
        <f ca="1">IFERROR(__xludf.DUMMYFUNCTION("""COMPUTED_VALUE"""),"")</f>
        <v/>
      </c>
      <c r="K567" s="189" t="str">
        <f ca="1">IFERROR(__xludf.DUMMYFUNCTION("""COMPUTED_VALUE"""),"")</f>
        <v/>
      </c>
      <c r="L567" s="189" t="str">
        <f ca="1">IFERROR(__xludf.DUMMYFUNCTION("""COMPUTED_VALUE"""),"")</f>
        <v/>
      </c>
      <c r="M567" s="189" t="str">
        <f ca="1">IFERROR(__xludf.DUMMYFUNCTION("""COMPUTED_VALUE"""),"")</f>
        <v/>
      </c>
      <c r="N567" s="189" t="str">
        <f ca="1">IFERROR(__xludf.DUMMYFUNCTION("""COMPUTED_VALUE"""),"")</f>
        <v/>
      </c>
      <c r="O567" s="189" t="str">
        <f ca="1">IFERROR(__xludf.DUMMYFUNCTION("""COMPUTED_VALUE"""),"")</f>
        <v/>
      </c>
      <c r="P567" s="189" t="str">
        <f ca="1">IFERROR(__xludf.DUMMYFUNCTION("""COMPUTED_VALUE"""),"")</f>
        <v/>
      </c>
      <c r="Q567" s="189" t="str">
        <f ca="1">IFERROR(__xludf.DUMMYFUNCTION("""COMPUTED_VALUE"""),"")</f>
        <v/>
      </c>
      <c r="R567" s="189" t="str">
        <f ca="1">IFERROR(__xludf.DUMMYFUNCTION("""COMPUTED_VALUE"""),"")</f>
        <v/>
      </c>
      <c r="S567" s="189" t="str">
        <f ca="1">IFERROR(__xludf.DUMMYFUNCTION("""COMPUTED_VALUE"""),"")</f>
        <v/>
      </c>
      <c r="T567" s="189" t="str">
        <f ca="1">IFERROR(__xludf.DUMMYFUNCTION("""COMPUTED_VALUE"""),"")</f>
        <v/>
      </c>
      <c r="U567" s="189" t="str">
        <f ca="1">IFERROR(__xludf.DUMMYFUNCTION("""COMPUTED_VALUE"""),"")</f>
        <v/>
      </c>
      <c r="V567" s="189" t="str">
        <f ca="1">IFERROR(__xludf.DUMMYFUNCTION("""COMPUTED_VALUE"""),"")</f>
        <v/>
      </c>
      <c r="W567" s="189" t="str">
        <f ca="1">IFERROR(__xludf.DUMMYFUNCTION("""COMPUTED_VALUE"""),"")</f>
        <v/>
      </c>
      <c r="X567" s="189" t="str">
        <f ca="1">IFERROR(__xludf.DUMMYFUNCTION("""COMPUTED_VALUE"""),"")</f>
        <v/>
      </c>
      <c r="Y567" s="189" t="str">
        <f ca="1">IFERROR(__xludf.DUMMYFUNCTION("""COMPUTED_VALUE"""),"")</f>
        <v/>
      </c>
      <c r="Z567" s="189"/>
    </row>
    <row r="568" spans="1:26" ht="12.75">
      <c r="A568" s="189" t="str">
        <f ca="1">IFERROR(__xludf.DUMMYFUNCTION("""COMPUTED_VALUE"""),"")</f>
        <v/>
      </c>
      <c r="B568" s="189" t="str">
        <f ca="1">IFERROR(__xludf.DUMMYFUNCTION("""COMPUTED_VALUE"""),"")</f>
        <v/>
      </c>
      <c r="C568" s="189" t="str">
        <f ca="1">IFERROR(__xludf.DUMMYFUNCTION("""COMPUTED_VALUE"""),"")</f>
        <v/>
      </c>
      <c r="D568" s="189" t="str">
        <f ca="1">IFERROR(__xludf.DUMMYFUNCTION("""COMPUTED_VALUE"""),"")</f>
        <v/>
      </c>
      <c r="E568" s="189" t="str">
        <f ca="1">IFERROR(__xludf.DUMMYFUNCTION("""COMPUTED_VALUE"""),"")</f>
        <v/>
      </c>
      <c r="F568" s="189" t="str">
        <f ca="1">IFERROR(__xludf.DUMMYFUNCTION("""COMPUTED_VALUE"""),"")</f>
        <v/>
      </c>
      <c r="G568" s="189" t="str">
        <f ca="1">IFERROR(__xludf.DUMMYFUNCTION("""COMPUTED_VALUE"""),"")</f>
        <v/>
      </c>
      <c r="H568" s="189" t="str">
        <f ca="1">IFERROR(__xludf.DUMMYFUNCTION("""COMPUTED_VALUE"""),"")</f>
        <v/>
      </c>
      <c r="I568" s="120" t="str">
        <f ca="1">IFERROR(__xludf.DUMMYFUNCTION("""COMPUTED_VALUE"""),"")</f>
        <v/>
      </c>
      <c r="J568" s="189" t="str">
        <f ca="1">IFERROR(__xludf.DUMMYFUNCTION("""COMPUTED_VALUE"""),"")</f>
        <v/>
      </c>
      <c r="K568" s="189" t="str">
        <f ca="1">IFERROR(__xludf.DUMMYFUNCTION("""COMPUTED_VALUE"""),"")</f>
        <v/>
      </c>
      <c r="L568" s="189" t="str">
        <f ca="1">IFERROR(__xludf.DUMMYFUNCTION("""COMPUTED_VALUE"""),"")</f>
        <v/>
      </c>
      <c r="M568" s="189" t="str">
        <f ca="1">IFERROR(__xludf.DUMMYFUNCTION("""COMPUTED_VALUE"""),"")</f>
        <v/>
      </c>
      <c r="N568" s="189" t="str">
        <f ca="1">IFERROR(__xludf.DUMMYFUNCTION("""COMPUTED_VALUE"""),"")</f>
        <v/>
      </c>
      <c r="O568" s="189" t="str">
        <f ca="1">IFERROR(__xludf.DUMMYFUNCTION("""COMPUTED_VALUE"""),"")</f>
        <v/>
      </c>
      <c r="P568" s="189" t="str">
        <f ca="1">IFERROR(__xludf.DUMMYFUNCTION("""COMPUTED_VALUE"""),"")</f>
        <v/>
      </c>
      <c r="Q568" s="189" t="str">
        <f ca="1">IFERROR(__xludf.DUMMYFUNCTION("""COMPUTED_VALUE"""),"")</f>
        <v/>
      </c>
      <c r="R568" s="189" t="str">
        <f ca="1">IFERROR(__xludf.DUMMYFUNCTION("""COMPUTED_VALUE"""),"")</f>
        <v/>
      </c>
      <c r="S568" s="189" t="str">
        <f ca="1">IFERROR(__xludf.DUMMYFUNCTION("""COMPUTED_VALUE"""),"")</f>
        <v/>
      </c>
      <c r="T568" s="189" t="str">
        <f ca="1">IFERROR(__xludf.DUMMYFUNCTION("""COMPUTED_VALUE"""),"")</f>
        <v/>
      </c>
      <c r="U568" s="189" t="str">
        <f ca="1">IFERROR(__xludf.DUMMYFUNCTION("""COMPUTED_VALUE"""),"")</f>
        <v/>
      </c>
      <c r="V568" s="189" t="str">
        <f ca="1">IFERROR(__xludf.DUMMYFUNCTION("""COMPUTED_VALUE"""),"")</f>
        <v/>
      </c>
      <c r="W568" s="189" t="str">
        <f ca="1">IFERROR(__xludf.DUMMYFUNCTION("""COMPUTED_VALUE"""),"")</f>
        <v/>
      </c>
      <c r="X568" s="189" t="str">
        <f ca="1">IFERROR(__xludf.DUMMYFUNCTION("""COMPUTED_VALUE"""),"")</f>
        <v/>
      </c>
      <c r="Y568" s="189" t="str">
        <f ca="1">IFERROR(__xludf.DUMMYFUNCTION("""COMPUTED_VALUE"""),"")</f>
        <v/>
      </c>
      <c r="Z568" s="189"/>
    </row>
    <row r="569" spans="1:26" ht="12.75">
      <c r="A569" s="189" t="str">
        <f ca="1">IFERROR(__xludf.DUMMYFUNCTION("""COMPUTED_VALUE"""),"")</f>
        <v/>
      </c>
      <c r="B569" s="189" t="str">
        <f ca="1">IFERROR(__xludf.DUMMYFUNCTION("""COMPUTED_VALUE"""),"")</f>
        <v/>
      </c>
      <c r="C569" s="189" t="str">
        <f ca="1">IFERROR(__xludf.DUMMYFUNCTION("""COMPUTED_VALUE"""),"")</f>
        <v/>
      </c>
      <c r="D569" s="189" t="str">
        <f ca="1">IFERROR(__xludf.DUMMYFUNCTION("""COMPUTED_VALUE"""),"")</f>
        <v/>
      </c>
      <c r="E569" s="189" t="str">
        <f ca="1">IFERROR(__xludf.DUMMYFUNCTION("""COMPUTED_VALUE"""),"")</f>
        <v/>
      </c>
      <c r="F569" s="189" t="str">
        <f ca="1">IFERROR(__xludf.DUMMYFUNCTION("""COMPUTED_VALUE"""),"")</f>
        <v/>
      </c>
      <c r="G569" s="189" t="str">
        <f ca="1">IFERROR(__xludf.DUMMYFUNCTION("""COMPUTED_VALUE"""),"")</f>
        <v/>
      </c>
      <c r="H569" s="189" t="str">
        <f ca="1">IFERROR(__xludf.DUMMYFUNCTION("""COMPUTED_VALUE"""),"")</f>
        <v/>
      </c>
      <c r="I569" s="120" t="str">
        <f ca="1">IFERROR(__xludf.DUMMYFUNCTION("""COMPUTED_VALUE"""),"")</f>
        <v/>
      </c>
      <c r="J569" s="189" t="str">
        <f ca="1">IFERROR(__xludf.DUMMYFUNCTION("""COMPUTED_VALUE"""),"")</f>
        <v/>
      </c>
      <c r="K569" s="189" t="str">
        <f ca="1">IFERROR(__xludf.DUMMYFUNCTION("""COMPUTED_VALUE"""),"")</f>
        <v/>
      </c>
      <c r="L569" s="189" t="str">
        <f ca="1">IFERROR(__xludf.DUMMYFUNCTION("""COMPUTED_VALUE"""),"")</f>
        <v/>
      </c>
      <c r="M569" s="189" t="str">
        <f ca="1">IFERROR(__xludf.DUMMYFUNCTION("""COMPUTED_VALUE"""),"")</f>
        <v/>
      </c>
      <c r="N569" s="189" t="str">
        <f ca="1">IFERROR(__xludf.DUMMYFUNCTION("""COMPUTED_VALUE"""),"")</f>
        <v/>
      </c>
      <c r="O569" s="189" t="str">
        <f ca="1">IFERROR(__xludf.DUMMYFUNCTION("""COMPUTED_VALUE"""),"")</f>
        <v/>
      </c>
      <c r="P569" s="189" t="str">
        <f ca="1">IFERROR(__xludf.DUMMYFUNCTION("""COMPUTED_VALUE"""),"")</f>
        <v/>
      </c>
      <c r="Q569" s="189" t="str">
        <f ca="1">IFERROR(__xludf.DUMMYFUNCTION("""COMPUTED_VALUE"""),"")</f>
        <v/>
      </c>
      <c r="R569" s="189" t="str">
        <f ca="1">IFERROR(__xludf.DUMMYFUNCTION("""COMPUTED_VALUE"""),"")</f>
        <v/>
      </c>
      <c r="S569" s="189" t="str">
        <f ca="1">IFERROR(__xludf.DUMMYFUNCTION("""COMPUTED_VALUE"""),"")</f>
        <v/>
      </c>
      <c r="T569" s="189" t="str">
        <f ca="1">IFERROR(__xludf.DUMMYFUNCTION("""COMPUTED_VALUE"""),"")</f>
        <v/>
      </c>
      <c r="U569" s="189" t="str">
        <f ca="1">IFERROR(__xludf.DUMMYFUNCTION("""COMPUTED_VALUE"""),"")</f>
        <v/>
      </c>
      <c r="V569" s="189" t="str">
        <f ca="1">IFERROR(__xludf.DUMMYFUNCTION("""COMPUTED_VALUE"""),"")</f>
        <v/>
      </c>
      <c r="W569" s="189" t="str">
        <f ca="1">IFERROR(__xludf.DUMMYFUNCTION("""COMPUTED_VALUE"""),"")</f>
        <v/>
      </c>
      <c r="X569" s="189" t="str">
        <f ca="1">IFERROR(__xludf.DUMMYFUNCTION("""COMPUTED_VALUE"""),"")</f>
        <v/>
      </c>
      <c r="Y569" s="189" t="str">
        <f ca="1">IFERROR(__xludf.DUMMYFUNCTION("""COMPUTED_VALUE"""),"")</f>
        <v/>
      </c>
      <c r="Z569" s="189"/>
    </row>
    <row r="570" spans="1:26" ht="12.75">
      <c r="A570" s="189" t="str">
        <f ca="1">IFERROR(__xludf.DUMMYFUNCTION("""COMPUTED_VALUE"""),"")</f>
        <v/>
      </c>
      <c r="B570" s="189" t="str">
        <f ca="1">IFERROR(__xludf.DUMMYFUNCTION("""COMPUTED_VALUE"""),"")</f>
        <v/>
      </c>
      <c r="C570" s="189" t="str">
        <f ca="1">IFERROR(__xludf.DUMMYFUNCTION("""COMPUTED_VALUE"""),"")</f>
        <v/>
      </c>
      <c r="D570" s="189" t="str">
        <f ca="1">IFERROR(__xludf.DUMMYFUNCTION("""COMPUTED_VALUE"""),"")</f>
        <v/>
      </c>
      <c r="E570" s="189" t="str">
        <f ca="1">IFERROR(__xludf.DUMMYFUNCTION("""COMPUTED_VALUE"""),"")</f>
        <v/>
      </c>
      <c r="F570" s="189" t="str">
        <f ca="1">IFERROR(__xludf.DUMMYFUNCTION("""COMPUTED_VALUE"""),"")</f>
        <v/>
      </c>
      <c r="G570" s="189" t="str">
        <f ca="1">IFERROR(__xludf.DUMMYFUNCTION("""COMPUTED_VALUE"""),"")</f>
        <v/>
      </c>
      <c r="H570" s="189" t="str">
        <f ca="1">IFERROR(__xludf.DUMMYFUNCTION("""COMPUTED_VALUE"""),"")</f>
        <v/>
      </c>
      <c r="I570" s="120" t="str">
        <f ca="1">IFERROR(__xludf.DUMMYFUNCTION("""COMPUTED_VALUE"""),"")</f>
        <v/>
      </c>
      <c r="J570" s="189" t="str">
        <f ca="1">IFERROR(__xludf.DUMMYFUNCTION("""COMPUTED_VALUE"""),"")</f>
        <v/>
      </c>
      <c r="K570" s="189" t="str">
        <f ca="1">IFERROR(__xludf.DUMMYFUNCTION("""COMPUTED_VALUE"""),"")</f>
        <v/>
      </c>
      <c r="L570" s="189" t="str">
        <f ca="1">IFERROR(__xludf.DUMMYFUNCTION("""COMPUTED_VALUE"""),"")</f>
        <v/>
      </c>
      <c r="M570" s="189" t="str">
        <f ca="1">IFERROR(__xludf.DUMMYFUNCTION("""COMPUTED_VALUE"""),"")</f>
        <v/>
      </c>
      <c r="N570" s="189" t="str">
        <f ca="1">IFERROR(__xludf.DUMMYFUNCTION("""COMPUTED_VALUE"""),"")</f>
        <v/>
      </c>
      <c r="O570" s="189" t="str">
        <f ca="1">IFERROR(__xludf.DUMMYFUNCTION("""COMPUTED_VALUE"""),"")</f>
        <v/>
      </c>
      <c r="P570" s="189" t="str">
        <f ca="1">IFERROR(__xludf.DUMMYFUNCTION("""COMPUTED_VALUE"""),"")</f>
        <v/>
      </c>
      <c r="Q570" s="189" t="str">
        <f ca="1">IFERROR(__xludf.DUMMYFUNCTION("""COMPUTED_VALUE"""),"")</f>
        <v/>
      </c>
      <c r="R570" s="189" t="str">
        <f ca="1">IFERROR(__xludf.DUMMYFUNCTION("""COMPUTED_VALUE"""),"")</f>
        <v/>
      </c>
      <c r="S570" s="189" t="str">
        <f ca="1">IFERROR(__xludf.DUMMYFUNCTION("""COMPUTED_VALUE"""),"")</f>
        <v/>
      </c>
      <c r="T570" s="189" t="str">
        <f ca="1">IFERROR(__xludf.DUMMYFUNCTION("""COMPUTED_VALUE"""),"")</f>
        <v/>
      </c>
      <c r="U570" s="189" t="str">
        <f ca="1">IFERROR(__xludf.DUMMYFUNCTION("""COMPUTED_VALUE"""),"")</f>
        <v/>
      </c>
      <c r="V570" s="189" t="str">
        <f ca="1">IFERROR(__xludf.DUMMYFUNCTION("""COMPUTED_VALUE"""),"")</f>
        <v/>
      </c>
      <c r="W570" s="189" t="str">
        <f ca="1">IFERROR(__xludf.DUMMYFUNCTION("""COMPUTED_VALUE"""),"")</f>
        <v/>
      </c>
      <c r="X570" s="189" t="str">
        <f ca="1">IFERROR(__xludf.DUMMYFUNCTION("""COMPUTED_VALUE"""),"")</f>
        <v/>
      </c>
      <c r="Y570" s="189" t="str">
        <f ca="1">IFERROR(__xludf.DUMMYFUNCTION("""COMPUTED_VALUE"""),"")</f>
        <v/>
      </c>
      <c r="Z570" s="189"/>
    </row>
    <row r="571" spans="1:26" ht="12.75">
      <c r="A571" s="189" t="str">
        <f ca="1">IFERROR(__xludf.DUMMYFUNCTION("""COMPUTED_VALUE"""),"")</f>
        <v/>
      </c>
      <c r="B571" s="189" t="str">
        <f ca="1">IFERROR(__xludf.DUMMYFUNCTION("""COMPUTED_VALUE"""),"")</f>
        <v/>
      </c>
      <c r="C571" s="189" t="str">
        <f ca="1">IFERROR(__xludf.DUMMYFUNCTION("""COMPUTED_VALUE"""),"")</f>
        <v/>
      </c>
      <c r="D571" s="189" t="str">
        <f ca="1">IFERROR(__xludf.DUMMYFUNCTION("""COMPUTED_VALUE"""),"")</f>
        <v/>
      </c>
      <c r="E571" s="189" t="str">
        <f ca="1">IFERROR(__xludf.DUMMYFUNCTION("""COMPUTED_VALUE"""),"")</f>
        <v/>
      </c>
      <c r="F571" s="189" t="str">
        <f ca="1">IFERROR(__xludf.DUMMYFUNCTION("""COMPUTED_VALUE"""),"")</f>
        <v/>
      </c>
      <c r="G571" s="189" t="str">
        <f ca="1">IFERROR(__xludf.DUMMYFUNCTION("""COMPUTED_VALUE"""),"")</f>
        <v/>
      </c>
      <c r="H571" s="189" t="str">
        <f ca="1">IFERROR(__xludf.DUMMYFUNCTION("""COMPUTED_VALUE"""),"")</f>
        <v/>
      </c>
      <c r="I571" s="120" t="str">
        <f ca="1">IFERROR(__xludf.DUMMYFUNCTION("""COMPUTED_VALUE"""),"")</f>
        <v/>
      </c>
      <c r="J571" s="189" t="str">
        <f ca="1">IFERROR(__xludf.DUMMYFUNCTION("""COMPUTED_VALUE"""),"")</f>
        <v/>
      </c>
      <c r="K571" s="189" t="str">
        <f ca="1">IFERROR(__xludf.DUMMYFUNCTION("""COMPUTED_VALUE"""),"")</f>
        <v/>
      </c>
      <c r="L571" s="189" t="str">
        <f ca="1">IFERROR(__xludf.DUMMYFUNCTION("""COMPUTED_VALUE"""),"")</f>
        <v/>
      </c>
      <c r="M571" s="189" t="str">
        <f ca="1">IFERROR(__xludf.DUMMYFUNCTION("""COMPUTED_VALUE"""),"")</f>
        <v/>
      </c>
      <c r="N571" s="189" t="str">
        <f ca="1">IFERROR(__xludf.DUMMYFUNCTION("""COMPUTED_VALUE"""),"")</f>
        <v/>
      </c>
      <c r="O571" s="189" t="str">
        <f ca="1">IFERROR(__xludf.DUMMYFUNCTION("""COMPUTED_VALUE"""),"")</f>
        <v/>
      </c>
      <c r="P571" s="189" t="str">
        <f ca="1">IFERROR(__xludf.DUMMYFUNCTION("""COMPUTED_VALUE"""),"")</f>
        <v/>
      </c>
      <c r="Q571" s="189" t="str">
        <f ca="1">IFERROR(__xludf.DUMMYFUNCTION("""COMPUTED_VALUE"""),"")</f>
        <v/>
      </c>
      <c r="R571" s="189" t="str">
        <f ca="1">IFERROR(__xludf.DUMMYFUNCTION("""COMPUTED_VALUE"""),"")</f>
        <v/>
      </c>
      <c r="S571" s="189" t="str">
        <f ca="1">IFERROR(__xludf.DUMMYFUNCTION("""COMPUTED_VALUE"""),"")</f>
        <v/>
      </c>
      <c r="T571" s="189" t="str">
        <f ca="1">IFERROR(__xludf.DUMMYFUNCTION("""COMPUTED_VALUE"""),"")</f>
        <v/>
      </c>
      <c r="U571" s="189" t="str">
        <f ca="1">IFERROR(__xludf.DUMMYFUNCTION("""COMPUTED_VALUE"""),"")</f>
        <v/>
      </c>
      <c r="V571" s="189" t="str">
        <f ca="1">IFERROR(__xludf.DUMMYFUNCTION("""COMPUTED_VALUE"""),"")</f>
        <v/>
      </c>
      <c r="W571" s="189" t="str">
        <f ca="1">IFERROR(__xludf.DUMMYFUNCTION("""COMPUTED_VALUE"""),"")</f>
        <v/>
      </c>
      <c r="X571" s="189" t="str">
        <f ca="1">IFERROR(__xludf.DUMMYFUNCTION("""COMPUTED_VALUE"""),"")</f>
        <v/>
      </c>
      <c r="Y571" s="189" t="str">
        <f ca="1">IFERROR(__xludf.DUMMYFUNCTION("""COMPUTED_VALUE"""),"")</f>
        <v/>
      </c>
      <c r="Z571" s="189"/>
    </row>
    <row r="572" spans="1:26" ht="12.75">
      <c r="A572" s="189" t="str">
        <f ca="1">IFERROR(__xludf.DUMMYFUNCTION("""COMPUTED_VALUE"""),"")</f>
        <v/>
      </c>
      <c r="B572" s="189" t="str">
        <f ca="1">IFERROR(__xludf.DUMMYFUNCTION("""COMPUTED_VALUE"""),"")</f>
        <v/>
      </c>
      <c r="C572" s="189" t="str">
        <f ca="1">IFERROR(__xludf.DUMMYFUNCTION("""COMPUTED_VALUE"""),"")</f>
        <v/>
      </c>
      <c r="D572" s="189" t="str">
        <f ca="1">IFERROR(__xludf.DUMMYFUNCTION("""COMPUTED_VALUE"""),"")</f>
        <v/>
      </c>
      <c r="E572" s="189" t="str">
        <f ca="1">IFERROR(__xludf.DUMMYFUNCTION("""COMPUTED_VALUE"""),"")</f>
        <v/>
      </c>
      <c r="F572" s="189" t="str">
        <f ca="1">IFERROR(__xludf.DUMMYFUNCTION("""COMPUTED_VALUE"""),"")</f>
        <v/>
      </c>
      <c r="G572" s="189" t="str">
        <f ca="1">IFERROR(__xludf.DUMMYFUNCTION("""COMPUTED_VALUE"""),"")</f>
        <v/>
      </c>
      <c r="H572" s="189" t="str">
        <f ca="1">IFERROR(__xludf.DUMMYFUNCTION("""COMPUTED_VALUE"""),"")</f>
        <v/>
      </c>
      <c r="I572" s="120" t="str">
        <f ca="1">IFERROR(__xludf.DUMMYFUNCTION("""COMPUTED_VALUE"""),"")</f>
        <v/>
      </c>
      <c r="J572" s="189" t="str">
        <f ca="1">IFERROR(__xludf.DUMMYFUNCTION("""COMPUTED_VALUE"""),"")</f>
        <v/>
      </c>
      <c r="K572" s="189" t="str">
        <f ca="1">IFERROR(__xludf.DUMMYFUNCTION("""COMPUTED_VALUE"""),"")</f>
        <v/>
      </c>
      <c r="L572" s="189" t="str">
        <f ca="1">IFERROR(__xludf.DUMMYFUNCTION("""COMPUTED_VALUE"""),"")</f>
        <v/>
      </c>
      <c r="M572" s="189" t="str">
        <f ca="1">IFERROR(__xludf.DUMMYFUNCTION("""COMPUTED_VALUE"""),"")</f>
        <v/>
      </c>
      <c r="N572" s="189" t="str">
        <f ca="1">IFERROR(__xludf.DUMMYFUNCTION("""COMPUTED_VALUE"""),"")</f>
        <v/>
      </c>
      <c r="O572" s="189" t="str">
        <f ca="1">IFERROR(__xludf.DUMMYFUNCTION("""COMPUTED_VALUE"""),"")</f>
        <v/>
      </c>
      <c r="P572" s="189" t="str">
        <f ca="1">IFERROR(__xludf.DUMMYFUNCTION("""COMPUTED_VALUE"""),"")</f>
        <v/>
      </c>
      <c r="Q572" s="189" t="str">
        <f ca="1">IFERROR(__xludf.DUMMYFUNCTION("""COMPUTED_VALUE"""),"")</f>
        <v/>
      </c>
      <c r="R572" s="189" t="str">
        <f ca="1">IFERROR(__xludf.DUMMYFUNCTION("""COMPUTED_VALUE"""),"")</f>
        <v/>
      </c>
      <c r="S572" s="189" t="str">
        <f ca="1">IFERROR(__xludf.DUMMYFUNCTION("""COMPUTED_VALUE"""),"")</f>
        <v/>
      </c>
      <c r="T572" s="189" t="str">
        <f ca="1">IFERROR(__xludf.DUMMYFUNCTION("""COMPUTED_VALUE"""),"")</f>
        <v/>
      </c>
      <c r="U572" s="189" t="str">
        <f ca="1">IFERROR(__xludf.DUMMYFUNCTION("""COMPUTED_VALUE"""),"")</f>
        <v/>
      </c>
      <c r="V572" s="189" t="str">
        <f ca="1">IFERROR(__xludf.DUMMYFUNCTION("""COMPUTED_VALUE"""),"")</f>
        <v/>
      </c>
      <c r="W572" s="189" t="str">
        <f ca="1">IFERROR(__xludf.DUMMYFUNCTION("""COMPUTED_VALUE"""),"")</f>
        <v/>
      </c>
      <c r="X572" s="189" t="str">
        <f ca="1">IFERROR(__xludf.DUMMYFUNCTION("""COMPUTED_VALUE"""),"")</f>
        <v/>
      </c>
      <c r="Y572" s="189" t="str">
        <f ca="1">IFERROR(__xludf.DUMMYFUNCTION("""COMPUTED_VALUE"""),"")</f>
        <v/>
      </c>
      <c r="Z572" s="189"/>
    </row>
    <row r="573" spans="1:26" ht="12.75">
      <c r="A573" s="189" t="str">
        <f ca="1">IFERROR(__xludf.DUMMYFUNCTION("""COMPUTED_VALUE"""),"")</f>
        <v/>
      </c>
      <c r="B573" s="189" t="str">
        <f ca="1">IFERROR(__xludf.DUMMYFUNCTION("""COMPUTED_VALUE"""),"")</f>
        <v/>
      </c>
      <c r="C573" s="189" t="str">
        <f ca="1">IFERROR(__xludf.DUMMYFUNCTION("""COMPUTED_VALUE"""),"")</f>
        <v/>
      </c>
      <c r="D573" s="189" t="str">
        <f ca="1">IFERROR(__xludf.DUMMYFUNCTION("""COMPUTED_VALUE"""),"")</f>
        <v/>
      </c>
      <c r="E573" s="189" t="str">
        <f ca="1">IFERROR(__xludf.DUMMYFUNCTION("""COMPUTED_VALUE"""),"")</f>
        <v/>
      </c>
      <c r="F573" s="189" t="str">
        <f ca="1">IFERROR(__xludf.DUMMYFUNCTION("""COMPUTED_VALUE"""),"")</f>
        <v/>
      </c>
      <c r="G573" s="189" t="str">
        <f ca="1">IFERROR(__xludf.DUMMYFUNCTION("""COMPUTED_VALUE"""),"")</f>
        <v/>
      </c>
      <c r="H573" s="189" t="str">
        <f ca="1">IFERROR(__xludf.DUMMYFUNCTION("""COMPUTED_VALUE"""),"")</f>
        <v/>
      </c>
      <c r="I573" s="120" t="str">
        <f ca="1">IFERROR(__xludf.DUMMYFUNCTION("""COMPUTED_VALUE"""),"")</f>
        <v/>
      </c>
      <c r="J573" s="189" t="str">
        <f ca="1">IFERROR(__xludf.DUMMYFUNCTION("""COMPUTED_VALUE"""),"")</f>
        <v/>
      </c>
      <c r="K573" s="189" t="str">
        <f ca="1">IFERROR(__xludf.DUMMYFUNCTION("""COMPUTED_VALUE"""),"")</f>
        <v/>
      </c>
      <c r="L573" s="189" t="str">
        <f ca="1">IFERROR(__xludf.DUMMYFUNCTION("""COMPUTED_VALUE"""),"")</f>
        <v/>
      </c>
      <c r="M573" s="189" t="str">
        <f ca="1">IFERROR(__xludf.DUMMYFUNCTION("""COMPUTED_VALUE"""),"")</f>
        <v/>
      </c>
      <c r="N573" s="189" t="str">
        <f ca="1">IFERROR(__xludf.DUMMYFUNCTION("""COMPUTED_VALUE"""),"")</f>
        <v/>
      </c>
      <c r="O573" s="189" t="str">
        <f ca="1">IFERROR(__xludf.DUMMYFUNCTION("""COMPUTED_VALUE"""),"")</f>
        <v/>
      </c>
      <c r="P573" s="189" t="str">
        <f ca="1">IFERROR(__xludf.DUMMYFUNCTION("""COMPUTED_VALUE"""),"")</f>
        <v/>
      </c>
      <c r="Q573" s="189" t="str">
        <f ca="1">IFERROR(__xludf.DUMMYFUNCTION("""COMPUTED_VALUE"""),"")</f>
        <v/>
      </c>
      <c r="R573" s="189" t="str">
        <f ca="1">IFERROR(__xludf.DUMMYFUNCTION("""COMPUTED_VALUE"""),"")</f>
        <v/>
      </c>
      <c r="S573" s="189" t="str">
        <f ca="1">IFERROR(__xludf.DUMMYFUNCTION("""COMPUTED_VALUE"""),"")</f>
        <v/>
      </c>
      <c r="T573" s="189" t="str">
        <f ca="1">IFERROR(__xludf.DUMMYFUNCTION("""COMPUTED_VALUE"""),"")</f>
        <v/>
      </c>
      <c r="U573" s="189" t="str">
        <f ca="1">IFERROR(__xludf.DUMMYFUNCTION("""COMPUTED_VALUE"""),"")</f>
        <v/>
      </c>
      <c r="V573" s="189" t="str">
        <f ca="1">IFERROR(__xludf.DUMMYFUNCTION("""COMPUTED_VALUE"""),"")</f>
        <v/>
      </c>
      <c r="W573" s="189" t="str">
        <f ca="1">IFERROR(__xludf.DUMMYFUNCTION("""COMPUTED_VALUE"""),"")</f>
        <v/>
      </c>
      <c r="X573" s="189" t="str">
        <f ca="1">IFERROR(__xludf.DUMMYFUNCTION("""COMPUTED_VALUE"""),"")</f>
        <v/>
      </c>
      <c r="Y573" s="189" t="str">
        <f ca="1">IFERROR(__xludf.DUMMYFUNCTION("""COMPUTED_VALUE"""),"")</f>
        <v/>
      </c>
      <c r="Z573" s="189"/>
    </row>
    <row r="574" spans="1:26" ht="12.75">
      <c r="A574" s="189" t="str">
        <f ca="1">IFERROR(__xludf.DUMMYFUNCTION("""COMPUTED_VALUE"""),"")</f>
        <v/>
      </c>
      <c r="B574" s="189" t="str">
        <f ca="1">IFERROR(__xludf.DUMMYFUNCTION("""COMPUTED_VALUE"""),"")</f>
        <v/>
      </c>
      <c r="C574" s="189" t="str">
        <f ca="1">IFERROR(__xludf.DUMMYFUNCTION("""COMPUTED_VALUE"""),"")</f>
        <v/>
      </c>
      <c r="D574" s="189" t="str">
        <f ca="1">IFERROR(__xludf.DUMMYFUNCTION("""COMPUTED_VALUE"""),"")</f>
        <v/>
      </c>
      <c r="E574" s="189" t="str">
        <f ca="1">IFERROR(__xludf.DUMMYFUNCTION("""COMPUTED_VALUE"""),"")</f>
        <v/>
      </c>
      <c r="F574" s="189" t="str">
        <f ca="1">IFERROR(__xludf.DUMMYFUNCTION("""COMPUTED_VALUE"""),"")</f>
        <v/>
      </c>
      <c r="G574" s="189" t="str">
        <f ca="1">IFERROR(__xludf.DUMMYFUNCTION("""COMPUTED_VALUE"""),"")</f>
        <v/>
      </c>
      <c r="H574" s="189" t="str">
        <f ca="1">IFERROR(__xludf.DUMMYFUNCTION("""COMPUTED_VALUE"""),"")</f>
        <v/>
      </c>
      <c r="I574" s="120" t="str">
        <f ca="1">IFERROR(__xludf.DUMMYFUNCTION("""COMPUTED_VALUE"""),"")</f>
        <v/>
      </c>
      <c r="J574" s="189" t="str">
        <f ca="1">IFERROR(__xludf.DUMMYFUNCTION("""COMPUTED_VALUE"""),"")</f>
        <v/>
      </c>
      <c r="K574" s="189" t="str">
        <f ca="1">IFERROR(__xludf.DUMMYFUNCTION("""COMPUTED_VALUE"""),"")</f>
        <v/>
      </c>
      <c r="L574" s="189" t="str">
        <f ca="1">IFERROR(__xludf.DUMMYFUNCTION("""COMPUTED_VALUE"""),"")</f>
        <v/>
      </c>
      <c r="M574" s="189" t="str">
        <f ca="1">IFERROR(__xludf.DUMMYFUNCTION("""COMPUTED_VALUE"""),"")</f>
        <v/>
      </c>
      <c r="N574" s="189" t="str">
        <f ca="1">IFERROR(__xludf.DUMMYFUNCTION("""COMPUTED_VALUE"""),"")</f>
        <v/>
      </c>
      <c r="O574" s="189" t="str">
        <f ca="1">IFERROR(__xludf.DUMMYFUNCTION("""COMPUTED_VALUE"""),"")</f>
        <v/>
      </c>
      <c r="P574" s="189" t="str">
        <f ca="1">IFERROR(__xludf.DUMMYFUNCTION("""COMPUTED_VALUE"""),"")</f>
        <v/>
      </c>
      <c r="Q574" s="189" t="str">
        <f ca="1">IFERROR(__xludf.DUMMYFUNCTION("""COMPUTED_VALUE"""),"")</f>
        <v/>
      </c>
      <c r="R574" s="189" t="str">
        <f ca="1">IFERROR(__xludf.DUMMYFUNCTION("""COMPUTED_VALUE"""),"")</f>
        <v/>
      </c>
      <c r="S574" s="189" t="str">
        <f ca="1">IFERROR(__xludf.DUMMYFUNCTION("""COMPUTED_VALUE"""),"")</f>
        <v/>
      </c>
      <c r="T574" s="189" t="str">
        <f ca="1">IFERROR(__xludf.DUMMYFUNCTION("""COMPUTED_VALUE"""),"")</f>
        <v/>
      </c>
      <c r="U574" s="189" t="str">
        <f ca="1">IFERROR(__xludf.DUMMYFUNCTION("""COMPUTED_VALUE"""),"")</f>
        <v/>
      </c>
      <c r="V574" s="189" t="str">
        <f ca="1">IFERROR(__xludf.DUMMYFUNCTION("""COMPUTED_VALUE"""),"")</f>
        <v/>
      </c>
      <c r="W574" s="189" t="str">
        <f ca="1">IFERROR(__xludf.DUMMYFUNCTION("""COMPUTED_VALUE"""),"")</f>
        <v/>
      </c>
      <c r="X574" s="189" t="str">
        <f ca="1">IFERROR(__xludf.DUMMYFUNCTION("""COMPUTED_VALUE"""),"")</f>
        <v/>
      </c>
      <c r="Y574" s="189" t="str">
        <f ca="1">IFERROR(__xludf.DUMMYFUNCTION("""COMPUTED_VALUE"""),"")</f>
        <v/>
      </c>
      <c r="Z574" s="189"/>
    </row>
    <row r="575" spans="1:26" ht="12.75">
      <c r="A575" s="189" t="str">
        <f ca="1">IFERROR(__xludf.DUMMYFUNCTION("""COMPUTED_VALUE"""),"")</f>
        <v/>
      </c>
      <c r="B575" s="189" t="str">
        <f ca="1">IFERROR(__xludf.DUMMYFUNCTION("""COMPUTED_VALUE"""),"")</f>
        <v/>
      </c>
      <c r="C575" s="189" t="str">
        <f ca="1">IFERROR(__xludf.DUMMYFUNCTION("""COMPUTED_VALUE"""),"")</f>
        <v/>
      </c>
      <c r="D575" s="189" t="str">
        <f ca="1">IFERROR(__xludf.DUMMYFUNCTION("""COMPUTED_VALUE"""),"")</f>
        <v/>
      </c>
      <c r="E575" s="189" t="str">
        <f ca="1">IFERROR(__xludf.DUMMYFUNCTION("""COMPUTED_VALUE"""),"")</f>
        <v/>
      </c>
      <c r="F575" s="189" t="str">
        <f ca="1">IFERROR(__xludf.DUMMYFUNCTION("""COMPUTED_VALUE"""),"")</f>
        <v/>
      </c>
      <c r="G575" s="189" t="str">
        <f ca="1">IFERROR(__xludf.DUMMYFUNCTION("""COMPUTED_VALUE"""),"")</f>
        <v/>
      </c>
      <c r="H575" s="189" t="str">
        <f ca="1">IFERROR(__xludf.DUMMYFUNCTION("""COMPUTED_VALUE"""),"")</f>
        <v/>
      </c>
      <c r="I575" s="120" t="str">
        <f ca="1">IFERROR(__xludf.DUMMYFUNCTION("""COMPUTED_VALUE"""),"")</f>
        <v/>
      </c>
      <c r="J575" s="189" t="str">
        <f ca="1">IFERROR(__xludf.DUMMYFUNCTION("""COMPUTED_VALUE"""),"")</f>
        <v/>
      </c>
      <c r="K575" s="189" t="str">
        <f ca="1">IFERROR(__xludf.DUMMYFUNCTION("""COMPUTED_VALUE"""),"")</f>
        <v/>
      </c>
      <c r="L575" s="189" t="str">
        <f ca="1">IFERROR(__xludf.DUMMYFUNCTION("""COMPUTED_VALUE"""),"")</f>
        <v/>
      </c>
      <c r="M575" s="189" t="str">
        <f ca="1">IFERROR(__xludf.DUMMYFUNCTION("""COMPUTED_VALUE"""),"")</f>
        <v/>
      </c>
      <c r="N575" s="189" t="str">
        <f ca="1">IFERROR(__xludf.DUMMYFUNCTION("""COMPUTED_VALUE"""),"")</f>
        <v/>
      </c>
      <c r="O575" s="189" t="str">
        <f ca="1">IFERROR(__xludf.DUMMYFUNCTION("""COMPUTED_VALUE"""),"")</f>
        <v/>
      </c>
      <c r="P575" s="189" t="str">
        <f ca="1">IFERROR(__xludf.DUMMYFUNCTION("""COMPUTED_VALUE"""),"")</f>
        <v/>
      </c>
      <c r="Q575" s="189" t="str">
        <f ca="1">IFERROR(__xludf.DUMMYFUNCTION("""COMPUTED_VALUE"""),"")</f>
        <v/>
      </c>
      <c r="R575" s="189" t="str">
        <f ca="1">IFERROR(__xludf.DUMMYFUNCTION("""COMPUTED_VALUE"""),"")</f>
        <v/>
      </c>
      <c r="S575" s="189" t="str">
        <f ca="1">IFERROR(__xludf.DUMMYFUNCTION("""COMPUTED_VALUE"""),"")</f>
        <v/>
      </c>
      <c r="T575" s="189" t="str">
        <f ca="1">IFERROR(__xludf.DUMMYFUNCTION("""COMPUTED_VALUE"""),"")</f>
        <v/>
      </c>
      <c r="U575" s="189" t="str">
        <f ca="1">IFERROR(__xludf.DUMMYFUNCTION("""COMPUTED_VALUE"""),"")</f>
        <v/>
      </c>
      <c r="V575" s="189" t="str">
        <f ca="1">IFERROR(__xludf.DUMMYFUNCTION("""COMPUTED_VALUE"""),"")</f>
        <v/>
      </c>
      <c r="W575" s="189" t="str">
        <f ca="1">IFERROR(__xludf.DUMMYFUNCTION("""COMPUTED_VALUE"""),"")</f>
        <v/>
      </c>
      <c r="X575" s="189" t="str">
        <f ca="1">IFERROR(__xludf.DUMMYFUNCTION("""COMPUTED_VALUE"""),"")</f>
        <v/>
      </c>
      <c r="Y575" s="189" t="str">
        <f ca="1">IFERROR(__xludf.DUMMYFUNCTION("""COMPUTED_VALUE"""),"")</f>
        <v/>
      </c>
      <c r="Z575" s="189"/>
    </row>
    <row r="576" spans="1:26" ht="12.75">
      <c r="A576" s="189" t="str">
        <f ca="1">IFERROR(__xludf.DUMMYFUNCTION("""COMPUTED_VALUE"""),"")</f>
        <v/>
      </c>
      <c r="B576" s="189" t="str">
        <f ca="1">IFERROR(__xludf.DUMMYFUNCTION("""COMPUTED_VALUE"""),"")</f>
        <v/>
      </c>
      <c r="C576" s="189" t="str">
        <f ca="1">IFERROR(__xludf.DUMMYFUNCTION("""COMPUTED_VALUE"""),"")</f>
        <v/>
      </c>
      <c r="D576" s="189" t="str">
        <f ca="1">IFERROR(__xludf.DUMMYFUNCTION("""COMPUTED_VALUE"""),"")</f>
        <v/>
      </c>
      <c r="E576" s="189" t="str">
        <f ca="1">IFERROR(__xludf.DUMMYFUNCTION("""COMPUTED_VALUE"""),"")</f>
        <v/>
      </c>
      <c r="F576" s="189" t="str">
        <f ca="1">IFERROR(__xludf.DUMMYFUNCTION("""COMPUTED_VALUE"""),"")</f>
        <v/>
      </c>
      <c r="G576" s="189" t="str">
        <f ca="1">IFERROR(__xludf.DUMMYFUNCTION("""COMPUTED_VALUE"""),"")</f>
        <v/>
      </c>
      <c r="H576" s="189" t="str">
        <f ca="1">IFERROR(__xludf.DUMMYFUNCTION("""COMPUTED_VALUE"""),"")</f>
        <v/>
      </c>
      <c r="I576" s="120" t="str">
        <f ca="1">IFERROR(__xludf.DUMMYFUNCTION("""COMPUTED_VALUE"""),"")</f>
        <v/>
      </c>
      <c r="J576" s="189" t="str">
        <f ca="1">IFERROR(__xludf.DUMMYFUNCTION("""COMPUTED_VALUE"""),"")</f>
        <v/>
      </c>
      <c r="K576" s="189" t="str">
        <f ca="1">IFERROR(__xludf.DUMMYFUNCTION("""COMPUTED_VALUE"""),"")</f>
        <v/>
      </c>
      <c r="L576" s="189" t="str">
        <f ca="1">IFERROR(__xludf.DUMMYFUNCTION("""COMPUTED_VALUE"""),"")</f>
        <v/>
      </c>
      <c r="M576" s="189" t="str">
        <f ca="1">IFERROR(__xludf.DUMMYFUNCTION("""COMPUTED_VALUE"""),"")</f>
        <v/>
      </c>
      <c r="N576" s="189" t="str">
        <f ca="1">IFERROR(__xludf.DUMMYFUNCTION("""COMPUTED_VALUE"""),"")</f>
        <v/>
      </c>
      <c r="O576" s="189" t="str">
        <f ca="1">IFERROR(__xludf.DUMMYFUNCTION("""COMPUTED_VALUE"""),"")</f>
        <v/>
      </c>
      <c r="P576" s="189" t="str">
        <f ca="1">IFERROR(__xludf.DUMMYFUNCTION("""COMPUTED_VALUE"""),"")</f>
        <v/>
      </c>
      <c r="Q576" s="189" t="str">
        <f ca="1">IFERROR(__xludf.DUMMYFUNCTION("""COMPUTED_VALUE"""),"")</f>
        <v/>
      </c>
      <c r="R576" s="189" t="str">
        <f ca="1">IFERROR(__xludf.DUMMYFUNCTION("""COMPUTED_VALUE"""),"")</f>
        <v/>
      </c>
      <c r="S576" s="189" t="str">
        <f ca="1">IFERROR(__xludf.DUMMYFUNCTION("""COMPUTED_VALUE"""),"")</f>
        <v/>
      </c>
      <c r="T576" s="189" t="str">
        <f ca="1">IFERROR(__xludf.DUMMYFUNCTION("""COMPUTED_VALUE"""),"")</f>
        <v/>
      </c>
      <c r="U576" s="189" t="str">
        <f ca="1">IFERROR(__xludf.DUMMYFUNCTION("""COMPUTED_VALUE"""),"")</f>
        <v/>
      </c>
      <c r="V576" s="189" t="str">
        <f ca="1">IFERROR(__xludf.DUMMYFUNCTION("""COMPUTED_VALUE"""),"")</f>
        <v/>
      </c>
      <c r="W576" s="189" t="str">
        <f ca="1">IFERROR(__xludf.DUMMYFUNCTION("""COMPUTED_VALUE"""),"")</f>
        <v/>
      </c>
      <c r="X576" s="189" t="str">
        <f ca="1">IFERROR(__xludf.DUMMYFUNCTION("""COMPUTED_VALUE"""),"")</f>
        <v/>
      </c>
      <c r="Y576" s="189" t="str">
        <f ca="1">IFERROR(__xludf.DUMMYFUNCTION("""COMPUTED_VALUE"""),"")</f>
        <v/>
      </c>
      <c r="Z576" s="189"/>
    </row>
    <row r="577" spans="1:26" ht="12.75">
      <c r="A577" s="189" t="str">
        <f ca="1">IFERROR(__xludf.DUMMYFUNCTION("""COMPUTED_VALUE"""),"")</f>
        <v/>
      </c>
      <c r="B577" s="189" t="str">
        <f ca="1">IFERROR(__xludf.DUMMYFUNCTION("""COMPUTED_VALUE"""),"")</f>
        <v/>
      </c>
      <c r="C577" s="189" t="str">
        <f ca="1">IFERROR(__xludf.DUMMYFUNCTION("""COMPUTED_VALUE"""),"")</f>
        <v/>
      </c>
      <c r="D577" s="189" t="str">
        <f ca="1">IFERROR(__xludf.DUMMYFUNCTION("""COMPUTED_VALUE"""),"")</f>
        <v/>
      </c>
      <c r="E577" s="189" t="str">
        <f ca="1">IFERROR(__xludf.DUMMYFUNCTION("""COMPUTED_VALUE"""),"")</f>
        <v/>
      </c>
      <c r="F577" s="189" t="str">
        <f ca="1">IFERROR(__xludf.DUMMYFUNCTION("""COMPUTED_VALUE"""),"")</f>
        <v/>
      </c>
      <c r="G577" s="189" t="str">
        <f ca="1">IFERROR(__xludf.DUMMYFUNCTION("""COMPUTED_VALUE"""),"")</f>
        <v/>
      </c>
      <c r="H577" s="189" t="str">
        <f ca="1">IFERROR(__xludf.DUMMYFUNCTION("""COMPUTED_VALUE"""),"")</f>
        <v/>
      </c>
      <c r="I577" s="120" t="str">
        <f ca="1">IFERROR(__xludf.DUMMYFUNCTION("""COMPUTED_VALUE"""),"")</f>
        <v/>
      </c>
      <c r="J577" s="189" t="str">
        <f ca="1">IFERROR(__xludf.DUMMYFUNCTION("""COMPUTED_VALUE"""),"")</f>
        <v/>
      </c>
      <c r="K577" s="189" t="str">
        <f ca="1">IFERROR(__xludf.DUMMYFUNCTION("""COMPUTED_VALUE"""),"")</f>
        <v/>
      </c>
      <c r="L577" s="189" t="str">
        <f ca="1">IFERROR(__xludf.DUMMYFUNCTION("""COMPUTED_VALUE"""),"")</f>
        <v/>
      </c>
      <c r="M577" s="189" t="str">
        <f ca="1">IFERROR(__xludf.DUMMYFUNCTION("""COMPUTED_VALUE"""),"")</f>
        <v/>
      </c>
      <c r="N577" s="189" t="str">
        <f ca="1">IFERROR(__xludf.DUMMYFUNCTION("""COMPUTED_VALUE"""),"")</f>
        <v/>
      </c>
      <c r="O577" s="189" t="str">
        <f ca="1">IFERROR(__xludf.DUMMYFUNCTION("""COMPUTED_VALUE"""),"")</f>
        <v/>
      </c>
      <c r="P577" s="189" t="str">
        <f ca="1">IFERROR(__xludf.DUMMYFUNCTION("""COMPUTED_VALUE"""),"")</f>
        <v/>
      </c>
      <c r="Q577" s="189" t="str">
        <f ca="1">IFERROR(__xludf.DUMMYFUNCTION("""COMPUTED_VALUE"""),"")</f>
        <v/>
      </c>
      <c r="R577" s="189" t="str">
        <f ca="1">IFERROR(__xludf.DUMMYFUNCTION("""COMPUTED_VALUE"""),"")</f>
        <v/>
      </c>
      <c r="S577" s="189" t="str">
        <f ca="1">IFERROR(__xludf.DUMMYFUNCTION("""COMPUTED_VALUE"""),"")</f>
        <v/>
      </c>
      <c r="T577" s="189" t="str">
        <f ca="1">IFERROR(__xludf.DUMMYFUNCTION("""COMPUTED_VALUE"""),"")</f>
        <v/>
      </c>
      <c r="U577" s="189" t="str">
        <f ca="1">IFERROR(__xludf.DUMMYFUNCTION("""COMPUTED_VALUE"""),"")</f>
        <v/>
      </c>
      <c r="V577" s="189" t="str">
        <f ca="1">IFERROR(__xludf.DUMMYFUNCTION("""COMPUTED_VALUE"""),"")</f>
        <v/>
      </c>
      <c r="W577" s="189" t="str">
        <f ca="1">IFERROR(__xludf.DUMMYFUNCTION("""COMPUTED_VALUE"""),"")</f>
        <v/>
      </c>
      <c r="X577" s="189" t="str">
        <f ca="1">IFERROR(__xludf.DUMMYFUNCTION("""COMPUTED_VALUE"""),"")</f>
        <v/>
      </c>
      <c r="Y577" s="189" t="str">
        <f ca="1">IFERROR(__xludf.DUMMYFUNCTION("""COMPUTED_VALUE"""),"")</f>
        <v/>
      </c>
      <c r="Z577" s="189"/>
    </row>
    <row r="578" spans="1:26" ht="12.75">
      <c r="A578" s="189" t="str">
        <f ca="1">IFERROR(__xludf.DUMMYFUNCTION("""COMPUTED_VALUE"""),"")</f>
        <v/>
      </c>
      <c r="B578" s="189" t="str">
        <f ca="1">IFERROR(__xludf.DUMMYFUNCTION("""COMPUTED_VALUE"""),"")</f>
        <v/>
      </c>
      <c r="C578" s="189" t="str">
        <f ca="1">IFERROR(__xludf.DUMMYFUNCTION("""COMPUTED_VALUE"""),"")</f>
        <v/>
      </c>
      <c r="D578" s="189" t="str">
        <f ca="1">IFERROR(__xludf.DUMMYFUNCTION("""COMPUTED_VALUE"""),"")</f>
        <v/>
      </c>
      <c r="E578" s="189" t="str">
        <f ca="1">IFERROR(__xludf.DUMMYFUNCTION("""COMPUTED_VALUE"""),"")</f>
        <v/>
      </c>
      <c r="F578" s="189" t="str">
        <f ca="1">IFERROR(__xludf.DUMMYFUNCTION("""COMPUTED_VALUE"""),"")</f>
        <v/>
      </c>
      <c r="G578" s="189" t="str">
        <f ca="1">IFERROR(__xludf.DUMMYFUNCTION("""COMPUTED_VALUE"""),"")</f>
        <v/>
      </c>
      <c r="H578" s="189" t="str">
        <f ca="1">IFERROR(__xludf.DUMMYFUNCTION("""COMPUTED_VALUE"""),"")</f>
        <v/>
      </c>
      <c r="I578" s="120" t="str">
        <f ca="1">IFERROR(__xludf.DUMMYFUNCTION("""COMPUTED_VALUE"""),"")</f>
        <v/>
      </c>
      <c r="J578" s="189" t="str">
        <f ca="1">IFERROR(__xludf.DUMMYFUNCTION("""COMPUTED_VALUE"""),"")</f>
        <v/>
      </c>
      <c r="K578" s="189" t="str">
        <f ca="1">IFERROR(__xludf.DUMMYFUNCTION("""COMPUTED_VALUE"""),"")</f>
        <v/>
      </c>
      <c r="L578" s="189" t="str">
        <f ca="1">IFERROR(__xludf.DUMMYFUNCTION("""COMPUTED_VALUE"""),"")</f>
        <v/>
      </c>
      <c r="M578" s="189" t="str">
        <f ca="1">IFERROR(__xludf.DUMMYFUNCTION("""COMPUTED_VALUE"""),"")</f>
        <v/>
      </c>
      <c r="N578" s="189" t="str">
        <f ca="1">IFERROR(__xludf.DUMMYFUNCTION("""COMPUTED_VALUE"""),"")</f>
        <v/>
      </c>
      <c r="O578" s="189" t="str">
        <f ca="1">IFERROR(__xludf.DUMMYFUNCTION("""COMPUTED_VALUE"""),"")</f>
        <v/>
      </c>
      <c r="P578" s="189" t="str">
        <f ca="1">IFERROR(__xludf.DUMMYFUNCTION("""COMPUTED_VALUE"""),"")</f>
        <v/>
      </c>
      <c r="Q578" s="189" t="str">
        <f ca="1">IFERROR(__xludf.DUMMYFUNCTION("""COMPUTED_VALUE"""),"")</f>
        <v/>
      </c>
      <c r="R578" s="189" t="str">
        <f ca="1">IFERROR(__xludf.DUMMYFUNCTION("""COMPUTED_VALUE"""),"")</f>
        <v/>
      </c>
      <c r="S578" s="189" t="str">
        <f ca="1">IFERROR(__xludf.DUMMYFUNCTION("""COMPUTED_VALUE"""),"")</f>
        <v/>
      </c>
      <c r="T578" s="189" t="str">
        <f ca="1">IFERROR(__xludf.DUMMYFUNCTION("""COMPUTED_VALUE"""),"")</f>
        <v/>
      </c>
      <c r="U578" s="189" t="str">
        <f ca="1">IFERROR(__xludf.DUMMYFUNCTION("""COMPUTED_VALUE"""),"")</f>
        <v/>
      </c>
      <c r="V578" s="189" t="str">
        <f ca="1">IFERROR(__xludf.DUMMYFUNCTION("""COMPUTED_VALUE"""),"")</f>
        <v/>
      </c>
      <c r="W578" s="189" t="str">
        <f ca="1">IFERROR(__xludf.DUMMYFUNCTION("""COMPUTED_VALUE"""),"")</f>
        <v/>
      </c>
      <c r="X578" s="189" t="str">
        <f ca="1">IFERROR(__xludf.DUMMYFUNCTION("""COMPUTED_VALUE"""),"")</f>
        <v/>
      </c>
      <c r="Y578" s="189" t="str">
        <f ca="1">IFERROR(__xludf.DUMMYFUNCTION("""COMPUTED_VALUE"""),"")</f>
        <v/>
      </c>
      <c r="Z578" s="189"/>
    </row>
    <row r="579" spans="1:26" ht="12.75">
      <c r="A579" s="189" t="str">
        <f ca="1">IFERROR(__xludf.DUMMYFUNCTION("""COMPUTED_VALUE"""),"")</f>
        <v/>
      </c>
      <c r="B579" s="189" t="str">
        <f ca="1">IFERROR(__xludf.DUMMYFUNCTION("""COMPUTED_VALUE"""),"")</f>
        <v/>
      </c>
      <c r="C579" s="189" t="str">
        <f ca="1">IFERROR(__xludf.DUMMYFUNCTION("""COMPUTED_VALUE"""),"")</f>
        <v/>
      </c>
      <c r="D579" s="189" t="str">
        <f ca="1">IFERROR(__xludf.DUMMYFUNCTION("""COMPUTED_VALUE"""),"")</f>
        <v/>
      </c>
      <c r="E579" s="189" t="str">
        <f ca="1">IFERROR(__xludf.DUMMYFUNCTION("""COMPUTED_VALUE"""),"")</f>
        <v/>
      </c>
      <c r="F579" s="189" t="str">
        <f ca="1">IFERROR(__xludf.DUMMYFUNCTION("""COMPUTED_VALUE"""),"")</f>
        <v/>
      </c>
      <c r="G579" s="189" t="str">
        <f ca="1">IFERROR(__xludf.DUMMYFUNCTION("""COMPUTED_VALUE"""),"")</f>
        <v/>
      </c>
      <c r="H579" s="189" t="str">
        <f ca="1">IFERROR(__xludf.DUMMYFUNCTION("""COMPUTED_VALUE"""),"")</f>
        <v/>
      </c>
      <c r="I579" s="120" t="str">
        <f ca="1">IFERROR(__xludf.DUMMYFUNCTION("""COMPUTED_VALUE"""),"")</f>
        <v/>
      </c>
      <c r="J579" s="189" t="str">
        <f ca="1">IFERROR(__xludf.DUMMYFUNCTION("""COMPUTED_VALUE"""),"")</f>
        <v/>
      </c>
      <c r="K579" s="189" t="str">
        <f ca="1">IFERROR(__xludf.DUMMYFUNCTION("""COMPUTED_VALUE"""),"")</f>
        <v/>
      </c>
      <c r="L579" s="189" t="str">
        <f ca="1">IFERROR(__xludf.DUMMYFUNCTION("""COMPUTED_VALUE"""),"")</f>
        <v/>
      </c>
      <c r="M579" s="189" t="str">
        <f ca="1">IFERROR(__xludf.DUMMYFUNCTION("""COMPUTED_VALUE"""),"")</f>
        <v/>
      </c>
      <c r="N579" s="189" t="str">
        <f ca="1">IFERROR(__xludf.DUMMYFUNCTION("""COMPUTED_VALUE"""),"")</f>
        <v/>
      </c>
      <c r="O579" s="189" t="str">
        <f ca="1">IFERROR(__xludf.DUMMYFUNCTION("""COMPUTED_VALUE"""),"")</f>
        <v/>
      </c>
      <c r="P579" s="189" t="str">
        <f ca="1">IFERROR(__xludf.DUMMYFUNCTION("""COMPUTED_VALUE"""),"")</f>
        <v/>
      </c>
      <c r="Q579" s="189" t="str">
        <f ca="1">IFERROR(__xludf.DUMMYFUNCTION("""COMPUTED_VALUE"""),"")</f>
        <v/>
      </c>
      <c r="R579" s="189" t="str">
        <f ca="1">IFERROR(__xludf.DUMMYFUNCTION("""COMPUTED_VALUE"""),"")</f>
        <v/>
      </c>
      <c r="S579" s="189" t="str">
        <f ca="1">IFERROR(__xludf.DUMMYFUNCTION("""COMPUTED_VALUE"""),"")</f>
        <v/>
      </c>
      <c r="T579" s="189" t="str">
        <f ca="1">IFERROR(__xludf.DUMMYFUNCTION("""COMPUTED_VALUE"""),"")</f>
        <v/>
      </c>
      <c r="U579" s="189" t="str">
        <f ca="1">IFERROR(__xludf.DUMMYFUNCTION("""COMPUTED_VALUE"""),"")</f>
        <v/>
      </c>
      <c r="V579" s="189" t="str">
        <f ca="1">IFERROR(__xludf.DUMMYFUNCTION("""COMPUTED_VALUE"""),"")</f>
        <v/>
      </c>
      <c r="W579" s="189" t="str">
        <f ca="1">IFERROR(__xludf.DUMMYFUNCTION("""COMPUTED_VALUE"""),"")</f>
        <v/>
      </c>
      <c r="X579" s="189" t="str">
        <f ca="1">IFERROR(__xludf.DUMMYFUNCTION("""COMPUTED_VALUE"""),"")</f>
        <v/>
      </c>
      <c r="Y579" s="189" t="str">
        <f ca="1">IFERROR(__xludf.DUMMYFUNCTION("""COMPUTED_VALUE"""),"")</f>
        <v/>
      </c>
      <c r="Z579" s="189"/>
    </row>
    <row r="580" spans="1:26" ht="12.75">
      <c r="A580" s="189" t="str">
        <f ca="1">IFERROR(__xludf.DUMMYFUNCTION("""COMPUTED_VALUE"""),"")</f>
        <v/>
      </c>
      <c r="B580" s="189" t="str">
        <f ca="1">IFERROR(__xludf.DUMMYFUNCTION("""COMPUTED_VALUE"""),"")</f>
        <v/>
      </c>
      <c r="C580" s="189" t="str">
        <f ca="1">IFERROR(__xludf.DUMMYFUNCTION("""COMPUTED_VALUE"""),"")</f>
        <v/>
      </c>
      <c r="D580" s="189" t="str">
        <f ca="1">IFERROR(__xludf.DUMMYFUNCTION("""COMPUTED_VALUE"""),"")</f>
        <v/>
      </c>
      <c r="E580" s="189" t="str">
        <f ca="1">IFERROR(__xludf.DUMMYFUNCTION("""COMPUTED_VALUE"""),"")</f>
        <v/>
      </c>
      <c r="F580" s="189" t="str">
        <f ca="1">IFERROR(__xludf.DUMMYFUNCTION("""COMPUTED_VALUE"""),"")</f>
        <v/>
      </c>
      <c r="G580" s="189" t="str">
        <f ca="1">IFERROR(__xludf.DUMMYFUNCTION("""COMPUTED_VALUE"""),"")</f>
        <v/>
      </c>
      <c r="H580" s="189" t="str">
        <f ca="1">IFERROR(__xludf.DUMMYFUNCTION("""COMPUTED_VALUE"""),"")</f>
        <v/>
      </c>
      <c r="I580" s="120" t="str">
        <f ca="1">IFERROR(__xludf.DUMMYFUNCTION("""COMPUTED_VALUE"""),"")</f>
        <v/>
      </c>
      <c r="J580" s="189" t="str">
        <f ca="1">IFERROR(__xludf.DUMMYFUNCTION("""COMPUTED_VALUE"""),"")</f>
        <v/>
      </c>
      <c r="K580" s="189" t="str">
        <f ca="1">IFERROR(__xludf.DUMMYFUNCTION("""COMPUTED_VALUE"""),"")</f>
        <v/>
      </c>
      <c r="L580" s="189" t="str">
        <f ca="1">IFERROR(__xludf.DUMMYFUNCTION("""COMPUTED_VALUE"""),"")</f>
        <v/>
      </c>
      <c r="M580" s="189" t="str">
        <f ca="1">IFERROR(__xludf.DUMMYFUNCTION("""COMPUTED_VALUE"""),"")</f>
        <v/>
      </c>
      <c r="N580" s="189" t="str">
        <f ca="1">IFERROR(__xludf.DUMMYFUNCTION("""COMPUTED_VALUE"""),"")</f>
        <v/>
      </c>
      <c r="O580" s="189" t="str">
        <f ca="1">IFERROR(__xludf.DUMMYFUNCTION("""COMPUTED_VALUE"""),"")</f>
        <v/>
      </c>
      <c r="P580" s="189" t="str">
        <f ca="1">IFERROR(__xludf.DUMMYFUNCTION("""COMPUTED_VALUE"""),"")</f>
        <v/>
      </c>
      <c r="Q580" s="189" t="str">
        <f ca="1">IFERROR(__xludf.DUMMYFUNCTION("""COMPUTED_VALUE"""),"")</f>
        <v/>
      </c>
      <c r="R580" s="189" t="str">
        <f ca="1">IFERROR(__xludf.DUMMYFUNCTION("""COMPUTED_VALUE"""),"")</f>
        <v/>
      </c>
      <c r="S580" s="189" t="str">
        <f ca="1">IFERROR(__xludf.DUMMYFUNCTION("""COMPUTED_VALUE"""),"")</f>
        <v/>
      </c>
      <c r="T580" s="189" t="str">
        <f ca="1">IFERROR(__xludf.DUMMYFUNCTION("""COMPUTED_VALUE"""),"")</f>
        <v/>
      </c>
      <c r="U580" s="189" t="str">
        <f ca="1">IFERROR(__xludf.DUMMYFUNCTION("""COMPUTED_VALUE"""),"")</f>
        <v/>
      </c>
      <c r="V580" s="189" t="str">
        <f ca="1">IFERROR(__xludf.DUMMYFUNCTION("""COMPUTED_VALUE"""),"")</f>
        <v/>
      </c>
      <c r="W580" s="189" t="str">
        <f ca="1">IFERROR(__xludf.DUMMYFUNCTION("""COMPUTED_VALUE"""),"")</f>
        <v/>
      </c>
      <c r="X580" s="189" t="str">
        <f ca="1">IFERROR(__xludf.DUMMYFUNCTION("""COMPUTED_VALUE"""),"")</f>
        <v/>
      </c>
      <c r="Y580" s="189" t="str">
        <f ca="1">IFERROR(__xludf.DUMMYFUNCTION("""COMPUTED_VALUE"""),"")</f>
        <v/>
      </c>
      <c r="Z580" s="189"/>
    </row>
    <row r="581" spans="1:26" ht="12.75">
      <c r="A581" s="189" t="str">
        <f ca="1">IFERROR(__xludf.DUMMYFUNCTION("""COMPUTED_VALUE"""),"")</f>
        <v/>
      </c>
      <c r="B581" s="189" t="str">
        <f ca="1">IFERROR(__xludf.DUMMYFUNCTION("""COMPUTED_VALUE"""),"")</f>
        <v/>
      </c>
      <c r="C581" s="189" t="str">
        <f ca="1">IFERROR(__xludf.DUMMYFUNCTION("""COMPUTED_VALUE"""),"")</f>
        <v/>
      </c>
      <c r="D581" s="189" t="str">
        <f ca="1">IFERROR(__xludf.DUMMYFUNCTION("""COMPUTED_VALUE"""),"")</f>
        <v/>
      </c>
      <c r="E581" s="189" t="str">
        <f ca="1">IFERROR(__xludf.DUMMYFUNCTION("""COMPUTED_VALUE"""),"")</f>
        <v/>
      </c>
      <c r="F581" s="189" t="str">
        <f ca="1">IFERROR(__xludf.DUMMYFUNCTION("""COMPUTED_VALUE"""),"")</f>
        <v/>
      </c>
      <c r="G581" s="189" t="str">
        <f ca="1">IFERROR(__xludf.DUMMYFUNCTION("""COMPUTED_VALUE"""),"")</f>
        <v/>
      </c>
      <c r="H581" s="189" t="str">
        <f ca="1">IFERROR(__xludf.DUMMYFUNCTION("""COMPUTED_VALUE"""),"")</f>
        <v/>
      </c>
      <c r="I581" s="120" t="str">
        <f ca="1">IFERROR(__xludf.DUMMYFUNCTION("""COMPUTED_VALUE"""),"")</f>
        <v/>
      </c>
      <c r="J581" s="189" t="str">
        <f ca="1">IFERROR(__xludf.DUMMYFUNCTION("""COMPUTED_VALUE"""),"")</f>
        <v/>
      </c>
      <c r="K581" s="189" t="str">
        <f ca="1">IFERROR(__xludf.DUMMYFUNCTION("""COMPUTED_VALUE"""),"")</f>
        <v/>
      </c>
      <c r="L581" s="189" t="str">
        <f ca="1">IFERROR(__xludf.DUMMYFUNCTION("""COMPUTED_VALUE"""),"")</f>
        <v/>
      </c>
      <c r="M581" s="189" t="str">
        <f ca="1">IFERROR(__xludf.DUMMYFUNCTION("""COMPUTED_VALUE"""),"")</f>
        <v/>
      </c>
      <c r="N581" s="189" t="str">
        <f ca="1">IFERROR(__xludf.DUMMYFUNCTION("""COMPUTED_VALUE"""),"")</f>
        <v/>
      </c>
      <c r="O581" s="189" t="str">
        <f ca="1">IFERROR(__xludf.DUMMYFUNCTION("""COMPUTED_VALUE"""),"")</f>
        <v/>
      </c>
      <c r="P581" s="189" t="str">
        <f ca="1">IFERROR(__xludf.DUMMYFUNCTION("""COMPUTED_VALUE"""),"")</f>
        <v/>
      </c>
      <c r="Q581" s="189" t="str">
        <f ca="1">IFERROR(__xludf.DUMMYFUNCTION("""COMPUTED_VALUE"""),"")</f>
        <v/>
      </c>
      <c r="R581" s="189" t="str">
        <f ca="1">IFERROR(__xludf.DUMMYFUNCTION("""COMPUTED_VALUE"""),"")</f>
        <v/>
      </c>
      <c r="S581" s="189" t="str">
        <f ca="1">IFERROR(__xludf.DUMMYFUNCTION("""COMPUTED_VALUE"""),"")</f>
        <v/>
      </c>
      <c r="T581" s="189" t="str">
        <f ca="1">IFERROR(__xludf.DUMMYFUNCTION("""COMPUTED_VALUE"""),"")</f>
        <v/>
      </c>
      <c r="U581" s="189" t="str">
        <f ca="1">IFERROR(__xludf.DUMMYFUNCTION("""COMPUTED_VALUE"""),"")</f>
        <v/>
      </c>
      <c r="V581" s="189" t="str">
        <f ca="1">IFERROR(__xludf.DUMMYFUNCTION("""COMPUTED_VALUE"""),"")</f>
        <v/>
      </c>
      <c r="W581" s="189" t="str">
        <f ca="1">IFERROR(__xludf.DUMMYFUNCTION("""COMPUTED_VALUE"""),"")</f>
        <v/>
      </c>
      <c r="X581" s="189" t="str">
        <f ca="1">IFERROR(__xludf.DUMMYFUNCTION("""COMPUTED_VALUE"""),"")</f>
        <v/>
      </c>
      <c r="Y581" s="189" t="str">
        <f ca="1">IFERROR(__xludf.DUMMYFUNCTION("""COMPUTED_VALUE"""),"")</f>
        <v/>
      </c>
      <c r="Z581" s="189"/>
    </row>
    <row r="582" spans="1:26" ht="12.75">
      <c r="A582" s="189" t="str">
        <f ca="1">IFERROR(__xludf.DUMMYFUNCTION("""COMPUTED_VALUE"""),"")</f>
        <v/>
      </c>
      <c r="B582" s="189" t="str">
        <f ca="1">IFERROR(__xludf.DUMMYFUNCTION("""COMPUTED_VALUE"""),"")</f>
        <v/>
      </c>
      <c r="C582" s="189" t="str">
        <f ca="1">IFERROR(__xludf.DUMMYFUNCTION("""COMPUTED_VALUE"""),"")</f>
        <v/>
      </c>
      <c r="D582" s="189" t="str">
        <f ca="1">IFERROR(__xludf.DUMMYFUNCTION("""COMPUTED_VALUE"""),"")</f>
        <v/>
      </c>
      <c r="E582" s="189" t="str">
        <f ca="1">IFERROR(__xludf.DUMMYFUNCTION("""COMPUTED_VALUE"""),"")</f>
        <v/>
      </c>
      <c r="F582" s="189" t="str">
        <f ca="1">IFERROR(__xludf.DUMMYFUNCTION("""COMPUTED_VALUE"""),"")</f>
        <v/>
      </c>
      <c r="G582" s="189" t="str">
        <f ca="1">IFERROR(__xludf.DUMMYFUNCTION("""COMPUTED_VALUE"""),"")</f>
        <v/>
      </c>
      <c r="H582" s="189" t="str">
        <f ca="1">IFERROR(__xludf.DUMMYFUNCTION("""COMPUTED_VALUE"""),"")</f>
        <v/>
      </c>
      <c r="I582" s="120" t="str">
        <f ca="1">IFERROR(__xludf.DUMMYFUNCTION("""COMPUTED_VALUE"""),"")</f>
        <v/>
      </c>
      <c r="J582" s="189" t="str">
        <f ca="1">IFERROR(__xludf.DUMMYFUNCTION("""COMPUTED_VALUE"""),"")</f>
        <v/>
      </c>
      <c r="K582" s="189" t="str">
        <f ca="1">IFERROR(__xludf.DUMMYFUNCTION("""COMPUTED_VALUE"""),"")</f>
        <v/>
      </c>
      <c r="L582" s="189" t="str">
        <f ca="1">IFERROR(__xludf.DUMMYFUNCTION("""COMPUTED_VALUE"""),"")</f>
        <v/>
      </c>
      <c r="M582" s="189" t="str">
        <f ca="1">IFERROR(__xludf.DUMMYFUNCTION("""COMPUTED_VALUE"""),"")</f>
        <v/>
      </c>
      <c r="N582" s="189" t="str">
        <f ca="1">IFERROR(__xludf.DUMMYFUNCTION("""COMPUTED_VALUE"""),"")</f>
        <v/>
      </c>
      <c r="O582" s="189" t="str">
        <f ca="1">IFERROR(__xludf.DUMMYFUNCTION("""COMPUTED_VALUE"""),"")</f>
        <v/>
      </c>
      <c r="P582" s="189" t="str">
        <f ca="1">IFERROR(__xludf.DUMMYFUNCTION("""COMPUTED_VALUE"""),"")</f>
        <v/>
      </c>
      <c r="Q582" s="189" t="str">
        <f ca="1">IFERROR(__xludf.DUMMYFUNCTION("""COMPUTED_VALUE"""),"")</f>
        <v/>
      </c>
      <c r="R582" s="189" t="str">
        <f ca="1">IFERROR(__xludf.DUMMYFUNCTION("""COMPUTED_VALUE"""),"")</f>
        <v/>
      </c>
      <c r="S582" s="189" t="str">
        <f ca="1">IFERROR(__xludf.DUMMYFUNCTION("""COMPUTED_VALUE"""),"")</f>
        <v/>
      </c>
      <c r="T582" s="189" t="str">
        <f ca="1">IFERROR(__xludf.DUMMYFUNCTION("""COMPUTED_VALUE"""),"")</f>
        <v/>
      </c>
      <c r="U582" s="189" t="str">
        <f ca="1">IFERROR(__xludf.DUMMYFUNCTION("""COMPUTED_VALUE"""),"")</f>
        <v/>
      </c>
      <c r="V582" s="189" t="str">
        <f ca="1">IFERROR(__xludf.DUMMYFUNCTION("""COMPUTED_VALUE"""),"")</f>
        <v/>
      </c>
      <c r="W582" s="189" t="str">
        <f ca="1">IFERROR(__xludf.DUMMYFUNCTION("""COMPUTED_VALUE"""),"")</f>
        <v/>
      </c>
      <c r="X582" s="189" t="str">
        <f ca="1">IFERROR(__xludf.DUMMYFUNCTION("""COMPUTED_VALUE"""),"")</f>
        <v/>
      </c>
      <c r="Y582" s="189" t="str">
        <f ca="1">IFERROR(__xludf.DUMMYFUNCTION("""COMPUTED_VALUE"""),"")</f>
        <v/>
      </c>
      <c r="Z582" s="189"/>
    </row>
    <row r="583" spans="1:26" ht="12.75">
      <c r="A583" s="189" t="str">
        <f ca="1">IFERROR(__xludf.DUMMYFUNCTION("""COMPUTED_VALUE"""),"")</f>
        <v/>
      </c>
      <c r="B583" s="189" t="str">
        <f ca="1">IFERROR(__xludf.DUMMYFUNCTION("""COMPUTED_VALUE"""),"")</f>
        <v/>
      </c>
      <c r="C583" s="189" t="str">
        <f ca="1">IFERROR(__xludf.DUMMYFUNCTION("""COMPUTED_VALUE"""),"")</f>
        <v/>
      </c>
      <c r="D583" s="189" t="str">
        <f ca="1">IFERROR(__xludf.DUMMYFUNCTION("""COMPUTED_VALUE"""),"")</f>
        <v/>
      </c>
      <c r="E583" s="189" t="str">
        <f ca="1">IFERROR(__xludf.DUMMYFUNCTION("""COMPUTED_VALUE"""),"")</f>
        <v/>
      </c>
      <c r="F583" s="189" t="str">
        <f ca="1">IFERROR(__xludf.DUMMYFUNCTION("""COMPUTED_VALUE"""),"")</f>
        <v/>
      </c>
      <c r="G583" s="189" t="str">
        <f ca="1">IFERROR(__xludf.DUMMYFUNCTION("""COMPUTED_VALUE"""),"")</f>
        <v/>
      </c>
      <c r="H583" s="189" t="str">
        <f ca="1">IFERROR(__xludf.DUMMYFUNCTION("""COMPUTED_VALUE"""),"")</f>
        <v/>
      </c>
      <c r="I583" s="120" t="str">
        <f ca="1">IFERROR(__xludf.DUMMYFUNCTION("""COMPUTED_VALUE"""),"")</f>
        <v/>
      </c>
      <c r="J583" s="189" t="str">
        <f ca="1">IFERROR(__xludf.DUMMYFUNCTION("""COMPUTED_VALUE"""),"")</f>
        <v/>
      </c>
      <c r="K583" s="189" t="str">
        <f ca="1">IFERROR(__xludf.DUMMYFUNCTION("""COMPUTED_VALUE"""),"")</f>
        <v/>
      </c>
      <c r="L583" s="189" t="str">
        <f ca="1">IFERROR(__xludf.DUMMYFUNCTION("""COMPUTED_VALUE"""),"")</f>
        <v/>
      </c>
      <c r="M583" s="189" t="str">
        <f ca="1">IFERROR(__xludf.DUMMYFUNCTION("""COMPUTED_VALUE"""),"")</f>
        <v/>
      </c>
      <c r="N583" s="189" t="str">
        <f ca="1">IFERROR(__xludf.DUMMYFUNCTION("""COMPUTED_VALUE"""),"")</f>
        <v/>
      </c>
      <c r="O583" s="189" t="str">
        <f ca="1">IFERROR(__xludf.DUMMYFUNCTION("""COMPUTED_VALUE"""),"")</f>
        <v/>
      </c>
      <c r="P583" s="189" t="str">
        <f ca="1">IFERROR(__xludf.DUMMYFUNCTION("""COMPUTED_VALUE"""),"")</f>
        <v/>
      </c>
      <c r="Q583" s="189" t="str">
        <f ca="1">IFERROR(__xludf.DUMMYFUNCTION("""COMPUTED_VALUE"""),"")</f>
        <v/>
      </c>
      <c r="R583" s="189" t="str">
        <f ca="1">IFERROR(__xludf.DUMMYFUNCTION("""COMPUTED_VALUE"""),"")</f>
        <v/>
      </c>
      <c r="S583" s="189" t="str">
        <f ca="1">IFERROR(__xludf.DUMMYFUNCTION("""COMPUTED_VALUE"""),"")</f>
        <v/>
      </c>
      <c r="T583" s="189" t="str">
        <f ca="1">IFERROR(__xludf.DUMMYFUNCTION("""COMPUTED_VALUE"""),"")</f>
        <v/>
      </c>
      <c r="U583" s="189" t="str">
        <f ca="1">IFERROR(__xludf.DUMMYFUNCTION("""COMPUTED_VALUE"""),"")</f>
        <v/>
      </c>
      <c r="V583" s="189" t="str">
        <f ca="1">IFERROR(__xludf.DUMMYFUNCTION("""COMPUTED_VALUE"""),"")</f>
        <v/>
      </c>
      <c r="W583" s="189" t="str">
        <f ca="1">IFERROR(__xludf.DUMMYFUNCTION("""COMPUTED_VALUE"""),"")</f>
        <v/>
      </c>
      <c r="X583" s="189" t="str">
        <f ca="1">IFERROR(__xludf.DUMMYFUNCTION("""COMPUTED_VALUE"""),"")</f>
        <v/>
      </c>
      <c r="Y583" s="189" t="str">
        <f ca="1">IFERROR(__xludf.DUMMYFUNCTION("""COMPUTED_VALUE"""),"")</f>
        <v/>
      </c>
      <c r="Z583" s="189"/>
    </row>
    <row r="584" spans="1:26" ht="12.75">
      <c r="A584" s="189" t="str">
        <f ca="1">IFERROR(__xludf.DUMMYFUNCTION("""COMPUTED_VALUE"""),"")</f>
        <v/>
      </c>
      <c r="B584" s="189" t="str">
        <f ca="1">IFERROR(__xludf.DUMMYFUNCTION("""COMPUTED_VALUE"""),"")</f>
        <v/>
      </c>
      <c r="C584" s="189" t="str">
        <f ca="1">IFERROR(__xludf.DUMMYFUNCTION("""COMPUTED_VALUE"""),"")</f>
        <v/>
      </c>
      <c r="D584" s="189" t="str">
        <f ca="1">IFERROR(__xludf.DUMMYFUNCTION("""COMPUTED_VALUE"""),"")</f>
        <v/>
      </c>
      <c r="E584" s="189" t="str">
        <f ca="1">IFERROR(__xludf.DUMMYFUNCTION("""COMPUTED_VALUE"""),"")</f>
        <v/>
      </c>
      <c r="F584" s="189" t="str">
        <f ca="1">IFERROR(__xludf.DUMMYFUNCTION("""COMPUTED_VALUE"""),"")</f>
        <v/>
      </c>
      <c r="G584" s="189" t="str">
        <f ca="1">IFERROR(__xludf.DUMMYFUNCTION("""COMPUTED_VALUE"""),"")</f>
        <v/>
      </c>
      <c r="H584" s="189" t="str">
        <f ca="1">IFERROR(__xludf.DUMMYFUNCTION("""COMPUTED_VALUE"""),"")</f>
        <v/>
      </c>
      <c r="I584" s="120" t="str">
        <f ca="1">IFERROR(__xludf.DUMMYFUNCTION("""COMPUTED_VALUE"""),"")</f>
        <v/>
      </c>
      <c r="J584" s="189" t="str">
        <f ca="1">IFERROR(__xludf.DUMMYFUNCTION("""COMPUTED_VALUE"""),"")</f>
        <v/>
      </c>
      <c r="K584" s="189" t="str">
        <f ca="1">IFERROR(__xludf.DUMMYFUNCTION("""COMPUTED_VALUE"""),"")</f>
        <v/>
      </c>
      <c r="L584" s="189" t="str">
        <f ca="1">IFERROR(__xludf.DUMMYFUNCTION("""COMPUTED_VALUE"""),"")</f>
        <v/>
      </c>
      <c r="M584" s="189" t="str">
        <f ca="1">IFERROR(__xludf.DUMMYFUNCTION("""COMPUTED_VALUE"""),"")</f>
        <v/>
      </c>
      <c r="N584" s="189" t="str">
        <f ca="1">IFERROR(__xludf.DUMMYFUNCTION("""COMPUTED_VALUE"""),"")</f>
        <v/>
      </c>
      <c r="O584" s="189" t="str">
        <f ca="1">IFERROR(__xludf.DUMMYFUNCTION("""COMPUTED_VALUE"""),"")</f>
        <v/>
      </c>
      <c r="P584" s="189" t="str">
        <f ca="1">IFERROR(__xludf.DUMMYFUNCTION("""COMPUTED_VALUE"""),"")</f>
        <v/>
      </c>
      <c r="Q584" s="189" t="str">
        <f ca="1">IFERROR(__xludf.DUMMYFUNCTION("""COMPUTED_VALUE"""),"")</f>
        <v/>
      </c>
      <c r="R584" s="189" t="str">
        <f ca="1">IFERROR(__xludf.DUMMYFUNCTION("""COMPUTED_VALUE"""),"")</f>
        <v/>
      </c>
      <c r="S584" s="189" t="str">
        <f ca="1">IFERROR(__xludf.DUMMYFUNCTION("""COMPUTED_VALUE"""),"")</f>
        <v/>
      </c>
      <c r="T584" s="189" t="str">
        <f ca="1">IFERROR(__xludf.DUMMYFUNCTION("""COMPUTED_VALUE"""),"")</f>
        <v/>
      </c>
      <c r="U584" s="189" t="str">
        <f ca="1">IFERROR(__xludf.DUMMYFUNCTION("""COMPUTED_VALUE"""),"")</f>
        <v/>
      </c>
      <c r="V584" s="189" t="str">
        <f ca="1">IFERROR(__xludf.DUMMYFUNCTION("""COMPUTED_VALUE"""),"")</f>
        <v/>
      </c>
      <c r="W584" s="189" t="str">
        <f ca="1">IFERROR(__xludf.DUMMYFUNCTION("""COMPUTED_VALUE"""),"")</f>
        <v/>
      </c>
      <c r="X584" s="189" t="str">
        <f ca="1">IFERROR(__xludf.DUMMYFUNCTION("""COMPUTED_VALUE"""),"")</f>
        <v/>
      </c>
      <c r="Y584" s="189" t="str">
        <f ca="1">IFERROR(__xludf.DUMMYFUNCTION("""COMPUTED_VALUE"""),"")</f>
        <v/>
      </c>
      <c r="Z584" s="189"/>
    </row>
    <row r="585" spans="1:26" ht="12.75">
      <c r="A585" s="189" t="str">
        <f ca="1">IFERROR(__xludf.DUMMYFUNCTION("""COMPUTED_VALUE"""),"")</f>
        <v/>
      </c>
      <c r="B585" s="189" t="str">
        <f ca="1">IFERROR(__xludf.DUMMYFUNCTION("""COMPUTED_VALUE"""),"")</f>
        <v/>
      </c>
      <c r="C585" s="189" t="str">
        <f ca="1">IFERROR(__xludf.DUMMYFUNCTION("""COMPUTED_VALUE"""),"")</f>
        <v/>
      </c>
      <c r="D585" s="189" t="str">
        <f ca="1">IFERROR(__xludf.DUMMYFUNCTION("""COMPUTED_VALUE"""),"")</f>
        <v/>
      </c>
      <c r="E585" s="189" t="str">
        <f ca="1">IFERROR(__xludf.DUMMYFUNCTION("""COMPUTED_VALUE"""),"")</f>
        <v/>
      </c>
      <c r="F585" s="189" t="str">
        <f ca="1">IFERROR(__xludf.DUMMYFUNCTION("""COMPUTED_VALUE"""),"")</f>
        <v/>
      </c>
      <c r="G585" s="189" t="str">
        <f ca="1">IFERROR(__xludf.DUMMYFUNCTION("""COMPUTED_VALUE"""),"")</f>
        <v/>
      </c>
      <c r="H585" s="189" t="str">
        <f ca="1">IFERROR(__xludf.DUMMYFUNCTION("""COMPUTED_VALUE"""),"")</f>
        <v/>
      </c>
      <c r="I585" s="120" t="str">
        <f ca="1">IFERROR(__xludf.DUMMYFUNCTION("""COMPUTED_VALUE"""),"")</f>
        <v/>
      </c>
      <c r="J585" s="189" t="str">
        <f ca="1">IFERROR(__xludf.DUMMYFUNCTION("""COMPUTED_VALUE"""),"")</f>
        <v/>
      </c>
      <c r="K585" s="189" t="str">
        <f ca="1">IFERROR(__xludf.DUMMYFUNCTION("""COMPUTED_VALUE"""),"")</f>
        <v/>
      </c>
      <c r="L585" s="189" t="str">
        <f ca="1">IFERROR(__xludf.DUMMYFUNCTION("""COMPUTED_VALUE"""),"")</f>
        <v/>
      </c>
      <c r="M585" s="189" t="str">
        <f ca="1">IFERROR(__xludf.DUMMYFUNCTION("""COMPUTED_VALUE"""),"")</f>
        <v/>
      </c>
      <c r="N585" s="189" t="str">
        <f ca="1">IFERROR(__xludf.DUMMYFUNCTION("""COMPUTED_VALUE"""),"")</f>
        <v/>
      </c>
      <c r="O585" s="189" t="str">
        <f ca="1">IFERROR(__xludf.DUMMYFUNCTION("""COMPUTED_VALUE"""),"")</f>
        <v/>
      </c>
      <c r="P585" s="189" t="str">
        <f ca="1">IFERROR(__xludf.DUMMYFUNCTION("""COMPUTED_VALUE"""),"")</f>
        <v/>
      </c>
      <c r="Q585" s="189" t="str">
        <f ca="1">IFERROR(__xludf.DUMMYFUNCTION("""COMPUTED_VALUE"""),"")</f>
        <v/>
      </c>
      <c r="R585" s="189" t="str">
        <f ca="1">IFERROR(__xludf.DUMMYFUNCTION("""COMPUTED_VALUE"""),"")</f>
        <v/>
      </c>
      <c r="S585" s="189" t="str">
        <f ca="1">IFERROR(__xludf.DUMMYFUNCTION("""COMPUTED_VALUE"""),"")</f>
        <v/>
      </c>
      <c r="T585" s="189" t="str">
        <f ca="1">IFERROR(__xludf.DUMMYFUNCTION("""COMPUTED_VALUE"""),"")</f>
        <v/>
      </c>
      <c r="U585" s="189" t="str">
        <f ca="1">IFERROR(__xludf.DUMMYFUNCTION("""COMPUTED_VALUE"""),"")</f>
        <v/>
      </c>
      <c r="V585" s="189" t="str">
        <f ca="1">IFERROR(__xludf.DUMMYFUNCTION("""COMPUTED_VALUE"""),"")</f>
        <v/>
      </c>
      <c r="W585" s="189" t="str">
        <f ca="1">IFERROR(__xludf.DUMMYFUNCTION("""COMPUTED_VALUE"""),"")</f>
        <v/>
      </c>
      <c r="X585" s="189" t="str">
        <f ca="1">IFERROR(__xludf.DUMMYFUNCTION("""COMPUTED_VALUE"""),"")</f>
        <v/>
      </c>
      <c r="Y585" s="189" t="str">
        <f ca="1">IFERROR(__xludf.DUMMYFUNCTION("""COMPUTED_VALUE"""),"")</f>
        <v/>
      </c>
      <c r="Z585" s="189"/>
    </row>
    <row r="586" spans="1:26" ht="12.75">
      <c r="A586" s="189" t="str">
        <f ca="1">IFERROR(__xludf.DUMMYFUNCTION("""COMPUTED_VALUE"""),"")</f>
        <v/>
      </c>
      <c r="B586" s="189" t="str">
        <f ca="1">IFERROR(__xludf.DUMMYFUNCTION("""COMPUTED_VALUE"""),"")</f>
        <v/>
      </c>
      <c r="C586" s="189" t="str">
        <f ca="1">IFERROR(__xludf.DUMMYFUNCTION("""COMPUTED_VALUE"""),"")</f>
        <v/>
      </c>
      <c r="D586" s="189" t="str">
        <f ca="1">IFERROR(__xludf.DUMMYFUNCTION("""COMPUTED_VALUE"""),"")</f>
        <v/>
      </c>
      <c r="E586" s="189" t="str">
        <f ca="1">IFERROR(__xludf.DUMMYFUNCTION("""COMPUTED_VALUE"""),"")</f>
        <v/>
      </c>
      <c r="F586" s="189" t="str">
        <f ca="1">IFERROR(__xludf.DUMMYFUNCTION("""COMPUTED_VALUE"""),"")</f>
        <v/>
      </c>
      <c r="G586" s="189" t="str">
        <f ca="1">IFERROR(__xludf.DUMMYFUNCTION("""COMPUTED_VALUE"""),"")</f>
        <v/>
      </c>
      <c r="H586" s="189" t="str">
        <f ca="1">IFERROR(__xludf.DUMMYFUNCTION("""COMPUTED_VALUE"""),"")</f>
        <v/>
      </c>
      <c r="I586" s="120" t="str">
        <f ca="1">IFERROR(__xludf.DUMMYFUNCTION("""COMPUTED_VALUE"""),"")</f>
        <v/>
      </c>
      <c r="J586" s="189" t="str">
        <f ca="1">IFERROR(__xludf.DUMMYFUNCTION("""COMPUTED_VALUE"""),"")</f>
        <v/>
      </c>
      <c r="K586" s="189" t="str">
        <f ca="1">IFERROR(__xludf.DUMMYFUNCTION("""COMPUTED_VALUE"""),"")</f>
        <v/>
      </c>
      <c r="L586" s="189" t="str">
        <f ca="1">IFERROR(__xludf.DUMMYFUNCTION("""COMPUTED_VALUE"""),"")</f>
        <v/>
      </c>
      <c r="M586" s="189" t="str">
        <f ca="1">IFERROR(__xludf.DUMMYFUNCTION("""COMPUTED_VALUE"""),"")</f>
        <v/>
      </c>
      <c r="N586" s="189" t="str">
        <f ca="1">IFERROR(__xludf.DUMMYFUNCTION("""COMPUTED_VALUE"""),"")</f>
        <v/>
      </c>
      <c r="O586" s="189" t="str">
        <f ca="1">IFERROR(__xludf.DUMMYFUNCTION("""COMPUTED_VALUE"""),"")</f>
        <v/>
      </c>
      <c r="P586" s="189" t="str">
        <f ca="1">IFERROR(__xludf.DUMMYFUNCTION("""COMPUTED_VALUE"""),"")</f>
        <v/>
      </c>
      <c r="Q586" s="189" t="str">
        <f ca="1">IFERROR(__xludf.DUMMYFUNCTION("""COMPUTED_VALUE"""),"")</f>
        <v/>
      </c>
      <c r="R586" s="189" t="str">
        <f ca="1">IFERROR(__xludf.DUMMYFUNCTION("""COMPUTED_VALUE"""),"")</f>
        <v/>
      </c>
      <c r="S586" s="189" t="str">
        <f ca="1">IFERROR(__xludf.DUMMYFUNCTION("""COMPUTED_VALUE"""),"")</f>
        <v/>
      </c>
      <c r="T586" s="189" t="str">
        <f ca="1">IFERROR(__xludf.DUMMYFUNCTION("""COMPUTED_VALUE"""),"")</f>
        <v/>
      </c>
      <c r="U586" s="189" t="str">
        <f ca="1">IFERROR(__xludf.DUMMYFUNCTION("""COMPUTED_VALUE"""),"")</f>
        <v/>
      </c>
      <c r="V586" s="189" t="str">
        <f ca="1">IFERROR(__xludf.DUMMYFUNCTION("""COMPUTED_VALUE"""),"")</f>
        <v/>
      </c>
      <c r="W586" s="189" t="str">
        <f ca="1">IFERROR(__xludf.DUMMYFUNCTION("""COMPUTED_VALUE"""),"")</f>
        <v/>
      </c>
      <c r="X586" s="189" t="str">
        <f ca="1">IFERROR(__xludf.DUMMYFUNCTION("""COMPUTED_VALUE"""),"")</f>
        <v/>
      </c>
      <c r="Y586" s="189" t="str">
        <f ca="1">IFERROR(__xludf.DUMMYFUNCTION("""COMPUTED_VALUE"""),"")</f>
        <v/>
      </c>
      <c r="Z586" s="189"/>
    </row>
    <row r="587" spans="1:26" ht="12.75">
      <c r="A587" s="189" t="str">
        <f ca="1">IFERROR(__xludf.DUMMYFUNCTION("""COMPUTED_VALUE"""),"")</f>
        <v/>
      </c>
      <c r="B587" s="189" t="str">
        <f ca="1">IFERROR(__xludf.DUMMYFUNCTION("""COMPUTED_VALUE"""),"")</f>
        <v/>
      </c>
      <c r="C587" s="189" t="str">
        <f ca="1">IFERROR(__xludf.DUMMYFUNCTION("""COMPUTED_VALUE"""),"")</f>
        <v/>
      </c>
      <c r="D587" s="189" t="str">
        <f ca="1">IFERROR(__xludf.DUMMYFUNCTION("""COMPUTED_VALUE"""),"")</f>
        <v/>
      </c>
      <c r="E587" s="189" t="str">
        <f ca="1">IFERROR(__xludf.DUMMYFUNCTION("""COMPUTED_VALUE"""),"")</f>
        <v/>
      </c>
      <c r="F587" s="189" t="str">
        <f ca="1">IFERROR(__xludf.DUMMYFUNCTION("""COMPUTED_VALUE"""),"")</f>
        <v/>
      </c>
      <c r="G587" s="189" t="str">
        <f ca="1">IFERROR(__xludf.DUMMYFUNCTION("""COMPUTED_VALUE"""),"")</f>
        <v/>
      </c>
      <c r="H587" s="189" t="str">
        <f ca="1">IFERROR(__xludf.DUMMYFUNCTION("""COMPUTED_VALUE"""),"")</f>
        <v/>
      </c>
      <c r="I587" s="120" t="str">
        <f ca="1">IFERROR(__xludf.DUMMYFUNCTION("""COMPUTED_VALUE"""),"")</f>
        <v/>
      </c>
      <c r="J587" s="189" t="str">
        <f ca="1">IFERROR(__xludf.DUMMYFUNCTION("""COMPUTED_VALUE"""),"")</f>
        <v/>
      </c>
      <c r="K587" s="189" t="str">
        <f ca="1">IFERROR(__xludf.DUMMYFUNCTION("""COMPUTED_VALUE"""),"")</f>
        <v/>
      </c>
      <c r="L587" s="189" t="str">
        <f ca="1">IFERROR(__xludf.DUMMYFUNCTION("""COMPUTED_VALUE"""),"")</f>
        <v/>
      </c>
      <c r="M587" s="189" t="str">
        <f ca="1">IFERROR(__xludf.DUMMYFUNCTION("""COMPUTED_VALUE"""),"")</f>
        <v/>
      </c>
      <c r="N587" s="189" t="str">
        <f ca="1">IFERROR(__xludf.DUMMYFUNCTION("""COMPUTED_VALUE"""),"")</f>
        <v/>
      </c>
      <c r="O587" s="189" t="str">
        <f ca="1">IFERROR(__xludf.DUMMYFUNCTION("""COMPUTED_VALUE"""),"")</f>
        <v/>
      </c>
      <c r="P587" s="189" t="str">
        <f ca="1">IFERROR(__xludf.DUMMYFUNCTION("""COMPUTED_VALUE"""),"")</f>
        <v/>
      </c>
      <c r="Q587" s="189" t="str">
        <f ca="1">IFERROR(__xludf.DUMMYFUNCTION("""COMPUTED_VALUE"""),"")</f>
        <v/>
      </c>
      <c r="R587" s="189" t="str">
        <f ca="1">IFERROR(__xludf.DUMMYFUNCTION("""COMPUTED_VALUE"""),"")</f>
        <v/>
      </c>
      <c r="S587" s="189" t="str">
        <f ca="1">IFERROR(__xludf.DUMMYFUNCTION("""COMPUTED_VALUE"""),"")</f>
        <v/>
      </c>
      <c r="T587" s="189" t="str">
        <f ca="1">IFERROR(__xludf.DUMMYFUNCTION("""COMPUTED_VALUE"""),"")</f>
        <v/>
      </c>
      <c r="U587" s="189" t="str">
        <f ca="1">IFERROR(__xludf.DUMMYFUNCTION("""COMPUTED_VALUE"""),"")</f>
        <v/>
      </c>
      <c r="V587" s="189" t="str">
        <f ca="1">IFERROR(__xludf.DUMMYFUNCTION("""COMPUTED_VALUE"""),"")</f>
        <v/>
      </c>
      <c r="W587" s="189" t="str">
        <f ca="1">IFERROR(__xludf.DUMMYFUNCTION("""COMPUTED_VALUE"""),"")</f>
        <v/>
      </c>
      <c r="X587" s="189" t="str">
        <f ca="1">IFERROR(__xludf.DUMMYFUNCTION("""COMPUTED_VALUE"""),"")</f>
        <v/>
      </c>
      <c r="Y587" s="189" t="str">
        <f ca="1">IFERROR(__xludf.DUMMYFUNCTION("""COMPUTED_VALUE"""),"")</f>
        <v/>
      </c>
      <c r="Z587" s="189"/>
    </row>
    <row r="588" spans="1:26" ht="12.75">
      <c r="A588" s="189" t="str">
        <f ca="1">IFERROR(__xludf.DUMMYFUNCTION("""COMPUTED_VALUE"""),"")</f>
        <v/>
      </c>
      <c r="B588" s="189" t="str">
        <f ca="1">IFERROR(__xludf.DUMMYFUNCTION("""COMPUTED_VALUE"""),"")</f>
        <v/>
      </c>
      <c r="C588" s="189" t="str">
        <f ca="1">IFERROR(__xludf.DUMMYFUNCTION("""COMPUTED_VALUE"""),"")</f>
        <v/>
      </c>
      <c r="D588" s="189" t="str">
        <f ca="1">IFERROR(__xludf.DUMMYFUNCTION("""COMPUTED_VALUE"""),"")</f>
        <v/>
      </c>
      <c r="E588" s="189" t="str">
        <f ca="1">IFERROR(__xludf.DUMMYFUNCTION("""COMPUTED_VALUE"""),"")</f>
        <v/>
      </c>
      <c r="F588" s="189" t="str">
        <f ca="1">IFERROR(__xludf.DUMMYFUNCTION("""COMPUTED_VALUE"""),"")</f>
        <v/>
      </c>
      <c r="G588" s="189" t="str">
        <f ca="1">IFERROR(__xludf.DUMMYFUNCTION("""COMPUTED_VALUE"""),"")</f>
        <v/>
      </c>
      <c r="H588" s="189" t="str">
        <f ca="1">IFERROR(__xludf.DUMMYFUNCTION("""COMPUTED_VALUE"""),"")</f>
        <v/>
      </c>
      <c r="I588" s="120" t="str">
        <f ca="1">IFERROR(__xludf.DUMMYFUNCTION("""COMPUTED_VALUE"""),"")</f>
        <v/>
      </c>
      <c r="J588" s="189" t="str">
        <f ca="1">IFERROR(__xludf.DUMMYFUNCTION("""COMPUTED_VALUE"""),"")</f>
        <v/>
      </c>
      <c r="K588" s="189" t="str">
        <f ca="1">IFERROR(__xludf.DUMMYFUNCTION("""COMPUTED_VALUE"""),"")</f>
        <v/>
      </c>
      <c r="L588" s="189" t="str">
        <f ca="1">IFERROR(__xludf.DUMMYFUNCTION("""COMPUTED_VALUE"""),"")</f>
        <v/>
      </c>
      <c r="M588" s="189" t="str">
        <f ca="1">IFERROR(__xludf.DUMMYFUNCTION("""COMPUTED_VALUE"""),"")</f>
        <v/>
      </c>
      <c r="N588" s="189" t="str">
        <f ca="1">IFERROR(__xludf.DUMMYFUNCTION("""COMPUTED_VALUE"""),"")</f>
        <v/>
      </c>
      <c r="O588" s="189" t="str">
        <f ca="1">IFERROR(__xludf.DUMMYFUNCTION("""COMPUTED_VALUE"""),"")</f>
        <v/>
      </c>
      <c r="P588" s="189" t="str">
        <f ca="1">IFERROR(__xludf.DUMMYFUNCTION("""COMPUTED_VALUE"""),"")</f>
        <v/>
      </c>
      <c r="Q588" s="189" t="str">
        <f ca="1">IFERROR(__xludf.DUMMYFUNCTION("""COMPUTED_VALUE"""),"")</f>
        <v/>
      </c>
      <c r="R588" s="189" t="str">
        <f ca="1">IFERROR(__xludf.DUMMYFUNCTION("""COMPUTED_VALUE"""),"")</f>
        <v/>
      </c>
      <c r="S588" s="189" t="str">
        <f ca="1">IFERROR(__xludf.DUMMYFUNCTION("""COMPUTED_VALUE"""),"")</f>
        <v/>
      </c>
      <c r="T588" s="189" t="str">
        <f ca="1">IFERROR(__xludf.DUMMYFUNCTION("""COMPUTED_VALUE"""),"")</f>
        <v/>
      </c>
      <c r="U588" s="189" t="str">
        <f ca="1">IFERROR(__xludf.DUMMYFUNCTION("""COMPUTED_VALUE"""),"")</f>
        <v/>
      </c>
      <c r="V588" s="189" t="str">
        <f ca="1">IFERROR(__xludf.DUMMYFUNCTION("""COMPUTED_VALUE"""),"")</f>
        <v/>
      </c>
      <c r="W588" s="189" t="str">
        <f ca="1">IFERROR(__xludf.DUMMYFUNCTION("""COMPUTED_VALUE"""),"")</f>
        <v/>
      </c>
      <c r="X588" s="189" t="str">
        <f ca="1">IFERROR(__xludf.DUMMYFUNCTION("""COMPUTED_VALUE"""),"")</f>
        <v/>
      </c>
      <c r="Y588" s="189" t="str">
        <f ca="1">IFERROR(__xludf.DUMMYFUNCTION("""COMPUTED_VALUE"""),"")</f>
        <v/>
      </c>
      <c r="Z588" s="189"/>
    </row>
    <row r="589" spans="1:26" ht="12.75">
      <c r="A589" s="189" t="str">
        <f ca="1">IFERROR(__xludf.DUMMYFUNCTION("""COMPUTED_VALUE"""),"")</f>
        <v/>
      </c>
      <c r="B589" s="189" t="str">
        <f ca="1">IFERROR(__xludf.DUMMYFUNCTION("""COMPUTED_VALUE"""),"")</f>
        <v/>
      </c>
      <c r="C589" s="189" t="str">
        <f ca="1">IFERROR(__xludf.DUMMYFUNCTION("""COMPUTED_VALUE"""),"")</f>
        <v/>
      </c>
      <c r="D589" s="189" t="str">
        <f ca="1">IFERROR(__xludf.DUMMYFUNCTION("""COMPUTED_VALUE"""),"")</f>
        <v/>
      </c>
      <c r="E589" s="189" t="str">
        <f ca="1">IFERROR(__xludf.DUMMYFUNCTION("""COMPUTED_VALUE"""),"")</f>
        <v/>
      </c>
      <c r="F589" s="189" t="str">
        <f ca="1">IFERROR(__xludf.DUMMYFUNCTION("""COMPUTED_VALUE"""),"")</f>
        <v/>
      </c>
      <c r="G589" s="189" t="str">
        <f ca="1">IFERROR(__xludf.DUMMYFUNCTION("""COMPUTED_VALUE"""),"")</f>
        <v/>
      </c>
      <c r="H589" s="189" t="str">
        <f ca="1">IFERROR(__xludf.DUMMYFUNCTION("""COMPUTED_VALUE"""),"")</f>
        <v/>
      </c>
      <c r="I589" s="120" t="str">
        <f ca="1">IFERROR(__xludf.DUMMYFUNCTION("""COMPUTED_VALUE"""),"")</f>
        <v/>
      </c>
      <c r="J589" s="189" t="str">
        <f ca="1">IFERROR(__xludf.DUMMYFUNCTION("""COMPUTED_VALUE"""),"")</f>
        <v/>
      </c>
      <c r="K589" s="189" t="str">
        <f ca="1">IFERROR(__xludf.DUMMYFUNCTION("""COMPUTED_VALUE"""),"")</f>
        <v/>
      </c>
      <c r="L589" s="189" t="str">
        <f ca="1">IFERROR(__xludf.DUMMYFUNCTION("""COMPUTED_VALUE"""),"")</f>
        <v/>
      </c>
      <c r="M589" s="189" t="str">
        <f ca="1">IFERROR(__xludf.DUMMYFUNCTION("""COMPUTED_VALUE"""),"")</f>
        <v/>
      </c>
      <c r="N589" s="189" t="str">
        <f ca="1">IFERROR(__xludf.DUMMYFUNCTION("""COMPUTED_VALUE"""),"")</f>
        <v/>
      </c>
      <c r="O589" s="189" t="str">
        <f ca="1">IFERROR(__xludf.DUMMYFUNCTION("""COMPUTED_VALUE"""),"")</f>
        <v/>
      </c>
      <c r="P589" s="189" t="str">
        <f ca="1">IFERROR(__xludf.DUMMYFUNCTION("""COMPUTED_VALUE"""),"")</f>
        <v/>
      </c>
      <c r="Q589" s="189" t="str">
        <f ca="1">IFERROR(__xludf.DUMMYFUNCTION("""COMPUTED_VALUE"""),"")</f>
        <v/>
      </c>
      <c r="R589" s="189" t="str">
        <f ca="1">IFERROR(__xludf.DUMMYFUNCTION("""COMPUTED_VALUE"""),"")</f>
        <v/>
      </c>
      <c r="S589" s="189" t="str">
        <f ca="1">IFERROR(__xludf.DUMMYFUNCTION("""COMPUTED_VALUE"""),"")</f>
        <v/>
      </c>
      <c r="T589" s="189" t="str">
        <f ca="1">IFERROR(__xludf.DUMMYFUNCTION("""COMPUTED_VALUE"""),"")</f>
        <v/>
      </c>
      <c r="U589" s="189" t="str">
        <f ca="1">IFERROR(__xludf.DUMMYFUNCTION("""COMPUTED_VALUE"""),"")</f>
        <v/>
      </c>
      <c r="V589" s="189" t="str">
        <f ca="1">IFERROR(__xludf.DUMMYFUNCTION("""COMPUTED_VALUE"""),"")</f>
        <v/>
      </c>
      <c r="W589" s="189" t="str">
        <f ca="1">IFERROR(__xludf.DUMMYFUNCTION("""COMPUTED_VALUE"""),"")</f>
        <v/>
      </c>
      <c r="X589" s="189" t="str">
        <f ca="1">IFERROR(__xludf.DUMMYFUNCTION("""COMPUTED_VALUE"""),"")</f>
        <v/>
      </c>
      <c r="Y589" s="189" t="str">
        <f ca="1">IFERROR(__xludf.DUMMYFUNCTION("""COMPUTED_VALUE"""),"")</f>
        <v/>
      </c>
      <c r="Z589" s="189"/>
    </row>
    <row r="590" spans="1:26" ht="12.75">
      <c r="A590" s="189" t="str">
        <f ca="1">IFERROR(__xludf.DUMMYFUNCTION("""COMPUTED_VALUE"""),"")</f>
        <v/>
      </c>
      <c r="B590" s="189" t="str">
        <f ca="1">IFERROR(__xludf.DUMMYFUNCTION("""COMPUTED_VALUE"""),"")</f>
        <v/>
      </c>
      <c r="C590" s="189" t="str">
        <f ca="1">IFERROR(__xludf.DUMMYFUNCTION("""COMPUTED_VALUE"""),"")</f>
        <v/>
      </c>
      <c r="D590" s="189" t="str">
        <f ca="1">IFERROR(__xludf.DUMMYFUNCTION("""COMPUTED_VALUE"""),"")</f>
        <v/>
      </c>
      <c r="E590" s="189" t="str">
        <f ca="1">IFERROR(__xludf.DUMMYFUNCTION("""COMPUTED_VALUE"""),"")</f>
        <v/>
      </c>
      <c r="F590" s="189" t="str">
        <f ca="1">IFERROR(__xludf.DUMMYFUNCTION("""COMPUTED_VALUE"""),"")</f>
        <v/>
      </c>
      <c r="G590" s="189" t="str">
        <f ca="1">IFERROR(__xludf.DUMMYFUNCTION("""COMPUTED_VALUE"""),"")</f>
        <v/>
      </c>
      <c r="H590" s="189" t="str">
        <f ca="1">IFERROR(__xludf.DUMMYFUNCTION("""COMPUTED_VALUE"""),"")</f>
        <v/>
      </c>
      <c r="I590" s="120" t="str">
        <f ca="1">IFERROR(__xludf.DUMMYFUNCTION("""COMPUTED_VALUE"""),"")</f>
        <v/>
      </c>
      <c r="J590" s="189" t="str">
        <f ca="1">IFERROR(__xludf.DUMMYFUNCTION("""COMPUTED_VALUE"""),"")</f>
        <v/>
      </c>
      <c r="K590" s="189" t="str">
        <f ca="1">IFERROR(__xludf.DUMMYFUNCTION("""COMPUTED_VALUE"""),"")</f>
        <v/>
      </c>
      <c r="L590" s="189" t="str">
        <f ca="1">IFERROR(__xludf.DUMMYFUNCTION("""COMPUTED_VALUE"""),"")</f>
        <v/>
      </c>
      <c r="M590" s="189" t="str">
        <f ca="1">IFERROR(__xludf.DUMMYFUNCTION("""COMPUTED_VALUE"""),"")</f>
        <v/>
      </c>
      <c r="N590" s="189" t="str">
        <f ca="1">IFERROR(__xludf.DUMMYFUNCTION("""COMPUTED_VALUE"""),"")</f>
        <v/>
      </c>
      <c r="O590" s="189" t="str">
        <f ca="1">IFERROR(__xludf.DUMMYFUNCTION("""COMPUTED_VALUE"""),"")</f>
        <v/>
      </c>
      <c r="P590" s="189" t="str">
        <f ca="1">IFERROR(__xludf.DUMMYFUNCTION("""COMPUTED_VALUE"""),"")</f>
        <v/>
      </c>
      <c r="Q590" s="189" t="str">
        <f ca="1">IFERROR(__xludf.DUMMYFUNCTION("""COMPUTED_VALUE"""),"")</f>
        <v/>
      </c>
      <c r="R590" s="189" t="str">
        <f ca="1">IFERROR(__xludf.DUMMYFUNCTION("""COMPUTED_VALUE"""),"")</f>
        <v/>
      </c>
      <c r="S590" s="189" t="str">
        <f ca="1">IFERROR(__xludf.DUMMYFUNCTION("""COMPUTED_VALUE"""),"")</f>
        <v/>
      </c>
      <c r="T590" s="189" t="str">
        <f ca="1">IFERROR(__xludf.DUMMYFUNCTION("""COMPUTED_VALUE"""),"")</f>
        <v/>
      </c>
      <c r="U590" s="189" t="str">
        <f ca="1">IFERROR(__xludf.DUMMYFUNCTION("""COMPUTED_VALUE"""),"")</f>
        <v/>
      </c>
      <c r="V590" s="189" t="str">
        <f ca="1">IFERROR(__xludf.DUMMYFUNCTION("""COMPUTED_VALUE"""),"")</f>
        <v/>
      </c>
      <c r="W590" s="189" t="str">
        <f ca="1">IFERROR(__xludf.DUMMYFUNCTION("""COMPUTED_VALUE"""),"")</f>
        <v/>
      </c>
      <c r="X590" s="189" t="str">
        <f ca="1">IFERROR(__xludf.DUMMYFUNCTION("""COMPUTED_VALUE"""),"")</f>
        <v/>
      </c>
      <c r="Y590" s="189" t="str">
        <f ca="1">IFERROR(__xludf.DUMMYFUNCTION("""COMPUTED_VALUE"""),"")</f>
        <v/>
      </c>
      <c r="Z590" s="189"/>
    </row>
    <row r="591" spans="1:26" ht="12.75">
      <c r="A591" s="189" t="str">
        <f ca="1">IFERROR(__xludf.DUMMYFUNCTION("""COMPUTED_VALUE"""),"")</f>
        <v/>
      </c>
      <c r="B591" s="189" t="str">
        <f ca="1">IFERROR(__xludf.DUMMYFUNCTION("""COMPUTED_VALUE"""),"")</f>
        <v/>
      </c>
      <c r="C591" s="189" t="str">
        <f ca="1">IFERROR(__xludf.DUMMYFUNCTION("""COMPUTED_VALUE"""),"")</f>
        <v/>
      </c>
      <c r="D591" s="189" t="str">
        <f ca="1">IFERROR(__xludf.DUMMYFUNCTION("""COMPUTED_VALUE"""),"")</f>
        <v/>
      </c>
      <c r="E591" s="189" t="str">
        <f ca="1">IFERROR(__xludf.DUMMYFUNCTION("""COMPUTED_VALUE"""),"")</f>
        <v/>
      </c>
      <c r="F591" s="189" t="str">
        <f ca="1">IFERROR(__xludf.DUMMYFUNCTION("""COMPUTED_VALUE"""),"")</f>
        <v/>
      </c>
      <c r="G591" s="189" t="str">
        <f ca="1">IFERROR(__xludf.DUMMYFUNCTION("""COMPUTED_VALUE"""),"")</f>
        <v/>
      </c>
      <c r="H591" s="189" t="str">
        <f ca="1">IFERROR(__xludf.DUMMYFUNCTION("""COMPUTED_VALUE"""),"")</f>
        <v/>
      </c>
      <c r="I591" s="120" t="str">
        <f ca="1">IFERROR(__xludf.DUMMYFUNCTION("""COMPUTED_VALUE"""),"")</f>
        <v/>
      </c>
      <c r="J591" s="189" t="str">
        <f ca="1">IFERROR(__xludf.DUMMYFUNCTION("""COMPUTED_VALUE"""),"")</f>
        <v/>
      </c>
      <c r="K591" s="189" t="str">
        <f ca="1">IFERROR(__xludf.DUMMYFUNCTION("""COMPUTED_VALUE"""),"")</f>
        <v/>
      </c>
      <c r="L591" s="189" t="str">
        <f ca="1">IFERROR(__xludf.DUMMYFUNCTION("""COMPUTED_VALUE"""),"")</f>
        <v/>
      </c>
      <c r="M591" s="189" t="str">
        <f ca="1">IFERROR(__xludf.DUMMYFUNCTION("""COMPUTED_VALUE"""),"")</f>
        <v/>
      </c>
      <c r="N591" s="189" t="str">
        <f ca="1">IFERROR(__xludf.DUMMYFUNCTION("""COMPUTED_VALUE"""),"")</f>
        <v/>
      </c>
      <c r="O591" s="189" t="str">
        <f ca="1">IFERROR(__xludf.DUMMYFUNCTION("""COMPUTED_VALUE"""),"")</f>
        <v/>
      </c>
      <c r="P591" s="189" t="str">
        <f ca="1">IFERROR(__xludf.DUMMYFUNCTION("""COMPUTED_VALUE"""),"")</f>
        <v/>
      </c>
      <c r="Q591" s="189" t="str">
        <f ca="1">IFERROR(__xludf.DUMMYFUNCTION("""COMPUTED_VALUE"""),"")</f>
        <v/>
      </c>
      <c r="R591" s="189" t="str">
        <f ca="1">IFERROR(__xludf.DUMMYFUNCTION("""COMPUTED_VALUE"""),"")</f>
        <v/>
      </c>
      <c r="S591" s="189" t="str">
        <f ca="1">IFERROR(__xludf.DUMMYFUNCTION("""COMPUTED_VALUE"""),"")</f>
        <v/>
      </c>
      <c r="T591" s="189" t="str">
        <f ca="1">IFERROR(__xludf.DUMMYFUNCTION("""COMPUTED_VALUE"""),"")</f>
        <v/>
      </c>
      <c r="U591" s="189" t="str">
        <f ca="1">IFERROR(__xludf.DUMMYFUNCTION("""COMPUTED_VALUE"""),"")</f>
        <v/>
      </c>
      <c r="V591" s="189" t="str">
        <f ca="1">IFERROR(__xludf.DUMMYFUNCTION("""COMPUTED_VALUE"""),"")</f>
        <v/>
      </c>
      <c r="W591" s="189" t="str">
        <f ca="1">IFERROR(__xludf.DUMMYFUNCTION("""COMPUTED_VALUE"""),"")</f>
        <v/>
      </c>
      <c r="X591" s="189" t="str">
        <f ca="1">IFERROR(__xludf.DUMMYFUNCTION("""COMPUTED_VALUE"""),"")</f>
        <v/>
      </c>
      <c r="Y591" s="189" t="str">
        <f ca="1">IFERROR(__xludf.DUMMYFUNCTION("""COMPUTED_VALUE"""),"")</f>
        <v/>
      </c>
      <c r="Z591" s="189"/>
    </row>
    <row r="592" spans="1:26" ht="12.75">
      <c r="A592" s="189" t="str">
        <f ca="1">IFERROR(__xludf.DUMMYFUNCTION("""COMPUTED_VALUE"""),"")</f>
        <v/>
      </c>
      <c r="B592" s="189" t="str">
        <f ca="1">IFERROR(__xludf.DUMMYFUNCTION("""COMPUTED_VALUE"""),"")</f>
        <v/>
      </c>
      <c r="C592" s="189" t="str">
        <f ca="1">IFERROR(__xludf.DUMMYFUNCTION("""COMPUTED_VALUE"""),"")</f>
        <v/>
      </c>
      <c r="D592" s="189" t="str">
        <f ca="1">IFERROR(__xludf.DUMMYFUNCTION("""COMPUTED_VALUE"""),"")</f>
        <v/>
      </c>
      <c r="E592" s="189" t="str">
        <f ca="1">IFERROR(__xludf.DUMMYFUNCTION("""COMPUTED_VALUE"""),"")</f>
        <v/>
      </c>
      <c r="F592" s="189" t="str">
        <f ca="1">IFERROR(__xludf.DUMMYFUNCTION("""COMPUTED_VALUE"""),"")</f>
        <v/>
      </c>
      <c r="G592" s="189" t="str">
        <f ca="1">IFERROR(__xludf.DUMMYFUNCTION("""COMPUTED_VALUE"""),"")</f>
        <v/>
      </c>
      <c r="H592" s="189" t="str">
        <f ca="1">IFERROR(__xludf.DUMMYFUNCTION("""COMPUTED_VALUE"""),"")</f>
        <v/>
      </c>
      <c r="I592" s="120" t="str">
        <f ca="1">IFERROR(__xludf.DUMMYFUNCTION("""COMPUTED_VALUE"""),"")</f>
        <v/>
      </c>
      <c r="J592" s="189" t="str">
        <f ca="1">IFERROR(__xludf.DUMMYFUNCTION("""COMPUTED_VALUE"""),"")</f>
        <v/>
      </c>
      <c r="K592" s="189" t="str">
        <f ca="1">IFERROR(__xludf.DUMMYFUNCTION("""COMPUTED_VALUE"""),"")</f>
        <v/>
      </c>
      <c r="L592" s="189" t="str">
        <f ca="1">IFERROR(__xludf.DUMMYFUNCTION("""COMPUTED_VALUE"""),"")</f>
        <v/>
      </c>
      <c r="M592" s="189" t="str">
        <f ca="1">IFERROR(__xludf.DUMMYFUNCTION("""COMPUTED_VALUE"""),"")</f>
        <v/>
      </c>
      <c r="N592" s="189" t="str">
        <f ca="1">IFERROR(__xludf.DUMMYFUNCTION("""COMPUTED_VALUE"""),"")</f>
        <v/>
      </c>
      <c r="O592" s="189" t="str">
        <f ca="1">IFERROR(__xludf.DUMMYFUNCTION("""COMPUTED_VALUE"""),"")</f>
        <v/>
      </c>
      <c r="P592" s="189" t="str">
        <f ca="1">IFERROR(__xludf.DUMMYFUNCTION("""COMPUTED_VALUE"""),"")</f>
        <v/>
      </c>
      <c r="Q592" s="189" t="str">
        <f ca="1">IFERROR(__xludf.DUMMYFUNCTION("""COMPUTED_VALUE"""),"")</f>
        <v/>
      </c>
      <c r="R592" s="189" t="str">
        <f ca="1">IFERROR(__xludf.DUMMYFUNCTION("""COMPUTED_VALUE"""),"")</f>
        <v/>
      </c>
      <c r="S592" s="189" t="str">
        <f ca="1">IFERROR(__xludf.DUMMYFUNCTION("""COMPUTED_VALUE"""),"")</f>
        <v/>
      </c>
      <c r="T592" s="189" t="str">
        <f ca="1">IFERROR(__xludf.DUMMYFUNCTION("""COMPUTED_VALUE"""),"")</f>
        <v/>
      </c>
      <c r="U592" s="189" t="str">
        <f ca="1">IFERROR(__xludf.DUMMYFUNCTION("""COMPUTED_VALUE"""),"")</f>
        <v/>
      </c>
      <c r="V592" s="189" t="str">
        <f ca="1">IFERROR(__xludf.DUMMYFUNCTION("""COMPUTED_VALUE"""),"")</f>
        <v/>
      </c>
      <c r="W592" s="189" t="str">
        <f ca="1">IFERROR(__xludf.DUMMYFUNCTION("""COMPUTED_VALUE"""),"")</f>
        <v/>
      </c>
      <c r="X592" s="189" t="str">
        <f ca="1">IFERROR(__xludf.DUMMYFUNCTION("""COMPUTED_VALUE"""),"")</f>
        <v/>
      </c>
      <c r="Y592" s="189" t="str">
        <f ca="1">IFERROR(__xludf.DUMMYFUNCTION("""COMPUTED_VALUE"""),"")</f>
        <v/>
      </c>
      <c r="Z592" s="189"/>
    </row>
    <row r="593" spans="1:26" ht="12.75">
      <c r="A593" s="189" t="str">
        <f ca="1">IFERROR(__xludf.DUMMYFUNCTION("""COMPUTED_VALUE"""),"")</f>
        <v/>
      </c>
      <c r="B593" s="189" t="str">
        <f ca="1">IFERROR(__xludf.DUMMYFUNCTION("""COMPUTED_VALUE"""),"")</f>
        <v/>
      </c>
      <c r="C593" s="189" t="str">
        <f ca="1">IFERROR(__xludf.DUMMYFUNCTION("""COMPUTED_VALUE"""),"")</f>
        <v/>
      </c>
      <c r="D593" s="189" t="str">
        <f ca="1">IFERROR(__xludf.DUMMYFUNCTION("""COMPUTED_VALUE"""),"")</f>
        <v/>
      </c>
      <c r="E593" s="189" t="str">
        <f ca="1">IFERROR(__xludf.DUMMYFUNCTION("""COMPUTED_VALUE"""),"")</f>
        <v/>
      </c>
      <c r="F593" s="189" t="str">
        <f ca="1">IFERROR(__xludf.DUMMYFUNCTION("""COMPUTED_VALUE"""),"")</f>
        <v/>
      </c>
      <c r="G593" s="189" t="str">
        <f ca="1">IFERROR(__xludf.DUMMYFUNCTION("""COMPUTED_VALUE"""),"")</f>
        <v/>
      </c>
      <c r="H593" s="189" t="str">
        <f ca="1">IFERROR(__xludf.DUMMYFUNCTION("""COMPUTED_VALUE"""),"")</f>
        <v/>
      </c>
      <c r="I593" s="120" t="str">
        <f ca="1">IFERROR(__xludf.DUMMYFUNCTION("""COMPUTED_VALUE"""),"")</f>
        <v/>
      </c>
      <c r="J593" s="189" t="str">
        <f ca="1">IFERROR(__xludf.DUMMYFUNCTION("""COMPUTED_VALUE"""),"")</f>
        <v/>
      </c>
      <c r="K593" s="189" t="str">
        <f ca="1">IFERROR(__xludf.DUMMYFUNCTION("""COMPUTED_VALUE"""),"")</f>
        <v/>
      </c>
      <c r="L593" s="189" t="str">
        <f ca="1">IFERROR(__xludf.DUMMYFUNCTION("""COMPUTED_VALUE"""),"")</f>
        <v/>
      </c>
      <c r="M593" s="189" t="str">
        <f ca="1">IFERROR(__xludf.DUMMYFUNCTION("""COMPUTED_VALUE"""),"")</f>
        <v/>
      </c>
      <c r="N593" s="189" t="str">
        <f ca="1">IFERROR(__xludf.DUMMYFUNCTION("""COMPUTED_VALUE"""),"")</f>
        <v/>
      </c>
      <c r="O593" s="189" t="str">
        <f ca="1">IFERROR(__xludf.DUMMYFUNCTION("""COMPUTED_VALUE"""),"")</f>
        <v/>
      </c>
      <c r="P593" s="189" t="str">
        <f ca="1">IFERROR(__xludf.DUMMYFUNCTION("""COMPUTED_VALUE"""),"")</f>
        <v/>
      </c>
      <c r="Q593" s="189" t="str">
        <f ca="1">IFERROR(__xludf.DUMMYFUNCTION("""COMPUTED_VALUE"""),"")</f>
        <v/>
      </c>
      <c r="R593" s="189" t="str">
        <f ca="1">IFERROR(__xludf.DUMMYFUNCTION("""COMPUTED_VALUE"""),"")</f>
        <v/>
      </c>
      <c r="S593" s="189" t="str">
        <f ca="1">IFERROR(__xludf.DUMMYFUNCTION("""COMPUTED_VALUE"""),"")</f>
        <v/>
      </c>
      <c r="T593" s="189" t="str">
        <f ca="1">IFERROR(__xludf.DUMMYFUNCTION("""COMPUTED_VALUE"""),"")</f>
        <v/>
      </c>
      <c r="U593" s="189" t="str">
        <f ca="1">IFERROR(__xludf.DUMMYFUNCTION("""COMPUTED_VALUE"""),"")</f>
        <v/>
      </c>
      <c r="V593" s="189" t="str">
        <f ca="1">IFERROR(__xludf.DUMMYFUNCTION("""COMPUTED_VALUE"""),"")</f>
        <v/>
      </c>
      <c r="W593" s="189" t="str">
        <f ca="1">IFERROR(__xludf.DUMMYFUNCTION("""COMPUTED_VALUE"""),"")</f>
        <v/>
      </c>
      <c r="X593" s="189" t="str">
        <f ca="1">IFERROR(__xludf.DUMMYFUNCTION("""COMPUTED_VALUE"""),"")</f>
        <v/>
      </c>
      <c r="Y593" s="189" t="str">
        <f ca="1">IFERROR(__xludf.DUMMYFUNCTION("""COMPUTED_VALUE"""),"")</f>
        <v/>
      </c>
      <c r="Z593" s="189"/>
    </row>
    <row r="594" spans="1:26" ht="12.75">
      <c r="A594" s="189" t="str">
        <f ca="1">IFERROR(__xludf.DUMMYFUNCTION("""COMPUTED_VALUE"""),"")</f>
        <v/>
      </c>
      <c r="B594" s="189" t="str">
        <f ca="1">IFERROR(__xludf.DUMMYFUNCTION("""COMPUTED_VALUE"""),"")</f>
        <v/>
      </c>
      <c r="C594" s="189" t="str">
        <f ca="1">IFERROR(__xludf.DUMMYFUNCTION("""COMPUTED_VALUE"""),"")</f>
        <v/>
      </c>
      <c r="D594" s="189" t="str">
        <f ca="1">IFERROR(__xludf.DUMMYFUNCTION("""COMPUTED_VALUE"""),"")</f>
        <v/>
      </c>
      <c r="E594" s="189" t="str">
        <f ca="1">IFERROR(__xludf.DUMMYFUNCTION("""COMPUTED_VALUE"""),"")</f>
        <v/>
      </c>
      <c r="F594" s="189" t="str">
        <f ca="1">IFERROR(__xludf.DUMMYFUNCTION("""COMPUTED_VALUE"""),"")</f>
        <v/>
      </c>
      <c r="G594" s="189" t="str">
        <f ca="1">IFERROR(__xludf.DUMMYFUNCTION("""COMPUTED_VALUE"""),"")</f>
        <v/>
      </c>
      <c r="H594" s="189" t="str">
        <f ca="1">IFERROR(__xludf.DUMMYFUNCTION("""COMPUTED_VALUE"""),"")</f>
        <v/>
      </c>
      <c r="I594" s="120" t="str">
        <f ca="1">IFERROR(__xludf.DUMMYFUNCTION("""COMPUTED_VALUE"""),"")</f>
        <v/>
      </c>
      <c r="J594" s="189" t="str">
        <f ca="1">IFERROR(__xludf.DUMMYFUNCTION("""COMPUTED_VALUE"""),"")</f>
        <v/>
      </c>
      <c r="K594" s="189" t="str">
        <f ca="1">IFERROR(__xludf.DUMMYFUNCTION("""COMPUTED_VALUE"""),"")</f>
        <v/>
      </c>
      <c r="L594" s="189" t="str">
        <f ca="1">IFERROR(__xludf.DUMMYFUNCTION("""COMPUTED_VALUE"""),"")</f>
        <v/>
      </c>
      <c r="M594" s="189" t="str">
        <f ca="1">IFERROR(__xludf.DUMMYFUNCTION("""COMPUTED_VALUE"""),"")</f>
        <v/>
      </c>
      <c r="N594" s="189" t="str">
        <f ca="1">IFERROR(__xludf.DUMMYFUNCTION("""COMPUTED_VALUE"""),"")</f>
        <v/>
      </c>
      <c r="O594" s="189" t="str">
        <f ca="1">IFERROR(__xludf.DUMMYFUNCTION("""COMPUTED_VALUE"""),"")</f>
        <v/>
      </c>
      <c r="P594" s="189" t="str">
        <f ca="1">IFERROR(__xludf.DUMMYFUNCTION("""COMPUTED_VALUE"""),"")</f>
        <v/>
      </c>
      <c r="Q594" s="189" t="str">
        <f ca="1">IFERROR(__xludf.DUMMYFUNCTION("""COMPUTED_VALUE"""),"")</f>
        <v/>
      </c>
      <c r="R594" s="189" t="str">
        <f ca="1">IFERROR(__xludf.DUMMYFUNCTION("""COMPUTED_VALUE"""),"")</f>
        <v/>
      </c>
      <c r="S594" s="189" t="str">
        <f ca="1">IFERROR(__xludf.DUMMYFUNCTION("""COMPUTED_VALUE"""),"")</f>
        <v/>
      </c>
      <c r="T594" s="189" t="str">
        <f ca="1">IFERROR(__xludf.DUMMYFUNCTION("""COMPUTED_VALUE"""),"")</f>
        <v/>
      </c>
      <c r="U594" s="189" t="str">
        <f ca="1">IFERROR(__xludf.DUMMYFUNCTION("""COMPUTED_VALUE"""),"")</f>
        <v/>
      </c>
      <c r="V594" s="189" t="str">
        <f ca="1">IFERROR(__xludf.DUMMYFUNCTION("""COMPUTED_VALUE"""),"")</f>
        <v/>
      </c>
      <c r="W594" s="189" t="str">
        <f ca="1">IFERROR(__xludf.DUMMYFUNCTION("""COMPUTED_VALUE"""),"")</f>
        <v/>
      </c>
      <c r="X594" s="189" t="str">
        <f ca="1">IFERROR(__xludf.DUMMYFUNCTION("""COMPUTED_VALUE"""),"")</f>
        <v/>
      </c>
      <c r="Y594" s="189" t="str">
        <f ca="1">IFERROR(__xludf.DUMMYFUNCTION("""COMPUTED_VALUE"""),"")</f>
        <v/>
      </c>
      <c r="Z594" s="189"/>
    </row>
    <row r="595" spans="1:26" ht="12.75">
      <c r="A595" s="189" t="str">
        <f ca="1">IFERROR(__xludf.DUMMYFUNCTION("""COMPUTED_VALUE"""),"")</f>
        <v/>
      </c>
      <c r="B595" s="189" t="str">
        <f ca="1">IFERROR(__xludf.DUMMYFUNCTION("""COMPUTED_VALUE"""),"")</f>
        <v/>
      </c>
      <c r="C595" s="189" t="str">
        <f ca="1">IFERROR(__xludf.DUMMYFUNCTION("""COMPUTED_VALUE"""),"")</f>
        <v/>
      </c>
      <c r="D595" s="189" t="str">
        <f ca="1">IFERROR(__xludf.DUMMYFUNCTION("""COMPUTED_VALUE"""),"")</f>
        <v/>
      </c>
      <c r="E595" s="189" t="str">
        <f ca="1">IFERROR(__xludf.DUMMYFUNCTION("""COMPUTED_VALUE"""),"")</f>
        <v/>
      </c>
      <c r="F595" s="189" t="str">
        <f ca="1">IFERROR(__xludf.DUMMYFUNCTION("""COMPUTED_VALUE"""),"")</f>
        <v/>
      </c>
      <c r="G595" s="189" t="str">
        <f ca="1">IFERROR(__xludf.DUMMYFUNCTION("""COMPUTED_VALUE"""),"")</f>
        <v/>
      </c>
      <c r="H595" s="189" t="str">
        <f ca="1">IFERROR(__xludf.DUMMYFUNCTION("""COMPUTED_VALUE"""),"")</f>
        <v/>
      </c>
      <c r="I595" s="120" t="str">
        <f ca="1">IFERROR(__xludf.DUMMYFUNCTION("""COMPUTED_VALUE"""),"")</f>
        <v/>
      </c>
      <c r="J595" s="189" t="str">
        <f ca="1">IFERROR(__xludf.DUMMYFUNCTION("""COMPUTED_VALUE"""),"")</f>
        <v/>
      </c>
      <c r="K595" s="189" t="str">
        <f ca="1">IFERROR(__xludf.DUMMYFUNCTION("""COMPUTED_VALUE"""),"")</f>
        <v/>
      </c>
      <c r="L595" s="189" t="str">
        <f ca="1">IFERROR(__xludf.DUMMYFUNCTION("""COMPUTED_VALUE"""),"")</f>
        <v/>
      </c>
      <c r="M595" s="189" t="str">
        <f ca="1">IFERROR(__xludf.DUMMYFUNCTION("""COMPUTED_VALUE"""),"")</f>
        <v/>
      </c>
      <c r="N595" s="189" t="str">
        <f ca="1">IFERROR(__xludf.DUMMYFUNCTION("""COMPUTED_VALUE"""),"")</f>
        <v/>
      </c>
      <c r="O595" s="189" t="str">
        <f ca="1">IFERROR(__xludf.DUMMYFUNCTION("""COMPUTED_VALUE"""),"")</f>
        <v/>
      </c>
      <c r="P595" s="189" t="str">
        <f ca="1">IFERROR(__xludf.DUMMYFUNCTION("""COMPUTED_VALUE"""),"")</f>
        <v/>
      </c>
      <c r="Q595" s="189" t="str">
        <f ca="1">IFERROR(__xludf.DUMMYFUNCTION("""COMPUTED_VALUE"""),"")</f>
        <v/>
      </c>
      <c r="R595" s="189" t="str">
        <f ca="1">IFERROR(__xludf.DUMMYFUNCTION("""COMPUTED_VALUE"""),"")</f>
        <v/>
      </c>
      <c r="S595" s="189" t="str">
        <f ca="1">IFERROR(__xludf.DUMMYFUNCTION("""COMPUTED_VALUE"""),"")</f>
        <v/>
      </c>
      <c r="T595" s="189" t="str">
        <f ca="1">IFERROR(__xludf.DUMMYFUNCTION("""COMPUTED_VALUE"""),"")</f>
        <v/>
      </c>
      <c r="U595" s="189" t="str">
        <f ca="1">IFERROR(__xludf.DUMMYFUNCTION("""COMPUTED_VALUE"""),"")</f>
        <v/>
      </c>
      <c r="V595" s="189" t="str">
        <f ca="1">IFERROR(__xludf.DUMMYFUNCTION("""COMPUTED_VALUE"""),"")</f>
        <v/>
      </c>
      <c r="W595" s="189" t="str">
        <f ca="1">IFERROR(__xludf.DUMMYFUNCTION("""COMPUTED_VALUE"""),"")</f>
        <v/>
      </c>
      <c r="X595" s="189" t="str">
        <f ca="1">IFERROR(__xludf.DUMMYFUNCTION("""COMPUTED_VALUE"""),"")</f>
        <v/>
      </c>
      <c r="Y595" s="189" t="str">
        <f ca="1">IFERROR(__xludf.DUMMYFUNCTION("""COMPUTED_VALUE"""),"")</f>
        <v/>
      </c>
      <c r="Z595" s="189"/>
    </row>
    <row r="596" spans="1:26" ht="12.75">
      <c r="A596" s="189" t="str">
        <f ca="1">IFERROR(__xludf.DUMMYFUNCTION("""COMPUTED_VALUE"""),"")</f>
        <v/>
      </c>
      <c r="B596" s="189" t="str">
        <f ca="1">IFERROR(__xludf.DUMMYFUNCTION("""COMPUTED_VALUE"""),"")</f>
        <v/>
      </c>
      <c r="C596" s="189" t="str">
        <f ca="1">IFERROR(__xludf.DUMMYFUNCTION("""COMPUTED_VALUE"""),"")</f>
        <v/>
      </c>
      <c r="D596" s="189" t="str">
        <f ca="1">IFERROR(__xludf.DUMMYFUNCTION("""COMPUTED_VALUE"""),"")</f>
        <v/>
      </c>
      <c r="E596" s="189" t="str">
        <f ca="1">IFERROR(__xludf.DUMMYFUNCTION("""COMPUTED_VALUE"""),"")</f>
        <v/>
      </c>
      <c r="F596" s="189" t="str">
        <f ca="1">IFERROR(__xludf.DUMMYFUNCTION("""COMPUTED_VALUE"""),"")</f>
        <v/>
      </c>
      <c r="G596" s="189" t="str">
        <f ca="1">IFERROR(__xludf.DUMMYFUNCTION("""COMPUTED_VALUE"""),"")</f>
        <v/>
      </c>
      <c r="H596" s="189" t="str">
        <f ca="1">IFERROR(__xludf.DUMMYFUNCTION("""COMPUTED_VALUE"""),"")</f>
        <v/>
      </c>
      <c r="I596" s="120" t="str">
        <f ca="1">IFERROR(__xludf.DUMMYFUNCTION("""COMPUTED_VALUE"""),"")</f>
        <v/>
      </c>
      <c r="J596" s="189" t="str">
        <f ca="1">IFERROR(__xludf.DUMMYFUNCTION("""COMPUTED_VALUE"""),"")</f>
        <v/>
      </c>
      <c r="K596" s="189" t="str">
        <f ca="1">IFERROR(__xludf.DUMMYFUNCTION("""COMPUTED_VALUE"""),"")</f>
        <v/>
      </c>
      <c r="L596" s="189" t="str">
        <f ca="1">IFERROR(__xludf.DUMMYFUNCTION("""COMPUTED_VALUE"""),"")</f>
        <v/>
      </c>
      <c r="M596" s="189" t="str">
        <f ca="1">IFERROR(__xludf.DUMMYFUNCTION("""COMPUTED_VALUE"""),"")</f>
        <v/>
      </c>
      <c r="N596" s="189" t="str">
        <f ca="1">IFERROR(__xludf.DUMMYFUNCTION("""COMPUTED_VALUE"""),"")</f>
        <v/>
      </c>
      <c r="O596" s="189" t="str">
        <f ca="1">IFERROR(__xludf.DUMMYFUNCTION("""COMPUTED_VALUE"""),"")</f>
        <v/>
      </c>
      <c r="P596" s="189" t="str">
        <f ca="1">IFERROR(__xludf.DUMMYFUNCTION("""COMPUTED_VALUE"""),"")</f>
        <v/>
      </c>
      <c r="Q596" s="189" t="str">
        <f ca="1">IFERROR(__xludf.DUMMYFUNCTION("""COMPUTED_VALUE"""),"")</f>
        <v/>
      </c>
      <c r="R596" s="189" t="str">
        <f ca="1">IFERROR(__xludf.DUMMYFUNCTION("""COMPUTED_VALUE"""),"")</f>
        <v/>
      </c>
      <c r="S596" s="189" t="str">
        <f ca="1">IFERROR(__xludf.DUMMYFUNCTION("""COMPUTED_VALUE"""),"")</f>
        <v/>
      </c>
      <c r="T596" s="189" t="str">
        <f ca="1">IFERROR(__xludf.DUMMYFUNCTION("""COMPUTED_VALUE"""),"")</f>
        <v/>
      </c>
      <c r="U596" s="189" t="str">
        <f ca="1">IFERROR(__xludf.DUMMYFUNCTION("""COMPUTED_VALUE"""),"")</f>
        <v/>
      </c>
      <c r="V596" s="189" t="str">
        <f ca="1">IFERROR(__xludf.DUMMYFUNCTION("""COMPUTED_VALUE"""),"")</f>
        <v/>
      </c>
      <c r="W596" s="189" t="str">
        <f ca="1">IFERROR(__xludf.DUMMYFUNCTION("""COMPUTED_VALUE"""),"")</f>
        <v/>
      </c>
      <c r="X596" s="189" t="str">
        <f ca="1">IFERROR(__xludf.DUMMYFUNCTION("""COMPUTED_VALUE"""),"")</f>
        <v/>
      </c>
      <c r="Y596" s="189" t="str">
        <f ca="1">IFERROR(__xludf.DUMMYFUNCTION("""COMPUTED_VALUE"""),"")</f>
        <v/>
      </c>
      <c r="Z596" s="189"/>
    </row>
    <row r="597" spans="1:26" ht="12.75">
      <c r="A597" s="189" t="str">
        <f ca="1">IFERROR(__xludf.DUMMYFUNCTION("""COMPUTED_VALUE"""),"")</f>
        <v/>
      </c>
      <c r="B597" s="189" t="str">
        <f ca="1">IFERROR(__xludf.DUMMYFUNCTION("""COMPUTED_VALUE"""),"")</f>
        <v/>
      </c>
      <c r="C597" s="189" t="str">
        <f ca="1">IFERROR(__xludf.DUMMYFUNCTION("""COMPUTED_VALUE"""),"")</f>
        <v/>
      </c>
      <c r="D597" s="189" t="str">
        <f ca="1">IFERROR(__xludf.DUMMYFUNCTION("""COMPUTED_VALUE"""),"")</f>
        <v/>
      </c>
      <c r="E597" s="189" t="str">
        <f ca="1">IFERROR(__xludf.DUMMYFUNCTION("""COMPUTED_VALUE"""),"")</f>
        <v/>
      </c>
      <c r="F597" s="189" t="str">
        <f ca="1">IFERROR(__xludf.DUMMYFUNCTION("""COMPUTED_VALUE"""),"")</f>
        <v/>
      </c>
      <c r="G597" s="189" t="str">
        <f ca="1">IFERROR(__xludf.DUMMYFUNCTION("""COMPUTED_VALUE"""),"")</f>
        <v/>
      </c>
      <c r="H597" s="189" t="str">
        <f ca="1">IFERROR(__xludf.DUMMYFUNCTION("""COMPUTED_VALUE"""),"")</f>
        <v/>
      </c>
      <c r="I597" s="120" t="str">
        <f ca="1">IFERROR(__xludf.DUMMYFUNCTION("""COMPUTED_VALUE"""),"")</f>
        <v/>
      </c>
      <c r="J597" s="189" t="str">
        <f ca="1">IFERROR(__xludf.DUMMYFUNCTION("""COMPUTED_VALUE"""),"")</f>
        <v/>
      </c>
      <c r="K597" s="189" t="str">
        <f ca="1">IFERROR(__xludf.DUMMYFUNCTION("""COMPUTED_VALUE"""),"")</f>
        <v/>
      </c>
      <c r="L597" s="189" t="str">
        <f ca="1">IFERROR(__xludf.DUMMYFUNCTION("""COMPUTED_VALUE"""),"")</f>
        <v/>
      </c>
      <c r="M597" s="189" t="str">
        <f ca="1">IFERROR(__xludf.DUMMYFUNCTION("""COMPUTED_VALUE"""),"")</f>
        <v/>
      </c>
      <c r="N597" s="189" t="str">
        <f ca="1">IFERROR(__xludf.DUMMYFUNCTION("""COMPUTED_VALUE"""),"")</f>
        <v/>
      </c>
      <c r="O597" s="189" t="str">
        <f ca="1">IFERROR(__xludf.DUMMYFUNCTION("""COMPUTED_VALUE"""),"")</f>
        <v/>
      </c>
      <c r="P597" s="189" t="str">
        <f ca="1">IFERROR(__xludf.DUMMYFUNCTION("""COMPUTED_VALUE"""),"")</f>
        <v/>
      </c>
      <c r="Q597" s="189" t="str">
        <f ca="1">IFERROR(__xludf.DUMMYFUNCTION("""COMPUTED_VALUE"""),"")</f>
        <v/>
      </c>
      <c r="R597" s="189" t="str">
        <f ca="1">IFERROR(__xludf.DUMMYFUNCTION("""COMPUTED_VALUE"""),"")</f>
        <v/>
      </c>
      <c r="S597" s="189" t="str">
        <f ca="1">IFERROR(__xludf.DUMMYFUNCTION("""COMPUTED_VALUE"""),"")</f>
        <v/>
      </c>
      <c r="T597" s="189" t="str">
        <f ca="1">IFERROR(__xludf.DUMMYFUNCTION("""COMPUTED_VALUE"""),"")</f>
        <v/>
      </c>
      <c r="U597" s="189" t="str">
        <f ca="1">IFERROR(__xludf.DUMMYFUNCTION("""COMPUTED_VALUE"""),"")</f>
        <v/>
      </c>
      <c r="V597" s="189" t="str">
        <f ca="1">IFERROR(__xludf.DUMMYFUNCTION("""COMPUTED_VALUE"""),"")</f>
        <v/>
      </c>
      <c r="W597" s="189" t="str">
        <f ca="1">IFERROR(__xludf.DUMMYFUNCTION("""COMPUTED_VALUE"""),"")</f>
        <v/>
      </c>
      <c r="X597" s="189" t="str">
        <f ca="1">IFERROR(__xludf.DUMMYFUNCTION("""COMPUTED_VALUE"""),"")</f>
        <v/>
      </c>
      <c r="Y597" s="189" t="str">
        <f ca="1">IFERROR(__xludf.DUMMYFUNCTION("""COMPUTED_VALUE"""),"")</f>
        <v/>
      </c>
      <c r="Z597" s="189"/>
    </row>
    <row r="598" spans="1:26" ht="12.75">
      <c r="A598" s="189" t="str">
        <f ca="1">IFERROR(__xludf.DUMMYFUNCTION("""COMPUTED_VALUE"""),"")</f>
        <v/>
      </c>
      <c r="B598" s="189" t="str">
        <f ca="1">IFERROR(__xludf.DUMMYFUNCTION("""COMPUTED_VALUE"""),"")</f>
        <v/>
      </c>
      <c r="C598" s="189" t="str">
        <f ca="1">IFERROR(__xludf.DUMMYFUNCTION("""COMPUTED_VALUE"""),"")</f>
        <v/>
      </c>
      <c r="D598" s="189" t="str">
        <f ca="1">IFERROR(__xludf.DUMMYFUNCTION("""COMPUTED_VALUE"""),"")</f>
        <v/>
      </c>
      <c r="E598" s="189" t="str">
        <f ca="1">IFERROR(__xludf.DUMMYFUNCTION("""COMPUTED_VALUE"""),"")</f>
        <v/>
      </c>
      <c r="F598" s="189" t="str">
        <f ca="1">IFERROR(__xludf.DUMMYFUNCTION("""COMPUTED_VALUE"""),"")</f>
        <v/>
      </c>
      <c r="G598" s="189" t="str">
        <f ca="1">IFERROR(__xludf.DUMMYFUNCTION("""COMPUTED_VALUE"""),"")</f>
        <v/>
      </c>
      <c r="H598" s="189" t="str">
        <f ca="1">IFERROR(__xludf.DUMMYFUNCTION("""COMPUTED_VALUE"""),"")</f>
        <v/>
      </c>
      <c r="I598" s="120" t="str">
        <f ca="1">IFERROR(__xludf.DUMMYFUNCTION("""COMPUTED_VALUE"""),"")</f>
        <v/>
      </c>
      <c r="J598" s="189" t="str">
        <f ca="1">IFERROR(__xludf.DUMMYFUNCTION("""COMPUTED_VALUE"""),"")</f>
        <v/>
      </c>
      <c r="K598" s="189" t="str">
        <f ca="1">IFERROR(__xludf.DUMMYFUNCTION("""COMPUTED_VALUE"""),"")</f>
        <v/>
      </c>
      <c r="L598" s="189" t="str">
        <f ca="1">IFERROR(__xludf.DUMMYFUNCTION("""COMPUTED_VALUE"""),"")</f>
        <v/>
      </c>
      <c r="M598" s="189" t="str">
        <f ca="1">IFERROR(__xludf.DUMMYFUNCTION("""COMPUTED_VALUE"""),"")</f>
        <v/>
      </c>
      <c r="N598" s="189" t="str">
        <f ca="1">IFERROR(__xludf.DUMMYFUNCTION("""COMPUTED_VALUE"""),"")</f>
        <v/>
      </c>
      <c r="O598" s="189" t="str">
        <f ca="1">IFERROR(__xludf.DUMMYFUNCTION("""COMPUTED_VALUE"""),"")</f>
        <v/>
      </c>
      <c r="P598" s="189" t="str">
        <f ca="1">IFERROR(__xludf.DUMMYFUNCTION("""COMPUTED_VALUE"""),"")</f>
        <v/>
      </c>
      <c r="Q598" s="189" t="str">
        <f ca="1">IFERROR(__xludf.DUMMYFUNCTION("""COMPUTED_VALUE"""),"")</f>
        <v/>
      </c>
      <c r="R598" s="189" t="str">
        <f ca="1">IFERROR(__xludf.DUMMYFUNCTION("""COMPUTED_VALUE"""),"")</f>
        <v/>
      </c>
      <c r="S598" s="189" t="str">
        <f ca="1">IFERROR(__xludf.DUMMYFUNCTION("""COMPUTED_VALUE"""),"")</f>
        <v/>
      </c>
      <c r="T598" s="189" t="str">
        <f ca="1">IFERROR(__xludf.DUMMYFUNCTION("""COMPUTED_VALUE"""),"")</f>
        <v/>
      </c>
      <c r="U598" s="189" t="str">
        <f ca="1">IFERROR(__xludf.DUMMYFUNCTION("""COMPUTED_VALUE"""),"")</f>
        <v/>
      </c>
      <c r="V598" s="189" t="str">
        <f ca="1">IFERROR(__xludf.DUMMYFUNCTION("""COMPUTED_VALUE"""),"")</f>
        <v/>
      </c>
      <c r="W598" s="189" t="str">
        <f ca="1">IFERROR(__xludf.DUMMYFUNCTION("""COMPUTED_VALUE"""),"")</f>
        <v/>
      </c>
      <c r="X598" s="189" t="str">
        <f ca="1">IFERROR(__xludf.DUMMYFUNCTION("""COMPUTED_VALUE"""),"")</f>
        <v/>
      </c>
      <c r="Y598" s="189" t="str">
        <f ca="1">IFERROR(__xludf.DUMMYFUNCTION("""COMPUTED_VALUE"""),"")</f>
        <v/>
      </c>
      <c r="Z598" s="189"/>
    </row>
    <row r="599" spans="1:26" ht="12.75">
      <c r="A599" s="189" t="str">
        <f ca="1">IFERROR(__xludf.DUMMYFUNCTION("""COMPUTED_VALUE"""),"")</f>
        <v/>
      </c>
      <c r="B599" s="189" t="str">
        <f ca="1">IFERROR(__xludf.DUMMYFUNCTION("""COMPUTED_VALUE"""),"")</f>
        <v/>
      </c>
      <c r="C599" s="189" t="str">
        <f ca="1">IFERROR(__xludf.DUMMYFUNCTION("""COMPUTED_VALUE"""),"")</f>
        <v/>
      </c>
      <c r="D599" s="189" t="str">
        <f ca="1">IFERROR(__xludf.DUMMYFUNCTION("""COMPUTED_VALUE"""),"")</f>
        <v/>
      </c>
      <c r="E599" s="189" t="str">
        <f ca="1">IFERROR(__xludf.DUMMYFUNCTION("""COMPUTED_VALUE"""),"")</f>
        <v/>
      </c>
      <c r="F599" s="189" t="str">
        <f ca="1">IFERROR(__xludf.DUMMYFUNCTION("""COMPUTED_VALUE"""),"")</f>
        <v/>
      </c>
      <c r="G599" s="189" t="str">
        <f ca="1">IFERROR(__xludf.DUMMYFUNCTION("""COMPUTED_VALUE"""),"")</f>
        <v/>
      </c>
      <c r="H599" s="189" t="str">
        <f ca="1">IFERROR(__xludf.DUMMYFUNCTION("""COMPUTED_VALUE"""),"")</f>
        <v/>
      </c>
      <c r="I599" s="120" t="str">
        <f ca="1">IFERROR(__xludf.DUMMYFUNCTION("""COMPUTED_VALUE"""),"")</f>
        <v/>
      </c>
      <c r="J599" s="189" t="str">
        <f ca="1">IFERROR(__xludf.DUMMYFUNCTION("""COMPUTED_VALUE"""),"")</f>
        <v/>
      </c>
      <c r="K599" s="189" t="str">
        <f ca="1">IFERROR(__xludf.DUMMYFUNCTION("""COMPUTED_VALUE"""),"")</f>
        <v/>
      </c>
      <c r="L599" s="189" t="str">
        <f ca="1">IFERROR(__xludf.DUMMYFUNCTION("""COMPUTED_VALUE"""),"")</f>
        <v/>
      </c>
      <c r="M599" s="189" t="str">
        <f ca="1">IFERROR(__xludf.DUMMYFUNCTION("""COMPUTED_VALUE"""),"")</f>
        <v/>
      </c>
      <c r="N599" s="189" t="str">
        <f ca="1">IFERROR(__xludf.DUMMYFUNCTION("""COMPUTED_VALUE"""),"")</f>
        <v/>
      </c>
      <c r="O599" s="189" t="str">
        <f ca="1">IFERROR(__xludf.DUMMYFUNCTION("""COMPUTED_VALUE"""),"")</f>
        <v/>
      </c>
      <c r="P599" s="189" t="str">
        <f ca="1">IFERROR(__xludf.DUMMYFUNCTION("""COMPUTED_VALUE"""),"")</f>
        <v/>
      </c>
      <c r="Q599" s="189" t="str">
        <f ca="1">IFERROR(__xludf.DUMMYFUNCTION("""COMPUTED_VALUE"""),"")</f>
        <v/>
      </c>
      <c r="R599" s="189" t="str">
        <f ca="1">IFERROR(__xludf.DUMMYFUNCTION("""COMPUTED_VALUE"""),"")</f>
        <v/>
      </c>
      <c r="S599" s="189" t="str">
        <f ca="1">IFERROR(__xludf.DUMMYFUNCTION("""COMPUTED_VALUE"""),"")</f>
        <v/>
      </c>
      <c r="T599" s="189" t="str">
        <f ca="1">IFERROR(__xludf.DUMMYFUNCTION("""COMPUTED_VALUE"""),"")</f>
        <v/>
      </c>
      <c r="U599" s="189" t="str">
        <f ca="1">IFERROR(__xludf.DUMMYFUNCTION("""COMPUTED_VALUE"""),"")</f>
        <v/>
      </c>
      <c r="V599" s="189" t="str">
        <f ca="1">IFERROR(__xludf.DUMMYFUNCTION("""COMPUTED_VALUE"""),"")</f>
        <v/>
      </c>
      <c r="W599" s="189" t="str">
        <f ca="1">IFERROR(__xludf.DUMMYFUNCTION("""COMPUTED_VALUE"""),"")</f>
        <v/>
      </c>
      <c r="X599" s="189" t="str">
        <f ca="1">IFERROR(__xludf.DUMMYFUNCTION("""COMPUTED_VALUE"""),"")</f>
        <v/>
      </c>
      <c r="Y599" s="189" t="str">
        <f ca="1">IFERROR(__xludf.DUMMYFUNCTION("""COMPUTED_VALUE"""),"")</f>
        <v/>
      </c>
      <c r="Z599" s="189"/>
    </row>
    <row r="600" spans="1:26" ht="12.75">
      <c r="A600" s="189" t="str">
        <f ca="1">IFERROR(__xludf.DUMMYFUNCTION("""COMPUTED_VALUE"""),"")</f>
        <v/>
      </c>
      <c r="B600" s="189" t="str">
        <f ca="1">IFERROR(__xludf.DUMMYFUNCTION("""COMPUTED_VALUE"""),"")</f>
        <v/>
      </c>
      <c r="C600" s="189" t="str">
        <f ca="1">IFERROR(__xludf.DUMMYFUNCTION("""COMPUTED_VALUE"""),"")</f>
        <v/>
      </c>
      <c r="D600" s="189" t="str">
        <f ca="1">IFERROR(__xludf.DUMMYFUNCTION("""COMPUTED_VALUE"""),"")</f>
        <v/>
      </c>
      <c r="E600" s="189" t="str">
        <f ca="1">IFERROR(__xludf.DUMMYFUNCTION("""COMPUTED_VALUE"""),"")</f>
        <v/>
      </c>
      <c r="F600" s="189" t="str">
        <f ca="1">IFERROR(__xludf.DUMMYFUNCTION("""COMPUTED_VALUE"""),"")</f>
        <v/>
      </c>
      <c r="G600" s="189" t="str">
        <f ca="1">IFERROR(__xludf.DUMMYFUNCTION("""COMPUTED_VALUE"""),"")</f>
        <v/>
      </c>
      <c r="H600" s="189" t="str">
        <f ca="1">IFERROR(__xludf.DUMMYFUNCTION("""COMPUTED_VALUE"""),"")</f>
        <v/>
      </c>
      <c r="I600" s="120" t="str">
        <f ca="1">IFERROR(__xludf.DUMMYFUNCTION("""COMPUTED_VALUE"""),"")</f>
        <v/>
      </c>
      <c r="J600" s="189" t="str">
        <f ca="1">IFERROR(__xludf.DUMMYFUNCTION("""COMPUTED_VALUE"""),"")</f>
        <v/>
      </c>
      <c r="K600" s="189" t="str">
        <f ca="1">IFERROR(__xludf.DUMMYFUNCTION("""COMPUTED_VALUE"""),"")</f>
        <v/>
      </c>
      <c r="L600" s="189" t="str">
        <f ca="1">IFERROR(__xludf.DUMMYFUNCTION("""COMPUTED_VALUE"""),"")</f>
        <v/>
      </c>
      <c r="M600" s="189" t="str">
        <f ca="1">IFERROR(__xludf.DUMMYFUNCTION("""COMPUTED_VALUE"""),"")</f>
        <v/>
      </c>
      <c r="N600" s="189" t="str">
        <f ca="1">IFERROR(__xludf.DUMMYFUNCTION("""COMPUTED_VALUE"""),"")</f>
        <v/>
      </c>
      <c r="O600" s="189" t="str">
        <f ca="1">IFERROR(__xludf.DUMMYFUNCTION("""COMPUTED_VALUE"""),"")</f>
        <v/>
      </c>
      <c r="P600" s="189" t="str">
        <f ca="1">IFERROR(__xludf.DUMMYFUNCTION("""COMPUTED_VALUE"""),"")</f>
        <v/>
      </c>
      <c r="Q600" s="189" t="str">
        <f ca="1">IFERROR(__xludf.DUMMYFUNCTION("""COMPUTED_VALUE"""),"")</f>
        <v/>
      </c>
      <c r="R600" s="189" t="str">
        <f ca="1">IFERROR(__xludf.DUMMYFUNCTION("""COMPUTED_VALUE"""),"")</f>
        <v/>
      </c>
      <c r="S600" s="189" t="str">
        <f ca="1">IFERROR(__xludf.DUMMYFUNCTION("""COMPUTED_VALUE"""),"")</f>
        <v/>
      </c>
      <c r="T600" s="189" t="str">
        <f ca="1">IFERROR(__xludf.DUMMYFUNCTION("""COMPUTED_VALUE"""),"")</f>
        <v/>
      </c>
      <c r="U600" s="189" t="str">
        <f ca="1">IFERROR(__xludf.DUMMYFUNCTION("""COMPUTED_VALUE"""),"")</f>
        <v/>
      </c>
      <c r="V600" s="189" t="str">
        <f ca="1">IFERROR(__xludf.DUMMYFUNCTION("""COMPUTED_VALUE"""),"")</f>
        <v/>
      </c>
      <c r="W600" s="189" t="str">
        <f ca="1">IFERROR(__xludf.DUMMYFUNCTION("""COMPUTED_VALUE"""),"")</f>
        <v/>
      </c>
      <c r="X600" s="189" t="str">
        <f ca="1">IFERROR(__xludf.DUMMYFUNCTION("""COMPUTED_VALUE"""),"")</f>
        <v/>
      </c>
      <c r="Y600" s="189" t="str">
        <f ca="1">IFERROR(__xludf.DUMMYFUNCTION("""COMPUTED_VALUE"""),"")</f>
        <v/>
      </c>
      <c r="Z600" s="189"/>
    </row>
    <row r="601" spans="1:26" ht="12.75">
      <c r="A601" s="189" t="str">
        <f ca="1">IFERROR(__xludf.DUMMYFUNCTION("""COMPUTED_VALUE"""),"")</f>
        <v/>
      </c>
      <c r="B601" s="189" t="str">
        <f ca="1">IFERROR(__xludf.DUMMYFUNCTION("""COMPUTED_VALUE"""),"")</f>
        <v/>
      </c>
      <c r="C601" s="189" t="str">
        <f ca="1">IFERROR(__xludf.DUMMYFUNCTION("""COMPUTED_VALUE"""),"")</f>
        <v/>
      </c>
      <c r="D601" s="189" t="str">
        <f ca="1">IFERROR(__xludf.DUMMYFUNCTION("""COMPUTED_VALUE"""),"")</f>
        <v/>
      </c>
      <c r="E601" s="189" t="str">
        <f ca="1">IFERROR(__xludf.DUMMYFUNCTION("""COMPUTED_VALUE"""),"")</f>
        <v/>
      </c>
      <c r="F601" s="189" t="str">
        <f ca="1">IFERROR(__xludf.DUMMYFUNCTION("""COMPUTED_VALUE"""),"")</f>
        <v/>
      </c>
      <c r="G601" s="189" t="str">
        <f ca="1">IFERROR(__xludf.DUMMYFUNCTION("""COMPUTED_VALUE"""),"")</f>
        <v/>
      </c>
      <c r="H601" s="189" t="str">
        <f ca="1">IFERROR(__xludf.DUMMYFUNCTION("""COMPUTED_VALUE"""),"")</f>
        <v/>
      </c>
      <c r="I601" s="120" t="str">
        <f ca="1">IFERROR(__xludf.DUMMYFUNCTION("""COMPUTED_VALUE"""),"")</f>
        <v/>
      </c>
      <c r="J601" s="189" t="str">
        <f ca="1">IFERROR(__xludf.DUMMYFUNCTION("""COMPUTED_VALUE"""),"")</f>
        <v/>
      </c>
      <c r="K601" s="189" t="str">
        <f ca="1">IFERROR(__xludf.DUMMYFUNCTION("""COMPUTED_VALUE"""),"")</f>
        <v/>
      </c>
      <c r="L601" s="189" t="str">
        <f ca="1">IFERROR(__xludf.DUMMYFUNCTION("""COMPUTED_VALUE"""),"")</f>
        <v/>
      </c>
      <c r="M601" s="189" t="str">
        <f ca="1">IFERROR(__xludf.DUMMYFUNCTION("""COMPUTED_VALUE"""),"")</f>
        <v/>
      </c>
      <c r="N601" s="189" t="str">
        <f ca="1">IFERROR(__xludf.DUMMYFUNCTION("""COMPUTED_VALUE"""),"")</f>
        <v/>
      </c>
      <c r="O601" s="189" t="str">
        <f ca="1">IFERROR(__xludf.DUMMYFUNCTION("""COMPUTED_VALUE"""),"")</f>
        <v/>
      </c>
      <c r="P601" s="189" t="str">
        <f ca="1">IFERROR(__xludf.DUMMYFUNCTION("""COMPUTED_VALUE"""),"")</f>
        <v/>
      </c>
      <c r="Q601" s="189" t="str">
        <f ca="1">IFERROR(__xludf.DUMMYFUNCTION("""COMPUTED_VALUE"""),"")</f>
        <v/>
      </c>
      <c r="R601" s="189" t="str">
        <f ca="1">IFERROR(__xludf.DUMMYFUNCTION("""COMPUTED_VALUE"""),"")</f>
        <v/>
      </c>
      <c r="S601" s="189" t="str">
        <f ca="1">IFERROR(__xludf.DUMMYFUNCTION("""COMPUTED_VALUE"""),"")</f>
        <v/>
      </c>
      <c r="T601" s="189" t="str">
        <f ca="1">IFERROR(__xludf.DUMMYFUNCTION("""COMPUTED_VALUE"""),"")</f>
        <v/>
      </c>
      <c r="U601" s="189" t="str">
        <f ca="1">IFERROR(__xludf.DUMMYFUNCTION("""COMPUTED_VALUE"""),"")</f>
        <v/>
      </c>
      <c r="V601" s="189" t="str">
        <f ca="1">IFERROR(__xludf.DUMMYFUNCTION("""COMPUTED_VALUE"""),"")</f>
        <v/>
      </c>
      <c r="W601" s="189" t="str">
        <f ca="1">IFERROR(__xludf.DUMMYFUNCTION("""COMPUTED_VALUE"""),"")</f>
        <v/>
      </c>
      <c r="X601" s="189" t="str">
        <f ca="1">IFERROR(__xludf.DUMMYFUNCTION("""COMPUTED_VALUE"""),"")</f>
        <v/>
      </c>
      <c r="Y601" s="189" t="str">
        <f ca="1">IFERROR(__xludf.DUMMYFUNCTION("""COMPUTED_VALUE"""),"")</f>
        <v/>
      </c>
      <c r="Z601" s="189"/>
    </row>
    <row r="602" spans="1:26" ht="12.75">
      <c r="A602" s="189" t="str">
        <f ca="1">IFERROR(__xludf.DUMMYFUNCTION("""COMPUTED_VALUE"""),"")</f>
        <v/>
      </c>
      <c r="B602" s="189" t="str">
        <f ca="1">IFERROR(__xludf.DUMMYFUNCTION("""COMPUTED_VALUE"""),"")</f>
        <v/>
      </c>
      <c r="C602" s="189" t="str">
        <f ca="1">IFERROR(__xludf.DUMMYFUNCTION("""COMPUTED_VALUE"""),"")</f>
        <v/>
      </c>
      <c r="D602" s="189" t="str">
        <f ca="1">IFERROR(__xludf.DUMMYFUNCTION("""COMPUTED_VALUE"""),"")</f>
        <v/>
      </c>
      <c r="E602" s="189" t="str">
        <f ca="1">IFERROR(__xludf.DUMMYFUNCTION("""COMPUTED_VALUE"""),"")</f>
        <v/>
      </c>
      <c r="F602" s="189" t="str">
        <f ca="1">IFERROR(__xludf.DUMMYFUNCTION("""COMPUTED_VALUE"""),"")</f>
        <v/>
      </c>
      <c r="G602" s="189" t="str">
        <f ca="1">IFERROR(__xludf.DUMMYFUNCTION("""COMPUTED_VALUE"""),"")</f>
        <v/>
      </c>
      <c r="H602" s="189" t="str">
        <f ca="1">IFERROR(__xludf.DUMMYFUNCTION("""COMPUTED_VALUE"""),"")</f>
        <v/>
      </c>
      <c r="I602" s="120" t="str">
        <f ca="1">IFERROR(__xludf.DUMMYFUNCTION("""COMPUTED_VALUE"""),"")</f>
        <v/>
      </c>
      <c r="J602" s="189" t="str">
        <f ca="1">IFERROR(__xludf.DUMMYFUNCTION("""COMPUTED_VALUE"""),"")</f>
        <v/>
      </c>
      <c r="K602" s="189" t="str">
        <f ca="1">IFERROR(__xludf.DUMMYFUNCTION("""COMPUTED_VALUE"""),"")</f>
        <v/>
      </c>
      <c r="L602" s="189" t="str">
        <f ca="1">IFERROR(__xludf.DUMMYFUNCTION("""COMPUTED_VALUE"""),"")</f>
        <v/>
      </c>
      <c r="M602" s="189" t="str">
        <f ca="1">IFERROR(__xludf.DUMMYFUNCTION("""COMPUTED_VALUE"""),"")</f>
        <v/>
      </c>
      <c r="N602" s="189" t="str">
        <f ca="1">IFERROR(__xludf.DUMMYFUNCTION("""COMPUTED_VALUE"""),"")</f>
        <v/>
      </c>
      <c r="O602" s="189" t="str">
        <f ca="1">IFERROR(__xludf.DUMMYFUNCTION("""COMPUTED_VALUE"""),"")</f>
        <v/>
      </c>
      <c r="P602" s="189" t="str">
        <f ca="1">IFERROR(__xludf.DUMMYFUNCTION("""COMPUTED_VALUE"""),"")</f>
        <v/>
      </c>
      <c r="Q602" s="189" t="str">
        <f ca="1">IFERROR(__xludf.DUMMYFUNCTION("""COMPUTED_VALUE"""),"")</f>
        <v/>
      </c>
      <c r="R602" s="189" t="str">
        <f ca="1">IFERROR(__xludf.DUMMYFUNCTION("""COMPUTED_VALUE"""),"")</f>
        <v/>
      </c>
      <c r="S602" s="189" t="str">
        <f ca="1">IFERROR(__xludf.DUMMYFUNCTION("""COMPUTED_VALUE"""),"")</f>
        <v/>
      </c>
      <c r="T602" s="189" t="str">
        <f ca="1">IFERROR(__xludf.DUMMYFUNCTION("""COMPUTED_VALUE"""),"")</f>
        <v/>
      </c>
      <c r="U602" s="189" t="str">
        <f ca="1">IFERROR(__xludf.DUMMYFUNCTION("""COMPUTED_VALUE"""),"")</f>
        <v/>
      </c>
      <c r="V602" s="189" t="str">
        <f ca="1">IFERROR(__xludf.DUMMYFUNCTION("""COMPUTED_VALUE"""),"")</f>
        <v/>
      </c>
      <c r="W602" s="189" t="str">
        <f ca="1">IFERROR(__xludf.DUMMYFUNCTION("""COMPUTED_VALUE"""),"")</f>
        <v/>
      </c>
      <c r="X602" s="189" t="str">
        <f ca="1">IFERROR(__xludf.DUMMYFUNCTION("""COMPUTED_VALUE"""),"")</f>
        <v/>
      </c>
      <c r="Y602" s="189" t="str">
        <f ca="1">IFERROR(__xludf.DUMMYFUNCTION("""COMPUTED_VALUE"""),"")</f>
        <v/>
      </c>
      <c r="Z602" s="189"/>
    </row>
    <row r="603" spans="1:26" ht="12.75">
      <c r="A603" s="189" t="str">
        <f ca="1">IFERROR(__xludf.DUMMYFUNCTION("""COMPUTED_VALUE"""),"")</f>
        <v/>
      </c>
      <c r="B603" s="189" t="str">
        <f ca="1">IFERROR(__xludf.DUMMYFUNCTION("""COMPUTED_VALUE"""),"")</f>
        <v/>
      </c>
      <c r="C603" s="189" t="str">
        <f ca="1">IFERROR(__xludf.DUMMYFUNCTION("""COMPUTED_VALUE"""),"")</f>
        <v/>
      </c>
      <c r="D603" s="189" t="str">
        <f ca="1">IFERROR(__xludf.DUMMYFUNCTION("""COMPUTED_VALUE"""),"")</f>
        <v/>
      </c>
      <c r="E603" s="189" t="str">
        <f ca="1">IFERROR(__xludf.DUMMYFUNCTION("""COMPUTED_VALUE"""),"")</f>
        <v/>
      </c>
      <c r="F603" s="189" t="str">
        <f ca="1">IFERROR(__xludf.DUMMYFUNCTION("""COMPUTED_VALUE"""),"")</f>
        <v/>
      </c>
      <c r="G603" s="189" t="str">
        <f ca="1">IFERROR(__xludf.DUMMYFUNCTION("""COMPUTED_VALUE"""),"")</f>
        <v/>
      </c>
      <c r="H603" s="189" t="str">
        <f ca="1">IFERROR(__xludf.DUMMYFUNCTION("""COMPUTED_VALUE"""),"")</f>
        <v/>
      </c>
      <c r="I603" s="120" t="str">
        <f ca="1">IFERROR(__xludf.DUMMYFUNCTION("""COMPUTED_VALUE"""),"")</f>
        <v/>
      </c>
      <c r="J603" s="189" t="str">
        <f ca="1">IFERROR(__xludf.DUMMYFUNCTION("""COMPUTED_VALUE"""),"")</f>
        <v/>
      </c>
      <c r="K603" s="189" t="str">
        <f ca="1">IFERROR(__xludf.DUMMYFUNCTION("""COMPUTED_VALUE"""),"")</f>
        <v/>
      </c>
      <c r="L603" s="189" t="str">
        <f ca="1">IFERROR(__xludf.DUMMYFUNCTION("""COMPUTED_VALUE"""),"")</f>
        <v/>
      </c>
      <c r="M603" s="189" t="str">
        <f ca="1">IFERROR(__xludf.DUMMYFUNCTION("""COMPUTED_VALUE"""),"")</f>
        <v/>
      </c>
      <c r="N603" s="189" t="str">
        <f ca="1">IFERROR(__xludf.DUMMYFUNCTION("""COMPUTED_VALUE"""),"")</f>
        <v/>
      </c>
      <c r="O603" s="189" t="str">
        <f ca="1">IFERROR(__xludf.DUMMYFUNCTION("""COMPUTED_VALUE"""),"")</f>
        <v/>
      </c>
      <c r="P603" s="189" t="str">
        <f ca="1">IFERROR(__xludf.DUMMYFUNCTION("""COMPUTED_VALUE"""),"")</f>
        <v/>
      </c>
      <c r="Q603" s="189" t="str">
        <f ca="1">IFERROR(__xludf.DUMMYFUNCTION("""COMPUTED_VALUE"""),"")</f>
        <v/>
      </c>
      <c r="R603" s="189" t="str">
        <f ca="1">IFERROR(__xludf.DUMMYFUNCTION("""COMPUTED_VALUE"""),"")</f>
        <v/>
      </c>
      <c r="S603" s="189" t="str">
        <f ca="1">IFERROR(__xludf.DUMMYFUNCTION("""COMPUTED_VALUE"""),"")</f>
        <v/>
      </c>
      <c r="T603" s="189" t="str">
        <f ca="1">IFERROR(__xludf.DUMMYFUNCTION("""COMPUTED_VALUE"""),"")</f>
        <v/>
      </c>
      <c r="U603" s="189" t="str">
        <f ca="1">IFERROR(__xludf.DUMMYFUNCTION("""COMPUTED_VALUE"""),"")</f>
        <v/>
      </c>
      <c r="V603" s="189" t="str">
        <f ca="1">IFERROR(__xludf.DUMMYFUNCTION("""COMPUTED_VALUE"""),"")</f>
        <v/>
      </c>
      <c r="W603" s="189" t="str">
        <f ca="1">IFERROR(__xludf.DUMMYFUNCTION("""COMPUTED_VALUE"""),"")</f>
        <v/>
      </c>
      <c r="X603" s="189" t="str">
        <f ca="1">IFERROR(__xludf.DUMMYFUNCTION("""COMPUTED_VALUE"""),"")</f>
        <v/>
      </c>
      <c r="Y603" s="189" t="str">
        <f ca="1">IFERROR(__xludf.DUMMYFUNCTION("""COMPUTED_VALUE"""),"")</f>
        <v/>
      </c>
      <c r="Z603" s="189"/>
    </row>
    <row r="604" spans="1:26" ht="12.75">
      <c r="A604" s="189" t="str">
        <f ca="1">IFERROR(__xludf.DUMMYFUNCTION("""COMPUTED_VALUE"""),"")</f>
        <v/>
      </c>
      <c r="B604" s="189" t="str">
        <f ca="1">IFERROR(__xludf.DUMMYFUNCTION("""COMPUTED_VALUE"""),"")</f>
        <v/>
      </c>
      <c r="C604" s="189" t="str">
        <f ca="1">IFERROR(__xludf.DUMMYFUNCTION("""COMPUTED_VALUE"""),"")</f>
        <v/>
      </c>
      <c r="D604" s="189" t="str">
        <f ca="1">IFERROR(__xludf.DUMMYFUNCTION("""COMPUTED_VALUE"""),"")</f>
        <v/>
      </c>
      <c r="E604" s="189" t="str">
        <f ca="1">IFERROR(__xludf.DUMMYFUNCTION("""COMPUTED_VALUE"""),"")</f>
        <v/>
      </c>
      <c r="F604" s="189" t="str">
        <f ca="1">IFERROR(__xludf.DUMMYFUNCTION("""COMPUTED_VALUE"""),"")</f>
        <v/>
      </c>
      <c r="G604" s="189" t="str">
        <f ca="1">IFERROR(__xludf.DUMMYFUNCTION("""COMPUTED_VALUE"""),"")</f>
        <v/>
      </c>
      <c r="H604" s="189" t="str">
        <f ca="1">IFERROR(__xludf.DUMMYFUNCTION("""COMPUTED_VALUE"""),"")</f>
        <v/>
      </c>
      <c r="I604" s="120" t="str">
        <f ca="1">IFERROR(__xludf.DUMMYFUNCTION("""COMPUTED_VALUE"""),"")</f>
        <v/>
      </c>
      <c r="J604" s="189" t="str">
        <f ca="1">IFERROR(__xludf.DUMMYFUNCTION("""COMPUTED_VALUE"""),"")</f>
        <v/>
      </c>
      <c r="K604" s="189" t="str">
        <f ca="1">IFERROR(__xludf.DUMMYFUNCTION("""COMPUTED_VALUE"""),"")</f>
        <v/>
      </c>
      <c r="L604" s="189" t="str">
        <f ca="1">IFERROR(__xludf.DUMMYFUNCTION("""COMPUTED_VALUE"""),"")</f>
        <v/>
      </c>
      <c r="M604" s="189" t="str">
        <f ca="1">IFERROR(__xludf.DUMMYFUNCTION("""COMPUTED_VALUE"""),"")</f>
        <v/>
      </c>
      <c r="N604" s="189" t="str">
        <f ca="1">IFERROR(__xludf.DUMMYFUNCTION("""COMPUTED_VALUE"""),"")</f>
        <v/>
      </c>
      <c r="O604" s="189" t="str">
        <f ca="1">IFERROR(__xludf.DUMMYFUNCTION("""COMPUTED_VALUE"""),"")</f>
        <v/>
      </c>
      <c r="P604" s="189" t="str">
        <f ca="1">IFERROR(__xludf.DUMMYFUNCTION("""COMPUTED_VALUE"""),"")</f>
        <v/>
      </c>
      <c r="Q604" s="189" t="str">
        <f ca="1">IFERROR(__xludf.DUMMYFUNCTION("""COMPUTED_VALUE"""),"")</f>
        <v/>
      </c>
      <c r="R604" s="189" t="str">
        <f ca="1">IFERROR(__xludf.DUMMYFUNCTION("""COMPUTED_VALUE"""),"")</f>
        <v/>
      </c>
      <c r="S604" s="189" t="str">
        <f ca="1">IFERROR(__xludf.DUMMYFUNCTION("""COMPUTED_VALUE"""),"")</f>
        <v/>
      </c>
      <c r="T604" s="189" t="str">
        <f ca="1">IFERROR(__xludf.DUMMYFUNCTION("""COMPUTED_VALUE"""),"")</f>
        <v/>
      </c>
      <c r="U604" s="189" t="str">
        <f ca="1">IFERROR(__xludf.DUMMYFUNCTION("""COMPUTED_VALUE"""),"")</f>
        <v/>
      </c>
      <c r="V604" s="189" t="str">
        <f ca="1">IFERROR(__xludf.DUMMYFUNCTION("""COMPUTED_VALUE"""),"")</f>
        <v/>
      </c>
      <c r="W604" s="189" t="str">
        <f ca="1">IFERROR(__xludf.DUMMYFUNCTION("""COMPUTED_VALUE"""),"")</f>
        <v/>
      </c>
      <c r="X604" s="189" t="str">
        <f ca="1">IFERROR(__xludf.DUMMYFUNCTION("""COMPUTED_VALUE"""),"")</f>
        <v/>
      </c>
      <c r="Y604" s="189" t="str">
        <f ca="1">IFERROR(__xludf.DUMMYFUNCTION("""COMPUTED_VALUE"""),"")</f>
        <v/>
      </c>
      <c r="Z604" s="189"/>
    </row>
    <row r="605" spans="1:26" ht="12.75">
      <c r="A605" s="189" t="str">
        <f ca="1">IFERROR(__xludf.DUMMYFUNCTION("""COMPUTED_VALUE"""),"")</f>
        <v/>
      </c>
      <c r="B605" s="189" t="str">
        <f ca="1">IFERROR(__xludf.DUMMYFUNCTION("""COMPUTED_VALUE"""),"")</f>
        <v/>
      </c>
      <c r="C605" s="189" t="str">
        <f ca="1">IFERROR(__xludf.DUMMYFUNCTION("""COMPUTED_VALUE"""),"")</f>
        <v/>
      </c>
      <c r="D605" s="189" t="str">
        <f ca="1">IFERROR(__xludf.DUMMYFUNCTION("""COMPUTED_VALUE"""),"")</f>
        <v/>
      </c>
      <c r="E605" s="189" t="str">
        <f ca="1">IFERROR(__xludf.DUMMYFUNCTION("""COMPUTED_VALUE"""),"")</f>
        <v/>
      </c>
      <c r="F605" s="189" t="str">
        <f ca="1">IFERROR(__xludf.DUMMYFUNCTION("""COMPUTED_VALUE"""),"")</f>
        <v/>
      </c>
      <c r="G605" s="189" t="str">
        <f ca="1">IFERROR(__xludf.DUMMYFUNCTION("""COMPUTED_VALUE"""),"")</f>
        <v/>
      </c>
      <c r="H605" s="189" t="str">
        <f ca="1">IFERROR(__xludf.DUMMYFUNCTION("""COMPUTED_VALUE"""),"")</f>
        <v/>
      </c>
      <c r="I605" s="120" t="str">
        <f ca="1">IFERROR(__xludf.DUMMYFUNCTION("""COMPUTED_VALUE"""),"")</f>
        <v/>
      </c>
      <c r="J605" s="189" t="str">
        <f ca="1">IFERROR(__xludf.DUMMYFUNCTION("""COMPUTED_VALUE"""),"")</f>
        <v/>
      </c>
      <c r="K605" s="189" t="str">
        <f ca="1">IFERROR(__xludf.DUMMYFUNCTION("""COMPUTED_VALUE"""),"")</f>
        <v/>
      </c>
      <c r="L605" s="189" t="str">
        <f ca="1">IFERROR(__xludf.DUMMYFUNCTION("""COMPUTED_VALUE"""),"")</f>
        <v/>
      </c>
      <c r="M605" s="189" t="str">
        <f ca="1">IFERROR(__xludf.DUMMYFUNCTION("""COMPUTED_VALUE"""),"")</f>
        <v/>
      </c>
      <c r="N605" s="189" t="str">
        <f ca="1">IFERROR(__xludf.DUMMYFUNCTION("""COMPUTED_VALUE"""),"")</f>
        <v/>
      </c>
      <c r="O605" s="189" t="str">
        <f ca="1">IFERROR(__xludf.DUMMYFUNCTION("""COMPUTED_VALUE"""),"")</f>
        <v/>
      </c>
      <c r="P605" s="189" t="str">
        <f ca="1">IFERROR(__xludf.DUMMYFUNCTION("""COMPUTED_VALUE"""),"")</f>
        <v/>
      </c>
      <c r="Q605" s="189" t="str">
        <f ca="1">IFERROR(__xludf.DUMMYFUNCTION("""COMPUTED_VALUE"""),"")</f>
        <v/>
      </c>
      <c r="R605" s="189" t="str">
        <f ca="1">IFERROR(__xludf.DUMMYFUNCTION("""COMPUTED_VALUE"""),"")</f>
        <v/>
      </c>
      <c r="S605" s="189" t="str">
        <f ca="1">IFERROR(__xludf.DUMMYFUNCTION("""COMPUTED_VALUE"""),"")</f>
        <v/>
      </c>
      <c r="T605" s="189" t="str">
        <f ca="1">IFERROR(__xludf.DUMMYFUNCTION("""COMPUTED_VALUE"""),"")</f>
        <v/>
      </c>
      <c r="U605" s="189" t="str">
        <f ca="1">IFERROR(__xludf.DUMMYFUNCTION("""COMPUTED_VALUE"""),"")</f>
        <v/>
      </c>
      <c r="V605" s="189" t="str">
        <f ca="1">IFERROR(__xludf.DUMMYFUNCTION("""COMPUTED_VALUE"""),"")</f>
        <v/>
      </c>
      <c r="W605" s="189" t="str">
        <f ca="1">IFERROR(__xludf.DUMMYFUNCTION("""COMPUTED_VALUE"""),"")</f>
        <v/>
      </c>
      <c r="X605" s="189" t="str">
        <f ca="1">IFERROR(__xludf.DUMMYFUNCTION("""COMPUTED_VALUE"""),"")</f>
        <v/>
      </c>
      <c r="Y605" s="189" t="str">
        <f ca="1">IFERROR(__xludf.DUMMYFUNCTION("""COMPUTED_VALUE"""),"")</f>
        <v/>
      </c>
      <c r="Z605" s="189"/>
    </row>
    <row r="606" spans="1:26" ht="12.75">
      <c r="A606" s="189" t="str">
        <f ca="1">IFERROR(__xludf.DUMMYFUNCTION("""COMPUTED_VALUE"""),"")</f>
        <v/>
      </c>
      <c r="B606" s="189" t="str">
        <f ca="1">IFERROR(__xludf.DUMMYFUNCTION("""COMPUTED_VALUE"""),"")</f>
        <v/>
      </c>
      <c r="C606" s="189" t="str">
        <f ca="1">IFERROR(__xludf.DUMMYFUNCTION("""COMPUTED_VALUE"""),"")</f>
        <v/>
      </c>
      <c r="D606" s="189" t="str">
        <f ca="1">IFERROR(__xludf.DUMMYFUNCTION("""COMPUTED_VALUE"""),"")</f>
        <v/>
      </c>
      <c r="E606" s="189" t="str">
        <f ca="1">IFERROR(__xludf.DUMMYFUNCTION("""COMPUTED_VALUE"""),"")</f>
        <v/>
      </c>
      <c r="F606" s="189" t="str">
        <f ca="1">IFERROR(__xludf.DUMMYFUNCTION("""COMPUTED_VALUE"""),"")</f>
        <v/>
      </c>
      <c r="G606" s="189" t="str">
        <f ca="1">IFERROR(__xludf.DUMMYFUNCTION("""COMPUTED_VALUE"""),"")</f>
        <v/>
      </c>
      <c r="H606" s="189" t="str">
        <f ca="1">IFERROR(__xludf.DUMMYFUNCTION("""COMPUTED_VALUE"""),"")</f>
        <v/>
      </c>
      <c r="I606" s="120" t="str">
        <f ca="1">IFERROR(__xludf.DUMMYFUNCTION("""COMPUTED_VALUE"""),"")</f>
        <v/>
      </c>
      <c r="J606" s="189" t="str">
        <f ca="1">IFERROR(__xludf.DUMMYFUNCTION("""COMPUTED_VALUE"""),"")</f>
        <v/>
      </c>
      <c r="K606" s="189" t="str">
        <f ca="1">IFERROR(__xludf.DUMMYFUNCTION("""COMPUTED_VALUE"""),"")</f>
        <v/>
      </c>
      <c r="L606" s="189" t="str">
        <f ca="1">IFERROR(__xludf.DUMMYFUNCTION("""COMPUTED_VALUE"""),"")</f>
        <v/>
      </c>
      <c r="M606" s="189" t="str">
        <f ca="1">IFERROR(__xludf.DUMMYFUNCTION("""COMPUTED_VALUE"""),"")</f>
        <v/>
      </c>
      <c r="N606" s="189" t="str">
        <f ca="1">IFERROR(__xludf.DUMMYFUNCTION("""COMPUTED_VALUE"""),"")</f>
        <v/>
      </c>
      <c r="O606" s="189" t="str">
        <f ca="1">IFERROR(__xludf.DUMMYFUNCTION("""COMPUTED_VALUE"""),"")</f>
        <v/>
      </c>
      <c r="P606" s="189" t="str">
        <f ca="1">IFERROR(__xludf.DUMMYFUNCTION("""COMPUTED_VALUE"""),"")</f>
        <v/>
      </c>
      <c r="Q606" s="189" t="str">
        <f ca="1">IFERROR(__xludf.DUMMYFUNCTION("""COMPUTED_VALUE"""),"")</f>
        <v/>
      </c>
      <c r="R606" s="189" t="str">
        <f ca="1">IFERROR(__xludf.DUMMYFUNCTION("""COMPUTED_VALUE"""),"")</f>
        <v/>
      </c>
      <c r="S606" s="189" t="str">
        <f ca="1">IFERROR(__xludf.DUMMYFUNCTION("""COMPUTED_VALUE"""),"")</f>
        <v/>
      </c>
      <c r="T606" s="189" t="str">
        <f ca="1">IFERROR(__xludf.DUMMYFUNCTION("""COMPUTED_VALUE"""),"")</f>
        <v/>
      </c>
      <c r="U606" s="189" t="str">
        <f ca="1">IFERROR(__xludf.DUMMYFUNCTION("""COMPUTED_VALUE"""),"")</f>
        <v/>
      </c>
      <c r="V606" s="189" t="str">
        <f ca="1">IFERROR(__xludf.DUMMYFUNCTION("""COMPUTED_VALUE"""),"")</f>
        <v/>
      </c>
      <c r="W606" s="189" t="str">
        <f ca="1">IFERROR(__xludf.DUMMYFUNCTION("""COMPUTED_VALUE"""),"")</f>
        <v/>
      </c>
      <c r="X606" s="189" t="str">
        <f ca="1">IFERROR(__xludf.DUMMYFUNCTION("""COMPUTED_VALUE"""),"")</f>
        <v/>
      </c>
      <c r="Y606" s="189" t="str">
        <f ca="1">IFERROR(__xludf.DUMMYFUNCTION("""COMPUTED_VALUE"""),"")</f>
        <v/>
      </c>
      <c r="Z606" s="189"/>
    </row>
    <row r="607" spans="1:26" ht="12.75">
      <c r="A607" s="189" t="str">
        <f ca="1">IFERROR(__xludf.DUMMYFUNCTION("""COMPUTED_VALUE"""),"")</f>
        <v/>
      </c>
      <c r="B607" s="189" t="str">
        <f ca="1">IFERROR(__xludf.DUMMYFUNCTION("""COMPUTED_VALUE"""),"")</f>
        <v/>
      </c>
      <c r="C607" s="189" t="str">
        <f ca="1">IFERROR(__xludf.DUMMYFUNCTION("""COMPUTED_VALUE"""),"")</f>
        <v/>
      </c>
      <c r="D607" s="189" t="str">
        <f ca="1">IFERROR(__xludf.DUMMYFUNCTION("""COMPUTED_VALUE"""),"")</f>
        <v/>
      </c>
      <c r="E607" s="189" t="str">
        <f ca="1">IFERROR(__xludf.DUMMYFUNCTION("""COMPUTED_VALUE"""),"")</f>
        <v/>
      </c>
      <c r="F607" s="189" t="str">
        <f ca="1">IFERROR(__xludf.DUMMYFUNCTION("""COMPUTED_VALUE"""),"")</f>
        <v/>
      </c>
      <c r="G607" s="189" t="str">
        <f ca="1">IFERROR(__xludf.DUMMYFUNCTION("""COMPUTED_VALUE"""),"")</f>
        <v/>
      </c>
      <c r="H607" s="189" t="str">
        <f ca="1">IFERROR(__xludf.DUMMYFUNCTION("""COMPUTED_VALUE"""),"")</f>
        <v/>
      </c>
      <c r="I607" s="120" t="str">
        <f ca="1">IFERROR(__xludf.DUMMYFUNCTION("""COMPUTED_VALUE"""),"")</f>
        <v/>
      </c>
      <c r="J607" s="189" t="str">
        <f ca="1">IFERROR(__xludf.DUMMYFUNCTION("""COMPUTED_VALUE"""),"")</f>
        <v/>
      </c>
      <c r="K607" s="189" t="str">
        <f ca="1">IFERROR(__xludf.DUMMYFUNCTION("""COMPUTED_VALUE"""),"")</f>
        <v/>
      </c>
      <c r="L607" s="189" t="str">
        <f ca="1">IFERROR(__xludf.DUMMYFUNCTION("""COMPUTED_VALUE"""),"")</f>
        <v/>
      </c>
      <c r="M607" s="189" t="str">
        <f ca="1">IFERROR(__xludf.DUMMYFUNCTION("""COMPUTED_VALUE"""),"")</f>
        <v/>
      </c>
      <c r="N607" s="189" t="str">
        <f ca="1">IFERROR(__xludf.DUMMYFUNCTION("""COMPUTED_VALUE"""),"")</f>
        <v/>
      </c>
      <c r="O607" s="189" t="str">
        <f ca="1">IFERROR(__xludf.DUMMYFUNCTION("""COMPUTED_VALUE"""),"")</f>
        <v/>
      </c>
      <c r="P607" s="189" t="str">
        <f ca="1">IFERROR(__xludf.DUMMYFUNCTION("""COMPUTED_VALUE"""),"")</f>
        <v/>
      </c>
      <c r="Q607" s="189" t="str">
        <f ca="1">IFERROR(__xludf.DUMMYFUNCTION("""COMPUTED_VALUE"""),"")</f>
        <v/>
      </c>
      <c r="R607" s="189" t="str">
        <f ca="1">IFERROR(__xludf.DUMMYFUNCTION("""COMPUTED_VALUE"""),"")</f>
        <v/>
      </c>
      <c r="S607" s="189" t="str">
        <f ca="1">IFERROR(__xludf.DUMMYFUNCTION("""COMPUTED_VALUE"""),"")</f>
        <v/>
      </c>
      <c r="T607" s="189" t="str">
        <f ca="1">IFERROR(__xludf.DUMMYFUNCTION("""COMPUTED_VALUE"""),"")</f>
        <v/>
      </c>
      <c r="U607" s="189" t="str">
        <f ca="1">IFERROR(__xludf.DUMMYFUNCTION("""COMPUTED_VALUE"""),"")</f>
        <v/>
      </c>
      <c r="V607" s="189" t="str">
        <f ca="1">IFERROR(__xludf.DUMMYFUNCTION("""COMPUTED_VALUE"""),"")</f>
        <v/>
      </c>
      <c r="W607" s="189" t="str">
        <f ca="1">IFERROR(__xludf.DUMMYFUNCTION("""COMPUTED_VALUE"""),"")</f>
        <v/>
      </c>
      <c r="X607" s="189" t="str">
        <f ca="1">IFERROR(__xludf.DUMMYFUNCTION("""COMPUTED_VALUE"""),"")</f>
        <v/>
      </c>
      <c r="Y607" s="189" t="str">
        <f ca="1">IFERROR(__xludf.DUMMYFUNCTION("""COMPUTED_VALUE"""),"")</f>
        <v/>
      </c>
      <c r="Z607" s="189"/>
    </row>
    <row r="608" spans="1:26" ht="12.75">
      <c r="A608" s="189" t="str">
        <f ca="1">IFERROR(__xludf.DUMMYFUNCTION("""COMPUTED_VALUE"""),"")</f>
        <v/>
      </c>
      <c r="B608" s="189" t="str">
        <f ca="1">IFERROR(__xludf.DUMMYFUNCTION("""COMPUTED_VALUE"""),"")</f>
        <v/>
      </c>
      <c r="C608" s="189" t="str">
        <f ca="1">IFERROR(__xludf.DUMMYFUNCTION("""COMPUTED_VALUE"""),"")</f>
        <v/>
      </c>
      <c r="D608" s="189" t="str">
        <f ca="1">IFERROR(__xludf.DUMMYFUNCTION("""COMPUTED_VALUE"""),"")</f>
        <v/>
      </c>
      <c r="E608" s="189" t="str">
        <f ca="1">IFERROR(__xludf.DUMMYFUNCTION("""COMPUTED_VALUE"""),"")</f>
        <v/>
      </c>
      <c r="F608" s="189" t="str">
        <f ca="1">IFERROR(__xludf.DUMMYFUNCTION("""COMPUTED_VALUE"""),"")</f>
        <v/>
      </c>
      <c r="G608" s="189" t="str">
        <f ca="1">IFERROR(__xludf.DUMMYFUNCTION("""COMPUTED_VALUE"""),"")</f>
        <v/>
      </c>
      <c r="H608" s="189" t="str">
        <f ca="1">IFERROR(__xludf.DUMMYFUNCTION("""COMPUTED_VALUE"""),"")</f>
        <v/>
      </c>
      <c r="I608" s="120" t="str">
        <f ca="1">IFERROR(__xludf.DUMMYFUNCTION("""COMPUTED_VALUE"""),"")</f>
        <v/>
      </c>
      <c r="J608" s="189" t="str">
        <f ca="1">IFERROR(__xludf.DUMMYFUNCTION("""COMPUTED_VALUE"""),"")</f>
        <v/>
      </c>
      <c r="K608" s="189" t="str">
        <f ca="1">IFERROR(__xludf.DUMMYFUNCTION("""COMPUTED_VALUE"""),"")</f>
        <v/>
      </c>
      <c r="L608" s="189" t="str">
        <f ca="1">IFERROR(__xludf.DUMMYFUNCTION("""COMPUTED_VALUE"""),"")</f>
        <v/>
      </c>
      <c r="M608" s="189" t="str">
        <f ca="1">IFERROR(__xludf.DUMMYFUNCTION("""COMPUTED_VALUE"""),"")</f>
        <v/>
      </c>
      <c r="N608" s="189" t="str">
        <f ca="1">IFERROR(__xludf.DUMMYFUNCTION("""COMPUTED_VALUE"""),"")</f>
        <v/>
      </c>
      <c r="O608" s="189" t="str">
        <f ca="1">IFERROR(__xludf.DUMMYFUNCTION("""COMPUTED_VALUE"""),"")</f>
        <v/>
      </c>
      <c r="P608" s="189" t="str">
        <f ca="1">IFERROR(__xludf.DUMMYFUNCTION("""COMPUTED_VALUE"""),"")</f>
        <v/>
      </c>
      <c r="Q608" s="189" t="str">
        <f ca="1">IFERROR(__xludf.DUMMYFUNCTION("""COMPUTED_VALUE"""),"")</f>
        <v/>
      </c>
      <c r="R608" s="189" t="str">
        <f ca="1">IFERROR(__xludf.DUMMYFUNCTION("""COMPUTED_VALUE"""),"")</f>
        <v/>
      </c>
      <c r="S608" s="189" t="str">
        <f ca="1">IFERROR(__xludf.DUMMYFUNCTION("""COMPUTED_VALUE"""),"")</f>
        <v/>
      </c>
      <c r="T608" s="189" t="str">
        <f ca="1">IFERROR(__xludf.DUMMYFUNCTION("""COMPUTED_VALUE"""),"")</f>
        <v/>
      </c>
      <c r="U608" s="189" t="str">
        <f ca="1">IFERROR(__xludf.DUMMYFUNCTION("""COMPUTED_VALUE"""),"")</f>
        <v/>
      </c>
      <c r="V608" s="189" t="str">
        <f ca="1">IFERROR(__xludf.DUMMYFUNCTION("""COMPUTED_VALUE"""),"")</f>
        <v/>
      </c>
      <c r="W608" s="189" t="str">
        <f ca="1">IFERROR(__xludf.DUMMYFUNCTION("""COMPUTED_VALUE"""),"")</f>
        <v/>
      </c>
      <c r="X608" s="189" t="str">
        <f ca="1">IFERROR(__xludf.DUMMYFUNCTION("""COMPUTED_VALUE"""),"")</f>
        <v/>
      </c>
      <c r="Y608" s="189" t="str">
        <f ca="1">IFERROR(__xludf.DUMMYFUNCTION("""COMPUTED_VALUE"""),"")</f>
        <v/>
      </c>
      <c r="Z608" s="189"/>
    </row>
    <row r="609" spans="1:26" ht="12.75">
      <c r="A609" s="189" t="str">
        <f ca="1">IFERROR(__xludf.DUMMYFUNCTION("""COMPUTED_VALUE"""),"")</f>
        <v/>
      </c>
      <c r="B609" s="189" t="str">
        <f ca="1">IFERROR(__xludf.DUMMYFUNCTION("""COMPUTED_VALUE"""),"")</f>
        <v/>
      </c>
      <c r="C609" s="189" t="str">
        <f ca="1">IFERROR(__xludf.DUMMYFUNCTION("""COMPUTED_VALUE"""),"")</f>
        <v/>
      </c>
      <c r="D609" s="189" t="str">
        <f ca="1">IFERROR(__xludf.DUMMYFUNCTION("""COMPUTED_VALUE"""),"")</f>
        <v/>
      </c>
      <c r="E609" s="189" t="str">
        <f ca="1">IFERROR(__xludf.DUMMYFUNCTION("""COMPUTED_VALUE"""),"")</f>
        <v/>
      </c>
      <c r="F609" s="189" t="str">
        <f ca="1">IFERROR(__xludf.DUMMYFUNCTION("""COMPUTED_VALUE"""),"")</f>
        <v/>
      </c>
      <c r="G609" s="189" t="str">
        <f ca="1">IFERROR(__xludf.DUMMYFUNCTION("""COMPUTED_VALUE"""),"")</f>
        <v/>
      </c>
      <c r="H609" s="189" t="str">
        <f ca="1">IFERROR(__xludf.DUMMYFUNCTION("""COMPUTED_VALUE"""),"")</f>
        <v/>
      </c>
      <c r="I609" s="120" t="str">
        <f ca="1">IFERROR(__xludf.DUMMYFUNCTION("""COMPUTED_VALUE"""),"")</f>
        <v/>
      </c>
      <c r="J609" s="189" t="str">
        <f ca="1">IFERROR(__xludf.DUMMYFUNCTION("""COMPUTED_VALUE"""),"")</f>
        <v/>
      </c>
      <c r="K609" s="189" t="str">
        <f ca="1">IFERROR(__xludf.DUMMYFUNCTION("""COMPUTED_VALUE"""),"")</f>
        <v/>
      </c>
      <c r="L609" s="189" t="str">
        <f ca="1">IFERROR(__xludf.DUMMYFUNCTION("""COMPUTED_VALUE"""),"")</f>
        <v/>
      </c>
      <c r="M609" s="189" t="str">
        <f ca="1">IFERROR(__xludf.DUMMYFUNCTION("""COMPUTED_VALUE"""),"")</f>
        <v/>
      </c>
      <c r="N609" s="189" t="str">
        <f ca="1">IFERROR(__xludf.DUMMYFUNCTION("""COMPUTED_VALUE"""),"")</f>
        <v/>
      </c>
      <c r="O609" s="189" t="str">
        <f ca="1">IFERROR(__xludf.DUMMYFUNCTION("""COMPUTED_VALUE"""),"")</f>
        <v/>
      </c>
      <c r="P609" s="189" t="str">
        <f ca="1">IFERROR(__xludf.DUMMYFUNCTION("""COMPUTED_VALUE"""),"")</f>
        <v/>
      </c>
      <c r="Q609" s="189" t="str">
        <f ca="1">IFERROR(__xludf.DUMMYFUNCTION("""COMPUTED_VALUE"""),"")</f>
        <v/>
      </c>
      <c r="R609" s="189" t="str">
        <f ca="1">IFERROR(__xludf.DUMMYFUNCTION("""COMPUTED_VALUE"""),"")</f>
        <v/>
      </c>
      <c r="S609" s="189" t="str">
        <f ca="1">IFERROR(__xludf.DUMMYFUNCTION("""COMPUTED_VALUE"""),"")</f>
        <v/>
      </c>
      <c r="T609" s="189" t="str">
        <f ca="1">IFERROR(__xludf.DUMMYFUNCTION("""COMPUTED_VALUE"""),"")</f>
        <v/>
      </c>
      <c r="U609" s="189" t="str">
        <f ca="1">IFERROR(__xludf.DUMMYFUNCTION("""COMPUTED_VALUE"""),"")</f>
        <v/>
      </c>
      <c r="V609" s="189" t="str">
        <f ca="1">IFERROR(__xludf.DUMMYFUNCTION("""COMPUTED_VALUE"""),"")</f>
        <v/>
      </c>
      <c r="W609" s="189" t="str">
        <f ca="1">IFERROR(__xludf.DUMMYFUNCTION("""COMPUTED_VALUE"""),"")</f>
        <v/>
      </c>
      <c r="X609" s="189" t="str">
        <f ca="1">IFERROR(__xludf.DUMMYFUNCTION("""COMPUTED_VALUE"""),"")</f>
        <v/>
      </c>
      <c r="Y609" s="189" t="str">
        <f ca="1">IFERROR(__xludf.DUMMYFUNCTION("""COMPUTED_VALUE"""),"")</f>
        <v/>
      </c>
      <c r="Z609" s="189"/>
    </row>
    <row r="610" spans="1:26" ht="12.75">
      <c r="A610" s="189" t="str">
        <f ca="1">IFERROR(__xludf.DUMMYFUNCTION("""COMPUTED_VALUE"""),"")</f>
        <v/>
      </c>
      <c r="B610" s="189" t="str">
        <f ca="1">IFERROR(__xludf.DUMMYFUNCTION("""COMPUTED_VALUE"""),"")</f>
        <v/>
      </c>
      <c r="C610" s="189" t="str">
        <f ca="1">IFERROR(__xludf.DUMMYFUNCTION("""COMPUTED_VALUE"""),"")</f>
        <v/>
      </c>
      <c r="D610" s="189" t="str">
        <f ca="1">IFERROR(__xludf.DUMMYFUNCTION("""COMPUTED_VALUE"""),"")</f>
        <v/>
      </c>
      <c r="E610" s="189" t="str">
        <f ca="1">IFERROR(__xludf.DUMMYFUNCTION("""COMPUTED_VALUE"""),"")</f>
        <v/>
      </c>
      <c r="F610" s="189" t="str">
        <f ca="1">IFERROR(__xludf.DUMMYFUNCTION("""COMPUTED_VALUE"""),"")</f>
        <v/>
      </c>
      <c r="G610" s="189" t="str">
        <f ca="1">IFERROR(__xludf.DUMMYFUNCTION("""COMPUTED_VALUE"""),"")</f>
        <v/>
      </c>
      <c r="H610" s="189" t="str">
        <f ca="1">IFERROR(__xludf.DUMMYFUNCTION("""COMPUTED_VALUE"""),"")</f>
        <v/>
      </c>
      <c r="I610" s="120" t="str">
        <f ca="1">IFERROR(__xludf.DUMMYFUNCTION("""COMPUTED_VALUE"""),"")</f>
        <v/>
      </c>
      <c r="J610" s="189" t="str">
        <f ca="1">IFERROR(__xludf.DUMMYFUNCTION("""COMPUTED_VALUE"""),"")</f>
        <v/>
      </c>
      <c r="K610" s="189" t="str">
        <f ca="1">IFERROR(__xludf.DUMMYFUNCTION("""COMPUTED_VALUE"""),"")</f>
        <v/>
      </c>
      <c r="L610" s="189" t="str">
        <f ca="1">IFERROR(__xludf.DUMMYFUNCTION("""COMPUTED_VALUE"""),"")</f>
        <v/>
      </c>
      <c r="M610" s="189" t="str">
        <f ca="1">IFERROR(__xludf.DUMMYFUNCTION("""COMPUTED_VALUE"""),"")</f>
        <v/>
      </c>
      <c r="N610" s="189" t="str">
        <f ca="1">IFERROR(__xludf.DUMMYFUNCTION("""COMPUTED_VALUE"""),"")</f>
        <v/>
      </c>
      <c r="O610" s="189" t="str">
        <f ca="1">IFERROR(__xludf.DUMMYFUNCTION("""COMPUTED_VALUE"""),"")</f>
        <v/>
      </c>
      <c r="P610" s="189" t="str">
        <f ca="1">IFERROR(__xludf.DUMMYFUNCTION("""COMPUTED_VALUE"""),"")</f>
        <v/>
      </c>
      <c r="Q610" s="189" t="str">
        <f ca="1">IFERROR(__xludf.DUMMYFUNCTION("""COMPUTED_VALUE"""),"")</f>
        <v/>
      </c>
      <c r="R610" s="189" t="str">
        <f ca="1">IFERROR(__xludf.DUMMYFUNCTION("""COMPUTED_VALUE"""),"")</f>
        <v/>
      </c>
      <c r="S610" s="189" t="str">
        <f ca="1">IFERROR(__xludf.DUMMYFUNCTION("""COMPUTED_VALUE"""),"")</f>
        <v/>
      </c>
      <c r="T610" s="189" t="str">
        <f ca="1">IFERROR(__xludf.DUMMYFUNCTION("""COMPUTED_VALUE"""),"")</f>
        <v/>
      </c>
      <c r="U610" s="189" t="str">
        <f ca="1">IFERROR(__xludf.DUMMYFUNCTION("""COMPUTED_VALUE"""),"")</f>
        <v/>
      </c>
      <c r="V610" s="189" t="str">
        <f ca="1">IFERROR(__xludf.DUMMYFUNCTION("""COMPUTED_VALUE"""),"")</f>
        <v/>
      </c>
      <c r="W610" s="189" t="str">
        <f ca="1">IFERROR(__xludf.DUMMYFUNCTION("""COMPUTED_VALUE"""),"")</f>
        <v/>
      </c>
      <c r="X610" s="189" t="str">
        <f ca="1">IFERROR(__xludf.DUMMYFUNCTION("""COMPUTED_VALUE"""),"")</f>
        <v/>
      </c>
      <c r="Y610" s="189" t="str">
        <f ca="1">IFERROR(__xludf.DUMMYFUNCTION("""COMPUTED_VALUE"""),"")</f>
        <v/>
      </c>
      <c r="Z610" s="189"/>
    </row>
    <row r="611" spans="1:26" ht="12.75">
      <c r="A611" s="189" t="str">
        <f ca="1">IFERROR(__xludf.DUMMYFUNCTION("""COMPUTED_VALUE"""),"")</f>
        <v/>
      </c>
      <c r="B611" s="189" t="str">
        <f ca="1">IFERROR(__xludf.DUMMYFUNCTION("""COMPUTED_VALUE"""),"")</f>
        <v/>
      </c>
      <c r="C611" s="189" t="str">
        <f ca="1">IFERROR(__xludf.DUMMYFUNCTION("""COMPUTED_VALUE"""),"")</f>
        <v/>
      </c>
      <c r="D611" s="189" t="str">
        <f ca="1">IFERROR(__xludf.DUMMYFUNCTION("""COMPUTED_VALUE"""),"")</f>
        <v/>
      </c>
      <c r="E611" s="189" t="str">
        <f ca="1">IFERROR(__xludf.DUMMYFUNCTION("""COMPUTED_VALUE"""),"")</f>
        <v/>
      </c>
      <c r="F611" s="189" t="str">
        <f ca="1">IFERROR(__xludf.DUMMYFUNCTION("""COMPUTED_VALUE"""),"")</f>
        <v/>
      </c>
      <c r="G611" s="189" t="str">
        <f ca="1">IFERROR(__xludf.DUMMYFUNCTION("""COMPUTED_VALUE"""),"")</f>
        <v/>
      </c>
      <c r="H611" s="189" t="str">
        <f ca="1">IFERROR(__xludf.DUMMYFUNCTION("""COMPUTED_VALUE"""),"")</f>
        <v/>
      </c>
      <c r="I611" s="120" t="str">
        <f ca="1">IFERROR(__xludf.DUMMYFUNCTION("""COMPUTED_VALUE"""),"")</f>
        <v/>
      </c>
      <c r="J611" s="189" t="str">
        <f ca="1">IFERROR(__xludf.DUMMYFUNCTION("""COMPUTED_VALUE"""),"")</f>
        <v/>
      </c>
      <c r="K611" s="189" t="str">
        <f ca="1">IFERROR(__xludf.DUMMYFUNCTION("""COMPUTED_VALUE"""),"")</f>
        <v/>
      </c>
      <c r="L611" s="189" t="str">
        <f ca="1">IFERROR(__xludf.DUMMYFUNCTION("""COMPUTED_VALUE"""),"")</f>
        <v/>
      </c>
      <c r="M611" s="189" t="str">
        <f ca="1">IFERROR(__xludf.DUMMYFUNCTION("""COMPUTED_VALUE"""),"")</f>
        <v/>
      </c>
      <c r="N611" s="189" t="str">
        <f ca="1">IFERROR(__xludf.DUMMYFUNCTION("""COMPUTED_VALUE"""),"")</f>
        <v/>
      </c>
      <c r="O611" s="189" t="str">
        <f ca="1">IFERROR(__xludf.DUMMYFUNCTION("""COMPUTED_VALUE"""),"")</f>
        <v/>
      </c>
      <c r="P611" s="189" t="str">
        <f ca="1">IFERROR(__xludf.DUMMYFUNCTION("""COMPUTED_VALUE"""),"")</f>
        <v/>
      </c>
      <c r="Q611" s="189" t="str">
        <f ca="1">IFERROR(__xludf.DUMMYFUNCTION("""COMPUTED_VALUE"""),"")</f>
        <v/>
      </c>
      <c r="R611" s="189" t="str">
        <f ca="1">IFERROR(__xludf.DUMMYFUNCTION("""COMPUTED_VALUE"""),"")</f>
        <v/>
      </c>
      <c r="S611" s="189" t="str">
        <f ca="1">IFERROR(__xludf.DUMMYFUNCTION("""COMPUTED_VALUE"""),"")</f>
        <v/>
      </c>
      <c r="T611" s="189" t="str">
        <f ca="1">IFERROR(__xludf.DUMMYFUNCTION("""COMPUTED_VALUE"""),"")</f>
        <v/>
      </c>
      <c r="U611" s="189" t="str">
        <f ca="1">IFERROR(__xludf.DUMMYFUNCTION("""COMPUTED_VALUE"""),"")</f>
        <v/>
      </c>
      <c r="V611" s="189" t="str">
        <f ca="1">IFERROR(__xludf.DUMMYFUNCTION("""COMPUTED_VALUE"""),"")</f>
        <v/>
      </c>
      <c r="W611" s="189" t="str">
        <f ca="1">IFERROR(__xludf.DUMMYFUNCTION("""COMPUTED_VALUE"""),"")</f>
        <v/>
      </c>
      <c r="X611" s="189" t="str">
        <f ca="1">IFERROR(__xludf.DUMMYFUNCTION("""COMPUTED_VALUE"""),"")</f>
        <v/>
      </c>
      <c r="Y611" s="189" t="str">
        <f ca="1">IFERROR(__xludf.DUMMYFUNCTION("""COMPUTED_VALUE"""),"")</f>
        <v/>
      </c>
      <c r="Z611" s="189"/>
    </row>
    <row r="612" spans="1:26" ht="12.75">
      <c r="A612" s="189" t="str">
        <f ca="1">IFERROR(__xludf.DUMMYFUNCTION("""COMPUTED_VALUE"""),"")</f>
        <v/>
      </c>
      <c r="B612" s="189" t="str">
        <f ca="1">IFERROR(__xludf.DUMMYFUNCTION("""COMPUTED_VALUE"""),"")</f>
        <v/>
      </c>
      <c r="C612" s="189" t="str">
        <f ca="1">IFERROR(__xludf.DUMMYFUNCTION("""COMPUTED_VALUE"""),"")</f>
        <v/>
      </c>
      <c r="D612" s="189" t="str">
        <f ca="1">IFERROR(__xludf.DUMMYFUNCTION("""COMPUTED_VALUE"""),"")</f>
        <v/>
      </c>
      <c r="E612" s="189" t="str">
        <f ca="1">IFERROR(__xludf.DUMMYFUNCTION("""COMPUTED_VALUE"""),"")</f>
        <v/>
      </c>
      <c r="F612" s="189" t="str">
        <f ca="1">IFERROR(__xludf.DUMMYFUNCTION("""COMPUTED_VALUE"""),"")</f>
        <v/>
      </c>
      <c r="G612" s="189" t="str">
        <f ca="1">IFERROR(__xludf.DUMMYFUNCTION("""COMPUTED_VALUE"""),"")</f>
        <v/>
      </c>
      <c r="H612" s="189" t="str">
        <f ca="1">IFERROR(__xludf.DUMMYFUNCTION("""COMPUTED_VALUE"""),"")</f>
        <v/>
      </c>
      <c r="I612" s="120" t="str">
        <f ca="1">IFERROR(__xludf.DUMMYFUNCTION("""COMPUTED_VALUE"""),"")</f>
        <v/>
      </c>
      <c r="J612" s="189" t="str">
        <f ca="1">IFERROR(__xludf.DUMMYFUNCTION("""COMPUTED_VALUE"""),"")</f>
        <v/>
      </c>
      <c r="K612" s="189" t="str">
        <f ca="1">IFERROR(__xludf.DUMMYFUNCTION("""COMPUTED_VALUE"""),"")</f>
        <v/>
      </c>
      <c r="L612" s="189" t="str">
        <f ca="1">IFERROR(__xludf.DUMMYFUNCTION("""COMPUTED_VALUE"""),"")</f>
        <v/>
      </c>
      <c r="M612" s="189" t="str">
        <f ca="1">IFERROR(__xludf.DUMMYFUNCTION("""COMPUTED_VALUE"""),"")</f>
        <v/>
      </c>
      <c r="N612" s="189" t="str">
        <f ca="1">IFERROR(__xludf.DUMMYFUNCTION("""COMPUTED_VALUE"""),"")</f>
        <v/>
      </c>
      <c r="O612" s="189" t="str">
        <f ca="1">IFERROR(__xludf.DUMMYFUNCTION("""COMPUTED_VALUE"""),"")</f>
        <v/>
      </c>
      <c r="P612" s="189" t="str">
        <f ca="1">IFERROR(__xludf.DUMMYFUNCTION("""COMPUTED_VALUE"""),"")</f>
        <v/>
      </c>
      <c r="Q612" s="189" t="str">
        <f ca="1">IFERROR(__xludf.DUMMYFUNCTION("""COMPUTED_VALUE"""),"")</f>
        <v/>
      </c>
      <c r="R612" s="189" t="str">
        <f ca="1">IFERROR(__xludf.DUMMYFUNCTION("""COMPUTED_VALUE"""),"")</f>
        <v/>
      </c>
      <c r="S612" s="189" t="str">
        <f ca="1">IFERROR(__xludf.DUMMYFUNCTION("""COMPUTED_VALUE"""),"")</f>
        <v/>
      </c>
      <c r="T612" s="189" t="str">
        <f ca="1">IFERROR(__xludf.DUMMYFUNCTION("""COMPUTED_VALUE"""),"")</f>
        <v/>
      </c>
      <c r="U612" s="189" t="str">
        <f ca="1">IFERROR(__xludf.DUMMYFUNCTION("""COMPUTED_VALUE"""),"")</f>
        <v/>
      </c>
      <c r="V612" s="189" t="str">
        <f ca="1">IFERROR(__xludf.DUMMYFUNCTION("""COMPUTED_VALUE"""),"")</f>
        <v/>
      </c>
      <c r="W612" s="189" t="str">
        <f ca="1">IFERROR(__xludf.DUMMYFUNCTION("""COMPUTED_VALUE"""),"")</f>
        <v/>
      </c>
      <c r="X612" s="189" t="str">
        <f ca="1">IFERROR(__xludf.DUMMYFUNCTION("""COMPUTED_VALUE"""),"")</f>
        <v/>
      </c>
      <c r="Y612" s="189" t="str">
        <f ca="1">IFERROR(__xludf.DUMMYFUNCTION("""COMPUTED_VALUE"""),"")</f>
        <v/>
      </c>
      <c r="Z612" s="189"/>
    </row>
    <row r="613" spans="1:26" ht="12.75">
      <c r="A613" s="189" t="str">
        <f ca="1">IFERROR(__xludf.DUMMYFUNCTION("""COMPUTED_VALUE"""),"")</f>
        <v/>
      </c>
      <c r="B613" s="189" t="str">
        <f ca="1">IFERROR(__xludf.DUMMYFUNCTION("""COMPUTED_VALUE"""),"")</f>
        <v/>
      </c>
      <c r="C613" s="189" t="str">
        <f ca="1">IFERROR(__xludf.DUMMYFUNCTION("""COMPUTED_VALUE"""),"")</f>
        <v/>
      </c>
      <c r="D613" s="189" t="str">
        <f ca="1">IFERROR(__xludf.DUMMYFUNCTION("""COMPUTED_VALUE"""),"")</f>
        <v/>
      </c>
      <c r="E613" s="189" t="str">
        <f ca="1">IFERROR(__xludf.DUMMYFUNCTION("""COMPUTED_VALUE"""),"")</f>
        <v/>
      </c>
      <c r="F613" s="189" t="str">
        <f ca="1">IFERROR(__xludf.DUMMYFUNCTION("""COMPUTED_VALUE"""),"")</f>
        <v/>
      </c>
      <c r="G613" s="189" t="str">
        <f ca="1">IFERROR(__xludf.DUMMYFUNCTION("""COMPUTED_VALUE"""),"")</f>
        <v/>
      </c>
      <c r="H613" s="189" t="str">
        <f ca="1">IFERROR(__xludf.DUMMYFUNCTION("""COMPUTED_VALUE"""),"")</f>
        <v/>
      </c>
      <c r="I613" s="120" t="str">
        <f ca="1">IFERROR(__xludf.DUMMYFUNCTION("""COMPUTED_VALUE"""),"")</f>
        <v/>
      </c>
      <c r="J613" s="189" t="str">
        <f ca="1">IFERROR(__xludf.DUMMYFUNCTION("""COMPUTED_VALUE"""),"")</f>
        <v/>
      </c>
      <c r="K613" s="189" t="str">
        <f ca="1">IFERROR(__xludf.DUMMYFUNCTION("""COMPUTED_VALUE"""),"")</f>
        <v/>
      </c>
      <c r="L613" s="189" t="str">
        <f ca="1">IFERROR(__xludf.DUMMYFUNCTION("""COMPUTED_VALUE"""),"")</f>
        <v/>
      </c>
      <c r="M613" s="189" t="str">
        <f ca="1">IFERROR(__xludf.DUMMYFUNCTION("""COMPUTED_VALUE"""),"")</f>
        <v/>
      </c>
      <c r="N613" s="189" t="str">
        <f ca="1">IFERROR(__xludf.DUMMYFUNCTION("""COMPUTED_VALUE"""),"")</f>
        <v/>
      </c>
      <c r="O613" s="189" t="str">
        <f ca="1">IFERROR(__xludf.DUMMYFUNCTION("""COMPUTED_VALUE"""),"")</f>
        <v/>
      </c>
      <c r="P613" s="189" t="str">
        <f ca="1">IFERROR(__xludf.DUMMYFUNCTION("""COMPUTED_VALUE"""),"")</f>
        <v/>
      </c>
      <c r="Q613" s="189" t="str">
        <f ca="1">IFERROR(__xludf.DUMMYFUNCTION("""COMPUTED_VALUE"""),"")</f>
        <v/>
      </c>
      <c r="R613" s="189" t="str">
        <f ca="1">IFERROR(__xludf.DUMMYFUNCTION("""COMPUTED_VALUE"""),"")</f>
        <v/>
      </c>
      <c r="S613" s="189" t="str">
        <f ca="1">IFERROR(__xludf.DUMMYFUNCTION("""COMPUTED_VALUE"""),"")</f>
        <v/>
      </c>
      <c r="T613" s="189" t="str">
        <f ca="1">IFERROR(__xludf.DUMMYFUNCTION("""COMPUTED_VALUE"""),"")</f>
        <v/>
      </c>
      <c r="U613" s="189" t="str">
        <f ca="1">IFERROR(__xludf.DUMMYFUNCTION("""COMPUTED_VALUE"""),"")</f>
        <v/>
      </c>
      <c r="V613" s="189" t="str">
        <f ca="1">IFERROR(__xludf.DUMMYFUNCTION("""COMPUTED_VALUE"""),"")</f>
        <v/>
      </c>
      <c r="W613" s="189" t="str">
        <f ca="1">IFERROR(__xludf.DUMMYFUNCTION("""COMPUTED_VALUE"""),"")</f>
        <v/>
      </c>
      <c r="X613" s="189" t="str">
        <f ca="1">IFERROR(__xludf.DUMMYFUNCTION("""COMPUTED_VALUE"""),"")</f>
        <v/>
      </c>
      <c r="Y613" s="189" t="str">
        <f ca="1">IFERROR(__xludf.DUMMYFUNCTION("""COMPUTED_VALUE"""),"")</f>
        <v/>
      </c>
      <c r="Z613" s="189"/>
    </row>
    <row r="614" spans="1:26" ht="12.75">
      <c r="A614" s="189" t="str">
        <f ca="1">IFERROR(__xludf.DUMMYFUNCTION("""COMPUTED_VALUE"""),"")</f>
        <v/>
      </c>
      <c r="B614" s="189" t="str">
        <f ca="1">IFERROR(__xludf.DUMMYFUNCTION("""COMPUTED_VALUE"""),"")</f>
        <v/>
      </c>
      <c r="C614" s="189" t="str">
        <f ca="1">IFERROR(__xludf.DUMMYFUNCTION("""COMPUTED_VALUE"""),"")</f>
        <v/>
      </c>
      <c r="D614" s="189" t="str">
        <f ca="1">IFERROR(__xludf.DUMMYFUNCTION("""COMPUTED_VALUE"""),"")</f>
        <v/>
      </c>
      <c r="E614" s="189" t="str">
        <f ca="1">IFERROR(__xludf.DUMMYFUNCTION("""COMPUTED_VALUE"""),"")</f>
        <v/>
      </c>
      <c r="F614" s="189" t="str">
        <f ca="1">IFERROR(__xludf.DUMMYFUNCTION("""COMPUTED_VALUE"""),"")</f>
        <v/>
      </c>
      <c r="G614" s="189" t="str">
        <f ca="1">IFERROR(__xludf.DUMMYFUNCTION("""COMPUTED_VALUE"""),"")</f>
        <v/>
      </c>
      <c r="H614" s="189" t="str">
        <f ca="1">IFERROR(__xludf.DUMMYFUNCTION("""COMPUTED_VALUE"""),"")</f>
        <v/>
      </c>
      <c r="I614" s="120" t="str">
        <f ca="1">IFERROR(__xludf.DUMMYFUNCTION("""COMPUTED_VALUE"""),"")</f>
        <v/>
      </c>
      <c r="J614" s="189" t="str">
        <f ca="1">IFERROR(__xludf.DUMMYFUNCTION("""COMPUTED_VALUE"""),"")</f>
        <v/>
      </c>
      <c r="K614" s="189" t="str">
        <f ca="1">IFERROR(__xludf.DUMMYFUNCTION("""COMPUTED_VALUE"""),"")</f>
        <v/>
      </c>
      <c r="L614" s="189" t="str">
        <f ca="1">IFERROR(__xludf.DUMMYFUNCTION("""COMPUTED_VALUE"""),"")</f>
        <v/>
      </c>
      <c r="M614" s="189" t="str">
        <f ca="1">IFERROR(__xludf.DUMMYFUNCTION("""COMPUTED_VALUE"""),"")</f>
        <v/>
      </c>
      <c r="N614" s="189" t="str">
        <f ca="1">IFERROR(__xludf.DUMMYFUNCTION("""COMPUTED_VALUE"""),"")</f>
        <v/>
      </c>
      <c r="O614" s="189" t="str">
        <f ca="1">IFERROR(__xludf.DUMMYFUNCTION("""COMPUTED_VALUE"""),"")</f>
        <v/>
      </c>
      <c r="P614" s="189" t="str">
        <f ca="1">IFERROR(__xludf.DUMMYFUNCTION("""COMPUTED_VALUE"""),"")</f>
        <v/>
      </c>
      <c r="Q614" s="189" t="str">
        <f ca="1">IFERROR(__xludf.DUMMYFUNCTION("""COMPUTED_VALUE"""),"")</f>
        <v/>
      </c>
      <c r="R614" s="189" t="str">
        <f ca="1">IFERROR(__xludf.DUMMYFUNCTION("""COMPUTED_VALUE"""),"")</f>
        <v/>
      </c>
      <c r="S614" s="189" t="str">
        <f ca="1">IFERROR(__xludf.DUMMYFUNCTION("""COMPUTED_VALUE"""),"")</f>
        <v/>
      </c>
      <c r="T614" s="189" t="str">
        <f ca="1">IFERROR(__xludf.DUMMYFUNCTION("""COMPUTED_VALUE"""),"")</f>
        <v/>
      </c>
      <c r="U614" s="189" t="str">
        <f ca="1">IFERROR(__xludf.DUMMYFUNCTION("""COMPUTED_VALUE"""),"")</f>
        <v/>
      </c>
      <c r="V614" s="189" t="str">
        <f ca="1">IFERROR(__xludf.DUMMYFUNCTION("""COMPUTED_VALUE"""),"")</f>
        <v/>
      </c>
      <c r="W614" s="189" t="str">
        <f ca="1">IFERROR(__xludf.DUMMYFUNCTION("""COMPUTED_VALUE"""),"")</f>
        <v/>
      </c>
      <c r="X614" s="189" t="str">
        <f ca="1">IFERROR(__xludf.DUMMYFUNCTION("""COMPUTED_VALUE"""),"")</f>
        <v/>
      </c>
      <c r="Y614" s="189" t="str">
        <f ca="1">IFERROR(__xludf.DUMMYFUNCTION("""COMPUTED_VALUE"""),"")</f>
        <v/>
      </c>
      <c r="Z614" s="189"/>
    </row>
    <row r="615" spans="1:26" ht="12.75">
      <c r="A615" s="189" t="str">
        <f ca="1">IFERROR(__xludf.DUMMYFUNCTION("""COMPUTED_VALUE"""),"")</f>
        <v/>
      </c>
      <c r="B615" s="189" t="str">
        <f ca="1">IFERROR(__xludf.DUMMYFUNCTION("""COMPUTED_VALUE"""),"")</f>
        <v/>
      </c>
      <c r="C615" s="189" t="str">
        <f ca="1">IFERROR(__xludf.DUMMYFUNCTION("""COMPUTED_VALUE"""),"")</f>
        <v/>
      </c>
      <c r="D615" s="189" t="str">
        <f ca="1">IFERROR(__xludf.DUMMYFUNCTION("""COMPUTED_VALUE"""),"")</f>
        <v/>
      </c>
      <c r="E615" s="189" t="str">
        <f ca="1">IFERROR(__xludf.DUMMYFUNCTION("""COMPUTED_VALUE"""),"")</f>
        <v/>
      </c>
      <c r="F615" s="189" t="str">
        <f ca="1">IFERROR(__xludf.DUMMYFUNCTION("""COMPUTED_VALUE"""),"")</f>
        <v/>
      </c>
      <c r="G615" s="189" t="str">
        <f ca="1">IFERROR(__xludf.DUMMYFUNCTION("""COMPUTED_VALUE"""),"")</f>
        <v/>
      </c>
      <c r="H615" s="189" t="str">
        <f ca="1">IFERROR(__xludf.DUMMYFUNCTION("""COMPUTED_VALUE"""),"")</f>
        <v/>
      </c>
      <c r="I615" s="120" t="str">
        <f ca="1">IFERROR(__xludf.DUMMYFUNCTION("""COMPUTED_VALUE"""),"")</f>
        <v/>
      </c>
      <c r="J615" s="189" t="str">
        <f ca="1">IFERROR(__xludf.DUMMYFUNCTION("""COMPUTED_VALUE"""),"")</f>
        <v/>
      </c>
      <c r="K615" s="189" t="str">
        <f ca="1">IFERROR(__xludf.DUMMYFUNCTION("""COMPUTED_VALUE"""),"")</f>
        <v/>
      </c>
      <c r="L615" s="189" t="str">
        <f ca="1">IFERROR(__xludf.DUMMYFUNCTION("""COMPUTED_VALUE"""),"")</f>
        <v/>
      </c>
      <c r="M615" s="189" t="str">
        <f ca="1">IFERROR(__xludf.DUMMYFUNCTION("""COMPUTED_VALUE"""),"")</f>
        <v/>
      </c>
      <c r="N615" s="189" t="str">
        <f ca="1">IFERROR(__xludf.DUMMYFUNCTION("""COMPUTED_VALUE"""),"")</f>
        <v/>
      </c>
      <c r="O615" s="189" t="str">
        <f ca="1">IFERROR(__xludf.DUMMYFUNCTION("""COMPUTED_VALUE"""),"")</f>
        <v/>
      </c>
      <c r="P615" s="189" t="str">
        <f ca="1">IFERROR(__xludf.DUMMYFUNCTION("""COMPUTED_VALUE"""),"")</f>
        <v/>
      </c>
      <c r="Q615" s="189" t="str">
        <f ca="1">IFERROR(__xludf.DUMMYFUNCTION("""COMPUTED_VALUE"""),"")</f>
        <v/>
      </c>
      <c r="R615" s="189" t="str">
        <f ca="1">IFERROR(__xludf.DUMMYFUNCTION("""COMPUTED_VALUE"""),"")</f>
        <v/>
      </c>
      <c r="S615" s="189" t="str">
        <f ca="1">IFERROR(__xludf.DUMMYFUNCTION("""COMPUTED_VALUE"""),"")</f>
        <v/>
      </c>
      <c r="T615" s="189" t="str">
        <f ca="1">IFERROR(__xludf.DUMMYFUNCTION("""COMPUTED_VALUE"""),"")</f>
        <v/>
      </c>
      <c r="U615" s="189" t="str">
        <f ca="1">IFERROR(__xludf.DUMMYFUNCTION("""COMPUTED_VALUE"""),"")</f>
        <v/>
      </c>
      <c r="V615" s="189" t="str">
        <f ca="1">IFERROR(__xludf.DUMMYFUNCTION("""COMPUTED_VALUE"""),"")</f>
        <v/>
      </c>
      <c r="W615" s="189" t="str">
        <f ca="1">IFERROR(__xludf.DUMMYFUNCTION("""COMPUTED_VALUE"""),"")</f>
        <v/>
      </c>
      <c r="X615" s="189" t="str">
        <f ca="1">IFERROR(__xludf.DUMMYFUNCTION("""COMPUTED_VALUE"""),"")</f>
        <v/>
      </c>
      <c r="Y615" s="189" t="str">
        <f ca="1">IFERROR(__xludf.DUMMYFUNCTION("""COMPUTED_VALUE"""),"")</f>
        <v/>
      </c>
      <c r="Z615" s="189"/>
    </row>
    <row r="616" spans="1:26" ht="12.75">
      <c r="A616" s="189" t="str">
        <f ca="1">IFERROR(__xludf.DUMMYFUNCTION("""COMPUTED_VALUE"""),"")</f>
        <v/>
      </c>
      <c r="B616" s="189" t="str">
        <f ca="1">IFERROR(__xludf.DUMMYFUNCTION("""COMPUTED_VALUE"""),"")</f>
        <v/>
      </c>
      <c r="C616" s="189" t="str">
        <f ca="1">IFERROR(__xludf.DUMMYFUNCTION("""COMPUTED_VALUE"""),"")</f>
        <v/>
      </c>
      <c r="D616" s="189" t="str">
        <f ca="1">IFERROR(__xludf.DUMMYFUNCTION("""COMPUTED_VALUE"""),"")</f>
        <v/>
      </c>
      <c r="E616" s="189" t="str">
        <f ca="1">IFERROR(__xludf.DUMMYFUNCTION("""COMPUTED_VALUE"""),"")</f>
        <v/>
      </c>
      <c r="F616" s="189" t="str">
        <f ca="1">IFERROR(__xludf.DUMMYFUNCTION("""COMPUTED_VALUE"""),"")</f>
        <v/>
      </c>
      <c r="G616" s="189" t="str">
        <f ca="1">IFERROR(__xludf.DUMMYFUNCTION("""COMPUTED_VALUE"""),"")</f>
        <v/>
      </c>
      <c r="H616" s="189" t="str">
        <f ca="1">IFERROR(__xludf.DUMMYFUNCTION("""COMPUTED_VALUE"""),"")</f>
        <v/>
      </c>
      <c r="I616" s="120" t="str">
        <f ca="1">IFERROR(__xludf.DUMMYFUNCTION("""COMPUTED_VALUE"""),"")</f>
        <v/>
      </c>
      <c r="J616" s="189" t="str">
        <f ca="1">IFERROR(__xludf.DUMMYFUNCTION("""COMPUTED_VALUE"""),"")</f>
        <v/>
      </c>
      <c r="K616" s="189" t="str">
        <f ca="1">IFERROR(__xludf.DUMMYFUNCTION("""COMPUTED_VALUE"""),"")</f>
        <v/>
      </c>
      <c r="L616" s="189" t="str">
        <f ca="1">IFERROR(__xludf.DUMMYFUNCTION("""COMPUTED_VALUE"""),"")</f>
        <v/>
      </c>
      <c r="M616" s="189" t="str">
        <f ca="1">IFERROR(__xludf.DUMMYFUNCTION("""COMPUTED_VALUE"""),"")</f>
        <v/>
      </c>
      <c r="N616" s="189" t="str">
        <f ca="1">IFERROR(__xludf.DUMMYFUNCTION("""COMPUTED_VALUE"""),"")</f>
        <v/>
      </c>
      <c r="O616" s="189" t="str">
        <f ca="1">IFERROR(__xludf.DUMMYFUNCTION("""COMPUTED_VALUE"""),"")</f>
        <v/>
      </c>
      <c r="P616" s="189" t="str">
        <f ca="1">IFERROR(__xludf.DUMMYFUNCTION("""COMPUTED_VALUE"""),"")</f>
        <v/>
      </c>
      <c r="Q616" s="189" t="str">
        <f ca="1">IFERROR(__xludf.DUMMYFUNCTION("""COMPUTED_VALUE"""),"")</f>
        <v/>
      </c>
      <c r="R616" s="189" t="str">
        <f ca="1">IFERROR(__xludf.DUMMYFUNCTION("""COMPUTED_VALUE"""),"")</f>
        <v/>
      </c>
      <c r="S616" s="189" t="str">
        <f ca="1">IFERROR(__xludf.DUMMYFUNCTION("""COMPUTED_VALUE"""),"")</f>
        <v/>
      </c>
      <c r="T616" s="189" t="str">
        <f ca="1">IFERROR(__xludf.DUMMYFUNCTION("""COMPUTED_VALUE"""),"")</f>
        <v/>
      </c>
      <c r="U616" s="189" t="str">
        <f ca="1">IFERROR(__xludf.DUMMYFUNCTION("""COMPUTED_VALUE"""),"")</f>
        <v/>
      </c>
      <c r="V616" s="189" t="str">
        <f ca="1">IFERROR(__xludf.DUMMYFUNCTION("""COMPUTED_VALUE"""),"")</f>
        <v/>
      </c>
      <c r="W616" s="189" t="str">
        <f ca="1">IFERROR(__xludf.DUMMYFUNCTION("""COMPUTED_VALUE"""),"")</f>
        <v/>
      </c>
      <c r="X616" s="189" t="str">
        <f ca="1">IFERROR(__xludf.DUMMYFUNCTION("""COMPUTED_VALUE"""),"")</f>
        <v/>
      </c>
      <c r="Y616" s="189" t="str">
        <f ca="1">IFERROR(__xludf.DUMMYFUNCTION("""COMPUTED_VALUE"""),"")</f>
        <v/>
      </c>
      <c r="Z616" s="189"/>
    </row>
    <row r="617" spans="1:26" ht="12.75">
      <c r="A617" s="189" t="str">
        <f ca="1">IFERROR(__xludf.DUMMYFUNCTION("""COMPUTED_VALUE"""),"")</f>
        <v/>
      </c>
      <c r="B617" s="189" t="str">
        <f ca="1">IFERROR(__xludf.DUMMYFUNCTION("""COMPUTED_VALUE"""),"")</f>
        <v/>
      </c>
      <c r="C617" s="189" t="str">
        <f ca="1">IFERROR(__xludf.DUMMYFUNCTION("""COMPUTED_VALUE"""),"")</f>
        <v/>
      </c>
      <c r="D617" s="189" t="str">
        <f ca="1">IFERROR(__xludf.DUMMYFUNCTION("""COMPUTED_VALUE"""),"")</f>
        <v/>
      </c>
      <c r="E617" s="189" t="str">
        <f ca="1">IFERROR(__xludf.DUMMYFUNCTION("""COMPUTED_VALUE"""),"")</f>
        <v/>
      </c>
      <c r="F617" s="189" t="str">
        <f ca="1">IFERROR(__xludf.DUMMYFUNCTION("""COMPUTED_VALUE"""),"")</f>
        <v/>
      </c>
      <c r="G617" s="189" t="str">
        <f ca="1">IFERROR(__xludf.DUMMYFUNCTION("""COMPUTED_VALUE"""),"")</f>
        <v/>
      </c>
      <c r="H617" s="189" t="str">
        <f ca="1">IFERROR(__xludf.DUMMYFUNCTION("""COMPUTED_VALUE"""),"")</f>
        <v/>
      </c>
      <c r="I617" s="120" t="str">
        <f ca="1">IFERROR(__xludf.DUMMYFUNCTION("""COMPUTED_VALUE"""),"")</f>
        <v/>
      </c>
      <c r="J617" s="189" t="str">
        <f ca="1">IFERROR(__xludf.DUMMYFUNCTION("""COMPUTED_VALUE"""),"")</f>
        <v/>
      </c>
      <c r="K617" s="189" t="str">
        <f ca="1">IFERROR(__xludf.DUMMYFUNCTION("""COMPUTED_VALUE"""),"")</f>
        <v/>
      </c>
      <c r="L617" s="189" t="str">
        <f ca="1">IFERROR(__xludf.DUMMYFUNCTION("""COMPUTED_VALUE"""),"")</f>
        <v/>
      </c>
      <c r="M617" s="189" t="str">
        <f ca="1">IFERROR(__xludf.DUMMYFUNCTION("""COMPUTED_VALUE"""),"")</f>
        <v/>
      </c>
      <c r="N617" s="189" t="str">
        <f ca="1">IFERROR(__xludf.DUMMYFUNCTION("""COMPUTED_VALUE"""),"")</f>
        <v/>
      </c>
      <c r="O617" s="189" t="str">
        <f ca="1">IFERROR(__xludf.DUMMYFUNCTION("""COMPUTED_VALUE"""),"")</f>
        <v/>
      </c>
      <c r="P617" s="189" t="str">
        <f ca="1">IFERROR(__xludf.DUMMYFUNCTION("""COMPUTED_VALUE"""),"")</f>
        <v/>
      </c>
      <c r="Q617" s="189" t="str">
        <f ca="1">IFERROR(__xludf.DUMMYFUNCTION("""COMPUTED_VALUE"""),"")</f>
        <v/>
      </c>
      <c r="R617" s="189" t="str">
        <f ca="1">IFERROR(__xludf.DUMMYFUNCTION("""COMPUTED_VALUE"""),"")</f>
        <v/>
      </c>
      <c r="S617" s="189" t="str">
        <f ca="1">IFERROR(__xludf.DUMMYFUNCTION("""COMPUTED_VALUE"""),"")</f>
        <v/>
      </c>
      <c r="T617" s="189" t="str">
        <f ca="1">IFERROR(__xludf.DUMMYFUNCTION("""COMPUTED_VALUE"""),"")</f>
        <v/>
      </c>
      <c r="U617" s="189" t="str">
        <f ca="1">IFERROR(__xludf.DUMMYFUNCTION("""COMPUTED_VALUE"""),"")</f>
        <v/>
      </c>
      <c r="V617" s="189" t="str">
        <f ca="1">IFERROR(__xludf.DUMMYFUNCTION("""COMPUTED_VALUE"""),"")</f>
        <v/>
      </c>
      <c r="W617" s="189" t="str">
        <f ca="1">IFERROR(__xludf.DUMMYFUNCTION("""COMPUTED_VALUE"""),"")</f>
        <v/>
      </c>
      <c r="X617" s="189" t="str">
        <f ca="1">IFERROR(__xludf.DUMMYFUNCTION("""COMPUTED_VALUE"""),"")</f>
        <v/>
      </c>
      <c r="Y617" s="189" t="str">
        <f ca="1">IFERROR(__xludf.DUMMYFUNCTION("""COMPUTED_VALUE"""),"")</f>
        <v/>
      </c>
      <c r="Z617" s="189"/>
    </row>
    <row r="618" spans="1:26" ht="12.75">
      <c r="A618" s="189" t="str">
        <f ca="1">IFERROR(__xludf.DUMMYFUNCTION("""COMPUTED_VALUE"""),"")</f>
        <v/>
      </c>
      <c r="B618" s="189" t="str">
        <f ca="1">IFERROR(__xludf.DUMMYFUNCTION("""COMPUTED_VALUE"""),"")</f>
        <v/>
      </c>
      <c r="C618" s="189" t="str">
        <f ca="1">IFERROR(__xludf.DUMMYFUNCTION("""COMPUTED_VALUE"""),"")</f>
        <v/>
      </c>
      <c r="D618" s="189" t="str">
        <f ca="1">IFERROR(__xludf.DUMMYFUNCTION("""COMPUTED_VALUE"""),"")</f>
        <v/>
      </c>
      <c r="E618" s="189" t="str">
        <f ca="1">IFERROR(__xludf.DUMMYFUNCTION("""COMPUTED_VALUE"""),"")</f>
        <v/>
      </c>
      <c r="F618" s="189" t="str">
        <f ca="1">IFERROR(__xludf.DUMMYFUNCTION("""COMPUTED_VALUE"""),"")</f>
        <v/>
      </c>
      <c r="G618" s="189" t="str">
        <f ca="1">IFERROR(__xludf.DUMMYFUNCTION("""COMPUTED_VALUE"""),"")</f>
        <v/>
      </c>
      <c r="H618" s="189" t="str">
        <f ca="1">IFERROR(__xludf.DUMMYFUNCTION("""COMPUTED_VALUE"""),"")</f>
        <v/>
      </c>
      <c r="I618" s="120" t="str">
        <f ca="1">IFERROR(__xludf.DUMMYFUNCTION("""COMPUTED_VALUE"""),"")</f>
        <v/>
      </c>
      <c r="J618" s="189" t="str">
        <f ca="1">IFERROR(__xludf.DUMMYFUNCTION("""COMPUTED_VALUE"""),"")</f>
        <v/>
      </c>
      <c r="K618" s="189" t="str">
        <f ca="1">IFERROR(__xludf.DUMMYFUNCTION("""COMPUTED_VALUE"""),"")</f>
        <v/>
      </c>
      <c r="L618" s="189" t="str">
        <f ca="1">IFERROR(__xludf.DUMMYFUNCTION("""COMPUTED_VALUE"""),"")</f>
        <v/>
      </c>
      <c r="M618" s="189" t="str">
        <f ca="1">IFERROR(__xludf.DUMMYFUNCTION("""COMPUTED_VALUE"""),"")</f>
        <v/>
      </c>
      <c r="N618" s="189" t="str">
        <f ca="1">IFERROR(__xludf.DUMMYFUNCTION("""COMPUTED_VALUE"""),"")</f>
        <v/>
      </c>
      <c r="O618" s="189" t="str">
        <f ca="1">IFERROR(__xludf.DUMMYFUNCTION("""COMPUTED_VALUE"""),"")</f>
        <v/>
      </c>
      <c r="P618" s="189" t="str">
        <f ca="1">IFERROR(__xludf.DUMMYFUNCTION("""COMPUTED_VALUE"""),"")</f>
        <v/>
      </c>
      <c r="Q618" s="189" t="str">
        <f ca="1">IFERROR(__xludf.DUMMYFUNCTION("""COMPUTED_VALUE"""),"")</f>
        <v/>
      </c>
      <c r="R618" s="189" t="str">
        <f ca="1">IFERROR(__xludf.DUMMYFUNCTION("""COMPUTED_VALUE"""),"")</f>
        <v/>
      </c>
      <c r="S618" s="189" t="str">
        <f ca="1">IFERROR(__xludf.DUMMYFUNCTION("""COMPUTED_VALUE"""),"")</f>
        <v/>
      </c>
      <c r="T618" s="189" t="str">
        <f ca="1">IFERROR(__xludf.DUMMYFUNCTION("""COMPUTED_VALUE"""),"")</f>
        <v/>
      </c>
      <c r="U618" s="189" t="str">
        <f ca="1">IFERROR(__xludf.DUMMYFUNCTION("""COMPUTED_VALUE"""),"")</f>
        <v/>
      </c>
      <c r="V618" s="189" t="str">
        <f ca="1">IFERROR(__xludf.DUMMYFUNCTION("""COMPUTED_VALUE"""),"")</f>
        <v/>
      </c>
      <c r="W618" s="189" t="str">
        <f ca="1">IFERROR(__xludf.DUMMYFUNCTION("""COMPUTED_VALUE"""),"")</f>
        <v/>
      </c>
      <c r="X618" s="189" t="str">
        <f ca="1">IFERROR(__xludf.DUMMYFUNCTION("""COMPUTED_VALUE"""),"")</f>
        <v/>
      </c>
      <c r="Y618" s="189" t="str">
        <f ca="1">IFERROR(__xludf.DUMMYFUNCTION("""COMPUTED_VALUE"""),"")</f>
        <v/>
      </c>
      <c r="Z618" s="189"/>
    </row>
    <row r="619" spans="1:26" ht="12.75">
      <c r="A619" s="189" t="str">
        <f ca="1">IFERROR(__xludf.DUMMYFUNCTION("""COMPUTED_VALUE"""),"")</f>
        <v/>
      </c>
      <c r="B619" s="189" t="str">
        <f ca="1">IFERROR(__xludf.DUMMYFUNCTION("""COMPUTED_VALUE"""),"")</f>
        <v/>
      </c>
      <c r="C619" s="189" t="str">
        <f ca="1">IFERROR(__xludf.DUMMYFUNCTION("""COMPUTED_VALUE"""),"")</f>
        <v/>
      </c>
      <c r="D619" s="189" t="str">
        <f ca="1">IFERROR(__xludf.DUMMYFUNCTION("""COMPUTED_VALUE"""),"")</f>
        <v/>
      </c>
      <c r="E619" s="189" t="str">
        <f ca="1">IFERROR(__xludf.DUMMYFUNCTION("""COMPUTED_VALUE"""),"")</f>
        <v/>
      </c>
      <c r="F619" s="189" t="str">
        <f ca="1">IFERROR(__xludf.DUMMYFUNCTION("""COMPUTED_VALUE"""),"")</f>
        <v/>
      </c>
      <c r="G619" s="189" t="str">
        <f ca="1">IFERROR(__xludf.DUMMYFUNCTION("""COMPUTED_VALUE"""),"")</f>
        <v/>
      </c>
      <c r="H619" s="189" t="str">
        <f ca="1">IFERROR(__xludf.DUMMYFUNCTION("""COMPUTED_VALUE"""),"")</f>
        <v/>
      </c>
      <c r="I619" s="120" t="str">
        <f ca="1">IFERROR(__xludf.DUMMYFUNCTION("""COMPUTED_VALUE"""),"")</f>
        <v/>
      </c>
      <c r="J619" s="189" t="str">
        <f ca="1">IFERROR(__xludf.DUMMYFUNCTION("""COMPUTED_VALUE"""),"")</f>
        <v/>
      </c>
      <c r="K619" s="189" t="str">
        <f ca="1">IFERROR(__xludf.DUMMYFUNCTION("""COMPUTED_VALUE"""),"")</f>
        <v/>
      </c>
      <c r="L619" s="189" t="str">
        <f ca="1">IFERROR(__xludf.DUMMYFUNCTION("""COMPUTED_VALUE"""),"")</f>
        <v/>
      </c>
      <c r="M619" s="189" t="str">
        <f ca="1">IFERROR(__xludf.DUMMYFUNCTION("""COMPUTED_VALUE"""),"")</f>
        <v/>
      </c>
      <c r="N619" s="189" t="str">
        <f ca="1">IFERROR(__xludf.DUMMYFUNCTION("""COMPUTED_VALUE"""),"")</f>
        <v/>
      </c>
      <c r="O619" s="189" t="str">
        <f ca="1">IFERROR(__xludf.DUMMYFUNCTION("""COMPUTED_VALUE"""),"")</f>
        <v/>
      </c>
      <c r="P619" s="189" t="str">
        <f ca="1">IFERROR(__xludf.DUMMYFUNCTION("""COMPUTED_VALUE"""),"")</f>
        <v/>
      </c>
      <c r="Q619" s="189" t="str">
        <f ca="1">IFERROR(__xludf.DUMMYFUNCTION("""COMPUTED_VALUE"""),"")</f>
        <v/>
      </c>
      <c r="R619" s="189" t="str">
        <f ca="1">IFERROR(__xludf.DUMMYFUNCTION("""COMPUTED_VALUE"""),"")</f>
        <v/>
      </c>
      <c r="S619" s="189" t="str">
        <f ca="1">IFERROR(__xludf.DUMMYFUNCTION("""COMPUTED_VALUE"""),"")</f>
        <v/>
      </c>
      <c r="T619" s="189" t="str">
        <f ca="1">IFERROR(__xludf.DUMMYFUNCTION("""COMPUTED_VALUE"""),"")</f>
        <v/>
      </c>
      <c r="U619" s="189" t="str">
        <f ca="1">IFERROR(__xludf.DUMMYFUNCTION("""COMPUTED_VALUE"""),"")</f>
        <v/>
      </c>
      <c r="V619" s="189" t="str">
        <f ca="1">IFERROR(__xludf.DUMMYFUNCTION("""COMPUTED_VALUE"""),"")</f>
        <v/>
      </c>
      <c r="W619" s="189" t="str">
        <f ca="1">IFERROR(__xludf.DUMMYFUNCTION("""COMPUTED_VALUE"""),"")</f>
        <v/>
      </c>
      <c r="X619" s="189" t="str">
        <f ca="1">IFERROR(__xludf.DUMMYFUNCTION("""COMPUTED_VALUE"""),"")</f>
        <v/>
      </c>
      <c r="Y619" s="189" t="str">
        <f ca="1">IFERROR(__xludf.DUMMYFUNCTION("""COMPUTED_VALUE"""),"")</f>
        <v/>
      </c>
      <c r="Z619" s="189"/>
    </row>
    <row r="620" spans="1:26" ht="12.75">
      <c r="A620" s="189" t="str">
        <f ca="1">IFERROR(__xludf.DUMMYFUNCTION("""COMPUTED_VALUE"""),"")</f>
        <v/>
      </c>
      <c r="B620" s="189" t="str">
        <f ca="1">IFERROR(__xludf.DUMMYFUNCTION("""COMPUTED_VALUE"""),"")</f>
        <v/>
      </c>
      <c r="C620" s="189" t="str">
        <f ca="1">IFERROR(__xludf.DUMMYFUNCTION("""COMPUTED_VALUE"""),"")</f>
        <v/>
      </c>
      <c r="D620" s="189" t="str">
        <f ca="1">IFERROR(__xludf.DUMMYFUNCTION("""COMPUTED_VALUE"""),"")</f>
        <v/>
      </c>
      <c r="E620" s="189" t="str">
        <f ca="1">IFERROR(__xludf.DUMMYFUNCTION("""COMPUTED_VALUE"""),"")</f>
        <v/>
      </c>
      <c r="F620" s="189" t="str">
        <f ca="1">IFERROR(__xludf.DUMMYFUNCTION("""COMPUTED_VALUE"""),"")</f>
        <v/>
      </c>
      <c r="G620" s="189" t="str">
        <f ca="1">IFERROR(__xludf.DUMMYFUNCTION("""COMPUTED_VALUE"""),"")</f>
        <v/>
      </c>
      <c r="H620" s="189" t="str">
        <f ca="1">IFERROR(__xludf.DUMMYFUNCTION("""COMPUTED_VALUE"""),"")</f>
        <v/>
      </c>
      <c r="I620" s="120" t="str">
        <f ca="1">IFERROR(__xludf.DUMMYFUNCTION("""COMPUTED_VALUE"""),"")</f>
        <v/>
      </c>
      <c r="J620" s="189" t="str">
        <f ca="1">IFERROR(__xludf.DUMMYFUNCTION("""COMPUTED_VALUE"""),"")</f>
        <v/>
      </c>
      <c r="K620" s="189" t="str">
        <f ca="1">IFERROR(__xludf.DUMMYFUNCTION("""COMPUTED_VALUE"""),"")</f>
        <v/>
      </c>
      <c r="L620" s="189" t="str">
        <f ca="1">IFERROR(__xludf.DUMMYFUNCTION("""COMPUTED_VALUE"""),"")</f>
        <v/>
      </c>
      <c r="M620" s="189" t="str">
        <f ca="1">IFERROR(__xludf.DUMMYFUNCTION("""COMPUTED_VALUE"""),"")</f>
        <v/>
      </c>
      <c r="N620" s="189" t="str">
        <f ca="1">IFERROR(__xludf.DUMMYFUNCTION("""COMPUTED_VALUE"""),"")</f>
        <v/>
      </c>
      <c r="O620" s="189" t="str">
        <f ca="1">IFERROR(__xludf.DUMMYFUNCTION("""COMPUTED_VALUE"""),"")</f>
        <v/>
      </c>
      <c r="P620" s="189" t="str">
        <f ca="1">IFERROR(__xludf.DUMMYFUNCTION("""COMPUTED_VALUE"""),"")</f>
        <v/>
      </c>
      <c r="Q620" s="189" t="str">
        <f ca="1">IFERROR(__xludf.DUMMYFUNCTION("""COMPUTED_VALUE"""),"")</f>
        <v/>
      </c>
      <c r="R620" s="189" t="str">
        <f ca="1">IFERROR(__xludf.DUMMYFUNCTION("""COMPUTED_VALUE"""),"")</f>
        <v/>
      </c>
      <c r="S620" s="189" t="str">
        <f ca="1">IFERROR(__xludf.DUMMYFUNCTION("""COMPUTED_VALUE"""),"")</f>
        <v/>
      </c>
      <c r="T620" s="189" t="str">
        <f ca="1">IFERROR(__xludf.DUMMYFUNCTION("""COMPUTED_VALUE"""),"")</f>
        <v/>
      </c>
      <c r="U620" s="189" t="str">
        <f ca="1">IFERROR(__xludf.DUMMYFUNCTION("""COMPUTED_VALUE"""),"")</f>
        <v/>
      </c>
      <c r="V620" s="189" t="str">
        <f ca="1">IFERROR(__xludf.DUMMYFUNCTION("""COMPUTED_VALUE"""),"")</f>
        <v/>
      </c>
      <c r="W620" s="189" t="str">
        <f ca="1">IFERROR(__xludf.DUMMYFUNCTION("""COMPUTED_VALUE"""),"")</f>
        <v/>
      </c>
      <c r="X620" s="189" t="str">
        <f ca="1">IFERROR(__xludf.DUMMYFUNCTION("""COMPUTED_VALUE"""),"")</f>
        <v/>
      </c>
      <c r="Y620" s="189" t="str">
        <f ca="1">IFERROR(__xludf.DUMMYFUNCTION("""COMPUTED_VALUE"""),"")</f>
        <v/>
      </c>
      <c r="Z620" s="189"/>
    </row>
    <row r="621" spans="1:26" ht="12.75">
      <c r="A621" s="189" t="str">
        <f ca="1">IFERROR(__xludf.DUMMYFUNCTION("""COMPUTED_VALUE"""),"")</f>
        <v/>
      </c>
      <c r="B621" s="189" t="str">
        <f ca="1">IFERROR(__xludf.DUMMYFUNCTION("""COMPUTED_VALUE"""),"")</f>
        <v/>
      </c>
      <c r="C621" s="189" t="str">
        <f ca="1">IFERROR(__xludf.DUMMYFUNCTION("""COMPUTED_VALUE"""),"")</f>
        <v/>
      </c>
      <c r="D621" s="189" t="str">
        <f ca="1">IFERROR(__xludf.DUMMYFUNCTION("""COMPUTED_VALUE"""),"")</f>
        <v/>
      </c>
      <c r="E621" s="189" t="str">
        <f ca="1">IFERROR(__xludf.DUMMYFUNCTION("""COMPUTED_VALUE"""),"")</f>
        <v/>
      </c>
      <c r="F621" s="189" t="str">
        <f ca="1">IFERROR(__xludf.DUMMYFUNCTION("""COMPUTED_VALUE"""),"")</f>
        <v/>
      </c>
      <c r="G621" s="189" t="str">
        <f ca="1">IFERROR(__xludf.DUMMYFUNCTION("""COMPUTED_VALUE"""),"")</f>
        <v/>
      </c>
      <c r="H621" s="189" t="str">
        <f ca="1">IFERROR(__xludf.DUMMYFUNCTION("""COMPUTED_VALUE"""),"")</f>
        <v/>
      </c>
      <c r="I621" s="120" t="str">
        <f ca="1">IFERROR(__xludf.DUMMYFUNCTION("""COMPUTED_VALUE"""),"")</f>
        <v/>
      </c>
      <c r="J621" s="189" t="str">
        <f ca="1">IFERROR(__xludf.DUMMYFUNCTION("""COMPUTED_VALUE"""),"")</f>
        <v/>
      </c>
      <c r="K621" s="189" t="str">
        <f ca="1">IFERROR(__xludf.DUMMYFUNCTION("""COMPUTED_VALUE"""),"")</f>
        <v/>
      </c>
      <c r="L621" s="189" t="str">
        <f ca="1">IFERROR(__xludf.DUMMYFUNCTION("""COMPUTED_VALUE"""),"")</f>
        <v/>
      </c>
      <c r="M621" s="189" t="str">
        <f ca="1">IFERROR(__xludf.DUMMYFUNCTION("""COMPUTED_VALUE"""),"")</f>
        <v/>
      </c>
      <c r="N621" s="189" t="str">
        <f ca="1">IFERROR(__xludf.DUMMYFUNCTION("""COMPUTED_VALUE"""),"")</f>
        <v/>
      </c>
      <c r="O621" s="189" t="str">
        <f ca="1">IFERROR(__xludf.DUMMYFUNCTION("""COMPUTED_VALUE"""),"")</f>
        <v/>
      </c>
      <c r="P621" s="189" t="str">
        <f ca="1">IFERROR(__xludf.DUMMYFUNCTION("""COMPUTED_VALUE"""),"")</f>
        <v/>
      </c>
      <c r="Q621" s="189" t="str">
        <f ca="1">IFERROR(__xludf.DUMMYFUNCTION("""COMPUTED_VALUE"""),"")</f>
        <v/>
      </c>
      <c r="R621" s="189" t="str">
        <f ca="1">IFERROR(__xludf.DUMMYFUNCTION("""COMPUTED_VALUE"""),"")</f>
        <v/>
      </c>
      <c r="S621" s="189" t="str">
        <f ca="1">IFERROR(__xludf.DUMMYFUNCTION("""COMPUTED_VALUE"""),"")</f>
        <v/>
      </c>
      <c r="T621" s="189" t="str">
        <f ca="1">IFERROR(__xludf.DUMMYFUNCTION("""COMPUTED_VALUE"""),"")</f>
        <v/>
      </c>
      <c r="U621" s="189" t="str">
        <f ca="1">IFERROR(__xludf.DUMMYFUNCTION("""COMPUTED_VALUE"""),"")</f>
        <v/>
      </c>
      <c r="V621" s="189" t="str">
        <f ca="1">IFERROR(__xludf.DUMMYFUNCTION("""COMPUTED_VALUE"""),"")</f>
        <v/>
      </c>
      <c r="W621" s="189" t="str">
        <f ca="1">IFERROR(__xludf.DUMMYFUNCTION("""COMPUTED_VALUE"""),"")</f>
        <v/>
      </c>
      <c r="X621" s="189" t="str">
        <f ca="1">IFERROR(__xludf.DUMMYFUNCTION("""COMPUTED_VALUE"""),"")</f>
        <v/>
      </c>
      <c r="Y621" s="189" t="str">
        <f ca="1">IFERROR(__xludf.DUMMYFUNCTION("""COMPUTED_VALUE"""),"")</f>
        <v/>
      </c>
      <c r="Z621" s="189"/>
    </row>
    <row r="622" spans="1:26" ht="12.75">
      <c r="A622" s="189" t="str">
        <f ca="1">IFERROR(__xludf.DUMMYFUNCTION("""COMPUTED_VALUE"""),"")</f>
        <v/>
      </c>
      <c r="B622" s="189" t="str">
        <f ca="1">IFERROR(__xludf.DUMMYFUNCTION("""COMPUTED_VALUE"""),"")</f>
        <v/>
      </c>
      <c r="C622" s="189" t="str">
        <f ca="1">IFERROR(__xludf.DUMMYFUNCTION("""COMPUTED_VALUE"""),"")</f>
        <v/>
      </c>
      <c r="D622" s="189" t="str">
        <f ca="1">IFERROR(__xludf.DUMMYFUNCTION("""COMPUTED_VALUE"""),"")</f>
        <v/>
      </c>
      <c r="E622" s="189" t="str">
        <f ca="1">IFERROR(__xludf.DUMMYFUNCTION("""COMPUTED_VALUE"""),"")</f>
        <v/>
      </c>
      <c r="F622" s="189" t="str">
        <f ca="1">IFERROR(__xludf.DUMMYFUNCTION("""COMPUTED_VALUE"""),"")</f>
        <v/>
      </c>
      <c r="G622" s="189" t="str">
        <f ca="1">IFERROR(__xludf.DUMMYFUNCTION("""COMPUTED_VALUE"""),"")</f>
        <v/>
      </c>
      <c r="H622" s="189" t="str">
        <f ca="1">IFERROR(__xludf.DUMMYFUNCTION("""COMPUTED_VALUE"""),"")</f>
        <v/>
      </c>
      <c r="I622" s="120" t="str">
        <f ca="1">IFERROR(__xludf.DUMMYFUNCTION("""COMPUTED_VALUE"""),"")</f>
        <v/>
      </c>
      <c r="J622" s="189" t="str">
        <f ca="1">IFERROR(__xludf.DUMMYFUNCTION("""COMPUTED_VALUE"""),"")</f>
        <v/>
      </c>
      <c r="K622" s="189" t="str">
        <f ca="1">IFERROR(__xludf.DUMMYFUNCTION("""COMPUTED_VALUE"""),"")</f>
        <v/>
      </c>
      <c r="L622" s="189" t="str">
        <f ca="1">IFERROR(__xludf.DUMMYFUNCTION("""COMPUTED_VALUE"""),"")</f>
        <v/>
      </c>
      <c r="M622" s="189" t="str">
        <f ca="1">IFERROR(__xludf.DUMMYFUNCTION("""COMPUTED_VALUE"""),"")</f>
        <v/>
      </c>
      <c r="N622" s="189" t="str">
        <f ca="1">IFERROR(__xludf.DUMMYFUNCTION("""COMPUTED_VALUE"""),"")</f>
        <v/>
      </c>
      <c r="O622" s="189" t="str">
        <f ca="1">IFERROR(__xludf.DUMMYFUNCTION("""COMPUTED_VALUE"""),"")</f>
        <v/>
      </c>
      <c r="P622" s="189" t="str">
        <f ca="1">IFERROR(__xludf.DUMMYFUNCTION("""COMPUTED_VALUE"""),"")</f>
        <v/>
      </c>
      <c r="Q622" s="189" t="str">
        <f ca="1">IFERROR(__xludf.DUMMYFUNCTION("""COMPUTED_VALUE"""),"")</f>
        <v/>
      </c>
      <c r="R622" s="189" t="str">
        <f ca="1">IFERROR(__xludf.DUMMYFUNCTION("""COMPUTED_VALUE"""),"")</f>
        <v/>
      </c>
      <c r="S622" s="189" t="str">
        <f ca="1">IFERROR(__xludf.DUMMYFUNCTION("""COMPUTED_VALUE"""),"")</f>
        <v/>
      </c>
      <c r="T622" s="189" t="str">
        <f ca="1">IFERROR(__xludf.DUMMYFUNCTION("""COMPUTED_VALUE"""),"")</f>
        <v/>
      </c>
      <c r="U622" s="189" t="str">
        <f ca="1">IFERROR(__xludf.DUMMYFUNCTION("""COMPUTED_VALUE"""),"")</f>
        <v/>
      </c>
      <c r="V622" s="189" t="str">
        <f ca="1">IFERROR(__xludf.DUMMYFUNCTION("""COMPUTED_VALUE"""),"")</f>
        <v/>
      </c>
      <c r="W622" s="189" t="str">
        <f ca="1">IFERROR(__xludf.DUMMYFUNCTION("""COMPUTED_VALUE"""),"")</f>
        <v/>
      </c>
      <c r="X622" s="189" t="str">
        <f ca="1">IFERROR(__xludf.DUMMYFUNCTION("""COMPUTED_VALUE"""),"")</f>
        <v/>
      </c>
      <c r="Y622" s="189" t="str">
        <f ca="1">IFERROR(__xludf.DUMMYFUNCTION("""COMPUTED_VALUE"""),"")</f>
        <v/>
      </c>
      <c r="Z622" s="189"/>
    </row>
    <row r="623" spans="1:26" ht="12.75">
      <c r="A623" s="189" t="str">
        <f ca="1">IFERROR(__xludf.DUMMYFUNCTION("""COMPUTED_VALUE"""),"")</f>
        <v/>
      </c>
      <c r="B623" s="189" t="str">
        <f ca="1">IFERROR(__xludf.DUMMYFUNCTION("""COMPUTED_VALUE"""),"")</f>
        <v/>
      </c>
      <c r="C623" s="189" t="str">
        <f ca="1">IFERROR(__xludf.DUMMYFUNCTION("""COMPUTED_VALUE"""),"")</f>
        <v/>
      </c>
      <c r="D623" s="189" t="str">
        <f ca="1">IFERROR(__xludf.DUMMYFUNCTION("""COMPUTED_VALUE"""),"")</f>
        <v/>
      </c>
      <c r="E623" s="189" t="str">
        <f ca="1">IFERROR(__xludf.DUMMYFUNCTION("""COMPUTED_VALUE"""),"")</f>
        <v/>
      </c>
      <c r="F623" s="189" t="str">
        <f ca="1">IFERROR(__xludf.DUMMYFUNCTION("""COMPUTED_VALUE"""),"")</f>
        <v/>
      </c>
      <c r="G623" s="189" t="str">
        <f ca="1">IFERROR(__xludf.DUMMYFUNCTION("""COMPUTED_VALUE"""),"")</f>
        <v/>
      </c>
      <c r="H623" s="189" t="str">
        <f ca="1">IFERROR(__xludf.DUMMYFUNCTION("""COMPUTED_VALUE"""),"")</f>
        <v/>
      </c>
      <c r="I623" s="120" t="str">
        <f ca="1">IFERROR(__xludf.DUMMYFUNCTION("""COMPUTED_VALUE"""),"")</f>
        <v/>
      </c>
      <c r="J623" s="189" t="str">
        <f ca="1">IFERROR(__xludf.DUMMYFUNCTION("""COMPUTED_VALUE"""),"")</f>
        <v/>
      </c>
      <c r="K623" s="189" t="str">
        <f ca="1">IFERROR(__xludf.DUMMYFUNCTION("""COMPUTED_VALUE"""),"")</f>
        <v/>
      </c>
      <c r="L623" s="189" t="str">
        <f ca="1">IFERROR(__xludf.DUMMYFUNCTION("""COMPUTED_VALUE"""),"")</f>
        <v/>
      </c>
      <c r="M623" s="189" t="str">
        <f ca="1">IFERROR(__xludf.DUMMYFUNCTION("""COMPUTED_VALUE"""),"")</f>
        <v/>
      </c>
      <c r="N623" s="189" t="str">
        <f ca="1">IFERROR(__xludf.DUMMYFUNCTION("""COMPUTED_VALUE"""),"")</f>
        <v/>
      </c>
      <c r="O623" s="189" t="str">
        <f ca="1">IFERROR(__xludf.DUMMYFUNCTION("""COMPUTED_VALUE"""),"")</f>
        <v/>
      </c>
      <c r="P623" s="189" t="str">
        <f ca="1">IFERROR(__xludf.DUMMYFUNCTION("""COMPUTED_VALUE"""),"")</f>
        <v/>
      </c>
      <c r="Q623" s="189" t="str">
        <f ca="1">IFERROR(__xludf.DUMMYFUNCTION("""COMPUTED_VALUE"""),"")</f>
        <v/>
      </c>
      <c r="R623" s="189" t="str">
        <f ca="1">IFERROR(__xludf.DUMMYFUNCTION("""COMPUTED_VALUE"""),"")</f>
        <v/>
      </c>
      <c r="S623" s="189" t="str">
        <f ca="1">IFERROR(__xludf.DUMMYFUNCTION("""COMPUTED_VALUE"""),"")</f>
        <v/>
      </c>
      <c r="T623" s="189" t="str">
        <f ca="1">IFERROR(__xludf.DUMMYFUNCTION("""COMPUTED_VALUE"""),"")</f>
        <v/>
      </c>
      <c r="U623" s="189" t="str">
        <f ca="1">IFERROR(__xludf.DUMMYFUNCTION("""COMPUTED_VALUE"""),"")</f>
        <v/>
      </c>
      <c r="V623" s="189" t="str">
        <f ca="1">IFERROR(__xludf.DUMMYFUNCTION("""COMPUTED_VALUE"""),"")</f>
        <v/>
      </c>
      <c r="W623" s="189" t="str">
        <f ca="1">IFERROR(__xludf.DUMMYFUNCTION("""COMPUTED_VALUE"""),"")</f>
        <v/>
      </c>
      <c r="X623" s="189" t="str">
        <f ca="1">IFERROR(__xludf.DUMMYFUNCTION("""COMPUTED_VALUE"""),"")</f>
        <v/>
      </c>
      <c r="Y623" s="189" t="str">
        <f ca="1">IFERROR(__xludf.DUMMYFUNCTION("""COMPUTED_VALUE"""),"")</f>
        <v/>
      </c>
      <c r="Z623" s="189"/>
    </row>
    <row r="624" spans="1:26" ht="12.75">
      <c r="A624" s="189" t="str">
        <f ca="1">IFERROR(__xludf.DUMMYFUNCTION("""COMPUTED_VALUE"""),"")</f>
        <v/>
      </c>
      <c r="B624" s="189" t="str">
        <f ca="1">IFERROR(__xludf.DUMMYFUNCTION("""COMPUTED_VALUE"""),"")</f>
        <v/>
      </c>
      <c r="C624" s="189" t="str">
        <f ca="1">IFERROR(__xludf.DUMMYFUNCTION("""COMPUTED_VALUE"""),"")</f>
        <v/>
      </c>
      <c r="D624" s="189" t="str">
        <f ca="1">IFERROR(__xludf.DUMMYFUNCTION("""COMPUTED_VALUE"""),"")</f>
        <v/>
      </c>
      <c r="E624" s="189" t="str">
        <f ca="1">IFERROR(__xludf.DUMMYFUNCTION("""COMPUTED_VALUE"""),"")</f>
        <v/>
      </c>
      <c r="F624" s="189" t="str">
        <f ca="1">IFERROR(__xludf.DUMMYFUNCTION("""COMPUTED_VALUE"""),"")</f>
        <v/>
      </c>
      <c r="G624" s="189" t="str">
        <f ca="1">IFERROR(__xludf.DUMMYFUNCTION("""COMPUTED_VALUE"""),"")</f>
        <v/>
      </c>
      <c r="H624" s="189" t="str">
        <f ca="1">IFERROR(__xludf.DUMMYFUNCTION("""COMPUTED_VALUE"""),"")</f>
        <v/>
      </c>
      <c r="I624" s="120" t="str">
        <f ca="1">IFERROR(__xludf.DUMMYFUNCTION("""COMPUTED_VALUE"""),"")</f>
        <v/>
      </c>
      <c r="J624" s="189" t="str">
        <f ca="1">IFERROR(__xludf.DUMMYFUNCTION("""COMPUTED_VALUE"""),"")</f>
        <v/>
      </c>
      <c r="K624" s="189" t="str">
        <f ca="1">IFERROR(__xludf.DUMMYFUNCTION("""COMPUTED_VALUE"""),"")</f>
        <v/>
      </c>
      <c r="L624" s="189" t="str">
        <f ca="1">IFERROR(__xludf.DUMMYFUNCTION("""COMPUTED_VALUE"""),"")</f>
        <v/>
      </c>
      <c r="M624" s="189" t="str">
        <f ca="1">IFERROR(__xludf.DUMMYFUNCTION("""COMPUTED_VALUE"""),"")</f>
        <v/>
      </c>
      <c r="N624" s="189" t="str">
        <f ca="1">IFERROR(__xludf.DUMMYFUNCTION("""COMPUTED_VALUE"""),"")</f>
        <v/>
      </c>
      <c r="O624" s="189" t="str">
        <f ca="1">IFERROR(__xludf.DUMMYFUNCTION("""COMPUTED_VALUE"""),"")</f>
        <v/>
      </c>
      <c r="P624" s="189" t="str">
        <f ca="1">IFERROR(__xludf.DUMMYFUNCTION("""COMPUTED_VALUE"""),"")</f>
        <v/>
      </c>
      <c r="Q624" s="189" t="str">
        <f ca="1">IFERROR(__xludf.DUMMYFUNCTION("""COMPUTED_VALUE"""),"")</f>
        <v/>
      </c>
      <c r="R624" s="189" t="str">
        <f ca="1">IFERROR(__xludf.DUMMYFUNCTION("""COMPUTED_VALUE"""),"")</f>
        <v/>
      </c>
      <c r="S624" s="189" t="str">
        <f ca="1">IFERROR(__xludf.DUMMYFUNCTION("""COMPUTED_VALUE"""),"")</f>
        <v/>
      </c>
      <c r="T624" s="189" t="str">
        <f ca="1">IFERROR(__xludf.DUMMYFUNCTION("""COMPUTED_VALUE"""),"")</f>
        <v/>
      </c>
      <c r="U624" s="189" t="str">
        <f ca="1">IFERROR(__xludf.DUMMYFUNCTION("""COMPUTED_VALUE"""),"")</f>
        <v/>
      </c>
      <c r="V624" s="189" t="str">
        <f ca="1">IFERROR(__xludf.DUMMYFUNCTION("""COMPUTED_VALUE"""),"")</f>
        <v/>
      </c>
      <c r="W624" s="189" t="str">
        <f ca="1">IFERROR(__xludf.DUMMYFUNCTION("""COMPUTED_VALUE"""),"")</f>
        <v/>
      </c>
      <c r="X624" s="189" t="str">
        <f ca="1">IFERROR(__xludf.DUMMYFUNCTION("""COMPUTED_VALUE"""),"")</f>
        <v/>
      </c>
      <c r="Y624" s="189" t="str">
        <f ca="1">IFERROR(__xludf.DUMMYFUNCTION("""COMPUTED_VALUE"""),"")</f>
        <v/>
      </c>
      <c r="Z624" s="189"/>
    </row>
    <row r="625" spans="1:26" ht="12.75">
      <c r="A625" s="189" t="str">
        <f ca="1">IFERROR(__xludf.DUMMYFUNCTION("""COMPUTED_VALUE"""),"")</f>
        <v/>
      </c>
      <c r="B625" s="189" t="str">
        <f ca="1">IFERROR(__xludf.DUMMYFUNCTION("""COMPUTED_VALUE"""),"")</f>
        <v/>
      </c>
      <c r="C625" s="189" t="str">
        <f ca="1">IFERROR(__xludf.DUMMYFUNCTION("""COMPUTED_VALUE"""),"")</f>
        <v/>
      </c>
      <c r="D625" s="189" t="str">
        <f ca="1">IFERROR(__xludf.DUMMYFUNCTION("""COMPUTED_VALUE"""),"")</f>
        <v/>
      </c>
      <c r="E625" s="189" t="str">
        <f ca="1">IFERROR(__xludf.DUMMYFUNCTION("""COMPUTED_VALUE"""),"")</f>
        <v/>
      </c>
      <c r="F625" s="189" t="str">
        <f ca="1">IFERROR(__xludf.DUMMYFUNCTION("""COMPUTED_VALUE"""),"")</f>
        <v/>
      </c>
      <c r="G625" s="189" t="str">
        <f ca="1">IFERROR(__xludf.DUMMYFUNCTION("""COMPUTED_VALUE"""),"")</f>
        <v/>
      </c>
      <c r="H625" s="189" t="str">
        <f ca="1">IFERROR(__xludf.DUMMYFUNCTION("""COMPUTED_VALUE"""),"")</f>
        <v/>
      </c>
      <c r="I625" s="120" t="str">
        <f ca="1">IFERROR(__xludf.DUMMYFUNCTION("""COMPUTED_VALUE"""),"")</f>
        <v/>
      </c>
      <c r="J625" s="189" t="str">
        <f ca="1">IFERROR(__xludf.DUMMYFUNCTION("""COMPUTED_VALUE"""),"")</f>
        <v/>
      </c>
      <c r="K625" s="189" t="str">
        <f ca="1">IFERROR(__xludf.DUMMYFUNCTION("""COMPUTED_VALUE"""),"")</f>
        <v/>
      </c>
      <c r="L625" s="189" t="str">
        <f ca="1">IFERROR(__xludf.DUMMYFUNCTION("""COMPUTED_VALUE"""),"")</f>
        <v/>
      </c>
      <c r="M625" s="189" t="str">
        <f ca="1">IFERROR(__xludf.DUMMYFUNCTION("""COMPUTED_VALUE"""),"")</f>
        <v/>
      </c>
      <c r="N625" s="189" t="str">
        <f ca="1">IFERROR(__xludf.DUMMYFUNCTION("""COMPUTED_VALUE"""),"")</f>
        <v/>
      </c>
      <c r="O625" s="189" t="str">
        <f ca="1">IFERROR(__xludf.DUMMYFUNCTION("""COMPUTED_VALUE"""),"")</f>
        <v/>
      </c>
      <c r="P625" s="189" t="str">
        <f ca="1">IFERROR(__xludf.DUMMYFUNCTION("""COMPUTED_VALUE"""),"")</f>
        <v/>
      </c>
      <c r="Q625" s="189" t="str">
        <f ca="1">IFERROR(__xludf.DUMMYFUNCTION("""COMPUTED_VALUE"""),"")</f>
        <v/>
      </c>
      <c r="R625" s="189" t="str">
        <f ca="1">IFERROR(__xludf.DUMMYFUNCTION("""COMPUTED_VALUE"""),"")</f>
        <v/>
      </c>
      <c r="S625" s="189" t="str">
        <f ca="1">IFERROR(__xludf.DUMMYFUNCTION("""COMPUTED_VALUE"""),"")</f>
        <v/>
      </c>
      <c r="T625" s="189" t="str">
        <f ca="1">IFERROR(__xludf.DUMMYFUNCTION("""COMPUTED_VALUE"""),"")</f>
        <v/>
      </c>
      <c r="U625" s="189" t="str">
        <f ca="1">IFERROR(__xludf.DUMMYFUNCTION("""COMPUTED_VALUE"""),"")</f>
        <v/>
      </c>
      <c r="V625" s="189" t="str">
        <f ca="1">IFERROR(__xludf.DUMMYFUNCTION("""COMPUTED_VALUE"""),"")</f>
        <v/>
      </c>
      <c r="W625" s="189" t="str">
        <f ca="1">IFERROR(__xludf.DUMMYFUNCTION("""COMPUTED_VALUE"""),"")</f>
        <v/>
      </c>
      <c r="X625" s="189" t="str">
        <f ca="1">IFERROR(__xludf.DUMMYFUNCTION("""COMPUTED_VALUE"""),"")</f>
        <v/>
      </c>
      <c r="Y625" s="189" t="str">
        <f ca="1">IFERROR(__xludf.DUMMYFUNCTION("""COMPUTED_VALUE"""),"")</f>
        <v/>
      </c>
      <c r="Z625" s="189"/>
    </row>
    <row r="626" spans="1:26" ht="12.75">
      <c r="A626" s="189" t="str">
        <f ca="1">IFERROR(__xludf.DUMMYFUNCTION("""COMPUTED_VALUE"""),"")</f>
        <v/>
      </c>
      <c r="B626" s="189" t="str">
        <f ca="1">IFERROR(__xludf.DUMMYFUNCTION("""COMPUTED_VALUE"""),"")</f>
        <v/>
      </c>
      <c r="C626" s="189" t="str">
        <f ca="1">IFERROR(__xludf.DUMMYFUNCTION("""COMPUTED_VALUE"""),"")</f>
        <v/>
      </c>
      <c r="D626" s="189" t="str">
        <f ca="1">IFERROR(__xludf.DUMMYFUNCTION("""COMPUTED_VALUE"""),"")</f>
        <v/>
      </c>
      <c r="E626" s="189" t="str">
        <f ca="1">IFERROR(__xludf.DUMMYFUNCTION("""COMPUTED_VALUE"""),"")</f>
        <v/>
      </c>
      <c r="F626" s="189" t="str">
        <f ca="1">IFERROR(__xludf.DUMMYFUNCTION("""COMPUTED_VALUE"""),"")</f>
        <v/>
      </c>
      <c r="G626" s="189" t="str">
        <f ca="1">IFERROR(__xludf.DUMMYFUNCTION("""COMPUTED_VALUE"""),"")</f>
        <v/>
      </c>
      <c r="H626" s="189" t="str">
        <f ca="1">IFERROR(__xludf.DUMMYFUNCTION("""COMPUTED_VALUE"""),"")</f>
        <v/>
      </c>
      <c r="I626" s="120" t="str">
        <f ca="1">IFERROR(__xludf.DUMMYFUNCTION("""COMPUTED_VALUE"""),"")</f>
        <v/>
      </c>
      <c r="J626" s="189" t="str">
        <f ca="1">IFERROR(__xludf.DUMMYFUNCTION("""COMPUTED_VALUE"""),"")</f>
        <v/>
      </c>
      <c r="K626" s="189" t="str">
        <f ca="1">IFERROR(__xludf.DUMMYFUNCTION("""COMPUTED_VALUE"""),"")</f>
        <v/>
      </c>
      <c r="L626" s="189" t="str">
        <f ca="1">IFERROR(__xludf.DUMMYFUNCTION("""COMPUTED_VALUE"""),"")</f>
        <v/>
      </c>
      <c r="M626" s="189" t="str">
        <f ca="1">IFERROR(__xludf.DUMMYFUNCTION("""COMPUTED_VALUE"""),"")</f>
        <v/>
      </c>
      <c r="N626" s="189" t="str">
        <f ca="1">IFERROR(__xludf.DUMMYFUNCTION("""COMPUTED_VALUE"""),"")</f>
        <v/>
      </c>
      <c r="O626" s="189" t="str">
        <f ca="1">IFERROR(__xludf.DUMMYFUNCTION("""COMPUTED_VALUE"""),"")</f>
        <v/>
      </c>
      <c r="P626" s="189" t="str">
        <f ca="1">IFERROR(__xludf.DUMMYFUNCTION("""COMPUTED_VALUE"""),"")</f>
        <v/>
      </c>
      <c r="Q626" s="189" t="str">
        <f ca="1">IFERROR(__xludf.DUMMYFUNCTION("""COMPUTED_VALUE"""),"")</f>
        <v/>
      </c>
      <c r="R626" s="189" t="str">
        <f ca="1">IFERROR(__xludf.DUMMYFUNCTION("""COMPUTED_VALUE"""),"")</f>
        <v/>
      </c>
      <c r="S626" s="189" t="str">
        <f ca="1">IFERROR(__xludf.DUMMYFUNCTION("""COMPUTED_VALUE"""),"")</f>
        <v/>
      </c>
      <c r="T626" s="189" t="str">
        <f ca="1">IFERROR(__xludf.DUMMYFUNCTION("""COMPUTED_VALUE"""),"")</f>
        <v/>
      </c>
      <c r="U626" s="189" t="str">
        <f ca="1">IFERROR(__xludf.DUMMYFUNCTION("""COMPUTED_VALUE"""),"")</f>
        <v/>
      </c>
      <c r="V626" s="189" t="str">
        <f ca="1">IFERROR(__xludf.DUMMYFUNCTION("""COMPUTED_VALUE"""),"")</f>
        <v/>
      </c>
      <c r="W626" s="189" t="str">
        <f ca="1">IFERROR(__xludf.DUMMYFUNCTION("""COMPUTED_VALUE"""),"")</f>
        <v/>
      </c>
      <c r="X626" s="189" t="str">
        <f ca="1">IFERROR(__xludf.DUMMYFUNCTION("""COMPUTED_VALUE"""),"")</f>
        <v/>
      </c>
      <c r="Y626" s="189" t="str">
        <f ca="1">IFERROR(__xludf.DUMMYFUNCTION("""COMPUTED_VALUE"""),"")</f>
        <v/>
      </c>
      <c r="Z626" s="189"/>
    </row>
    <row r="627" spans="1:26" ht="12.75">
      <c r="A627" s="189" t="str">
        <f ca="1">IFERROR(__xludf.DUMMYFUNCTION("""COMPUTED_VALUE"""),"")</f>
        <v/>
      </c>
      <c r="B627" s="189" t="str">
        <f ca="1">IFERROR(__xludf.DUMMYFUNCTION("""COMPUTED_VALUE"""),"")</f>
        <v/>
      </c>
      <c r="C627" s="189" t="str">
        <f ca="1">IFERROR(__xludf.DUMMYFUNCTION("""COMPUTED_VALUE"""),"")</f>
        <v/>
      </c>
      <c r="D627" s="189" t="str">
        <f ca="1">IFERROR(__xludf.DUMMYFUNCTION("""COMPUTED_VALUE"""),"")</f>
        <v/>
      </c>
      <c r="E627" s="189" t="str">
        <f ca="1">IFERROR(__xludf.DUMMYFUNCTION("""COMPUTED_VALUE"""),"")</f>
        <v/>
      </c>
      <c r="F627" s="189" t="str">
        <f ca="1">IFERROR(__xludf.DUMMYFUNCTION("""COMPUTED_VALUE"""),"")</f>
        <v/>
      </c>
      <c r="G627" s="189" t="str">
        <f ca="1">IFERROR(__xludf.DUMMYFUNCTION("""COMPUTED_VALUE"""),"")</f>
        <v/>
      </c>
      <c r="H627" s="189" t="str">
        <f ca="1">IFERROR(__xludf.DUMMYFUNCTION("""COMPUTED_VALUE"""),"")</f>
        <v/>
      </c>
      <c r="I627" s="120" t="str">
        <f ca="1">IFERROR(__xludf.DUMMYFUNCTION("""COMPUTED_VALUE"""),"")</f>
        <v/>
      </c>
      <c r="J627" s="189" t="str">
        <f ca="1">IFERROR(__xludf.DUMMYFUNCTION("""COMPUTED_VALUE"""),"")</f>
        <v/>
      </c>
      <c r="K627" s="189" t="str">
        <f ca="1">IFERROR(__xludf.DUMMYFUNCTION("""COMPUTED_VALUE"""),"")</f>
        <v/>
      </c>
      <c r="L627" s="189" t="str">
        <f ca="1">IFERROR(__xludf.DUMMYFUNCTION("""COMPUTED_VALUE"""),"")</f>
        <v/>
      </c>
      <c r="M627" s="189" t="str">
        <f ca="1">IFERROR(__xludf.DUMMYFUNCTION("""COMPUTED_VALUE"""),"")</f>
        <v/>
      </c>
      <c r="N627" s="189" t="str">
        <f ca="1">IFERROR(__xludf.DUMMYFUNCTION("""COMPUTED_VALUE"""),"")</f>
        <v/>
      </c>
      <c r="O627" s="189" t="str">
        <f ca="1">IFERROR(__xludf.DUMMYFUNCTION("""COMPUTED_VALUE"""),"")</f>
        <v/>
      </c>
      <c r="P627" s="189" t="str">
        <f ca="1">IFERROR(__xludf.DUMMYFUNCTION("""COMPUTED_VALUE"""),"")</f>
        <v/>
      </c>
      <c r="Q627" s="189" t="str">
        <f ca="1">IFERROR(__xludf.DUMMYFUNCTION("""COMPUTED_VALUE"""),"")</f>
        <v/>
      </c>
      <c r="R627" s="189" t="str">
        <f ca="1">IFERROR(__xludf.DUMMYFUNCTION("""COMPUTED_VALUE"""),"")</f>
        <v/>
      </c>
      <c r="S627" s="189" t="str">
        <f ca="1">IFERROR(__xludf.DUMMYFUNCTION("""COMPUTED_VALUE"""),"")</f>
        <v/>
      </c>
      <c r="T627" s="189" t="str">
        <f ca="1">IFERROR(__xludf.DUMMYFUNCTION("""COMPUTED_VALUE"""),"")</f>
        <v/>
      </c>
      <c r="U627" s="189" t="str">
        <f ca="1">IFERROR(__xludf.DUMMYFUNCTION("""COMPUTED_VALUE"""),"")</f>
        <v/>
      </c>
      <c r="V627" s="189" t="str">
        <f ca="1">IFERROR(__xludf.DUMMYFUNCTION("""COMPUTED_VALUE"""),"")</f>
        <v/>
      </c>
      <c r="W627" s="189" t="str">
        <f ca="1">IFERROR(__xludf.DUMMYFUNCTION("""COMPUTED_VALUE"""),"")</f>
        <v/>
      </c>
      <c r="X627" s="189" t="str">
        <f ca="1">IFERROR(__xludf.DUMMYFUNCTION("""COMPUTED_VALUE"""),"")</f>
        <v/>
      </c>
      <c r="Y627" s="189" t="str">
        <f ca="1">IFERROR(__xludf.DUMMYFUNCTION("""COMPUTED_VALUE"""),"")</f>
        <v/>
      </c>
      <c r="Z627" s="189"/>
    </row>
    <row r="628" spans="1:26" ht="12.75">
      <c r="A628" s="189" t="str">
        <f ca="1">IFERROR(__xludf.DUMMYFUNCTION("""COMPUTED_VALUE"""),"")</f>
        <v/>
      </c>
      <c r="B628" s="189" t="str">
        <f ca="1">IFERROR(__xludf.DUMMYFUNCTION("""COMPUTED_VALUE"""),"")</f>
        <v/>
      </c>
      <c r="C628" s="189" t="str">
        <f ca="1">IFERROR(__xludf.DUMMYFUNCTION("""COMPUTED_VALUE"""),"")</f>
        <v/>
      </c>
      <c r="D628" s="189" t="str">
        <f ca="1">IFERROR(__xludf.DUMMYFUNCTION("""COMPUTED_VALUE"""),"")</f>
        <v/>
      </c>
      <c r="E628" s="189" t="str">
        <f ca="1">IFERROR(__xludf.DUMMYFUNCTION("""COMPUTED_VALUE"""),"")</f>
        <v/>
      </c>
      <c r="F628" s="189" t="str">
        <f ca="1">IFERROR(__xludf.DUMMYFUNCTION("""COMPUTED_VALUE"""),"")</f>
        <v/>
      </c>
      <c r="G628" s="189" t="str">
        <f ca="1">IFERROR(__xludf.DUMMYFUNCTION("""COMPUTED_VALUE"""),"")</f>
        <v/>
      </c>
      <c r="H628" s="189" t="str">
        <f ca="1">IFERROR(__xludf.DUMMYFUNCTION("""COMPUTED_VALUE"""),"")</f>
        <v/>
      </c>
      <c r="I628" s="120" t="str">
        <f ca="1">IFERROR(__xludf.DUMMYFUNCTION("""COMPUTED_VALUE"""),"")</f>
        <v/>
      </c>
      <c r="J628" s="189" t="str">
        <f ca="1">IFERROR(__xludf.DUMMYFUNCTION("""COMPUTED_VALUE"""),"")</f>
        <v/>
      </c>
      <c r="K628" s="189" t="str">
        <f ca="1">IFERROR(__xludf.DUMMYFUNCTION("""COMPUTED_VALUE"""),"")</f>
        <v/>
      </c>
      <c r="L628" s="189" t="str">
        <f ca="1">IFERROR(__xludf.DUMMYFUNCTION("""COMPUTED_VALUE"""),"")</f>
        <v/>
      </c>
      <c r="M628" s="189" t="str">
        <f ca="1">IFERROR(__xludf.DUMMYFUNCTION("""COMPUTED_VALUE"""),"")</f>
        <v/>
      </c>
      <c r="N628" s="189" t="str">
        <f ca="1">IFERROR(__xludf.DUMMYFUNCTION("""COMPUTED_VALUE"""),"")</f>
        <v/>
      </c>
      <c r="O628" s="189" t="str">
        <f ca="1">IFERROR(__xludf.DUMMYFUNCTION("""COMPUTED_VALUE"""),"")</f>
        <v/>
      </c>
      <c r="P628" s="189" t="str">
        <f ca="1">IFERROR(__xludf.DUMMYFUNCTION("""COMPUTED_VALUE"""),"")</f>
        <v/>
      </c>
      <c r="Q628" s="189" t="str">
        <f ca="1">IFERROR(__xludf.DUMMYFUNCTION("""COMPUTED_VALUE"""),"")</f>
        <v/>
      </c>
      <c r="R628" s="189" t="str">
        <f ca="1">IFERROR(__xludf.DUMMYFUNCTION("""COMPUTED_VALUE"""),"")</f>
        <v/>
      </c>
      <c r="S628" s="189" t="str">
        <f ca="1">IFERROR(__xludf.DUMMYFUNCTION("""COMPUTED_VALUE"""),"")</f>
        <v/>
      </c>
      <c r="T628" s="189" t="str">
        <f ca="1">IFERROR(__xludf.DUMMYFUNCTION("""COMPUTED_VALUE"""),"")</f>
        <v/>
      </c>
      <c r="U628" s="189" t="str">
        <f ca="1">IFERROR(__xludf.DUMMYFUNCTION("""COMPUTED_VALUE"""),"")</f>
        <v/>
      </c>
      <c r="V628" s="189" t="str">
        <f ca="1">IFERROR(__xludf.DUMMYFUNCTION("""COMPUTED_VALUE"""),"")</f>
        <v/>
      </c>
      <c r="W628" s="189" t="str">
        <f ca="1">IFERROR(__xludf.DUMMYFUNCTION("""COMPUTED_VALUE"""),"")</f>
        <v/>
      </c>
      <c r="X628" s="189" t="str">
        <f ca="1">IFERROR(__xludf.DUMMYFUNCTION("""COMPUTED_VALUE"""),"")</f>
        <v/>
      </c>
      <c r="Y628" s="189" t="str">
        <f ca="1">IFERROR(__xludf.DUMMYFUNCTION("""COMPUTED_VALUE"""),"")</f>
        <v/>
      </c>
      <c r="Z628" s="189"/>
    </row>
    <row r="629" spans="1:26" ht="12.75">
      <c r="A629" s="189" t="str">
        <f ca="1">IFERROR(__xludf.DUMMYFUNCTION("""COMPUTED_VALUE"""),"")</f>
        <v/>
      </c>
      <c r="B629" s="189" t="str">
        <f ca="1">IFERROR(__xludf.DUMMYFUNCTION("""COMPUTED_VALUE"""),"")</f>
        <v/>
      </c>
      <c r="C629" s="189" t="str">
        <f ca="1">IFERROR(__xludf.DUMMYFUNCTION("""COMPUTED_VALUE"""),"")</f>
        <v/>
      </c>
      <c r="D629" s="189" t="str">
        <f ca="1">IFERROR(__xludf.DUMMYFUNCTION("""COMPUTED_VALUE"""),"")</f>
        <v/>
      </c>
      <c r="E629" s="189" t="str">
        <f ca="1">IFERROR(__xludf.DUMMYFUNCTION("""COMPUTED_VALUE"""),"")</f>
        <v/>
      </c>
      <c r="F629" s="189" t="str">
        <f ca="1">IFERROR(__xludf.DUMMYFUNCTION("""COMPUTED_VALUE"""),"")</f>
        <v/>
      </c>
      <c r="G629" s="189" t="str">
        <f ca="1">IFERROR(__xludf.DUMMYFUNCTION("""COMPUTED_VALUE"""),"")</f>
        <v/>
      </c>
      <c r="H629" s="189" t="str">
        <f ca="1">IFERROR(__xludf.DUMMYFUNCTION("""COMPUTED_VALUE"""),"")</f>
        <v/>
      </c>
      <c r="I629" s="120" t="str">
        <f ca="1">IFERROR(__xludf.DUMMYFUNCTION("""COMPUTED_VALUE"""),"")</f>
        <v/>
      </c>
      <c r="J629" s="189" t="str">
        <f ca="1">IFERROR(__xludf.DUMMYFUNCTION("""COMPUTED_VALUE"""),"")</f>
        <v/>
      </c>
      <c r="K629" s="189" t="str">
        <f ca="1">IFERROR(__xludf.DUMMYFUNCTION("""COMPUTED_VALUE"""),"")</f>
        <v/>
      </c>
      <c r="L629" s="189" t="str">
        <f ca="1">IFERROR(__xludf.DUMMYFUNCTION("""COMPUTED_VALUE"""),"")</f>
        <v/>
      </c>
      <c r="M629" s="189" t="str">
        <f ca="1">IFERROR(__xludf.DUMMYFUNCTION("""COMPUTED_VALUE"""),"")</f>
        <v/>
      </c>
      <c r="N629" s="189" t="str">
        <f ca="1">IFERROR(__xludf.DUMMYFUNCTION("""COMPUTED_VALUE"""),"")</f>
        <v/>
      </c>
      <c r="O629" s="189" t="str">
        <f ca="1">IFERROR(__xludf.DUMMYFUNCTION("""COMPUTED_VALUE"""),"")</f>
        <v/>
      </c>
      <c r="P629" s="189" t="str">
        <f ca="1">IFERROR(__xludf.DUMMYFUNCTION("""COMPUTED_VALUE"""),"")</f>
        <v/>
      </c>
      <c r="Q629" s="189" t="str">
        <f ca="1">IFERROR(__xludf.DUMMYFUNCTION("""COMPUTED_VALUE"""),"")</f>
        <v/>
      </c>
      <c r="R629" s="189" t="str">
        <f ca="1">IFERROR(__xludf.DUMMYFUNCTION("""COMPUTED_VALUE"""),"")</f>
        <v/>
      </c>
      <c r="S629" s="189" t="str">
        <f ca="1">IFERROR(__xludf.DUMMYFUNCTION("""COMPUTED_VALUE"""),"")</f>
        <v/>
      </c>
      <c r="T629" s="189" t="str">
        <f ca="1">IFERROR(__xludf.DUMMYFUNCTION("""COMPUTED_VALUE"""),"")</f>
        <v/>
      </c>
      <c r="U629" s="189" t="str">
        <f ca="1">IFERROR(__xludf.DUMMYFUNCTION("""COMPUTED_VALUE"""),"")</f>
        <v/>
      </c>
      <c r="V629" s="189" t="str">
        <f ca="1">IFERROR(__xludf.DUMMYFUNCTION("""COMPUTED_VALUE"""),"")</f>
        <v/>
      </c>
      <c r="W629" s="189" t="str">
        <f ca="1">IFERROR(__xludf.DUMMYFUNCTION("""COMPUTED_VALUE"""),"")</f>
        <v/>
      </c>
      <c r="X629" s="189" t="str">
        <f ca="1">IFERROR(__xludf.DUMMYFUNCTION("""COMPUTED_VALUE"""),"")</f>
        <v/>
      </c>
      <c r="Y629" s="189" t="str">
        <f ca="1">IFERROR(__xludf.DUMMYFUNCTION("""COMPUTED_VALUE"""),"")</f>
        <v/>
      </c>
      <c r="Z629" s="189"/>
    </row>
    <row r="630" spans="1:26" ht="12.75">
      <c r="A630" s="189" t="str">
        <f ca="1">IFERROR(__xludf.DUMMYFUNCTION("""COMPUTED_VALUE"""),"")</f>
        <v/>
      </c>
      <c r="B630" s="189" t="str">
        <f ca="1">IFERROR(__xludf.DUMMYFUNCTION("""COMPUTED_VALUE"""),"")</f>
        <v/>
      </c>
      <c r="C630" s="189" t="str">
        <f ca="1">IFERROR(__xludf.DUMMYFUNCTION("""COMPUTED_VALUE"""),"")</f>
        <v/>
      </c>
      <c r="D630" s="189" t="str">
        <f ca="1">IFERROR(__xludf.DUMMYFUNCTION("""COMPUTED_VALUE"""),"")</f>
        <v/>
      </c>
      <c r="E630" s="189" t="str">
        <f ca="1">IFERROR(__xludf.DUMMYFUNCTION("""COMPUTED_VALUE"""),"")</f>
        <v/>
      </c>
      <c r="F630" s="189" t="str">
        <f ca="1">IFERROR(__xludf.DUMMYFUNCTION("""COMPUTED_VALUE"""),"")</f>
        <v/>
      </c>
      <c r="G630" s="189" t="str">
        <f ca="1">IFERROR(__xludf.DUMMYFUNCTION("""COMPUTED_VALUE"""),"")</f>
        <v/>
      </c>
      <c r="H630" s="189" t="str">
        <f ca="1">IFERROR(__xludf.DUMMYFUNCTION("""COMPUTED_VALUE"""),"")</f>
        <v/>
      </c>
      <c r="I630" s="120" t="str">
        <f ca="1">IFERROR(__xludf.DUMMYFUNCTION("""COMPUTED_VALUE"""),"")</f>
        <v/>
      </c>
      <c r="J630" s="189" t="str">
        <f ca="1">IFERROR(__xludf.DUMMYFUNCTION("""COMPUTED_VALUE"""),"")</f>
        <v/>
      </c>
      <c r="K630" s="189" t="str">
        <f ca="1">IFERROR(__xludf.DUMMYFUNCTION("""COMPUTED_VALUE"""),"")</f>
        <v/>
      </c>
      <c r="L630" s="189" t="str">
        <f ca="1">IFERROR(__xludf.DUMMYFUNCTION("""COMPUTED_VALUE"""),"")</f>
        <v/>
      </c>
      <c r="M630" s="189" t="str">
        <f ca="1">IFERROR(__xludf.DUMMYFUNCTION("""COMPUTED_VALUE"""),"")</f>
        <v/>
      </c>
      <c r="N630" s="189" t="str">
        <f ca="1">IFERROR(__xludf.DUMMYFUNCTION("""COMPUTED_VALUE"""),"")</f>
        <v/>
      </c>
      <c r="O630" s="189" t="str">
        <f ca="1">IFERROR(__xludf.DUMMYFUNCTION("""COMPUTED_VALUE"""),"")</f>
        <v/>
      </c>
      <c r="P630" s="189" t="str">
        <f ca="1">IFERROR(__xludf.DUMMYFUNCTION("""COMPUTED_VALUE"""),"")</f>
        <v/>
      </c>
      <c r="Q630" s="189" t="str">
        <f ca="1">IFERROR(__xludf.DUMMYFUNCTION("""COMPUTED_VALUE"""),"")</f>
        <v/>
      </c>
      <c r="R630" s="189" t="str">
        <f ca="1">IFERROR(__xludf.DUMMYFUNCTION("""COMPUTED_VALUE"""),"")</f>
        <v/>
      </c>
      <c r="S630" s="189" t="str">
        <f ca="1">IFERROR(__xludf.DUMMYFUNCTION("""COMPUTED_VALUE"""),"")</f>
        <v/>
      </c>
      <c r="T630" s="189" t="str">
        <f ca="1">IFERROR(__xludf.DUMMYFUNCTION("""COMPUTED_VALUE"""),"")</f>
        <v/>
      </c>
      <c r="U630" s="189" t="str">
        <f ca="1">IFERROR(__xludf.DUMMYFUNCTION("""COMPUTED_VALUE"""),"")</f>
        <v/>
      </c>
      <c r="V630" s="189" t="str">
        <f ca="1">IFERROR(__xludf.DUMMYFUNCTION("""COMPUTED_VALUE"""),"")</f>
        <v/>
      </c>
      <c r="W630" s="189" t="str">
        <f ca="1">IFERROR(__xludf.DUMMYFUNCTION("""COMPUTED_VALUE"""),"")</f>
        <v/>
      </c>
      <c r="X630" s="189" t="str">
        <f ca="1">IFERROR(__xludf.DUMMYFUNCTION("""COMPUTED_VALUE"""),"")</f>
        <v/>
      </c>
      <c r="Y630" s="189" t="str">
        <f ca="1">IFERROR(__xludf.DUMMYFUNCTION("""COMPUTED_VALUE"""),"")</f>
        <v/>
      </c>
      <c r="Z630" s="189"/>
    </row>
    <row r="631" spans="1:26" ht="12.75">
      <c r="A631" s="189" t="str">
        <f ca="1">IFERROR(__xludf.DUMMYFUNCTION("""COMPUTED_VALUE"""),"")</f>
        <v/>
      </c>
      <c r="B631" s="189" t="str">
        <f ca="1">IFERROR(__xludf.DUMMYFUNCTION("""COMPUTED_VALUE"""),"")</f>
        <v/>
      </c>
      <c r="C631" s="189" t="str">
        <f ca="1">IFERROR(__xludf.DUMMYFUNCTION("""COMPUTED_VALUE"""),"")</f>
        <v/>
      </c>
      <c r="D631" s="189" t="str">
        <f ca="1">IFERROR(__xludf.DUMMYFUNCTION("""COMPUTED_VALUE"""),"")</f>
        <v/>
      </c>
      <c r="E631" s="189" t="str">
        <f ca="1">IFERROR(__xludf.DUMMYFUNCTION("""COMPUTED_VALUE"""),"")</f>
        <v/>
      </c>
      <c r="F631" s="189" t="str">
        <f ca="1">IFERROR(__xludf.DUMMYFUNCTION("""COMPUTED_VALUE"""),"")</f>
        <v/>
      </c>
      <c r="G631" s="189" t="str">
        <f ca="1">IFERROR(__xludf.DUMMYFUNCTION("""COMPUTED_VALUE"""),"")</f>
        <v/>
      </c>
      <c r="H631" s="189" t="str">
        <f ca="1">IFERROR(__xludf.DUMMYFUNCTION("""COMPUTED_VALUE"""),"")</f>
        <v/>
      </c>
      <c r="I631" s="120" t="str">
        <f ca="1">IFERROR(__xludf.DUMMYFUNCTION("""COMPUTED_VALUE"""),"")</f>
        <v/>
      </c>
      <c r="J631" s="189" t="str">
        <f ca="1">IFERROR(__xludf.DUMMYFUNCTION("""COMPUTED_VALUE"""),"")</f>
        <v/>
      </c>
      <c r="K631" s="189" t="str">
        <f ca="1">IFERROR(__xludf.DUMMYFUNCTION("""COMPUTED_VALUE"""),"")</f>
        <v/>
      </c>
      <c r="L631" s="189" t="str">
        <f ca="1">IFERROR(__xludf.DUMMYFUNCTION("""COMPUTED_VALUE"""),"")</f>
        <v/>
      </c>
      <c r="M631" s="189" t="str">
        <f ca="1">IFERROR(__xludf.DUMMYFUNCTION("""COMPUTED_VALUE"""),"")</f>
        <v/>
      </c>
      <c r="N631" s="189" t="str">
        <f ca="1">IFERROR(__xludf.DUMMYFUNCTION("""COMPUTED_VALUE"""),"")</f>
        <v/>
      </c>
      <c r="O631" s="189" t="str">
        <f ca="1">IFERROR(__xludf.DUMMYFUNCTION("""COMPUTED_VALUE"""),"")</f>
        <v/>
      </c>
      <c r="P631" s="189" t="str">
        <f ca="1">IFERROR(__xludf.DUMMYFUNCTION("""COMPUTED_VALUE"""),"")</f>
        <v/>
      </c>
      <c r="Q631" s="189" t="str">
        <f ca="1">IFERROR(__xludf.DUMMYFUNCTION("""COMPUTED_VALUE"""),"")</f>
        <v/>
      </c>
      <c r="R631" s="189" t="str">
        <f ca="1">IFERROR(__xludf.DUMMYFUNCTION("""COMPUTED_VALUE"""),"")</f>
        <v/>
      </c>
      <c r="S631" s="189" t="str">
        <f ca="1">IFERROR(__xludf.DUMMYFUNCTION("""COMPUTED_VALUE"""),"")</f>
        <v/>
      </c>
      <c r="T631" s="189" t="str">
        <f ca="1">IFERROR(__xludf.DUMMYFUNCTION("""COMPUTED_VALUE"""),"")</f>
        <v/>
      </c>
      <c r="U631" s="189" t="str">
        <f ca="1">IFERROR(__xludf.DUMMYFUNCTION("""COMPUTED_VALUE"""),"")</f>
        <v/>
      </c>
      <c r="V631" s="189" t="str">
        <f ca="1">IFERROR(__xludf.DUMMYFUNCTION("""COMPUTED_VALUE"""),"")</f>
        <v/>
      </c>
      <c r="W631" s="189" t="str">
        <f ca="1">IFERROR(__xludf.DUMMYFUNCTION("""COMPUTED_VALUE"""),"")</f>
        <v/>
      </c>
      <c r="X631" s="189" t="str">
        <f ca="1">IFERROR(__xludf.DUMMYFUNCTION("""COMPUTED_VALUE"""),"")</f>
        <v/>
      </c>
      <c r="Y631" s="189" t="str">
        <f ca="1">IFERROR(__xludf.DUMMYFUNCTION("""COMPUTED_VALUE"""),"")</f>
        <v/>
      </c>
      <c r="Z631" s="189"/>
    </row>
    <row r="632" spans="1:26" ht="12.75">
      <c r="A632" s="189" t="str">
        <f ca="1">IFERROR(__xludf.DUMMYFUNCTION("""COMPUTED_VALUE"""),"")</f>
        <v/>
      </c>
      <c r="B632" s="189" t="str">
        <f ca="1">IFERROR(__xludf.DUMMYFUNCTION("""COMPUTED_VALUE"""),"")</f>
        <v/>
      </c>
      <c r="C632" s="189" t="str">
        <f ca="1">IFERROR(__xludf.DUMMYFUNCTION("""COMPUTED_VALUE"""),"")</f>
        <v/>
      </c>
      <c r="D632" s="189" t="str">
        <f ca="1">IFERROR(__xludf.DUMMYFUNCTION("""COMPUTED_VALUE"""),"")</f>
        <v/>
      </c>
      <c r="E632" s="189" t="str">
        <f ca="1">IFERROR(__xludf.DUMMYFUNCTION("""COMPUTED_VALUE"""),"")</f>
        <v/>
      </c>
      <c r="F632" s="189" t="str">
        <f ca="1">IFERROR(__xludf.DUMMYFUNCTION("""COMPUTED_VALUE"""),"")</f>
        <v/>
      </c>
      <c r="G632" s="189" t="str">
        <f ca="1">IFERROR(__xludf.DUMMYFUNCTION("""COMPUTED_VALUE"""),"")</f>
        <v/>
      </c>
      <c r="H632" s="189" t="str">
        <f ca="1">IFERROR(__xludf.DUMMYFUNCTION("""COMPUTED_VALUE"""),"")</f>
        <v/>
      </c>
      <c r="I632" s="120" t="str">
        <f ca="1">IFERROR(__xludf.DUMMYFUNCTION("""COMPUTED_VALUE"""),"")</f>
        <v/>
      </c>
      <c r="J632" s="189" t="str">
        <f ca="1">IFERROR(__xludf.DUMMYFUNCTION("""COMPUTED_VALUE"""),"")</f>
        <v/>
      </c>
      <c r="K632" s="189" t="str">
        <f ca="1">IFERROR(__xludf.DUMMYFUNCTION("""COMPUTED_VALUE"""),"")</f>
        <v/>
      </c>
      <c r="L632" s="189" t="str">
        <f ca="1">IFERROR(__xludf.DUMMYFUNCTION("""COMPUTED_VALUE"""),"")</f>
        <v/>
      </c>
      <c r="M632" s="189" t="str">
        <f ca="1">IFERROR(__xludf.DUMMYFUNCTION("""COMPUTED_VALUE"""),"")</f>
        <v/>
      </c>
      <c r="N632" s="189" t="str">
        <f ca="1">IFERROR(__xludf.DUMMYFUNCTION("""COMPUTED_VALUE"""),"")</f>
        <v/>
      </c>
      <c r="O632" s="189" t="str">
        <f ca="1">IFERROR(__xludf.DUMMYFUNCTION("""COMPUTED_VALUE"""),"")</f>
        <v/>
      </c>
      <c r="P632" s="189" t="str">
        <f ca="1">IFERROR(__xludf.DUMMYFUNCTION("""COMPUTED_VALUE"""),"")</f>
        <v/>
      </c>
      <c r="Q632" s="189" t="str">
        <f ca="1">IFERROR(__xludf.DUMMYFUNCTION("""COMPUTED_VALUE"""),"")</f>
        <v/>
      </c>
      <c r="R632" s="189" t="str">
        <f ca="1">IFERROR(__xludf.DUMMYFUNCTION("""COMPUTED_VALUE"""),"")</f>
        <v/>
      </c>
      <c r="S632" s="189" t="str">
        <f ca="1">IFERROR(__xludf.DUMMYFUNCTION("""COMPUTED_VALUE"""),"")</f>
        <v/>
      </c>
      <c r="T632" s="189" t="str">
        <f ca="1">IFERROR(__xludf.DUMMYFUNCTION("""COMPUTED_VALUE"""),"")</f>
        <v/>
      </c>
      <c r="U632" s="189" t="str">
        <f ca="1">IFERROR(__xludf.DUMMYFUNCTION("""COMPUTED_VALUE"""),"")</f>
        <v/>
      </c>
      <c r="V632" s="189" t="str">
        <f ca="1">IFERROR(__xludf.DUMMYFUNCTION("""COMPUTED_VALUE"""),"")</f>
        <v/>
      </c>
      <c r="W632" s="189" t="str">
        <f ca="1">IFERROR(__xludf.DUMMYFUNCTION("""COMPUTED_VALUE"""),"")</f>
        <v/>
      </c>
      <c r="X632" s="189" t="str">
        <f ca="1">IFERROR(__xludf.DUMMYFUNCTION("""COMPUTED_VALUE"""),"")</f>
        <v/>
      </c>
      <c r="Y632" s="189" t="str">
        <f ca="1">IFERROR(__xludf.DUMMYFUNCTION("""COMPUTED_VALUE"""),"")</f>
        <v/>
      </c>
      <c r="Z632" s="189"/>
    </row>
    <row r="633" spans="1:26" ht="12.75">
      <c r="A633" s="189" t="str">
        <f ca="1">IFERROR(__xludf.DUMMYFUNCTION("""COMPUTED_VALUE"""),"")</f>
        <v/>
      </c>
      <c r="B633" s="189" t="str">
        <f ca="1">IFERROR(__xludf.DUMMYFUNCTION("""COMPUTED_VALUE"""),"")</f>
        <v/>
      </c>
      <c r="C633" s="189" t="str">
        <f ca="1">IFERROR(__xludf.DUMMYFUNCTION("""COMPUTED_VALUE"""),"")</f>
        <v/>
      </c>
      <c r="D633" s="189" t="str">
        <f ca="1">IFERROR(__xludf.DUMMYFUNCTION("""COMPUTED_VALUE"""),"")</f>
        <v/>
      </c>
      <c r="E633" s="189" t="str">
        <f ca="1">IFERROR(__xludf.DUMMYFUNCTION("""COMPUTED_VALUE"""),"")</f>
        <v/>
      </c>
      <c r="F633" s="189" t="str">
        <f ca="1">IFERROR(__xludf.DUMMYFUNCTION("""COMPUTED_VALUE"""),"")</f>
        <v/>
      </c>
      <c r="G633" s="189" t="str">
        <f ca="1">IFERROR(__xludf.DUMMYFUNCTION("""COMPUTED_VALUE"""),"")</f>
        <v/>
      </c>
      <c r="H633" s="189" t="str">
        <f ca="1">IFERROR(__xludf.DUMMYFUNCTION("""COMPUTED_VALUE"""),"")</f>
        <v/>
      </c>
      <c r="I633" s="120" t="str">
        <f ca="1">IFERROR(__xludf.DUMMYFUNCTION("""COMPUTED_VALUE"""),"")</f>
        <v/>
      </c>
      <c r="J633" s="189" t="str">
        <f ca="1">IFERROR(__xludf.DUMMYFUNCTION("""COMPUTED_VALUE"""),"")</f>
        <v/>
      </c>
      <c r="K633" s="189" t="str">
        <f ca="1">IFERROR(__xludf.DUMMYFUNCTION("""COMPUTED_VALUE"""),"")</f>
        <v/>
      </c>
      <c r="L633" s="189" t="str">
        <f ca="1">IFERROR(__xludf.DUMMYFUNCTION("""COMPUTED_VALUE"""),"")</f>
        <v/>
      </c>
      <c r="M633" s="189" t="str">
        <f ca="1">IFERROR(__xludf.DUMMYFUNCTION("""COMPUTED_VALUE"""),"")</f>
        <v/>
      </c>
      <c r="N633" s="189" t="str">
        <f ca="1">IFERROR(__xludf.DUMMYFUNCTION("""COMPUTED_VALUE"""),"")</f>
        <v/>
      </c>
      <c r="O633" s="189" t="str">
        <f ca="1">IFERROR(__xludf.DUMMYFUNCTION("""COMPUTED_VALUE"""),"")</f>
        <v/>
      </c>
      <c r="P633" s="189" t="str">
        <f ca="1">IFERROR(__xludf.DUMMYFUNCTION("""COMPUTED_VALUE"""),"")</f>
        <v/>
      </c>
      <c r="Q633" s="189" t="str">
        <f ca="1">IFERROR(__xludf.DUMMYFUNCTION("""COMPUTED_VALUE"""),"")</f>
        <v/>
      </c>
      <c r="R633" s="189" t="str">
        <f ca="1">IFERROR(__xludf.DUMMYFUNCTION("""COMPUTED_VALUE"""),"")</f>
        <v/>
      </c>
      <c r="S633" s="189" t="str">
        <f ca="1">IFERROR(__xludf.DUMMYFUNCTION("""COMPUTED_VALUE"""),"")</f>
        <v/>
      </c>
      <c r="T633" s="189" t="str">
        <f ca="1">IFERROR(__xludf.DUMMYFUNCTION("""COMPUTED_VALUE"""),"")</f>
        <v/>
      </c>
      <c r="U633" s="189" t="str">
        <f ca="1">IFERROR(__xludf.DUMMYFUNCTION("""COMPUTED_VALUE"""),"")</f>
        <v/>
      </c>
      <c r="V633" s="189" t="str">
        <f ca="1">IFERROR(__xludf.DUMMYFUNCTION("""COMPUTED_VALUE"""),"")</f>
        <v/>
      </c>
      <c r="W633" s="189" t="str">
        <f ca="1">IFERROR(__xludf.DUMMYFUNCTION("""COMPUTED_VALUE"""),"")</f>
        <v/>
      </c>
      <c r="X633" s="189" t="str">
        <f ca="1">IFERROR(__xludf.DUMMYFUNCTION("""COMPUTED_VALUE"""),"")</f>
        <v/>
      </c>
      <c r="Y633" s="189" t="str">
        <f ca="1">IFERROR(__xludf.DUMMYFUNCTION("""COMPUTED_VALUE"""),"")</f>
        <v/>
      </c>
      <c r="Z633" s="189"/>
    </row>
    <row r="634" spans="1:26" ht="12.75">
      <c r="A634" s="189" t="str">
        <f ca="1">IFERROR(__xludf.DUMMYFUNCTION("""COMPUTED_VALUE"""),"")</f>
        <v/>
      </c>
      <c r="B634" s="189" t="str">
        <f ca="1">IFERROR(__xludf.DUMMYFUNCTION("""COMPUTED_VALUE"""),"")</f>
        <v/>
      </c>
      <c r="C634" s="189" t="str">
        <f ca="1">IFERROR(__xludf.DUMMYFUNCTION("""COMPUTED_VALUE"""),"")</f>
        <v/>
      </c>
      <c r="D634" s="189" t="str">
        <f ca="1">IFERROR(__xludf.DUMMYFUNCTION("""COMPUTED_VALUE"""),"")</f>
        <v/>
      </c>
      <c r="E634" s="189" t="str">
        <f ca="1">IFERROR(__xludf.DUMMYFUNCTION("""COMPUTED_VALUE"""),"")</f>
        <v/>
      </c>
      <c r="F634" s="189" t="str">
        <f ca="1">IFERROR(__xludf.DUMMYFUNCTION("""COMPUTED_VALUE"""),"")</f>
        <v/>
      </c>
      <c r="G634" s="189" t="str">
        <f ca="1">IFERROR(__xludf.DUMMYFUNCTION("""COMPUTED_VALUE"""),"")</f>
        <v/>
      </c>
      <c r="H634" s="189" t="str">
        <f ca="1">IFERROR(__xludf.DUMMYFUNCTION("""COMPUTED_VALUE"""),"")</f>
        <v/>
      </c>
      <c r="I634" s="120" t="str">
        <f ca="1">IFERROR(__xludf.DUMMYFUNCTION("""COMPUTED_VALUE"""),"")</f>
        <v/>
      </c>
      <c r="J634" s="189" t="str">
        <f ca="1">IFERROR(__xludf.DUMMYFUNCTION("""COMPUTED_VALUE"""),"")</f>
        <v/>
      </c>
      <c r="K634" s="189" t="str">
        <f ca="1">IFERROR(__xludf.DUMMYFUNCTION("""COMPUTED_VALUE"""),"")</f>
        <v/>
      </c>
      <c r="L634" s="189" t="str">
        <f ca="1">IFERROR(__xludf.DUMMYFUNCTION("""COMPUTED_VALUE"""),"")</f>
        <v/>
      </c>
      <c r="M634" s="189" t="str">
        <f ca="1">IFERROR(__xludf.DUMMYFUNCTION("""COMPUTED_VALUE"""),"")</f>
        <v/>
      </c>
      <c r="N634" s="189" t="str">
        <f ca="1">IFERROR(__xludf.DUMMYFUNCTION("""COMPUTED_VALUE"""),"")</f>
        <v/>
      </c>
      <c r="O634" s="189" t="str">
        <f ca="1">IFERROR(__xludf.DUMMYFUNCTION("""COMPUTED_VALUE"""),"")</f>
        <v/>
      </c>
      <c r="P634" s="189" t="str">
        <f ca="1">IFERROR(__xludf.DUMMYFUNCTION("""COMPUTED_VALUE"""),"")</f>
        <v/>
      </c>
      <c r="Q634" s="189" t="str">
        <f ca="1">IFERROR(__xludf.DUMMYFUNCTION("""COMPUTED_VALUE"""),"")</f>
        <v/>
      </c>
      <c r="R634" s="189" t="str">
        <f ca="1">IFERROR(__xludf.DUMMYFUNCTION("""COMPUTED_VALUE"""),"")</f>
        <v/>
      </c>
      <c r="S634" s="189" t="str">
        <f ca="1">IFERROR(__xludf.DUMMYFUNCTION("""COMPUTED_VALUE"""),"")</f>
        <v/>
      </c>
      <c r="T634" s="189" t="str">
        <f ca="1">IFERROR(__xludf.DUMMYFUNCTION("""COMPUTED_VALUE"""),"")</f>
        <v/>
      </c>
      <c r="U634" s="189" t="str">
        <f ca="1">IFERROR(__xludf.DUMMYFUNCTION("""COMPUTED_VALUE"""),"")</f>
        <v/>
      </c>
      <c r="V634" s="189" t="str">
        <f ca="1">IFERROR(__xludf.DUMMYFUNCTION("""COMPUTED_VALUE"""),"")</f>
        <v/>
      </c>
      <c r="W634" s="189" t="str">
        <f ca="1">IFERROR(__xludf.DUMMYFUNCTION("""COMPUTED_VALUE"""),"")</f>
        <v/>
      </c>
      <c r="X634" s="189" t="str">
        <f ca="1">IFERROR(__xludf.DUMMYFUNCTION("""COMPUTED_VALUE"""),"")</f>
        <v/>
      </c>
      <c r="Y634" s="189" t="str">
        <f ca="1">IFERROR(__xludf.DUMMYFUNCTION("""COMPUTED_VALUE"""),"")</f>
        <v/>
      </c>
      <c r="Z634" s="189"/>
    </row>
    <row r="635" spans="1:26" ht="12.75">
      <c r="A635" s="189" t="str">
        <f ca="1">IFERROR(__xludf.DUMMYFUNCTION("""COMPUTED_VALUE"""),"")</f>
        <v/>
      </c>
      <c r="B635" s="189" t="str">
        <f ca="1">IFERROR(__xludf.DUMMYFUNCTION("""COMPUTED_VALUE"""),"")</f>
        <v/>
      </c>
      <c r="C635" s="189" t="str">
        <f ca="1">IFERROR(__xludf.DUMMYFUNCTION("""COMPUTED_VALUE"""),"")</f>
        <v/>
      </c>
      <c r="D635" s="189" t="str">
        <f ca="1">IFERROR(__xludf.DUMMYFUNCTION("""COMPUTED_VALUE"""),"")</f>
        <v/>
      </c>
      <c r="E635" s="189" t="str">
        <f ca="1">IFERROR(__xludf.DUMMYFUNCTION("""COMPUTED_VALUE"""),"")</f>
        <v/>
      </c>
      <c r="F635" s="189" t="str">
        <f ca="1">IFERROR(__xludf.DUMMYFUNCTION("""COMPUTED_VALUE"""),"")</f>
        <v/>
      </c>
      <c r="G635" s="189" t="str">
        <f ca="1">IFERROR(__xludf.DUMMYFUNCTION("""COMPUTED_VALUE"""),"")</f>
        <v/>
      </c>
      <c r="H635" s="189" t="str">
        <f ca="1">IFERROR(__xludf.DUMMYFUNCTION("""COMPUTED_VALUE"""),"")</f>
        <v/>
      </c>
      <c r="I635" s="120" t="str">
        <f ca="1">IFERROR(__xludf.DUMMYFUNCTION("""COMPUTED_VALUE"""),"")</f>
        <v/>
      </c>
      <c r="J635" s="189" t="str">
        <f ca="1">IFERROR(__xludf.DUMMYFUNCTION("""COMPUTED_VALUE"""),"")</f>
        <v/>
      </c>
      <c r="K635" s="189" t="str">
        <f ca="1">IFERROR(__xludf.DUMMYFUNCTION("""COMPUTED_VALUE"""),"")</f>
        <v/>
      </c>
      <c r="L635" s="189" t="str">
        <f ca="1">IFERROR(__xludf.DUMMYFUNCTION("""COMPUTED_VALUE"""),"")</f>
        <v/>
      </c>
      <c r="M635" s="189" t="str">
        <f ca="1">IFERROR(__xludf.DUMMYFUNCTION("""COMPUTED_VALUE"""),"")</f>
        <v/>
      </c>
      <c r="N635" s="189" t="str">
        <f ca="1">IFERROR(__xludf.DUMMYFUNCTION("""COMPUTED_VALUE"""),"")</f>
        <v/>
      </c>
      <c r="O635" s="189" t="str">
        <f ca="1">IFERROR(__xludf.DUMMYFUNCTION("""COMPUTED_VALUE"""),"")</f>
        <v/>
      </c>
      <c r="P635" s="189" t="str">
        <f ca="1">IFERROR(__xludf.DUMMYFUNCTION("""COMPUTED_VALUE"""),"")</f>
        <v/>
      </c>
      <c r="Q635" s="189" t="str">
        <f ca="1">IFERROR(__xludf.DUMMYFUNCTION("""COMPUTED_VALUE"""),"")</f>
        <v/>
      </c>
      <c r="R635" s="189" t="str">
        <f ca="1">IFERROR(__xludf.DUMMYFUNCTION("""COMPUTED_VALUE"""),"")</f>
        <v/>
      </c>
      <c r="S635" s="189" t="str">
        <f ca="1">IFERROR(__xludf.DUMMYFUNCTION("""COMPUTED_VALUE"""),"")</f>
        <v/>
      </c>
      <c r="T635" s="189" t="str">
        <f ca="1">IFERROR(__xludf.DUMMYFUNCTION("""COMPUTED_VALUE"""),"")</f>
        <v/>
      </c>
      <c r="U635" s="189" t="str">
        <f ca="1">IFERROR(__xludf.DUMMYFUNCTION("""COMPUTED_VALUE"""),"")</f>
        <v/>
      </c>
      <c r="V635" s="189" t="str">
        <f ca="1">IFERROR(__xludf.DUMMYFUNCTION("""COMPUTED_VALUE"""),"")</f>
        <v/>
      </c>
      <c r="W635" s="189" t="str">
        <f ca="1">IFERROR(__xludf.DUMMYFUNCTION("""COMPUTED_VALUE"""),"")</f>
        <v/>
      </c>
      <c r="X635" s="189" t="str">
        <f ca="1">IFERROR(__xludf.DUMMYFUNCTION("""COMPUTED_VALUE"""),"")</f>
        <v/>
      </c>
      <c r="Y635" s="189" t="str">
        <f ca="1">IFERROR(__xludf.DUMMYFUNCTION("""COMPUTED_VALUE"""),"")</f>
        <v/>
      </c>
      <c r="Z635" s="189"/>
    </row>
    <row r="636" spans="1:26" ht="12.75">
      <c r="A636" s="189" t="str">
        <f ca="1">IFERROR(__xludf.DUMMYFUNCTION("""COMPUTED_VALUE"""),"")</f>
        <v/>
      </c>
      <c r="B636" s="189" t="str">
        <f ca="1">IFERROR(__xludf.DUMMYFUNCTION("""COMPUTED_VALUE"""),"")</f>
        <v/>
      </c>
      <c r="C636" s="189" t="str">
        <f ca="1">IFERROR(__xludf.DUMMYFUNCTION("""COMPUTED_VALUE"""),"")</f>
        <v/>
      </c>
      <c r="D636" s="189" t="str">
        <f ca="1">IFERROR(__xludf.DUMMYFUNCTION("""COMPUTED_VALUE"""),"")</f>
        <v/>
      </c>
      <c r="E636" s="189" t="str">
        <f ca="1">IFERROR(__xludf.DUMMYFUNCTION("""COMPUTED_VALUE"""),"")</f>
        <v/>
      </c>
      <c r="F636" s="189" t="str">
        <f ca="1">IFERROR(__xludf.DUMMYFUNCTION("""COMPUTED_VALUE"""),"")</f>
        <v/>
      </c>
      <c r="G636" s="189" t="str">
        <f ca="1">IFERROR(__xludf.DUMMYFUNCTION("""COMPUTED_VALUE"""),"")</f>
        <v/>
      </c>
      <c r="H636" s="189" t="str">
        <f ca="1">IFERROR(__xludf.DUMMYFUNCTION("""COMPUTED_VALUE"""),"")</f>
        <v/>
      </c>
      <c r="I636" s="120" t="str">
        <f ca="1">IFERROR(__xludf.DUMMYFUNCTION("""COMPUTED_VALUE"""),"")</f>
        <v/>
      </c>
      <c r="J636" s="189" t="str">
        <f ca="1">IFERROR(__xludf.DUMMYFUNCTION("""COMPUTED_VALUE"""),"")</f>
        <v/>
      </c>
      <c r="K636" s="189" t="str">
        <f ca="1">IFERROR(__xludf.DUMMYFUNCTION("""COMPUTED_VALUE"""),"")</f>
        <v/>
      </c>
      <c r="L636" s="189" t="str">
        <f ca="1">IFERROR(__xludf.DUMMYFUNCTION("""COMPUTED_VALUE"""),"")</f>
        <v/>
      </c>
      <c r="M636" s="189" t="str">
        <f ca="1">IFERROR(__xludf.DUMMYFUNCTION("""COMPUTED_VALUE"""),"")</f>
        <v/>
      </c>
      <c r="N636" s="189" t="str">
        <f ca="1">IFERROR(__xludf.DUMMYFUNCTION("""COMPUTED_VALUE"""),"")</f>
        <v/>
      </c>
      <c r="O636" s="189" t="str">
        <f ca="1">IFERROR(__xludf.DUMMYFUNCTION("""COMPUTED_VALUE"""),"")</f>
        <v/>
      </c>
      <c r="P636" s="189" t="str">
        <f ca="1">IFERROR(__xludf.DUMMYFUNCTION("""COMPUTED_VALUE"""),"")</f>
        <v/>
      </c>
      <c r="Q636" s="189" t="str">
        <f ca="1">IFERROR(__xludf.DUMMYFUNCTION("""COMPUTED_VALUE"""),"")</f>
        <v/>
      </c>
      <c r="R636" s="189" t="str">
        <f ca="1">IFERROR(__xludf.DUMMYFUNCTION("""COMPUTED_VALUE"""),"")</f>
        <v/>
      </c>
      <c r="S636" s="189" t="str">
        <f ca="1">IFERROR(__xludf.DUMMYFUNCTION("""COMPUTED_VALUE"""),"")</f>
        <v/>
      </c>
      <c r="T636" s="189" t="str">
        <f ca="1">IFERROR(__xludf.DUMMYFUNCTION("""COMPUTED_VALUE"""),"")</f>
        <v/>
      </c>
      <c r="U636" s="189" t="str">
        <f ca="1">IFERROR(__xludf.DUMMYFUNCTION("""COMPUTED_VALUE"""),"")</f>
        <v/>
      </c>
      <c r="V636" s="189" t="str">
        <f ca="1">IFERROR(__xludf.DUMMYFUNCTION("""COMPUTED_VALUE"""),"")</f>
        <v/>
      </c>
      <c r="W636" s="189" t="str">
        <f ca="1">IFERROR(__xludf.DUMMYFUNCTION("""COMPUTED_VALUE"""),"")</f>
        <v/>
      </c>
      <c r="X636" s="189" t="str">
        <f ca="1">IFERROR(__xludf.DUMMYFUNCTION("""COMPUTED_VALUE"""),"")</f>
        <v/>
      </c>
      <c r="Y636" s="189" t="str">
        <f ca="1">IFERROR(__xludf.DUMMYFUNCTION("""COMPUTED_VALUE"""),"")</f>
        <v/>
      </c>
      <c r="Z636" s="189"/>
    </row>
    <row r="637" spans="1:26" ht="12.75">
      <c r="A637" s="189" t="str">
        <f ca="1">IFERROR(__xludf.DUMMYFUNCTION("""COMPUTED_VALUE"""),"")</f>
        <v/>
      </c>
      <c r="B637" s="189" t="str">
        <f ca="1">IFERROR(__xludf.DUMMYFUNCTION("""COMPUTED_VALUE"""),"")</f>
        <v/>
      </c>
      <c r="C637" s="189" t="str">
        <f ca="1">IFERROR(__xludf.DUMMYFUNCTION("""COMPUTED_VALUE"""),"")</f>
        <v/>
      </c>
      <c r="D637" s="189" t="str">
        <f ca="1">IFERROR(__xludf.DUMMYFUNCTION("""COMPUTED_VALUE"""),"")</f>
        <v/>
      </c>
      <c r="E637" s="189" t="str">
        <f ca="1">IFERROR(__xludf.DUMMYFUNCTION("""COMPUTED_VALUE"""),"")</f>
        <v/>
      </c>
      <c r="F637" s="189" t="str">
        <f ca="1">IFERROR(__xludf.DUMMYFUNCTION("""COMPUTED_VALUE"""),"")</f>
        <v/>
      </c>
      <c r="G637" s="189" t="str">
        <f ca="1">IFERROR(__xludf.DUMMYFUNCTION("""COMPUTED_VALUE"""),"")</f>
        <v/>
      </c>
      <c r="H637" s="189" t="str">
        <f ca="1">IFERROR(__xludf.DUMMYFUNCTION("""COMPUTED_VALUE"""),"")</f>
        <v/>
      </c>
      <c r="I637" s="120" t="str">
        <f ca="1">IFERROR(__xludf.DUMMYFUNCTION("""COMPUTED_VALUE"""),"")</f>
        <v/>
      </c>
      <c r="J637" s="189" t="str">
        <f ca="1">IFERROR(__xludf.DUMMYFUNCTION("""COMPUTED_VALUE"""),"")</f>
        <v/>
      </c>
      <c r="K637" s="189" t="str">
        <f ca="1">IFERROR(__xludf.DUMMYFUNCTION("""COMPUTED_VALUE"""),"")</f>
        <v/>
      </c>
      <c r="L637" s="189" t="str">
        <f ca="1">IFERROR(__xludf.DUMMYFUNCTION("""COMPUTED_VALUE"""),"")</f>
        <v/>
      </c>
      <c r="M637" s="189" t="str">
        <f ca="1">IFERROR(__xludf.DUMMYFUNCTION("""COMPUTED_VALUE"""),"")</f>
        <v/>
      </c>
      <c r="N637" s="189" t="str">
        <f ca="1">IFERROR(__xludf.DUMMYFUNCTION("""COMPUTED_VALUE"""),"")</f>
        <v/>
      </c>
      <c r="O637" s="189" t="str">
        <f ca="1">IFERROR(__xludf.DUMMYFUNCTION("""COMPUTED_VALUE"""),"")</f>
        <v/>
      </c>
      <c r="P637" s="189" t="str">
        <f ca="1">IFERROR(__xludf.DUMMYFUNCTION("""COMPUTED_VALUE"""),"")</f>
        <v/>
      </c>
      <c r="Q637" s="189" t="str">
        <f ca="1">IFERROR(__xludf.DUMMYFUNCTION("""COMPUTED_VALUE"""),"")</f>
        <v/>
      </c>
      <c r="R637" s="189" t="str">
        <f ca="1">IFERROR(__xludf.DUMMYFUNCTION("""COMPUTED_VALUE"""),"")</f>
        <v/>
      </c>
      <c r="S637" s="189" t="str">
        <f ca="1">IFERROR(__xludf.DUMMYFUNCTION("""COMPUTED_VALUE"""),"")</f>
        <v/>
      </c>
      <c r="T637" s="189" t="str">
        <f ca="1">IFERROR(__xludf.DUMMYFUNCTION("""COMPUTED_VALUE"""),"")</f>
        <v/>
      </c>
      <c r="U637" s="189" t="str">
        <f ca="1">IFERROR(__xludf.DUMMYFUNCTION("""COMPUTED_VALUE"""),"")</f>
        <v/>
      </c>
      <c r="V637" s="189" t="str">
        <f ca="1">IFERROR(__xludf.DUMMYFUNCTION("""COMPUTED_VALUE"""),"")</f>
        <v/>
      </c>
      <c r="W637" s="189" t="str">
        <f ca="1">IFERROR(__xludf.DUMMYFUNCTION("""COMPUTED_VALUE"""),"")</f>
        <v/>
      </c>
      <c r="X637" s="189" t="str">
        <f ca="1">IFERROR(__xludf.DUMMYFUNCTION("""COMPUTED_VALUE"""),"")</f>
        <v/>
      </c>
      <c r="Y637" s="189" t="str">
        <f ca="1">IFERROR(__xludf.DUMMYFUNCTION("""COMPUTED_VALUE"""),"")</f>
        <v/>
      </c>
      <c r="Z637" s="189"/>
    </row>
    <row r="638" spans="1:26" ht="12.75">
      <c r="A638" s="189" t="str">
        <f ca="1">IFERROR(__xludf.DUMMYFUNCTION("""COMPUTED_VALUE"""),"")</f>
        <v/>
      </c>
      <c r="B638" s="189" t="str">
        <f ca="1">IFERROR(__xludf.DUMMYFUNCTION("""COMPUTED_VALUE"""),"")</f>
        <v/>
      </c>
      <c r="C638" s="189" t="str">
        <f ca="1">IFERROR(__xludf.DUMMYFUNCTION("""COMPUTED_VALUE"""),"")</f>
        <v/>
      </c>
      <c r="D638" s="189" t="str">
        <f ca="1">IFERROR(__xludf.DUMMYFUNCTION("""COMPUTED_VALUE"""),"")</f>
        <v/>
      </c>
      <c r="E638" s="189" t="str">
        <f ca="1">IFERROR(__xludf.DUMMYFUNCTION("""COMPUTED_VALUE"""),"")</f>
        <v/>
      </c>
      <c r="F638" s="189" t="str">
        <f ca="1">IFERROR(__xludf.DUMMYFUNCTION("""COMPUTED_VALUE"""),"")</f>
        <v/>
      </c>
      <c r="G638" s="189" t="str">
        <f ca="1">IFERROR(__xludf.DUMMYFUNCTION("""COMPUTED_VALUE"""),"")</f>
        <v/>
      </c>
      <c r="H638" s="189" t="str">
        <f ca="1">IFERROR(__xludf.DUMMYFUNCTION("""COMPUTED_VALUE"""),"")</f>
        <v/>
      </c>
      <c r="I638" s="120" t="str">
        <f ca="1">IFERROR(__xludf.DUMMYFUNCTION("""COMPUTED_VALUE"""),"")</f>
        <v/>
      </c>
      <c r="J638" s="189" t="str">
        <f ca="1">IFERROR(__xludf.DUMMYFUNCTION("""COMPUTED_VALUE"""),"")</f>
        <v/>
      </c>
      <c r="K638" s="189" t="str">
        <f ca="1">IFERROR(__xludf.DUMMYFUNCTION("""COMPUTED_VALUE"""),"")</f>
        <v/>
      </c>
      <c r="L638" s="189" t="str">
        <f ca="1">IFERROR(__xludf.DUMMYFUNCTION("""COMPUTED_VALUE"""),"")</f>
        <v/>
      </c>
      <c r="M638" s="189" t="str">
        <f ca="1">IFERROR(__xludf.DUMMYFUNCTION("""COMPUTED_VALUE"""),"")</f>
        <v/>
      </c>
      <c r="N638" s="189" t="str">
        <f ca="1">IFERROR(__xludf.DUMMYFUNCTION("""COMPUTED_VALUE"""),"")</f>
        <v/>
      </c>
      <c r="O638" s="189" t="str">
        <f ca="1">IFERROR(__xludf.DUMMYFUNCTION("""COMPUTED_VALUE"""),"")</f>
        <v/>
      </c>
      <c r="P638" s="189" t="str">
        <f ca="1">IFERROR(__xludf.DUMMYFUNCTION("""COMPUTED_VALUE"""),"")</f>
        <v/>
      </c>
      <c r="Q638" s="189" t="str">
        <f ca="1">IFERROR(__xludf.DUMMYFUNCTION("""COMPUTED_VALUE"""),"")</f>
        <v/>
      </c>
      <c r="R638" s="189" t="str">
        <f ca="1">IFERROR(__xludf.DUMMYFUNCTION("""COMPUTED_VALUE"""),"")</f>
        <v/>
      </c>
      <c r="S638" s="189" t="str">
        <f ca="1">IFERROR(__xludf.DUMMYFUNCTION("""COMPUTED_VALUE"""),"")</f>
        <v/>
      </c>
      <c r="T638" s="189" t="str">
        <f ca="1">IFERROR(__xludf.DUMMYFUNCTION("""COMPUTED_VALUE"""),"")</f>
        <v/>
      </c>
      <c r="U638" s="189" t="str">
        <f ca="1">IFERROR(__xludf.DUMMYFUNCTION("""COMPUTED_VALUE"""),"")</f>
        <v/>
      </c>
      <c r="V638" s="189" t="str">
        <f ca="1">IFERROR(__xludf.DUMMYFUNCTION("""COMPUTED_VALUE"""),"")</f>
        <v/>
      </c>
      <c r="W638" s="189" t="str">
        <f ca="1">IFERROR(__xludf.DUMMYFUNCTION("""COMPUTED_VALUE"""),"")</f>
        <v/>
      </c>
      <c r="X638" s="189" t="str">
        <f ca="1">IFERROR(__xludf.DUMMYFUNCTION("""COMPUTED_VALUE"""),"")</f>
        <v/>
      </c>
      <c r="Y638" s="189" t="str">
        <f ca="1">IFERROR(__xludf.DUMMYFUNCTION("""COMPUTED_VALUE"""),"")</f>
        <v/>
      </c>
      <c r="Z638" s="189"/>
    </row>
    <row r="639" spans="1:26" ht="12.75">
      <c r="A639" s="189" t="str">
        <f ca="1">IFERROR(__xludf.DUMMYFUNCTION("""COMPUTED_VALUE"""),"")</f>
        <v/>
      </c>
      <c r="B639" s="189" t="str">
        <f ca="1">IFERROR(__xludf.DUMMYFUNCTION("""COMPUTED_VALUE"""),"")</f>
        <v/>
      </c>
      <c r="C639" s="189" t="str">
        <f ca="1">IFERROR(__xludf.DUMMYFUNCTION("""COMPUTED_VALUE"""),"")</f>
        <v/>
      </c>
      <c r="D639" s="189" t="str">
        <f ca="1">IFERROR(__xludf.DUMMYFUNCTION("""COMPUTED_VALUE"""),"")</f>
        <v/>
      </c>
      <c r="E639" s="189" t="str">
        <f ca="1">IFERROR(__xludf.DUMMYFUNCTION("""COMPUTED_VALUE"""),"")</f>
        <v/>
      </c>
      <c r="F639" s="189" t="str">
        <f ca="1">IFERROR(__xludf.DUMMYFUNCTION("""COMPUTED_VALUE"""),"")</f>
        <v/>
      </c>
      <c r="G639" s="189" t="str">
        <f ca="1">IFERROR(__xludf.DUMMYFUNCTION("""COMPUTED_VALUE"""),"")</f>
        <v/>
      </c>
      <c r="H639" s="189" t="str">
        <f ca="1">IFERROR(__xludf.DUMMYFUNCTION("""COMPUTED_VALUE"""),"")</f>
        <v/>
      </c>
      <c r="I639" s="120" t="str">
        <f ca="1">IFERROR(__xludf.DUMMYFUNCTION("""COMPUTED_VALUE"""),"")</f>
        <v/>
      </c>
      <c r="J639" s="189" t="str">
        <f ca="1">IFERROR(__xludf.DUMMYFUNCTION("""COMPUTED_VALUE"""),"")</f>
        <v/>
      </c>
      <c r="K639" s="189" t="str">
        <f ca="1">IFERROR(__xludf.DUMMYFUNCTION("""COMPUTED_VALUE"""),"")</f>
        <v/>
      </c>
      <c r="L639" s="189" t="str">
        <f ca="1">IFERROR(__xludf.DUMMYFUNCTION("""COMPUTED_VALUE"""),"")</f>
        <v/>
      </c>
      <c r="M639" s="189" t="str">
        <f ca="1">IFERROR(__xludf.DUMMYFUNCTION("""COMPUTED_VALUE"""),"")</f>
        <v/>
      </c>
      <c r="N639" s="189" t="str">
        <f ca="1">IFERROR(__xludf.DUMMYFUNCTION("""COMPUTED_VALUE"""),"")</f>
        <v/>
      </c>
      <c r="O639" s="189" t="str">
        <f ca="1">IFERROR(__xludf.DUMMYFUNCTION("""COMPUTED_VALUE"""),"")</f>
        <v/>
      </c>
      <c r="P639" s="189" t="str">
        <f ca="1">IFERROR(__xludf.DUMMYFUNCTION("""COMPUTED_VALUE"""),"")</f>
        <v/>
      </c>
      <c r="Q639" s="189" t="str">
        <f ca="1">IFERROR(__xludf.DUMMYFUNCTION("""COMPUTED_VALUE"""),"")</f>
        <v/>
      </c>
      <c r="R639" s="189" t="str">
        <f ca="1">IFERROR(__xludf.DUMMYFUNCTION("""COMPUTED_VALUE"""),"")</f>
        <v/>
      </c>
      <c r="S639" s="189" t="str">
        <f ca="1">IFERROR(__xludf.DUMMYFUNCTION("""COMPUTED_VALUE"""),"")</f>
        <v/>
      </c>
      <c r="T639" s="189" t="str">
        <f ca="1">IFERROR(__xludf.DUMMYFUNCTION("""COMPUTED_VALUE"""),"")</f>
        <v/>
      </c>
      <c r="U639" s="189" t="str">
        <f ca="1">IFERROR(__xludf.DUMMYFUNCTION("""COMPUTED_VALUE"""),"")</f>
        <v/>
      </c>
      <c r="V639" s="189" t="str">
        <f ca="1">IFERROR(__xludf.DUMMYFUNCTION("""COMPUTED_VALUE"""),"")</f>
        <v/>
      </c>
      <c r="W639" s="189" t="str">
        <f ca="1">IFERROR(__xludf.DUMMYFUNCTION("""COMPUTED_VALUE"""),"")</f>
        <v/>
      </c>
      <c r="X639" s="189" t="str">
        <f ca="1">IFERROR(__xludf.DUMMYFUNCTION("""COMPUTED_VALUE"""),"")</f>
        <v/>
      </c>
      <c r="Y639" s="189" t="str">
        <f ca="1">IFERROR(__xludf.DUMMYFUNCTION("""COMPUTED_VALUE"""),"")</f>
        <v/>
      </c>
      <c r="Z639" s="189"/>
    </row>
    <row r="640" spans="1:26" ht="12.75">
      <c r="A640" s="189" t="str">
        <f ca="1">IFERROR(__xludf.DUMMYFUNCTION("""COMPUTED_VALUE"""),"")</f>
        <v/>
      </c>
      <c r="B640" s="189" t="str">
        <f ca="1">IFERROR(__xludf.DUMMYFUNCTION("""COMPUTED_VALUE"""),"")</f>
        <v/>
      </c>
      <c r="C640" s="189" t="str">
        <f ca="1">IFERROR(__xludf.DUMMYFUNCTION("""COMPUTED_VALUE"""),"")</f>
        <v/>
      </c>
      <c r="D640" s="189" t="str">
        <f ca="1">IFERROR(__xludf.DUMMYFUNCTION("""COMPUTED_VALUE"""),"")</f>
        <v/>
      </c>
      <c r="E640" s="189" t="str">
        <f ca="1">IFERROR(__xludf.DUMMYFUNCTION("""COMPUTED_VALUE"""),"")</f>
        <v/>
      </c>
      <c r="F640" s="189" t="str">
        <f ca="1">IFERROR(__xludf.DUMMYFUNCTION("""COMPUTED_VALUE"""),"")</f>
        <v/>
      </c>
      <c r="G640" s="189" t="str">
        <f ca="1">IFERROR(__xludf.DUMMYFUNCTION("""COMPUTED_VALUE"""),"")</f>
        <v/>
      </c>
      <c r="H640" s="189" t="str">
        <f ca="1">IFERROR(__xludf.DUMMYFUNCTION("""COMPUTED_VALUE"""),"")</f>
        <v/>
      </c>
      <c r="I640" s="120" t="str">
        <f ca="1">IFERROR(__xludf.DUMMYFUNCTION("""COMPUTED_VALUE"""),"")</f>
        <v/>
      </c>
      <c r="J640" s="189" t="str">
        <f ca="1">IFERROR(__xludf.DUMMYFUNCTION("""COMPUTED_VALUE"""),"")</f>
        <v/>
      </c>
      <c r="K640" s="189" t="str">
        <f ca="1">IFERROR(__xludf.DUMMYFUNCTION("""COMPUTED_VALUE"""),"")</f>
        <v/>
      </c>
      <c r="L640" s="189" t="str">
        <f ca="1">IFERROR(__xludf.DUMMYFUNCTION("""COMPUTED_VALUE"""),"")</f>
        <v/>
      </c>
      <c r="M640" s="189" t="str">
        <f ca="1">IFERROR(__xludf.DUMMYFUNCTION("""COMPUTED_VALUE"""),"")</f>
        <v/>
      </c>
      <c r="N640" s="189" t="str">
        <f ca="1">IFERROR(__xludf.DUMMYFUNCTION("""COMPUTED_VALUE"""),"")</f>
        <v/>
      </c>
      <c r="O640" s="189" t="str">
        <f ca="1">IFERROR(__xludf.DUMMYFUNCTION("""COMPUTED_VALUE"""),"")</f>
        <v/>
      </c>
      <c r="P640" s="189" t="str">
        <f ca="1">IFERROR(__xludf.DUMMYFUNCTION("""COMPUTED_VALUE"""),"")</f>
        <v/>
      </c>
      <c r="Q640" s="189" t="str">
        <f ca="1">IFERROR(__xludf.DUMMYFUNCTION("""COMPUTED_VALUE"""),"")</f>
        <v/>
      </c>
      <c r="R640" s="189" t="str">
        <f ca="1">IFERROR(__xludf.DUMMYFUNCTION("""COMPUTED_VALUE"""),"")</f>
        <v/>
      </c>
      <c r="S640" s="189" t="str">
        <f ca="1">IFERROR(__xludf.DUMMYFUNCTION("""COMPUTED_VALUE"""),"")</f>
        <v/>
      </c>
      <c r="T640" s="189" t="str">
        <f ca="1">IFERROR(__xludf.DUMMYFUNCTION("""COMPUTED_VALUE"""),"")</f>
        <v/>
      </c>
      <c r="U640" s="189" t="str">
        <f ca="1">IFERROR(__xludf.DUMMYFUNCTION("""COMPUTED_VALUE"""),"")</f>
        <v/>
      </c>
      <c r="V640" s="189" t="str">
        <f ca="1">IFERROR(__xludf.DUMMYFUNCTION("""COMPUTED_VALUE"""),"")</f>
        <v/>
      </c>
      <c r="W640" s="189" t="str">
        <f ca="1">IFERROR(__xludf.DUMMYFUNCTION("""COMPUTED_VALUE"""),"")</f>
        <v/>
      </c>
      <c r="X640" s="189" t="str">
        <f ca="1">IFERROR(__xludf.DUMMYFUNCTION("""COMPUTED_VALUE"""),"")</f>
        <v/>
      </c>
      <c r="Y640" s="189" t="str">
        <f ca="1">IFERROR(__xludf.DUMMYFUNCTION("""COMPUTED_VALUE"""),"")</f>
        <v/>
      </c>
      <c r="Z640" s="189"/>
    </row>
    <row r="641" spans="1:26" ht="12.75">
      <c r="A641" s="189" t="str">
        <f ca="1">IFERROR(__xludf.DUMMYFUNCTION("""COMPUTED_VALUE"""),"")</f>
        <v/>
      </c>
      <c r="B641" s="189" t="str">
        <f ca="1">IFERROR(__xludf.DUMMYFUNCTION("""COMPUTED_VALUE"""),"")</f>
        <v/>
      </c>
      <c r="C641" s="189" t="str">
        <f ca="1">IFERROR(__xludf.DUMMYFUNCTION("""COMPUTED_VALUE"""),"")</f>
        <v/>
      </c>
      <c r="D641" s="189" t="str">
        <f ca="1">IFERROR(__xludf.DUMMYFUNCTION("""COMPUTED_VALUE"""),"")</f>
        <v/>
      </c>
      <c r="E641" s="189" t="str">
        <f ca="1">IFERROR(__xludf.DUMMYFUNCTION("""COMPUTED_VALUE"""),"")</f>
        <v/>
      </c>
      <c r="F641" s="189" t="str">
        <f ca="1">IFERROR(__xludf.DUMMYFUNCTION("""COMPUTED_VALUE"""),"")</f>
        <v/>
      </c>
      <c r="G641" s="189" t="str">
        <f ca="1">IFERROR(__xludf.DUMMYFUNCTION("""COMPUTED_VALUE"""),"")</f>
        <v/>
      </c>
      <c r="H641" s="189" t="str">
        <f ca="1">IFERROR(__xludf.DUMMYFUNCTION("""COMPUTED_VALUE"""),"")</f>
        <v/>
      </c>
      <c r="I641" s="120" t="str">
        <f ca="1">IFERROR(__xludf.DUMMYFUNCTION("""COMPUTED_VALUE"""),"")</f>
        <v/>
      </c>
      <c r="J641" s="189" t="str">
        <f ca="1">IFERROR(__xludf.DUMMYFUNCTION("""COMPUTED_VALUE"""),"")</f>
        <v/>
      </c>
      <c r="K641" s="189" t="str">
        <f ca="1">IFERROR(__xludf.DUMMYFUNCTION("""COMPUTED_VALUE"""),"")</f>
        <v/>
      </c>
      <c r="L641" s="189" t="str">
        <f ca="1">IFERROR(__xludf.DUMMYFUNCTION("""COMPUTED_VALUE"""),"")</f>
        <v/>
      </c>
      <c r="M641" s="189" t="str">
        <f ca="1">IFERROR(__xludf.DUMMYFUNCTION("""COMPUTED_VALUE"""),"")</f>
        <v/>
      </c>
      <c r="N641" s="189" t="str">
        <f ca="1">IFERROR(__xludf.DUMMYFUNCTION("""COMPUTED_VALUE"""),"")</f>
        <v/>
      </c>
      <c r="O641" s="189" t="str">
        <f ca="1">IFERROR(__xludf.DUMMYFUNCTION("""COMPUTED_VALUE"""),"")</f>
        <v/>
      </c>
      <c r="P641" s="189" t="str">
        <f ca="1">IFERROR(__xludf.DUMMYFUNCTION("""COMPUTED_VALUE"""),"")</f>
        <v/>
      </c>
      <c r="Q641" s="189" t="str">
        <f ca="1">IFERROR(__xludf.DUMMYFUNCTION("""COMPUTED_VALUE"""),"")</f>
        <v/>
      </c>
      <c r="R641" s="189" t="str">
        <f ca="1">IFERROR(__xludf.DUMMYFUNCTION("""COMPUTED_VALUE"""),"")</f>
        <v/>
      </c>
      <c r="S641" s="189" t="str">
        <f ca="1">IFERROR(__xludf.DUMMYFUNCTION("""COMPUTED_VALUE"""),"")</f>
        <v/>
      </c>
      <c r="T641" s="189" t="str">
        <f ca="1">IFERROR(__xludf.DUMMYFUNCTION("""COMPUTED_VALUE"""),"")</f>
        <v/>
      </c>
      <c r="U641" s="189" t="str">
        <f ca="1">IFERROR(__xludf.DUMMYFUNCTION("""COMPUTED_VALUE"""),"")</f>
        <v/>
      </c>
      <c r="V641" s="189" t="str">
        <f ca="1">IFERROR(__xludf.DUMMYFUNCTION("""COMPUTED_VALUE"""),"")</f>
        <v/>
      </c>
      <c r="W641" s="189" t="str">
        <f ca="1">IFERROR(__xludf.DUMMYFUNCTION("""COMPUTED_VALUE"""),"")</f>
        <v/>
      </c>
      <c r="X641" s="189" t="str">
        <f ca="1">IFERROR(__xludf.DUMMYFUNCTION("""COMPUTED_VALUE"""),"")</f>
        <v/>
      </c>
      <c r="Y641" s="189" t="str">
        <f ca="1">IFERROR(__xludf.DUMMYFUNCTION("""COMPUTED_VALUE"""),"")</f>
        <v/>
      </c>
      <c r="Z641" s="189"/>
    </row>
    <row r="642" spans="1:26" ht="12.75">
      <c r="A642" s="189" t="str">
        <f ca="1">IFERROR(__xludf.DUMMYFUNCTION("""COMPUTED_VALUE"""),"")</f>
        <v/>
      </c>
      <c r="B642" s="189" t="str">
        <f ca="1">IFERROR(__xludf.DUMMYFUNCTION("""COMPUTED_VALUE"""),"")</f>
        <v/>
      </c>
      <c r="C642" s="189" t="str">
        <f ca="1">IFERROR(__xludf.DUMMYFUNCTION("""COMPUTED_VALUE"""),"")</f>
        <v/>
      </c>
      <c r="D642" s="189" t="str">
        <f ca="1">IFERROR(__xludf.DUMMYFUNCTION("""COMPUTED_VALUE"""),"")</f>
        <v/>
      </c>
      <c r="E642" s="189" t="str">
        <f ca="1">IFERROR(__xludf.DUMMYFUNCTION("""COMPUTED_VALUE"""),"")</f>
        <v/>
      </c>
      <c r="F642" s="189" t="str">
        <f ca="1">IFERROR(__xludf.DUMMYFUNCTION("""COMPUTED_VALUE"""),"")</f>
        <v/>
      </c>
      <c r="G642" s="189" t="str">
        <f ca="1">IFERROR(__xludf.DUMMYFUNCTION("""COMPUTED_VALUE"""),"")</f>
        <v/>
      </c>
      <c r="H642" s="189" t="str">
        <f ca="1">IFERROR(__xludf.DUMMYFUNCTION("""COMPUTED_VALUE"""),"")</f>
        <v/>
      </c>
      <c r="I642" s="120" t="str">
        <f ca="1">IFERROR(__xludf.DUMMYFUNCTION("""COMPUTED_VALUE"""),"")</f>
        <v/>
      </c>
      <c r="J642" s="189" t="str">
        <f ca="1">IFERROR(__xludf.DUMMYFUNCTION("""COMPUTED_VALUE"""),"")</f>
        <v/>
      </c>
      <c r="K642" s="189" t="str">
        <f ca="1">IFERROR(__xludf.DUMMYFUNCTION("""COMPUTED_VALUE"""),"")</f>
        <v/>
      </c>
      <c r="L642" s="189" t="str">
        <f ca="1">IFERROR(__xludf.DUMMYFUNCTION("""COMPUTED_VALUE"""),"")</f>
        <v/>
      </c>
      <c r="M642" s="189" t="str">
        <f ca="1">IFERROR(__xludf.DUMMYFUNCTION("""COMPUTED_VALUE"""),"")</f>
        <v/>
      </c>
      <c r="N642" s="189" t="str">
        <f ca="1">IFERROR(__xludf.DUMMYFUNCTION("""COMPUTED_VALUE"""),"")</f>
        <v/>
      </c>
      <c r="O642" s="189" t="str">
        <f ca="1">IFERROR(__xludf.DUMMYFUNCTION("""COMPUTED_VALUE"""),"")</f>
        <v/>
      </c>
      <c r="P642" s="189" t="str">
        <f ca="1">IFERROR(__xludf.DUMMYFUNCTION("""COMPUTED_VALUE"""),"")</f>
        <v/>
      </c>
      <c r="Q642" s="189" t="str">
        <f ca="1">IFERROR(__xludf.DUMMYFUNCTION("""COMPUTED_VALUE"""),"")</f>
        <v/>
      </c>
      <c r="R642" s="189" t="str">
        <f ca="1">IFERROR(__xludf.DUMMYFUNCTION("""COMPUTED_VALUE"""),"")</f>
        <v/>
      </c>
      <c r="S642" s="189" t="str">
        <f ca="1">IFERROR(__xludf.DUMMYFUNCTION("""COMPUTED_VALUE"""),"")</f>
        <v/>
      </c>
      <c r="T642" s="189" t="str">
        <f ca="1">IFERROR(__xludf.DUMMYFUNCTION("""COMPUTED_VALUE"""),"")</f>
        <v/>
      </c>
      <c r="U642" s="189" t="str">
        <f ca="1">IFERROR(__xludf.DUMMYFUNCTION("""COMPUTED_VALUE"""),"")</f>
        <v/>
      </c>
      <c r="V642" s="189" t="str">
        <f ca="1">IFERROR(__xludf.DUMMYFUNCTION("""COMPUTED_VALUE"""),"")</f>
        <v/>
      </c>
      <c r="W642" s="189" t="str">
        <f ca="1">IFERROR(__xludf.DUMMYFUNCTION("""COMPUTED_VALUE"""),"")</f>
        <v/>
      </c>
      <c r="X642" s="189" t="str">
        <f ca="1">IFERROR(__xludf.DUMMYFUNCTION("""COMPUTED_VALUE"""),"")</f>
        <v/>
      </c>
      <c r="Y642" s="189" t="str">
        <f ca="1">IFERROR(__xludf.DUMMYFUNCTION("""COMPUTED_VALUE"""),"")</f>
        <v/>
      </c>
      <c r="Z642" s="189"/>
    </row>
    <row r="643" spans="1:26" ht="12.75">
      <c r="A643" s="189" t="str">
        <f ca="1">IFERROR(__xludf.DUMMYFUNCTION("""COMPUTED_VALUE"""),"")</f>
        <v/>
      </c>
      <c r="B643" s="189" t="str">
        <f ca="1">IFERROR(__xludf.DUMMYFUNCTION("""COMPUTED_VALUE"""),"")</f>
        <v/>
      </c>
      <c r="C643" s="189" t="str">
        <f ca="1">IFERROR(__xludf.DUMMYFUNCTION("""COMPUTED_VALUE"""),"")</f>
        <v/>
      </c>
      <c r="D643" s="189" t="str">
        <f ca="1">IFERROR(__xludf.DUMMYFUNCTION("""COMPUTED_VALUE"""),"")</f>
        <v/>
      </c>
      <c r="E643" s="189" t="str">
        <f ca="1">IFERROR(__xludf.DUMMYFUNCTION("""COMPUTED_VALUE"""),"")</f>
        <v/>
      </c>
      <c r="F643" s="189" t="str">
        <f ca="1">IFERROR(__xludf.DUMMYFUNCTION("""COMPUTED_VALUE"""),"")</f>
        <v/>
      </c>
      <c r="G643" s="189" t="str">
        <f ca="1">IFERROR(__xludf.DUMMYFUNCTION("""COMPUTED_VALUE"""),"")</f>
        <v/>
      </c>
      <c r="H643" s="189" t="str">
        <f ca="1">IFERROR(__xludf.DUMMYFUNCTION("""COMPUTED_VALUE"""),"")</f>
        <v/>
      </c>
      <c r="I643" s="120" t="str">
        <f ca="1">IFERROR(__xludf.DUMMYFUNCTION("""COMPUTED_VALUE"""),"")</f>
        <v/>
      </c>
      <c r="J643" s="189" t="str">
        <f ca="1">IFERROR(__xludf.DUMMYFUNCTION("""COMPUTED_VALUE"""),"")</f>
        <v/>
      </c>
      <c r="K643" s="189" t="str">
        <f ca="1">IFERROR(__xludf.DUMMYFUNCTION("""COMPUTED_VALUE"""),"")</f>
        <v/>
      </c>
      <c r="L643" s="189" t="str">
        <f ca="1">IFERROR(__xludf.DUMMYFUNCTION("""COMPUTED_VALUE"""),"")</f>
        <v/>
      </c>
      <c r="M643" s="189" t="str">
        <f ca="1">IFERROR(__xludf.DUMMYFUNCTION("""COMPUTED_VALUE"""),"")</f>
        <v/>
      </c>
      <c r="N643" s="189" t="str">
        <f ca="1">IFERROR(__xludf.DUMMYFUNCTION("""COMPUTED_VALUE"""),"")</f>
        <v/>
      </c>
      <c r="O643" s="189" t="str">
        <f ca="1">IFERROR(__xludf.DUMMYFUNCTION("""COMPUTED_VALUE"""),"")</f>
        <v/>
      </c>
      <c r="P643" s="189" t="str">
        <f ca="1">IFERROR(__xludf.DUMMYFUNCTION("""COMPUTED_VALUE"""),"")</f>
        <v/>
      </c>
      <c r="Q643" s="189" t="str">
        <f ca="1">IFERROR(__xludf.DUMMYFUNCTION("""COMPUTED_VALUE"""),"")</f>
        <v/>
      </c>
      <c r="R643" s="189" t="str">
        <f ca="1">IFERROR(__xludf.DUMMYFUNCTION("""COMPUTED_VALUE"""),"")</f>
        <v/>
      </c>
      <c r="S643" s="189" t="str">
        <f ca="1">IFERROR(__xludf.DUMMYFUNCTION("""COMPUTED_VALUE"""),"")</f>
        <v/>
      </c>
      <c r="T643" s="189" t="str">
        <f ca="1">IFERROR(__xludf.DUMMYFUNCTION("""COMPUTED_VALUE"""),"")</f>
        <v/>
      </c>
      <c r="U643" s="189" t="str">
        <f ca="1">IFERROR(__xludf.DUMMYFUNCTION("""COMPUTED_VALUE"""),"")</f>
        <v/>
      </c>
      <c r="V643" s="189" t="str">
        <f ca="1">IFERROR(__xludf.DUMMYFUNCTION("""COMPUTED_VALUE"""),"")</f>
        <v/>
      </c>
      <c r="W643" s="189" t="str">
        <f ca="1">IFERROR(__xludf.DUMMYFUNCTION("""COMPUTED_VALUE"""),"")</f>
        <v/>
      </c>
      <c r="X643" s="189" t="str">
        <f ca="1">IFERROR(__xludf.DUMMYFUNCTION("""COMPUTED_VALUE"""),"")</f>
        <v/>
      </c>
      <c r="Y643" s="189" t="str">
        <f ca="1">IFERROR(__xludf.DUMMYFUNCTION("""COMPUTED_VALUE"""),"")</f>
        <v/>
      </c>
      <c r="Z643" s="189"/>
    </row>
    <row r="644" spans="1:26" ht="12.75">
      <c r="A644" s="189" t="str">
        <f ca="1">IFERROR(__xludf.DUMMYFUNCTION("""COMPUTED_VALUE"""),"")</f>
        <v/>
      </c>
      <c r="B644" s="189" t="str">
        <f ca="1">IFERROR(__xludf.DUMMYFUNCTION("""COMPUTED_VALUE"""),"")</f>
        <v/>
      </c>
      <c r="C644" s="189" t="str">
        <f ca="1">IFERROR(__xludf.DUMMYFUNCTION("""COMPUTED_VALUE"""),"")</f>
        <v/>
      </c>
      <c r="D644" s="189" t="str">
        <f ca="1">IFERROR(__xludf.DUMMYFUNCTION("""COMPUTED_VALUE"""),"")</f>
        <v/>
      </c>
      <c r="E644" s="189" t="str">
        <f ca="1">IFERROR(__xludf.DUMMYFUNCTION("""COMPUTED_VALUE"""),"")</f>
        <v/>
      </c>
      <c r="F644" s="189" t="str">
        <f ca="1">IFERROR(__xludf.DUMMYFUNCTION("""COMPUTED_VALUE"""),"")</f>
        <v/>
      </c>
      <c r="G644" s="189" t="str">
        <f ca="1">IFERROR(__xludf.DUMMYFUNCTION("""COMPUTED_VALUE"""),"")</f>
        <v/>
      </c>
      <c r="H644" s="189" t="str">
        <f ca="1">IFERROR(__xludf.DUMMYFUNCTION("""COMPUTED_VALUE"""),"")</f>
        <v/>
      </c>
      <c r="I644" s="120" t="str">
        <f ca="1">IFERROR(__xludf.DUMMYFUNCTION("""COMPUTED_VALUE"""),"")</f>
        <v/>
      </c>
      <c r="J644" s="189" t="str">
        <f ca="1">IFERROR(__xludf.DUMMYFUNCTION("""COMPUTED_VALUE"""),"")</f>
        <v/>
      </c>
      <c r="K644" s="189" t="str">
        <f ca="1">IFERROR(__xludf.DUMMYFUNCTION("""COMPUTED_VALUE"""),"")</f>
        <v/>
      </c>
      <c r="L644" s="189" t="str">
        <f ca="1">IFERROR(__xludf.DUMMYFUNCTION("""COMPUTED_VALUE"""),"")</f>
        <v/>
      </c>
      <c r="M644" s="189" t="str">
        <f ca="1">IFERROR(__xludf.DUMMYFUNCTION("""COMPUTED_VALUE"""),"")</f>
        <v/>
      </c>
      <c r="N644" s="189" t="str">
        <f ca="1">IFERROR(__xludf.DUMMYFUNCTION("""COMPUTED_VALUE"""),"")</f>
        <v/>
      </c>
      <c r="O644" s="189" t="str">
        <f ca="1">IFERROR(__xludf.DUMMYFUNCTION("""COMPUTED_VALUE"""),"")</f>
        <v/>
      </c>
      <c r="P644" s="189" t="str">
        <f ca="1">IFERROR(__xludf.DUMMYFUNCTION("""COMPUTED_VALUE"""),"")</f>
        <v/>
      </c>
      <c r="Q644" s="189" t="str">
        <f ca="1">IFERROR(__xludf.DUMMYFUNCTION("""COMPUTED_VALUE"""),"")</f>
        <v/>
      </c>
      <c r="R644" s="189" t="str">
        <f ca="1">IFERROR(__xludf.DUMMYFUNCTION("""COMPUTED_VALUE"""),"")</f>
        <v/>
      </c>
      <c r="S644" s="189" t="str">
        <f ca="1">IFERROR(__xludf.DUMMYFUNCTION("""COMPUTED_VALUE"""),"")</f>
        <v/>
      </c>
      <c r="T644" s="189" t="str">
        <f ca="1">IFERROR(__xludf.DUMMYFUNCTION("""COMPUTED_VALUE"""),"")</f>
        <v/>
      </c>
      <c r="U644" s="189" t="str">
        <f ca="1">IFERROR(__xludf.DUMMYFUNCTION("""COMPUTED_VALUE"""),"")</f>
        <v/>
      </c>
      <c r="V644" s="189" t="str">
        <f ca="1">IFERROR(__xludf.DUMMYFUNCTION("""COMPUTED_VALUE"""),"")</f>
        <v/>
      </c>
      <c r="W644" s="189" t="str">
        <f ca="1">IFERROR(__xludf.DUMMYFUNCTION("""COMPUTED_VALUE"""),"")</f>
        <v/>
      </c>
      <c r="X644" s="189" t="str">
        <f ca="1">IFERROR(__xludf.DUMMYFUNCTION("""COMPUTED_VALUE"""),"")</f>
        <v/>
      </c>
      <c r="Y644" s="189" t="str">
        <f ca="1">IFERROR(__xludf.DUMMYFUNCTION("""COMPUTED_VALUE"""),"")</f>
        <v/>
      </c>
      <c r="Z644" s="189"/>
    </row>
    <row r="645" spans="1:26" ht="12.75">
      <c r="A645" s="189" t="str">
        <f ca="1">IFERROR(__xludf.DUMMYFUNCTION("""COMPUTED_VALUE"""),"")</f>
        <v/>
      </c>
      <c r="B645" s="189" t="str">
        <f ca="1">IFERROR(__xludf.DUMMYFUNCTION("""COMPUTED_VALUE"""),"")</f>
        <v/>
      </c>
      <c r="C645" s="189" t="str">
        <f ca="1">IFERROR(__xludf.DUMMYFUNCTION("""COMPUTED_VALUE"""),"")</f>
        <v/>
      </c>
      <c r="D645" s="189" t="str">
        <f ca="1">IFERROR(__xludf.DUMMYFUNCTION("""COMPUTED_VALUE"""),"")</f>
        <v/>
      </c>
      <c r="E645" s="189" t="str">
        <f ca="1">IFERROR(__xludf.DUMMYFUNCTION("""COMPUTED_VALUE"""),"")</f>
        <v/>
      </c>
      <c r="F645" s="189" t="str">
        <f ca="1">IFERROR(__xludf.DUMMYFUNCTION("""COMPUTED_VALUE"""),"")</f>
        <v/>
      </c>
      <c r="G645" s="189" t="str">
        <f ca="1">IFERROR(__xludf.DUMMYFUNCTION("""COMPUTED_VALUE"""),"")</f>
        <v/>
      </c>
      <c r="H645" s="189" t="str">
        <f ca="1">IFERROR(__xludf.DUMMYFUNCTION("""COMPUTED_VALUE"""),"")</f>
        <v/>
      </c>
      <c r="I645" s="120" t="str">
        <f ca="1">IFERROR(__xludf.DUMMYFUNCTION("""COMPUTED_VALUE"""),"")</f>
        <v/>
      </c>
      <c r="J645" s="189" t="str">
        <f ca="1">IFERROR(__xludf.DUMMYFUNCTION("""COMPUTED_VALUE"""),"")</f>
        <v/>
      </c>
      <c r="K645" s="189" t="str">
        <f ca="1">IFERROR(__xludf.DUMMYFUNCTION("""COMPUTED_VALUE"""),"")</f>
        <v/>
      </c>
      <c r="L645" s="189" t="str">
        <f ca="1">IFERROR(__xludf.DUMMYFUNCTION("""COMPUTED_VALUE"""),"")</f>
        <v/>
      </c>
      <c r="M645" s="189" t="str">
        <f ca="1">IFERROR(__xludf.DUMMYFUNCTION("""COMPUTED_VALUE"""),"")</f>
        <v/>
      </c>
      <c r="N645" s="189" t="str">
        <f ca="1">IFERROR(__xludf.DUMMYFUNCTION("""COMPUTED_VALUE"""),"")</f>
        <v/>
      </c>
      <c r="O645" s="189" t="str">
        <f ca="1">IFERROR(__xludf.DUMMYFUNCTION("""COMPUTED_VALUE"""),"")</f>
        <v/>
      </c>
      <c r="P645" s="189" t="str">
        <f ca="1">IFERROR(__xludf.DUMMYFUNCTION("""COMPUTED_VALUE"""),"")</f>
        <v/>
      </c>
      <c r="Q645" s="189" t="str">
        <f ca="1">IFERROR(__xludf.DUMMYFUNCTION("""COMPUTED_VALUE"""),"")</f>
        <v/>
      </c>
      <c r="R645" s="189" t="str">
        <f ca="1">IFERROR(__xludf.DUMMYFUNCTION("""COMPUTED_VALUE"""),"")</f>
        <v/>
      </c>
      <c r="S645" s="189" t="str">
        <f ca="1">IFERROR(__xludf.DUMMYFUNCTION("""COMPUTED_VALUE"""),"")</f>
        <v/>
      </c>
      <c r="T645" s="189" t="str">
        <f ca="1">IFERROR(__xludf.DUMMYFUNCTION("""COMPUTED_VALUE"""),"")</f>
        <v/>
      </c>
      <c r="U645" s="189" t="str">
        <f ca="1">IFERROR(__xludf.DUMMYFUNCTION("""COMPUTED_VALUE"""),"")</f>
        <v/>
      </c>
      <c r="V645" s="189" t="str">
        <f ca="1">IFERROR(__xludf.DUMMYFUNCTION("""COMPUTED_VALUE"""),"")</f>
        <v/>
      </c>
      <c r="W645" s="189" t="str">
        <f ca="1">IFERROR(__xludf.DUMMYFUNCTION("""COMPUTED_VALUE"""),"")</f>
        <v/>
      </c>
      <c r="X645" s="189" t="str">
        <f ca="1">IFERROR(__xludf.DUMMYFUNCTION("""COMPUTED_VALUE"""),"")</f>
        <v/>
      </c>
      <c r="Y645" s="189" t="str">
        <f ca="1">IFERROR(__xludf.DUMMYFUNCTION("""COMPUTED_VALUE"""),"")</f>
        <v/>
      </c>
      <c r="Z645" s="189"/>
    </row>
    <row r="646" spans="1:26" ht="12.75">
      <c r="A646" s="189" t="str">
        <f ca="1">IFERROR(__xludf.DUMMYFUNCTION("""COMPUTED_VALUE"""),"")</f>
        <v/>
      </c>
      <c r="B646" s="189" t="str">
        <f ca="1">IFERROR(__xludf.DUMMYFUNCTION("""COMPUTED_VALUE"""),"")</f>
        <v/>
      </c>
      <c r="C646" s="189" t="str">
        <f ca="1">IFERROR(__xludf.DUMMYFUNCTION("""COMPUTED_VALUE"""),"")</f>
        <v/>
      </c>
      <c r="D646" s="189" t="str">
        <f ca="1">IFERROR(__xludf.DUMMYFUNCTION("""COMPUTED_VALUE"""),"")</f>
        <v/>
      </c>
      <c r="E646" s="189" t="str">
        <f ca="1">IFERROR(__xludf.DUMMYFUNCTION("""COMPUTED_VALUE"""),"")</f>
        <v/>
      </c>
      <c r="F646" s="189" t="str">
        <f ca="1">IFERROR(__xludf.DUMMYFUNCTION("""COMPUTED_VALUE"""),"")</f>
        <v/>
      </c>
      <c r="G646" s="189" t="str">
        <f ca="1">IFERROR(__xludf.DUMMYFUNCTION("""COMPUTED_VALUE"""),"")</f>
        <v/>
      </c>
      <c r="H646" s="189" t="str">
        <f ca="1">IFERROR(__xludf.DUMMYFUNCTION("""COMPUTED_VALUE"""),"")</f>
        <v/>
      </c>
      <c r="I646" s="120" t="str">
        <f ca="1">IFERROR(__xludf.DUMMYFUNCTION("""COMPUTED_VALUE"""),"")</f>
        <v/>
      </c>
      <c r="J646" s="189" t="str">
        <f ca="1">IFERROR(__xludf.DUMMYFUNCTION("""COMPUTED_VALUE"""),"")</f>
        <v/>
      </c>
      <c r="K646" s="189" t="str">
        <f ca="1">IFERROR(__xludf.DUMMYFUNCTION("""COMPUTED_VALUE"""),"")</f>
        <v/>
      </c>
      <c r="L646" s="189" t="str">
        <f ca="1">IFERROR(__xludf.DUMMYFUNCTION("""COMPUTED_VALUE"""),"")</f>
        <v/>
      </c>
      <c r="M646" s="189" t="str">
        <f ca="1">IFERROR(__xludf.DUMMYFUNCTION("""COMPUTED_VALUE"""),"")</f>
        <v/>
      </c>
      <c r="N646" s="189" t="str">
        <f ca="1">IFERROR(__xludf.DUMMYFUNCTION("""COMPUTED_VALUE"""),"")</f>
        <v/>
      </c>
      <c r="O646" s="189" t="str">
        <f ca="1">IFERROR(__xludf.DUMMYFUNCTION("""COMPUTED_VALUE"""),"")</f>
        <v/>
      </c>
      <c r="P646" s="189" t="str">
        <f ca="1">IFERROR(__xludf.DUMMYFUNCTION("""COMPUTED_VALUE"""),"")</f>
        <v/>
      </c>
      <c r="Q646" s="189" t="str">
        <f ca="1">IFERROR(__xludf.DUMMYFUNCTION("""COMPUTED_VALUE"""),"")</f>
        <v/>
      </c>
      <c r="R646" s="189" t="str">
        <f ca="1">IFERROR(__xludf.DUMMYFUNCTION("""COMPUTED_VALUE"""),"")</f>
        <v/>
      </c>
      <c r="S646" s="189" t="str">
        <f ca="1">IFERROR(__xludf.DUMMYFUNCTION("""COMPUTED_VALUE"""),"")</f>
        <v/>
      </c>
      <c r="T646" s="189" t="str">
        <f ca="1">IFERROR(__xludf.DUMMYFUNCTION("""COMPUTED_VALUE"""),"")</f>
        <v/>
      </c>
      <c r="U646" s="189" t="str">
        <f ca="1">IFERROR(__xludf.DUMMYFUNCTION("""COMPUTED_VALUE"""),"")</f>
        <v/>
      </c>
      <c r="V646" s="189" t="str">
        <f ca="1">IFERROR(__xludf.DUMMYFUNCTION("""COMPUTED_VALUE"""),"")</f>
        <v/>
      </c>
      <c r="W646" s="189" t="str">
        <f ca="1">IFERROR(__xludf.DUMMYFUNCTION("""COMPUTED_VALUE"""),"")</f>
        <v/>
      </c>
      <c r="X646" s="189" t="str">
        <f ca="1">IFERROR(__xludf.DUMMYFUNCTION("""COMPUTED_VALUE"""),"")</f>
        <v/>
      </c>
      <c r="Y646" s="189" t="str">
        <f ca="1">IFERROR(__xludf.DUMMYFUNCTION("""COMPUTED_VALUE"""),"")</f>
        <v/>
      </c>
      <c r="Z646" s="189"/>
    </row>
    <row r="647" spans="1:26" ht="12.75">
      <c r="A647" s="189" t="str">
        <f ca="1">IFERROR(__xludf.DUMMYFUNCTION("""COMPUTED_VALUE"""),"")</f>
        <v/>
      </c>
      <c r="B647" s="189" t="str">
        <f ca="1">IFERROR(__xludf.DUMMYFUNCTION("""COMPUTED_VALUE"""),"")</f>
        <v/>
      </c>
      <c r="C647" s="189" t="str">
        <f ca="1">IFERROR(__xludf.DUMMYFUNCTION("""COMPUTED_VALUE"""),"")</f>
        <v/>
      </c>
      <c r="D647" s="189" t="str">
        <f ca="1">IFERROR(__xludf.DUMMYFUNCTION("""COMPUTED_VALUE"""),"")</f>
        <v/>
      </c>
      <c r="E647" s="189" t="str">
        <f ca="1">IFERROR(__xludf.DUMMYFUNCTION("""COMPUTED_VALUE"""),"")</f>
        <v/>
      </c>
      <c r="F647" s="189" t="str">
        <f ca="1">IFERROR(__xludf.DUMMYFUNCTION("""COMPUTED_VALUE"""),"")</f>
        <v/>
      </c>
      <c r="G647" s="189" t="str">
        <f ca="1">IFERROR(__xludf.DUMMYFUNCTION("""COMPUTED_VALUE"""),"")</f>
        <v/>
      </c>
      <c r="H647" s="189" t="str">
        <f ca="1">IFERROR(__xludf.DUMMYFUNCTION("""COMPUTED_VALUE"""),"")</f>
        <v/>
      </c>
      <c r="I647" s="120" t="str">
        <f ca="1">IFERROR(__xludf.DUMMYFUNCTION("""COMPUTED_VALUE"""),"")</f>
        <v/>
      </c>
      <c r="J647" s="189" t="str">
        <f ca="1">IFERROR(__xludf.DUMMYFUNCTION("""COMPUTED_VALUE"""),"")</f>
        <v/>
      </c>
      <c r="K647" s="189" t="str">
        <f ca="1">IFERROR(__xludf.DUMMYFUNCTION("""COMPUTED_VALUE"""),"")</f>
        <v/>
      </c>
      <c r="L647" s="189" t="str">
        <f ca="1">IFERROR(__xludf.DUMMYFUNCTION("""COMPUTED_VALUE"""),"")</f>
        <v/>
      </c>
      <c r="M647" s="189" t="str">
        <f ca="1">IFERROR(__xludf.DUMMYFUNCTION("""COMPUTED_VALUE"""),"")</f>
        <v/>
      </c>
      <c r="N647" s="189" t="str">
        <f ca="1">IFERROR(__xludf.DUMMYFUNCTION("""COMPUTED_VALUE"""),"")</f>
        <v/>
      </c>
      <c r="O647" s="189" t="str">
        <f ca="1">IFERROR(__xludf.DUMMYFUNCTION("""COMPUTED_VALUE"""),"")</f>
        <v/>
      </c>
      <c r="P647" s="189" t="str">
        <f ca="1">IFERROR(__xludf.DUMMYFUNCTION("""COMPUTED_VALUE"""),"")</f>
        <v/>
      </c>
      <c r="Q647" s="189" t="str">
        <f ca="1">IFERROR(__xludf.DUMMYFUNCTION("""COMPUTED_VALUE"""),"")</f>
        <v/>
      </c>
      <c r="R647" s="189" t="str">
        <f ca="1">IFERROR(__xludf.DUMMYFUNCTION("""COMPUTED_VALUE"""),"")</f>
        <v/>
      </c>
      <c r="S647" s="189" t="str">
        <f ca="1">IFERROR(__xludf.DUMMYFUNCTION("""COMPUTED_VALUE"""),"")</f>
        <v/>
      </c>
      <c r="T647" s="189" t="str">
        <f ca="1">IFERROR(__xludf.DUMMYFUNCTION("""COMPUTED_VALUE"""),"")</f>
        <v/>
      </c>
      <c r="U647" s="189" t="str">
        <f ca="1">IFERROR(__xludf.DUMMYFUNCTION("""COMPUTED_VALUE"""),"")</f>
        <v/>
      </c>
      <c r="V647" s="189" t="str">
        <f ca="1">IFERROR(__xludf.DUMMYFUNCTION("""COMPUTED_VALUE"""),"")</f>
        <v/>
      </c>
      <c r="W647" s="189" t="str">
        <f ca="1">IFERROR(__xludf.DUMMYFUNCTION("""COMPUTED_VALUE"""),"")</f>
        <v/>
      </c>
      <c r="X647" s="189" t="str">
        <f ca="1">IFERROR(__xludf.DUMMYFUNCTION("""COMPUTED_VALUE"""),"")</f>
        <v/>
      </c>
      <c r="Y647" s="189" t="str">
        <f ca="1">IFERROR(__xludf.DUMMYFUNCTION("""COMPUTED_VALUE"""),"")</f>
        <v/>
      </c>
      <c r="Z647" s="189"/>
    </row>
    <row r="648" spans="1:26" ht="12.75">
      <c r="A648" s="189" t="str">
        <f ca="1">IFERROR(__xludf.DUMMYFUNCTION("""COMPUTED_VALUE"""),"")</f>
        <v/>
      </c>
      <c r="B648" s="189" t="str">
        <f ca="1">IFERROR(__xludf.DUMMYFUNCTION("""COMPUTED_VALUE"""),"")</f>
        <v/>
      </c>
      <c r="C648" s="189" t="str">
        <f ca="1">IFERROR(__xludf.DUMMYFUNCTION("""COMPUTED_VALUE"""),"")</f>
        <v/>
      </c>
      <c r="D648" s="189" t="str">
        <f ca="1">IFERROR(__xludf.DUMMYFUNCTION("""COMPUTED_VALUE"""),"")</f>
        <v/>
      </c>
      <c r="E648" s="189" t="str">
        <f ca="1">IFERROR(__xludf.DUMMYFUNCTION("""COMPUTED_VALUE"""),"")</f>
        <v/>
      </c>
      <c r="F648" s="189" t="str">
        <f ca="1">IFERROR(__xludf.DUMMYFUNCTION("""COMPUTED_VALUE"""),"")</f>
        <v/>
      </c>
      <c r="G648" s="189" t="str">
        <f ca="1">IFERROR(__xludf.DUMMYFUNCTION("""COMPUTED_VALUE"""),"")</f>
        <v/>
      </c>
      <c r="H648" s="189" t="str">
        <f ca="1">IFERROR(__xludf.DUMMYFUNCTION("""COMPUTED_VALUE"""),"")</f>
        <v/>
      </c>
      <c r="I648" s="120" t="str">
        <f ca="1">IFERROR(__xludf.DUMMYFUNCTION("""COMPUTED_VALUE"""),"")</f>
        <v/>
      </c>
      <c r="J648" s="189" t="str">
        <f ca="1">IFERROR(__xludf.DUMMYFUNCTION("""COMPUTED_VALUE"""),"")</f>
        <v/>
      </c>
      <c r="K648" s="189" t="str">
        <f ca="1">IFERROR(__xludf.DUMMYFUNCTION("""COMPUTED_VALUE"""),"")</f>
        <v/>
      </c>
      <c r="L648" s="189" t="str">
        <f ca="1">IFERROR(__xludf.DUMMYFUNCTION("""COMPUTED_VALUE"""),"")</f>
        <v/>
      </c>
      <c r="M648" s="189" t="str">
        <f ca="1">IFERROR(__xludf.DUMMYFUNCTION("""COMPUTED_VALUE"""),"")</f>
        <v/>
      </c>
      <c r="N648" s="189" t="str">
        <f ca="1">IFERROR(__xludf.DUMMYFUNCTION("""COMPUTED_VALUE"""),"")</f>
        <v/>
      </c>
      <c r="O648" s="189" t="str">
        <f ca="1">IFERROR(__xludf.DUMMYFUNCTION("""COMPUTED_VALUE"""),"")</f>
        <v/>
      </c>
      <c r="P648" s="189" t="str">
        <f ca="1">IFERROR(__xludf.DUMMYFUNCTION("""COMPUTED_VALUE"""),"")</f>
        <v/>
      </c>
      <c r="Q648" s="189" t="str">
        <f ca="1">IFERROR(__xludf.DUMMYFUNCTION("""COMPUTED_VALUE"""),"")</f>
        <v/>
      </c>
      <c r="R648" s="189" t="str">
        <f ca="1">IFERROR(__xludf.DUMMYFUNCTION("""COMPUTED_VALUE"""),"")</f>
        <v/>
      </c>
      <c r="S648" s="189" t="str">
        <f ca="1">IFERROR(__xludf.DUMMYFUNCTION("""COMPUTED_VALUE"""),"")</f>
        <v/>
      </c>
      <c r="T648" s="189" t="str">
        <f ca="1">IFERROR(__xludf.DUMMYFUNCTION("""COMPUTED_VALUE"""),"")</f>
        <v/>
      </c>
      <c r="U648" s="189" t="str">
        <f ca="1">IFERROR(__xludf.DUMMYFUNCTION("""COMPUTED_VALUE"""),"")</f>
        <v/>
      </c>
      <c r="V648" s="189" t="str">
        <f ca="1">IFERROR(__xludf.DUMMYFUNCTION("""COMPUTED_VALUE"""),"")</f>
        <v/>
      </c>
      <c r="W648" s="189" t="str">
        <f ca="1">IFERROR(__xludf.DUMMYFUNCTION("""COMPUTED_VALUE"""),"")</f>
        <v/>
      </c>
      <c r="X648" s="189" t="str">
        <f ca="1">IFERROR(__xludf.DUMMYFUNCTION("""COMPUTED_VALUE"""),"")</f>
        <v/>
      </c>
      <c r="Y648" s="189" t="str">
        <f ca="1">IFERROR(__xludf.DUMMYFUNCTION("""COMPUTED_VALUE"""),"")</f>
        <v/>
      </c>
      <c r="Z648" s="189"/>
    </row>
    <row r="649" spans="1:26" ht="12.75">
      <c r="A649" s="189" t="str">
        <f ca="1">IFERROR(__xludf.DUMMYFUNCTION("""COMPUTED_VALUE"""),"")</f>
        <v/>
      </c>
      <c r="B649" s="189" t="str">
        <f ca="1">IFERROR(__xludf.DUMMYFUNCTION("""COMPUTED_VALUE"""),"")</f>
        <v/>
      </c>
      <c r="C649" s="189" t="str">
        <f ca="1">IFERROR(__xludf.DUMMYFUNCTION("""COMPUTED_VALUE"""),"")</f>
        <v/>
      </c>
      <c r="D649" s="189" t="str">
        <f ca="1">IFERROR(__xludf.DUMMYFUNCTION("""COMPUTED_VALUE"""),"")</f>
        <v/>
      </c>
      <c r="E649" s="189" t="str">
        <f ca="1">IFERROR(__xludf.DUMMYFUNCTION("""COMPUTED_VALUE"""),"")</f>
        <v/>
      </c>
      <c r="F649" s="189" t="str">
        <f ca="1">IFERROR(__xludf.DUMMYFUNCTION("""COMPUTED_VALUE"""),"")</f>
        <v/>
      </c>
      <c r="G649" s="189" t="str">
        <f ca="1">IFERROR(__xludf.DUMMYFUNCTION("""COMPUTED_VALUE"""),"")</f>
        <v/>
      </c>
      <c r="H649" s="189" t="str">
        <f ca="1">IFERROR(__xludf.DUMMYFUNCTION("""COMPUTED_VALUE"""),"")</f>
        <v/>
      </c>
      <c r="I649" s="120" t="str">
        <f ca="1">IFERROR(__xludf.DUMMYFUNCTION("""COMPUTED_VALUE"""),"")</f>
        <v/>
      </c>
      <c r="J649" s="189" t="str">
        <f ca="1">IFERROR(__xludf.DUMMYFUNCTION("""COMPUTED_VALUE"""),"")</f>
        <v/>
      </c>
      <c r="K649" s="189" t="str">
        <f ca="1">IFERROR(__xludf.DUMMYFUNCTION("""COMPUTED_VALUE"""),"")</f>
        <v/>
      </c>
      <c r="L649" s="189" t="str">
        <f ca="1">IFERROR(__xludf.DUMMYFUNCTION("""COMPUTED_VALUE"""),"")</f>
        <v/>
      </c>
      <c r="M649" s="189" t="str">
        <f ca="1">IFERROR(__xludf.DUMMYFUNCTION("""COMPUTED_VALUE"""),"")</f>
        <v/>
      </c>
      <c r="N649" s="189" t="str">
        <f ca="1">IFERROR(__xludf.DUMMYFUNCTION("""COMPUTED_VALUE"""),"")</f>
        <v/>
      </c>
      <c r="O649" s="189" t="str">
        <f ca="1">IFERROR(__xludf.DUMMYFUNCTION("""COMPUTED_VALUE"""),"")</f>
        <v/>
      </c>
      <c r="P649" s="189" t="str">
        <f ca="1">IFERROR(__xludf.DUMMYFUNCTION("""COMPUTED_VALUE"""),"")</f>
        <v/>
      </c>
      <c r="Q649" s="189" t="str">
        <f ca="1">IFERROR(__xludf.DUMMYFUNCTION("""COMPUTED_VALUE"""),"")</f>
        <v/>
      </c>
      <c r="R649" s="189" t="str">
        <f ca="1">IFERROR(__xludf.DUMMYFUNCTION("""COMPUTED_VALUE"""),"")</f>
        <v/>
      </c>
      <c r="S649" s="189" t="str">
        <f ca="1">IFERROR(__xludf.DUMMYFUNCTION("""COMPUTED_VALUE"""),"")</f>
        <v/>
      </c>
      <c r="T649" s="189" t="str">
        <f ca="1">IFERROR(__xludf.DUMMYFUNCTION("""COMPUTED_VALUE"""),"")</f>
        <v/>
      </c>
      <c r="U649" s="189" t="str">
        <f ca="1">IFERROR(__xludf.DUMMYFUNCTION("""COMPUTED_VALUE"""),"")</f>
        <v/>
      </c>
      <c r="V649" s="189" t="str">
        <f ca="1">IFERROR(__xludf.DUMMYFUNCTION("""COMPUTED_VALUE"""),"")</f>
        <v/>
      </c>
      <c r="W649" s="189" t="str">
        <f ca="1">IFERROR(__xludf.DUMMYFUNCTION("""COMPUTED_VALUE"""),"")</f>
        <v/>
      </c>
      <c r="X649" s="189" t="str">
        <f ca="1">IFERROR(__xludf.DUMMYFUNCTION("""COMPUTED_VALUE"""),"")</f>
        <v/>
      </c>
      <c r="Y649" s="189" t="str">
        <f ca="1">IFERROR(__xludf.DUMMYFUNCTION("""COMPUTED_VALUE"""),"")</f>
        <v/>
      </c>
      <c r="Z649" s="189"/>
    </row>
    <row r="650" spans="1:26" ht="12.75">
      <c r="A650" s="189" t="str">
        <f ca="1">IFERROR(__xludf.DUMMYFUNCTION("""COMPUTED_VALUE"""),"")</f>
        <v/>
      </c>
      <c r="B650" s="189" t="str">
        <f ca="1">IFERROR(__xludf.DUMMYFUNCTION("""COMPUTED_VALUE"""),"")</f>
        <v/>
      </c>
      <c r="C650" s="189" t="str">
        <f ca="1">IFERROR(__xludf.DUMMYFUNCTION("""COMPUTED_VALUE"""),"")</f>
        <v/>
      </c>
      <c r="D650" s="189" t="str">
        <f ca="1">IFERROR(__xludf.DUMMYFUNCTION("""COMPUTED_VALUE"""),"")</f>
        <v/>
      </c>
      <c r="E650" s="189" t="str">
        <f ca="1">IFERROR(__xludf.DUMMYFUNCTION("""COMPUTED_VALUE"""),"")</f>
        <v/>
      </c>
      <c r="F650" s="189" t="str">
        <f ca="1">IFERROR(__xludf.DUMMYFUNCTION("""COMPUTED_VALUE"""),"")</f>
        <v/>
      </c>
      <c r="G650" s="189" t="str">
        <f ca="1">IFERROR(__xludf.DUMMYFUNCTION("""COMPUTED_VALUE"""),"")</f>
        <v/>
      </c>
      <c r="H650" s="189" t="str">
        <f ca="1">IFERROR(__xludf.DUMMYFUNCTION("""COMPUTED_VALUE"""),"")</f>
        <v/>
      </c>
      <c r="I650" s="120" t="str">
        <f ca="1">IFERROR(__xludf.DUMMYFUNCTION("""COMPUTED_VALUE"""),"")</f>
        <v/>
      </c>
      <c r="J650" s="189" t="str">
        <f ca="1">IFERROR(__xludf.DUMMYFUNCTION("""COMPUTED_VALUE"""),"")</f>
        <v/>
      </c>
      <c r="K650" s="189" t="str">
        <f ca="1">IFERROR(__xludf.DUMMYFUNCTION("""COMPUTED_VALUE"""),"")</f>
        <v/>
      </c>
      <c r="L650" s="189" t="str">
        <f ca="1">IFERROR(__xludf.DUMMYFUNCTION("""COMPUTED_VALUE"""),"")</f>
        <v/>
      </c>
      <c r="M650" s="189" t="str">
        <f ca="1">IFERROR(__xludf.DUMMYFUNCTION("""COMPUTED_VALUE"""),"")</f>
        <v/>
      </c>
      <c r="N650" s="189" t="str">
        <f ca="1">IFERROR(__xludf.DUMMYFUNCTION("""COMPUTED_VALUE"""),"")</f>
        <v/>
      </c>
      <c r="O650" s="189" t="str">
        <f ca="1">IFERROR(__xludf.DUMMYFUNCTION("""COMPUTED_VALUE"""),"")</f>
        <v/>
      </c>
      <c r="P650" s="189" t="str">
        <f ca="1">IFERROR(__xludf.DUMMYFUNCTION("""COMPUTED_VALUE"""),"")</f>
        <v/>
      </c>
      <c r="Q650" s="189" t="str">
        <f ca="1">IFERROR(__xludf.DUMMYFUNCTION("""COMPUTED_VALUE"""),"")</f>
        <v/>
      </c>
      <c r="R650" s="189" t="str">
        <f ca="1">IFERROR(__xludf.DUMMYFUNCTION("""COMPUTED_VALUE"""),"")</f>
        <v/>
      </c>
      <c r="S650" s="189" t="str">
        <f ca="1">IFERROR(__xludf.DUMMYFUNCTION("""COMPUTED_VALUE"""),"")</f>
        <v/>
      </c>
      <c r="T650" s="189" t="str">
        <f ca="1">IFERROR(__xludf.DUMMYFUNCTION("""COMPUTED_VALUE"""),"")</f>
        <v/>
      </c>
      <c r="U650" s="189" t="str">
        <f ca="1">IFERROR(__xludf.DUMMYFUNCTION("""COMPUTED_VALUE"""),"")</f>
        <v/>
      </c>
      <c r="V650" s="189" t="str">
        <f ca="1">IFERROR(__xludf.DUMMYFUNCTION("""COMPUTED_VALUE"""),"")</f>
        <v/>
      </c>
      <c r="W650" s="189" t="str">
        <f ca="1">IFERROR(__xludf.DUMMYFUNCTION("""COMPUTED_VALUE"""),"")</f>
        <v/>
      </c>
      <c r="X650" s="189" t="str">
        <f ca="1">IFERROR(__xludf.DUMMYFUNCTION("""COMPUTED_VALUE"""),"")</f>
        <v/>
      </c>
      <c r="Y650" s="189" t="str">
        <f ca="1">IFERROR(__xludf.DUMMYFUNCTION("""COMPUTED_VALUE"""),"")</f>
        <v/>
      </c>
      <c r="Z650" s="189"/>
    </row>
    <row r="651" spans="1:26" ht="12.75">
      <c r="A651" s="189" t="str">
        <f ca="1">IFERROR(__xludf.DUMMYFUNCTION("""COMPUTED_VALUE"""),"")</f>
        <v/>
      </c>
      <c r="B651" s="189" t="str">
        <f ca="1">IFERROR(__xludf.DUMMYFUNCTION("""COMPUTED_VALUE"""),"")</f>
        <v/>
      </c>
      <c r="C651" s="189" t="str">
        <f ca="1">IFERROR(__xludf.DUMMYFUNCTION("""COMPUTED_VALUE"""),"")</f>
        <v/>
      </c>
      <c r="D651" s="189" t="str">
        <f ca="1">IFERROR(__xludf.DUMMYFUNCTION("""COMPUTED_VALUE"""),"")</f>
        <v/>
      </c>
      <c r="E651" s="189" t="str">
        <f ca="1">IFERROR(__xludf.DUMMYFUNCTION("""COMPUTED_VALUE"""),"")</f>
        <v/>
      </c>
      <c r="F651" s="189" t="str">
        <f ca="1">IFERROR(__xludf.DUMMYFUNCTION("""COMPUTED_VALUE"""),"")</f>
        <v/>
      </c>
      <c r="G651" s="189" t="str">
        <f ca="1">IFERROR(__xludf.DUMMYFUNCTION("""COMPUTED_VALUE"""),"")</f>
        <v/>
      </c>
      <c r="H651" s="189" t="str">
        <f ca="1">IFERROR(__xludf.DUMMYFUNCTION("""COMPUTED_VALUE"""),"")</f>
        <v/>
      </c>
      <c r="I651" s="120" t="str">
        <f ca="1">IFERROR(__xludf.DUMMYFUNCTION("""COMPUTED_VALUE"""),"")</f>
        <v/>
      </c>
      <c r="J651" s="189" t="str">
        <f ca="1">IFERROR(__xludf.DUMMYFUNCTION("""COMPUTED_VALUE"""),"")</f>
        <v/>
      </c>
      <c r="K651" s="189" t="str">
        <f ca="1">IFERROR(__xludf.DUMMYFUNCTION("""COMPUTED_VALUE"""),"")</f>
        <v/>
      </c>
      <c r="L651" s="189" t="str">
        <f ca="1">IFERROR(__xludf.DUMMYFUNCTION("""COMPUTED_VALUE"""),"")</f>
        <v/>
      </c>
      <c r="M651" s="189" t="str">
        <f ca="1">IFERROR(__xludf.DUMMYFUNCTION("""COMPUTED_VALUE"""),"")</f>
        <v/>
      </c>
      <c r="N651" s="189" t="str">
        <f ca="1">IFERROR(__xludf.DUMMYFUNCTION("""COMPUTED_VALUE"""),"")</f>
        <v/>
      </c>
      <c r="O651" s="189" t="str">
        <f ca="1">IFERROR(__xludf.DUMMYFUNCTION("""COMPUTED_VALUE"""),"")</f>
        <v/>
      </c>
      <c r="P651" s="189" t="str">
        <f ca="1">IFERROR(__xludf.DUMMYFUNCTION("""COMPUTED_VALUE"""),"")</f>
        <v/>
      </c>
      <c r="Q651" s="189" t="str">
        <f ca="1">IFERROR(__xludf.DUMMYFUNCTION("""COMPUTED_VALUE"""),"")</f>
        <v/>
      </c>
      <c r="R651" s="189" t="str">
        <f ca="1">IFERROR(__xludf.DUMMYFUNCTION("""COMPUTED_VALUE"""),"")</f>
        <v/>
      </c>
      <c r="S651" s="189" t="str">
        <f ca="1">IFERROR(__xludf.DUMMYFUNCTION("""COMPUTED_VALUE"""),"")</f>
        <v/>
      </c>
      <c r="T651" s="189" t="str">
        <f ca="1">IFERROR(__xludf.DUMMYFUNCTION("""COMPUTED_VALUE"""),"")</f>
        <v/>
      </c>
      <c r="U651" s="189" t="str">
        <f ca="1">IFERROR(__xludf.DUMMYFUNCTION("""COMPUTED_VALUE"""),"")</f>
        <v/>
      </c>
      <c r="V651" s="189" t="str">
        <f ca="1">IFERROR(__xludf.DUMMYFUNCTION("""COMPUTED_VALUE"""),"")</f>
        <v/>
      </c>
      <c r="W651" s="189" t="str">
        <f ca="1">IFERROR(__xludf.DUMMYFUNCTION("""COMPUTED_VALUE"""),"")</f>
        <v/>
      </c>
      <c r="X651" s="189" t="str">
        <f ca="1">IFERROR(__xludf.DUMMYFUNCTION("""COMPUTED_VALUE"""),"")</f>
        <v/>
      </c>
      <c r="Y651" s="189" t="str">
        <f ca="1">IFERROR(__xludf.DUMMYFUNCTION("""COMPUTED_VALUE"""),"")</f>
        <v/>
      </c>
      <c r="Z651" s="189"/>
    </row>
    <row r="652" spans="1:26" ht="12.75">
      <c r="A652" s="189" t="str">
        <f ca="1">IFERROR(__xludf.DUMMYFUNCTION("""COMPUTED_VALUE"""),"")</f>
        <v/>
      </c>
      <c r="B652" s="189" t="str">
        <f ca="1">IFERROR(__xludf.DUMMYFUNCTION("""COMPUTED_VALUE"""),"")</f>
        <v/>
      </c>
      <c r="C652" s="189" t="str">
        <f ca="1">IFERROR(__xludf.DUMMYFUNCTION("""COMPUTED_VALUE"""),"")</f>
        <v/>
      </c>
      <c r="D652" s="189" t="str">
        <f ca="1">IFERROR(__xludf.DUMMYFUNCTION("""COMPUTED_VALUE"""),"")</f>
        <v/>
      </c>
      <c r="E652" s="189" t="str">
        <f ca="1">IFERROR(__xludf.DUMMYFUNCTION("""COMPUTED_VALUE"""),"")</f>
        <v/>
      </c>
      <c r="F652" s="189" t="str">
        <f ca="1">IFERROR(__xludf.DUMMYFUNCTION("""COMPUTED_VALUE"""),"")</f>
        <v/>
      </c>
      <c r="G652" s="189" t="str">
        <f ca="1">IFERROR(__xludf.DUMMYFUNCTION("""COMPUTED_VALUE"""),"")</f>
        <v/>
      </c>
      <c r="H652" s="189" t="str">
        <f ca="1">IFERROR(__xludf.DUMMYFUNCTION("""COMPUTED_VALUE"""),"")</f>
        <v/>
      </c>
      <c r="I652" s="120" t="str">
        <f ca="1">IFERROR(__xludf.DUMMYFUNCTION("""COMPUTED_VALUE"""),"")</f>
        <v/>
      </c>
      <c r="J652" s="189" t="str">
        <f ca="1">IFERROR(__xludf.DUMMYFUNCTION("""COMPUTED_VALUE"""),"")</f>
        <v/>
      </c>
      <c r="K652" s="189" t="str">
        <f ca="1">IFERROR(__xludf.DUMMYFUNCTION("""COMPUTED_VALUE"""),"")</f>
        <v/>
      </c>
      <c r="L652" s="189" t="str">
        <f ca="1">IFERROR(__xludf.DUMMYFUNCTION("""COMPUTED_VALUE"""),"")</f>
        <v/>
      </c>
      <c r="M652" s="189" t="str">
        <f ca="1">IFERROR(__xludf.DUMMYFUNCTION("""COMPUTED_VALUE"""),"")</f>
        <v/>
      </c>
      <c r="N652" s="189" t="str">
        <f ca="1">IFERROR(__xludf.DUMMYFUNCTION("""COMPUTED_VALUE"""),"")</f>
        <v/>
      </c>
      <c r="O652" s="189" t="str">
        <f ca="1">IFERROR(__xludf.DUMMYFUNCTION("""COMPUTED_VALUE"""),"")</f>
        <v/>
      </c>
      <c r="P652" s="189" t="str">
        <f ca="1">IFERROR(__xludf.DUMMYFUNCTION("""COMPUTED_VALUE"""),"")</f>
        <v/>
      </c>
      <c r="Q652" s="189" t="str">
        <f ca="1">IFERROR(__xludf.DUMMYFUNCTION("""COMPUTED_VALUE"""),"")</f>
        <v/>
      </c>
      <c r="R652" s="189" t="str">
        <f ca="1">IFERROR(__xludf.DUMMYFUNCTION("""COMPUTED_VALUE"""),"")</f>
        <v/>
      </c>
      <c r="S652" s="189" t="str">
        <f ca="1">IFERROR(__xludf.DUMMYFUNCTION("""COMPUTED_VALUE"""),"")</f>
        <v/>
      </c>
      <c r="T652" s="189" t="str">
        <f ca="1">IFERROR(__xludf.DUMMYFUNCTION("""COMPUTED_VALUE"""),"")</f>
        <v/>
      </c>
      <c r="U652" s="189" t="str">
        <f ca="1">IFERROR(__xludf.DUMMYFUNCTION("""COMPUTED_VALUE"""),"")</f>
        <v/>
      </c>
      <c r="V652" s="189" t="str">
        <f ca="1">IFERROR(__xludf.DUMMYFUNCTION("""COMPUTED_VALUE"""),"")</f>
        <v/>
      </c>
      <c r="W652" s="189" t="str">
        <f ca="1">IFERROR(__xludf.DUMMYFUNCTION("""COMPUTED_VALUE"""),"")</f>
        <v/>
      </c>
      <c r="X652" s="189" t="str">
        <f ca="1">IFERROR(__xludf.DUMMYFUNCTION("""COMPUTED_VALUE"""),"")</f>
        <v/>
      </c>
      <c r="Y652" s="189" t="str">
        <f ca="1">IFERROR(__xludf.DUMMYFUNCTION("""COMPUTED_VALUE"""),"")</f>
        <v/>
      </c>
      <c r="Z652" s="189"/>
    </row>
    <row r="653" spans="1:26" ht="12.75">
      <c r="A653" s="189" t="str">
        <f ca="1">IFERROR(__xludf.DUMMYFUNCTION("""COMPUTED_VALUE"""),"")</f>
        <v/>
      </c>
      <c r="B653" s="189" t="str">
        <f ca="1">IFERROR(__xludf.DUMMYFUNCTION("""COMPUTED_VALUE"""),"")</f>
        <v/>
      </c>
      <c r="C653" s="189" t="str">
        <f ca="1">IFERROR(__xludf.DUMMYFUNCTION("""COMPUTED_VALUE"""),"")</f>
        <v/>
      </c>
      <c r="D653" s="189" t="str">
        <f ca="1">IFERROR(__xludf.DUMMYFUNCTION("""COMPUTED_VALUE"""),"")</f>
        <v/>
      </c>
      <c r="E653" s="189" t="str">
        <f ca="1">IFERROR(__xludf.DUMMYFUNCTION("""COMPUTED_VALUE"""),"")</f>
        <v/>
      </c>
      <c r="F653" s="189" t="str">
        <f ca="1">IFERROR(__xludf.DUMMYFUNCTION("""COMPUTED_VALUE"""),"")</f>
        <v/>
      </c>
      <c r="G653" s="189" t="str">
        <f ca="1">IFERROR(__xludf.DUMMYFUNCTION("""COMPUTED_VALUE"""),"")</f>
        <v/>
      </c>
      <c r="H653" s="189" t="str">
        <f ca="1">IFERROR(__xludf.DUMMYFUNCTION("""COMPUTED_VALUE"""),"")</f>
        <v/>
      </c>
      <c r="I653" s="120" t="str">
        <f ca="1">IFERROR(__xludf.DUMMYFUNCTION("""COMPUTED_VALUE"""),"")</f>
        <v/>
      </c>
      <c r="J653" s="189" t="str">
        <f ca="1">IFERROR(__xludf.DUMMYFUNCTION("""COMPUTED_VALUE"""),"")</f>
        <v/>
      </c>
      <c r="K653" s="189" t="str">
        <f ca="1">IFERROR(__xludf.DUMMYFUNCTION("""COMPUTED_VALUE"""),"")</f>
        <v/>
      </c>
      <c r="L653" s="189" t="str">
        <f ca="1">IFERROR(__xludf.DUMMYFUNCTION("""COMPUTED_VALUE"""),"")</f>
        <v/>
      </c>
      <c r="M653" s="189" t="str">
        <f ca="1">IFERROR(__xludf.DUMMYFUNCTION("""COMPUTED_VALUE"""),"")</f>
        <v/>
      </c>
      <c r="N653" s="189" t="str">
        <f ca="1">IFERROR(__xludf.DUMMYFUNCTION("""COMPUTED_VALUE"""),"")</f>
        <v/>
      </c>
      <c r="O653" s="189" t="str">
        <f ca="1">IFERROR(__xludf.DUMMYFUNCTION("""COMPUTED_VALUE"""),"")</f>
        <v/>
      </c>
      <c r="P653" s="189" t="str">
        <f ca="1">IFERROR(__xludf.DUMMYFUNCTION("""COMPUTED_VALUE"""),"")</f>
        <v/>
      </c>
      <c r="Q653" s="189" t="str">
        <f ca="1">IFERROR(__xludf.DUMMYFUNCTION("""COMPUTED_VALUE"""),"")</f>
        <v/>
      </c>
      <c r="R653" s="189" t="str">
        <f ca="1">IFERROR(__xludf.DUMMYFUNCTION("""COMPUTED_VALUE"""),"")</f>
        <v/>
      </c>
      <c r="S653" s="189" t="str">
        <f ca="1">IFERROR(__xludf.DUMMYFUNCTION("""COMPUTED_VALUE"""),"")</f>
        <v/>
      </c>
      <c r="T653" s="189" t="str">
        <f ca="1">IFERROR(__xludf.DUMMYFUNCTION("""COMPUTED_VALUE"""),"")</f>
        <v/>
      </c>
      <c r="U653" s="189" t="str">
        <f ca="1">IFERROR(__xludf.DUMMYFUNCTION("""COMPUTED_VALUE"""),"")</f>
        <v/>
      </c>
      <c r="V653" s="189" t="str">
        <f ca="1">IFERROR(__xludf.DUMMYFUNCTION("""COMPUTED_VALUE"""),"")</f>
        <v/>
      </c>
      <c r="W653" s="189" t="str">
        <f ca="1">IFERROR(__xludf.DUMMYFUNCTION("""COMPUTED_VALUE"""),"")</f>
        <v/>
      </c>
      <c r="X653" s="189" t="str">
        <f ca="1">IFERROR(__xludf.DUMMYFUNCTION("""COMPUTED_VALUE"""),"")</f>
        <v/>
      </c>
      <c r="Y653" s="189" t="str">
        <f ca="1">IFERROR(__xludf.DUMMYFUNCTION("""COMPUTED_VALUE"""),"")</f>
        <v/>
      </c>
      <c r="Z653" s="189"/>
    </row>
    <row r="654" spans="1:26" ht="12.75">
      <c r="A654" s="189" t="str">
        <f ca="1">IFERROR(__xludf.DUMMYFUNCTION("""COMPUTED_VALUE"""),"")</f>
        <v/>
      </c>
      <c r="B654" s="189" t="str">
        <f ca="1">IFERROR(__xludf.DUMMYFUNCTION("""COMPUTED_VALUE"""),"")</f>
        <v/>
      </c>
      <c r="C654" s="189" t="str">
        <f ca="1">IFERROR(__xludf.DUMMYFUNCTION("""COMPUTED_VALUE"""),"")</f>
        <v/>
      </c>
      <c r="D654" s="189" t="str">
        <f ca="1">IFERROR(__xludf.DUMMYFUNCTION("""COMPUTED_VALUE"""),"")</f>
        <v/>
      </c>
      <c r="E654" s="189" t="str">
        <f ca="1">IFERROR(__xludf.DUMMYFUNCTION("""COMPUTED_VALUE"""),"")</f>
        <v/>
      </c>
      <c r="F654" s="189" t="str">
        <f ca="1">IFERROR(__xludf.DUMMYFUNCTION("""COMPUTED_VALUE"""),"")</f>
        <v/>
      </c>
      <c r="G654" s="189" t="str">
        <f ca="1">IFERROR(__xludf.DUMMYFUNCTION("""COMPUTED_VALUE"""),"")</f>
        <v/>
      </c>
      <c r="H654" s="189" t="str">
        <f ca="1">IFERROR(__xludf.DUMMYFUNCTION("""COMPUTED_VALUE"""),"")</f>
        <v/>
      </c>
      <c r="I654" s="120" t="str">
        <f ca="1">IFERROR(__xludf.DUMMYFUNCTION("""COMPUTED_VALUE"""),"")</f>
        <v/>
      </c>
      <c r="J654" s="189" t="str">
        <f ca="1">IFERROR(__xludf.DUMMYFUNCTION("""COMPUTED_VALUE"""),"")</f>
        <v/>
      </c>
      <c r="K654" s="189" t="str">
        <f ca="1">IFERROR(__xludf.DUMMYFUNCTION("""COMPUTED_VALUE"""),"")</f>
        <v/>
      </c>
      <c r="L654" s="189" t="str">
        <f ca="1">IFERROR(__xludf.DUMMYFUNCTION("""COMPUTED_VALUE"""),"")</f>
        <v/>
      </c>
      <c r="M654" s="189" t="str">
        <f ca="1">IFERROR(__xludf.DUMMYFUNCTION("""COMPUTED_VALUE"""),"")</f>
        <v/>
      </c>
      <c r="N654" s="189" t="str">
        <f ca="1">IFERROR(__xludf.DUMMYFUNCTION("""COMPUTED_VALUE"""),"")</f>
        <v/>
      </c>
      <c r="O654" s="189" t="str">
        <f ca="1">IFERROR(__xludf.DUMMYFUNCTION("""COMPUTED_VALUE"""),"")</f>
        <v/>
      </c>
      <c r="P654" s="189" t="str">
        <f ca="1">IFERROR(__xludf.DUMMYFUNCTION("""COMPUTED_VALUE"""),"")</f>
        <v/>
      </c>
      <c r="Q654" s="189" t="str">
        <f ca="1">IFERROR(__xludf.DUMMYFUNCTION("""COMPUTED_VALUE"""),"")</f>
        <v/>
      </c>
      <c r="R654" s="189" t="str">
        <f ca="1">IFERROR(__xludf.DUMMYFUNCTION("""COMPUTED_VALUE"""),"")</f>
        <v/>
      </c>
      <c r="S654" s="189" t="str">
        <f ca="1">IFERROR(__xludf.DUMMYFUNCTION("""COMPUTED_VALUE"""),"")</f>
        <v/>
      </c>
      <c r="T654" s="189" t="str">
        <f ca="1">IFERROR(__xludf.DUMMYFUNCTION("""COMPUTED_VALUE"""),"")</f>
        <v/>
      </c>
      <c r="U654" s="189" t="str">
        <f ca="1">IFERROR(__xludf.DUMMYFUNCTION("""COMPUTED_VALUE"""),"")</f>
        <v/>
      </c>
      <c r="V654" s="189" t="str">
        <f ca="1">IFERROR(__xludf.DUMMYFUNCTION("""COMPUTED_VALUE"""),"")</f>
        <v/>
      </c>
      <c r="W654" s="189" t="str">
        <f ca="1">IFERROR(__xludf.DUMMYFUNCTION("""COMPUTED_VALUE"""),"")</f>
        <v/>
      </c>
      <c r="X654" s="189" t="str">
        <f ca="1">IFERROR(__xludf.DUMMYFUNCTION("""COMPUTED_VALUE"""),"")</f>
        <v/>
      </c>
      <c r="Y654" s="189" t="str">
        <f ca="1">IFERROR(__xludf.DUMMYFUNCTION("""COMPUTED_VALUE"""),"")</f>
        <v/>
      </c>
      <c r="Z654" s="189"/>
    </row>
    <row r="655" spans="1:26" ht="12.75">
      <c r="A655" s="189" t="str">
        <f ca="1">IFERROR(__xludf.DUMMYFUNCTION("""COMPUTED_VALUE"""),"")</f>
        <v/>
      </c>
      <c r="B655" s="189" t="str">
        <f ca="1">IFERROR(__xludf.DUMMYFUNCTION("""COMPUTED_VALUE"""),"")</f>
        <v/>
      </c>
      <c r="C655" s="189" t="str">
        <f ca="1">IFERROR(__xludf.DUMMYFUNCTION("""COMPUTED_VALUE"""),"")</f>
        <v/>
      </c>
      <c r="D655" s="189" t="str">
        <f ca="1">IFERROR(__xludf.DUMMYFUNCTION("""COMPUTED_VALUE"""),"")</f>
        <v/>
      </c>
      <c r="E655" s="189" t="str">
        <f ca="1">IFERROR(__xludf.DUMMYFUNCTION("""COMPUTED_VALUE"""),"")</f>
        <v/>
      </c>
      <c r="F655" s="189" t="str">
        <f ca="1">IFERROR(__xludf.DUMMYFUNCTION("""COMPUTED_VALUE"""),"")</f>
        <v/>
      </c>
      <c r="G655" s="189" t="str">
        <f ca="1">IFERROR(__xludf.DUMMYFUNCTION("""COMPUTED_VALUE"""),"")</f>
        <v/>
      </c>
      <c r="H655" s="189" t="str">
        <f ca="1">IFERROR(__xludf.DUMMYFUNCTION("""COMPUTED_VALUE"""),"")</f>
        <v/>
      </c>
      <c r="I655" s="120" t="str">
        <f ca="1">IFERROR(__xludf.DUMMYFUNCTION("""COMPUTED_VALUE"""),"")</f>
        <v/>
      </c>
      <c r="J655" s="189" t="str">
        <f ca="1">IFERROR(__xludf.DUMMYFUNCTION("""COMPUTED_VALUE"""),"")</f>
        <v/>
      </c>
      <c r="K655" s="189" t="str">
        <f ca="1">IFERROR(__xludf.DUMMYFUNCTION("""COMPUTED_VALUE"""),"")</f>
        <v/>
      </c>
      <c r="L655" s="189" t="str">
        <f ca="1">IFERROR(__xludf.DUMMYFUNCTION("""COMPUTED_VALUE"""),"")</f>
        <v/>
      </c>
      <c r="M655" s="189" t="str">
        <f ca="1">IFERROR(__xludf.DUMMYFUNCTION("""COMPUTED_VALUE"""),"")</f>
        <v/>
      </c>
      <c r="N655" s="189" t="str">
        <f ca="1">IFERROR(__xludf.DUMMYFUNCTION("""COMPUTED_VALUE"""),"")</f>
        <v/>
      </c>
      <c r="O655" s="189" t="str">
        <f ca="1">IFERROR(__xludf.DUMMYFUNCTION("""COMPUTED_VALUE"""),"")</f>
        <v/>
      </c>
      <c r="P655" s="189" t="str">
        <f ca="1">IFERROR(__xludf.DUMMYFUNCTION("""COMPUTED_VALUE"""),"")</f>
        <v/>
      </c>
      <c r="Q655" s="189" t="str">
        <f ca="1">IFERROR(__xludf.DUMMYFUNCTION("""COMPUTED_VALUE"""),"")</f>
        <v/>
      </c>
      <c r="R655" s="189" t="str">
        <f ca="1">IFERROR(__xludf.DUMMYFUNCTION("""COMPUTED_VALUE"""),"")</f>
        <v/>
      </c>
      <c r="S655" s="189" t="str">
        <f ca="1">IFERROR(__xludf.DUMMYFUNCTION("""COMPUTED_VALUE"""),"")</f>
        <v/>
      </c>
      <c r="T655" s="189" t="str">
        <f ca="1">IFERROR(__xludf.DUMMYFUNCTION("""COMPUTED_VALUE"""),"")</f>
        <v/>
      </c>
      <c r="U655" s="189" t="str">
        <f ca="1">IFERROR(__xludf.DUMMYFUNCTION("""COMPUTED_VALUE"""),"")</f>
        <v/>
      </c>
      <c r="V655" s="189" t="str">
        <f ca="1">IFERROR(__xludf.DUMMYFUNCTION("""COMPUTED_VALUE"""),"")</f>
        <v/>
      </c>
      <c r="W655" s="189" t="str">
        <f ca="1">IFERROR(__xludf.DUMMYFUNCTION("""COMPUTED_VALUE"""),"")</f>
        <v/>
      </c>
      <c r="X655" s="189" t="str">
        <f ca="1">IFERROR(__xludf.DUMMYFUNCTION("""COMPUTED_VALUE"""),"")</f>
        <v/>
      </c>
      <c r="Y655" s="189" t="str">
        <f ca="1">IFERROR(__xludf.DUMMYFUNCTION("""COMPUTED_VALUE"""),"")</f>
        <v/>
      </c>
      <c r="Z655" s="189"/>
    </row>
    <row r="656" spans="1:26" ht="12.75">
      <c r="A656" s="189" t="str">
        <f ca="1">IFERROR(__xludf.DUMMYFUNCTION("""COMPUTED_VALUE"""),"")</f>
        <v/>
      </c>
      <c r="B656" s="189" t="str">
        <f ca="1">IFERROR(__xludf.DUMMYFUNCTION("""COMPUTED_VALUE"""),"")</f>
        <v/>
      </c>
      <c r="C656" s="189" t="str">
        <f ca="1">IFERROR(__xludf.DUMMYFUNCTION("""COMPUTED_VALUE"""),"")</f>
        <v/>
      </c>
      <c r="D656" s="189" t="str">
        <f ca="1">IFERROR(__xludf.DUMMYFUNCTION("""COMPUTED_VALUE"""),"")</f>
        <v/>
      </c>
      <c r="E656" s="189" t="str">
        <f ca="1">IFERROR(__xludf.DUMMYFUNCTION("""COMPUTED_VALUE"""),"")</f>
        <v/>
      </c>
      <c r="F656" s="189" t="str">
        <f ca="1">IFERROR(__xludf.DUMMYFUNCTION("""COMPUTED_VALUE"""),"")</f>
        <v/>
      </c>
      <c r="G656" s="189" t="str">
        <f ca="1">IFERROR(__xludf.DUMMYFUNCTION("""COMPUTED_VALUE"""),"")</f>
        <v/>
      </c>
      <c r="H656" s="189" t="str">
        <f ca="1">IFERROR(__xludf.DUMMYFUNCTION("""COMPUTED_VALUE"""),"")</f>
        <v/>
      </c>
      <c r="I656" s="120" t="str">
        <f ca="1">IFERROR(__xludf.DUMMYFUNCTION("""COMPUTED_VALUE"""),"")</f>
        <v/>
      </c>
      <c r="J656" s="189" t="str">
        <f ca="1">IFERROR(__xludf.DUMMYFUNCTION("""COMPUTED_VALUE"""),"")</f>
        <v/>
      </c>
      <c r="K656" s="189" t="str">
        <f ca="1">IFERROR(__xludf.DUMMYFUNCTION("""COMPUTED_VALUE"""),"")</f>
        <v/>
      </c>
      <c r="L656" s="189" t="str">
        <f ca="1">IFERROR(__xludf.DUMMYFUNCTION("""COMPUTED_VALUE"""),"")</f>
        <v/>
      </c>
      <c r="M656" s="189" t="str">
        <f ca="1">IFERROR(__xludf.DUMMYFUNCTION("""COMPUTED_VALUE"""),"")</f>
        <v/>
      </c>
      <c r="N656" s="189" t="str">
        <f ca="1">IFERROR(__xludf.DUMMYFUNCTION("""COMPUTED_VALUE"""),"")</f>
        <v/>
      </c>
      <c r="O656" s="189" t="str">
        <f ca="1">IFERROR(__xludf.DUMMYFUNCTION("""COMPUTED_VALUE"""),"")</f>
        <v/>
      </c>
      <c r="P656" s="189" t="str">
        <f ca="1">IFERROR(__xludf.DUMMYFUNCTION("""COMPUTED_VALUE"""),"")</f>
        <v/>
      </c>
      <c r="Q656" s="189" t="str">
        <f ca="1">IFERROR(__xludf.DUMMYFUNCTION("""COMPUTED_VALUE"""),"")</f>
        <v/>
      </c>
      <c r="R656" s="189" t="str">
        <f ca="1">IFERROR(__xludf.DUMMYFUNCTION("""COMPUTED_VALUE"""),"")</f>
        <v/>
      </c>
      <c r="S656" s="189" t="str">
        <f ca="1">IFERROR(__xludf.DUMMYFUNCTION("""COMPUTED_VALUE"""),"")</f>
        <v/>
      </c>
      <c r="T656" s="189" t="str">
        <f ca="1">IFERROR(__xludf.DUMMYFUNCTION("""COMPUTED_VALUE"""),"")</f>
        <v/>
      </c>
      <c r="U656" s="189" t="str">
        <f ca="1">IFERROR(__xludf.DUMMYFUNCTION("""COMPUTED_VALUE"""),"")</f>
        <v/>
      </c>
      <c r="V656" s="189" t="str">
        <f ca="1">IFERROR(__xludf.DUMMYFUNCTION("""COMPUTED_VALUE"""),"")</f>
        <v/>
      </c>
      <c r="W656" s="189" t="str">
        <f ca="1">IFERROR(__xludf.DUMMYFUNCTION("""COMPUTED_VALUE"""),"")</f>
        <v/>
      </c>
      <c r="X656" s="189" t="str">
        <f ca="1">IFERROR(__xludf.DUMMYFUNCTION("""COMPUTED_VALUE"""),"")</f>
        <v/>
      </c>
      <c r="Y656" s="189" t="str">
        <f ca="1">IFERROR(__xludf.DUMMYFUNCTION("""COMPUTED_VALUE"""),"")</f>
        <v/>
      </c>
      <c r="Z656" s="189"/>
    </row>
    <row r="657" spans="1:26" ht="12.75">
      <c r="A657" s="189" t="str">
        <f ca="1">IFERROR(__xludf.DUMMYFUNCTION("""COMPUTED_VALUE"""),"")</f>
        <v/>
      </c>
      <c r="B657" s="189" t="str">
        <f ca="1">IFERROR(__xludf.DUMMYFUNCTION("""COMPUTED_VALUE"""),"")</f>
        <v/>
      </c>
      <c r="C657" s="189" t="str">
        <f ca="1">IFERROR(__xludf.DUMMYFUNCTION("""COMPUTED_VALUE"""),"")</f>
        <v/>
      </c>
      <c r="D657" s="189" t="str">
        <f ca="1">IFERROR(__xludf.DUMMYFUNCTION("""COMPUTED_VALUE"""),"")</f>
        <v/>
      </c>
      <c r="E657" s="189" t="str">
        <f ca="1">IFERROR(__xludf.DUMMYFUNCTION("""COMPUTED_VALUE"""),"")</f>
        <v/>
      </c>
      <c r="F657" s="189" t="str">
        <f ca="1">IFERROR(__xludf.DUMMYFUNCTION("""COMPUTED_VALUE"""),"")</f>
        <v/>
      </c>
      <c r="G657" s="189" t="str">
        <f ca="1">IFERROR(__xludf.DUMMYFUNCTION("""COMPUTED_VALUE"""),"")</f>
        <v/>
      </c>
      <c r="H657" s="189" t="str">
        <f ca="1">IFERROR(__xludf.DUMMYFUNCTION("""COMPUTED_VALUE"""),"")</f>
        <v/>
      </c>
      <c r="I657" s="120" t="str">
        <f ca="1">IFERROR(__xludf.DUMMYFUNCTION("""COMPUTED_VALUE"""),"")</f>
        <v/>
      </c>
      <c r="J657" s="189" t="str">
        <f ca="1">IFERROR(__xludf.DUMMYFUNCTION("""COMPUTED_VALUE"""),"")</f>
        <v/>
      </c>
      <c r="K657" s="189" t="str">
        <f ca="1">IFERROR(__xludf.DUMMYFUNCTION("""COMPUTED_VALUE"""),"")</f>
        <v/>
      </c>
      <c r="L657" s="189" t="str">
        <f ca="1">IFERROR(__xludf.DUMMYFUNCTION("""COMPUTED_VALUE"""),"")</f>
        <v/>
      </c>
      <c r="M657" s="189" t="str">
        <f ca="1">IFERROR(__xludf.DUMMYFUNCTION("""COMPUTED_VALUE"""),"")</f>
        <v/>
      </c>
      <c r="N657" s="189" t="str">
        <f ca="1">IFERROR(__xludf.DUMMYFUNCTION("""COMPUTED_VALUE"""),"")</f>
        <v/>
      </c>
      <c r="O657" s="189" t="str">
        <f ca="1">IFERROR(__xludf.DUMMYFUNCTION("""COMPUTED_VALUE"""),"")</f>
        <v/>
      </c>
      <c r="P657" s="189" t="str">
        <f ca="1">IFERROR(__xludf.DUMMYFUNCTION("""COMPUTED_VALUE"""),"")</f>
        <v/>
      </c>
      <c r="Q657" s="189" t="str">
        <f ca="1">IFERROR(__xludf.DUMMYFUNCTION("""COMPUTED_VALUE"""),"")</f>
        <v/>
      </c>
      <c r="R657" s="189" t="str">
        <f ca="1">IFERROR(__xludf.DUMMYFUNCTION("""COMPUTED_VALUE"""),"")</f>
        <v/>
      </c>
      <c r="S657" s="189" t="str">
        <f ca="1">IFERROR(__xludf.DUMMYFUNCTION("""COMPUTED_VALUE"""),"")</f>
        <v/>
      </c>
      <c r="T657" s="189" t="str">
        <f ca="1">IFERROR(__xludf.DUMMYFUNCTION("""COMPUTED_VALUE"""),"")</f>
        <v/>
      </c>
      <c r="U657" s="189" t="str">
        <f ca="1">IFERROR(__xludf.DUMMYFUNCTION("""COMPUTED_VALUE"""),"")</f>
        <v/>
      </c>
      <c r="V657" s="189" t="str">
        <f ca="1">IFERROR(__xludf.DUMMYFUNCTION("""COMPUTED_VALUE"""),"")</f>
        <v/>
      </c>
      <c r="W657" s="189" t="str">
        <f ca="1">IFERROR(__xludf.DUMMYFUNCTION("""COMPUTED_VALUE"""),"")</f>
        <v/>
      </c>
      <c r="X657" s="189" t="str">
        <f ca="1">IFERROR(__xludf.DUMMYFUNCTION("""COMPUTED_VALUE"""),"")</f>
        <v/>
      </c>
      <c r="Y657" s="189" t="str">
        <f ca="1">IFERROR(__xludf.DUMMYFUNCTION("""COMPUTED_VALUE"""),"")</f>
        <v/>
      </c>
      <c r="Z657" s="189"/>
    </row>
    <row r="658" spans="1:26" ht="12.75">
      <c r="A658" s="189" t="str">
        <f ca="1">IFERROR(__xludf.DUMMYFUNCTION("""COMPUTED_VALUE"""),"")</f>
        <v/>
      </c>
      <c r="B658" s="189" t="str">
        <f ca="1">IFERROR(__xludf.DUMMYFUNCTION("""COMPUTED_VALUE"""),"")</f>
        <v/>
      </c>
      <c r="C658" s="189" t="str">
        <f ca="1">IFERROR(__xludf.DUMMYFUNCTION("""COMPUTED_VALUE"""),"")</f>
        <v/>
      </c>
      <c r="D658" s="189" t="str">
        <f ca="1">IFERROR(__xludf.DUMMYFUNCTION("""COMPUTED_VALUE"""),"")</f>
        <v/>
      </c>
      <c r="E658" s="189" t="str">
        <f ca="1">IFERROR(__xludf.DUMMYFUNCTION("""COMPUTED_VALUE"""),"")</f>
        <v/>
      </c>
      <c r="F658" s="189" t="str">
        <f ca="1">IFERROR(__xludf.DUMMYFUNCTION("""COMPUTED_VALUE"""),"")</f>
        <v/>
      </c>
      <c r="G658" s="189" t="str">
        <f ca="1">IFERROR(__xludf.DUMMYFUNCTION("""COMPUTED_VALUE"""),"")</f>
        <v/>
      </c>
      <c r="H658" s="189" t="str">
        <f ca="1">IFERROR(__xludf.DUMMYFUNCTION("""COMPUTED_VALUE"""),"")</f>
        <v/>
      </c>
      <c r="I658" s="120" t="str">
        <f ca="1">IFERROR(__xludf.DUMMYFUNCTION("""COMPUTED_VALUE"""),"")</f>
        <v/>
      </c>
      <c r="J658" s="189" t="str">
        <f ca="1">IFERROR(__xludf.DUMMYFUNCTION("""COMPUTED_VALUE"""),"")</f>
        <v/>
      </c>
      <c r="K658" s="189" t="str">
        <f ca="1">IFERROR(__xludf.DUMMYFUNCTION("""COMPUTED_VALUE"""),"")</f>
        <v/>
      </c>
      <c r="L658" s="189" t="str">
        <f ca="1">IFERROR(__xludf.DUMMYFUNCTION("""COMPUTED_VALUE"""),"")</f>
        <v/>
      </c>
      <c r="M658" s="189" t="str">
        <f ca="1">IFERROR(__xludf.DUMMYFUNCTION("""COMPUTED_VALUE"""),"")</f>
        <v/>
      </c>
      <c r="N658" s="189" t="str">
        <f ca="1">IFERROR(__xludf.DUMMYFUNCTION("""COMPUTED_VALUE"""),"")</f>
        <v/>
      </c>
      <c r="O658" s="189" t="str">
        <f ca="1">IFERROR(__xludf.DUMMYFUNCTION("""COMPUTED_VALUE"""),"")</f>
        <v/>
      </c>
      <c r="P658" s="189" t="str">
        <f ca="1">IFERROR(__xludf.DUMMYFUNCTION("""COMPUTED_VALUE"""),"")</f>
        <v/>
      </c>
      <c r="Q658" s="189" t="str">
        <f ca="1">IFERROR(__xludf.DUMMYFUNCTION("""COMPUTED_VALUE"""),"")</f>
        <v/>
      </c>
      <c r="R658" s="189" t="str">
        <f ca="1">IFERROR(__xludf.DUMMYFUNCTION("""COMPUTED_VALUE"""),"")</f>
        <v/>
      </c>
      <c r="S658" s="189" t="str">
        <f ca="1">IFERROR(__xludf.DUMMYFUNCTION("""COMPUTED_VALUE"""),"")</f>
        <v/>
      </c>
      <c r="T658" s="189" t="str">
        <f ca="1">IFERROR(__xludf.DUMMYFUNCTION("""COMPUTED_VALUE"""),"")</f>
        <v/>
      </c>
      <c r="U658" s="189" t="str">
        <f ca="1">IFERROR(__xludf.DUMMYFUNCTION("""COMPUTED_VALUE"""),"")</f>
        <v/>
      </c>
      <c r="V658" s="189" t="str">
        <f ca="1">IFERROR(__xludf.DUMMYFUNCTION("""COMPUTED_VALUE"""),"")</f>
        <v/>
      </c>
      <c r="W658" s="189" t="str">
        <f ca="1">IFERROR(__xludf.DUMMYFUNCTION("""COMPUTED_VALUE"""),"")</f>
        <v/>
      </c>
      <c r="X658" s="189" t="str">
        <f ca="1">IFERROR(__xludf.DUMMYFUNCTION("""COMPUTED_VALUE"""),"")</f>
        <v/>
      </c>
      <c r="Y658" s="189" t="str">
        <f ca="1">IFERROR(__xludf.DUMMYFUNCTION("""COMPUTED_VALUE"""),"")</f>
        <v/>
      </c>
      <c r="Z658" s="189"/>
    </row>
    <row r="659" spans="1:26" ht="12.75">
      <c r="A659" s="189" t="str">
        <f ca="1">IFERROR(__xludf.DUMMYFUNCTION("""COMPUTED_VALUE"""),"")</f>
        <v/>
      </c>
      <c r="B659" s="189" t="str">
        <f ca="1">IFERROR(__xludf.DUMMYFUNCTION("""COMPUTED_VALUE"""),"")</f>
        <v/>
      </c>
      <c r="C659" s="189" t="str">
        <f ca="1">IFERROR(__xludf.DUMMYFUNCTION("""COMPUTED_VALUE"""),"")</f>
        <v/>
      </c>
      <c r="D659" s="189" t="str">
        <f ca="1">IFERROR(__xludf.DUMMYFUNCTION("""COMPUTED_VALUE"""),"")</f>
        <v/>
      </c>
      <c r="E659" s="189" t="str">
        <f ca="1">IFERROR(__xludf.DUMMYFUNCTION("""COMPUTED_VALUE"""),"")</f>
        <v/>
      </c>
      <c r="F659" s="189" t="str">
        <f ca="1">IFERROR(__xludf.DUMMYFUNCTION("""COMPUTED_VALUE"""),"")</f>
        <v/>
      </c>
      <c r="G659" s="189" t="str">
        <f ca="1">IFERROR(__xludf.DUMMYFUNCTION("""COMPUTED_VALUE"""),"")</f>
        <v/>
      </c>
      <c r="H659" s="189" t="str">
        <f ca="1">IFERROR(__xludf.DUMMYFUNCTION("""COMPUTED_VALUE"""),"")</f>
        <v/>
      </c>
      <c r="I659" s="120" t="str">
        <f ca="1">IFERROR(__xludf.DUMMYFUNCTION("""COMPUTED_VALUE"""),"")</f>
        <v/>
      </c>
      <c r="J659" s="189" t="str">
        <f ca="1">IFERROR(__xludf.DUMMYFUNCTION("""COMPUTED_VALUE"""),"")</f>
        <v/>
      </c>
      <c r="K659" s="189" t="str">
        <f ca="1">IFERROR(__xludf.DUMMYFUNCTION("""COMPUTED_VALUE"""),"")</f>
        <v/>
      </c>
      <c r="L659" s="189" t="str">
        <f ca="1">IFERROR(__xludf.DUMMYFUNCTION("""COMPUTED_VALUE"""),"")</f>
        <v/>
      </c>
      <c r="M659" s="189" t="str">
        <f ca="1">IFERROR(__xludf.DUMMYFUNCTION("""COMPUTED_VALUE"""),"")</f>
        <v/>
      </c>
      <c r="N659" s="189" t="str">
        <f ca="1">IFERROR(__xludf.DUMMYFUNCTION("""COMPUTED_VALUE"""),"")</f>
        <v/>
      </c>
      <c r="O659" s="189" t="str">
        <f ca="1">IFERROR(__xludf.DUMMYFUNCTION("""COMPUTED_VALUE"""),"")</f>
        <v/>
      </c>
      <c r="P659" s="189" t="str">
        <f ca="1">IFERROR(__xludf.DUMMYFUNCTION("""COMPUTED_VALUE"""),"")</f>
        <v/>
      </c>
      <c r="Q659" s="189" t="str">
        <f ca="1">IFERROR(__xludf.DUMMYFUNCTION("""COMPUTED_VALUE"""),"")</f>
        <v/>
      </c>
      <c r="R659" s="189" t="str">
        <f ca="1">IFERROR(__xludf.DUMMYFUNCTION("""COMPUTED_VALUE"""),"")</f>
        <v/>
      </c>
      <c r="S659" s="189" t="str">
        <f ca="1">IFERROR(__xludf.DUMMYFUNCTION("""COMPUTED_VALUE"""),"")</f>
        <v/>
      </c>
      <c r="T659" s="189" t="str">
        <f ca="1">IFERROR(__xludf.DUMMYFUNCTION("""COMPUTED_VALUE"""),"")</f>
        <v/>
      </c>
      <c r="U659" s="189" t="str">
        <f ca="1">IFERROR(__xludf.DUMMYFUNCTION("""COMPUTED_VALUE"""),"")</f>
        <v/>
      </c>
      <c r="V659" s="189" t="str">
        <f ca="1">IFERROR(__xludf.DUMMYFUNCTION("""COMPUTED_VALUE"""),"")</f>
        <v/>
      </c>
      <c r="W659" s="189" t="str">
        <f ca="1">IFERROR(__xludf.DUMMYFUNCTION("""COMPUTED_VALUE"""),"")</f>
        <v/>
      </c>
      <c r="X659" s="189" t="str">
        <f ca="1">IFERROR(__xludf.DUMMYFUNCTION("""COMPUTED_VALUE"""),"")</f>
        <v/>
      </c>
      <c r="Y659" s="189" t="str">
        <f ca="1">IFERROR(__xludf.DUMMYFUNCTION("""COMPUTED_VALUE"""),"")</f>
        <v/>
      </c>
      <c r="Z659" s="189"/>
    </row>
    <row r="660" spans="1:26" ht="12.75">
      <c r="A660" s="189" t="str">
        <f ca="1">IFERROR(__xludf.DUMMYFUNCTION("""COMPUTED_VALUE"""),"")</f>
        <v/>
      </c>
      <c r="B660" s="189" t="str">
        <f ca="1">IFERROR(__xludf.DUMMYFUNCTION("""COMPUTED_VALUE"""),"")</f>
        <v/>
      </c>
      <c r="C660" s="189" t="str">
        <f ca="1">IFERROR(__xludf.DUMMYFUNCTION("""COMPUTED_VALUE"""),"")</f>
        <v/>
      </c>
      <c r="D660" s="189" t="str">
        <f ca="1">IFERROR(__xludf.DUMMYFUNCTION("""COMPUTED_VALUE"""),"")</f>
        <v/>
      </c>
      <c r="E660" s="189" t="str">
        <f ca="1">IFERROR(__xludf.DUMMYFUNCTION("""COMPUTED_VALUE"""),"")</f>
        <v/>
      </c>
      <c r="F660" s="189" t="str">
        <f ca="1">IFERROR(__xludf.DUMMYFUNCTION("""COMPUTED_VALUE"""),"")</f>
        <v/>
      </c>
      <c r="G660" s="189" t="str">
        <f ca="1">IFERROR(__xludf.DUMMYFUNCTION("""COMPUTED_VALUE"""),"")</f>
        <v/>
      </c>
      <c r="H660" s="189" t="str">
        <f ca="1">IFERROR(__xludf.DUMMYFUNCTION("""COMPUTED_VALUE"""),"")</f>
        <v/>
      </c>
      <c r="I660" s="120" t="str">
        <f ca="1">IFERROR(__xludf.DUMMYFUNCTION("""COMPUTED_VALUE"""),"")</f>
        <v/>
      </c>
      <c r="J660" s="189" t="str">
        <f ca="1">IFERROR(__xludf.DUMMYFUNCTION("""COMPUTED_VALUE"""),"")</f>
        <v/>
      </c>
      <c r="K660" s="189" t="str">
        <f ca="1">IFERROR(__xludf.DUMMYFUNCTION("""COMPUTED_VALUE"""),"")</f>
        <v/>
      </c>
      <c r="L660" s="189" t="str">
        <f ca="1">IFERROR(__xludf.DUMMYFUNCTION("""COMPUTED_VALUE"""),"")</f>
        <v/>
      </c>
      <c r="M660" s="189" t="str">
        <f ca="1">IFERROR(__xludf.DUMMYFUNCTION("""COMPUTED_VALUE"""),"")</f>
        <v/>
      </c>
      <c r="N660" s="189" t="str">
        <f ca="1">IFERROR(__xludf.DUMMYFUNCTION("""COMPUTED_VALUE"""),"")</f>
        <v/>
      </c>
      <c r="O660" s="189" t="str">
        <f ca="1">IFERROR(__xludf.DUMMYFUNCTION("""COMPUTED_VALUE"""),"")</f>
        <v/>
      </c>
      <c r="P660" s="189" t="str">
        <f ca="1">IFERROR(__xludf.DUMMYFUNCTION("""COMPUTED_VALUE"""),"")</f>
        <v/>
      </c>
      <c r="Q660" s="189" t="str">
        <f ca="1">IFERROR(__xludf.DUMMYFUNCTION("""COMPUTED_VALUE"""),"")</f>
        <v/>
      </c>
      <c r="R660" s="189" t="str">
        <f ca="1">IFERROR(__xludf.DUMMYFUNCTION("""COMPUTED_VALUE"""),"")</f>
        <v/>
      </c>
      <c r="S660" s="189" t="str">
        <f ca="1">IFERROR(__xludf.DUMMYFUNCTION("""COMPUTED_VALUE"""),"")</f>
        <v/>
      </c>
      <c r="T660" s="189" t="str">
        <f ca="1">IFERROR(__xludf.DUMMYFUNCTION("""COMPUTED_VALUE"""),"")</f>
        <v/>
      </c>
      <c r="U660" s="189" t="str">
        <f ca="1">IFERROR(__xludf.DUMMYFUNCTION("""COMPUTED_VALUE"""),"")</f>
        <v/>
      </c>
      <c r="V660" s="189" t="str">
        <f ca="1">IFERROR(__xludf.DUMMYFUNCTION("""COMPUTED_VALUE"""),"")</f>
        <v/>
      </c>
      <c r="W660" s="189" t="str">
        <f ca="1">IFERROR(__xludf.DUMMYFUNCTION("""COMPUTED_VALUE"""),"")</f>
        <v/>
      </c>
      <c r="X660" s="189" t="str">
        <f ca="1">IFERROR(__xludf.DUMMYFUNCTION("""COMPUTED_VALUE"""),"")</f>
        <v/>
      </c>
      <c r="Y660" s="189" t="str">
        <f ca="1">IFERROR(__xludf.DUMMYFUNCTION("""COMPUTED_VALUE"""),"")</f>
        <v/>
      </c>
      <c r="Z660" s="189"/>
    </row>
    <row r="661" spans="1:26" ht="12.75">
      <c r="A661" s="189" t="str">
        <f ca="1">IFERROR(__xludf.DUMMYFUNCTION("""COMPUTED_VALUE"""),"")</f>
        <v/>
      </c>
      <c r="B661" s="189" t="str">
        <f ca="1">IFERROR(__xludf.DUMMYFUNCTION("""COMPUTED_VALUE"""),"")</f>
        <v/>
      </c>
      <c r="C661" s="189" t="str">
        <f ca="1">IFERROR(__xludf.DUMMYFUNCTION("""COMPUTED_VALUE"""),"")</f>
        <v/>
      </c>
      <c r="D661" s="189" t="str">
        <f ca="1">IFERROR(__xludf.DUMMYFUNCTION("""COMPUTED_VALUE"""),"")</f>
        <v/>
      </c>
      <c r="E661" s="189" t="str">
        <f ca="1">IFERROR(__xludf.DUMMYFUNCTION("""COMPUTED_VALUE"""),"")</f>
        <v/>
      </c>
      <c r="F661" s="189" t="str">
        <f ca="1">IFERROR(__xludf.DUMMYFUNCTION("""COMPUTED_VALUE"""),"")</f>
        <v/>
      </c>
      <c r="G661" s="189" t="str">
        <f ca="1">IFERROR(__xludf.DUMMYFUNCTION("""COMPUTED_VALUE"""),"")</f>
        <v/>
      </c>
      <c r="H661" s="189" t="str">
        <f ca="1">IFERROR(__xludf.DUMMYFUNCTION("""COMPUTED_VALUE"""),"")</f>
        <v/>
      </c>
      <c r="I661" s="120" t="str">
        <f ca="1">IFERROR(__xludf.DUMMYFUNCTION("""COMPUTED_VALUE"""),"")</f>
        <v/>
      </c>
      <c r="J661" s="189" t="str">
        <f ca="1">IFERROR(__xludf.DUMMYFUNCTION("""COMPUTED_VALUE"""),"")</f>
        <v/>
      </c>
      <c r="K661" s="189" t="str">
        <f ca="1">IFERROR(__xludf.DUMMYFUNCTION("""COMPUTED_VALUE"""),"")</f>
        <v/>
      </c>
      <c r="L661" s="189" t="str">
        <f ca="1">IFERROR(__xludf.DUMMYFUNCTION("""COMPUTED_VALUE"""),"")</f>
        <v/>
      </c>
      <c r="M661" s="189" t="str">
        <f ca="1">IFERROR(__xludf.DUMMYFUNCTION("""COMPUTED_VALUE"""),"")</f>
        <v/>
      </c>
      <c r="N661" s="189" t="str">
        <f ca="1">IFERROR(__xludf.DUMMYFUNCTION("""COMPUTED_VALUE"""),"")</f>
        <v/>
      </c>
      <c r="O661" s="189" t="str">
        <f ca="1">IFERROR(__xludf.DUMMYFUNCTION("""COMPUTED_VALUE"""),"")</f>
        <v/>
      </c>
      <c r="P661" s="189" t="str">
        <f ca="1">IFERROR(__xludf.DUMMYFUNCTION("""COMPUTED_VALUE"""),"")</f>
        <v/>
      </c>
      <c r="Q661" s="189" t="str">
        <f ca="1">IFERROR(__xludf.DUMMYFUNCTION("""COMPUTED_VALUE"""),"")</f>
        <v/>
      </c>
      <c r="R661" s="189" t="str">
        <f ca="1">IFERROR(__xludf.DUMMYFUNCTION("""COMPUTED_VALUE"""),"")</f>
        <v/>
      </c>
      <c r="S661" s="189" t="str">
        <f ca="1">IFERROR(__xludf.DUMMYFUNCTION("""COMPUTED_VALUE"""),"")</f>
        <v/>
      </c>
      <c r="T661" s="189" t="str">
        <f ca="1">IFERROR(__xludf.DUMMYFUNCTION("""COMPUTED_VALUE"""),"")</f>
        <v/>
      </c>
      <c r="U661" s="189" t="str">
        <f ca="1">IFERROR(__xludf.DUMMYFUNCTION("""COMPUTED_VALUE"""),"")</f>
        <v/>
      </c>
      <c r="V661" s="189" t="str">
        <f ca="1">IFERROR(__xludf.DUMMYFUNCTION("""COMPUTED_VALUE"""),"")</f>
        <v/>
      </c>
      <c r="W661" s="189" t="str">
        <f ca="1">IFERROR(__xludf.DUMMYFUNCTION("""COMPUTED_VALUE"""),"")</f>
        <v/>
      </c>
      <c r="X661" s="189" t="str">
        <f ca="1">IFERROR(__xludf.DUMMYFUNCTION("""COMPUTED_VALUE"""),"")</f>
        <v/>
      </c>
      <c r="Y661" s="189" t="str">
        <f ca="1">IFERROR(__xludf.DUMMYFUNCTION("""COMPUTED_VALUE"""),"")</f>
        <v/>
      </c>
      <c r="Z661" s="189"/>
    </row>
    <row r="662" spans="1:26" ht="12.75">
      <c r="A662" s="189" t="str">
        <f ca="1">IFERROR(__xludf.DUMMYFUNCTION("""COMPUTED_VALUE"""),"")</f>
        <v/>
      </c>
      <c r="B662" s="189" t="str">
        <f ca="1">IFERROR(__xludf.DUMMYFUNCTION("""COMPUTED_VALUE"""),"")</f>
        <v/>
      </c>
      <c r="C662" s="189" t="str">
        <f ca="1">IFERROR(__xludf.DUMMYFUNCTION("""COMPUTED_VALUE"""),"")</f>
        <v/>
      </c>
      <c r="D662" s="189" t="str">
        <f ca="1">IFERROR(__xludf.DUMMYFUNCTION("""COMPUTED_VALUE"""),"")</f>
        <v/>
      </c>
      <c r="E662" s="189" t="str">
        <f ca="1">IFERROR(__xludf.DUMMYFUNCTION("""COMPUTED_VALUE"""),"")</f>
        <v/>
      </c>
      <c r="F662" s="189" t="str">
        <f ca="1">IFERROR(__xludf.DUMMYFUNCTION("""COMPUTED_VALUE"""),"")</f>
        <v/>
      </c>
      <c r="G662" s="189" t="str">
        <f ca="1">IFERROR(__xludf.DUMMYFUNCTION("""COMPUTED_VALUE"""),"")</f>
        <v/>
      </c>
      <c r="H662" s="189" t="str">
        <f ca="1">IFERROR(__xludf.DUMMYFUNCTION("""COMPUTED_VALUE"""),"")</f>
        <v/>
      </c>
      <c r="I662" s="120" t="str">
        <f ca="1">IFERROR(__xludf.DUMMYFUNCTION("""COMPUTED_VALUE"""),"")</f>
        <v/>
      </c>
      <c r="J662" s="189" t="str">
        <f ca="1">IFERROR(__xludf.DUMMYFUNCTION("""COMPUTED_VALUE"""),"")</f>
        <v/>
      </c>
      <c r="K662" s="189" t="str">
        <f ca="1">IFERROR(__xludf.DUMMYFUNCTION("""COMPUTED_VALUE"""),"")</f>
        <v/>
      </c>
      <c r="L662" s="189" t="str">
        <f ca="1">IFERROR(__xludf.DUMMYFUNCTION("""COMPUTED_VALUE"""),"")</f>
        <v/>
      </c>
      <c r="M662" s="189" t="str">
        <f ca="1">IFERROR(__xludf.DUMMYFUNCTION("""COMPUTED_VALUE"""),"")</f>
        <v/>
      </c>
      <c r="N662" s="189" t="str">
        <f ca="1">IFERROR(__xludf.DUMMYFUNCTION("""COMPUTED_VALUE"""),"")</f>
        <v/>
      </c>
      <c r="O662" s="189" t="str">
        <f ca="1">IFERROR(__xludf.DUMMYFUNCTION("""COMPUTED_VALUE"""),"")</f>
        <v/>
      </c>
      <c r="P662" s="189" t="str">
        <f ca="1">IFERROR(__xludf.DUMMYFUNCTION("""COMPUTED_VALUE"""),"")</f>
        <v/>
      </c>
      <c r="Q662" s="189" t="str">
        <f ca="1">IFERROR(__xludf.DUMMYFUNCTION("""COMPUTED_VALUE"""),"")</f>
        <v/>
      </c>
      <c r="R662" s="189" t="str">
        <f ca="1">IFERROR(__xludf.DUMMYFUNCTION("""COMPUTED_VALUE"""),"")</f>
        <v/>
      </c>
      <c r="S662" s="189" t="str">
        <f ca="1">IFERROR(__xludf.DUMMYFUNCTION("""COMPUTED_VALUE"""),"")</f>
        <v/>
      </c>
      <c r="T662" s="189" t="str">
        <f ca="1">IFERROR(__xludf.DUMMYFUNCTION("""COMPUTED_VALUE"""),"")</f>
        <v/>
      </c>
      <c r="U662" s="189" t="str">
        <f ca="1">IFERROR(__xludf.DUMMYFUNCTION("""COMPUTED_VALUE"""),"")</f>
        <v/>
      </c>
      <c r="V662" s="189" t="str">
        <f ca="1">IFERROR(__xludf.DUMMYFUNCTION("""COMPUTED_VALUE"""),"")</f>
        <v/>
      </c>
      <c r="W662" s="189" t="str">
        <f ca="1">IFERROR(__xludf.DUMMYFUNCTION("""COMPUTED_VALUE"""),"")</f>
        <v/>
      </c>
      <c r="X662" s="189" t="str">
        <f ca="1">IFERROR(__xludf.DUMMYFUNCTION("""COMPUTED_VALUE"""),"")</f>
        <v/>
      </c>
      <c r="Y662" s="189" t="str">
        <f ca="1">IFERROR(__xludf.DUMMYFUNCTION("""COMPUTED_VALUE"""),"")</f>
        <v/>
      </c>
      <c r="Z662" s="189"/>
    </row>
    <row r="663" spans="1:26" ht="12.75">
      <c r="A663" s="189" t="str">
        <f ca="1">IFERROR(__xludf.DUMMYFUNCTION("""COMPUTED_VALUE"""),"")</f>
        <v/>
      </c>
      <c r="B663" s="189" t="str">
        <f ca="1">IFERROR(__xludf.DUMMYFUNCTION("""COMPUTED_VALUE"""),"")</f>
        <v/>
      </c>
      <c r="C663" s="189" t="str">
        <f ca="1">IFERROR(__xludf.DUMMYFUNCTION("""COMPUTED_VALUE"""),"")</f>
        <v/>
      </c>
      <c r="D663" s="189" t="str">
        <f ca="1">IFERROR(__xludf.DUMMYFUNCTION("""COMPUTED_VALUE"""),"")</f>
        <v/>
      </c>
      <c r="E663" s="189" t="str">
        <f ca="1">IFERROR(__xludf.DUMMYFUNCTION("""COMPUTED_VALUE"""),"")</f>
        <v/>
      </c>
      <c r="F663" s="189" t="str">
        <f ca="1">IFERROR(__xludf.DUMMYFUNCTION("""COMPUTED_VALUE"""),"")</f>
        <v/>
      </c>
      <c r="G663" s="189" t="str">
        <f ca="1">IFERROR(__xludf.DUMMYFUNCTION("""COMPUTED_VALUE"""),"")</f>
        <v/>
      </c>
      <c r="H663" s="189" t="str">
        <f ca="1">IFERROR(__xludf.DUMMYFUNCTION("""COMPUTED_VALUE"""),"")</f>
        <v/>
      </c>
      <c r="I663" s="120" t="str">
        <f ca="1">IFERROR(__xludf.DUMMYFUNCTION("""COMPUTED_VALUE"""),"")</f>
        <v/>
      </c>
      <c r="J663" s="189" t="str">
        <f ca="1">IFERROR(__xludf.DUMMYFUNCTION("""COMPUTED_VALUE"""),"")</f>
        <v/>
      </c>
      <c r="K663" s="189" t="str">
        <f ca="1">IFERROR(__xludf.DUMMYFUNCTION("""COMPUTED_VALUE"""),"")</f>
        <v/>
      </c>
      <c r="L663" s="189" t="str">
        <f ca="1">IFERROR(__xludf.DUMMYFUNCTION("""COMPUTED_VALUE"""),"")</f>
        <v/>
      </c>
      <c r="M663" s="189" t="str">
        <f ca="1">IFERROR(__xludf.DUMMYFUNCTION("""COMPUTED_VALUE"""),"")</f>
        <v/>
      </c>
      <c r="N663" s="189" t="str">
        <f ca="1">IFERROR(__xludf.DUMMYFUNCTION("""COMPUTED_VALUE"""),"")</f>
        <v/>
      </c>
      <c r="O663" s="189" t="str">
        <f ca="1">IFERROR(__xludf.DUMMYFUNCTION("""COMPUTED_VALUE"""),"")</f>
        <v/>
      </c>
      <c r="P663" s="189" t="str">
        <f ca="1">IFERROR(__xludf.DUMMYFUNCTION("""COMPUTED_VALUE"""),"")</f>
        <v/>
      </c>
      <c r="Q663" s="189" t="str">
        <f ca="1">IFERROR(__xludf.DUMMYFUNCTION("""COMPUTED_VALUE"""),"")</f>
        <v/>
      </c>
      <c r="R663" s="189" t="str">
        <f ca="1">IFERROR(__xludf.DUMMYFUNCTION("""COMPUTED_VALUE"""),"")</f>
        <v/>
      </c>
      <c r="S663" s="189" t="str">
        <f ca="1">IFERROR(__xludf.DUMMYFUNCTION("""COMPUTED_VALUE"""),"")</f>
        <v/>
      </c>
      <c r="T663" s="189" t="str">
        <f ca="1">IFERROR(__xludf.DUMMYFUNCTION("""COMPUTED_VALUE"""),"")</f>
        <v/>
      </c>
      <c r="U663" s="189" t="str">
        <f ca="1">IFERROR(__xludf.DUMMYFUNCTION("""COMPUTED_VALUE"""),"")</f>
        <v/>
      </c>
      <c r="V663" s="189" t="str">
        <f ca="1">IFERROR(__xludf.DUMMYFUNCTION("""COMPUTED_VALUE"""),"")</f>
        <v/>
      </c>
      <c r="W663" s="189" t="str">
        <f ca="1">IFERROR(__xludf.DUMMYFUNCTION("""COMPUTED_VALUE"""),"")</f>
        <v/>
      </c>
      <c r="X663" s="189" t="str">
        <f ca="1">IFERROR(__xludf.DUMMYFUNCTION("""COMPUTED_VALUE"""),"")</f>
        <v/>
      </c>
      <c r="Y663" s="189" t="str">
        <f ca="1">IFERROR(__xludf.DUMMYFUNCTION("""COMPUTED_VALUE"""),"")</f>
        <v/>
      </c>
      <c r="Z663" s="189"/>
    </row>
    <row r="664" spans="1:26" ht="12.75">
      <c r="A664" s="189" t="str">
        <f ca="1">IFERROR(__xludf.DUMMYFUNCTION("""COMPUTED_VALUE"""),"")</f>
        <v/>
      </c>
      <c r="B664" s="189" t="str">
        <f ca="1">IFERROR(__xludf.DUMMYFUNCTION("""COMPUTED_VALUE"""),"")</f>
        <v/>
      </c>
      <c r="C664" s="189" t="str">
        <f ca="1">IFERROR(__xludf.DUMMYFUNCTION("""COMPUTED_VALUE"""),"")</f>
        <v/>
      </c>
      <c r="D664" s="189" t="str">
        <f ca="1">IFERROR(__xludf.DUMMYFUNCTION("""COMPUTED_VALUE"""),"")</f>
        <v/>
      </c>
      <c r="E664" s="189" t="str">
        <f ca="1">IFERROR(__xludf.DUMMYFUNCTION("""COMPUTED_VALUE"""),"")</f>
        <v/>
      </c>
      <c r="F664" s="189" t="str">
        <f ca="1">IFERROR(__xludf.DUMMYFUNCTION("""COMPUTED_VALUE"""),"")</f>
        <v/>
      </c>
      <c r="G664" s="189" t="str">
        <f ca="1">IFERROR(__xludf.DUMMYFUNCTION("""COMPUTED_VALUE"""),"")</f>
        <v/>
      </c>
      <c r="H664" s="189" t="str">
        <f ca="1">IFERROR(__xludf.DUMMYFUNCTION("""COMPUTED_VALUE"""),"")</f>
        <v/>
      </c>
      <c r="I664" s="120" t="str">
        <f ca="1">IFERROR(__xludf.DUMMYFUNCTION("""COMPUTED_VALUE"""),"")</f>
        <v/>
      </c>
      <c r="J664" s="189" t="str">
        <f ca="1">IFERROR(__xludf.DUMMYFUNCTION("""COMPUTED_VALUE"""),"")</f>
        <v/>
      </c>
      <c r="K664" s="189" t="str">
        <f ca="1">IFERROR(__xludf.DUMMYFUNCTION("""COMPUTED_VALUE"""),"")</f>
        <v/>
      </c>
      <c r="L664" s="189" t="str">
        <f ca="1">IFERROR(__xludf.DUMMYFUNCTION("""COMPUTED_VALUE"""),"")</f>
        <v/>
      </c>
      <c r="M664" s="189" t="str">
        <f ca="1">IFERROR(__xludf.DUMMYFUNCTION("""COMPUTED_VALUE"""),"")</f>
        <v/>
      </c>
      <c r="N664" s="189" t="str">
        <f ca="1">IFERROR(__xludf.DUMMYFUNCTION("""COMPUTED_VALUE"""),"")</f>
        <v/>
      </c>
      <c r="O664" s="189" t="str">
        <f ca="1">IFERROR(__xludf.DUMMYFUNCTION("""COMPUTED_VALUE"""),"")</f>
        <v/>
      </c>
      <c r="P664" s="189" t="str">
        <f ca="1">IFERROR(__xludf.DUMMYFUNCTION("""COMPUTED_VALUE"""),"")</f>
        <v/>
      </c>
      <c r="Q664" s="189" t="str">
        <f ca="1">IFERROR(__xludf.DUMMYFUNCTION("""COMPUTED_VALUE"""),"")</f>
        <v/>
      </c>
      <c r="R664" s="189" t="str">
        <f ca="1">IFERROR(__xludf.DUMMYFUNCTION("""COMPUTED_VALUE"""),"")</f>
        <v/>
      </c>
      <c r="S664" s="189" t="str">
        <f ca="1">IFERROR(__xludf.DUMMYFUNCTION("""COMPUTED_VALUE"""),"")</f>
        <v/>
      </c>
      <c r="T664" s="189" t="str">
        <f ca="1">IFERROR(__xludf.DUMMYFUNCTION("""COMPUTED_VALUE"""),"")</f>
        <v/>
      </c>
      <c r="U664" s="189" t="str">
        <f ca="1">IFERROR(__xludf.DUMMYFUNCTION("""COMPUTED_VALUE"""),"")</f>
        <v/>
      </c>
      <c r="V664" s="189" t="str">
        <f ca="1">IFERROR(__xludf.DUMMYFUNCTION("""COMPUTED_VALUE"""),"")</f>
        <v/>
      </c>
      <c r="W664" s="189" t="str">
        <f ca="1">IFERROR(__xludf.DUMMYFUNCTION("""COMPUTED_VALUE"""),"")</f>
        <v/>
      </c>
      <c r="X664" s="189" t="str">
        <f ca="1">IFERROR(__xludf.DUMMYFUNCTION("""COMPUTED_VALUE"""),"")</f>
        <v/>
      </c>
      <c r="Y664" s="189" t="str">
        <f ca="1">IFERROR(__xludf.DUMMYFUNCTION("""COMPUTED_VALUE"""),"")</f>
        <v/>
      </c>
      <c r="Z664" s="189"/>
    </row>
    <row r="665" spans="1:26" ht="12.75">
      <c r="A665" s="189" t="str">
        <f ca="1">IFERROR(__xludf.DUMMYFUNCTION("""COMPUTED_VALUE"""),"")</f>
        <v/>
      </c>
      <c r="B665" s="189" t="str">
        <f ca="1">IFERROR(__xludf.DUMMYFUNCTION("""COMPUTED_VALUE"""),"")</f>
        <v/>
      </c>
      <c r="C665" s="189" t="str">
        <f ca="1">IFERROR(__xludf.DUMMYFUNCTION("""COMPUTED_VALUE"""),"")</f>
        <v/>
      </c>
      <c r="D665" s="189" t="str">
        <f ca="1">IFERROR(__xludf.DUMMYFUNCTION("""COMPUTED_VALUE"""),"")</f>
        <v/>
      </c>
      <c r="E665" s="189" t="str">
        <f ca="1">IFERROR(__xludf.DUMMYFUNCTION("""COMPUTED_VALUE"""),"")</f>
        <v/>
      </c>
      <c r="F665" s="189" t="str">
        <f ca="1">IFERROR(__xludf.DUMMYFUNCTION("""COMPUTED_VALUE"""),"")</f>
        <v/>
      </c>
      <c r="G665" s="189" t="str">
        <f ca="1">IFERROR(__xludf.DUMMYFUNCTION("""COMPUTED_VALUE"""),"")</f>
        <v/>
      </c>
      <c r="H665" s="189" t="str">
        <f ca="1">IFERROR(__xludf.DUMMYFUNCTION("""COMPUTED_VALUE"""),"")</f>
        <v/>
      </c>
      <c r="I665" s="120" t="str">
        <f ca="1">IFERROR(__xludf.DUMMYFUNCTION("""COMPUTED_VALUE"""),"")</f>
        <v/>
      </c>
      <c r="J665" s="189" t="str">
        <f ca="1">IFERROR(__xludf.DUMMYFUNCTION("""COMPUTED_VALUE"""),"")</f>
        <v/>
      </c>
      <c r="K665" s="189" t="str">
        <f ca="1">IFERROR(__xludf.DUMMYFUNCTION("""COMPUTED_VALUE"""),"")</f>
        <v/>
      </c>
      <c r="L665" s="189" t="str">
        <f ca="1">IFERROR(__xludf.DUMMYFUNCTION("""COMPUTED_VALUE"""),"")</f>
        <v/>
      </c>
      <c r="M665" s="189" t="str">
        <f ca="1">IFERROR(__xludf.DUMMYFUNCTION("""COMPUTED_VALUE"""),"")</f>
        <v/>
      </c>
      <c r="N665" s="189" t="str">
        <f ca="1">IFERROR(__xludf.DUMMYFUNCTION("""COMPUTED_VALUE"""),"")</f>
        <v/>
      </c>
      <c r="O665" s="189" t="str">
        <f ca="1">IFERROR(__xludf.DUMMYFUNCTION("""COMPUTED_VALUE"""),"")</f>
        <v/>
      </c>
      <c r="P665" s="189" t="str">
        <f ca="1">IFERROR(__xludf.DUMMYFUNCTION("""COMPUTED_VALUE"""),"")</f>
        <v/>
      </c>
      <c r="Q665" s="189" t="str">
        <f ca="1">IFERROR(__xludf.DUMMYFUNCTION("""COMPUTED_VALUE"""),"")</f>
        <v/>
      </c>
      <c r="R665" s="189" t="str">
        <f ca="1">IFERROR(__xludf.DUMMYFUNCTION("""COMPUTED_VALUE"""),"")</f>
        <v/>
      </c>
      <c r="S665" s="189" t="str">
        <f ca="1">IFERROR(__xludf.DUMMYFUNCTION("""COMPUTED_VALUE"""),"")</f>
        <v/>
      </c>
      <c r="T665" s="189" t="str">
        <f ca="1">IFERROR(__xludf.DUMMYFUNCTION("""COMPUTED_VALUE"""),"")</f>
        <v/>
      </c>
      <c r="U665" s="189" t="str">
        <f ca="1">IFERROR(__xludf.DUMMYFUNCTION("""COMPUTED_VALUE"""),"")</f>
        <v/>
      </c>
      <c r="V665" s="189" t="str">
        <f ca="1">IFERROR(__xludf.DUMMYFUNCTION("""COMPUTED_VALUE"""),"")</f>
        <v/>
      </c>
      <c r="W665" s="189" t="str">
        <f ca="1">IFERROR(__xludf.DUMMYFUNCTION("""COMPUTED_VALUE"""),"")</f>
        <v/>
      </c>
      <c r="X665" s="189" t="str">
        <f ca="1">IFERROR(__xludf.DUMMYFUNCTION("""COMPUTED_VALUE"""),"")</f>
        <v/>
      </c>
      <c r="Y665" s="189" t="str">
        <f ca="1">IFERROR(__xludf.DUMMYFUNCTION("""COMPUTED_VALUE"""),"")</f>
        <v/>
      </c>
      <c r="Z665" s="189"/>
    </row>
    <row r="666" spans="1:26" ht="12.75">
      <c r="A666" s="189" t="str">
        <f ca="1">IFERROR(__xludf.DUMMYFUNCTION("""COMPUTED_VALUE"""),"")</f>
        <v/>
      </c>
      <c r="B666" s="189" t="str">
        <f ca="1">IFERROR(__xludf.DUMMYFUNCTION("""COMPUTED_VALUE"""),"")</f>
        <v/>
      </c>
      <c r="C666" s="189" t="str">
        <f ca="1">IFERROR(__xludf.DUMMYFUNCTION("""COMPUTED_VALUE"""),"")</f>
        <v/>
      </c>
      <c r="D666" s="189" t="str">
        <f ca="1">IFERROR(__xludf.DUMMYFUNCTION("""COMPUTED_VALUE"""),"")</f>
        <v/>
      </c>
      <c r="E666" s="189" t="str">
        <f ca="1">IFERROR(__xludf.DUMMYFUNCTION("""COMPUTED_VALUE"""),"")</f>
        <v/>
      </c>
      <c r="F666" s="189" t="str">
        <f ca="1">IFERROR(__xludf.DUMMYFUNCTION("""COMPUTED_VALUE"""),"")</f>
        <v/>
      </c>
      <c r="G666" s="189" t="str">
        <f ca="1">IFERROR(__xludf.DUMMYFUNCTION("""COMPUTED_VALUE"""),"")</f>
        <v/>
      </c>
      <c r="H666" s="189" t="str">
        <f ca="1">IFERROR(__xludf.DUMMYFUNCTION("""COMPUTED_VALUE"""),"")</f>
        <v/>
      </c>
      <c r="I666" s="120" t="str">
        <f ca="1">IFERROR(__xludf.DUMMYFUNCTION("""COMPUTED_VALUE"""),"")</f>
        <v/>
      </c>
      <c r="J666" s="189" t="str">
        <f ca="1">IFERROR(__xludf.DUMMYFUNCTION("""COMPUTED_VALUE"""),"")</f>
        <v/>
      </c>
      <c r="K666" s="189" t="str">
        <f ca="1">IFERROR(__xludf.DUMMYFUNCTION("""COMPUTED_VALUE"""),"")</f>
        <v/>
      </c>
      <c r="L666" s="189" t="str">
        <f ca="1">IFERROR(__xludf.DUMMYFUNCTION("""COMPUTED_VALUE"""),"")</f>
        <v/>
      </c>
      <c r="M666" s="189" t="str">
        <f ca="1">IFERROR(__xludf.DUMMYFUNCTION("""COMPUTED_VALUE"""),"")</f>
        <v/>
      </c>
      <c r="N666" s="189" t="str">
        <f ca="1">IFERROR(__xludf.DUMMYFUNCTION("""COMPUTED_VALUE"""),"")</f>
        <v/>
      </c>
      <c r="O666" s="189" t="str">
        <f ca="1">IFERROR(__xludf.DUMMYFUNCTION("""COMPUTED_VALUE"""),"")</f>
        <v/>
      </c>
      <c r="P666" s="189" t="str">
        <f ca="1">IFERROR(__xludf.DUMMYFUNCTION("""COMPUTED_VALUE"""),"")</f>
        <v/>
      </c>
      <c r="Q666" s="189" t="str">
        <f ca="1">IFERROR(__xludf.DUMMYFUNCTION("""COMPUTED_VALUE"""),"")</f>
        <v/>
      </c>
      <c r="R666" s="189" t="str">
        <f ca="1">IFERROR(__xludf.DUMMYFUNCTION("""COMPUTED_VALUE"""),"")</f>
        <v/>
      </c>
      <c r="S666" s="189" t="str">
        <f ca="1">IFERROR(__xludf.DUMMYFUNCTION("""COMPUTED_VALUE"""),"")</f>
        <v/>
      </c>
      <c r="T666" s="189" t="str">
        <f ca="1">IFERROR(__xludf.DUMMYFUNCTION("""COMPUTED_VALUE"""),"")</f>
        <v/>
      </c>
      <c r="U666" s="189" t="str">
        <f ca="1">IFERROR(__xludf.DUMMYFUNCTION("""COMPUTED_VALUE"""),"")</f>
        <v/>
      </c>
      <c r="V666" s="189" t="str">
        <f ca="1">IFERROR(__xludf.DUMMYFUNCTION("""COMPUTED_VALUE"""),"")</f>
        <v/>
      </c>
      <c r="W666" s="189" t="str">
        <f ca="1">IFERROR(__xludf.DUMMYFUNCTION("""COMPUTED_VALUE"""),"")</f>
        <v/>
      </c>
      <c r="X666" s="189" t="str">
        <f ca="1">IFERROR(__xludf.DUMMYFUNCTION("""COMPUTED_VALUE"""),"")</f>
        <v/>
      </c>
      <c r="Y666" s="189" t="str">
        <f ca="1">IFERROR(__xludf.DUMMYFUNCTION("""COMPUTED_VALUE"""),"")</f>
        <v/>
      </c>
      <c r="Z666" s="189"/>
    </row>
    <row r="667" spans="1:26" ht="12.75">
      <c r="A667" s="189" t="str">
        <f ca="1">IFERROR(__xludf.DUMMYFUNCTION("""COMPUTED_VALUE"""),"")</f>
        <v/>
      </c>
      <c r="B667" s="189" t="str">
        <f ca="1">IFERROR(__xludf.DUMMYFUNCTION("""COMPUTED_VALUE"""),"")</f>
        <v/>
      </c>
      <c r="C667" s="189" t="str">
        <f ca="1">IFERROR(__xludf.DUMMYFUNCTION("""COMPUTED_VALUE"""),"")</f>
        <v/>
      </c>
      <c r="D667" s="189" t="str">
        <f ca="1">IFERROR(__xludf.DUMMYFUNCTION("""COMPUTED_VALUE"""),"")</f>
        <v/>
      </c>
      <c r="E667" s="189" t="str">
        <f ca="1">IFERROR(__xludf.DUMMYFUNCTION("""COMPUTED_VALUE"""),"")</f>
        <v/>
      </c>
      <c r="F667" s="189" t="str">
        <f ca="1">IFERROR(__xludf.DUMMYFUNCTION("""COMPUTED_VALUE"""),"")</f>
        <v/>
      </c>
      <c r="G667" s="189" t="str">
        <f ca="1">IFERROR(__xludf.DUMMYFUNCTION("""COMPUTED_VALUE"""),"")</f>
        <v/>
      </c>
      <c r="H667" s="189" t="str">
        <f ca="1">IFERROR(__xludf.DUMMYFUNCTION("""COMPUTED_VALUE"""),"")</f>
        <v/>
      </c>
      <c r="I667" s="120" t="str">
        <f ca="1">IFERROR(__xludf.DUMMYFUNCTION("""COMPUTED_VALUE"""),"")</f>
        <v/>
      </c>
      <c r="J667" s="189" t="str">
        <f ca="1">IFERROR(__xludf.DUMMYFUNCTION("""COMPUTED_VALUE"""),"")</f>
        <v/>
      </c>
      <c r="K667" s="189" t="str">
        <f ca="1">IFERROR(__xludf.DUMMYFUNCTION("""COMPUTED_VALUE"""),"")</f>
        <v/>
      </c>
      <c r="L667" s="189" t="str">
        <f ca="1">IFERROR(__xludf.DUMMYFUNCTION("""COMPUTED_VALUE"""),"")</f>
        <v/>
      </c>
      <c r="M667" s="189" t="str">
        <f ca="1">IFERROR(__xludf.DUMMYFUNCTION("""COMPUTED_VALUE"""),"")</f>
        <v/>
      </c>
      <c r="N667" s="189" t="str">
        <f ca="1">IFERROR(__xludf.DUMMYFUNCTION("""COMPUTED_VALUE"""),"")</f>
        <v/>
      </c>
      <c r="O667" s="189" t="str">
        <f ca="1">IFERROR(__xludf.DUMMYFUNCTION("""COMPUTED_VALUE"""),"")</f>
        <v/>
      </c>
      <c r="P667" s="189" t="str">
        <f ca="1">IFERROR(__xludf.DUMMYFUNCTION("""COMPUTED_VALUE"""),"")</f>
        <v/>
      </c>
      <c r="Q667" s="189" t="str">
        <f ca="1">IFERROR(__xludf.DUMMYFUNCTION("""COMPUTED_VALUE"""),"")</f>
        <v/>
      </c>
      <c r="R667" s="189" t="str">
        <f ca="1">IFERROR(__xludf.DUMMYFUNCTION("""COMPUTED_VALUE"""),"")</f>
        <v/>
      </c>
      <c r="S667" s="189" t="str">
        <f ca="1">IFERROR(__xludf.DUMMYFUNCTION("""COMPUTED_VALUE"""),"")</f>
        <v/>
      </c>
      <c r="T667" s="189" t="str">
        <f ca="1">IFERROR(__xludf.DUMMYFUNCTION("""COMPUTED_VALUE"""),"")</f>
        <v/>
      </c>
      <c r="U667" s="189" t="str">
        <f ca="1">IFERROR(__xludf.DUMMYFUNCTION("""COMPUTED_VALUE"""),"")</f>
        <v/>
      </c>
      <c r="V667" s="189" t="str">
        <f ca="1">IFERROR(__xludf.DUMMYFUNCTION("""COMPUTED_VALUE"""),"")</f>
        <v/>
      </c>
      <c r="W667" s="189" t="str">
        <f ca="1">IFERROR(__xludf.DUMMYFUNCTION("""COMPUTED_VALUE"""),"")</f>
        <v/>
      </c>
      <c r="X667" s="189" t="str">
        <f ca="1">IFERROR(__xludf.DUMMYFUNCTION("""COMPUTED_VALUE"""),"")</f>
        <v/>
      </c>
      <c r="Y667" s="189" t="str">
        <f ca="1">IFERROR(__xludf.DUMMYFUNCTION("""COMPUTED_VALUE"""),"")</f>
        <v/>
      </c>
      <c r="Z667" s="189"/>
    </row>
    <row r="668" spans="1:26" ht="12.75">
      <c r="A668" s="189" t="str">
        <f ca="1">IFERROR(__xludf.DUMMYFUNCTION("""COMPUTED_VALUE"""),"")</f>
        <v/>
      </c>
      <c r="B668" s="189" t="str">
        <f ca="1">IFERROR(__xludf.DUMMYFUNCTION("""COMPUTED_VALUE"""),"")</f>
        <v/>
      </c>
      <c r="C668" s="189" t="str">
        <f ca="1">IFERROR(__xludf.DUMMYFUNCTION("""COMPUTED_VALUE"""),"")</f>
        <v/>
      </c>
      <c r="D668" s="189" t="str">
        <f ca="1">IFERROR(__xludf.DUMMYFUNCTION("""COMPUTED_VALUE"""),"")</f>
        <v/>
      </c>
      <c r="E668" s="189" t="str">
        <f ca="1">IFERROR(__xludf.DUMMYFUNCTION("""COMPUTED_VALUE"""),"")</f>
        <v/>
      </c>
      <c r="F668" s="189" t="str">
        <f ca="1">IFERROR(__xludf.DUMMYFUNCTION("""COMPUTED_VALUE"""),"")</f>
        <v/>
      </c>
      <c r="G668" s="189" t="str">
        <f ca="1">IFERROR(__xludf.DUMMYFUNCTION("""COMPUTED_VALUE"""),"")</f>
        <v/>
      </c>
      <c r="H668" s="189" t="str">
        <f ca="1">IFERROR(__xludf.DUMMYFUNCTION("""COMPUTED_VALUE"""),"")</f>
        <v/>
      </c>
      <c r="I668" s="120" t="str">
        <f ca="1">IFERROR(__xludf.DUMMYFUNCTION("""COMPUTED_VALUE"""),"")</f>
        <v/>
      </c>
      <c r="J668" s="189" t="str">
        <f ca="1">IFERROR(__xludf.DUMMYFUNCTION("""COMPUTED_VALUE"""),"")</f>
        <v/>
      </c>
      <c r="K668" s="189" t="str">
        <f ca="1">IFERROR(__xludf.DUMMYFUNCTION("""COMPUTED_VALUE"""),"")</f>
        <v/>
      </c>
      <c r="L668" s="189" t="str">
        <f ca="1">IFERROR(__xludf.DUMMYFUNCTION("""COMPUTED_VALUE"""),"")</f>
        <v/>
      </c>
      <c r="M668" s="189" t="str">
        <f ca="1">IFERROR(__xludf.DUMMYFUNCTION("""COMPUTED_VALUE"""),"")</f>
        <v/>
      </c>
      <c r="N668" s="189" t="str">
        <f ca="1">IFERROR(__xludf.DUMMYFUNCTION("""COMPUTED_VALUE"""),"")</f>
        <v/>
      </c>
      <c r="O668" s="189" t="str">
        <f ca="1">IFERROR(__xludf.DUMMYFUNCTION("""COMPUTED_VALUE"""),"")</f>
        <v/>
      </c>
      <c r="P668" s="189" t="str">
        <f ca="1">IFERROR(__xludf.DUMMYFUNCTION("""COMPUTED_VALUE"""),"")</f>
        <v/>
      </c>
      <c r="Q668" s="189" t="str">
        <f ca="1">IFERROR(__xludf.DUMMYFUNCTION("""COMPUTED_VALUE"""),"")</f>
        <v/>
      </c>
      <c r="R668" s="189" t="str">
        <f ca="1">IFERROR(__xludf.DUMMYFUNCTION("""COMPUTED_VALUE"""),"")</f>
        <v/>
      </c>
      <c r="S668" s="189" t="str">
        <f ca="1">IFERROR(__xludf.DUMMYFUNCTION("""COMPUTED_VALUE"""),"")</f>
        <v/>
      </c>
      <c r="T668" s="189" t="str">
        <f ca="1">IFERROR(__xludf.DUMMYFUNCTION("""COMPUTED_VALUE"""),"")</f>
        <v/>
      </c>
      <c r="U668" s="189" t="str">
        <f ca="1">IFERROR(__xludf.DUMMYFUNCTION("""COMPUTED_VALUE"""),"")</f>
        <v/>
      </c>
      <c r="V668" s="189" t="str">
        <f ca="1">IFERROR(__xludf.DUMMYFUNCTION("""COMPUTED_VALUE"""),"")</f>
        <v/>
      </c>
      <c r="W668" s="189" t="str">
        <f ca="1">IFERROR(__xludf.DUMMYFUNCTION("""COMPUTED_VALUE"""),"")</f>
        <v/>
      </c>
      <c r="X668" s="189" t="str">
        <f ca="1">IFERROR(__xludf.DUMMYFUNCTION("""COMPUTED_VALUE"""),"")</f>
        <v/>
      </c>
      <c r="Y668" s="189" t="str">
        <f ca="1">IFERROR(__xludf.DUMMYFUNCTION("""COMPUTED_VALUE"""),"")</f>
        <v/>
      </c>
      <c r="Z668" s="189"/>
    </row>
    <row r="669" spans="1:26" ht="12.75">
      <c r="A669" s="189" t="str">
        <f ca="1">IFERROR(__xludf.DUMMYFUNCTION("""COMPUTED_VALUE"""),"")</f>
        <v/>
      </c>
      <c r="B669" s="189" t="str">
        <f ca="1">IFERROR(__xludf.DUMMYFUNCTION("""COMPUTED_VALUE"""),"")</f>
        <v/>
      </c>
      <c r="C669" s="189" t="str">
        <f ca="1">IFERROR(__xludf.DUMMYFUNCTION("""COMPUTED_VALUE"""),"")</f>
        <v/>
      </c>
      <c r="D669" s="189" t="str">
        <f ca="1">IFERROR(__xludf.DUMMYFUNCTION("""COMPUTED_VALUE"""),"")</f>
        <v/>
      </c>
      <c r="E669" s="189" t="str">
        <f ca="1">IFERROR(__xludf.DUMMYFUNCTION("""COMPUTED_VALUE"""),"")</f>
        <v/>
      </c>
      <c r="F669" s="189" t="str">
        <f ca="1">IFERROR(__xludf.DUMMYFUNCTION("""COMPUTED_VALUE"""),"")</f>
        <v/>
      </c>
      <c r="G669" s="189" t="str">
        <f ca="1">IFERROR(__xludf.DUMMYFUNCTION("""COMPUTED_VALUE"""),"")</f>
        <v/>
      </c>
      <c r="H669" s="189" t="str">
        <f ca="1">IFERROR(__xludf.DUMMYFUNCTION("""COMPUTED_VALUE"""),"")</f>
        <v/>
      </c>
      <c r="I669" s="120" t="str">
        <f ca="1">IFERROR(__xludf.DUMMYFUNCTION("""COMPUTED_VALUE"""),"")</f>
        <v/>
      </c>
      <c r="J669" s="189" t="str">
        <f ca="1">IFERROR(__xludf.DUMMYFUNCTION("""COMPUTED_VALUE"""),"")</f>
        <v/>
      </c>
      <c r="K669" s="189" t="str">
        <f ca="1">IFERROR(__xludf.DUMMYFUNCTION("""COMPUTED_VALUE"""),"")</f>
        <v/>
      </c>
      <c r="L669" s="189" t="str">
        <f ca="1">IFERROR(__xludf.DUMMYFUNCTION("""COMPUTED_VALUE"""),"")</f>
        <v/>
      </c>
      <c r="M669" s="189" t="str">
        <f ca="1">IFERROR(__xludf.DUMMYFUNCTION("""COMPUTED_VALUE"""),"")</f>
        <v/>
      </c>
      <c r="N669" s="189" t="str">
        <f ca="1">IFERROR(__xludf.DUMMYFUNCTION("""COMPUTED_VALUE"""),"")</f>
        <v/>
      </c>
      <c r="O669" s="189" t="str">
        <f ca="1">IFERROR(__xludf.DUMMYFUNCTION("""COMPUTED_VALUE"""),"")</f>
        <v/>
      </c>
      <c r="P669" s="189" t="str">
        <f ca="1">IFERROR(__xludf.DUMMYFUNCTION("""COMPUTED_VALUE"""),"")</f>
        <v/>
      </c>
      <c r="Q669" s="189" t="str">
        <f ca="1">IFERROR(__xludf.DUMMYFUNCTION("""COMPUTED_VALUE"""),"")</f>
        <v/>
      </c>
      <c r="R669" s="189" t="str">
        <f ca="1">IFERROR(__xludf.DUMMYFUNCTION("""COMPUTED_VALUE"""),"")</f>
        <v/>
      </c>
      <c r="S669" s="189" t="str">
        <f ca="1">IFERROR(__xludf.DUMMYFUNCTION("""COMPUTED_VALUE"""),"")</f>
        <v/>
      </c>
      <c r="T669" s="189" t="str">
        <f ca="1">IFERROR(__xludf.DUMMYFUNCTION("""COMPUTED_VALUE"""),"")</f>
        <v/>
      </c>
      <c r="U669" s="189" t="str">
        <f ca="1">IFERROR(__xludf.DUMMYFUNCTION("""COMPUTED_VALUE"""),"")</f>
        <v/>
      </c>
      <c r="V669" s="189" t="str">
        <f ca="1">IFERROR(__xludf.DUMMYFUNCTION("""COMPUTED_VALUE"""),"")</f>
        <v/>
      </c>
      <c r="W669" s="189" t="str">
        <f ca="1">IFERROR(__xludf.DUMMYFUNCTION("""COMPUTED_VALUE"""),"")</f>
        <v/>
      </c>
      <c r="X669" s="189" t="str">
        <f ca="1">IFERROR(__xludf.DUMMYFUNCTION("""COMPUTED_VALUE"""),"")</f>
        <v/>
      </c>
      <c r="Y669" s="189" t="str">
        <f ca="1">IFERROR(__xludf.DUMMYFUNCTION("""COMPUTED_VALUE"""),"")</f>
        <v/>
      </c>
      <c r="Z669" s="189"/>
    </row>
    <row r="670" spans="1:26" ht="12.75">
      <c r="A670" s="189" t="str">
        <f ca="1">IFERROR(__xludf.DUMMYFUNCTION("""COMPUTED_VALUE"""),"")</f>
        <v/>
      </c>
      <c r="B670" s="189" t="str">
        <f ca="1">IFERROR(__xludf.DUMMYFUNCTION("""COMPUTED_VALUE"""),"")</f>
        <v/>
      </c>
      <c r="C670" s="189" t="str">
        <f ca="1">IFERROR(__xludf.DUMMYFUNCTION("""COMPUTED_VALUE"""),"")</f>
        <v/>
      </c>
      <c r="D670" s="189" t="str">
        <f ca="1">IFERROR(__xludf.DUMMYFUNCTION("""COMPUTED_VALUE"""),"")</f>
        <v/>
      </c>
      <c r="E670" s="189" t="str">
        <f ca="1">IFERROR(__xludf.DUMMYFUNCTION("""COMPUTED_VALUE"""),"")</f>
        <v/>
      </c>
      <c r="F670" s="189" t="str">
        <f ca="1">IFERROR(__xludf.DUMMYFUNCTION("""COMPUTED_VALUE"""),"")</f>
        <v/>
      </c>
      <c r="G670" s="189" t="str">
        <f ca="1">IFERROR(__xludf.DUMMYFUNCTION("""COMPUTED_VALUE"""),"")</f>
        <v/>
      </c>
      <c r="H670" s="189" t="str">
        <f ca="1">IFERROR(__xludf.DUMMYFUNCTION("""COMPUTED_VALUE"""),"")</f>
        <v/>
      </c>
      <c r="I670" s="120" t="str">
        <f ca="1">IFERROR(__xludf.DUMMYFUNCTION("""COMPUTED_VALUE"""),"")</f>
        <v/>
      </c>
      <c r="J670" s="189" t="str">
        <f ca="1">IFERROR(__xludf.DUMMYFUNCTION("""COMPUTED_VALUE"""),"")</f>
        <v/>
      </c>
      <c r="K670" s="189" t="str">
        <f ca="1">IFERROR(__xludf.DUMMYFUNCTION("""COMPUTED_VALUE"""),"")</f>
        <v/>
      </c>
      <c r="L670" s="189" t="str">
        <f ca="1">IFERROR(__xludf.DUMMYFUNCTION("""COMPUTED_VALUE"""),"")</f>
        <v/>
      </c>
      <c r="M670" s="189" t="str">
        <f ca="1">IFERROR(__xludf.DUMMYFUNCTION("""COMPUTED_VALUE"""),"")</f>
        <v/>
      </c>
      <c r="N670" s="189" t="str">
        <f ca="1">IFERROR(__xludf.DUMMYFUNCTION("""COMPUTED_VALUE"""),"")</f>
        <v/>
      </c>
      <c r="O670" s="189" t="str">
        <f ca="1">IFERROR(__xludf.DUMMYFUNCTION("""COMPUTED_VALUE"""),"")</f>
        <v/>
      </c>
      <c r="P670" s="189" t="str">
        <f ca="1">IFERROR(__xludf.DUMMYFUNCTION("""COMPUTED_VALUE"""),"")</f>
        <v/>
      </c>
      <c r="Q670" s="189" t="str">
        <f ca="1">IFERROR(__xludf.DUMMYFUNCTION("""COMPUTED_VALUE"""),"")</f>
        <v/>
      </c>
      <c r="R670" s="189" t="str">
        <f ca="1">IFERROR(__xludf.DUMMYFUNCTION("""COMPUTED_VALUE"""),"")</f>
        <v/>
      </c>
      <c r="S670" s="189" t="str">
        <f ca="1">IFERROR(__xludf.DUMMYFUNCTION("""COMPUTED_VALUE"""),"")</f>
        <v/>
      </c>
      <c r="T670" s="189" t="str">
        <f ca="1">IFERROR(__xludf.DUMMYFUNCTION("""COMPUTED_VALUE"""),"")</f>
        <v/>
      </c>
      <c r="U670" s="189" t="str">
        <f ca="1">IFERROR(__xludf.DUMMYFUNCTION("""COMPUTED_VALUE"""),"")</f>
        <v/>
      </c>
      <c r="V670" s="189" t="str">
        <f ca="1">IFERROR(__xludf.DUMMYFUNCTION("""COMPUTED_VALUE"""),"")</f>
        <v/>
      </c>
      <c r="W670" s="189" t="str">
        <f ca="1">IFERROR(__xludf.DUMMYFUNCTION("""COMPUTED_VALUE"""),"")</f>
        <v/>
      </c>
      <c r="X670" s="189" t="str">
        <f ca="1">IFERROR(__xludf.DUMMYFUNCTION("""COMPUTED_VALUE"""),"")</f>
        <v/>
      </c>
      <c r="Y670" s="189" t="str">
        <f ca="1">IFERROR(__xludf.DUMMYFUNCTION("""COMPUTED_VALUE"""),"")</f>
        <v/>
      </c>
      <c r="Z670" s="189"/>
    </row>
    <row r="671" spans="1:26" ht="12.75">
      <c r="A671" s="189" t="str">
        <f ca="1">IFERROR(__xludf.DUMMYFUNCTION("""COMPUTED_VALUE"""),"")</f>
        <v/>
      </c>
      <c r="B671" s="189" t="str">
        <f ca="1">IFERROR(__xludf.DUMMYFUNCTION("""COMPUTED_VALUE"""),"")</f>
        <v/>
      </c>
      <c r="C671" s="189" t="str">
        <f ca="1">IFERROR(__xludf.DUMMYFUNCTION("""COMPUTED_VALUE"""),"")</f>
        <v/>
      </c>
      <c r="D671" s="189" t="str">
        <f ca="1">IFERROR(__xludf.DUMMYFUNCTION("""COMPUTED_VALUE"""),"")</f>
        <v/>
      </c>
      <c r="E671" s="189" t="str">
        <f ca="1">IFERROR(__xludf.DUMMYFUNCTION("""COMPUTED_VALUE"""),"")</f>
        <v/>
      </c>
      <c r="F671" s="189" t="str">
        <f ca="1">IFERROR(__xludf.DUMMYFUNCTION("""COMPUTED_VALUE"""),"")</f>
        <v/>
      </c>
      <c r="G671" s="189" t="str">
        <f ca="1">IFERROR(__xludf.DUMMYFUNCTION("""COMPUTED_VALUE"""),"")</f>
        <v/>
      </c>
      <c r="H671" s="189" t="str">
        <f ca="1">IFERROR(__xludf.DUMMYFUNCTION("""COMPUTED_VALUE"""),"")</f>
        <v/>
      </c>
      <c r="I671" s="120" t="str">
        <f ca="1">IFERROR(__xludf.DUMMYFUNCTION("""COMPUTED_VALUE"""),"")</f>
        <v/>
      </c>
      <c r="J671" s="189" t="str">
        <f ca="1">IFERROR(__xludf.DUMMYFUNCTION("""COMPUTED_VALUE"""),"")</f>
        <v/>
      </c>
      <c r="K671" s="189" t="str">
        <f ca="1">IFERROR(__xludf.DUMMYFUNCTION("""COMPUTED_VALUE"""),"")</f>
        <v/>
      </c>
      <c r="L671" s="189" t="str">
        <f ca="1">IFERROR(__xludf.DUMMYFUNCTION("""COMPUTED_VALUE"""),"")</f>
        <v/>
      </c>
      <c r="M671" s="189" t="str">
        <f ca="1">IFERROR(__xludf.DUMMYFUNCTION("""COMPUTED_VALUE"""),"")</f>
        <v/>
      </c>
      <c r="N671" s="189" t="str">
        <f ca="1">IFERROR(__xludf.DUMMYFUNCTION("""COMPUTED_VALUE"""),"")</f>
        <v/>
      </c>
      <c r="O671" s="189" t="str">
        <f ca="1">IFERROR(__xludf.DUMMYFUNCTION("""COMPUTED_VALUE"""),"")</f>
        <v/>
      </c>
      <c r="P671" s="189" t="str">
        <f ca="1">IFERROR(__xludf.DUMMYFUNCTION("""COMPUTED_VALUE"""),"")</f>
        <v/>
      </c>
      <c r="Q671" s="189" t="str">
        <f ca="1">IFERROR(__xludf.DUMMYFUNCTION("""COMPUTED_VALUE"""),"")</f>
        <v/>
      </c>
      <c r="R671" s="189" t="str">
        <f ca="1">IFERROR(__xludf.DUMMYFUNCTION("""COMPUTED_VALUE"""),"")</f>
        <v/>
      </c>
      <c r="S671" s="189" t="str">
        <f ca="1">IFERROR(__xludf.DUMMYFUNCTION("""COMPUTED_VALUE"""),"")</f>
        <v/>
      </c>
      <c r="T671" s="189" t="str">
        <f ca="1">IFERROR(__xludf.DUMMYFUNCTION("""COMPUTED_VALUE"""),"")</f>
        <v/>
      </c>
      <c r="U671" s="189" t="str">
        <f ca="1">IFERROR(__xludf.DUMMYFUNCTION("""COMPUTED_VALUE"""),"")</f>
        <v/>
      </c>
      <c r="V671" s="189" t="str">
        <f ca="1">IFERROR(__xludf.DUMMYFUNCTION("""COMPUTED_VALUE"""),"")</f>
        <v/>
      </c>
      <c r="W671" s="189" t="str">
        <f ca="1">IFERROR(__xludf.DUMMYFUNCTION("""COMPUTED_VALUE"""),"")</f>
        <v/>
      </c>
      <c r="X671" s="189" t="str">
        <f ca="1">IFERROR(__xludf.DUMMYFUNCTION("""COMPUTED_VALUE"""),"")</f>
        <v/>
      </c>
      <c r="Y671" s="189" t="str">
        <f ca="1">IFERROR(__xludf.DUMMYFUNCTION("""COMPUTED_VALUE"""),"")</f>
        <v/>
      </c>
      <c r="Z671" s="189"/>
    </row>
    <row r="672" spans="1:26" ht="12.75">
      <c r="A672" s="189" t="str">
        <f ca="1">IFERROR(__xludf.DUMMYFUNCTION("""COMPUTED_VALUE"""),"")</f>
        <v/>
      </c>
      <c r="B672" s="189" t="str">
        <f ca="1">IFERROR(__xludf.DUMMYFUNCTION("""COMPUTED_VALUE"""),"")</f>
        <v/>
      </c>
      <c r="C672" s="189" t="str">
        <f ca="1">IFERROR(__xludf.DUMMYFUNCTION("""COMPUTED_VALUE"""),"")</f>
        <v/>
      </c>
      <c r="D672" s="189" t="str">
        <f ca="1">IFERROR(__xludf.DUMMYFUNCTION("""COMPUTED_VALUE"""),"")</f>
        <v/>
      </c>
      <c r="E672" s="189" t="str">
        <f ca="1">IFERROR(__xludf.DUMMYFUNCTION("""COMPUTED_VALUE"""),"")</f>
        <v/>
      </c>
      <c r="F672" s="189" t="str">
        <f ca="1">IFERROR(__xludf.DUMMYFUNCTION("""COMPUTED_VALUE"""),"")</f>
        <v/>
      </c>
      <c r="G672" s="189" t="str">
        <f ca="1">IFERROR(__xludf.DUMMYFUNCTION("""COMPUTED_VALUE"""),"")</f>
        <v/>
      </c>
      <c r="H672" s="189" t="str">
        <f ca="1">IFERROR(__xludf.DUMMYFUNCTION("""COMPUTED_VALUE"""),"")</f>
        <v/>
      </c>
      <c r="I672" s="120" t="str">
        <f ca="1">IFERROR(__xludf.DUMMYFUNCTION("""COMPUTED_VALUE"""),"")</f>
        <v/>
      </c>
      <c r="J672" s="189" t="str">
        <f ca="1">IFERROR(__xludf.DUMMYFUNCTION("""COMPUTED_VALUE"""),"")</f>
        <v/>
      </c>
      <c r="K672" s="189" t="str">
        <f ca="1">IFERROR(__xludf.DUMMYFUNCTION("""COMPUTED_VALUE"""),"")</f>
        <v/>
      </c>
      <c r="L672" s="189" t="str">
        <f ca="1">IFERROR(__xludf.DUMMYFUNCTION("""COMPUTED_VALUE"""),"")</f>
        <v/>
      </c>
      <c r="M672" s="189" t="str">
        <f ca="1">IFERROR(__xludf.DUMMYFUNCTION("""COMPUTED_VALUE"""),"")</f>
        <v/>
      </c>
      <c r="N672" s="189" t="str">
        <f ca="1">IFERROR(__xludf.DUMMYFUNCTION("""COMPUTED_VALUE"""),"")</f>
        <v/>
      </c>
      <c r="O672" s="189" t="str">
        <f ca="1">IFERROR(__xludf.DUMMYFUNCTION("""COMPUTED_VALUE"""),"")</f>
        <v/>
      </c>
      <c r="P672" s="189" t="str">
        <f ca="1">IFERROR(__xludf.DUMMYFUNCTION("""COMPUTED_VALUE"""),"")</f>
        <v/>
      </c>
      <c r="Q672" s="189" t="str">
        <f ca="1">IFERROR(__xludf.DUMMYFUNCTION("""COMPUTED_VALUE"""),"")</f>
        <v/>
      </c>
      <c r="R672" s="189" t="str">
        <f ca="1">IFERROR(__xludf.DUMMYFUNCTION("""COMPUTED_VALUE"""),"")</f>
        <v/>
      </c>
      <c r="S672" s="189" t="str">
        <f ca="1">IFERROR(__xludf.DUMMYFUNCTION("""COMPUTED_VALUE"""),"")</f>
        <v/>
      </c>
      <c r="T672" s="189" t="str">
        <f ca="1">IFERROR(__xludf.DUMMYFUNCTION("""COMPUTED_VALUE"""),"")</f>
        <v/>
      </c>
      <c r="U672" s="189" t="str">
        <f ca="1">IFERROR(__xludf.DUMMYFUNCTION("""COMPUTED_VALUE"""),"")</f>
        <v/>
      </c>
      <c r="V672" s="189" t="str">
        <f ca="1">IFERROR(__xludf.DUMMYFUNCTION("""COMPUTED_VALUE"""),"")</f>
        <v/>
      </c>
      <c r="W672" s="189" t="str">
        <f ca="1">IFERROR(__xludf.DUMMYFUNCTION("""COMPUTED_VALUE"""),"")</f>
        <v/>
      </c>
      <c r="X672" s="189" t="str">
        <f ca="1">IFERROR(__xludf.DUMMYFUNCTION("""COMPUTED_VALUE"""),"")</f>
        <v/>
      </c>
      <c r="Y672" s="189" t="str">
        <f ca="1">IFERROR(__xludf.DUMMYFUNCTION("""COMPUTED_VALUE"""),"")</f>
        <v/>
      </c>
      <c r="Z672" s="189"/>
    </row>
    <row r="673" spans="1:26" ht="12.75">
      <c r="A673" s="189" t="str">
        <f ca="1">IFERROR(__xludf.DUMMYFUNCTION("""COMPUTED_VALUE"""),"")</f>
        <v/>
      </c>
      <c r="B673" s="189" t="str">
        <f ca="1">IFERROR(__xludf.DUMMYFUNCTION("""COMPUTED_VALUE"""),"")</f>
        <v/>
      </c>
      <c r="C673" s="189" t="str">
        <f ca="1">IFERROR(__xludf.DUMMYFUNCTION("""COMPUTED_VALUE"""),"")</f>
        <v/>
      </c>
      <c r="D673" s="189" t="str">
        <f ca="1">IFERROR(__xludf.DUMMYFUNCTION("""COMPUTED_VALUE"""),"")</f>
        <v/>
      </c>
      <c r="E673" s="189" t="str">
        <f ca="1">IFERROR(__xludf.DUMMYFUNCTION("""COMPUTED_VALUE"""),"")</f>
        <v/>
      </c>
      <c r="F673" s="189" t="str">
        <f ca="1">IFERROR(__xludf.DUMMYFUNCTION("""COMPUTED_VALUE"""),"")</f>
        <v/>
      </c>
      <c r="G673" s="189" t="str">
        <f ca="1">IFERROR(__xludf.DUMMYFUNCTION("""COMPUTED_VALUE"""),"")</f>
        <v/>
      </c>
      <c r="H673" s="189" t="str">
        <f ca="1">IFERROR(__xludf.DUMMYFUNCTION("""COMPUTED_VALUE"""),"")</f>
        <v/>
      </c>
      <c r="I673" s="120" t="str">
        <f ca="1">IFERROR(__xludf.DUMMYFUNCTION("""COMPUTED_VALUE"""),"")</f>
        <v/>
      </c>
      <c r="J673" s="189" t="str">
        <f ca="1">IFERROR(__xludf.DUMMYFUNCTION("""COMPUTED_VALUE"""),"")</f>
        <v/>
      </c>
      <c r="K673" s="189" t="str">
        <f ca="1">IFERROR(__xludf.DUMMYFUNCTION("""COMPUTED_VALUE"""),"")</f>
        <v/>
      </c>
      <c r="L673" s="189" t="str">
        <f ca="1">IFERROR(__xludf.DUMMYFUNCTION("""COMPUTED_VALUE"""),"")</f>
        <v/>
      </c>
      <c r="M673" s="189" t="str">
        <f ca="1">IFERROR(__xludf.DUMMYFUNCTION("""COMPUTED_VALUE"""),"")</f>
        <v/>
      </c>
      <c r="N673" s="189" t="str">
        <f ca="1">IFERROR(__xludf.DUMMYFUNCTION("""COMPUTED_VALUE"""),"")</f>
        <v/>
      </c>
      <c r="O673" s="189" t="str">
        <f ca="1">IFERROR(__xludf.DUMMYFUNCTION("""COMPUTED_VALUE"""),"")</f>
        <v/>
      </c>
      <c r="P673" s="189" t="str">
        <f ca="1">IFERROR(__xludf.DUMMYFUNCTION("""COMPUTED_VALUE"""),"")</f>
        <v/>
      </c>
      <c r="Q673" s="189" t="str">
        <f ca="1">IFERROR(__xludf.DUMMYFUNCTION("""COMPUTED_VALUE"""),"")</f>
        <v/>
      </c>
      <c r="R673" s="189" t="str">
        <f ca="1">IFERROR(__xludf.DUMMYFUNCTION("""COMPUTED_VALUE"""),"")</f>
        <v/>
      </c>
      <c r="S673" s="189" t="str">
        <f ca="1">IFERROR(__xludf.DUMMYFUNCTION("""COMPUTED_VALUE"""),"")</f>
        <v/>
      </c>
      <c r="T673" s="189" t="str">
        <f ca="1">IFERROR(__xludf.DUMMYFUNCTION("""COMPUTED_VALUE"""),"")</f>
        <v/>
      </c>
      <c r="U673" s="189" t="str">
        <f ca="1">IFERROR(__xludf.DUMMYFUNCTION("""COMPUTED_VALUE"""),"")</f>
        <v/>
      </c>
      <c r="V673" s="189" t="str">
        <f ca="1">IFERROR(__xludf.DUMMYFUNCTION("""COMPUTED_VALUE"""),"")</f>
        <v/>
      </c>
      <c r="W673" s="189" t="str">
        <f ca="1">IFERROR(__xludf.DUMMYFUNCTION("""COMPUTED_VALUE"""),"")</f>
        <v/>
      </c>
      <c r="X673" s="189" t="str">
        <f ca="1">IFERROR(__xludf.DUMMYFUNCTION("""COMPUTED_VALUE"""),"")</f>
        <v/>
      </c>
      <c r="Y673" s="189" t="str">
        <f ca="1">IFERROR(__xludf.DUMMYFUNCTION("""COMPUTED_VALUE"""),"")</f>
        <v/>
      </c>
      <c r="Z673" s="189"/>
    </row>
    <row r="674" spans="1:26" ht="12.75">
      <c r="A674" s="189" t="str">
        <f ca="1">IFERROR(__xludf.DUMMYFUNCTION("""COMPUTED_VALUE"""),"")</f>
        <v/>
      </c>
      <c r="B674" s="189" t="str">
        <f ca="1">IFERROR(__xludf.DUMMYFUNCTION("""COMPUTED_VALUE"""),"")</f>
        <v/>
      </c>
      <c r="C674" s="189" t="str">
        <f ca="1">IFERROR(__xludf.DUMMYFUNCTION("""COMPUTED_VALUE"""),"")</f>
        <v/>
      </c>
      <c r="D674" s="189" t="str">
        <f ca="1">IFERROR(__xludf.DUMMYFUNCTION("""COMPUTED_VALUE"""),"")</f>
        <v/>
      </c>
      <c r="E674" s="189" t="str">
        <f ca="1">IFERROR(__xludf.DUMMYFUNCTION("""COMPUTED_VALUE"""),"")</f>
        <v/>
      </c>
      <c r="F674" s="189" t="str">
        <f ca="1">IFERROR(__xludf.DUMMYFUNCTION("""COMPUTED_VALUE"""),"")</f>
        <v/>
      </c>
      <c r="G674" s="189" t="str">
        <f ca="1">IFERROR(__xludf.DUMMYFUNCTION("""COMPUTED_VALUE"""),"")</f>
        <v/>
      </c>
      <c r="H674" s="189" t="str">
        <f ca="1">IFERROR(__xludf.DUMMYFUNCTION("""COMPUTED_VALUE"""),"")</f>
        <v/>
      </c>
      <c r="I674" s="120" t="str">
        <f ca="1">IFERROR(__xludf.DUMMYFUNCTION("""COMPUTED_VALUE"""),"")</f>
        <v/>
      </c>
      <c r="J674" s="189" t="str">
        <f ca="1">IFERROR(__xludf.DUMMYFUNCTION("""COMPUTED_VALUE"""),"")</f>
        <v/>
      </c>
      <c r="K674" s="189" t="str">
        <f ca="1">IFERROR(__xludf.DUMMYFUNCTION("""COMPUTED_VALUE"""),"")</f>
        <v/>
      </c>
      <c r="L674" s="189" t="str">
        <f ca="1">IFERROR(__xludf.DUMMYFUNCTION("""COMPUTED_VALUE"""),"")</f>
        <v/>
      </c>
      <c r="M674" s="189" t="str">
        <f ca="1">IFERROR(__xludf.DUMMYFUNCTION("""COMPUTED_VALUE"""),"")</f>
        <v/>
      </c>
      <c r="N674" s="189" t="str">
        <f ca="1">IFERROR(__xludf.DUMMYFUNCTION("""COMPUTED_VALUE"""),"")</f>
        <v/>
      </c>
      <c r="O674" s="189" t="str">
        <f ca="1">IFERROR(__xludf.DUMMYFUNCTION("""COMPUTED_VALUE"""),"")</f>
        <v/>
      </c>
      <c r="P674" s="189" t="str">
        <f ca="1">IFERROR(__xludf.DUMMYFUNCTION("""COMPUTED_VALUE"""),"")</f>
        <v/>
      </c>
      <c r="Q674" s="189" t="str">
        <f ca="1">IFERROR(__xludf.DUMMYFUNCTION("""COMPUTED_VALUE"""),"")</f>
        <v/>
      </c>
      <c r="R674" s="189" t="str">
        <f ca="1">IFERROR(__xludf.DUMMYFUNCTION("""COMPUTED_VALUE"""),"")</f>
        <v/>
      </c>
      <c r="S674" s="189" t="str">
        <f ca="1">IFERROR(__xludf.DUMMYFUNCTION("""COMPUTED_VALUE"""),"")</f>
        <v/>
      </c>
      <c r="T674" s="189" t="str">
        <f ca="1">IFERROR(__xludf.DUMMYFUNCTION("""COMPUTED_VALUE"""),"")</f>
        <v/>
      </c>
      <c r="U674" s="189" t="str">
        <f ca="1">IFERROR(__xludf.DUMMYFUNCTION("""COMPUTED_VALUE"""),"")</f>
        <v/>
      </c>
      <c r="V674" s="189" t="str">
        <f ca="1">IFERROR(__xludf.DUMMYFUNCTION("""COMPUTED_VALUE"""),"")</f>
        <v/>
      </c>
      <c r="W674" s="189" t="str">
        <f ca="1">IFERROR(__xludf.DUMMYFUNCTION("""COMPUTED_VALUE"""),"")</f>
        <v/>
      </c>
      <c r="X674" s="189" t="str">
        <f ca="1">IFERROR(__xludf.DUMMYFUNCTION("""COMPUTED_VALUE"""),"")</f>
        <v/>
      </c>
      <c r="Y674" s="189" t="str">
        <f ca="1">IFERROR(__xludf.DUMMYFUNCTION("""COMPUTED_VALUE"""),"")</f>
        <v/>
      </c>
      <c r="Z674" s="189"/>
    </row>
    <row r="675" spans="1:26" ht="12.75">
      <c r="A675" s="189" t="str">
        <f ca="1">IFERROR(__xludf.DUMMYFUNCTION("""COMPUTED_VALUE"""),"")</f>
        <v/>
      </c>
      <c r="B675" s="189" t="str">
        <f ca="1">IFERROR(__xludf.DUMMYFUNCTION("""COMPUTED_VALUE"""),"")</f>
        <v/>
      </c>
      <c r="C675" s="189" t="str">
        <f ca="1">IFERROR(__xludf.DUMMYFUNCTION("""COMPUTED_VALUE"""),"")</f>
        <v/>
      </c>
      <c r="D675" s="189" t="str">
        <f ca="1">IFERROR(__xludf.DUMMYFUNCTION("""COMPUTED_VALUE"""),"")</f>
        <v/>
      </c>
      <c r="E675" s="189" t="str">
        <f ca="1">IFERROR(__xludf.DUMMYFUNCTION("""COMPUTED_VALUE"""),"")</f>
        <v/>
      </c>
      <c r="F675" s="189" t="str">
        <f ca="1">IFERROR(__xludf.DUMMYFUNCTION("""COMPUTED_VALUE"""),"")</f>
        <v/>
      </c>
      <c r="G675" s="189" t="str">
        <f ca="1">IFERROR(__xludf.DUMMYFUNCTION("""COMPUTED_VALUE"""),"")</f>
        <v/>
      </c>
      <c r="H675" s="189" t="str">
        <f ca="1">IFERROR(__xludf.DUMMYFUNCTION("""COMPUTED_VALUE"""),"")</f>
        <v/>
      </c>
      <c r="I675" s="120" t="str">
        <f ca="1">IFERROR(__xludf.DUMMYFUNCTION("""COMPUTED_VALUE"""),"")</f>
        <v/>
      </c>
      <c r="J675" s="189" t="str">
        <f ca="1">IFERROR(__xludf.DUMMYFUNCTION("""COMPUTED_VALUE"""),"")</f>
        <v/>
      </c>
      <c r="K675" s="189" t="str">
        <f ca="1">IFERROR(__xludf.DUMMYFUNCTION("""COMPUTED_VALUE"""),"")</f>
        <v/>
      </c>
      <c r="L675" s="189" t="str">
        <f ca="1">IFERROR(__xludf.DUMMYFUNCTION("""COMPUTED_VALUE"""),"")</f>
        <v/>
      </c>
      <c r="M675" s="189" t="str">
        <f ca="1">IFERROR(__xludf.DUMMYFUNCTION("""COMPUTED_VALUE"""),"")</f>
        <v/>
      </c>
      <c r="N675" s="189" t="str">
        <f ca="1">IFERROR(__xludf.DUMMYFUNCTION("""COMPUTED_VALUE"""),"")</f>
        <v/>
      </c>
      <c r="O675" s="189" t="str">
        <f ca="1">IFERROR(__xludf.DUMMYFUNCTION("""COMPUTED_VALUE"""),"")</f>
        <v/>
      </c>
      <c r="P675" s="189" t="str">
        <f ca="1">IFERROR(__xludf.DUMMYFUNCTION("""COMPUTED_VALUE"""),"")</f>
        <v/>
      </c>
      <c r="Q675" s="189" t="str">
        <f ca="1">IFERROR(__xludf.DUMMYFUNCTION("""COMPUTED_VALUE"""),"")</f>
        <v/>
      </c>
      <c r="R675" s="189" t="str">
        <f ca="1">IFERROR(__xludf.DUMMYFUNCTION("""COMPUTED_VALUE"""),"")</f>
        <v/>
      </c>
      <c r="S675" s="189" t="str">
        <f ca="1">IFERROR(__xludf.DUMMYFUNCTION("""COMPUTED_VALUE"""),"")</f>
        <v/>
      </c>
      <c r="T675" s="189" t="str">
        <f ca="1">IFERROR(__xludf.DUMMYFUNCTION("""COMPUTED_VALUE"""),"")</f>
        <v/>
      </c>
      <c r="U675" s="189" t="str">
        <f ca="1">IFERROR(__xludf.DUMMYFUNCTION("""COMPUTED_VALUE"""),"")</f>
        <v/>
      </c>
      <c r="V675" s="189" t="str">
        <f ca="1">IFERROR(__xludf.DUMMYFUNCTION("""COMPUTED_VALUE"""),"")</f>
        <v/>
      </c>
      <c r="W675" s="189" t="str">
        <f ca="1">IFERROR(__xludf.DUMMYFUNCTION("""COMPUTED_VALUE"""),"")</f>
        <v/>
      </c>
      <c r="X675" s="189" t="str">
        <f ca="1">IFERROR(__xludf.DUMMYFUNCTION("""COMPUTED_VALUE"""),"")</f>
        <v/>
      </c>
      <c r="Y675" s="189" t="str">
        <f ca="1">IFERROR(__xludf.DUMMYFUNCTION("""COMPUTED_VALUE"""),"")</f>
        <v/>
      </c>
      <c r="Z675" s="189"/>
    </row>
    <row r="676" spans="1:26" ht="12.75">
      <c r="A676" s="189" t="str">
        <f ca="1">IFERROR(__xludf.DUMMYFUNCTION("""COMPUTED_VALUE"""),"")</f>
        <v/>
      </c>
      <c r="B676" s="189" t="str">
        <f ca="1">IFERROR(__xludf.DUMMYFUNCTION("""COMPUTED_VALUE"""),"")</f>
        <v/>
      </c>
      <c r="C676" s="189" t="str">
        <f ca="1">IFERROR(__xludf.DUMMYFUNCTION("""COMPUTED_VALUE"""),"")</f>
        <v/>
      </c>
      <c r="D676" s="189" t="str">
        <f ca="1">IFERROR(__xludf.DUMMYFUNCTION("""COMPUTED_VALUE"""),"")</f>
        <v/>
      </c>
      <c r="E676" s="189" t="str">
        <f ca="1">IFERROR(__xludf.DUMMYFUNCTION("""COMPUTED_VALUE"""),"")</f>
        <v/>
      </c>
      <c r="F676" s="189" t="str">
        <f ca="1">IFERROR(__xludf.DUMMYFUNCTION("""COMPUTED_VALUE"""),"")</f>
        <v/>
      </c>
      <c r="G676" s="189" t="str">
        <f ca="1">IFERROR(__xludf.DUMMYFUNCTION("""COMPUTED_VALUE"""),"")</f>
        <v/>
      </c>
      <c r="H676" s="189" t="str">
        <f ca="1">IFERROR(__xludf.DUMMYFUNCTION("""COMPUTED_VALUE"""),"")</f>
        <v/>
      </c>
      <c r="I676" s="120" t="str">
        <f ca="1">IFERROR(__xludf.DUMMYFUNCTION("""COMPUTED_VALUE"""),"")</f>
        <v/>
      </c>
      <c r="J676" s="189" t="str">
        <f ca="1">IFERROR(__xludf.DUMMYFUNCTION("""COMPUTED_VALUE"""),"")</f>
        <v/>
      </c>
      <c r="K676" s="189" t="str">
        <f ca="1">IFERROR(__xludf.DUMMYFUNCTION("""COMPUTED_VALUE"""),"")</f>
        <v/>
      </c>
      <c r="L676" s="189" t="str">
        <f ca="1">IFERROR(__xludf.DUMMYFUNCTION("""COMPUTED_VALUE"""),"")</f>
        <v/>
      </c>
      <c r="M676" s="189" t="str">
        <f ca="1">IFERROR(__xludf.DUMMYFUNCTION("""COMPUTED_VALUE"""),"")</f>
        <v/>
      </c>
      <c r="N676" s="189" t="str">
        <f ca="1">IFERROR(__xludf.DUMMYFUNCTION("""COMPUTED_VALUE"""),"")</f>
        <v/>
      </c>
      <c r="O676" s="189" t="str">
        <f ca="1">IFERROR(__xludf.DUMMYFUNCTION("""COMPUTED_VALUE"""),"")</f>
        <v/>
      </c>
      <c r="P676" s="189" t="str">
        <f ca="1">IFERROR(__xludf.DUMMYFUNCTION("""COMPUTED_VALUE"""),"")</f>
        <v/>
      </c>
      <c r="Q676" s="189" t="str">
        <f ca="1">IFERROR(__xludf.DUMMYFUNCTION("""COMPUTED_VALUE"""),"")</f>
        <v/>
      </c>
      <c r="R676" s="189" t="str">
        <f ca="1">IFERROR(__xludf.DUMMYFUNCTION("""COMPUTED_VALUE"""),"")</f>
        <v/>
      </c>
      <c r="S676" s="189" t="str">
        <f ca="1">IFERROR(__xludf.DUMMYFUNCTION("""COMPUTED_VALUE"""),"")</f>
        <v/>
      </c>
      <c r="T676" s="189" t="str">
        <f ca="1">IFERROR(__xludf.DUMMYFUNCTION("""COMPUTED_VALUE"""),"")</f>
        <v/>
      </c>
      <c r="U676" s="189" t="str">
        <f ca="1">IFERROR(__xludf.DUMMYFUNCTION("""COMPUTED_VALUE"""),"")</f>
        <v/>
      </c>
      <c r="V676" s="189" t="str">
        <f ca="1">IFERROR(__xludf.DUMMYFUNCTION("""COMPUTED_VALUE"""),"")</f>
        <v/>
      </c>
      <c r="W676" s="189" t="str">
        <f ca="1">IFERROR(__xludf.DUMMYFUNCTION("""COMPUTED_VALUE"""),"")</f>
        <v/>
      </c>
      <c r="X676" s="189" t="str">
        <f ca="1">IFERROR(__xludf.DUMMYFUNCTION("""COMPUTED_VALUE"""),"")</f>
        <v/>
      </c>
      <c r="Y676" s="189" t="str">
        <f ca="1">IFERROR(__xludf.DUMMYFUNCTION("""COMPUTED_VALUE"""),"")</f>
        <v/>
      </c>
      <c r="Z676" s="189"/>
    </row>
    <row r="677" spans="1:26" ht="12.75">
      <c r="A677" s="189" t="str">
        <f ca="1">IFERROR(__xludf.DUMMYFUNCTION("""COMPUTED_VALUE"""),"")</f>
        <v/>
      </c>
      <c r="B677" s="189" t="str">
        <f ca="1">IFERROR(__xludf.DUMMYFUNCTION("""COMPUTED_VALUE"""),"")</f>
        <v/>
      </c>
      <c r="C677" s="189" t="str">
        <f ca="1">IFERROR(__xludf.DUMMYFUNCTION("""COMPUTED_VALUE"""),"")</f>
        <v/>
      </c>
      <c r="D677" s="189" t="str">
        <f ca="1">IFERROR(__xludf.DUMMYFUNCTION("""COMPUTED_VALUE"""),"")</f>
        <v/>
      </c>
      <c r="E677" s="189" t="str">
        <f ca="1">IFERROR(__xludf.DUMMYFUNCTION("""COMPUTED_VALUE"""),"")</f>
        <v/>
      </c>
      <c r="F677" s="189" t="str">
        <f ca="1">IFERROR(__xludf.DUMMYFUNCTION("""COMPUTED_VALUE"""),"")</f>
        <v/>
      </c>
      <c r="G677" s="189" t="str">
        <f ca="1">IFERROR(__xludf.DUMMYFUNCTION("""COMPUTED_VALUE"""),"")</f>
        <v/>
      </c>
      <c r="H677" s="189" t="str">
        <f ca="1">IFERROR(__xludf.DUMMYFUNCTION("""COMPUTED_VALUE"""),"")</f>
        <v/>
      </c>
      <c r="I677" s="120" t="str">
        <f ca="1">IFERROR(__xludf.DUMMYFUNCTION("""COMPUTED_VALUE"""),"")</f>
        <v/>
      </c>
      <c r="J677" s="189" t="str">
        <f ca="1">IFERROR(__xludf.DUMMYFUNCTION("""COMPUTED_VALUE"""),"")</f>
        <v/>
      </c>
      <c r="K677" s="189" t="str">
        <f ca="1">IFERROR(__xludf.DUMMYFUNCTION("""COMPUTED_VALUE"""),"")</f>
        <v/>
      </c>
      <c r="L677" s="189" t="str">
        <f ca="1">IFERROR(__xludf.DUMMYFUNCTION("""COMPUTED_VALUE"""),"")</f>
        <v/>
      </c>
      <c r="M677" s="189" t="str">
        <f ca="1">IFERROR(__xludf.DUMMYFUNCTION("""COMPUTED_VALUE"""),"")</f>
        <v/>
      </c>
      <c r="N677" s="189" t="str">
        <f ca="1">IFERROR(__xludf.DUMMYFUNCTION("""COMPUTED_VALUE"""),"")</f>
        <v/>
      </c>
      <c r="O677" s="189" t="str">
        <f ca="1">IFERROR(__xludf.DUMMYFUNCTION("""COMPUTED_VALUE"""),"")</f>
        <v/>
      </c>
      <c r="P677" s="189" t="str">
        <f ca="1">IFERROR(__xludf.DUMMYFUNCTION("""COMPUTED_VALUE"""),"")</f>
        <v/>
      </c>
      <c r="Q677" s="189" t="str">
        <f ca="1">IFERROR(__xludf.DUMMYFUNCTION("""COMPUTED_VALUE"""),"")</f>
        <v/>
      </c>
      <c r="R677" s="189" t="str">
        <f ca="1">IFERROR(__xludf.DUMMYFUNCTION("""COMPUTED_VALUE"""),"")</f>
        <v/>
      </c>
      <c r="S677" s="189" t="str">
        <f ca="1">IFERROR(__xludf.DUMMYFUNCTION("""COMPUTED_VALUE"""),"")</f>
        <v/>
      </c>
      <c r="T677" s="189" t="str">
        <f ca="1">IFERROR(__xludf.DUMMYFUNCTION("""COMPUTED_VALUE"""),"")</f>
        <v/>
      </c>
      <c r="U677" s="189" t="str">
        <f ca="1">IFERROR(__xludf.DUMMYFUNCTION("""COMPUTED_VALUE"""),"")</f>
        <v/>
      </c>
      <c r="V677" s="189" t="str">
        <f ca="1">IFERROR(__xludf.DUMMYFUNCTION("""COMPUTED_VALUE"""),"")</f>
        <v/>
      </c>
      <c r="W677" s="189" t="str">
        <f ca="1">IFERROR(__xludf.DUMMYFUNCTION("""COMPUTED_VALUE"""),"")</f>
        <v/>
      </c>
      <c r="X677" s="189" t="str">
        <f ca="1">IFERROR(__xludf.DUMMYFUNCTION("""COMPUTED_VALUE"""),"")</f>
        <v/>
      </c>
      <c r="Y677" s="189" t="str">
        <f ca="1">IFERROR(__xludf.DUMMYFUNCTION("""COMPUTED_VALUE"""),"")</f>
        <v/>
      </c>
      <c r="Z677" s="189"/>
    </row>
    <row r="678" spans="1:26" ht="12.75">
      <c r="A678" s="189" t="str">
        <f ca="1">IFERROR(__xludf.DUMMYFUNCTION("""COMPUTED_VALUE"""),"")</f>
        <v/>
      </c>
      <c r="B678" s="189" t="str">
        <f ca="1">IFERROR(__xludf.DUMMYFUNCTION("""COMPUTED_VALUE"""),"")</f>
        <v/>
      </c>
      <c r="C678" s="189" t="str">
        <f ca="1">IFERROR(__xludf.DUMMYFUNCTION("""COMPUTED_VALUE"""),"")</f>
        <v/>
      </c>
      <c r="D678" s="189" t="str">
        <f ca="1">IFERROR(__xludf.DUMMYFUNCTION("""COMPUTED_VALUE"""),"")</f>
        <v/>
      </c>
      <c r="E678" s="189" t="str">
        <f ca="1">IFERROR(__xludf.DUMMYFUNCTION("""COMPUTED_VALUE"""),"")</f>
        <v/>
      </c>
      <c r="F678" s="189" t="str">
        <f ca="1">IFERROR(__xludf.DUMMYFUNCTION("""COMPUTED_VALUE"""),"")</f>
        <v/>
      </c>
      <c r="G678" s="189" t="str">
        <f ca="1">IFERROR(__xludf.DUMMYFUNCTION("""COMPUTED_VALUE"""),"")</f>
        <v/>
      </c>
      <c r="H678" s="189" t="str">
        <f ca="1">IFERROR(__xludf.DUMMYFUNCTION("""COMPUTED_VALUE"""),"")</f>
        <v/>
      </c>
      <c r="I678" s="120" t="str">
        <f ca="1">IFERROR(__xludf.DUMMYFUNCTION("""COMPUTED_VALUE"""),"")</f>
        <v/>
      </c>
      <c r="J678" s="189" t="str">
        <f ca="1">IFERROR(__xludf.DUMMYFUNCTION("""COMPUTED_VALUE"""),"")</f>
        <v/>
      </c>
      <c r="K678" s="189" t="str">
        <f ca="1">IFERROR(__xludf.DUMMYFUNCTION("""COMPUTED_VALUE"""),"")</f>
        <v/>
      </c>
      <c r="L678" s="189" t="str">
        <f ca="1">IFERROR(__xludf.DUMMYFUNCTION("""COMPUTED_VALUE"""),"")</f>
        <v/>
      </c>
      <c r="M678" s="189" t="str">
        <f ca="1">IFERROR(__xludf.DUMMYFUNCTION("""COMPUTED_VALUE"""),"")</f>
        <v/>
      </c>
      <c r="N678" s="189" t="str">
        <f ca="1">IFERROR(__xludf.DUMMYFUNCTION("""COMPUTED_VALUE"""),"")</f>
        <v/>
      </c>
      <c r="O678" s="189" t="str">
        <f ca="1">IFERROR(__xludf.DUMMYFUNCTION("""COMPUTED_VALUE"""),"")</f>
        <v/>
      </c>
      <c r="P678" s="189" t="str">
        <f ca="1">IFERROR(__xludf.DUMMYFUNCTION("""COMPUTED_VALUE"""),"")</f>
        <v/>
      </c>
      <c r="Q678" s="189" t="str">
        <f ca="1">IFERROR(__xludf.DUMMYFUNCTION("""COMPUTED_VALUE"""),"")</f>
        <v/>
      </c>
      <c r="R678" s="189" t="str">
        <f ca="1">IFERROR(__xludf.DUMMYFUNCTION("""COMPUTED_VALUE"""),"")</f>
        <v/>
      </c>
      <c r="S678" s="189" t="str">
        <f ca="1">IFERROR(__xludf.DUMMYFUNCTION("""COMPUTED_VALUE"""),"")</f>
        <v/>
      </c>
      <c r="T678" s="189" t="str">
        <f ca="1">IFERROR(__xludf.DUMMYFUNCTION("""COMPUTED_VALUE"""),"")</f>
        <v/>
      </c>
      <c r="U678" s="189" t="str">
        <f ca="1">IFERROR(__xludf.DUMMYFUNCTION("""COMPUTED_VALUE"""),"")</f>
        <v/>
      </c>
      <c r="V678" s="189" t="str">
        <f ca="1">IFERROR(__xludf.DUMMYFUNCTION("""COMPUTED_VALUE"""),"")</f>
        <v/>
      </c>
      <c r="W678" s="189" t="str">
        <f ca="1">IFERROR(__xludf.DUMMYFUNCTION("""COMPUTED_VALUE"""),"")</f>
        <v/>
      </c>
      <c r="X678" s="189" t="str">
        <f ca="1">IFERROR(__xludf.DUMMYFUNCTION("""COMPUTED_VALUE"""),"")</f>
        <v/>
      </c>
      <c r="Y678" s="189" t="str">
        <f ca="1">IFERROR(__xludf.DUMMYFUNCTION("""COMPUTED_VALUE"""),"")</f>
        <v/>
      </c>
      <c r="Z678" s="189"/>
    </row>
    <row r="679" spans="1:26" ht="12.75">
      <c r="A679" s="189" t="str">
        <f ca="1">IFERROR(__xludf.DUMMYFUNCTION("""COMPUTED_VALUE"""),"")</f>
        <v/>
      </c>
      <c r="B679" s="189" t="str">
        <f ca="1">IFERROR(__xludf.DUMMYFUNCTION("""COMPUTED_VALUE"""),"")</f>
        <v/>
      </c>
      <c r="C679" s="189" t="str">
        <f ca="1">IFERROR(__xludf.DUMMYFUNCTION("""COMPUTED_VALUE"""),"")</f>
        <v/>
      </c>
      <c r="D679" s="189" t="str">
        <f ca="1">IFERROR(__xludf.DUMMYFUNCTION("""COMPUTED_VALUE"""),"")</f>
        <v/>
      </c>
      <c r="E679" s="189" t="str">
        <f ca="1">IFERROR(__xludf.DUMMYFUNCTION("""COMPUTED_VALUE"""),"")</f>
        <v/>
      </c>
      <c r="F679" s="189" t="str">
        <f ca="1">IFERROR(__xludf.DUMMYFUNCTION("""COMPUTED_VALUE"""),"")</f>
        <v/>
      </c>
      <c r="G679" s="189" t="str">
        <f ca="1">IFERROR(__xludf.DUMMYFUNCTION("""COMPUTED_VALUE"""),"")</f>
        <v/>
      </c>
      <c r="H679" s="189" t="str">
        <f ca="1">IFERROR(__xludf.DUMMYFUNCTION("""COMPUTED_VALUE"""),"")</f>
        <v/>
      </c>
      <c r="I679" s="120" t="str">
        <f ca="1">IFERROR(__xludf.DUMMYFUNCTION("""COMPUTED_VALUE"""),"")</f>
        <v/>
      </c>
      <c r="J679" s="189" t="str">
        <f ca="1">IFERROR(__xludf.DUMMYFUNCTION("""COMPUTED_VALUE"""),"")</f>
        <v/>
      </c>
      <c r="K679" s="189" t="str">
        <f ca="1">IFERROR(__xludf.DUMMYFUNCTION("""COMPUTED_VALUE"""),"")</f>
        <v/>
      </c>
      <c r="L679" s="189" t="str">
        <f ca="1">IFERROR(__xludf.DUMMYFUNCTION("""COMPUTED_VALUE"""),"")</f>
        <v/>
      </c>
      <c r="M679" s="189" t="str">
        <f ca="1">IFERROR(__xludf.DUMMYFUNCTION("""COMPUTED_VALUE"""),"")</f>
        <v/>
      </c>
      <c r="N679" s="189" t="str">
        <f ca="1">IFERROR(__xludf.DUMMYFUNCTION("""COMPUTED_VALUE"""),"")</f>
        <v/>
      </c>
      <c r="O679" s="189" t="str">
        <f ca="1">IFERROR(__xludf.DUMMYFUNCTION("""COMPUTED_VALUE"""),"")</f>
        <v/>
      </c>
      <c r="P679" s="189" t="str">
        <f ca="1">IFERROR(__xludf.DUMMYFUNCTION("""COMPUTED_VALUE"""),"")</f>
        <v/>
      </c>
      <c r="Q679" s="189" t="str">
        <f ca="1">IFERROR(__xludf.DUMMYFUNCTION("""COMPUTED_VALUE"""),"")</f>
        <v/>
      </c>
      <c r="R679" s="189" t="str">
        <f ca="1">IFERROR(__xludf.DUMMYFUNCTION("""COMPUTED_VALUE"""),"")</f>
        <v/>
      </c>
      <c r="S679" s="189" t="str">
        <f ca="1">IFERROR(__xludf.DUMMYFUNCTION("""COMPUTED_VALUE"""),"")</f>
        <v/>
      </c>
      <c r="T679" s="189" t="str">
        <f ca="1">IFERROR(__xludf.DUMMYFUNCTION("""COMPUTED_VALUE"""),"")</f>
        <v/>
      </c>
      <c r="U679" s="189" t="str">
        <f ca="1">IFERROR(__xludf.DUMMYFUNCTION("""COMPUTED_VALUE"""),"")</f>
        <v/>
      </c>
      <c r="V679" s="189" t="str">
        <f ca="1">IFERROR(__xludf.DUMMYFUNCTION("""COMPUTED_VALUE"""),"")</f>
        <v/>
      </c>
      <c r="W679" s="189" t="str">
        <f ca="1">IFERROR(__xludf.DUMMYFUNCTION("""COMPUTED_VALUE"""),"")</f>
        <v/>
      </c>
      <c r="X679" s="189" t="str">
        <f ca="1">IFERROR(__xludf.DUMMYFUNCTION("""COMPUTED_VALUE"""),"")</f>
        <v/>
      </c>
      <c r="Y679" s="189" t="str">
        <f ca="1">IFERROR(__xludf.DUMMYFUNCTION("""COMPUTED_VALUE"""),"")</f>
        <v/>
      </c>
      <c r="Z679" s="189"/>
    </row>
    <row r="680" spans="1:26" ht="12.75">
      <c r="A680" s="189" t="str">
        <f ca="1">IFERROR(__xludf.DUMMYFUNCTION("""COMPUTED_VALUE"""),"")</f>
        <v/>
      </c>
      <c r="B680" s="189" t="str">
        <f ca="1">IFERROR(__xludf.DUMMYFUNCTION("""COMPUTED_VALUE"""),"")</f>
        <v/>
      </c>
      <c r="C680" s="189" t="str">
        <f ca="1">IFERROR(__xludf.DUMMYFUNCTION("""COMPUTED_VALUE"""),"")</f>
        <v/>
      </c>
      <c r="D680" s="189" t="str">
        <f ca="1">IFERROR(__xludf.DUMMYFUNCTION("""COMPUTED_VALUE"""),"")</f>
        <v/>
      </c>
      <c r="E680" s="189" t="str">
        <f ca="1">IFERROR(__xludf.DUMMYFUNCTION("""COMPUTED_VALUE"""),"")</f>
        <v/>
      </c>
      <c r="F680" s="189" t="str">
        <f ca="1">IFERROR(__xludf.DUMMYFUNCTION("""COMPUTED_VALUE"""),"")</f>
        <v/>
      </c>
      <c r="G680" s="189" t="str">
        <f ca="1">IFERROR(__xludf.DUMMYFUNCTION("""COMPUTED_VALUE"""),"")</f>
        <v/>
      </c>
      <c r="H680" s="189" t="str">
        <f ca="1">IFERROR(__xludf.DUMMYFUNCTION("""COMPUTED_VALUE"""),"")</f>
        <v/>
      </c>
      <c r="I680" s="120" t="str">
        <f ca="1">IFERROR(__xludf.DUMMYFUNCTION("""COMPUTED_VALUE"""),"")</f>
        <v/>
      </c>
      <c r="J680" s="189" t="str">
        <f ca="1">IFERROR(__xludf.DUMMYFUNCTION("""COMPUTED_VALUE"""),"")</f>
        <v/>
      </c>
      <c r="K680" s="189" t="str">
        <f ca="1">IFERROR(__xludf.DUMMYFUNCTION("""COMPUTED_VALUE"""),"")</f>
        <v/>
      </c>
      <c r="L680" s="189" t="str">
        <f ca="1">IFERROR(__xludf.DUMMYFUNCTION("""COMPUTED_VALUE"""),"")</f>
        <v/>
      </c>
      <c r="M680" s="189" t="str">
        <f ca="1">IFERROR(__xludf.DUMMYFUNCTION("""COMPUTED_VALUE"""),"")</f>
        <v/>
      </c>
      <c r="N680" s="189" t="str">
        <f ca="1">IFERROR(__xludf.DUMMYFUNCTION("""COMPUTED_VALUE"""),"")</f>
        <v/>
      </c>
      <c r="O680" s="189" t="str">
        <f ca="1">IFERROR(__xludf.DUMMYFUNCTION("""COMPUTED_VALUE"""),"")</f>
        <v/>
      </c>
      <c r="P680" s="189" t="str">
        <f ca="1">IFERROR(__xludf.DUMMYFUNCTION("""COMPUTED_VALUE"""),"")</f>
        <v/>
      </c>
      <c r="Q680" s="189" t="str">
        <f ca="1">IFERROR(__xludf.DUMMYFUNCTION("""COMPUTED_VALUE"""),"")</f>
        <v/>
      </c>
      <c r="R680" s="189" t="str">
        <f ca="1">IFERROR(__xludf.DUMMYFUNCTION("""COMPUTED_VALUE"""),"")</f>
        <v/>
      </c>
      <c r="S680" s="189" t="str">
        <f ca="1">IFERROR(__xludf.DUMMYFUNCTION("""COMPUTED_VALUE"""),"")</f>
        <v/>
      </c>
      <c r="T680" s="189" t="str">
        <f ca="1">IFERROR(__xludf.DUMMYFUNCTION("""COMPUTED_VALUE"""),"")</f>
        <v/>
      </c>
      <c r="U680" s="189" t="str">
        <f ca="1">IFERROR(__xludf.DUMMYFUNCTION("""COMPUTED_VALUE"""),"")</f>
        <v/>
      </c>
      <c r="V680" s="189" t="str">
        <f ca="1">IFERROR(__xludf.DUMMYFUNCTION("""COMPUTED_VALUE"""),"")</f>
        <v/>
      </c>
      <c r="W680" s="189" t="str">
        <f ca="1">IFERROR(__xludf.DUMMYFUNCTION("""COMPUTED_VALUE"""),"")</f>
        <v/>
      </c>
      <c r="X680" s="189" t="str">
        <f ca="1">IFERROR(__xludf.DUMMYFUNCTION("""COMPUTED_VALUE"""),"")</f>
        <v/>
      </c>
      <c r="Y680" s="189" t="str">
        <f ca="1">IFERROR(__xludf.DUMMYFUNCTION("""COMPUTED_VALUE"""),"")</f>
        <v/>
      </c>
      <c r="Z680" s="189"/>
    </row>
    <row r="681" spans="1:26" ht="12.75">
      <c r="A681" s="189" t="str">
        <f ca="1">IFERROR(__xludf.DUMMYFUNCTION("""COMPUTED_VALUE"""),"")</f>
        <v/>
      </c>
      <c r="B681" s="189" t="str">
        <f ca="1">IFERROR(__xludf.DUMMYFUNCTION("""COMPUTED_VALUE"""),"")</f>
        <v/>
      </c>
      <c r="C681" s="189" t="str">
        <f ca="1">IFERROR(__xludf.DUMMYFUNCTION("""COMPUTED_VALUE"""),"")</f>
        <v/>
      </c>
      <c r="D681" s="189" t="str">
        <f ca="1">IFERROR(__xludf.DUMMYFUNCTION("""COMPUTED_VALUE"""),"")</f>
        <v/>
      </c>
      <c r="E681" s="189" t="str">
        <f ca="1">IFERROR(__xludf.DUMMYFUNCTION("""COMPUTED_VALUE"""),"")</f>
        <v/>
      </c>
      <c r="F681" s="189" t="str">
        <f ca="1">IFERROR(__xludf.DUMMYFUNCTION("""COMPUTED_VALUE"""),"")</f>
        <v/>
      </c>
      <c r="G681" s="189" t="str">
        <f ca="1">IFERROR(__xludf.DUMMYFUNCTION("""COMPUTED_VALUE"""),"")</f>
        <v/>
      </c>
      <c r="H681" s="189" t="str">
        <f ca="1">IFERROR(__xludf.DUMMYFUNCTION("""COMPUTED_VALUE"""),"")</f>
        <v/>
      </c>
      <c r="I681" s="120" t="str">
        <f ca="1">IFERROR(__xludf.DUMMYFUNCTION("""COMPUTED_VALUE"""),"")</f>
        <v/>
      </c>
      <c r="J681" s="189" t="str">
        <f ca="1">IFERROR(__xludf.DUMMYFUNCTION("""COMPUTED_VALUE"""),"")</f>
        <v/>
      </c>
      <c r="K681" s="189" t="str">
        <f ca="1">IFERROR(__xludf.DUMMYFUNCTION("""COMPUTED_VALUE"""),"")</f>
        <v/>
      </c>
      <c r="L681" s="189" t="str">
        <f ca="1">IFERROR(__xludf.DUMMYFUNCTION("""COMPUTED_VALUE"""),"")</f>
        <v/>
      </c>
      <c r="M681" s="189" t="str">
        <f ca="1">IFERROR(__xludf.DUMMYFUNCTION("""COMPUTED_VALUE"""),"")</f>
        <v/>
      </c>
      <c r="N681" s="189" t="str">
        <f ca="1">IFERROR(__xludf.DUMMYFUNCTION("""COMPUTED_VALUE"""),"")</f>
        <v/>
      </c>
      <c r="O681" s="189" t="str">
        <f ca="1">IFERROR(__xludf.DUMMYFUNCTION("""COMPUTED_VALUE"""),"")</f>
        <v/>
      </c>
      <c r="P681" s="189" t="str">
        <f ca="1">IFERROR(__xludf.DUMMYFUNCTION("""COMPUTED_VALUE"""),"")</f>
        <v/>
      </c>
      <c r="Q681" s="189" t="str">
        <f ca="1">IFERROR(__xludf.DUMMYFUNCTION("""COMPUTED_VALUE"""),"")</f>
        <v/>
      </c>
      <c r="R681" s="189" t="str">
        <f ca="1">IFERROR(__xludf.DUMMYFUNCTION("""COMPUTED_VALUE"""),"")</f>
        <v/>
      </c>
      <c r="S681" s="189" t="str">
        <f ca="1">IFERROR(__xludf.DUMMYFUNCTION("""COMPUTED_VALUE"""),"")</f>
        <v/>
      </c>
      <c r="T681" s="189" t="str">
        <f ca="1">IFERROR(__xludf.DUMMYFUNCTION("""COMPUTED_VALUE"""),"")</f>
        <v/>
      </c>
      <c r="U681" s="189" t="str">
        <f ca="1">IFERROR(__xludf.DUMMYFUNCTION("""COMPUTED_VALUE"""),"")</f>
        <v/>
      </c>
      <c r="V681" s="189" t="str">
        <f ca="1">IFERROR(__xludf.DUMMYFUNCTION("""COMPUTED_VALUE"""),"")</f>
        <v/>
      </c>
      <c r="W681" s="189" t="str">
        <f ca="1">IFERROR(__xludf.DUMMYFUNCTION("""COMPUTED_VALUE"""),"")</f>
        <v/>
      </c>
      <c r="X681" s="189" t="str">
        <f ca="1">IFERROR(__xludf.DUMMYFUNCTION("""COMPUTED_VALUE"""),"")</f>
        <v/>
      </c>
      <c r="Y681" s="189" t="str">
        <f ca="1">IFERROR(__xludf.DUMMYFUNCTION("""COMPUTED_VALUE"""),"")</f>
        <v/>
      </c>
      <c r="Z681" s="189"/>
    </row>
    <row r="682" spans="1:26" ht="12.75">
      <c r="A682" s="189" t="str">
        <f ca="1">IFERROR(__xludf.DUMMYFUNCTION("""COMPUTED_VALUE"""),"")</f>
        <v/>
      </c>
      <c r="B682" s="189" t="str">
        <f ca="1">IFERROR(__xludf.DUMMYFUNCTION("""COMPUTED_VALUE"""),"")</f>
        <v/>
      </c>
      <c r="C682" s="189" t="str">
        <f ca="1">IFERROR(__xludf.DUMMYFUNCTION("""COMPUTED_VALUE"""),"")</f>
        <v/>
      </c>
      <c r="D682" s="189" t="str">
        <f ca="1">IFERROR(__xludf.DUMMYFUNCTION("""COMPUTED_VALUE"""),"")</f>
        <v/>
      </c>
      <c r="E682" s="189" t="str">
        <f ca="1">IFERROR(__xludf.DUMMYFUNCTION("""COMPUTED_VALUE"""),"")</f>
        <v/>
      </c>
      <c r="F682" s="189" t="str">
        <f ca="1">IFERROR(__xludf.DUMMYFUNCTION("""COMPUTED_VALUE"""),"")</f>
        <v/>
      </c>
      <c r="G682" s="189" t="str">
        <f ca="1">IFERROR(__xludf.DUMMYFUNCTION("""COMPUTED_VALUE"""),"")</f>
        <v/>
      </c>
      <c r="H682" s="189" t="str">
        <f ca="1">IFERROR(__xludf.DUMMYFUNCTION("""COMPUTED_VALUE"""),"")</f>
        <v/>
      </c>
      <c r="I682" s="120" t="str">
        <f ca="1">IFERROR(__xludf.DUMMYFUNCTION("""COMPUTED_VALUE"""),"")</f>
        <v/>
      </c>
      <c r="J682" s="189" t="str">
        <f ca="1">IFERROR(__xludf.DUMMYFUNCTION("""COMPUTED_VALUE"""),"")</f>
        <v/>
      </c>
      <c r="K682" s="189" t="str">
        <f ca="1">IFERROR(__xludf.DUMMYFUNCTION("""COMPUTED_VALUE"""),"")</f>
        <v/>
      </c>
      <c r="L682" s="189" t="str">
        <f ca="1">IFERROR(__xludf.DUMMYFUNCTION("""COMPUTED_VALUE"""),"")</f>
        <v/>
      </c>
      <c r="M682" s="189" t="str">
        <f ca="1">IFERROR(__xludf.DUMMYFUNCTION("""COMPUTED_VALUE"""),"")</f>
        <v/>
      </c>
      <c r="N682" s="189" t="str">
        <f ca="1">IFERROR(__xludf.DUMMYFUNCTION("""COMPUTED_VALUE"""),"")</f>
        <v/>
      </c>
      <c r="O682" s="189" t="str">
        <f ca="1">IFERROR(__xludf.DUMMYFUNCTION("""COMPUTED_VALUE"""),"")</f>
        <v/>
      </c>
      <c r="P682" s="189" t="str">
        <f ca="1">IFERROR(__xludf.DUMMYFUNCTION("""COMPUTED_VALUE"""),"")</f>
        <v/>
      </c>
      <c r="Q682" s="189" t="str">
        <f ca="1">IFERROR(__xludf.DUMMYFUNCTION("""COMPUTED_VALUE"""),"")</f>
        <v/>
      </c>
      <c r="R682" s="189" t="str">
        <f ca="1">IFERROR(__xludf.DUMMYFUNCTION("""COMPUTED_VALUE"""),"")</f>
        <v/>
      </c>
      <c r="S682" s="189" t="str">
        <f ca="1">IFERROR(__xludf.DUMMYFUNCTION("""COMPUTED_VALUE"""),"")</f>
        <v/>
      </c>
      <c r="T682" s="189" t="str">
        <f ca="1">IFERROR(__xludf.DUMMYFUNCTION("""COMPUTED_VALUE"""),"")</f>
        <v/>
      </c>
      <c r="U682" s="189" t="str">
        <f ca="1">IFERROR(__xludf.DUMMYFUNCTION("""COMPUTED_VALUE"""),"")</f>
        <v/>
      </c>
      <c r="V682" s="189" t="str">
        <f ca="1">IFERROR(__xludf.DUMMYFUNCTION("""COMPUTED_VALUE"""),"")</f>
        <v/>
      </c>
      <c r="W682" s="189" t="str">
        <f ca="1">IFERROR(__xludf.DUMMYFUNCTION("""COMPUTED_VALUE"""),"")</f>
        <v/>
      </c>
      <c r="X682" s="189" t="str">
        <f ca="1">IFERROR(__xludf.DUMMYFUNCTION("""COMPUTED_VALUE"""),"")</f>
        <v/>
      </c>
      <c r="Y682" s="189" t="str">
        <f ca="1">IFERROR(__xludf.DUMMYFUNCTION("""COMPUTED_VALUE"""),"")</f>
        <v/>
      </c>
      <c r="Z682" s="189"/>
    </row>
    <row r="683" spans="1:26" ht="12.75">
      <c r="A683" s="189" t="str">
        <f ca="1">IFERROR(__xludf.DUMMYFUNCTION("""COMPUTED_VALUE"""),"")</f>
        <v/>
      </c>
      <c r="B683" s="189" t="str">
        <f ca="1">IFERROR(__xludf.DUMMYFUNCTION("""COMPUTED_VALUE"""),"")</f>
        <v/>
      </c>
      <c r="C683" s="189" t="str">
        <f ca="1">IFERROR(__xludf.DUMMYFUNCTION("""COMPUTED_VALUE"""),"")</f>
        <v/>
      </c>
      <c r="D683" s="189" t="str">
        <f ca="1">IFERROR(__xludf.DUMMYFUNCTION("""COMPUTED_VALUE"""),"")</f>
        <v/>
      </c>
      <c r="E683" s="189" t="str">
        <f ca="1">IFERROR(__xludf.DUMMYFUNCTION("""COMPUTED_VALUE"""),"")</f>
        <v/>
      </c>
      <c r="F683" s="189" t="str">
        <f ca="1">IFERROR(__xludf.DUMMYFUNCTION("""COMPUTED_VALUE"""),"")</f>
        <v/>
      </c>
      <c r="G683" s="189" t="str">
        <f ca="1">IFERROR(__xludf.DUMMYFUNCTION("""COMPUTED_VALUE"""),"")</f>
        <v/>
      </c>
      <c r="H683" s="189" t="str">
        <f ca="1">IFERROR(__xludf.DUMMYFUNCTION("""COMPUTED_VALUE"""),"")</f>
        <v/>
      </c>
      <c r="I683" s="120" t="str">
        <f ca="1">IFERROR(__xludf.DUMMYFUNCTION("""COMPUTED_VALUE"""),"")</f>
        <v/>
      </c>
      <c r="J683" s="189" t="str">
        <f ca="1">IFERROR(__xludf.DUMMYFUNCTION("""COMPUTED_VALUE"""),"")</f>
        <v/>
      </c>
      <c r="K683" s="189" t="str">
        <f ca="1">IFERROR(__xludf.DUMMYFUNCTION("""COMPUTED_VALUE"""),"")</f>
        <v/>
      </c>
      <c r="L683" s="189" t="str">
        <f ca="1">IFERROR(__xludf.DUMMYFUNCTION("""COMPUTED_VALUE"""),"")</f>
        <v/>
      </c>
      <c r="M683" s="189" t="str">
        <f ca="1">IFERROR(__xludf.DUMMYFUNCTION("""COMPUTED_VALUE"""),"")</f>
        <v/>
      </c>
      <c r="N683" s="189" t="str">
        <f ca="1">IFERROR(__xludf.DUMMYFUNCTION("""COMPUTED_VALUE"""),"")</f>
        <v/>
      </c>
      <c r="O683" s="189" t="str">
        <f ca="1">IFERROR(__xludf.DUMMYFUNCTION("""COMPUTED_VALUE"""),"")</f>
        <v/>
      </c>
      <c r="P683" s="189" t="str">
        <f ca="1">IFERROR(__xludf.DUMMYFUNCTION("""COMPUTED_VALUE"""),"")</f>
        <v/>
      </c>
      <c r="Q683" s="189" t="str">
        <f ca="1">IFERROR(__xludf.DUMMYFUNCTION("""COMPUTED_VALUE"""),"")</f>
        <v/>
      </c>
      <c r="R683" s="189" t="str">
        <f ca="1">IFERROR(__xludf.DUMMYFUNCTION("""COMPUTED_VALUE"""),"")</f>
        <v/>
      </c>
      <c r="S683" s="189" t="str">
        <f ca="1">IFERROR(__xludf.DUMMYFUNCTION("""COMPUTED_VALUE"""),"")</f>
        <v/>
      </c>
      <c r="T683" s="189" t="str">
        <f ca="1">IFERROR(__xludf.DUMMYFUNCTION("""COMPUTED_VALUE"""),"")</f>
        <v/>
      </c>
      <c r="U683" s="189" t="str">
        <f ca="1">IFERROR(__xludf.DUMMYFUNCTION("""COMPUTED_VALUE"""),"")</f>
        <v/>
      </c>
      <c r="V683" s="189" t="str">
        <f ca="1">IFERROR(__xludf.DUMMYFUNCTION("""COMPUTED_VALUE"""),"")</f>
        <v/>
      </c>
      <c r="W683" s="189" t="str">
        <f ca="1">IFERROR(__xludf.DUMMYFUNCTION("""COMPUTED_VALUE"""),"")</f>
        <v/>
      </c>
      <c r="X683" s="189" t="str">
        <f ca="1">IFERROR(__xludf.DUMMYFUNCTION("""COMPUTED_VALUE"""),"")</f>
        <v/>
      </c>
      <c r="Y683" s="189" t="str">
        <f ca="1">IFERROR(__xludf.DUMMYFUNCTION("""COMPUTED_VALUE"""),"")</f>
        <v/>
      </c>
      <c r="Z683" s="189"/>
    </row>
    <row r="684" spans="1:26" ht="12.75">
      <c r="A684" s="189" t="str">
        <f ca="1">IFERROR(__xludf.DUMMYFUNCTION("""COMPUTED_VALUE"""),"")</f>
        <v/>
      </c>
      <c r="B684" s="189" t="str">
        <f ca="1">IFERROR(__xludf.DUMMYFUNCTION("""COMPUTED_VALUE"""),"")</f>
        <v/>
      </c>
      <c r="C684" s="189" t="str">
        <f ca="1">IFERROR(__xludf.DUMMYFUNCTION("""COMPUTED_VALUE"""),"")</f>
        <v/>
      </c>
      <c r="D684" s="189" t="str">
        <f ca="1">IFERROR(__xludf.DUMMYFUNCTION("""COMPUTED_VALUE"""),"")</f>
        <v/>
      </c>
      <c r="E684" s="189" t="str">
        <f ca="1">IFERROR(__xludf.DUMMYFUNCTION("""COMPUTED_VALUE"""),"")</f>
        <v/>
      </c>
      <c r="F684" s="189" t="str">
        <f ca="1">IFERROR(__xludf.DUMMYFUNCTION("""COMPUTED_VALUE"""),"")</f>
        <v/>
      </c>
      <c r="G684" s="189" t="str">
        <f ca="1">IFERROR(__xludf.DUMMYFUNCTION("""COMPUTED_VALUE"""),"")</f>
        <v/>
      </c>
      <c r="H684" s="189" t="str">
        <f ca="1">IFERROR(__xludf.DUMMYFUNCTION("""COMPUTED_VALUE"""),"")</f>
        <v/>
      </c>
      <c r="I684" s="120" t="str">
        <f ca="1">IFERROR(__xludf.DUMMYFUNCTION("""COMPUTED_VALUE"""),"")</f>
        <v/>
      </c>
      <c r="J684" s="189" t="str">
        <f ca="1">IFERROR(__xludf.DUMMYFUNCTION("""COMPUTED_VALUE"""),"")</f>
        <v/>
      </c>
      <c r="K684" s="189" t="str">
        <f ca="1">IFERROR(__xludf.DUMMYFUNCTION("""COMPUTED_VALUE"""),"")</f>
        <v/>
      </c>
      <c r="L684" s="189" t="str">
        <f ca="1">IFERROR(__xludf.DUMMYFUNCTION("""COMPUTED_VALUE"""),"")</f>
        <v/>
      </c>
      <c r="M684" s="189" t="str">
        <f ca="1">IFERROR(__xludf.DUMMYFUNCTION("""COMPUTED_VALUE"""),"")</f>
        <v/>
      </c>
      <c r="N684" s="189" t="str">
        <f ca="1">IFERROR(__xludf.DUMMYFUNCTION("""COMPUTED_VALUE"""),"")</f>
        <v/>
      </c>
      <c r="O684" s="189" t="str">
        <f ca="1">IFERROR(__xludf.DUMMYFUNCTION("""COMPUTED_VALUE"""),"")</f>
        <v/>
      </c>
      <c r="P684" s="189" t="str">
        <f ca="1">IFERROR(__xludf.DUMMYFUNCTION("""COMPUTED_VALUE"""),"")</f>
        <v/>
      </c>
      <c r="Q684" s="189" t="str">
        <f ca="1">IFERROR(__xludf.DUMMYFUNCTION("""COMPUTED_VALUE"""),"")</f>
        <v/>
      </c>
      <c r="R684" s="189" t="str">
        <f ca="1">IFERROR(__xludf.DUMMYFUNCTION("""COMPUTED_VALUE"""),"")</f>
        <v/>
      </c>
      <c r="S684" s="189" t="str">
        <f ca="1">IFERROR(__xludf.DUMMYFUNCTION("""COMPUTED_VALUE"""),"")</f>
        <v/>
      </c>
      <c r="T684" s="189" t="str">
        <f ca="1">IFERROR(__xludf.DUMMYFUNCTION("""COMPUTED_VALUE"""),"")</f>
        <v/>
      </c>
      <c r="U684" s="189" t="str">
        <f ca="1">IFERROR(__xludf.DUMMYFUNCTION("""COMPUTED_VALUE"""),"")</f>
        <v/>
      </c>
      <c r="V684" s="189" t="str">
        <f ca="1">IFERROR(__xludf.DUMMYFUNCTION("""COMPUTED_VALUE"""),"")</f>
        <v/>
      </c>
      <c r="W684" s="189" t="str">
        <f ca="1">IFERROR(__xludf.DUMMYFUNCTION("""COMPUTED_VALUE"""),"")</f>
        <v/>
      </c>
      <c r="X684" s="189" t="str">
        <f ca="1">IFERROR(__xludf.DUMMYFUNCTION("""COMPUTED_VALUE"""),"")</f>
        <v/>
      </c>
      <c r="Y684" s="189" t="str">
        <f ca="1">IFERROR(__xludf.DUMMYFUNCTION("""COMPUTED_VALUE"""),"")</f>
        <v/>
      </c>
      <c r="Z684" s="189"/>
    </row>
    <row r="685" spans="1:26" ht="12.75">
      <c r="A685" s="189" t="str">
        <f ca="1">IFERROR(__xludf.DUMMYFUNCTION("""COMPUTED_VALUE"""),"")</f>
        <v/>
      </c>
      <c r="B685" s="189" t="str">
        <f ca="1">IFERROR(__xludf.DUMMYFUNCTION("""COMPUTED_VALUE"""),"")</f>
        <v/>
      </c>
      <c r="C685" s="189" t="str">
        <f ca="1">IFERROR(__xludf.DUMMYFUNCTION("""COMPUTED_VALUE"""),"")</f>
        <v/>
      </c>
      <c r="D685" s="189" t="str">
        <f ca="1">IFERROR(__xludf.DUMMYFUNCTION("""COMPUTED_VALUE"""),"")</f>
        <v/>
      </c>
      <c r="E685" s="189" t="str">
        <f ca="1">IFERROR(__xludf.DUMMYFUNCTION("""COMPUTED_VALUE"""),"")</f>
        <v/>
      </c>
      <c r="F685" s="189" t="str">
        <f ca="1">IFERROR(__xludf.DUMMYFUNCTION("""COMPUTED_VALUE"""),"")</f>
        <v/>
      </c>
      <c r="G685" s="189" t="str">
        <f ca="1">IFERROR(__xludf.DUMMYFUNCTION("""COMPUTED_VALUE"""),"")</f>
        <v/>
      </c>
      <c r="H685" s="189" t="str">
        <f ca="1">IFERROR(__xludf.DUMMYFUNCTION("""COMPUTED_VALUE"""),"")</f>
        <v/>
      </c>
      <c r="I685" s="120" t="str">
        <f ca="1">IFERROR(__xludf.DUMMYFUNCTION("""COMPUTED_VALUE"""),"")</f>
        <v/>
      </c>
      <c r="J685" s="189" t="str">
        <f ca="1">IFERROR(__xludf.DUMMYFUNCTION("""COMPUTED_VALUE"""),"")</f>
        <v/>
      </c>
      <c r="K685" s="189" t="str">
        <f ca="1">IFERROR(__xludf.DUMMYFUNCTION("""COMPUTED_VALUE"""),"")</f>
        <v/>
      </c>
      <c r="L685" s="189" t="str">
        <f ca="1">IFERROR(__xludf.DUMMYFUNCTION("""COMPUTED_VALUE"""),"")</f>
        <v/>
      </c>
      <c r="M685" s="189" t="str">
        <f ca="1">IFERROR(__xludf.DUMMYFUNCTION("""COMPUTED_VALUE"""),"")</f>
        <v/>
      </c>
      <c r="N685" s="189" t="str">
        <f ca="1">IFERROR(__xludf.DUMMYFUNCTION("""COMPUTED_VALUE"""),"")</f>
        <v/>
      </c>
      <c r="O685" s="189" t="str">
        <f ca="1">IFERROR(__xludf.DUMMYFUNCTION("""COMPUTED_VALUE"""),"")</f>
        <v/>
      </c>
      <c r="P685" s="189" t="str">
        <f ca="1">IFERROR(__xludf.DUMMYFUNCTION("""COMPUTED_VALUE"""),"")</f>
        <v/>
      </c>
      <c r="Q685" s="189" t="str">
        <f ca="1">IFERROR(__xludf.DUMMYFUNCTION("""COMPUTED_VALUE"""),"")</f>
        <v/>
      </c>
      <c r="R685" s="189" t="str">
        <f ca="1">IFERROR(__xludf.DUMMYFUNCTION("""COMPUTED_VALUE"""),"")</f>
        <v/>
      </c>
      <c r="S685" s="189" t="str">
        <f ca="1">IFERROR(__xludf.DUMMYFUNCTION("""COMPUTED_VALUE"""),"")</f>
        <v/>
      </c>
      <c r="T685" s="189" t="str">
        <f ca="1">IFERROR(__xludf.DUMMYFUNCTION("""COMPUTED_VALUE"""),"")</f>
        <v/>
      </c>
      <c r="U685" s="189" t="str">
        <f ca="1">IFERROR(__xludf.DUMMYFUNCTION("""COMPUTED_VALUE"""),"")</f>
        <v/>
      </c>
      <c r="V685" s="189" t="str">
        <f ca="1">IFERROR(__xludf.DUMMYFUNCTION("""COMPUTED_VALUE"""),"")</f>
        <v/>
      </c>
      <c r="W685" s="189" t="str">
        <f ca="1">IFERROR(__xludf.DUMMYFUNCTION("""COMPUTED_VALUE"""),"")</f>
        <v/>
      </c>
      <c r="X685" s="189" t="str">
        <f ca="1">IFERROR(__xludf.DUMMYFUNCTION("""COMPUTED_VALUE"""),"")</f>
        <v/>
      </c>
      <c r="Y685" s="189" t="str">
        <f ca="1">IFERROR(__xludf.DUMMYFUNCTION("""COMPUTED_VALUE"""),"")</f>
        <v/>
      </c>
      <c r="Z685" s="189"/>
    </row>
    <row r="686" spans="1:26" ht="12.75">
      <c r="A686" s="189" t="str">
        <f ca="1">IFERROR(__xludf.DUMMYFUNCTION("""COMPUTED_VALUE"""),"")</f>
        <v/>
      </c>
      <c r="B686" s="189" t="str">
        <f ca="1">IFERROR(__xludf.DUMMYFUNCTION("""COMPUTED_VALUE"""),"")</f>
        <v/>
      </c>
      <c r="C686" s="189" t="str">
        <f ca="1">IFERROR(__xludf.DUMMYFUNCTION("""COMPUTED_VALUE"""),"")</f>
        <v/>
      </c>
      <c r="D686" s="189" t="str">
        <f ca="1">IFERROR(__xludf.DUMMYFUNCTION("""COMPUTED_VALUE"""),"")</f>
        <v/>
      </c>
      <c r="E686" s="189" t="str">
        <f ca="1">IFERROR(__xludf.DUMMYFUNCTION("""COMPUTED_VALUE"""),"")</f>
        <v/>
      </c>
      <c r="F686" s="189" t="str">
        <f ca="1">IFERROR(__xludf.DUMMYFUNCTION("""COMPUTED_VALUE"""),"")</f>
        <v/>
      </c>
      <c r="G686" s="189" t="str">
        <f ca="1">IFERROR(__xludf.DUMMYFUNCTION("""COMPUTED_VALUE"""),"")</f>
        <v/>
      </c>
      <c r="H686" s="189" t="str">
        <f ca="1">IFERROR(__xludf.DUMMYFUNCTION("""COMPUTED_VALUE"""),"")</f>
        <v/>
      </c>
      <c r="I686" s="120" t="str">
        <f ca="1">IFERROR(__xludf.DUMMYFUNCTION("""COMPUTED_VALUE"""),"")</f>
        <v/>
      </c>
      <c r="J686" s="189" t="str">
        <f ca="1">IFERROR(__xludf.DUMMYFUNCTION("""COMPUTED_VALUE"""),"")</f>
        <v/>
      </c>
      <c r="K686" s="189" t="str">
        <f ca="1">IFERROR(__xludf.DUMMYFUNCTION("""COMPUTED_VALUE"""),"")</f>
        <v/>
      </c>
      <c r="L686" s="189" t="str">
        <f ca="1">IFERROR(__xludf.DUMMYFUNCTION("""COMPUTED_VALUE"""),"")</f>
        <v/>
      </c>
      <c r="M686" s="189" t="str">
        <f ca="1">IFERROR(__xludf.DUMMYFUNCTION("""COMPUTED_VALUE"""),"")</f>
        <v/>
      </c>
      <c r="N686" s="189" t="str">
        <f ca="1">IFERROR(__xludf.DUMMYFUNCTION("""COMPUTED_VALUE"""),"")</f>
        <v/>
      </c>
      <c r="O686" s="189" t="str">
        <f ca="1">IFERROR(__xludf.DUMMYFUNCTION("""COMPUTED_VALUE"""),"")</f>
        <v/>
      </c>
      <c r="P686" s="189" t="str">
        <f ca="1">IFERROR(__xludf.DUMMYFUNCTION("""COMPUTED_VALUE"""),"")</f>
        <v/>
      </c>
      <c r="Q686" s="189" t="str">
        <f ca="1">IFERROR(__xludf.DUMMYFUNCTION("""COMPUTED_VALUE"""),"")</f>
        <v/>
      </c>
      <c r="R686" s="189" t="str">
        <f ca="1">IFERROR(__xludf.DUMMYFUNCTION("""COMPUTED_VALUE"""),"")</f>
        <v/>
      </c>
      <c r="S686" s="189" t="str">
        <f ca="1">IFERROR(__xludf.DUMMYFUNCTION("""COMPUTED_VALUE"""),"")</f>
        <v/>
      </c>
      <c r="T686" s="189" t="str">
        <f ca="1">IFERROR(__xludf.DUMMYFUNCTION("""COMPUTED_VALUE"""),"")</f>
        <v/>
      </c>
      <c r="U686" s="189" t="str">
        <f ca="1">IFERROR(__xludf.DUMMYFUNCTION("""COMPUTED_VALUE"""),"")</f>
        <v/>
      </c>
      <c r="V686" s="189" t="str">
        <f ca="1">IFERROR(__xludf.DUMMYFUNCTION("""COMPUTED_VALUE"""),"")</f>
        <v/>
      </c>
      <c r="W686" s="189" t="str">
        <f ca="1">IFERROR(__xludf.DUMMYFUNCTION("""COMPUTED_VALUE"""),"")</f>
        <v/>
      </c>
      <c r="X686" s="189" t="str">
        <f ca="1">IFERROR(__xludf.DUMMYFUNCTION("""COMPUTED_VALUE"""),"")</f>
        <v/>
      </c>
      <c r="Y686" s="189" t="str">
        <f ca="1">IFERROR(__xludf.DUMMYFUNCTION("""COMPUTED_VALUE"""),"")</f>
        <v/>
      </c>
      <c r="Z686" s="189"/>
    </row>
    <row r="687" spans="1:26" ht="12.75">
      <c r="A687" s="189" t="str">
        <f ca="1">IFERROR(__xludf.DUMMYFUNCTION("""COMPUTED_VALUE"""),"")</f>
        <v/>
      </c>
      <c r="B687" s="189" t="str">
        <f ca="1">IFERROR(__xludf.DUMMYFUNCTION("""COMPUTED_VALUE"""),"")</f>
        <v/>
      </c>
      <c r="C687" s="189" t="str">
        <f ca="1">IFERROR(__xludf.DUMMYFUNCTION("""COMPUTED_VALUE"""),"")</f>
        <v/>
      </c>
      <c r="D687" s="189" t="str">
        <f ca="1">IFERROR(__xludf.DUMMYFUNCTION("""COMPUTED_VALUE"""),"")</f>
        <v/>
      </c>
      <c r="E687" s="189" t="str">
        <f ca="1">IFERROR(__xludf.DUMMYFUNCTION("""COMPUTED_VALUE"""),"")</f>
        <v/>
      </c>
      <c r="F687" s="189" t="str">
        <f ca="1">IFERROR(__xludf.DUMMYFUNCTION("""COMPUTED_VALUE"""),"")</f>
        <v/>
      </c>
      <c r="G687" s="189" t="str">
        <f ca="1">IFERROR(__xludf.DUMMYFUNCTION("""COMPUTED_VALUE"""),"")</f>
        <v/>
      </c>
      <c r="H687" s="189" t="str">
        <f ca="1">IFERROR(__xludf.DUMMYFUNCTION("""COMPUTED_VALUE"""),"")</f>
        <v/>
      </c>
      <c r="I687" s="120" t="str">
        <f ca="1">IFERROR(__xludf.DUMMYFUNCTION("""COMPUTED_VALUE"""),"")</f>
        <v/>
      </c>
      <c r="J687" s="189" t="str">
        <f ca="1">IFERROR(__xludf.DUMMYFUNCTION("""COMPUTED_VALUE"""),"")</f>
        <v/>
      </c>
      <c r="K687" s="189" t="str">
        <f ca="1">IFERROR(__xludf.DUMMYFUNCTION("""COMPUTED_VALUE"""),"")</f>
        <v/>
      </c>
      <c r="L687" s="189" t="str">
        <f ca="1">IFERROR(__xludf.DUMMYFUNCTION("""COMPUTED_VALUE"""),"")</f>
        <v/>
      </c>
      <c r="M687" s="189" t="str">
        <f ca="1">IFERROR(__xludf.DUMMYFUNCTION("""COMPUTED_VALUE"""),"")</f>
        <v/>
      </c>
      <c r="N687" s="189" t="str">
        <f ca="1">IFERROR(__xludf.DUMMYFUNCTION("""COMPUTED_VALUE"""),"")</f>
        <v/>
      </c>
      <c r="O687" s="189" t="str">
        <f ca="1">IFERROR(__xludf.DUMMYFUNCTION("""COMPUTED_VALUE"""),"")</f>
        <v/>
      </c>
      <c r="P687" s="189" t="str">
        <f ca="1">IFERROR(__xludf.DUMMYFUNCTION("""COMPUTED_VALUE"""),"")</f>
        <v/>
      </c>
      <c r="Q687" s="189" t="str">
        <f ca="1">IFERROR(__xludf.DUMMYFUNCTION("""COMPUTED_VALUE"""),"")</f>
        <v/>
      </c>
      <c r="R687" s="189" t="str">
        <f ca="1">IFERROR(__xludf.DUMMYFUNCTION("""COMPUTED_VALUE"""),"")</f>
        <v/>
      </c>
      <c r="S687" s="189" t="str">
        <f ca="1">IFERROR(__xludf.DUMMYFUNCTION("""COMPUTED_VALUE"""),"")</f>
        <v/>
      </c>
      <c r="T687" s="189" t="str">
        <f ca="1">IFERROR(__xludf.DUMMYFUNCTION("""COMPUTED_VALUE"""),"")</f>
        <v/>
      </c>
      <c r="U687" s="189" t="str">
        <f ca="1">IFERROR(__xludf.DUMMYFUNCTION("""COMPUTED_VALUE"""),"")</f>
        <v/>
      </c>
      <c r="V687" s="189" t="str">
        <f ca="1">IFERROR(__xludf.DUMMYFUNCTION("""COMPUTED_VALUE"""),"")</f>
        <v/>
      </c>
      <c r="W687" s="189" t="str">
        <f ca="1">IFERROR(__xludf.DUMMYFUNCTION("""COMPUTED_VALUE"""),"")</f>
        <v/>
      </c>
      <c r="X687" s="189" t="str">
        <f ca="1">IFERROR(__xludf.DUMMYFUNCTION("""COMPUTED_VALUE"""),"")</f>
        <v/>
      </c>
      <c r="Y687" s="189" t="str">
        <f ca="1">IFERROR(__xludf.DUMMYFUNCTION("""COMPUTED_VALUE"""),"")</f>
        <v/>
      </c>
      <c r="Z687" s="189"/>
    </row>
    <row r="688" spans="1:26" ht="12.75">
      <c r="A688" s="189" t="str">
        <f ca="1">IFERROR(__xludf.DUMMYFUNCTION("""COMPUTED_VALUE"""),"")</f>
        <v/>
      </c>
      <c r="B688" s="189" t="str">
        <f ca="1">IFERROR(__xludf.DUMMYFUNCTION("""COMPUTED_VALUE"""),"")</f>
        <v/>
      </c>
      <c r="C688" s="189" t="str">
        <f ca="1">IFERROR(__xludf.DUMMYFUNCTION("""COMPUTED_VALUE"""),"")</f>
        <v/>
      </c>
      <c r="D688" s="189" t="str">
        <f ca="1">IFERROR(__xludf.DUMMYFUNCTION("""COMPUTED_VALUE"""),"")</f>
        <v/>
      </c>
      <c r="E688" s="189" t="str">
        <f ca="1">IFERROR(__xludf.DUMMYFUNCTION("""COMPUTED_VALUE"""),"")</f>
        <v/>
      </c>
      <c r="F688" s="189" t="str">
        <f ca="1">IFERROR(__xludf.DUMMYFUNCTION("""COMPUTED_VALUE"""),"")</f>
        <v/>
      </c>
      <c r="G688" s="189" t="str">
        <f ca="1">IFERROR(__xludf.DUMMYFUNCTION("""COMPUTED_VALUE"""),"")</f>
        <v/>
      </c>
      <c r="H688" s="189" t="str">
        <f ca="1">IFERROR(__xludf.DUMMYFUNCTION("""COMPUTED_VALUE"""),"")</f>
        <v/>
      </c>
      <c r="I688" s="120" t="str">
        <f ca="1">IFERROR(__xludf.DUMMYFUNCTION("""COMPUTED_VALUE"""),"")</f>
        <v/>
      </c>
      <c r="J688" s="189" t="str">
        <f ca="1">IFERROR(__xludf.DUMMYFUNCTION("""COMPUTED_VALUE"""),"")</f>
        <v/>
      </c>
      <c r="K688" s="189" t="str">
        <f ca="1">IFERROR(__xludf.DUMMYFUNCTION("""COMPUTED_VALUE"""),"")</f>
        <v/>
      </c>
      <c r="L688" s="189" t="str">
        <f ca="1">IFERROR(__xludf.DUMMYFUNCTION("""COMPUTED_VALUE"""),"")</f>
        <v/>
      </c>
      <c r="M688" s="189" t="str">
        <f ca="1">IFERROR(__xludf.DUMMYFUNCTION("""COMPUTED_VALUE"""),"")</f>
        <v/>
      </c>
      <c r="N688" s="189" t="str">
        <f ca="1">IFERROR(__xludf.DUMMYFUNCTION("""COMPUTED_VALUE"""),"")</f>
        <v/>
      </c>
      <c r="O688" s="189" t="str">
        <f ca="1">IFERROR(__xludf.DUMMYFUNCTION("""COMPUTED_VALUE"""),"")</f>
        <v/>
      </c>
      <c r="P688" s="189" t="str">
        <f ca="1">IFERROR(__xludf.DUMMYFUNCTION("""COMPUTED_VALUE"""),"")</f>
        <v/>
      </c>
      <c r="Q688" s="189" t="str">
        <f ca="1">IFERROR(__xludf.DUMMYFUNCTION("""COMPUTED_VALUE"""),"")</f>
        <v/>
      </c>
      <c r="R688" s="189" t="str">
        <f ca="1">IFERROR(__xludf.DUMMYFUNCTION("""COMPUTED_VALUE"""),"")</f>
        <v/>
      </c>
      <c r="S688" s="189" t="str">
        <f ca="1">IFERROR(__xludf.DUMMYFUNCTION("""COMPUTED_VALUE"""),"")</f>
        <v/>
      </c>
      <c r="T688" s="189" t="str">
        <f ca="1">IFERROR(__xludf.DUMMYFUNCTION("""COMPUTED_VALUE"""),"")</f>
        <v/>
      </c>
      <c r="U688" s="189" t="str">
        <f ca="1">IFERROR(__xludf.DUMMYFUNCTION("""COMPUTED_VALUE"""),"")</f>
        <v/>
      </c>
      <c r="V688" s="189" t="str">
        <f ca="1">IFERROR(__xludf.DUMMYFUNCTION("""COMPUTED_VALUE"""),"")</f>
        <v/>
      </c>
      <c r="W688" s="189" t="str">
        <f ca="1">IFERROR(__xludf.DUMMYFUNCTION("""COMPUTED_VALUE"""),"")</f>
        <v/>
      </c>
      <c r="X688" s="189" t="str">
        <f ca="1">IFERROR(__xludf.DUMMYFUNCTION("""COMPUTED_VALUE"""),"")</f>
        <v/>
      </c>
      <c r="Y688" s="189" t="str">
        <f ca="1">IFERROR(__xludf.DUMMYFUNCTION("""COMPUTED_VALUE"""),"")</f>
        <v/>
      </c>
      <c r="Z688" s="189"/>
    </row>
    <row r="689" spans="1:26" ht="12.75">
      <c r="A689" s="189" t="str">
        <f ca="1">IFERROR(__xludf.DUMMYFUNCTION("""COMPUTED_VALUE"""),"")</f>
        <v/>
      </c>
      <c r="B689" s="189" t="str">
        <f ca="1">IFERROR(__xludf.DUMMYFUNCTION("""COMPUTED_VALUE"""),"")</f>
        <v/>
      </c>
      <c r="C689" s="189" t="str">
        <f ca="1">IFERROR(__xludf.DUMMYFUNCTION("""COMPUTED_VALUE"""),"")</f>
        <v/>
      </c>
      <c r="D689" s="189" t="str">
        <f ca="1">IFERROR(__xludf.DUMMYFUNCTION("""COMPUTED_VALUE"""),"")</f>
        <v/>
      </c>
      <c r="E689" s="189" t="str">
        <f ca="1">IFERROR(__xludf.DUMMYFUNCTION("""COMPUTED_VALUE"""),"")</f>
        <v/>
      </c>
      <c r="F689" s="189" t="str">
        <f ca="1">IFERROR(__xludf.DUMMYFUNCTION("""COMPUTED_VALUE"""),"")</f>
        <v/>
      </c>
      <c r="G689" s="189" t="str">
        <f ca="1">IFERROR(__xludf.DUMMYFUNCTION("""COMPUTED_VALUE"""),"")</f>
        <v/>
      </c>
      <c r="H689" s="189" t="str">
        <f ca="1">IFERROR(__xludf.DUMMYFUNCTION("""COMPUTED_VALUE"""),"")</f>
        <v/>
      </c>
      <c r="I689" s="120" t="str">
        <f ca="1">IFERROR(__xludf.DUMMYFUNCTION("""COMPUTED_VALUE"""),"")</f>
        <v/>
      </c>
      <c r="J689" s="189" t="str">
        <f ca="1">IFERROR(__xludf.DUMMYFUNCTION("""COMPUTED_VALUE"""),"")</f>
        <v/>
      </c>
      <c r="K689" s="189" t="str">
        <f ca="1">IFERROR(__xludf.DUMMYFUNCTION("""COMPUTED_VALUE"""),"")</f>
        <v/>
      </c>
      <c r="L689" s="189" t="str">
        <f ca="1">IFERROR(__xludf.DUMMYFUNCTION("""COMPUTED_VALUE"""),"")</f>
        <v/>
      </c>
      <c r="M689" s="189" t="str">
        <f ca="1">IFERROR(__xludf.DUMMYFUNCTION("""COMPUTED_VALUE"""),"")</f>
        <v/>
      </c>
      <c r="N689" s="189" t="str">
        <f ca="1">IFERROR(__xludf.DUMMYFUNCTION("""COMPUTED_VALUE"""),"")</f>
        <v/>
      </c>
      <c r="O689" s="189" t="str">
        <f ca="1">IFERROR(__xludf.DUMMYFUNCTION("""COMPUTED_VALUE"""),"")</f>
        <v/>
      </c>
      <c r="P689" s="189" t="str">
        <f ca="1">IFERROR(__xludf.DUMMYFUNCTION("""COMPUTED_VALUE"""),"")</f>
        <v/>
      </c>
      <c r="Q689" s="189" t="str">
        <f ca="1">IFERROR(__xludf.DUMMYFUNCTION("""COMPUTED_VALUE"""),"")</f>
        <v/>
      </c>
      <c r="R689" s="189" t="str">
        <f ca="1">IFERROR(__xludf.DUMMYFUNCTION("""COMPUTED_VALUE"""),"")</f>
        <v/>
      </c>
      <c r="S689" s="189" t="str">
        <f ca="1">IFERROR(__xludf.DUMMYFUNCTION("""COMPUTED_VALUE"""),"")</f>
        <v/>
      </c>
      <c r="T689" s="189" t="str">
        <f ca="1">IFERROR(__xludf.DUMMYFUNCTION("""COMPUTED_VALUE"""),"")</f>
        <v/>
      </c>
      <c r="U689" s="189" t="str">
        <f ca="1">IFERROR(__xludf.DUMMYFUNCTION("""COMPUTED_VALUE"""),"")</f>
        <v/>
      </c>
      <c r="V689" s="189" t="str">
        <f ca="1">IFERROR(__xludf.DUMMYFUNCTION("""COMPUTED_VALUE"""),"")</f>
        <v/>
      </c>
      <c r="W689" s="189" t="str">
        <f ca="1">IFERROR(__xludf.DUMMYFUNCTION("""COMPUTED_VALUE"""),"")</f>
        <v/>
      </c>
      <c r="X689" s="189" t="str">
        <f ca="1">IFERROR(__xludf.DUMMYFUNCTION("""COMPUTED_VALUE"""),"")</f>
        <v/>
      </c>
      <c r="Y689" s="189" t="str">
        <f ca="1">IFERROR(__xludf.DUMMYFUNCTION("""COMPUTED_VALUE"""),"")</f>
        <v/>
      </c>
      <c r="Z689" s="189"/>
    </row>
    <row r="690" spans="1:26" ht="12.75">
      <c r="A690" s="189" t="str">
        <f ca="1">IFERROR(__xludf.DUMMYFUNCTION("""COMPUTED_VALUE"""),"")</f>
        <v/>
      </c>
      <c r="B690" s="189" t="str">
        <f ca="1">IFERROR(__xludf.DUMMYFUNCTION("""COMPUTED_VALUE"""),"")</f>
        <v/>
      </c>
      <c r="C690" s="189" t="str">
        <f ca="1">IFERROR(__xludf.DUMMYFUNCTION("""COMPUTED_VALUE"""),"")</f>
        <v/>
      </c>
      <c r="D690" s="189" t="str">
        <f ca="1">IFERROR(__xludf.DUMMYFUNCTION("""COMPUTED_VALUE"""),"")</f>
        <v/>
      </c>
      <c r="E690" s="189" t="str">
        <f ca="1">IFERROR(__xludf.DUMMYFUNCTION("""COMPUTED_VALUE"""),"")</f>
        <v/>
      </c>
      <c r="F690" s="189" t="str">
        <f ca="1">IFERROR(__xludf.DUMMYFUNCTION("""COMPUTED_VALUE"""),"")</f>
        <v/>
      </c>
      <c r="G690" s="189" t="str">
        <f ca="1">IFERROR(__xludf.DUMMYFUNCTION("""COMPUTED_VALUE"""),"")</f>
        <v/>
      </c>
      <c r="H690" s="189" t="str">
        <f ca="1">IFERROR(__xludf.DUMMYFUNCTION("""COMPUTED_VALUE"""),"")</f>
        <v/>
      </c>
      <c r="I690" s="120" t="str">
        <f ca="1">IFERROR(__xludf.DUMMYFUNCTION("""COMPUTED_VALUE"""),"")</f>
        <v/>
      </c>
      <c r="J690" s="189" t="str">
        <f ca="1">IFERROR(__xludf.DUMMYFUNCTION("""COMPUTED_VALUE"""),"")</f>
        <v/>
      </c>
      <c r="K690" s="189" t="str">
        <f ca="1">IFERROR(__xludf.DUMMYFUNCTION("""COMPUTED_VALUE"""),"")</f>
        <v/>
      </c>
      <c r="L690" s="189" t="str">
        <f ca="1">IFERROR(__xludf.DUMMYFUNCTION("""COMPUTED_VALUE"""),"")</f>
        <v/>
      </c>
      <c r="M690" s="189" t="str">
        <f ca="1">IFERROR(__xludf.DUMMYFUNCTION("""COMPUTED_VALUE"""),"")</f>
        <v/>
      </c>
      <c r="N690" s="189" t="str">
        <f ca="1">IFERROR(__xludf.DUMMYFUNCTION("""COMPUTED_VALUE"""),"")</f>
        <v/>
      </c>
      <c r="O690" s="189" t="str">
        <f ca="1">IFERROR(__xludf.DUMMYFUNCTION("""COMPUTED_VALUE"""),"")</f>
        <v/>
      </c>
      <c r="P690" s="189" t="str">
        <f ca="1">IFERROR(__xludf.DUMMYFUNCTION("""COMPUTED_VALUE"""),"")</f>
        <v/>
      </c>
      <c r="Q690" s="189" t="str">
        <f ca="1">IFERROR(__xludf.DUMMYFUNCTION("""COMPUTED_VALUE"""),"")</f>
        <v/>
      </c>
      <c r="R690" s="189" t="str">
        <f ca="1">IFERROR(__xludf.DUMMYFUNCTION("""COMPUTED_VALUE"""),"")</f>
        <v/>
      </c>
      <c r="S690" s="189" t="str">
        <f ca="1">IFERROR(__xludf.DUMMYFUNCTION("""COMPUTED_VALUE"""),"")</f>
        <v/>
      </c>
      <c r="T690" s="189" t="str">
        <f ca="1">IFERROR(__xludf.DUMMYFUNCTION("""COMPUTED_VALUE"""),"")</f>
        <v/>
      </c>
      <c r="U690" s="189" t="str">
        <f ca="1">IFERROR(__xludf.DUMMYFUNCTION("""COMPUTED_VALUE"""),"")</f>
        <v/>
      </c>
      <c r="V690" s="189" t="str">
        <f ca="1">IFERROR(__xludf.DUMMYFUNCTION("""COMPUTED_VALUE"""),"")</f>
        <v/>
      </c>
      <c r="W690" s="189" t="str">
        <f ca="1">IFERROR(__xludf.DUMMYFUNCTION("""COMPUTED_VALUE"""),"")</f>
        <v/>
      </c>
      <c r="X690" s="189" t="str">
        <f ca="1">IFERROR(__xludf.DUMMYFUNCTION("""COMPUTED_VALUE"""),"")</f>
        <v/>
      </c>
      <c r="Y690" s="189" t="str">
        <f ca="1">IFERROR(__xludf.DUMMYFUNCTION("""COMPUTED_VALUE"""),"")</f>
        <v/>
      </c>
      <c r="Z690" s="189"/>
    </row>
    <row r="691" spans="1:26" ht="12.75">
      <c r="A691" s="189" t="str">
        <f ca="1">IFERROR(__xludf.DUMMYFUNCTION("""COMPUTED_VALUE"""),"")</f>
        <v/>
      </c>
      <c r="B691" s="189" t="str">
        <f ca="1">IFERROR(__xludf.DUMMYFUNCTION("""COMPUTED_VALUE"""),"")</f>
        <v/>
      </c>
      <c r="C691" s="189" t="str">
        <f ca="1">IFERROR(__xludf.DUMMYFUNCTION("""COMPUTED_VALUE"""),"")</f>
        <v/>
      </c>
      <c r="D691" s="189" t="str">
        <f ca="1">IFERROR(__xludf.DUMMYFUNCTION("""COMPUTED_VALUE"""),"")</f>
        <v/>
      </c>
      <c r="E691" s="189" t="str">
        <f ca="1">IFERROR(__xludf.DUMMYFUNCTION("""COMPUTED_VALUE"""),"")</f>
        <v/>
      </c>
      <c r="F691" s="189" t="str">
        <f ca="1">IFERROR(__xludf.DUMMYFUNCTION("""COMPUTED_VALUE"""),"")</f>
        <v/>
      </c>
      <c r="G691" s="189" t="str">
        <f ca="1">IFERROR(__xludf.DUMMYFUNCTION("""COMPUTED_VALUE"""),"")</f>
        <v/>
      </c>
      <c r="H691" s="189" t="str">
        <f ca="1">IFERROR(__xludf.DUMMYFUNCTION("""COMPUTED_VALUE"""),"")</f>
        <v/>
      </c>
      <c r="I691" s="120" t="str">
        <f ca="1">IFERROR(__xludf.DUMMYFUNCTION("""COMPUTED_VALUE"""),"")</f>
        <v/>
      </c>
      <c r="J691" s="189" t="str">
        <f ca="1">IFERROR(__xludf.DUMMYFUNCTION("""COMPUTED_VALUE"""),"")</f>
        <v/>
      </c>
      <c r="K691" s="189" t="str">
        <f ca="1">IFERROR(__xludf.DUMMYFUNCTION("""COMPUTED_VALUE"""),"")</f>
        <v/>
      </c>
      <c r="L691" s="189" t="str">
        <f ca="1">IFERROR(__xludf.DUMMYFUNCTION("""COMPUTED_VALUE"""),"")</f>
        <v/>
      </c>
      <c r="M691" s="189" t="str">
        <f ca="1">IFERROR(__xludf.DUMMYFUNCTION("""COMPUTED_VALUE"""),"")</f>
        <v/>
      </c>
      <c r="N691" s="189" t="str">
        <f ca="1">IFERROR(__xludf.DUMMYFUNCTION("""COMPUTED_VALUE"""),"")</f>
        <v/>
      </c>
      <c r="O691" s="189" t="str">
        <f ca="1">IFERROR(__xludf.DUMMYFUNCTION("""COMPUTED_VALUE"""),"")</f>
        <v/>
      </c>
      <c r="P691" s="189" t="str">
        <f ca="1">IFERROR(__xludf.DUMMYFUNCTION("""COMPUTED_VALUE"""),"")</f>
        <v/>
      </c>
      <c r="Q691" s="189" t="str">
        <f ca="1">IFERROR(__xludf.DUMMYFUNCTION("""COMPUTED_VALUE"""),"")</f>
        <v/>
      </c>
      <c r="R691" s="189" t="str">
        <f ca="1">IFERROR(__xludf.DUMMYFUNCTION("""COMPUTED_VALUE"""),"")</f>
        <v/>
      </c>
      <c r="S691" s="189" t="str">
        <f ca="1">IFERROR(__xludf.DUMMYFUNCTION("""COMPUTED_VALUE"""),"")</f>
        <v/>
      </c>
      <c r="T691" s="189" t="str">
        <f ca="1">IFERROR(__xludf.DUMMYFUNCTION("""COMPUTED_VALUE"""),"")</f>
        <v/>
      </c>
      <c r="U691" s="189" t="str">
        <f ca="1">IFERROR(__xludf.DUMMYFUNCTION("""COMPUTED_VALUE"""),"")</f>
        <v/>
      </c>
      <c r="V691" s="189" t="str">
        <f ca="1">IFERROR(__xludf.DUMMYFUNCTION("""COMPUTED_VALUE"""),"")</f>
        <v/>
      </c>
      <c r="W691" s="189" t="str">
        <f ca="1">IFERROR(__xludf.DUMMYFUNCTION("""COMPUTED_VALUE"""),"")</f>
        <v/>
      </c>
      <c r="X691" s="189" t="str">
        <f ca="1">IFERROR(__xludf.DUMMYFUNCTION("""COMPUTED_VALUE"""),"")</f>
        <v/>
      </c>
      <c r="Y691" s="189" t="str">
        <f ca="1">IFERROR(__xludf.DUMMYFUNCTION("""COMPUTED_VALUE"""),"")</f>
        <v/>
      </c>
      <c r="Z691" s="189"/>
    </row>
    <row r="692" spans="1:26" ht="12.75">
      <c r="A692" s="189" t="str">
        <f ca="1">IFERROR(__xludf.DUMMYFUNCTION("""COMPUTED_VALUE"""),"")</f>
        <v/>
      </c>
      <c r="B692" s="189" t="str">
        <f ca="1">IFERROR(__xludf.DUMMYFUNCTION("""COMPUTED_VALUE"""),"")</f>
        <v/>
      </c>
      <c r="C692" s="189" t="str">
        <f ca="1">IFERROR(__xludf.DUMMYFUNCTION("""COMPUTED_VALUE"""),"")</f>
        <v/>
      </c>
      <c r="D692" s="189" t="str">
        <f ca="1">IFERROR(__xludf.DUMMYFUNCTION("""COMPUTED_VALUE"""),"")</f>
        <v/>
      </c>
      <c r="E692" s="189" t="str">
        <f ca="1">IFERROR(__xludf.DUMMYFUNCTION("""COMPUTED_VALUE"""),"")</f>
        <v/>
      </c>
      <c r="F692" s="189" t="str">
        <f ca="1">IFERROR(__xludf.DUMMYFUNCTION("""COMPUTED_VALUE"""),"")</f>
        <v/>
      </c>
      <c r="G692" s="189" t="str">
        <f ca="1">IFERROR(__xludf.DUMMYFUNCTION("""COMPUTED_VALUE"""),"")</f>
        <v/>
      </c>
      <c r="H692" s="189" t="str">
        <f ca="1">IFERROR(__xludf.DUMMYFUNCTION("""COMPUTED_VALUE"""),"")</f>
        <v/>
      </c>
      <c r="I692" s="120" t="str">
        <f ca="1">IFERROR(__xludf.DUMMYFUNCTION("""COMPUTED_VALUE"""),"")</f>
        <v/>
      </c>
      <c r="J692" s="189" t="str">
        <f ca="1">IFERROR(__xludf.DUMMYFUNCTION("""COMPUTED_VALUE"""),"")</f>
        <v/>
      </c>
      <c r="K692" s="189" t="str">
        <f ca="1">IFERROR(__xludf.DUMMYFUNCTION("""COMPUTED_VALUE"""),"")</f>
        <v/>
      </c>
      <c r="L692" s="189" t="str">
        <f ca="1">IFERROR(__xludf.DUMMYFUNCTION("""COMPUTED_VALUE"""),"")</f>
        <v/>
      </c>
      <c r="M692" s="189" t="str">
        <f ca="1">IFERROR(__xludf.DUMMYFUNCTION("""COMPUTED_VALUE"""),"")</f>
        <v/>
      </c>
      <c r="N692" s="189" t="str">
        <f ca="1">IFERROR(__xludf.DUMMYFUNCTION("""COMPUTED_VALUE"""),"")</f>
        <v/>
      </c>
      <c r="O692" s="189" t="str">
        <f ca="1">IFERROR(__xludf.DUMMYFUNCTION("""COMPUTED_VALUE"""),"")</f>
        <v/>
      </c>
      <c r="P692" s="189" t="str">
        <f ca="1">IFERROR(__xludf.DUMMYFUNCTION("""COMPUTED_VALUE"""),"")</f>
        <v/>
      </c>
      <c r="Q692" s="189" t="str">
        <f ca="1">IFERROR(__xludf.DUMMYFUNCTION("""COMPUTED_VALUE"""),"")</f>
        <v/>
      </c>
      <c r="R692" s="189" t="str">
        <f ca="1">IFERROR(__xludf.DUMMYFUNCTION("""COMPUTED_VALUE"""),"")</f>
        <v/>
      </c>
      <c r="S692" s="189" t="str">
        <f ca="1">IFERROR(__xludf.DUMMYFUNCTION("""COMPUTED_VALUE"""),"")</f>
        <v/>
      </c>
      <c r="T692" s="189" t="str">
        <f ca="1">IFERROR(__xludf.DUMMYFUNCTION("""COMPUTED_VALUE"""),"")</f>
        <v/>
      </c>
      <c r="U692" s="189" t="str">
        <f ca="1">IFERROR(__xludf.DUMMYFUNCTION("""COMPUTED_VALUE"""),"")</f>
        <v/>
      </c>
      <c r="V692" s="189" t="str">
        <f ca="1">IFERROR(__xludf.DUMMYFUNCTION("""COMPUTED_VALUE"""),"")</f>
        <v/>
      </c>
      <c r="W692" s="189" t="str">
        <f ca="1">IFERROR(__xludf.DUMMYFUNCTION("""COMPUTED_VALUE"""),"")</f>
        <v/>
      </c>
      <c r="X692" s="189" t="str">
        <f ca="1">IFERROR(__xludf.DUMMYFUNCTION("""COMPUTED_VALUE"""),"")</f>
        <v/>
      </c>
      <c r="Y692" s="189" t="str">
        <f ca="1">IFERROR(__xludf.DUMMYFUNCTION("""COMPUTED_VALUE"""),"")</f>
        <v/>
      </c>
      <c r="Z692" s="189"/>
    </row>
    <row r="693" spans="1:26" ht="12.75">
      <c r="A693" s="189" t="str">
        <f ca="1">IFERROR(__xludf.DUMMYFUNCTION("""COMPUTED_VALUE"""),"")</f>
        <v/>
      </c>
      <c r="B693" s="189" t="str">
        <f ca="1">IFERROR(__xludf.DUMMYFUNCTION("""COMPUTED_VALUE"""),"")</f>
        <v/>
      </c>
      <c r="C693" s="189" t="str">
        <f ca="1">IFERROR(__xludf.DUMMYFUNCTION("""COMPUTED_VALUE"""),"")</f>
        <v/>
      </c>
      <c r="D693" s="189" t="str">
        <f ca="1">IFERROR(__xludf.DUMMYFUNCTION("""COMPUTED_VALUE"""),"")</f>
        <v/>
      </c>
      <c r="E693" s="189" t="str">
        <f ca="1">IFERROR(__xludf.DUMMYFUNCTION("""COMPUTED_VALUE"""),"")</f>
        <v/>
      </c>
      <c r="F693" s="189" t="str">
        <f ca="1">IFERROR(__xludf.DUMMYFUNCTION("""COMPUTED_VALUE"""),"")</f>
        <v/>
      </c>
      <c r="G693" s="189" t="str">
        <f ca="1">IFERROR(__xludf.DUMMYFUNCTION("""COMPUTED_VALUE"""),"")</f>
        <v/>
      </c>
      <c r="H693" s="189" t="str">
        <f ca="1">IFERROR(__xludf.DUMMYFUNCTION("""COMPUTED_VALUE"""),"")</f>
        <v/>
      </c>
      <c r="I693" s="120" t="str">
        <f ca="1">IFERROR(__xludf.DUMMYFUNCTION("""COMPUTED_VALUE"""),"")</f>
        <v/>
      </c>
      <c r="J693" s="189" t="str">
        <f ca="1">IFERROR(__xludf.DUMMYFUNCTION("""COMPUTED_VALUE"""),"")</f>
        <v/>
      </c>
      <c r="K693" s="189" t="str">
        <f ca="1">IFERROR(__xludf.DUMMYFUNCTION("""COMPUTED_VALUE"""),"")</f>
        <v/>
      </c>
      <c r="L693" s="189" t="str">
        <f ca="1">IFERROR(__xludf.DUMMYFUNCTION("""COMPUTED_VALUE"""),"")</f>
        <v/>
      </c>
      <c r="M693" s="189" t="str">
        <f ca="1">IFERROR(__xludf.DUMMYFUNCTION("""COMPUTED_VALUE"""),"")</f>
        <v/>
      </c>
      <c r="N693" s="189" t="str">
        <f ca="1">IFERROR(__xludf.DUMMYFUNCTION("""COMPUTED_VALUE"""),"")</f>
        <v/>
      </c>
      <c r="O693" s="189" t="str">
        <f ca="1">IFERROR(__xludf.DUMMYFUNCTION("""COMPUTED_VALUE"""),"")</f>
        <v/>
      </c>
      <c r="P693" s="189" t="str">
        <f ca="1">IFERROR(__xludf.DUMMYFUNCTION("""COMPUTED_VALUE"""),"")</f>
        <v/>
      </c>
      <c r="Q693" s="189" t="str">
        <f ca="1">IFERROR(__xludf.DUMMYFUNCTION("""COMPUTED_VALUE"""),"")</f>
        <v/>
      </c>
      <c r="R693" s="189" t="str">
        <f ca="1">IFERROR(__xludf.DUMMYFUNCTION("""COMPUTED_VALUE"""),"")</f>
        <v/>
      </c>
      <c r="S693" s="189" t="str">
        <f ca="1">IFERROR(__xludf.DUMMYFUNCTION("""COMPUTED_VALUE"""),"")</f>
        <v/>
      </c>
      <c r="T693" s="189" t="str">
        <f ca="1">IFERROR(__xludf.DUMMYFUNCTION("""COMPUTED_VALUE"""),"")</f>
        <v/>
      </c>
      <c r="U693" s="189" t="str">
        <f ca="1">IFERROR(__xludf.DUMMYFUNCTION("""COMPUTED_VALUE"""),"")</f>
        <v/>
      </c>
      <c r="V693" s="189" t="str">
        <f ca="1">IFERROR(__xludf.DUMMYFUNCTION("""COMPUTED_VALUE"""),"")</f>
        <v/>
      </c>
      <c r="W693" s="189" t="str">
        <f ca="1">IFERROR(__xludf.DUMMYFUNCTION("""COMPUTED_VALUE"""),"")</f>
        <v/>
      </c>
      <c r="X693" s="189" t="str">
        <f ca="1">IFERROR(__xludf.DUMMYFUNCTION("""COMPUTED_VALUE"""),"")</f>
        <v/>
      </c>
      <c r="Y693" s="189" t="str">
        <f ca="1">IFERROR(__xludf.DUMMYFUNCTION("""COMPUTED_VALUE"""),"")</f>
        <v/>
      </c>
      <c r="Z693" s="189"/>
    </row>
    <row r="694" spans="1:26" ht="12.75">
      <c r="A694" s="189" t="str">
        <f ca="1">IFERROR(__xludf.DUMMYFUNCTION("""COMPUTED_VALUE"""),"")</f>
        <v/>
      </c>
      <c r="B694" s="189" t="str">
        <f ca="1">IFERROR(__xludf.DUMMYFUNCTION("""COMPUTED_VALUE"""),"")</f>
        <v/>
      </c>
      <c r="C694" s="189" t="str">
        <f ca="1">IFERROR(__xludf.DUMMYFUNCTION("""COMPUTED_VALUE"""),"")</f>
        <v/>
      </c>
      <c r="D694" s="189" t="str">
        <f ca="1">IFERROR(__xludf.DUMMYFUNCTION("""COMPUTED_VALUE"""),"")</f>
        <v/>
      </c>
      <c r="E694" s="189" t="str">
        <f ca="1">IFERROR(__xludf.DUMMYFUNCTION("""COMPUTED_VALUE"""),"")</f>
        <v/>
      </c>
      <c r="F694" s="189" t="str">
        <f ca="1">IFERROR(__xludf.DUMMYFUNCTION("""COMPUTED_VALUE"""),"")</f>
        <v/>
      </c>
      <c r="G694" s="189" t="str">
        <f ca="1">IFERROR(__xludf.DUMMYFUNCTION("""COMPUTED_VALUE"""),"")</f>
        <v/>
      </c>
      <c r="H694" s="189" t="str">
        <f ca="1">IFERROR(__xludf.DUMMYFUNCTION("""COMPUTED_VALUE"""),"")</f>
        <v/>
      </c>
      <c r="I694" s="120" t="str">
        <f ca="1">IFERROR(__xludf.DUMMYFUNCTION("""COMPUTED_VALUE"""),"")</f>
        <v/>
      </c>
      <c r="J694" s="189" t="str">
        <f ca="1">IFERROR(__xludf.DUMMYFUNCTION("""COMPUTED_VALUE"""),"")</f>
        <v/>
      </c>
      <c r="K694" s="189" t="str">
        <f ca="1">IFERROR(__xludf.DUMMYFUNCTION("""COMPUTED_VALUE"""),"")</f>
        <v/>
      </c>
      <c r="L694" s="189" t="str">
        <f ca="1">IFERROR(__xludf.DUMMYFUNCTION("""COMPUTED_VALUE"""),"")</f>
        <v/>
      </c>
      <c r="M694" s="189" t="str">
        <f ca="1">IFERROR(__xludf.DUMMYFUNCTION("""COMPUTED_VALUE"""),"")</f>
        <v/>
      </c>
      <c r="N694" s="189" t="str">
        <f ca="1">IFERROR(__xludf.DUMMYFUNCTION("""COMPUTED_VALUE"""),"")</f>
        <v/>
      </c>
      <c r="O694" s="189" t="str">
        <f ca="1">IFERROR(__xludf.DUMMYFUNCTION("""COMPUTED_VALUE"""),"")</f>
        <v/>
      </c>
      <c r="P694" s="189" t="str">
        <f ca="1">IFERROR(__xludf.DUMMYFUNCTION("""COMPUTED_VALUE"""),"")</f>
        <v/>
      </c>
      <c r="Q694" s="189" t="str">
        <f ca="1">IFERROR(__xludf.DUMMYFUNCTION("""COMPUTED_VALUE"""),"")</f>
        <v/>
      </c>
      <c r="R694" s="189" t="str">
        <f ca="1">IFERROR(__xludf.DUMMYFUNCTION("""COMPUTED_VALUE"""),"")</f>
        <v/>
      </c>
      <c r="S694" s="189" t="str">
        <f ca="1">IFERROR(__xludf.DUMMYFUNCTION("""COMPUTED_VALUE"""),"")</f>
        <v/>
      </c>
      <c r="T694" s="189" t="str">
        <f ca="1">IFERROR(__xludf.DUMMYFUNCTION("""COMPUTED_VALUE"""),"")</f>
        <v/>
      </c>
      <c r="U694" s="189" t="str">
        <f ca="1">IFERROR(__xludf.DUMMYFUNCTION("""COMPUTED_VALUE"""),"")</f>
        <v/>
      </c>
      <c r="V694" s="189" t="str">
        <f ca="1">IFERROR(__xludf.DUMMYFUNCTION("""COMPUTED_VALUE"""),"")</f>
        <v/>
      </c>
      <c r="W694" s="189" t="str">
        <f ca="1">IFERROR(__xludf.DUMMYFUNCTION("""COMPUTED_VALUE"""),"")</f>
        <v/>
      </c>
      <c r="X694" s="189" t="str">
        <f ca="1">IFERROR(__xludf.DUMMYFUNCTION("""COMPUTED_VALUE"""),"")</f>
        <v/>
      </c>
      <c r="Y694" s="189" t="str">
        <f ca="1">IFERROR(__xludf.DUMMYFUNCTION("""COMPUTED_VALUE"""),"")</f>
        <v/>
      </c>
      <c r="Z694" s="189"/>
    </row>
    <row r="695" spans="1:26" ht="12.75">
      <c r="A695" s="189" t="str">
        <f ca="1">IFERROR(__xludf.DUMMYFUNCTION("""COMPUTED_VALUE"""),"")</f>
        <v/>
      </c>
      <c r="B695" s="189" t="str">
        <f ca="1">IFERROR(__xludf.DUMMYFUNCTION("""COMPUTED_VALUE"""),"")</f>
        <v/>
      </c>
      <c r="C695" s="189" t="str">
        <f ca="1">IFERROR(__xludf.DUMMYFUNCTION("""COMPUTED_VALUE"""),"")</f>
        <v/>
      </c>
      <c r="D695" s="189" t="str">
        <f ca="1">IFERROR(__xludf.DUMMYFUNCTION("""COMPUTED_VALUE"""),"")</f>
        <v/>
      </c>
      <c r="E695" s="189" t="str">
        <f ca="1">IFERROR(__xludf.DUMMYFUNCTION("""COMPUTED_VALUE"""),"")</f>
        <v/>
      </c>
      <c r="F695" s="189" t="str">
        <f ca="1">IFERROR(__xludf.DUMMYFUNCTION("""COMPUTED_VALUE"""),"")</f>
        <v/>
      </c>
      <c r="G695" s="189" t="str">
        <f ca="1">IFERROR(__xludf.DUMMYFUNCTION("""COMPUTED_VALUE"""),"")</f>
        <v/>
      </c>
      <c r="H695" s="189" t="str">
        <f ca="1">IFERROR(__xludf.DUMMYFUNCTION("""COMPUTED_VALUE"""),"")</f>
        <v/>
      </c>
      <c r="I695" s="120" t="str">
        <f ca="1">IFERROR(__xludf.DUMMYFUNCTION("""COMPUTED_VALUE"""),"")</f>
        <v/>
      </c>
      <c r="J695" s="189" t="str">
        <f ca="1">IFERROR(__xludf.DUMMYFUNCTION("""COMPUTED_VALUE"""),"")</f>
        <v/>
      </c>
      <c r="K695" s="189" t="str">
        <f ca="1">IFERROR(__xludf.DUMMYFUNCTION("""COMPUTED_VALUE"""),"")</f>
        <v/>
      </c>
      <c r="L695" s="189" t="str">
        <f ca="1">IFERROR(__xludf.DUMMYFUNCTION("""COMPUTED_VALUE"""),"")</f>
        <v/>
      </c>
      <c r="M695" s="189" t="str">
        <f ca="1">IFERROR(__xludf.DUMMYFUNCTION("""COMPUTED_VALUE"""),"")</f>
        <v/>
      </c>
      <c r="N695" s="189" t="str">
        <f ca="1">IFERROR(__xludf.DUMMYFUNCTION("""COMPUTED_VALUE"""),"")</f>
        <v/>
      </c>
      <c r="O695" s="189" t="str">
        <f ca="1">IFERROR(__xludf.DUMMYFUNCTION("""COMPUTED_VALUE"""),"")</f>
        <v/>
      </c>
      <c r="P695" s="189" t="str">
        <f ca="1">IFERROR(__xludf.DUMMYFUNCTION("""COMPUTED_VALUE"""),"")</f>
        <v/>
      </c>
      <c r="Q695" s="189" t="str">
        <f ca="1">IFERROR(__xludf.DUMMYFUNCTION("""COMPUTED_VALUE"""),"")</f>
        <v/>
      </c>
      <c r="R695" s="189" t="str">
        <f ca="1">IFERROR(__xludf.DUMMYFUNCTION("""COMPUTED_VALUE"""),"")</f>
        <v/>
      </c>
      <c r="S695" s="189" t="str">
        <f ca="1">IFERROR(__xludf.DUMMYFUNCTION("""COMPUTED_VALUE"""),"")</f>
        <v/>
      </c>
      <c r="T695" s="189" t="str">
        <f ca="1">IFERROR(__xludf.DUMMYFUNCTION("""COMPUTED_VALUE"""),"")</f>
        <v/>
      </c>
      <c r="U695" s="189" t="str">
        <f ca="1">IFERROR(__xludf.DUMMYFUNCTION("""COMPUTED_VALUE"""),"")</f>
        <v/>
      </c>
      <c r="V695" s="189" t="str">
        <f ca="1">IFERROR(__xludf.DUMMYFUNCTION("""COMPUTED_VALUE"""),"")</f>
        <v/>
      </c>
      <c r="W695" s="189" t="str">
        <f ca="1">IFERROR(__xludf.DUMMYFUNCTION("""COMPUTED_VALUE"""),"")</f>
        <v/>
      </c>
      <c r="X695" s="189" t="str">
        <f ca="1">IFERROR(__xludf.DUMMYFUNCTION("""COMPUTED_VALUE"""),"")</f>
        <v/>
      </c>
      <c r="Y695" s="189" t="str">
        <f ca="1">IFERROR(__xludf.DUMMYFUNCTION("""COMPUTED_VALUE"""),"")</f>
        <v/>
      </c>
      <c r="Z695" s="189"/>
    </row>
    <row r="696" spans="1:26" ht="12.75">
      <c r="A696" s="189" t="str">
        <f ca="1">IFERROR(__xludf.DUMMYFUNCTION("""COMPUTED_VALUE"""),"")</f>
        <v/>
      </c>
      <c r="B696" s="189" t="str">
        <f ca="1">IFERROR(__xludf.DUMMYFUNCTION("""COMPUTED_VALUE"""),"")</f>
        <v/>
      </c>
      <c r="C696" s="189" t="str">
        <f ca="1">IFERROR(__xludf.DUMMYFUNCTION("""COMPUTED_VALUE"""),"")</f>
        <v/>
      </c>
      <c r="D696" s="189" t="str">
        <f ca="1">IFERROR(__xludf.DUMMYFUNCTION("""COMPUTED_VALUE"""),"")</f>
        <v/>
      </c>
      <c r="E696" s="189" t="str">
        <f ca="1">IFERROR(__xludf.DUMMYFUNCTION("""COMPUTED_VALUE"""),"")</f>
        <v/>
      </c>
      <c r="F696" s="189" t="str">
        <f ca="1">IFERROR(__xludf.DUMMYFUNCTION("""COMPUTED_VALUE"""),"")</f>
        <v/>
      </c>
      <c r="G696" s="189" t="str">
        <f ca="1">IFERROR(__xludf.DUMMYFUNCTION("""COMPUTED_VALUE"""),"")</f>
        <v/>
      </c>
      <c r="H696" s="189" t="str">
        <f ca="1">IFERROR(__xludf.DUMMYFUNCTION("""COMPUTED_VALUE"""),"")</f>
        <v/>
      </c>
      <c r="I696" s="120" t="str">
        <f ca="1">IFERROR(__xludf.DUMMYFUNCTION("""COMPUTED_VALUE"""),"")</f>
        <v/>
      </c>
      <c r="J696" s="189" t="str">
        <f ca="1">IFERROR(__xludf.DUMMYFUNCTION("""COMPUTED_VALUE"""),"")</f>
        <v/>
      </c>
      <c r="K696" s="189" t="str">
        <f ca="1">IFERROR(__xludf.DUMMYFUNCTION("""COMPUTED_VALUE"""),"")</f>
        <v/>
      </c>
      <c r="L696" s="189" t="str">
        <f ca="1">IFERROR(__xludf.DUMMYFUNCTION("""COMPUTED_VALUE"""),"")</f>
        <v/>
      </c>
      <c r="M696" s="189" t="str">
        <f ca="1">IFERROR(__xludf.DUMMYFUNCTION("""COMPUTED_VALUE"""),"")</f>
        <v/>
      </c>
      <c r="N696" s="189" t="str">
        <f ca="1">IFERROR(__xludf.DUMMYFUNCTION("""COMPUTED_VALUE"""),"")</f>
        <v/>
      </c>
      <c r="O696" s="189" t="str">
        <f ca="1">IFERROR(__xludf.DUMMYFUNCTION("""COMPUTED_VALUE"""),"")</f>
        <v/>
      </c>
      <c r="P696" s="189" t="str">
        <f ca="1">IFERROR(__xludf.DUMMYFUNCTION("""COMPUTED_VALUE"""),"")</f>
        <v/>
      </c>
      <c r="Q696" s="189" t="str">
        <f ca="1">IFERROR(__xludf.DUMMYFUNCTION("""COMPUTED_VALUE"""),"")</f>
        <v/>
      </c>
      <c r="R696" s="189" t="str">
        <f ca="1">IFERROR(__xludf.DUMMYFUNCTION("""COMPUTED_VALUE"""),"")</f>
        <v/>
      </c>
      <c r="S696" s="189" t="str">
        <f ca="1">IFERROR(__xludf.DUMMYFUNCTION("""COMPUTED_VALUE"""),"")</f>
        <v/>
      </c>
      <c r="T696" s="189" t="str">
        <f ca="1">IFERROR(__xludf.DUMMYFUNCTION("""COMPUTED_VALUE"""),"")</f>
        <v/>
      </c>
      <c r="U696" s="189" t="str">
        <f ca="1">IFERROR(__xludf.DUMMYFUNCTION("""COMPUTED_VALUE"""),"")</f>
        <v/>
      </c>
      <c r="V696" s="189" t="str">
        <f ca="1">IFERROR(__xludf.DUMMYFUNCTION("""COMPUTED_VALUE"""),"")</f>
        <v/>
      </c>
      <c r="W696" s="189" t="str">
        <f ca="1">IFERROR(__xludf.DUMMYFUNCTION("""COMPUTED_VALUE"""),"")</f>
        <v/>
      </c>
      <c r="X696" s="189" t="str">
        <f ca="1">IFERROR(__xludf.DUMMYFUNCTION("""COMPUTED_VALUE"""),"")</f>
        <v/>
      </c>
      <c r="Y696" s="189" t="str">
        <f ca="1">IFERROR(__xludf.DUMMYFUNCTION("""COMPUTED_VALUE"""),"")</f>
        <v/>
      </c>
      <c r="Z696" s="189"/>
    </row>
    <row r="697" spans="1:26" ht="12.75">
      <c r="A697" s="189" t="str">
        <f ca="1">IFERROR(__xludf.DUMMYFUNCTION("""COMPUTED_VALUE"""),"")</f>
        <v/>
      </c>
      <c r="B697" s="189" t="str">
        <f ca="1">IFERROR(__xludf.DUMMYFUNCTION("""COMPUTED_VALUE"""),"")</f>
        <v/>
      </c>
      <c r="C697" s="189" t="str">
        <f ca="1">IFERROR(__xludf.DUMMYFUNCTION("""COMPUTED_VALUE"""),"")</f>
        <v/>
      </c>
      <c r="D697" s="189" t="str">
        <f ca="1">IFERROR(__xludf.DUMMYFUNCTION("""COMPUTED_VALUE"""),"")</f>
        <v/>
      </c>
      <c r="E697" s="189" t="str">
        <f ca="1">IFERROR(__xludf.DUMMYFUNCTION("""COMPUTED_VALUE"""),"")</f>
        <v/>
      </c>
      <c r="F697" s="189" t="str">
        <f ca="1">IFERROR(__xludf.DUMMYFUNCTION("""COMPUTED_VALUE"""),"")</f>
        <v/>
      </c>
      <c r="G697" s="189" t="str">
        <f ca="1">IFERROR(__xludf.DUMMYFUNCTION("""COMPUTED_VALUE"""),"")</f>
        <v/>
      </c>
      <c r="H697" s="189" t="str">
        <f ca="1">IFERROR(__xludf.DUMMYFUNCTION("""COMPUTED_VALUE"""),"")</f>
        <v/>
      </c>
      <c r="I697" s="120" t="str">
        <f ca="1">IFERROR(__xludf.DUMMYFUNCTION("""COMPUTED_VALUE"""),"")</f>
        <v/>
      </c>
      <c r="J697" s="189" t="str">
        <f ca="1">IFERROR(__xludf.DUMMYFUNCTION("""COMPUTED_VALUE"""),"")</f>
        <v/>
      </c>
      <c r="K697" s="189" t="str">
        <f ca="1">IFERROR(__xludf.DUMMYFUNCTION("""COMPUTED_VALUE"""),"")</f>
        <v/>
      </c>
      <c r="L697" s="189" t="str">
        <f ca="1">IFERROR(__xludf.DUMMYFUNCTION("""COMPUTED_VALUE"""),"")</f>
        <v/>
      </c>
      <c r="M697" s="189" t="str">
        <f ca="1">IFERROR(__xludf.DUMMYFUNCTION("""COMPUTED_VALUE"""),"")</f>
        <v/>
      </c>
      <c r="N697" s="189" t="str">
        <f ca="1">IFERROR(__xludf.DUMMYFUNCTION("""COMPUTED_VALUE"""),"")</f>
        <v/>
      </c>
      <c r="O697" s="189" t="str">
        <f ca="1">IFERROR(__xludf.DUMMYFUNCTION("""COMPUTED_VALUE"""),"")</f>
        <v/>
      </c>
      <c r="P697" s="189" t="str">
        <f ca="1">IFERROR(__xludf.DUMMYFUNCTION("""COMPUTED_VALUE"""),"")</f>
        <v/>
      </c>
      <c r="Q697" s="189" t="str">
        <f ca="1">IFERROR(__xludf.DUMMYFUNCTION("""COMPUTED_VALUE"""),"")</f>
        <v/>
      </c>
      <c r="R697" s="189" t="str">
        <f ca="1">IFERROR(__xludf.DUMMYFUNCTION("""COMPUTED_VALUE"""),"")</f>
        <v/>
      </c>
      <c r="S697" s="189" t="str">
        <f ca="1">IFERROR(__xludf.DUMMYFUNCTION("""COMPUTED_VALUE"""),"")</f>
        <v/>
      </c>
      <c r="T697" s="189" t="str">
        <f ca="1">IFERROR(__xludf.DUMMYFUNCTION("""COMPUTED_VALUE"""),"")</f>
        <v/>
      </c>
      <c r="U697" s="189" t="str">
        <f ca="1">IFERROR(__xludf.DUMMYFUNCTION("""COMPUTED_VALUE"""),"")</f>
        <v/>
      </c>
      <c r="V697" s="189" t="str">
        <f ca="1">IFERROR(__xludf.DUMMYFUNCTION("""COMPUTED_VALUE"""),"")</f>
        <v/>
      </c>
      <c r="W697" s="189" t="str">
        <f ca="1">IFERROR(__xludf.DUMMYFUNCTION("""COMPUTED_VALUE"""),"")</f>
        <v/>
      </c>
      <c r="X697" s="189" t="str">
        <f ca="1">IFERROR(__xludf.DUMMYFUNCTION("""COMPUTED_VALUE"""),"")</f>
        <v/>
      </c>
      <c r="Y697" s="189" t="str">
        <f ca="1">IFERROR(__xludf.DUMMYFUNCTION("""COMPUTED_VALUE"""),"")</f>
        <v/>
      </c>
      <c r="Z697" s="189"/>
    </row>
    <row r="698" spans="1:26" ht="12.75">
      <c r="A698" s="189" t="str">
        <f ca="1">IFERROR(__xludf.DUMMYFUNCTION("""COMPUTED_VALUE"""),"")</f>
        <v/>
      </c>
      <c r="B698" s="189" t="str">
        <f ca="1">IFERROR(__xludf.DUMMYFUNCTION("""COMPUTED_VALUE"""),"")</f>
        <v/>
      </c>
      <c r="C698" s="189" t="str">
        <f ca="1">IFERROR(__xludf.DUMMYFUNCTION("""COMPUTED_VALUE"""),"")</f>
        <v/>
      </c>
      <c r="D698" s="189" t="str">
        <f ca="1">IFERROR(__xludf.DUMMYFUNCTION("""COMPUTED_VALUE"""),"")</f>
        <v/>
      </c>
      <c r="E698" s="189" t="str">
        <f ca="1">IFERROR(__xludf.DUMMYFUNCTION("""COMPUTED_VALUE"""),"")</f>
        <v/>
      </c>
      <c r="F698" s="189" t="str">
        <f ca="1">IFERROR(__xludf.DUMMYFUNCTION("""COMPUTED_VALUE"""),"")</f>
        <v/>
      </c>
      <c r="G698" s="189" t="str">
        <f ca="1">IFERROR(__xludf.DUMMYFUNCTION("""COMPUTED_VALUE"""),"")</f>
        <v/>
      </c>
      <c r="H698" s="189" t="str">
        <f ca="1">IFERROR(__xludf.DUMMYFUNCTION("""COMPUTED_VALUE"""),"")</f>
        <v/>
      </c>
      <c r="I698" s="120" t="str">
        <f ca="1">IFERROR(__xludf.DUMMYFUNCTION("""COMPUTED_VALUE"""),"")</f>
        <v/>
      </c>
      <c r="J698" s="189" t="str">
        <f ca="1">IFERROR(__xludf.DUMMYFUNCTION("""COMPUTED_VALUE"""),"")</f>
        <v/>
      </c>
      <c r="K698" s="189" t="str">
        <f ca="1">IFERROR(__xludf.DUMMYFUNCTION("""COMPUTED_VALUE"""),"")</f>
        <v/>
      </c>
      <c r="L698" s="189" t="str">
        <f ca="1">IFERROR(__xludf.DUMMYFUNCTION("""COMPUTED_VALUE"""),"")</f>
        <v/>
      </c>
      <c r="M698" s="189" t="str">
        <f ca="1">IFERROR(__xludf.DUMMYFUNCTION("""COMPUTED_VALUE"""),"")</f>
        <v/>
      </c>
      <c r="N698" s="189" t="str">
        <f ca="1">IFERROR(__xludf.DUMMYFUNCTION("""COMPUTED_VALUE"""),"")</f>
        <v/>
      </c>
      <c r="O698" s="189" t="str">
        <f ca="1">IFERROR(__xludf.DUMMYFUNCTION("""COMPUTED_VALUE"""),"")</f>
        <v/>
      </c>
      <c r="P698" s="189" t="str">
        <f ca="1">IFERROR(__xludf.DUMMYFUNCTION("""COMPUTED_VALUE"""),"")</f>
        <v/>
      </c>
      <c r="Q698" s="189" t="str">
        <f ca="1">IFERROR(__xludf.DUMMYFUNCTION("""COMPUTED_VALUE"""),"")</f>
        <v/>
      </c>
      <c r="R698" s="189" t="str">
        <f ca="1">IFERROR(__xludf.DUMMYFUNCTION("""COMPUTED_VALUE"""),"")</f>
        <v/>
      </c>
      <c r="S698" s="189" t="str">
        <f ca="1">IFERROR(__xludf.DUMMYFUNCTION("""COMPUTED_VALUE"""),"")</f>
        <v/>
      </c>
      <c r="T698" s="189" t="str">
        <f ca="1">IFERROR(__xludf.DUMMYFUNCTION("""COMPUTED_VALUE"""),"")</f>
        <v/>
      </c>
      <c r="U698" s="189" t="str">
        <f ca="1">IFERROR(__xludf.DUMMYFUNCTION("""COMPUTED_VALUE"""),"")</f>
        <v/>
      </c>
      <c r="V698" s="189" t="str">
        <f ca="1">IFERROR(__xludf.DUMMYFUNCTION("""COMPUTED_VALUE"""),"")</f>
        <v/>
      </c>
      <c r="W698" s="189" t="str">
        <f ca="1">IFERROR(__xludf.DUMMYFUNCTION("""COMPUTED_VALUE"""),"")</f>
        <v/>
      </c>
      <c r="X698" s="189" t="str">
        <f ca="1">IFERROR(__xludf.DUMMYFUNCTION("""COMPUTED_VALUE"""),"")</f>
        <v/>
      </c>
      <c r="Y698" s="189" t="str">
        <f ca="1">IFERROR(__xludf.DUMMYFUNCTION("""COMPUTED_VALUE"""),"")</f>
        <v/>
      </c>
      <c r="Z698" s="189"/>
    </row>
    <row r="699" spans="1:26" ht="12.75">
      <c r="A699" s="189" t="str">
        <f ca="1">IFERROR(__xludf.DUMMYFUNCTION("""COMPUTED_VALUE"""),"")</f>
        <v/>
      </c>
      <c r="B699" s="189" t="str">
        <f ca="1">IFERROR(__xludf.DUMMYFUNCTION("""COMPUTED_VALUE"""),"")</f>
        <v/>
      </c>
      <c r="C699" s="189" t="str">
        <f ca="1">IFERROR(__xludf.DUMMYFUNCTION("""COMPUTED_VALUE"""),"")</f>
        <v/>
      </c>
      <c r="D699" s="189" t="str">
        <f ca="1">IFERROR(__xludf.DUMMYFUNCTION("""COMPUTED_VALUE"""),"")</f>
        <v/>
      </c>
      <c r="E699" s="189" t="str">
        <f ca="1">IFERROR(__xludf.DUMMYFUNCTION("""COMPUTED_VALUE"""),"")</f>
        <v/>
      </c>
      <c r="F699" s="189" t="str">
        <f ca="1">IFERROR(__xludf.DUMMYFUNCTION("""COMPUTED_VALUE"""),"")</f>
        <v/>
      </c>
      <c r="G699" s="189" t="str">
        <f ca="1">IFERROR(__xludf.DUMMYFUNCTION("""COMPUTED_VALUE"""),"")</f>
        <v/>
      </c>
      <c r="H699" s="189" t="str">
        <f ca="1">IFERROR(__xludf.DUMMYFUNCTION("""COMPUTED_VALUE"""),"")</f>
        <v/>
      </c>
      <c r="I699" s="120" t="str">
        <f ca="1">IFERROR(__xludf.DUMMYFUNCTION("""COMPUTED_VALUE"""),"")</f>
        <v/>
      </c>
      <c r="J699" s="189" t="str">
        <f ca="1">IFERROR(__xludf.DUMMYFUNCTION("""COMPUTED_VALUE"""),"")</f>
        <v/>
      </c>
      <c r="K699" s="189" t="str">
        <f ca="1">IFERROR(__xludf.DUMMYFUNCTION("""COMPUTED_VALUE"""),"")</f>
        <v/>
      </c>
      <c r="L699" s="189" t="str">
        <f ca="1">IFERROR(__xludf.DUMMYFUNCTION("""COMPUTED_VALUE"""),"")</f>
        <v/>
      </c>
      <c r="M699" s="189" t="str">
        <f ca="1">IFERROR(__xludf.DUMMYFUNCTION("""COMPUTED_VALUE"""),"")</f>
        <v/>
      </c>
      <c r="N699" s="189" t="str">
        <f ca="1">IFERROR(__xludf.DUMMYFUNCTION("""COMPUTED_VALUE"""),"")</f>
        <v/>
      </c>
      <c r="O699" s="189" t="str">
        <f ca="1">IFERROR(__xludf.DUMMYFUNCTION("""COMPUTED_VALUE"""),"")</f>
        <v/>
      </c>
      <c r="P699" s="189" t="str">
        <f ca="1">IFERROR(__xludf.DUMMYFUNCTION("""COMPUTED_VALUE"""),"")</f>
        <v/>
      </c>
      <c r="Q699" s="189" t="str">
        <f ca="1">IFERROR(__xludf.DUMMYFUNCTION("""COMPUTED_VALUE"""),"")</f>
        <v/>
      </c>
      <c r="R699" s="189" t="str">
        <f ca="1">IFERROR(__xludf.DUMMYFUNCTION("""COMPUTED_VALUE"""),"")</f>
        <v/>
      </c>
      <c r="S699" s="189" t="str">
        <f ca="1">IFERROR(__xludf.DUMMYFUNCTION("""COMPUTED_VALUE"""),"")</f>
        <v/>
      </c>
      <c r="T699" s="189" t="str">
        <f ca="1">IFERROR(__xludf.DUMMYFUNCTION("""COMPUTED_VALUE"""),"")</f>
        <v/>
      </c>
      <c r="U699" s="189" t="str">
        <f ca="1">IFERROR(__xludf.DUMMYFUNCTION("""COMPUTED_VALUE"""),"")</f>
        <v/>
      </c>
      <c r="V699" s="189" t="str">
        <f ca="1">IFERROR(__xludf.DUMMYFUNCTION("""COMPUTED_VALUE"""),"")</f>
        <v/>
      </c>
      <c r="W699" s="189" t="str">
        <f ca="1">IFERROR(__xludf.DUMMYFUNCTION("""COMPUTED_VALUE"""),"")</f>
        <v/>
      </c>
      <c r="X699" s="189" t="str">
        <f ca="1">IFERROR(__xludf.DUMMYFUNCTION("""COMPUTED_VALUE"""),"")</f>
        <v/>
      </c>
      <c r="Y699" s="189" t="str">
        <f ca="1">IFERROR(__xludf.DUMMYFUNCTION("""COMPUTED_VALUE"""),"")</f>
        <v/>
      </c>
      <c r="Z699" s="189"/>
    </row>
    <row r="700" spans="1:26" ht="12.75">
      <c r="A700" s="189" t="str">
        <f ca="1">IFERROR(__xludf.DUMMYFUNCTION("""COMPUTED_VALUE"""),"")</f>
        <v/>
      </c>
      <c r="B700" s="189" t="str">
        <f ca="1">IFERROR(__xludf.DUMMYFUNCTION("""COMPUTED_VALUE"""),"")</f>
        <v/>
      </c>
      <c r="C700" s="189" t="str">
        <f ca="1">IFERROR(__xludf.DUMMYFUNCTION("""COMPUTED_VALUE"""),"")</f>
        <v/>
      </c>
      <c r="D700" s="189" t="str">
        <f ca="1">IFERROR(__xludf.DUMMYFUNCTION("""COMPUTED_VALUE"""),"")</f>
        <v/>
      </c>
      <c r="E700" s="189" t="str">
        <f ca="1">IFERROR(__xludf.DUMMYFUNCTION("""COMPUTED_VALUE"""),"")</f>
        <v/>
      </c>
      <c r="F700" s="189" t="str">
        <f ca="1">IFERROR(__xludf.DUMMYFUNCTION("""COMPUTED_VALUE"""),"")</f>
        <v/>
      </c>
      <c r="G700" s="189" t="str">
        <f ca="1">IFERROR(__xludf.DUMMYFUNCTION("""COMPUTED_VALUE"""),"")</f>
        <v/>
      </c>
      <c r="H700" s="189" t="str">
        <f ca="1">IFERROR(__xludf.DUMMYFUNCTION("""COMPUTED_VALUE"""),"")</f>
        <v/>
      </c>
      <c r="I700" s="120" t="str">
        <f ca="1">IFERROR(__xludf.DUMMYFUNCTION("""COMPUTED_VALUE"""),"")</f>
        <v/>
      </c>
      <c r="J700" s="189" t="str">
        <f ca="1">IFERROR(__xludf.DUMMYFUNCTION("""COMPUTED_VALUE"""),"")</f>
        <v/>
      </c>
      <c r="K700" s="189" t="str">
        <f ca="1">IFERROR(__xludf.DUMMYFUNCTION("""COMPUTED_VALUE"""),"")</f>
        <v/>
      </c>
      <c r="L700" s="189" t="str">
        <f ca="1">IFERROR(__xludf.DUMMYFUNCTION("""COMPUTED_VALUE"""),"")</f>
        <v/>
      </c>
      <c r="M700" s="189" t="str">
        <f ca="1">IFERROR(__xludf.DUMMYFUNCTION("""COMPUTED_VALUE"""),"")</f>
        <v/>
      </c>
      <c r="N700" s="189" t="str">
        <f ca="1">IFERROR(__xludf.DUMMYFUNCTION("""COMPUTED_VALUE"""),"")</f>
        <v/>
      </c>
      <c r="O700" s="189" t="str">
        <f ca="1">IFERROR(__xludf.DUMMYFUNCTION("""COMPUTED_VALUE"""),"")</f>
        <v/>
      </c>
      <c r="P700" s="189" t="str">
        <f ca="1">IFERROR(__xludf.DUMMYFUNCTION("""COMPUTED_VALUE"""),"")</f>
        <v/>
      </c>
      <c r="Q700" s="189" t="str">
        <f ca="1">IFERROR(__xludf.DUMMYFUNCTION("""COMPUTED_VALUE"""),"")</f>
        <v/>
      </c>
      <c r="R700" s="189" t="str">
        <f ca="1">IFERROR(__xludf.DUMMYFUNCTION("""COMPUTED_VALUE"""),"")</f>
        <v/>
      </c>
      <c r="S700" s="189" t="str">
        <f ca="1">IFERROR(__xludf.DUMMYFUNCTION("""COMPUTED_VALUE"""),"")</f>
        <v/>
      </c>
      <c r="T700" s="189" t="str">
        <f ca="1">IFERROR(__xludf.DUMMYFUNCTION("""COMPUTED_VALUE"""),"")</f>
        <v/>
      </c>
      <c r="U700" s="189" t="str">
        <f ca="1">IFERROR(__xludf.DUMMYFUNCTION("""COMPUTED_VALUE"""),"")</f>
        <v/>
      </c>
      <c r="V700" s="189" t="str">
        <f ca="1">IFERROR(__xludf.DUMMYFUNCTION("""COMPUTED_VALUE"""),"")</f>
        <v/>
      </c>
      <c r="W700" s="189" t="str">
        <f ca="1">IFERROR(__xludf.DUMMYFUNCTION("""COMPUTED_VALUE"""),"")</f>
        <v/>
      </c>
      <c r="X700" s="189" t="str">
        <f ca="1">IFERROR(__xludf.DUMMYFUNCTION("""COMPUTED_VALUE"""),"")</f>
        <v/>
      </c>
      <c r="Y700" s="189" t="str">
        <f ca="1">IFERROR(__xludf.DUMMYFUNCTION("""COMPUTED_VALUE"""),"")</f>
        <v/>
      </c>
      <c r="Z700" s="189"/>
    </row>
    <row r="701" spans="1:26" ht="12.75">
      <c r="A701" s="189" t="str">
        <f ca="1">IFERROR(__xludf.DUMMYFUNCTION("""COMPUTED_VALUE"""),"")</f>
        <v/>
      </c>
      <c r="B701" s="189" t="str">
        <f ca="1">IFERROR(__xludf.DUMMYFUNCTION("""COMPUTED_VALUE"""),"")</f>
        <v/>
      </c>
      <c r="C701" s="189" t="str">
        <f ca="1">IFERROR(__xludf.DUMMYFUNCTION("""COMPUTED_VALUE"""),"")</f>
        <v/>
      </c>
      <c r="D701" s="189" t="str">
        <f ca="1">IFERROR(__xludf.DUMMYFUNCTION("""COMPUTED_VALUE"""),"")</f>
        <v/>
      </c>
      <c r="E701" s="189" t="str">
        <f ca="1">IFERROR(__xludf.DUMMYFUNCTION("""COMPUTED_VALUE"""),"")</f>
        <v/>
      </c>
      <c r="F701" s="189" t="str">
        <f ca="1">IFERROR(__xludf.DUMMYFUNCTION("""COMPUTED_VALUE"""),"")</f>
        <v/>
      </c>
      <c r="G701" s="189" t="str">
        <f ca="1">IFERROR(__xludf.DUMMYFUNCTION("""COMPUTED_VALUE"""),"")</f>
        <v/>
      </c>
      <c r="H701" s="189" t="str">
        <f ca="1">IFERROR(__xludf.DUMMYFUNCTION("""COMPUTED_VALUE"""),"")</f>
        <v/>
      </c>
      <c r="I701" s="120" t="str">
        <f ca="1">IFERROR(__xludf.DUMMYFUNCTION("""COMPUTED_VALUE"""),"")</f>
        <v/>
      </c>
      <c r="J701" s="189" t="str">
        <f ca="1">IFERROR(__xludf.DUMMYFUNCTION("""COMPUTED_VALUE"""),"")</f>
        <v/>
      </c>
      <c r="K701" s="189" t="str">
        <f ca="1">IFERROR(__xludf.DUMMYFUNCTION("""COMPUTED_VALUE"""),"")</f>
        <v/>
      </c>
      <c r="L701" s="189" t="str">
        <f ca="1">IFERROR(__xludf.DUMMYFUNCTION("""COMPUTED_VALUE"""),"")</f>
        <v/>
      </c>
      <c r="M701" s="189" t="str">
        <f ca="1">IFERROR(__xludf.DUMMYFUNCTION("""COMPUTED_VALUE"""),"")</f>
        <v/>
      </c>
      <c r="N701" s="189" t="str">
        <f ca="1">IFERROR(__xludf.DUMMYFUNCTION("""COMPUTED_VALUE"""),"")</f>
        <v/>
      </c>
      <c r="O701" s="189" t="str">
        <f ca="1">IFERROR(__xludf.DUMMYFUNCTION("""COMPUTED_VALUE"""),"")</f>
        <v/>
      </c>
      <c r="P701" s="189" t="str">
        <f ca="1">IFERROR(__xludf.DUMMYFUNCTION("""COMPUTED_VALUE"""),"")</f>
        <v/>
      </c>
      <c r="Q701" s="189" t="str">
        <f ca="1">IFERROR(__xludf.DUMMYFUNCTION("""COMPUTED_VALUE"""),"")</f>
        <v/>
      </c>
      <c r="R701" s="189" t="str">
        <f ca="1">IFERROR(__xludf.DUMMYFUNCTION("""COMPUTED_VALUE"""),"")</f>
        <v/>
      </c>
      <c r="S701" s="189" t="str">
        <f ca="1">IFERROR(__xludf.DUMMYFUNCTION("""COMPUTED_VALUE"""),"")</f>
        <v/>
      </c>
      <c r="T701" s="189" t="str">
        <f ca="1">IFERROR(__xludf.DUMMYFUNCTION("""COMPUTED_VALUE"""),"")</f>
        <v/>
      </c>
      <c r="U701" s="189" t="str">
        <f ca="1">IFERROR(__xludf.DUMMYFUNCTION("""COMPUTED_VALUE"""),"")</f>
        <v/>
      </c>
      <c r="V701" s="189" t="str">
        <f ca="1">IFERROR(__xludf.DUMMYFUNCTION("""COMPUTED_VALUE"""),"")</f>
        <v/>
      </c>
      <c r="W701" s="189" t="str">
        <f ca="1">IFERROR(__xludf.DUMMYFUNCTION("""COMPUTED_VALUE"""),"")</f>
        <v/>
      </c>
      <c r="X701" s="189" t="str">
        <f ca="1">IFERROR(__xludf.DUMMYFUNCTION("""COMPUTED_VALUE"""),"")</f>
        <v/>
      </c>
      <c r="Y701" s="189" t="str">
        <f ca="1">IFERROR(__xludf.DUMMYFUNCTION("""COMPUTED_VALUE"""),"")</f>
        <v/>
      </c>
      <c r="Z701" s="189"/>
    </row>
    <row r="702" spans="1:26" ht="12.75">
      <c r="A702" s="189" t="str">
        <f ca="1">IFERROR(__xludf.DUMMYFUNCTION("""COMPUTED_VALUE"""),"")</f>
        <v/>
      </c>
      <c r="B702" s="189" t="str">
        <f ca="1">IFERROR(__xludf.DUMMYFUNCTION("""COMPUTED_VALUE"""),"")</f>
        <v/>
      </c>
      <c r="C702" s="189" t="str">
        <f ca="1">IFERROR(__xludf.DUMMYFUNCTION("""COMPUTED_VALUE"""),"")</f>
        <v/>
      </c>
      <c r="D702" s="189" t="str">
        <f ca="1">IFERROR(__xludf.DUMMYFUNCTION("""COMPUTED_VALUE"""),"")</f>
        <v/>
      </c>
      <c r="E702" s="189" t="str">
        <f ca="1">IFERROR(__xludf.DUMMYFUNCTION("""COMPUTED_VALUE"""),"")</f>
        <v/>
      </c>
      <c r="F702" s="189" t="str">
        <f ca="1">IFERROR(__xludf.DUMMYFUNCTION("""COMPUTED_VALUE"""),"")</f>
        <v/>
      </c>
      <c r="G702" s="189" t="str">
        <f ca="1">IFERROR(__xludf.DUMMYFUNCTION("""COMPUTED_VALUE"""),"")</f>
        <v/>
      </c>
      <c r="H702" s="189" t="str">
        <f ca="1">IFERROR(__xludf.DUMMYFUNCTION("""COMPUTED_VALUE"""),"")</f>
        <v/>
      </c>
      <c r="I702" s="120" t="str">
        <f ca="1">IFERROR(__xludf.DUMMYFUNCTION("""COMPUTED_VALUE"""),"")</f>
        <v/>
      </c>
      <c r="J702" s="189" t="str">
        <f ca="1">IFERROR(__xludf.DUMMYFUNCTION("""COMPUTED_VALUE"""),"")</f>
        <v/>
      </c>
      <c r="K702" s="189" t="str">
        <f ca="1">IFERROR(__xludf.DUMMYFUNCTION("""COMPUTED_VALUE"""),"")</f>
        <v/>
      </c>
      <c r="L702" s="189" t="str">
        <f ca="1">IFERROR(__xludf.DUMMYFUNCTION("""COMPUTED_VALUE"""),"")</f>
        <v/>
      </c>
      <c r="M702" s="189" t="str">
        <f ca="1">IFERROR(__xludf.DUMMYFUNCTION("""COMPUTED_VALUE"""),"")</f>
        <v/>
      </c>
      <c r="N702" s="189" t="str">
        <f ca="1">IFERROR(__xludf.DUMMYFUNCTION("""COMPUTED_VALUE"""),"")</f>
        <v/>
      </c>
      <c r="O702" s="189" t="str">
        <f ca="1">IFERROR(__xludf.DUMMYFUNCTION("""COMPUTED_VALUE"""),"")</f>
        <v/>
      </c>
      <c r="P702" s="189" t="str">
        <f ca="1">IFERROR(__xludf.DUMMYFUNCTION("""COMPUTED_VALUE"""),"")</f>
        <v/>
      </c>
      <c r="Q702" s="189" t="str">
        <f ca="1">IFERROR(__xludf.DUMMYFUNCTION("""COMPUTED_VALUE"""),"")</f>
        <v/>
      </c>
      <c r="R702" s="189" t="str">
        <f ca="1">IFERROR(__xludf.DUMMYFUNCTION("""COMPUTED_VALUE"""),"")</f>
        <v/>
      </c>
      <c r="S702" s="189" t="str">
        <f ca="1">IFERROR(__xludf.DUMMYFUNCTION("""COMPUTED_VALUE"""),"")</f>
        <v/>
      </c>
      <c r="T702" s="189" t="str">
        <f ca="1">IFERROR(__xludf.DUMMYFUNCTION("""COMPUTED_VALUE"""),"")</f>
        <v/>
      </c>
      <c r="U702" s="189" t="str">
        <f ca="1">IFERROR(__xludf.DUMMYFUNCTION("""COMPUTED_VALUE"""),"")</f>
        <v/>
      </c>
      <c r="V702" s="189" t="str">
        <f ca="1">IFERROR(__xludf.DUMMYFUNCTION("""COMPUTED_VALUE"""),"")</f>
        <v/>
      </c>
      <c r="W702" s="189" t="str">
        <f ca="1">IFERROR(__xludf.DUMMYFUNCTION("""COMPUTED_VALUE"""),"")</f>
        <v/>
      </c>
      <c r="X702" s="189" t="str">
        <f ca="1">IFERROR(__xludf.DUMMYFUNCTION("""COMPUTED_VALUE"""),"")</f>
        <v/>
      </c>
      <c r="Y702" s="189" t="str">
        <f ca="1">IFERROR(__xludf.DUMMYFUNCTION("""COMPUTED_VALUE"""),"")</f>
        <v/>
      </c>
      <c r="Z702" s="189"/>
    </row>
    <row r="703" spans="1:26" ht="12.75">
      <c r="A703" s="189" t="str">
        <f ca="1">IFERROR(__xludf.DUMMYFUNCTION("""COMPUTED_VALUE"""),"")</f>
        <v/>
      </c>
      <c r="B703" s="189" t="str">
        <f ca="1">IFERROR(__xludf.DUMMYFUNCTION("""COMPUTED_VALUE"""),"")</f>
        <v/>
      </c>
      <c r="C703" s="189" t="str">
        <f ca="1">IFERROR(__xludf.DUMMYFUNCTION("""COMPUTED_VALUE"""),"")</f>
        <v/>
      </c>
      <c r="D703" s="189" t="str">
        <f ca="1">IFERROR(__xludf.DUMMYFUNCTION("""COMPUTED_VALUE"""),"")</f>
        <v/>
      </c>
      <c r="E703" s="189" t="str">
        <f ca="1">IFERROR(__xludf.DUMMYFUNCTION("""COMPUTED_VALUE"""),"")</f>
        <v/>
      </c>
      <c r="F703" s="189" t="str">
        <f ca="1">IFERROR(__xludf.DUMMYFUNCTION("""COMPUTED_VALUE"""),"")</f>
        <v/>
      </c>
      <c r="G703" s="189" t="str">
        <f ca="1">IFERROR(__xludf.DUMMYFUNCTION("""COMPUTED_VALUE"""),"")</f>
        <v/>
      </c>
      <c r="H703" s="189" t="str">
        <f ca="1">IFERROR(__xludf.DUMMYFUNCTION("""COMPUTED_VALUE"""),"")</f>
        <v/>
      </c>
      <c r="I703" s="120" t="str">
        <f ca="1">IFERROR(__xludf.DUMMYFUNCTION("""COMPUTED_VALUE"""),"")</f>
        <v/>
      </c>
      <c r="J703" s="189" t="str">
        <f ca="1">IFERROR(__xludf.DUMMYFUNCTION("""COMPUTED_VALUE"""),"")</f>
        <v/>
      </c>
      <c r="K703" s="189" t="str">
        <f ca="1">IFERROR(__xludf.DUMMYFUNCTION("""COMPUTED_VALUE"""),"")</f>
        <v/>
      </c>
      <c r="L703" s="189" t="str">
        <f ca="1">IFERROR(__xludf.DUMMYFUNCTION("""COMPUTED_VALUE"""),"")</f>
        <v/>
      </c>
      <c r="M703" s="189" t="str">
        <f ca="1">IFERROR(__xludf.DUMMYFUNCTION("""COMPUTED_VALUE"""),"")</f>
        <v/>
      </c>
      <c r="N703" s="189" t="str">
        <f ca="1">IFERROR(__xludf.DUMMYFUNCTION("""COMPUTED_VALUE"""),"")</f>
        <v/>
      </c>
      <c r="O703" s="189" t="str">
        <f ca="1">IFERROR(__xludf.DUMMYFUNCTION("""COMPUTED_VALUE"""),"")</f>
        <v/>
      </c>
      <c r="P703" s="189" t="str">
        <f ca="1">IFERROR(__xludf.DUMMYFUNCTION("""COMPUTED_VALUE"""),"")</f>
        <v/>
      </c>
      <c r="Q703" s="189" t="str">
        <f ca="1">IFERROR(__xludf.DUMMYFUNCTION("""COMPUTED_VALUE"""),"")</f>
        <v/>
      </c>
      <c r="R703" s="189" t="str">
        <f ca="1">IFERROR(__xludf.DUMMYFUNCTION("""COMPUTED_VALUE"""),"")</f>
        <v/>
      </c>
      <c r="S703" s="189" t="str">
        <f ca="1">IFERROR(__xludf.DUMMYFUNCTION("""COMPUTED_VALUE"""),"")</f>
        <v/>
      </c>
      <c r="T703" s="189" t="str">
        <f ca="1">IFERROR(__xludf.DUMMYFUNCTION("""COMPUTED_VALUE"""),"")</f>
        <v/>
      </c>
      <c r="U703" s="189" t="str">
        <f ca="1">IFERROR(__xludf.DUMMYFUNCTION("""COMPUTED_VALUE"""),"")</f>
        <v/>
      </c>
      <c r="V703" s="189" t="str">
        <f ca="1">IFERROR(__xludf.DUMMYFUNCTION("""COMPUTED_VALUE"""),"")</f>
        <v/>
      </c>
      <c r="W703" s="189" t="str">
        <f ca="1">IFERROR(__xludf.DUMMYFUNCTION("""COMPUTED_VALUE"""),"")</f>
        <v/>
      </c>
      <c r="X703" s="189" t="str">
        <f ca="1">IFERROR(__xludf.DUMMYFUNCTION("""COMPUTED_VALUE"""),"")</f>
        <v/>
      </c>
      <c r="Y703" s="189" t="str">
        <f ca="1">IFERROR(__xludf.DUMMYFUNCTION("""COMPUTED_VALUE"""),"")</f>
        <v/>
      </c>
      <c r="Z703" s="189"/>
    </row>
    <row r="704" spans="1:26" ht="12.75">
      <c r="A704" s="189" t="str">
        <f ca="1">IFERROR(__xludf.DUMMYFUNCTION("""COMPUTED_VALUE"""),"")</f>
        <v/>
      </c>
      <c r="B704" s="189" t="str">
        <f ca="1">IFERROR(__xludf.DUMMYFUNCTION("""COMPUTED_VALUE"""),"")</f>
        <v/>
      </c>
      <c r="C704" s="189" t="str">
        <f ca="1">IFERROR(__xludf.DUMMYFUNCTION("""COMPUTED_VALUE"""),"")</f>
        <v/>
      </c>
      <c r="D704" s="189" t="str">
        <f ca="1">IFERROR(__xludf.DUMMYFUNCTION("""COMPUTED_VALUE"""),"")</f>
        <v/>
      </c>
      <c r="E704" s="189" t="str">
        <f ca="1">IFERROR(__xludf.DUMMYFUNCTION("""COMPUTED_VALUE"""),"")</f>
        <v/>
      </c>
      <c r="F704" s="189" t="str">
        <f ca="1">IFERROR(__xludf.DUMMYFUNCTION("""COMPUTED_VALUE"""),"")</f>
        <v/>
      </c>
      <c r="G704" s="189" t="str">
        <f ca="1">IFERROR(__xludf.DUMMYFUNCTION("""COMPUTED_VALUE"""),"")</f>
        <v/>
      </c>
      <c r="H704" s="189" t="str">
        <f ca="1">IFERROR(__xludf.DUMMYFUNCTION("""COMPUTED_VALUE"""),"")</f>
        <v/>
      </c>
      <c r="I704" s="120" t="str">
        <f ca="1">IFERROR(__xludf.DUMMYFUNCTION("""COMPUTED_VALUE"""),"")</f>
        <v/>
      </c>
      <c r="J704" s="189" t="str">
        <f ca="1">IFERROR(__xludf.DUMMYFUNCTION("""COMPUTED_VALUE"""),"")</f>
        <v/>
      </c>
      <c r="K704" s="189" t="str">
        <f ca="1">IFERROR(__xludf.DUMMYFUNCTION("""COMPUTED_VALUE"""),"")</f>
        <v/>
      </c>
      <c r="L704" s="189" t="str">
        <f ca="1">IFERROR(__xludf.DUMMYFUNCTION("""COMPUTED_VALUE"""),"")</f>
        <v/>
      </c>
      <c r="M704" s="189" t="str">
        <f ca="1">IFERROR(__xludf.DUMMYFUNCTION("""COMPUTED_VALUE"""),"")</f>
        <v/>
      </c>
      <c r="N704" s="189" t="str">
        <f ca="1">IFERROR(__xludf.DUMMYFUNCTION("""COMPUTED_VALUE"""),"")</f>
        <v/>
      </c>
      <c r="O704" s="189" t="str">
        <f ca="1">IFERROR(__xludf.DUMMYFUNCTION("""COMPUTED_VALUE"""),"")</f>
        <v/>
      </c>
      <c r="P704" s="189" t="str">
        <f ca="1">IFERROR(__xludf.DUMMYFUNCTION("""COMPUTED_VALUE"""),"")</f>
        <v/>
      </c>
      <c r="Q704" s="189" t="str">
        <f ca="1">IFERROR(__xludf.DUMMYFUNCTION("""COMPUTED_VALUE"""),"")</f>
        <v/>
      </c>
      <c r="R704" s="189" t="str">
        <f ca="1">IFERROR(__xludf.DUMMYFUNCTION("""COMPUTED_VALUE"""),"")</f>
        <v/>
      </c>
      <c r="S704" s="189" t="str">
        <f ca="1">IFERROR(__xludf.DUMMYFUNCTION("""COMPUTED_VALUE"""),"")</f>
        <v/>
      </c>
      <c r="T704" s="189" t="str">
        <f ca="1">IFERROR(__xludf.DUMMYFUNCTION("""COMPUTED_VALUE"""),"")</f>
        <v/>
      </c>
      <c r="U704" s="189" t="str">
        <f ca="1">IFERROR(__xludf.DUMMYFUNCTION("""COMPUTED_VALUE"""),"")</f>
        <v/>
      </c>
      <c r="V704" s="189" t="str">
        <f ca="1">IFERROR(__xludf.DUMMYFUNCTION("""COMPUTED_VALUE"""),"")</f>
        <v/>
      </c>
      <c r="W704" s="189" t="str">
        <f ca="1">IFERROR(__xludf.DUMMYFUNCTION("""COMPUTED_VALUE"""),"")</f>
        <v/>
      </c>
      <c r="X704" s="189" t="str">
        <f ca="1">IFERROR(__xludf.DUMMYFUNCTION("""COMPUTED_VALUE"""),"")</f>
        <v/>
      </c>
      <c r="Y704" s="189" t="str">
        <f ca="1">IFERROR(__xludf.DUMMYFUNCTION("""COMPUTED_VALUE"""),"")</f>
        <v/>
      </c>
      <c r="Z704" s="189"/>
    </row>
    <row r="705" spans="1:26" ht="12.75">
      <c r="A705" s="189" t="str">
        <f ca="1">IFERROR(__xludf.DUMMYFUNCTION("""COMPUTED_VALUE"""),"")</f>
        <v/>
      </c>
      <c r="B705" s="189" t="str">
        <f ca="1">IFERROR(__xludf.DUMMYFUNCTION("""COMPUTED_VALUE"""),"")</f>
        <v/>
      </c>
      <c r="C705" s="189" t="str">
        <f ca="1">IFERROR(__xludf.DUMMYFUNCTION("""COMPUTED_VALUE"""),"")</f>
        <v/>
      </c>
      <c r="D705" s="189" t="str">
        <f ca="1">IFERROR(__xludf.DUMMYFUNCTION("""COMPUTED_VALUE"""),"")</f>
        <v/>
      </c>
      <c r="E705" s="189" t="str">
        <f ca="1">IFERROR(__xludf.DUMMYFUNCTION("""COMPUTED_VALUE"""),"")</f>
        <v/>
      </c>
      <c r="F705" s="189" t="str">
        <f ca="1">IFERROR(__xludf.DUMMYFUNCTION("""COMPUTED_VALUE"""),"")</f>
        <v/>
      </c>
      <c r="G705" s="189" t="str">
        <f ca="1">IFERROR(__xludf.DUMMYFUNCTION("""COMPUTED_VALUE"""),"")</f>
        <v/>
      </c>
      <c r="H705" s="189" t="str">
        <f ca="1">IFERROR(__xludf.DUMMYFUNCTION("""COMPUTED_VALUE"""),"")</f>
        <v/>
      </c>
      <c r="I705" s="120" t="str">
        <f ca="1">IFERROR(__xludf.DUMMYFUNCTION("""COMPUTED_VALUE"""),"")</f>
        <v/>
      </c>
      <c r="J705" s="189" t="str">
        <f ca="1">IFERROR(__xludf.DUMMYFUNCTION("""COMPUTED_VALUE"""),"")</f>
        <v/>
      </c>
      <c r="K705" s="189" t="str">
        <f ca="1">IFERROR(__xludf.DUMMYFUNCTION("""COMPUTED_VALUE"""),"")</f>
        <v/>
      </c>
      <c r="L705" s="189" t="str">
        <f ca="1">IFERROR(__xludf.DUMMYFUNCTION("""COMPUTED_VALUE"""),"")</f>
        <v/>
      </c>
      <c r="M705" s="189" t="str">
        <f ca="1">IFERROR(__xludf.DUMMYFUNCTION("""COMPUTED_VALUE"""),"")</f>
        <v/>
      </c>
      <c r="N705" s="189" t="str">
        <f ca="1">IFERROR(__xludf.DUMMYFUNCTION("""COMPUTED_VALUE"""),"")</f>
        <v/>
      </c>
      <c r="O705" s="189" t="str">
        <f ca="1">IFERROR(__xludf.DUMMYFUNCTION("""COMPUTED_VALUE"""),"")</f>
        <v/>
      </c>
      <c r="P705" s="189" t="str">
        <f ca="1">IFERROR(__xludf.DUMMYFUNCTION("""COMPUTED_VALUE"""),"")</f>
        <v/>
      </c>
      <c r="Q705" s="189" t="str">
        <f ca="1">IFERROR(__xludf.DUMMYFUNCTION("""COMPUTED_VALUE"""),"")</f>
        <v/>
      </c>
      <c r="R705" s="189" t="str">
        <f ca="1">IFERROR(__xludf.DUMMYFUNCTION("""COMPUTED_VALUE"""),"")</f>
        <v/>
      </c>
      <c r="S705" s="189" t="str">
        <f ca="1">IFERROR(__xludf.DUMMYFUNCTION("""COMPUTED_VALUE"""),"")</f>
        <v/>
      </c>
      <c r="T705" s="189" t="str">
        <f ca="1">IFERROR(__xludf.DUMMYFUNCTION("""COMPUTED_VALUE"""),"")</f>
        <v/>
      </c>
      <c r="U705" s="189" t="str">
        <f ca="1">IFERROR(__xludf.DUMMYFUNCTION("""COMPUTED_VALUE"""),"")</f>
        <v/>
      </c>
      <c r="V705" s="189" t="str">
        <f ca="1">IFERROR(__xludf.DUMMYFUNCTION("""COMPUTED_VALUE"""),"")</f>
        <v/>
      </c>
      <c r="W705" s="189" t="str">
        <f ca="1">IFERROR(__xludf.DUMMYFUNCTION("""COMPUTED_VALUE"""),"")</f>
        <v/>
      </c>
      <c r="X705" s="189" t="str">
        <f ca="1">IFERROR(__xludf.DUMMYFUNCTION("""COMPUTED_VALUE"""),"")</f>
        <v/>
      </c>
      <c r="Y705" s="189" t="str">
        <f ca="1">IFERROR(__xludf.DUMMYFUNCTION("""COMPUTED_VALUE"""),"")</f>
        <v/>
      </c>
      <c r="Z705" s="189"/>
    </row>
    <row r="706" spans="1:26" ht="12.75">
      <c r="A706" s="189" t="str">
        <f ca="1">IFERROR(__xludf.DUMMYFUNCTION("""COMPUTED_VALUE"""),"")</f>
        <v/>
      </c>
      <c r="B706" s="189" t="str">
        <f ca="1">IFERROR(__xludf.DUMMYFUNCTION("""COMPUTED_VALUE"""),"")</f>
        <v/>
      </c>
      <c r="C706" s="189" t="str">
        <f ca="1">IFERROR(__xludf.DUMMYFUNCTION("""COMPUTED_VALUE"""),"")</f>
        <v/>
      </c>
      <c r="D706" s="189" t="str">
        <f ca="1">IFERROR(__xludf.DUMMYFUNCTION("""COMPUTED_VALUE"""),"")</f>
        <v/>
      </c>
      <c r="E706" s="189" t="str">
        <f ca="1">IFERROR(__xludf.DUMMYFUNCTION("""COMPUTED_VALUE"""),"")</f>
        <v/>
      </c>
      <c r="F706" s="189" t="str">
        <f ca="1">IFERROR(__xludf.DUMMYFUNCTION("""COMPUTED_VALUE"""),"")</f>
        <v/>
      </c>
      <c r="G706" s="189" t="str">
        <f ca="1">IFERROR(__xludf.DUMMYFUNCTION("""COMPUTED_VALUE"""),"")</f>
        <v/>
      </c>
      <c r="H706" s="189" t="str">
        <f ca="1">IFERROR(__xludf.DUMMYFUNCTION("""COMPUTED_VALUE"""),"")</f>
        <v/>
      </c>
      <c r="I706" s="120" t="str">
        <f ca="1">IFERROR(__xludf.DUMMYFUNCTION("""COMPUTED_VALUE"""),"")</f>
        <v/>
      </c>
      <c r="J706" s="189" t="str">
        <f ca="1">IFERROR(__xludf.DUMMYFUNCTION("""COMPUTED_VALUE"""),"")</f>
        <v/>
      </c>
      <c r="K706" s="189" t="str">
        <f ca="1">IFERROR(__xludf.DUMMYFUNCTION("""COMPUTED_VALUE"""),"")</f>
        <v/>
      </c>
      <c r="L706" s="189" t="str">
        <f ca="1">IFERROR(__xludf.DUMMYFUNCTION("""COMPUTED_VALUE"""),"")</f>
        <v/>
      </c>
      <c r="M706" s="189" t="str">
        <f ca="1">IFERROR(__xludf.DUMMYFUNCTION("""COMPUTED_VALUE"""),"")</f>
        <v/>
      </c>
      <c r="N706" s="189" t="str">
        <f ca="1">IFERROR(__xludf.DUMMYFUNCTION("""COMPUTED_VALUE"""),"")</f>
        <v/>
      </c>
      <c r="O706" s="189" t="str">
        <f ca="1">IFERROR(__xludf.DUMMYFUNCTION("""COMPUTED_VALUE"""),"")</f>
        <v/>
      </c>
      <c r="P706" s="189" t="str">
        <f ca="1">IFERROR(__xludf.DUMMYFUNCTION("""COMPUTED_VALUE"""),"")</f>
        <v/>
      </c>
      <c r="Q706" s="189" t="str">
        <f ca="1">IFERROR(__xludf.DUMMYFUNCTION("""COMPUTED_VALUE"""),"")</f>
        <v/>
      </c>
      <c r="R706" s="189" t="str">
        <f ca="1">IFERROR(__xludf.DUMMYFUNCTION("""COMPUTED_VALUE"""),"")</f>
        <v/>
      </c>
      <c r="S706" s="189" t="str">
        <f ca="1">IFERROR(__xludf.DUMMYFUNCTION("""COMPUTED_VALUE"""),"")</f>
        <v/>
      </c>
      <c r="T706" s="189" t="str">
        <f ca="1">IFERROR(__xludf.DUMMYFUNCTION("""COMPUTED_VALUE"""),"")</f>
        <v/>
      </c>
      <c r="U706" s="189" t="str">
        <f ca="1">IFERROR(__xludf.DUMMYFUNCTION("""COMPUTED_VALUE"""),"")</f>
        <v/>
      </c>
      <c r="V706" s="189" t="str">
        <f ca="1">IFERROR(__xludf.DUMMYFUNCTION("""COMPUTED_VALUE"""),"")</f>
        <v/>
      </c>
      <c r="W706" s="189" t="str">
        <f ca="1">IFERROR(__xludf.DUMMYFUNCTION("""COMPUTED_VALUE"""),"")</f>
        <v/>
      </c>
      <c r="X706" s="189" t="str">
        <f ca="1">IFERROR(__xludf.DUMMYFUNCTION("""COMPUTED_VALUE"""),"")</f>
        <v/>
      </c>
      <c r="Y706" s="189" t="str">
        <f ca="1">IFERROR(__xludf.DUMMYFUNCTION("""COMPUTED_VALUE"""),"")</f>
        <v/>
      </c>
      <c r="Z706" s="189"/>
    </row>
    <row r="707" spans="1:26" ht="12.75">
      <c r="A707" s="189" t="str">
        <f ca="1">IFERROR(__xludf.DUMMYFUNCTION("""COMPUTED_VALUE"""),"")</f>
        <v/>
      </c>
      <c r="B707" s="189" t="str">
        <f ca="1">IFERROR(__xludf.DUMMYFUNCTION("""COMPUTED_VALUE"""),"")</f>
        <v/>
      </c>
      <c r="C707" s="189" t="str">
        <f ca="1">IFERROR(__xludf.DUMMYFUNCTION("""COMPUTED_VALUE"""),"")</f>
        <v/>
      </c>
      <c r="D707" s="189" t="str">
        <f ca="1">IFERROR(__xludf.DUMMYFUNCTION("""COMPUTED_VALUE"""),"")</f>
        <v/>
      </c>
      <c r="E707" s="189" t="str">
        <f ca="1">IFERROR(__xludf.DUMMYFUNCTION("""COMPUTED_VALUE"""),"")</f>
        <v/>
      </c>
      <c r="F707" s="189" t="str">
        <f ca="1">IFERROR(__xludf.DUMMYFUNCTION("""COMPUTED_VALUE"""),"")</f>
        <v/>
      </c>
      <c r="G707" s="189" t="str">
        <f ca="1">IFERROR(__xludf.DUMMYFUNCTION("""COMPUTED_VALUE"""),"")</f>
        <v/>
      </c>
      <c r="H707" s="189" t="str">
        <f ca="1">IFERROR(__xludf.DUMMYFUNCTION("""COMPUTED_VALUE"""),"")</f>
        <v/>
      </c>
      <c r="I707" s="120" t="str">
        <f ca="1">IFERROR(__xludf.DUMMYFUNCTION("""COMPUTED_VALUE"""),"")</f>
        <v/>
      </c>
      <c r="J707" s="189" t="str">
        <f ca="1">IFERROR(__xludf.DUMMYFUNCTION("""COMPUTED_VALUE"""),"")</f>
        <v/>
      </c>
      <c r="K707" s="189" t="str">
        <f ca="1">IFERROR(__xludf.DUMMYFUNCTION("""COMPUTED_VALUE"""),"")</f>
        <v/>
      </c>
      <c r="L707" s="189" t="str">
        <f ca="1">IFERROR(__xludf.DUMMYFUNCTION("""COMPUTED_VALUE"""),"")</f>
        <v/>
      </c>
      <c r="M707" s="189" t="str">
        <f ca="1">IFERROR(__xludf.DUMMYFUNCTION("""COMPUTED_VALUE"""),"")</f>
        <v/>
      </c>
      <c r="N707" s="189" t="str">
        <f ca="1">IFERROR(__xludf.DUMMYFUNCTION("""COMPUTED_VALUE"""),"")</f>
        <v/>
      </c>
      <c r="O707" s="189" t="str">
        <f ca="1">IFERROR(__xludf.DUMMYFUNCTION("""COMPUTED_VALUE"""),"")</f>
        <v/>
      </c>
      <c r="P707" s="189" t="str">
        <f ca="1">IFERROR(__xludf.DUMMYFUNCTION("""COMPUTED_VALUE"""),"")</f>
        <v/>
      </c>
      <c r="Q707" s="189" t="str">
        <f ca="1">IFERROR(__xludf.DUMMYFUNCTION("""COMPUTED_VALUE"""),"")</f>
        <v/>
      </c>
      <c r="R707" s="189" t="str">
        <f ca="1">IFERROR(__xludf.DUMMYFUNCTION("""COMPUTED_VALUE"""),"")</f>
        <v/>
      </c>
      <c r="S707" s="189" t="str">
        <f ca="1">IFERROR(__xludf.DUMMYFUNCTION("""COMPUTED_VALUE"""),"")</f>
        <v/>
      </c>
      <c r="T707" s="189" t="str">
        <f ca="1">IFERROR(__xludf.DUMMYFUNCTION("""COMPUTED_VALUE"""),"")</f>
        <v/>
      </c>
      <c r="U707" s="189" t="str">
        <f ca="1">IFERROR(__xludf.DUMMYFUNCTION("""COMPUTED_VALUE"""),"")</f>
        <v/>
      </c>
      <c r="V707" s="189" t="str">
        <f ca="1">IFERROR(__xludf.DUMMYFUNCTION("""COMPUTED_VALUE"""),"")</f>
        <v/>
      </c>
      <c r="W707" s="189" t="str">
        <f ca="1">IFERROR(__xludf.DUMMYFUNCTION("""COMPUTED_VALUE"""),"")</f>
        <v/>
      </c>
      <c r="X707" s="189" t="str">
        <f ca="1">IFERROR(__xludf.DUMMYFUNCTION("""COMPUTED_VALUE"""),"")</f>
        <v/>
      </c>
      <c r="Y707" s="189" t="str">
        <f ca="1">IFERROR(__xludf.DUMMYFUNCTION("""COMPUTED_VALUE"""),"")</f>
        <v/>
      </c>
      <c r="Z707" s="189"/>
    </row>
    <row r="708" spans="1:26" ht="12.75">
      <c r="A708" s="189" t="str">
        <f ca="1">IFERROR(__xludf.DUMMYFUNCTION("""COMPUTED_VALUE"""),"")</f>
        <v/>
      </c>
      <c r="B708" s="189" t="str">
        <f ca="1">IFERROR(__xludf.DUMMYFUNCTION("""COMPUTED_VALUE"""),"")</f>
        <v/>
      </c>
      <c r="C708" s="189" t="str">
        <f ca="1">IFERROR(__xludf.DUMMYFUNCTION("""COMPUTED_VALUE"""),"")</f>
        <v/>
      </c>
      <c r="D708" s="189" t="str">
        <f ca="1">IFERROR(__xludf.DUMMYFUNCTION("""COMPUTED_VALUE"""),"")</f>
        <v/>
      </c>
      <c r="E708" s="189" t="str">
        <f ca="1">IFERROR(__xludf.DUMMYFUNCTION("""COMPUTED_VALUE"""),"")</f>
        <v/>
      </c>
      <c r="F708" s="189" t="str">
        <f ca="1">IFERROR(__xludf.DUMMYFUNCTION("""COMPUTED_VALUE"""),"")</f>
        <v/>
      </c>
      <c r="G708" s="189" t="str">
        <f ca="1">IFERROR(__xludf.DUMMYFUNCTION("""COMPUTED_VALUE"""),"")</f>
        <v/>
      </c>
      <c r="H708" s="189" t="str">
        <f ca="1">IFERROR(__xludf.DUMMYFUNCTION("""COMPUTED_VALUE"""),"")</f>
        <v/>
      </c>
      <c r="I708" s="120" t="str">
        <f ca="1">IFERROR(__xludf.DUMMYFUNCTION("""COMPUTED_VALUE"""),"")</f>
        <v/>
      </c>
      <c r="J708" s="189" t="str">
        <f ca="1">IFERROR(__xludf.DUMMYFUNCTION("""COMPUTED_VALUE"""),"")</f>
        <v/>
      </c>
      <c r="K708" s="189" t="str">
        <f ca="1">IFERROR(__xludf.DUMMYFUNCTION("""COMPUTED_VALUE"""),"")</f>
        <v/>
      </c>
      <c r="L708" s="189" t="str">
        <f ca="1">IFERROR(__xludf.DUMMYFUNCTION("""COMPUTED_VALUE"""),"")</f>
        <v/>
      </c>
      <c r="M708" s="189" t="str">
        <f ca="1">IFERROR(__xludf.DUMMYFUNCTION("""COMPUTED_VALUE"""),"")</f>
        <v/>
      </c>
      <c r="N708" s="189" t="str">
        <f ca="1">IFERROR(__xludf.DUMMYFUNCTION("""COMPUTED_VALUE"""),"")</f>
        <v/>
      </c>
      <c r="O708" s="189" t="str">
        <f ca="1">IFERROR(__xludf.DUMMYFUNCTION("""COMPUTED_VALUE"""),"")</f>
        <v/>
      </c>
      <c r="P708" s="189" t="str">
        <f ca="1">IFERROR(__xludf.DUMMYFUNCTION("""COMPUTED_VALUE"""),"")</f>
        <v/>
      </c>
      <c r="Q708" s="189" t="str">
        <f ca="1">IFERROR(__xludf.DUMMYFUNCTION("""COMPUTED_VALUE"""),"")</f>
        <v/>
      </c>
      <c r="R708" s="189" t="str">
        <f ca="1">IFERROR(__xludf.DUMMYFUNCTION("""COMPUTED_VALUE"""),"")</f>
        <v/>
      </c>
      <c r="S708" s="189" t="str">
        <f ca="1">IFERROR(__xludf.DUMMYFUNCTION("""COMPUTED_VALUE"""),"")</f>
        <v/>
      </c>
      <c r="T708" s="189" t="str">
        <f ca="1">IFERROR(__xludf.DUMMYFUNCTION("""COMPUTED_VALUE"""),"")</f>
        <v/>
      </c>
      <c r="U708" s="189" t="str">
        <f ca="1">IFERROR(__xludf.DUMMYFUNCTION("""COMPUTED_VALUE"""),"")</f>
        <v/>
      </c>
      <c r="V708" s="189" t="str">
        <f ca="1">IFERROR(__xludf.DUMMYFUNCTION("""COMPUTED_VALUE"""),"")</f>
        <v/>
      </c>
      <c r="W708" s="189" t="str">
        <f ca="1">IFERROR(__xludf.DUMMYFUNCTION("""COMPUTED_VALUE"""),"")</f>
        <v/>
      </c>
      <c r="X708" s="189" t="str">
        <f ca="1">IFERROR(__xludf.DUMMYFUNCTION("""COMPUTED_VALUE"""),"")</f>
        <v/>
      </c>
      <c r="Y708" s="189" t="str">
        <f ca="1">IFERROR(__xludf.DUMMYFUNCTION("""COMPUTED_VALUE"""),"")</f>
        <v/>
      </c>
      <c r="Z708" s="189"/>
    </row>
    <row r="709" spans="1:26" ht="12.75">
      <c r="A709" s="189" t="str">
        <f ca="1">IFERROR(__xludf.DUMMYFUNCTION("""COMPUTED_VALUE"""),"")</f>
        <v/>
      </c>
      <c r="B709" s="189" t="str">
        <f ca="1">IFERROR(__xludf.DUMMYFUNCTION("""COMPUTED_VALUE"""),"")</f>
        <v/>
      </c>
      <c r="C709" s="189" t="str">
        <f ca="1">IFERROR(__xludf.DUMMYFUNCTION("""COMPUTED_VALUE"""),"")</f>
        <v/>
      </c>
      <c r="D709" s="189" t="str">
        <f ca="1">IFERROR(__xludf.DUMMYFUNCTION("""COMPUTED_VALUE"""),"")</f>
        <v/>
      </c>
      <c r="E709" s="189" t="str">
        <f ca="1">IFERROR(__xludf.DUMMYFUNCTION("""COMPUTED_VALUE"""),"")</f>
        <v/>
      </c>
      <c r="F709" s="189" t="str">
        <f ca="1">IFERROR(__xludf.DUMMYFUNCTION("""COMPUTED_VALUE"""),"")</f>
        <v/>
      </c>
      <c r="G709" s="189" t="str">
        <f ca="1">IFERROR(__xludf.DUMMYFUNCTION("""COMPUTED_VALUE"""),"")</f>
        <v/>
      </c>
      <c r="H709" s="189" t="str">
        <f ca="1">IFERROR(__xludf.DUMMYFUNCTION("""COMPUTED_VALUE"""),"")</f>
        <v/>
      </c>
      <c r="I709" s="120" t="str">
        <f ca="1">IFERROR(__xludf.DUMMYFUNCTION("""COMPUTED_VALUE"""),"")</f>
        <v/>
      </c>
      <c r="J709" s="189" t="str">
        <f ca="1">IFERROR(__xludf.DUMMYFUNCTION("""COMPUTED_VALUE"""),"")</f>
        <v/>
      </c>
      <c r="K709" s="189" t="str">
        <f ca="1">IFERROR(__xludf.DUMMYFUNCTION("""COMPUTED_VALUE"""),"")</f>
        <v/>
      </c>
      <c r="L709" s="189" t="str">
        <f ca="1">IFERROR(__xludf.DUMMYFUNCTION("""COMPUTED_VALUE"""),"")</f>
        <v/>
      </c>
      <c r="M709" s="189" t="str">
        <f ca="1">IFERROR(__xludf.DUMMYFUNCTION("""COMPUTED_VALUE"""),"")</f>
        <v/>
      </c>
      <c r="N709" s="189" t="str">
        <f ca="1">IFERROR(__xludf.DUMMYFUNCTION("""COMPUTED_VALUE"""),"")</f>
        <v/>
      </c>
      <c r="O709" s="189" t="str">
        <f ca="1">IFERROR(__xludf.DUMMYFUNCTION("""COMPUTED_VALUE"""),"")</f>
        <v/>
      </c>
      <c r="P709" s="189" t="str">
        <f ca="1">IFERROR(__xludf.DUMMYFUNCTION("""COMPUTED_VALUE"""),"")</f>
        <v/>
      </c>
      <c r="Q709" s="189" t="str">
        <f ca="1">IFERROR(__xludf.DUMMYFUNCTION("""COMPUTED_VALUE"""),"")</f>
        <v/>
      </c>
      <c r="R709" s="189" t="str">
        <f ca="1">IFERROR(__xludf.DUMMYFUNCTION("""COMPUTED_VALUE"""),"")</f>
        <v/>
      </c>
      <c r="S709" s="189" t="str">
        <f ca="1">IFERROR(__xludf.DUMMYFUNCTION("""COMPUTED_VALUE"""),"")</f>
        <v/>
      </c>
      <c r="T709" s="189" t="str">
        <f ca="1">IFERROR(__xludf.DUMMYFUNCTION("""COMPUTED_VALUE"""),"")</f>
        <v/>
      </c>
      <c r="U709" s="189" t="str">
        <f ca="1">IFERROR(__xludf.DUMMYFUNCTION("""COMPUTED_VALUE"""),"")</f>
        <v/>
      </c>
      <c r="V709" s="189" t="str">
        <f ca="1">IFERROR(__xludf.DUMMYFUNCTION("""COMPUTED_VALUE"""),"")</f>
        <v/>
      </c>
      <c r="W709" s="189" t="str">
        <f ca="1">IFERROR(__xludf.DUMMYFUNCTION("""COMPUTED_VALUE"""),"")</f>
        <v/>
      </c>
      <c r="X709" s="189" t="str">
        <f ca="1">IFERROR(__xludf.DUMMYFUNCTION("""COMPUTED_VALUE"""),"")</f>
        <v/>
      </c>
      <c r="Y709" s="189" t="str">
        <f ca="1">IFERROR(__xludf.DUMMYFUNCTION("""COMPUTED_VALUE"""),"")</f>
        <v/>
      </c>
      <c r="Z709" s="189"/>
    </row>
    <row r="710" spans="1:26" ht="12.75">
      <c r="A710" s="189" t="str">
        <f ca="1">IFERROR(__xludf.DUMMYFUNCTION("""COMPUTED_VALUE"""),"")</f>
        <v/>
      </c>
      <c r="B710" s="189" t="str">
        <f ca="1">IFERROR(__xludf.DUMMYFUNCTION("""COMPUTED_VALUE"""),"")</f>
        <v/>
      </c>
      <c r="C710" s="189" t="str">
        <f ca="1">IFERROR(__xludf.DUMMYFUNCTION("""COMPUTED_VALUE"""),"")</f>
        <v/>
      </c>
      <c r="D710" s="189" t="str">
        <f ca="1">IFERROR(__xludf.DUMMYFUNCTION("""COMPUTED_VALUE"""),"")</f>
        <v/>
      </c>
      <c r="E710" s="189" t="str">
        <f ca="1">IFERROR(__xludf.DUMMYFUNCTION("""COMPUTED_VALUE"""),"")</f>
        <v/>
      </c>
      <c r="F710" s="189" t="str">
        <f ca="1">IFERROR(__xludf.DUMMYFUNCTION("""COMPUTED_VALUE"""),"")</f>
        <v/>
      </c>
      <c r="G710" s="189" t="str">
        <f ca="1">IFERROR(__xludf.DUMMYFUNCTION("""COMPUTED_VALUE"""),"")</f>
        <v/>
      </c>
      <c r="H710" s="189" t="str">
        <f ca="1">IFERROR(__xludf.DUMMYFUNCTION("""COMPUTED_VALUE"""),"")</f>
        <v/>
      </c>
      <c r="I710" s="120" t="str">
        <f ca="1">IFERROR(__xludf.DUMMYFUNCTION("""COMPUTED_VALUE"""),"")</f>
        <v/>
      </c>
      <c r="J710" s="189" t="str">
        <f ca="1">IFERROR(__xludf.DUMMYFUNCTION("""COMPUTED_VALUE"""),"")</f>
        <v/>
      </c>
      <c r="K710" s="189" t="str">
        <f ca="1">IFERROR(__xludf.DUMMYFUNCTION("""COMPUTED_VALUE"""),"")</f>
        <v/>
      </c>
      <c r="L710" s="189" t="str">
        <f ca="1">IFERROR(__xludf.DUMMYFUNCTION("""COMPUTED_VALUE"""),"")</f>
        <v/>
      </c>
      <c r="M710" s="189" t="str">
        <f ca="1">IFERROR(__xludf.DUMMYFUNCTION("""COMPUTED_VALUE"""),"")</f>
        <v/>
      </c>
      <c r="N710" s="189" t="str">
        <f ca="1">IFERROR(__xludf.DUMMYFUNCTION("""COMPUTED_VALUE"""),"")</f>
        <v/>
      </c>
      <c r="O710" s="189" t="str">
        <f ca="1">IFERROR(__xludf.DUMMYFUNCTION("""COMPUTED_VALUE"""),"")</f>
        <v/>
      </c>
      <c r="P710" s="189" t="str">
        <f ca="1">IFERROR(__xludf.DUMMYFUNCTION("""COMPUTED_VALUE"""),"")</f>
        <v/>
      </c>
      <c r="Q710" s="189" t="str">
        <f ca="1">IFERROR(__xludf.DUMMYFUNCTION("""COMPUTED_VALUE"""),"")</f>
        <v/>
      </c>
      <c r="R710" s="189" t="str">
        <f ca="1">IFERROR(__xludf.DUMMYFUNCTION("""COMPUTED_VALUE"""),"")</f>
        <v/>
      </c>
      <c r="S710" s="189" t="str">
        <f ca="1">IFERROR(__xludf.DUMMYFUNCTION("""COMPUTED_VALUE"""),"")</f>
        <v/>
      </c>
      <c r="T710" s="189" t="str">
        <f ca="1">IFERROR(__xludf.DUMMYFUNCTION("""COMPUTED_VALUE"""),"")</f>
        <v/>
      </c>
      <c r="U710" s="189" t="str">
        <f ca="1">IFERROR(__xludf.DUMMYFUNCTION("""COMPUTED_VALUE"""),"")</f>
        <v/>
      </c>
      <c r="V710" s="189" t="str">
        <f ca="1">IFERROR(__xludf.DUMMYFUNCTION("""COMPUTED_VALUE"""),"")</f>
        <v/>
      </c>
      <c r="W710" s="189" t="str">
        <f ca="1">IFERROR(__xludf.DUMMYFUNCTION("""COMPUTED_VALUE"""),"")</f>
        <v/>
      </c>
      <c r="X710" s="189" t="str">
        <f ca="1">IFERROR(__xludf.DUMMYFUNCTION("""COMPUTED_VALUE"""),"")</f>
        <v/>
      </c>
      <c r="Y710" s="189" t="str">
        <f ca="1">IFERROR(__xludf.DUMMYFUNCTION("""COMPUTED_VALUE"""),"")</f>
        <v/>
      </c>
      <c r="Z710" s="189"/>
    </row>
    <row r="711" spans="1:26" ht="12.75">
      <c r="A711" s="189" t="str">
        <f ca="1">IFERROR(__xludf.DUMMYFUNCTION("""COMPUTED_VALUE"""),"")</f>
        <v/>
      </c>
      <c r="B711" s="189" t="str">
        <f ca="1">IFERROR(__xludf.DUMMYFUNCTION("""COMPUTED_VALUE"""),"")</f>
        <v/>
      </c>
      <c r="C711" s="189" t="str">
        <f ca="1">IFERROR(__xludf.DUMMYFUNCTION("""COMPUTED_VALUE"""),"")</f>
        <v/>
      </c>
      <c r="D711" s="189" t="str">
        <f ca="1">IFERROR(__xludf.DUMMYFUNCTION("""COMPUTED_VALUE"""),"")</f>
        <v/>
      </c>
      <c r="E711" s="189" t="str">
        <f ca="1">IFERROR(__xludf.DUMMYFUNCTION("""COMPUTED_VALUE"""),"")</f>
        <v/>
      </c>
      <c r="F711" s="189" t="str">
        <f ca="1">IFERROR(__xludf.DUMMYFUNCTION("""COMPUTED_VALUE"""),"")</f>
        <v/>
      </c>
      <c r="G711" s="189" t="str">
        <f ca="1">IFERROR(__xludf.DUMMYFUNCTION("""COMPUTED_VALUE"""),"")</f>
        <v/>
      </c>
      <c r="H711" s="189" t="str">
        <f ca="1">IFERROR(__xludf.DUMMYFUNCTION("""COMPUTED_VALUE"""),"")</f>
        <v/>
      </c>
      <c r="I711" s="120" t="str">
        <f ca="1">IFERROR(__xludf.DUMMYFUNCTION("""COMPUTED_VALUE"""),"")</f>
        <v/>
      </c>
      <c r="J711" s="189" t="str">
        <f ca="1">IFERROR(__xludf.DUMMYFUNCTION("""COMPUTED_VALUE"""),"")</f>
        <v/>
      </c>
      <c r="K711" s="189" t="str">
        <f ca="1">IFERROR(__xludf.DUMMYFUNCTION("""COMPUTED_VALUE"""),"")</f>
        <v/>
      </c>
      <c r="L711" s="189" t="str">
        <f ca="1">IFERROR(__xludf.DUMMYFUNCTION("""COMPUTED_VALUE"""),"")</f>
        <v/>
      </c>
      <c r="M711" s="189" t="str">
        <f ca="1">IFERROR(__xludf.DUMMYFUNCTION("""COMPUTED_VALUE"""),"")</f>
        <v/>
      </c>
      <c r="N711" s="189" t="str">
        <f ca="1">IFERROR(__xludf.DUMMYFUNCTION("""COMPUTED_VALUE"""),"")</f>
        <v/>
      </c>
      <c r="O711" s="189" t="str">
        <f ca="1">IFERROR(__xludf.DUMMYFUNCTION("""COMPUTED_VALUE"""),"")</f>
        <v/>
      </c>
      <c r="P711" s="189" t="str">
        <f ca="1">IFERROR(__xludf.DUMMYFUNCTION("""COMPUTED_VALUE"""),"")</f>
        <v/>
      </c>
      <c r="Q711" s="189" t="str">
        <f ca="1">IFERROR(__xludf.DUMMYFUNCTION("""COMPUTED_VALUE"""),"")</f>
        <v/>
      </c>
      <c r="R711" s="189" t="str">
        <f ca="1">IFERROR(__xludf.DUMMYFUNCTION("""COMPUTED_VALUE"""),"")</f>
        <v/>
      </c>
      <c r="S711" s="189" t="str">
        <f ca="1">IFERROR(__xludf.DUMMYFUNCTION("""COMPUTED_VALUE"""),"")</f>
        <v/>
      </c>
      <c r="T711" s="189" t="str">
        <f ca="1">IFERROR(__xludf.DUMMYFUNCTION("""COMPUTED_VALUE"""),"")</f>
        <v/>
      </c>
      <c r="U711" s="189" t="str">
        <f ca="1">IFERROR(__xludf.DUMMYFUNCTION("""COMPUTED_VALUE"""),"")</f>
        <v/>
      </c>
      <c r="V711" s="189" t="str">
        <f ca="1">IFERROR(__xludf.DUMMYFUNCTION("""COMPUTED_VALUE"""),"")</f>
        <v/>
      </c>
      <c r="W711" s="189" t="str">
        <f ca="1">IFERROR(__xludf.DUMMYFUNCTION("""COMPUTED_VALUE"""),"")</f>
        <v/>
      </c>
      <c r="X711" s="189" t="str">
        <f ca="1">IFERROR(__xludf.DUMMYFUNCTION("""COMPUTED_VALUE"""),"")</f>
        <v/>
      </c>
      <c r="Y711" s="189" t="str">
        <f ca="1">IFERROR(__xludf.DUMMYFUNCTION("""COMPUTED_VALUE"""),"")</f>
        <v/>
      </c>
      <c r="Z711" s="189"/>
    </row>
    <row r="712" spans="1:26" ht="12.75">
      <c r="A712" s="189" t="str">
        <f ca="1">IFERROR(__xludf.DUMMYFUNCTION("""COMPUTED_VALUE"""),"")</f>
        <v/>
      </c>
      <c r="B712" s="189" t="str">
        <f ca="1">IFERROR(__xludf.DUMMYFUNCTION("""COMPUTED_VALUE"""),"")</f>
        <v/>
      </c>
      <c r="C712" s="189" t="str">
        <f ca="1">IFERROR(__xludf.DUMMYFUNCTION("""COMPUTED_VALUE"""),"")</f>
        <v/>
      </c>
      <c r="D712" s="189" t="str">
        <f ca="1">IFERROR(__xludf.DUMMYFUNCTION("""COMPUTED_VALUE"""),"")</f>
        <v/>
      </c>
      <c r="E712" s="189" t="str">
        <f ca="1">IFERROR(__xludf.DUMMYFUNCTION("""COMPUTED_VALUE"""),"")</f>
        <v/>
      </c>
      <c r="F712" s="189" t="str">
        <f ca="1">IFERROR(__xludf.DUMMYFUNCTION("""COMPUTED_VALUE"""),"")</f>
        <v/>
      </c>
      <c r="G712" s="189" t="str">
        <f ca="1">IFERROR(__xludf.DUMMYFUNCTION("""COMPUTED_VALUE"""),"")</f>
        <v/>
      </c>
      <c r="H712" s="189" t="str">
        <f ca="1">IFERROR(__xludf.DUMMYFUNCTION("""COMPUTED_VALUE"""),"")</f>
        <v/>
      </c>
      <c r="I712" s="120" t="str">
        <f ca="1">IFERROR(__xludf.DUMMYFUNCTION("""COMPUTED_VALUE"""),"")</f>
        <v/>
      </c>
      <c r="J712" s="189" t="str">
        <f ca="1">IFERROR(__xludf.DUMMYFUNCTION("""COMPUTED_VALUE"""),"")</f>
        <v/>
      </c>
      <c r="K712" s="189" t="str">
        <f ca="1">IFERROR(__xludf.DUMMYFUNCTION("""COMPUTED_VALUE"""),"")</f>
        <v/>
      </c>
      <c r="L712" s="189" t="str">
        <f ca="1">IFERROR(__xludf.DUMMYFUNCTION("""COMPUTED_VALUE"""),"")</f>
        <v/>
      </c>
      <c r="M712" s="189" t="str">
        <f ca="1">IFERROR(__xludf.DUMMYFUNCTION("""COMPUTED_VALUE"""),"")</f>
        <v/>
      </c>
      <c r="N712" s="189" t="str">
        <f ca="1">IFERROR(__xludf.DUMMYFUNCTION("""COMPUTED_VALUE"""),"")</f>
        <v/>
      </c>
      <c r="O712" s="189" t="str">
        <f ca="1">IFERROR(__xludf.DUMMYFUNCTION("""COMPUTED_VALUE"""),"")</f>
        <v/>
      </c>
      <c r="P712" s="189" t="str">
        <f ca="1">IFERROR(__xludf.DUMMYFUNCTION("""COMPUTED_VALUE"""),"")</f>
        <v/>
      </c>
      <c r="Q712" s="189" t="str">
        <f ca="1">IFERROR(__xludf.DUMMYFUNCTION("""COMPUTED_VALUE"""),"")</f>
        <v/>
      </c>
      <c r="R712" s="189" t="str">
        <f ca="1">IFERROR(__xludf.DUMMYFUNCTION("""COMPUTED_VALUE"""),"")</f>
        <v/>
      </c>
      <c r="S712" s="189" t="str">
        <f ca="1">IFERROR(__xludf.DUMMYFUNCTION("""COMPUTED_VALUE"""),"")</f>
        <v/>
      </c>
      <c r="T712" s="189" t="str">
        <f ca="1">IFERROR(__xludf.DUMMYFUNCTION("""COMPUTED_VALUE"""),"")</f>
        <v/>
      </c>
      <c r="U712" s="189" t="str">
        <f ca="1">IFERROR(__xludf.DUMMYFUNCTION("""COMPUTED_VALUE"""),"")</f>
        <v/>
      </c>
      <c r="V712" s="189" t="str">
        <f ca="1">IFERROR(__xludf.DUMMYFUNCTION("""COMPUTED_VALUE"""),"")</f>
        <v/>
      </c>
      <c r="W712" s="189" t="str">
        <f ca="1">IFERROR(__xludf.DUMMYFUNCTION("""COMPUTED_VALUE"""),"")</f>
        <v/>
      </c>
      <c r="X712" s="189" t="str">
        <f ca="1">IFERROR(__xludf.DUMMYFUNCTION("""COMPUTED_VALUE"""),"")</f>
        <v/>
      </c>
      <c r="Y712" s="189" t="str">
        <f ca="1">IFERROR(__xludf.DUMMYFUNCTION("""COMPUTED_VALUE"""),"")</f>
        <v/>
      </c>
      <c r="Z712" s="189"/>
    </row>
    <row r="713" spans="1:26" ht="12.75">
      <c r="A713" s="189" t="str">
        <f ca="1">IFERROR(__xludf.DUMMYFUNCTION("""COMPUTED_VALUE"""),"")</f>
        <v/>
      </c>
      <c r="B713" s="189" t="str">
        <f ca="1">IFERROR(__xludf.DUMMYFUNCTION("""COMPUTED_VALUE"""),"")</f>
        <v/>
      </c>
      <c r="C713" s="189" t="str">
        <f ca="1">IFERROR(__xludf.DUMMYFUNCTION("""COMPUTED_VALUE"""),"")</f>
        <v/>
      </c>
      <c r="D713" s="189" t="str">
        <f ca="1">IFERROR(__xludf.DUMMYFUNCTION("""COMPUTED_VALUE"""),"")</f>
        <v/>
      </c>
      <c r="E713" s="189" t="str">
        <f ca="1">IFERROR(__xludf.DUMMYFUNCTION("""COMPUTED_VALUE"""),"")</f>
        <v/>
      </c>
      <c r="F713" s="189" t="str">
        <f ca="1">IFERROR(__xludf.DUMMYFUNCTION("""COMPUTED_VALUE"""),"")</f>
        <v/>
      </c>
      <c r="G713" s="189" t="str">
        <f ca="1">IFERROR(__xludf.DUMMYFUNCTION("""COMPUTED_VALUE"""),"")</f>
        <v/>
      </c>
      <c r="H713" s="189" t="str">
        <f ca="1">IFERROR(__xludf.DUMMYFUNCTION("""COMPUTED_VALUE"""),"")</f>
        <v/>
      </c>
      <c r="I713" s="120" t="str">
        <f ca="1">IFERROR(__xludf.DUMMYFUNCTION("""COMPUTED_VALUE"""),"")</f>
        <v/>
      </c>
      <c r="J713" s="189" t="str">
        <f ca="1">IFERROR(__xludf.DUMMYFUNCTION("""COMPUTED_VALUE"""),"")</f>
        <v/>
      </c>
      <c r="K713" s="189" t="str">
        <f ca="1">IFERROR(__xludf.DUMMYFUNCTION("""COMPUTED_VALUE"""),"")</f>
        <v/>
      </c>
      <c r="L713" s="189" t="str">
        <f ca="1">IFERROR(__xludf.DUMMYFUNCTION("""COMPUTED_VALUE"""),"")</f>
        <v/>
      </c>
      <c r="M713" s="189" t="str">
        <f ca="1">IFERROR(__xludf.DUMMYFUNCTION("""COMPUTED_VALUE"""),"")</f>
        <v/>
      </c>
      <c r="N713" s="189" t="str">
        <f ca="1">IFERROR(__xludf.DUMMYFUNCTION("""COMPUTED_VALUE"""),"")</f>
        <v/>
      </c>
      <c r="O713" s="189" t="str">
        <f ca="1">IFERROR(__xludf.DUMMYFUNCTION("""COMPUTED_VALUE"""),"")</f>
        <v/>
      </c>
      <c r="P713" s="189" t="str">
        <f ca="1">IFERROR(__xludf.DUMMYFUNCTION("""COMPUTED_VALUE"""),"")</f>
        <v/>
      </c>
      <c r="Q713" s="189" t="str">
        <f ca="1">IFERROR(__xludf.DUMMYFUNCTION("""COMPUTED_VALUE"""),"")</f>
        <v/>
      </c>
      <c r="R713" s="189" t="str">
        <f ca="1">IFERROR(__xludf.DUMMYFUNCTION("""COMPUTED_VALUE"""),"")</f>
        <v/>
      </c>
      <c r="S713" s="189" t="str">
        <f ca="1">IFERROR(__xludf.DUMMYFUNCTION("""COMPUTED_VALUE"""),"")</f>
        <v/>
      </c>
      <c r="T713" s="189" t="str">
        <f ca="1">IFERROR(__xludf.DUMMYFUNCTION("""COMPUTED_VALUE"""),"")</f>
        <v/>
      </c>
      <c r="U713" s="189" t="str">
        <f ca="1">IFERROR(__xludf.DUMMYFUNCTION("""COMPUTED_VALUE"""),"")</f>
        <v/>
      </c>
      <c r="V713" s="189" t="str">
        <f ca="1">IFERROR(__xludf.DUMMYFUNCTION("""COMPUTED_VALUE"""),"")</f>
        <v/>
      </c>
      <c r="W713" s="189" t="str">
        <f ca="1">IFERROR(__xludf.DUMMYFUNCTION("""COMPUTED_VALUE"""),"")</f>
        <v/>
      </c>
      <c r="X713" s="189" t="str">
        <f ca="1">IFERROR(__xludf.DUMMYFUNCTION("""COMPUTED_VALUE"""),"")</f>
        <v/>
      </c>
      <c r="Y713" s="189" t="str">
        <f ca="1">IFERROR(__xludf.DUMMYFUNCTION("""COMPUTED_VALUE"""),"")</f>
        <v/>
      </c>
      <c r="Z713" s="189"/>
    </row>
    <row r="714" spans="1:26" ht="12.75">
      <c r="A714" s="189" t="str">
        <f ca="1">IFERROR(__xludf.DUMMYFUNCTION("""COMPUTED_VALUE"""),"")</f>
        <v/>
      </c>
      <c r="B714" s="189" t="str">
        <f ca="1">IFERROR(__xludf.DUMMYFUNCTION("""COMPUTED_VALUE"""),"")</f>
        <v/>
      </c>
      <c r="C714" s="189" t="str">
        <f ca="1">IFERROR(__xludf.DUMMYFUNCTION("""COMPUTED_VALUE"""),"")</f>
        <v/>
      </c>
      <c r="D714" s="189" t="str">
        <f ca="1">IFERROR(__xludf.DUMMYFUNCTION("""COMPUTED_VALUE"""),"")</f>
        <v/>
      </c>
      <c r="E714" s="189" t="str">
        <f ca="1">IFERROR(__xludf.DUMMYFUNCTION("""COMPUTED_VALUE"""),"")</f>
        <v/>
      </c>
      <c r="F714" s="189" t="str">
        <f ca="1">IFERROR(__xludf.DUMMYFUNCTION("""COMPUTED_VALUE"""),"")</f>
        <v/>
      </c>
      <c r="G714" s="189" t="str">
        <f ca="1">IFERROR(__xludf.DUMMYFUNCTION("""COMPUTED_VALUE"""),"")</f>
        <v/>
      </c>
      <c r="H714" s="189" t="str">
        <f ca="1">IFERROR(__xludf.DUMMYFUNCTION("""COMPUTED_VALUE"""),"")</f>
        <v/>
      </c>
      <c r="I714" s="120" t="str">
        <f ca="1">IFERROR(__xludf.DUMMYFUNCTION("""COMPUTED_VALUE"""),"")</f>
        <v/>
      </c>
      <c r="J714" s="189" t="str">
        <f ca="1">IFERROR(__xludf.DUMMYFUNCTION("""COMPUTED_VALUE"""),"")</f>
        <v/>
      </c>
      <c r="K714" s="189" t="str">
        <f ca="1">IFERROR(__xludf.DUMMYFUNCTION("""COMPUTED_VALUE"""),"")</f>
        <v/>
      </c>
      <c r="L714" s="189" t="str">
        <f ca="1">IFERROR(__xludf.DUMMYFUNCTION("""COMPUTED_VALUE"""),"")</f>
        <v/>
      </c>
      <c r="M714" s="189" t="str">
        <f ca="1">IFERROR(__xludf.DUMMYFUNCTION("""COMPUTED_VALUE"""),"")</f>
        <v/>
      </c>
      <c r="N714" s="189" t="str">
        <f ca="1">IFERROR(__xludf.DUMMYFUNCTION("""COMPUTED_VALUE"""),"")</f>
        <v/>
      </c>
      <c r="O714" s="189" t="str">
        <f ca="1">IFERROR(__xludf.DUMMYFUNCTION("""COMPUTED_VALUE"""),"")</f>
        <v/>
      </c>
      <c r="P714" s="189" t="str">
        <f ca="1">IFERROR(__xludf.DUMMYFUNCTION("""COMPUTED_VALUE"""),"")</f>
        <v/>
      </c>
      <c r="Q714" s="189" t="str">
        <f ca="1">IFERROR(__xludf.DUMMYFUNCTION("""COMPUTED_VALUE"""),"")</f>
        <v/>
      </c>
      <c r="R714" s="189" t="str">
        <f ca="1">IFERROR(__xludf.DUMMYFUNCTION("""COMPUTED_VALUE"""),"")</f>
        <v/>
      </c>
      <c r="S714" s="189" t="str">
        <f ca="1">IFERROR(__xludf.DUMMYFUNCTION("""COMPUTED_VALUE"""),"")</f>
        <v/>
      </c>
      <c r="T714" s="189" t="str">
        <f ca="1">IFERROR(__xludf.DUMMYFUNCTION("""COMPUTED_VALUE"""),"")</f>
        <v/>
      </c>
      <c r="U714" s="189" t="str">
        <f ca="1">IFERROR(__xludf.DUMMYFUNCTION("""COMPUTED_VALUE"""),"")</f>
        <v/>
      </c>
      <c r="V714" s="189" t="str">
        <f ca="1">IFERROR(__xludf.DUMMYFUNCTION("""COMPUTED_VALUE"""),"")</f>
        <v/>
      </c>
      <c r="W714" s="189" t="str">
        <f ca="1">IFERROR(__xludf.DUMMYFUNCTION("""COMPUTED_VALUE"""),"")</f>
        <v/>
      </c>
      <c r="X714" s="189" t="str">
        <f ca="1">IFERROR(__xludf.DUMMYFUNCTION("""COMPUTED_VALUE"""),"")</f>
        <v/>
      </c>
      <c r="Y714" s="189" t="str">
        <f ca="1">IFERROR(__xludf.DUMMYFUNCTION("""COMPUTED_VALUE"""),"")</f>
        <v/>
      </c>
      <c r="Z714" s="189"/>
    </row>
    <row r="715" spans="1:26" ht="12.75">
      <c r="A715" s="189" t="str">
        <f ca="1">IFERROR(__xludf.DUMMYFUNCTION("""COMPUTED_VALUE"""),"")</f>
        <v/>
      </c>
      <c r="B715" s="189" t="str">
        <f ca="1">IFERROR(__xludf.DUMMYFUNCTION("""COMPUTED_VALUE"""),"")</f>
        <v/>
      </c>
      <c r="C715" s="189" t="str">
        <f ca="1">IFERROR(__xludf.DUMMYFUNCTION("""COMPUTED_VALUE"""),"")</f>
        <v/>
      </c>
      <c r="D715" s="189" t="str">
        <f ca="1">IFERROR(__xludf.DUMMYFUNCTION("""COMPUTED_VALUE"""),"")</f>
        <v/>
      </c>
      <c r="E715" s="189" t="str">
        <f ca="1">IFERROR(__xludf.DUMMYFUNCTION("""COMPUTED_VALUE"""),"")</f>
        <v/>
      </c>
      <c r="F715" s="189" t="str">
        <f ca="1">IFERROR(__xludf.DUMMYFUNCTION("""COMPUTED_VALUE"""),"")</f>
        <v/>
      </c>
      <c r="G715" s="189" t="str">
        <f ca="1">IFERROR(__xludf.DUMMYFUNCTION("""COMPUTED_VALUE"""),"")</f>
        <v/>
      </c>
      <c r="H715" s="189" t="str">
        <f ca="1">IFERROR(__xludf.DUMMYFUNCTION("""COMPUTED_VALUE"""),"")</f>
        <v/>
      </c>
      <c r="I715" s="120" t="str">
        <f ca="1">IFERROR(__xludf.DUMMYFUNCTION("""COMPUTED_VALUE"""),"")</f>
        <v/>
      </c>
      <c r="J715" s="189" t="str">
        <f ca="1">IFERROR(__xludf.DUMMYFUNCTION("""COMPUTED_VALUE"""),"")</f>
        <v/>
      </c>
      <c r="K715" s="189" t="str">
        <f ca="1">IFERROR(__xludf.DUMMYFUNCTION("""COMPUTED_VALUE"""),"")</f>
        <v/>
      </c>
      <c r="L715" s="189" t="str">
        <f ca="1">IFERROR(__xludf.DUMMYFUNCTION("""COMPUTED_VALUE"""),"")</f>
        <v/>
      </c>
      <c r="M715" s="189" t="str">
        <f ca="1">IFERROR(__xludf.DUMMYFUNCTION("""COMPUTED_VALUE"""),"")</f>
        <v/>
      </c>
      <c r="N715" s="189" t="str">
        <f ca="1">IFERROR(__xludf.DUMMYFUNCTION("""COMPUTED_VALUE"""),"")</f>
        <v/>
      </c>
      <c r="O715" s="189" t="str">
        <f ca="1">IFERROR(__xludf.DUMMYFUNCTION("""COMPUTED_VALUE"""),"")</f>
        <v/>
      </c>
      <c r="P715" s="189" t="str">
        <f ca="1">IFERROR(__xludf.DUMMYFUNCTION("""COMPUTED_VALUE"""),"")</f>
        <v/>
      </c>
      <c r="Q715" s="189" t="str">
        <f ca="1">IFERROR(__xludf.DUMMYFUNCTION("""COMPUTED_VALUE"""),"")</f>
        <v/>
      </c>
      <c r="R715" s="189" t="str">
        <f ca="1">IFERROR(__xludf.DUMMYFUNCTION("""COMPUTED_VALUE"""),"")</f>
        <v/>
      </c>
      <c r="S715" s="189" t="str">
        <f ca="1">IFERROR(__xludf.DUMMYFUNCTION("""COMPUTED_VALUE"""),"")</f>
        <v/>
      </c>
      <c r="T715" s="189" t="str">
        <f ca="1">IFERROR(__xludf.DUMMYFUNCTION("""COMPUTED_VALUE"""),"")</f>
        <v/>
      </c>
      <c r="U715" s="189" t="str">
        <f ca="1">IFERROR(__xludf.DUMMYFUNCTION("""COMPUTED_VALUE"""),"")</f>
        <v/>
      </c>
      <c r="V715" s="189" t="str">
        <f ca="1">IFERROR(__xludf.DUMMYFUNCTION("""COMPUTED_VALUE"""),"")</f>
        <v/>
      </c>
      <c r="W715" s="189" t="str">
        <f ca="1">IFERROR(__xludf.DUMMYFUNCTION("""COMPUTED_VALUE"""),"")</f>
        <v/>
      </c>
      <c r="X715" s="189" t="str">
        <f ca="1">IFERROR(__xludf.DUMMYFUNCTION("""COMPUTED_VALUE"""),"")</f>
        <v/>
      </c>
      <c r="Y715" s="189" t="str">
        <f ca="1">IFERROR(__xludf.DUMMYFUNCTION("""COMPUTED_VALUE"""),"")</f>
        <v/>
      </c>
      <c r="Z715" s="189"/>
    </row>
    <row r="716" spans="1:26" ht="12.75">
      <c r="A716" s="189" t="str">
        <f ca="1">IFERROR(__xludf.DUMMYFUNCTION("""COMPUTED_VALUE"""),"")</f>
        <v/>
      </c>
      <c r="B716" s="189" t="str">
        <f ca="1">IFERROR(__xludf.DUMMYFUNCTION("""COMPUTED_VALUE"""),"")</f>
        <v/>
      </c>
      <c r="C716" s="189" t="str">
        <f ca="1">IFERROR(__xludf.DUMMYFUNCTION("""COMPUTED_VALUE"""),"")</f>
        <v/>
      </c>
      <c r="D716" s="189" t="str">
        <f ca="1">IFERROR(__xludf.DUMMYFUNCTION("""COMPUTED_VALUE"""),"")</f>
        <v/>
      </c>
      <c r="E716" s="189" t="str">
        <f ca="1">IFERROR(__xludf.DUMMYFUNCTION("""COMPUTED_VALUE"""),"")</f>
        <v/>
      </c>
      <c r="F716" s="189" t="str">
        <f ca="1">IFERROR(__xludf.DUMMYFUNCTION("""COMPUTED_VALUE"""),"")</f>
        <v/>
      </c>
      <c r="G716" s="189" t="str">
        <f ca="1">IFERROR(__xludf.DUMMYFUNCTION("""COMPUTED_VALUE"""),"")</f>
        <v/>
      </c>
      <c r="H716" s="189" t="str">
        <f ca="1">IFERROR(__xludf.DUMMYFUNCTION("""COMPUTED_VALUE"""),"")</f>
        <v/>
      </c>
      <c r="I716" s="120" t="str">
        <f ca="1">IFERROR(__xludf.DUMMYFUNCTION("""COMPUTED_VALUE"""),"")</f>
        <v/>
      </c>
      <c r="J716" s="189" t="str">
        <f ca="1">IFERROR(__xludf.DUMMYFUNCTION("""COMPUTED_VALUE"""),"")</f>
        <v/>
      </c>
      <c r="K716" s="189" t="str">
        <f ca="1">IFERROR(__xludf.DUMMYFUNCTION("""COMPUTED_VALUE"""),"")</f>
        <v/>
      </c>
      <c r="L716" s="189" t="str">
        <f ca="1">IFERROR(__xludf.DUMMYFUNCTION("""COMPUTED_VALUE"""),"")</f>
        <v/>
      </c>
      <c r="M716" s="189" t="str">
        <f ca="1">IFERROR(__xludf.DUMMYFUNCTION("""COMPUTED_VALUE"""),"")</f>
        <v/>
      </c>
      <c r="N716" s="189" t="str">
        <f ca="1">IFERROR(__xludf.DUMMYFUNCTION("""COMPUTED_VALUE"""),"")</f>
        <v/>
      </c>
      <c r="O716" s="189" t="str">
        <f ca="1">IFERROR(__xludf.DUMMYFUNCTION("""COMPUTED_VALUE"""),"")</f>
        <v/>
      </c>
      <c r="P716" s="189" t="str">
        <f ca="1">IFERROR(__xludf.DUMMYFUNCTION("""COMPUTED_VALUE"""),"")</f>
        <v/>
      </c>
      <c r="Q716" s="189" t="str">
        <f ca="1">IFERROR(__xludf.DUMMYFUNCTION("""COMPUTED_VALUE"""),"")</f>
        <v/>
      </c>
      <c r="R716" s="189" t="str">
        <f ca="1">IFERROR(__xludf.DUMMYFUNCTION("""COMPUTED_VALUE"""),"")</f>
        <v/>
      </c>
      <c r="S716" s="189" t="str">
        <f ca="1">IFERROR(__xludf.DUMMYFUNCTION("""COMPUTED_VALUE"""),"")</f>
        <v/>
      </c>
      <c r="T716" s="189" t="str">
        <f ca="1">IFERROR(__xludf.DUMMYFUNCTION("""COMPUTED_VALUE"""),"")</f>
        <v/>
      </c>
      <c r="U716" s="189" t="str">
        <f ca="1">IFERROR(__xludf.DUMMYFUNCTION("""COMPUTED_VALUE"""),"")</f>
        <v/>
      </c>
      <c r="V716" s="189" t="str">
        <f ca="1">IFERROR(__xludf.DUMMYFUNCTION("""COMPUTED_VALUE"""),"")</f>
        <v/>
      </c>
      <c r="W716" s="189" t="str">
        <f ca="1">IFERROR(__xludf.DUMMYFUNCTION("""COMPUTED_VALUE"""),"")</f>
        <v/>
      </c>
      <c r="X716" s="189" t="str">
        <f ca="1">IFERROR(__xludf.DUMMYFUNCTION("""COMPUTED_VALUE"""),"")</f>
        <v/>
      </c>
      <c r="Y716" s="189" t="str">
        <f ca="1">IFERROR(__xludf.DUMMYFUNCTION("""COMPUTED_VALUE"""),"")</f>
        <v/>
      </c>
      <c r="Z716" s="189"/>
    </row>
    <row r="717" spans="1:26" ht="12.75">
      <c r="A717" s="189" t="str">
        <f ca="1">IFERROR(__xludf.DUMMYFUNCTION("""COMPUTED_VALUE"""),"")</f>
        <v/>
      </c>
      <c r="B717" s="189" t="str">
        <f ca="1">IFERROR(__xludf.DUMMYFUNCTION("""COMPUTED_VALUE"""),"")</f>
        <v/>
      </c>
      <c r="C717" s="189" t="str">
        <f ca="1">IFERROR(__xludf.DUMMYFUNCTION("""COMPUTED_VALUE"""),"")</f>
        <v/>
      </c>
      <c r="D717" s="189" t="str">
        <f ca="1">IFERROR(__xludf.DUMMYFUNCTION("""COMPUTED_VALUE"""),"")</f>
        <v/>
      </c>
      <c r="E717" s="189" t="str">
        <f ca="1">IFERROR(__xludf.DUMMYFUNCTION("""COMPUTED_VALUE"""),"")</f>
        <v/>
      </c>
      <c r="F717" s="189" t="str">
        <f ca="1">IFERROR(__xludf.DUMMYFUNCTION("""COMPUTED_VALUE"""),"")</f>
        <v/>
      </c>
      <c r="G717" s="189" t="str">
        <f ca="1">IFERROR(__xludf.DUMMYFUNCTION("""COMPUTED_VALUE"""),"")</f>
        <v/>
      </c>
      <c r="H717" s="189" t="str">
        <f ca="1">IFERROR(__xludf.DUMMYFUNCTION("""COMPUTED_VALUE"""),"")</f>
        <v/>
      </c>
      <c r="I717" s="120" t="str">
        <f ca="1">IFERROR(__xludf.DUMMYFUNCTION("""COMPUTED_VALUE"""),"")</f>
        <v/>
      </c>
      <c r="J717" s="189" t="str">
        <f ca="1">IFERROR(__xludf.DUMMYFUNCTION("""COMPUTED_VALUE"""),"")</f>
        <v/>
      </c>
      <c r="K717" s="189" t="str">
        <f ca="1">IFERROR(__xludf.DUMMYFUNCTION("""COMPUTED_VALUE"""),"")</f>
        <v/>
      </c>
      <c r="L717" s="189" t="str">
        <f ca="1">IFERROR(__xludf.DUMMYFUNCTION("""COMPUTED_VALUE"""),"")</f>
        <v/>
      </c>
      <c r="M717" s="189" t="str">
        <f ca="1">IFERROR(__xludf.DUMMYFUNCTION("""COMPUTED_VALUE"""),"")</f>
        <v/>
      </c>
      <c r="N717" s="189" t="str">
        <f ca="1">IFERROR(__xludf.DUMMYFUNCTION("""COMPUTED_VALUE"""),"")</f>
        <v/>
      </c>
      <c r="O717" s="189" t="str">
        <f ca="1">IFERROR(__xludf.DUMMYFUNCTION("""COMPUTED_VALUE"""),"")</f>
        <v/>
      </c>
      <c r="P717" s="189" t="str">
        <f ca="1">IFERROR(__xludf.DUMMYFUNCTION("""COMPUTED_VALUE"""),"")</f>
        <v/>
      </c>
      <c r="Q717" s="189" t="str">
        <f ca="1">IFERROR(__xludf.DUMMYFUNCTION("""COMPUTED_VALUE"""),"")</f>
        <v/>
      </c>
      <c r="R717" s="189" t="str">
        <f ca="1">IFERROR(__xludf.DUMMYFUNCTION("""COMPUTED_VALUE"""),"")</f>
        <v/>
      </c>
      <c r="S717" s="189" t="str">
        <f ca="1">IFERROR(__xludf.DUMMYFUNCTION("""COMPUTED_VALUE"""),"")</f>
        <v/>
      </c>
      <c r="T717" s="189" t="str">
        <f ca="1">IFERROR(__xludf.DUMMYFUNCTION("""COMPUTED_VALUE"""),"")</f>
        <v/>
      </c>
      <c r="U717" s="189" t="str">
        <f ca="1">IFERROR(__xludf.DUMMYFUNCTION("""COMPUTED_VALUE"""),"")</f>
        <v/>
      </c>
      <c r="V717" s="189" t="str">
        <f ca="1">IFERROR(__xludf.DUMMYFUNCTION("""COMPUTED_VALUE"""),"")</f>
        <v/>
      </c>
      <c r="W717" s="189" t="str">
        <f ca="1">IFERROR(__xludf.DUMMYFUNCTION("""COMPUTED_VALUE"""),"")</f>
        <v/>
      </c>
      <c r="X717" s="189" t="str">
        <f ca="1">IFERROR(__xludf.DUMMYFUNCTION("""COMPUTED_VALUE"""),"")</f>
        <v/>
      </c>
      <c r="Y717" s="189" t="str">
        <f ca="1">IFERROR(__xludf.DUMMYFUNCTION("""COMPUTED_VALUE"""),"")</f>
        <v/>
      </c>
      <c r="Z717" s="189"/>
    </row>
    <row r="718" spans="1:26" ht="12.75">
      <c r="A718" s="189" t="str">
        <f ca="1">IFERROR(__xludf.DUMMYFUNCTION("""COMPUTED_VALUE"""),"")</f>
        <v/>
      </c>
      <c r="B718" s="189" t="str">
        <f ca="1">IFERROR(__xludf.DUMMYFUNCTION("""COMPUTED_VALUE"""),"")</f>
        <v/>
      </c>
      <c r="C718" s="189" t="str">
        <f ca="1">IFERROR(__xludf.DUMMYFUNCTION("""COMPUTED_VALUE"""),"")</f>
        <v/>
      </c>
      <c r="D718" s="189" t="str">
        <f ca="1">IFERROR(__xludf.DUMMYFUNCTION("""COMPUTED_VALUE"""),"")</f>
        <v/>
      </c>
      <c r="E718" s="189" t="str">
        <f ca="1">IFERROR(__xludf.DUMMYFUNCTION("""COMPUTED_VALUE"""),"")</f>
        <v/>
      </c>
      <c r="F718" s="189" t="str">
        <f ca="1">IFERROR(__xludf.DUMMYFUNCTION("""COMPUTED_VALUE"""),"")</f>
        <v/>
      </c>
      <c r="G718" s="189" t="str">
        <f ca="1">IFERROR(__xludf.DUMMYFUNCTION("""COMPUTED_VALUE"""),"")</f>
        <v/>
      </c>
      <c r="H718" s="189" t="str">
        <f ca="1">IFERROR(__xludf.DUMMYFUNCTION("""COMPUTED_VALUE"""),"")</f>
        <v/>
      </c>
      <c r="I718" s="120" t="str">
        <f ca="1">IFERROR(__xludf.DUMMYFUNCTION("""COMPUTED_VALUE"""),"")</f>
        <v/>
      </c>
      <c r="J718" s="189" t="str">
        <f ca="1">IFERROR(__xludf.DUMMYFUNCTION("""COMPUTED_VALUE"""),"")</f>
        <v/>
      </c>
      <c r="K718" s="189" t="str">
        <f ca="1">IFERROR(__xludf.DUMMYFUNCTION("""COMPUTED_VALUE"""),"")</f>
        <v/>
      </c>
      <c r="L718" s="189" t="str">
        <f ca="1">IFERROR(__xludf.DUMMYFUNCTION("""COMPUTED_VALUE"""),"")</f>
        <v/>
      </c>
      <c r="M718" s="189" t="str">
        <f ca="1">IFERROR(__xludf.DUMMYFUNCTION("""COMPUTED_VALUE"""),"")</f>
        <v/>
      </c>
      <c r="N718" s="189" t="str">
        <f ca="1">IFERROR(__xludf.DUMMYFUNCTION("""COMPUTED_VALUE"""),"")</f>
        <v/>
      </c>
      <c r="O718" s="189" t="str">
        <f ca="1">IFERROR(__xludf.DUMMYFUNCTION("""COMPUTED_VALUE"""),"")</f>
        <v/>
      </c>
      <c r="P718" s="189" t="str">
        <f ca="1">IFERROR(__xludf.DUMMYFUNCTION("""COMPUTED_VALUE"""),"")</f>
        <v/>
      </c>
      <c r="Q718" s="189" t="str">
        <f ca="1">IFERROR(__xludf.DUMMYFUNCTION("""COMPUTED_VALUE"""),"")</f>
        <v/>
      </c>
      <c r="R718" s="189" t="str">
        <f ca="1">IFERROR(__xludf.DUMMYFUNCTION("""COMPUTED_VALUE"""),"")</f>
        <v/>
      </c>
      <c r="S718" s="189" t="str">
        <f ca="1">IFERROR(__xludf.DUMMYFUNCTION("""COMPUTED_VALUE"""),"")</f>
        <v/>
      </c>
      <c r="T718" s="189" t="str">
        <f ca="1">IFERROR(__xludf.DUMMYFUNCTION("""COMPUTED_VALUE"""),"")</f>
        <v/>
      </c>
      <c r="U718" s="189" t="str">
        <f ca="1">IFERROR(__xludf.DUMMYFUNCTION("""COMPUTED_VALUE"""),"")</f>
        <v/>
      </c>
      <c r="V718" s="189" t="str">
        <f ca="1">IFERROR(__xludf.DUMMYFUNCTION("""COMPUTED_VALUE"""),"")</f>
        <v/>
      </c>
      <c r="W718" s="189" t="str">
        <f ca="1">IFERROR(__xludf.DUMMYFUNCTION("""COMPUTED_VALUE"""),"")</f>
        <v/>
      </c>
      <c r="X718" s="189" t="str">
        <f ca="1">IFERROR(__xludf.DUMMYFUNCTION("""COMPUTED_VALUE"""),"")</f>
        <v/>
      </c>
      <c r="Y718" s="189" t="str">
        <f ca="1">IFERROR(__xludf.DUMMYFUNCTION("""COMPUTED_VALUE"""),"")</f>
        <v/>
      </c>
      <c r="Z718" s="189"/>
    </row>
    <row r="719" spans="1:26" ht="12.75">
      <c r="A719" s="189" t="str">
        <f ca="1">IFERROR(__xludf.DUMMYFUNCTION("""COMPUTED_VALUE"""),"")</f>
        <v/>
      </c>
      <c r="B719" s="189" t="str">
        <f ca="1">IFERROR(__xludf.DUMMYFUNCTION("""COMPUTED_VALUE"""),"")</f>
        <v/>
      </c>
      <c r="C719" s="189" t="str">
        <f ca="1">IFERROR(__xludf.DUMMYFUNCTION("""COMPUTED_VALUE"""),"")</f>
        <v/>
      </c>
      <c r="D719" s="189" t="str">
        <f ca="1">IFERROR(__xludf.DUMMYFUNCTION("""COMPUTED_VALUE"""),"")</f>
        <v/>
      </c>
      <c r="E719" s="189" t="str">
        <f ca="1">IFERROR(__xludf.DUMMYFUNCTION("""COMPUTED_VALUE"""),"")</f>
        <v/>
      </c>
      <c r="F719" s="189" t="str">
        <f ca="1">IFERROR(__xludf.DUMMYFUNCTION("""COMPUTED_VALUE"""),"")</f>
        <v/>
      </c>
      <c r="G719" s="189" t="str">
        <f ca="1">IFERROR(__xludf.DUMMYFUNCTION("""COMPUTED_VALUE"""),"")</f>
        <v/>
      </c>
      <c r="H719" s="189" t="str">
        <f ca="1">IFERROR(__xludf.DUMMYFUNCTION("""COMPUTED_VALUE"""),"")</f>
        <v/>
      </c>
      <c r="I719" s="120" t="str">
        <f ca="1">IFERROR(__xludf.DUMMYFUNCTION("""COMPUTED_VALUE"""),"")</f>
        <v/>
      </c>
      <c r="J719" s="189" t="str">
        <f ca="1">IFERROR(__xludf.DUMMYFUNCTION("""COMPUTED_VALUE"""),"")</f>
        <v/>
      </c>
      <c r="K719" s="189" t="str">
        <f ca="1">IFERROR(__xludf.DUMMYFUNCTION("""COMPUTED_VALUE"""),"")</f>
        <v/>
      </c>
      <c r="L719" s="189" t="str">
        <f ca="1">IFERROR(__xludf.DUMMYFUNCTION("""COMPUTED_VALUE"""),"")</f>
        <v/>
      </c>
      <c r="M719" s="189" t="str">
        <f ca="1">IFERROR(__xludf.DUMMYFUNCTION("""COMPUTED_VALUE"""),"")</f>
        <v/>
      </c>
      <c r="N719" s="189" t="str">
        <f ca="1">IFERROR(__xludf.DUMMYFUNCTION("""COMPUTED_VALUE"""),"")</f>
        <v/>
      </c>
      <c r="O719" s="189" t="str">
        <f ca="1">IFERROR(__xludf.DUMMYFUNCTION("""COMPUTED_VALUE"""),"")</f>
        <v/>
      </c>
      <c r="P719" s="189" t="str">
        <f ca="1">IFERROR(__xludf.DUMMYFUNCTION("""COMPUTED_VALUE"""),"")</f>
        <v/>
      </c>
      <c r="Q719" s="189" t="str">
        <f ca="1">IFERROR(__xludf.DUMMYFUNCTION("""COMPUTED_VALUE"""),"")</f>
        <v/>
      </c>
      <c r="R719" s="189" t="str">
        <f ca="1">IFERROR(__xludf.DUMMYFUNCTION("""COMPUTED_VALUE"""),"")</f>
        <v/>
      </c>
      <c r="S719" s="189" t="str">
        <f ca="1">IFERROR(__xludf.DUMMYFUNCTION("""COMPUTED_VALUE"""),"")</f>
        <v/>
      </c>
      <c r="T719" s="189" t="str">
        <f ca="1">IFERROR(__xludf.DUMMYFUNCTION("""COMPUTED_VALUE"""),"")</f>
        <v/>
      </c>
      <c r="U719" s="189" t="str">
        <f ca="1">IFERROR(__xludf.DUMMYFUNCTION("""COMPUTED_VALUE"""),"")</f>
        <v/>
      </c>
      <c r="V719" s="189" t="str">
        <f ca="1">IFERROR(__xludf.DUMMYFUNCTION("""COMPUTED_VALUE"""),"")</f>
        <v/>
      </c>
      <c r="W719" s="189" t="str">
        <f ca="1">IFERROR(__xludf.DUMMYFUNCTION("""COMPUTED_VALUE"""),"")</f>
        <v/>
      </c>
      <c r="X719" s="189" t="str">
        <f ca="1">IFERROR(__xludf.DUMMYFUNCTION("""COMPUTED_VALUE"""),"")</f>
        <v/>
      </c>
      <c r="Y719" s="189" t="str">
        <f ca="1">IFERROR(__xludf.DUMMYFUNCTION("""COMPUTED_VALUE"""),"")</f>
        <v/>
      </c>
      <c r="Z719" s="189"/>
    </row>
    <row r="720" spans="1:26" ht="12.75">
      <c r="A720" s="189" t="str">
        <f ca="1">IFERROR(__xludf.DUMMYFUNCTION("""COMPUTED_VALUE"""),"")</f>
        <v/>
      </c>
      <c r="B720" s="189" t="str">
        <f ca="1">IFERROR(__xludf.DUMMYFUNCTION("""COMPUTED_VALUE"""),"")</f>
        <v/>
      </c>
      <c r="C720" s="189" t="str">
        <f ca="1">IFERROR(__xludf.DUMMYFUNCTION("""COMPUTED_VALUE"""),"")</f>
        <v/>
      </c>
      <c r="D720" s="189" t="str">
        <f ca="1">IFERROR(__xludf.DUMMYFUNCTION("""COMPUTED_VALUE"""),"")</f>
        <v/>
      </c>
      <c r="E720" s="189" t="str">
        <f ca="1">IFERROR(__xludf.DUMMYFUNCTION("""COMPUTED_VALUE"""),"")</f>
        <v/>
      </c>
      <c r="F720" s="189" t="str">
        <f ca="1">IFERROR(__xludf.DUMMYFUNCTION("""COMPUTED_VALUE"""),"")</f>
        <v/>
      </c>
      <c r="G720" s="189" t="str">
        <f ca="1">IFERROR(__xludf.DUMMYFUNCTION("""COMPUTED_VALUE"""),"")</f>
        <v/>
      </c>
      <c r="H720" s="189" t="str">
        <f ca="1">IFERROR(__xludf.DUMMYFUNCTION("""COMPUTED_VALUE"""),"")</f>
        <v/>
      </c>
      <c r="I720" s="120" t="str">
        <f ca="1">IFERROR(__xludf.DUMMYFUNCTION("""COMPUTED_VALUE"""),"")</f>
        <v/>
      </c>
      <c r="J720" s="189" t="str">
        <f ca="1">IFERROR(__xludf.DUMMYFUNCTION("""COMPUTED_VALUE"""),"")</f>
        <v/>
      </c>
      <c r="K720" s="189" t="str">
        <f ca="1">IFERROR(__xludf.DUMMYFUNCTION("""COMPUTED_VALUE"""),"")</f>
        <v/>
      </c>
      <c r="L720" s="189" t="str">
        <f ca="1">IFERROR(__xludf.DUMMYFUNCTION("""COMPUTED_VALUE"""),"")</f>
        <v/>
      </c>
      <c r="M720" s="189" t="str">
        <f ca="1">IFERROR(__xludf.DUMMYFUNCTION("""COMPUTED_VALUE"""),"")</f>
        <v/>
      </c>
      <c r="N720" s="189" t="str">
        <f ca="1">IFERROR(__xludf.DUMMYFUNCTION("""COMPUTED_VALUE"""),"")</f>
        <v/>
      </c>
      <c r="O720" s="189" t="str">
        <f ca="1">IFERROR(__xludf.DUMMYFUNCTION("""COMPUTED_VALUE"""),"")</f>
        <v/>
      </c>
      <c r="P720" s="189" t="str">
        <f ca="1">IFERROR(__xludf.DUMMYFUNCTION("""COMPUTED_VALUE"""),"")</f>
        <v/>
      </c>
      <c r="Q720" s="189" t="str">
        <f ca="1">IFERROR(__xludf.DUMMYFUNCTION("""COMPUTED_VALUE"""),"")</f>
        <v/>
      </c>
      <c r="R720" s="189" t="str">
        <f ca="1">IFERROR(__xludf.DUMMYFUNCTION("""COMPUTED_VALUE"""),"")</f>
        <v/>
      </c>
      <c r="S720" s="189" t="str">
        <f ca="1">IFERROR(__xludf.DUMMYFUNCTION("""COMPUTED_VALUE"""),"")</f>
        <v/>
      </c>
      <c r="T720" s="189" t="str">
        <f ca="1">IFERROR(__xludf.DUMMYFUNCTION("""COMPUTED_VALUE"""),"")</f>
        <v/>
      </c>
      <c r="U720" s="189" t="str">
        <f ca="1">IFERROR(__xludf.DUMMYFUNCTION("""COMPUTED_VALUE"""),"")</f>
        <v/>
      </c>
      <c r="V720" s="189" t="str">
        <f ca="1">IFERROR(__xludf.DUMMYFUNCTION("""COMPUTED_VALUE"""),"")</f>
        <v/>
      </c>
      <c r="W720" s="189" t="str">
        <f ca="1">IFERROR(__xludf.DUMMYFUNCTION("""COMPUTED_VALUE"""),"")</f>
        <v/>
      </c>
      <c r="X720" s="189" t="str">
        <f ca="1">IFERROR(__xludf.DUMMYFUNCTION("""COMPUTED_VALUE"""),"")</f>
        <v/>
      </c>
      <c r="Y720" s="189" t="str">
        <f ca="1">IFERROR(__xludf.DUMMYFUNCTION("""COMPUTED_VALUE"""),"")</f>
        <v/>
      </c>
      <c r="Z720" s="189"/>
    </row>
    <row r="721" spans="1:26" ht="12.75">
      <c r="A721" s="189" t="str">
        <f ca="1">IFERROR(__xludf.DUMMYFUNCTION("""COMPUTED_VALUE"""),"")</f>
        <v/>
      </c>
      <c r="B721" s="189" t="str">
        <f ca="1">IFERROR(__xludf.DUMMYFUNCTION("""COMPUTED_VALUE"""),"")</f>
        <v/>
      </c>
      <c r="C721" s="189" t="str">
        <f ca="1">IFERROR(__xludf.DUMMYFUNCTION("""COMPUTED_VALUE"""),"")</f>
        <v/>
      </c>
      <c r="D721" s="189" t="str">
        <f ca="1">IFERROR(__xludf.DUMMYFUNCTION("""COMPUTED_VALUE"""),"")</f>
        <v/>
      </c>
      <c r="E721" s="189" t="str">
        <f ca="1">IFERROR(__xludf.DUMMYFUNCTION("""COMPUTED_VALUE"""),"")</f>
        <v/>
      </c>
      <c r="F721" s="189" t="str">
        <f ca="1">IFERROR(__xludf.DUMMYFUNCTION("""COMPUTED_VALUE"""),"")</f>
        <v/>
      </c>
      <c r="G721" s="189" t="str">
        <f ca="1">IFERROR(__xludf.DUMMYFUNCTION("""COMPUTED_VALUE"""),"")</f>
        <v/>
      </c>
      <c r="H721" s="189" t="str">
        <f ca="1">IFERROR(__xludf.DUMMYFUNCTION("""COMPUTED_VALUE"""),"")</f>
        <v/>
      </c>
      <c r="I721" s="120" t="str">
        <f ca="1">IFERROR(__xludf.DUMMYFUNCTION("""COMPUTED_VALUE"""),"")</f>
        <v/>
      </c>
      <c r="J721" s="189" t="str">
        <f ca="1">IFERROR(__xludf.DUMMYFUNCTION("""COMPUTED_VALUE"""),"")</f>
        <v/>
      </c>
      <c r="K721" s="189" t="str">
        <f ca="1">IFERROR(__xludf.DUMMYFUNCTION("""COMPUTED_VALUE"""),"")</f>
        <v/>
      </c>
      <c r="L721" s="189" t="str">
        <f ca="1">IFERROR(__xludf.DUMMYFUNCTION("""COMPUTED_VALUE"""),"")</f>
        <v/>
      </c>
      <c r="M721" s="189" t="str">
        <f ca="1">IFERROR(__xludf.DUMMYFUNCTION("""COMPUTED_VALUE"""),"")</f>
        <v/>
      </c>
      <c r="N721" s="189" t="str">
        <f ca="1">IFERROR(__xludf.DUMMYFUNCTION("""COMPUTED_VALUE"""),"")</f>
        <v/>
      </c>
      <c r="O721" s="189" t="str">
        <f ca="1">IFERROR(__xludf.DUMMYFUNCTION("""COMPUTED_VALUE"""),"")</f>
        <v/>
      </c>
      <c r="P721" s="189" t="str">
        <f ca="1">IFERROR(__xludf.DUMMYFUNCTION("""COMPUTED_VALUE"""),"")</f>
        <v/>
      </c>
      <c r="Q721" s="189" t="str">
        <f ca="1">IFERROR(__xludf.DUMMYFUNCTION("""COMPUTED_VALUE"""),"")</f>
        <v/>
      </c>
      <c r="R721" s="189" t="str">
        <f ca="1">IFERROR(__xludf.DUMMYFUNCTION("""COMPUTED_VALUE"""),"")</f>
        <v/>
      </c>
      <c r="S721" s="189" t="str">
        <f ca="1">IFERROR(__xludf.DUMMYFUNCTION("""COMPUTED_VALUE"""),"")</f>
        <v/>
      </c>
      <c r="T721" s="189" t="str">
        <f ca="1">IFERROR(__xludf.DUMMYFUNCTION("""COMPUTED_VALUE"""),"")</f>
        <v/>
      </c>
      <c r="U721" s="189" t="str">
        <f ca="1">IFERROR(__xludf.DUMMYFUNCTION("""COMPUTED_VALUE"""),"")</f>
        <v/>
      </c>
      <c r="V721" s="189" t="str">
        <f ca="1">IFERROR(__xludf.DUMMYFUNCTION("""COMPUTED_VALUE"""),"")</f>
        <v/>
      </c>
      <c r="W721" s="189" t="str">
        <f ca="1">IFERROR(__xludf.DUMMYFUNCTION("""COMPUTED_VALUE"""),"")</f>
        <v/>
      </c>
      <c r="X721" s="189" t="str">
        <f ca="1">IFERROR(__xludf.DUMMYFUNCTION("""COMPUTED_VALUE"""),"")</f>
        <v/>
      </c>
      <c r="Y721" s="189" t="str">
        <f ca="1">IFERROR(__xludf.DUMMYFUNCTION("""COMPUTED_VALUE"""),"")</f>
        <v/>
      </c>
      <c r="Z721" s="189"/>
    </row>
    <row r="722" spans="1:26" ht="12.75">
      <c r="A722" s="189" t="str">
        <f ca="1">IFERROR(__xludf.DUMMYFUNCTION("""COMPUTED_VALUE"""),"")</f>
        <v/>
      </c>
      <c r="B722" s="189" t="str">
        <f ca="1">IFERROR(__xludf.DUMMYFUNCTION("""COMPUTED_VALUE"""),"")</f>
        <v/>
      </c>
      <c r="C722" s="189" t="str">
        <f ca="1">IFERROR(__xludf.DUMMYFUNCTION("""COMPUTED_VALUE"""),"")</f>
        <v/>
      </c>
      <c r="D722" s="189" t="str">
        <f ca="1">IFERROR(__xludf.DUMMYFUNCTION("""COMPUTED_VALUE"""),"")</f>
        <v/>
      </c>
      <c r="E722" s="189" t="str">
        <f ca="1">IFERROR(__xludf.DUMMYFUNCTION("""COMPUTED_VALUE"""),"")</f>
        <v/>
      </c>
      <c r="F722" s="189" t="str">
        <f ca="1">IFERROR(__xludf.DUMMYFUNCTION("""COMPUTED_VALUE"""),"")</f>
        <v/>
      </c>
      <c r="G722" s="189" t="str">
        <f ca="1">IFERROR(__xludf.DUMMYFUNCTION("""COMPUTED_VALUE"""),"")</f>
        <v/>
      </c>
      <c r="H722" s="189" t="str">
        <f ca="1">IFERROR(__xludf.DUMMYFUNCTION("""COMPUTED_VALUE"""),"")</f>
        <v/>
      </c>
      <c r="I722" s="120" t="str">
        <f ca="1">IFERROR(__xludf.DUMMYFUNCTION("""COMPUTED_VALUE"""),"")</f>
        <v/>
      </c>
      <c r="J722" s="189" t="str">
        <f ca="1">IFERROR(__xludf.DUMMYFUNCTION("""COMPUTED_VALUE"""),"")</f>
        <v/>
      </c>
      <c r="K722" s="189" t="str">
        <f ca="1">IFERROR(__xludf.DUMMYFUNCTION("""COMPUTED_VALUE"""),"")</f>
        <v/>
      </c>
      <c r="L722" s="189" t="str">
        <f ca="1">IFERROR(__xludf.DUMMYFUNCTION("""COMPUTED_VALUE"""),"")</f>
        <v/>
      </c>
      <c r="M722" s="189" t="str">
        <f ca="1">IFERROR(__xludf.DUMMYFUNCTION("""COMPUTED_VALUE"""),"")</f>
        <v/>
      </c>
      <c r="N722" s="189" t="str">
        <f ca="1">IFERROR(__xludf.DUMMYFUNCTION("""COMPUTED_VALUE"""),"")</f>
        <v/>
      </c>
      <c r="O722" s="189" t="str">
        <f ca="1">IFERROR(__xludf.DUMMYFUNCTION("""COMPUTED_VALUE"""),"")</f>
        <v/>
      </c>
      <c r="P722" s="189" t="str">
        <f ca="1">IFERROR(__xludf.DUMMYFUNCTION("""COMPUTED_VALUE"""),"")</f>
        <v/>
      </c>
      <c r="Q722" s="189" t="str">
        <f ca="1">IFERROR(__xludf.DUMMYFUNCTION("""COMPUTED_VALUE"""),"")</f>
        <v/>
      </c>
      <c r="R722" s="189" t="str">
        <f ca="1">IFERROR(__xludf.DUMMYFUNCTION("""COMPUTED_VALUE"""),"")</f>
        <v/>
      </c>
      <c r="S722" s="189" t="str">
        <f ca="1">IFERROR(__xludf.DUMMYFUNCTION("""COMPUTED_VALUE"""),"")</f>
        <v/>
      </c>
      <c r="T722" s="189" t="str">
        <f ca="1">IFERROR(__xludf.DUMMYFUNCTION("""COMPUTED_VALUE"""),"")</f>
        <v/>
      </c>
      <c r="U722" s="189" t="str">
        <f ca="1">IFERROR(__xludf.DUMMYFUNCTION("""COMPUTED_VALUE"""),"")</f>
        <v/>
      </c>
      <c r="V722" s="189" t="str">
        <f ca="1">IFERROR(__xludf.DUMMYFUNCTION("""COMPUTED_VALUE"""),"")</f>
        <v/>
      </c>
      <c r="W722" s="189" t="str">
        <f ca="1">IFERROR(__xludf.DUMMYFUNCTION("""COMPUTED_VALUE"""),"")</f>
        <v/>
      </c>
      <c r="X722" s="189" t="str">
        <f ca="1">IFERROR(__xludf.DUMMYFUNCTION("""COMPUTED_VALUE"""),"")</f>
        <v/>
      </c>
      <c r="Y722" s="189" t="str">
        <f ca="1">IFERROR(__xludf.DUMMYFUNCTION("""COMPUTED_VALUE"""),"")</f>
        <v/>
      </c>
      <c r="Z722" s="189"/>
    </row>
    <row r="723" spans="1:26" ht="12.75">
      <c r="A723" s="189" t="str">
        <f ca="1">IFERROR(__xludf.DUMMYFUNCTION("""COMPUTED_VALUE"""),"")</f>
        <v/>
      </c>
      <c r="B723" s="189" t="str">
        <f ca="1">IFERROR(__xludf.DUMMYFUNCTION("""COMPUTED_VALUE"""),"")</f>
        <v/>
      </c>
      <c r="C723" s="189" t="str">
        <f ca="1">IFERROR(__xludf.DUMMYFUNCTION("""COMPUTED_VALUE"""),"")</f>
        <v/>
      </c>
      <c r="D723" s="189" t="str">
        <f ca="1">IFERROR(__xludf.DUMMYFUNCTION("""COMPUTED_VALUE"""),"")</f>
        <v/>
      </c>
      <c r="E723" s="189" t="str">
        <f ca="1">IFERROR(__xludf.DUMMYFUNCTION("""COMPUTED_VALUE"""),"")</f>
        <v/>
      </c>
      <c r="F723" s="189" t="str">
        <f ca="1">IFERROR(__xludf.DUMMYFUNCTION("""COMPUTED_VALUE"""),"")</f>
        <v/>
      </c>
      <c r="G723" s="189" t="str">
        <f ca="1">IFERROR(__xludf.DUMMYFUNCTION("""COMPUTED_VALUE"""),"")</f>
        <v/>
      </c>
      <c r="H723" s="189" t="str">
        <f ca="1">IFERROR(__xludf.DUMMYFUNCTION("""COMPUTED_VALUE"""),"")</f>
        <v/>
      </c>
      <c r="I723" s="120" t="str">
        <f ca="1">IFERROR(__xludf.DUMMYFUNCTION("""COMPUTED_VALUE"""),"")</f>
        <v/>
      </c>
      <c r="J723" s="189" t="str">
        <f ca="1">IFERROR(__xludf.DUMMYFUNCTION("""COMPUTED_VALUE"""),"")</f>
        <v/>
      </c>
      <c r="K723" s="189" t="str">
        <f ca="1">IFERROR(__xludf.DUMMYFUNCTION("""COMPUTED_VALUE"""),"")</f>
        <v/>
      </c>
      <c r="L723" s="189" t="str">
        <f ca="1">IFERROR(__xludf.DUMMYFUNCTION("""COMPUTED_VALUE"""),"")</f>
        <v/>
      </c>
      <c r="M723" s="189" t="str">
        <f ca="1">IFERROR(__xludf.DUMMYFUNCTION("""COMPUTED_VALUE"""),"")</f>
        <v/>
      </c>
      <c r="N723" s="189" t="str">
        <f ca="1">IFERROR(__xludf.DUMMYFUNCTION("""COMPUTED_VALUE"""),"")</f>
        <v/>
      </c>
      <c r="O723" s="189" t="str">
        <f ca="1">IFERROR(__xludf.DUMMYFUNCTION("""COMPUTED_VALUE"""),"")</f>
        <v/>
      </c>
      <c r="P723" s="189" t="str">
        <f ca="1">IFERROR(__xludf.DUMMYFUNCTION("""COMPUTED_VALUE"""),"")</f>
        <v/>
      </c>
      <c r="Q723" s="189" t="str">
        <f ca="1">IFERROR(__xludf.DUMMYFUNCTION("""COMPUTED_VALUE"""),"")</f>
        <v/>
      </c>
      <c r="R723" s="189" t="str">
        <f ca="1">IFERROR(__xludf.DUMMYFUNCTION("""COMPUTED_VALUE"""),"")</f>
        <v/>
      </c>
      <c r="S723" s="189" t="str">
        <f ca="1">IFERROR(__xludf.DUMMYFUNCTION("""COMPUTED_VALUE"""),"")</f>
        <v/>
      </c>
      <c r="T723" s="189" t="str">
        <f ca="1">IFERROR(__xludf.DUMMYFUNCTION("""COMPUTED_VALUE"""),"")</f>
        <v/>
      </c>
      <c r="U723" s="189" t="str">
        <f ca="1">IFERROR(__xludf.DUMMYFUNCTION("""COMPUTED_VALUE"""),"")</f>
        <v/>
      </c>
      <c r="V723" s="189" t="str">
        <f ca="1">IFERROR(__xludf.DUMMYFUNCTION("""COMPUTED_VALUE"""),"")</f>
        <v/>
      </c>
      <c r="W723" s="189" t="str">
        <f ca="1">IFERROR(__xludf.DUMMYFUNCTION("""COMPUTED_VALUE"""),"")</f>
        <v/>
      </c>
      <c r="X723" s="189" t="str">
        <f ca="1">IFERROR(__xludf.DUMMYFUNCTION("""COMPUTED_VALUE"""),"")</f>
        <v/>
      </c>
      <c r="Y723" s="189" t="str">
        <f ca="1">IFERROR(__xludf.DUMMYFUNCTION("""COMPUTED_VALUE"""),"")</f>
        <v/>
      </c>
      <c r="Z723" s="189"/>
    </row>
    <row r="724" spans="1:26" ht="12.75">
      <c r="A724" s="189" t="str">
        <f ca="1">IFERROR(__xludf.DUMMYFUNCTION("""COMPUTED_VALUE"""),"")</f>
        <v/>
      </c>
      <c r="B724" s="189" t="str">
        <f ca="1">IFERROR(__xludf.DUMMYFUNCTION("""COMPUTED_VALUE"""),"")</f>
        <v/>
      </c>
      <c r="C724" s="189" t="str">
        <f ca="1">IFERROR(__xludf.DUMMYFUNCTION("""COMPUTED_VALUE"""),"")</f>
        <v/>
      </c>
      <c r="D724" s="189" t="str">
        <f ca="1">IFERROR(__xludf.DUMMYFUNCTION("""COMPUTED_VALUE"""),"")</f>
        <v/>
      </c>
      <c r="E724" s="189" t="str">
        <f ca="1">IFERROR(__xludf.DUMMYFUNCTION("""COMPUTED_VALUE"""),"")</f>
        <v/>
      </c>
      <c r="F724" s="189" t="str">
        <f ca="1">IFERROR(__xludf.DUMMYFUNCTION("""COMPUTED_VALUE"""),"")</f>
        <v/>
      </c>
      <c r="G724" s="189" t="str">
        <f ca="1">IFERROR(__xludf.DUMMYFUNCTION("""COMPUTED_VALUE"""),"")</f>
        <v/>
      </c>
      <c r="H724" s="189" t="str">
        <f ca="1">IFERROR(__xludf.DUMMYFUNCTION("""COMPUTED_VALUE"""),"")</f>
        <v/>
      </c>
      <c r="I724" s="120" t="str">
        <f ca="1">IFERROR(__xludf.DUMMYFUNCTION("""COMPUTED_VALUE"""),"")</f>
        <v/>
      </c>
      <c r="J724" s="189" t="str">
        <f ca="1">IFERROR(__xludf.DUMMYFUNCTION("""COMPUTED_VALUE"""),"")</f>
        <v/>
      </c>
      <c r="K724" s="189" t="str">
        <f ca="1">IFERROR(__xludf.DUMMYFUNCTION("""COMPUTED_VALUE"""),"")</f>
        <v/>
      </c>
      <c r="L724" s="189" t="str">
        <f ca="1">IFERROR(__xludf.DUMMYFUNCTION("""COMPUTED_VALUE"""),"")</f>
        <v/>
      </c>
      <c r="M724" s="189" t="str">
        <f ca="1">IFERROR(__xludf.DUMMYFUNCTION("""COMPUTED_VALUE"""),"")</f>
        <v/>
      </c>
      <c r="N724" s="189" t="str">
        <f ca="1">IFERROR(__xludf.DUMMYFUNCTION("""COMPUTED_VALUE"""),"")</f>
        <v/>
      </c>
      <c r="O724" s="189" t="str">
        <f ca="1">IFERROR(__xludf.DUMMYFUNCTION("""COMPUTED_VALUE"""),"")</f>
        <v/>
      </c>
      <c r="P724" s="189" t="str">
        <f ca="1">IFERROR(__xludf.DUMMYFUNCTION("""COMPUTED_VALUE"""),"")</f>
        <v/>
      </c>
      <c r="Q724" s="189" t="str">
        <f ca="1">IFERROR(__xludf.DUMMYFUNCTION("""COMPUTED_VALUE"""),"")</f>
        <v/>
      </c>
      <c r="R724" s="189" t="str">
        <f ca="1">IFERROR(__xludf.DUMMYFUNCTION("""COMPUTED_VALUE"""),"")</f>
        <v/>
      </c>
      <c r="S724" s="189" t="str">
        <f ca="1">IFERROR(__xludf.DUMMYFUNCTION("""COMPUTED_VALUE"""),"")</f>
        <v/>
      </c>
      <c r="T724" s="189" t="str">
        <f ca="1">IFERROR(__xludf.DUMMYFUNCTION("""COMPUTED_VALUE"""),"")</f>
        <v/>
      </c>
      <c r="U724" s="189" t="str">
        <f ca="1">IFERROR(__xludf.DUMMYFUNCTION("""COMPUTED_VALUE"""),"")</f>
        <v/>
      </c>
      <c r="V724" s="189" t="str">
        <f ca="1">IFERROR(__xludf.DUMMYFUNCTION("""COMPUTED_VALUE"""),"")</f>
        <v/>
      </c>
      <c r="W724" s="189" t="str">
        <f ca="1">IFERROR(__xludf.DUMMYFUNCTION("""COMPUTED_VALUE"""),"")</f>
        <v/>
      </c>
      <c r="X724" s="189" t="str">
        <f ca="1">IFERROR(__xludf.DUMMYFUNCTION("""COMPUTED_VALUE"""),"")</f>
        <v/>
      </c>
      <c r="Y724" s="189" t="str">
        <f ca="1">IFERROR(__xludf.DUMMYFUNCTION("""COMPUTED_VALUE"""),"")</f>
        <v/>
      </c>
      <c r="Z724" s="189"/>
    </row>
    <row r="725" spans="1:26" ht="12.75">
      <c r="A725" s="189" t="str">
        <f ca="1">IFERROR(__xludf.DUMMYFUNCTION("""COMPUTED_VALUE"""),"")</f>
        <v/>
      </c>
      <c r="B725" s="189" t="str">
        <f ca="1">IFERROR(__xludf.DUMMYFUNCTION("""COMPUTED_VALUE"""),"")</f>
        <v/>
      </c>
      <c r="C725" s="189" t="str">
        <f ca="1">IFERROR(__xludf.DUMMYFUNCTION("""COMPUTED_VALUE"""),"")</f>
        <v/>
      </c>
      <c r="D725" s="189" t="str">
        <f ca="1">IFERROR(__xludf.DUMMYFUNCTION("""COMPUTED_VALUE"""),"")</f>
        <v/>
      </c>
      <c r="E725" s="189" t="str">
        <f ca="1">IFERROR(__xludf.DUMMYFUNCTION("""COMPUTED_VALUE"""),"")</f>
        <v/>
      </c>
      <c r="F725" s="189" t="str">
        <f ca="1">IFERROR(__xludf.DUMMYFUNCTION("""COMPUTED_VALUE"""),"")</f>
        <v/>
      </c>
      <c r="G725" s="189" t="str">
        <f ca="1">IFERROR(__xludf.DUMMYFUNCTION("""COMPUTED_VALUE"""),"")</f>
        <v/>
      </c>
      <c r="H725" s="189" t="str">
        <f ca="1">IFERROR(__xludf.DUMMYFUNCTION("""COMPUTED_VALUE"""),"")</f>
        <v/>
      </c>
      <c r="I725" s="120" t="str">
        <f ca="1">IFERROR(__xludf.DUMMYFUNCTION("""COMPUTED_VALUE"""),"")</f>
        <v/>
      </c>
      <c r="J725" s="189" t="str">
        <f ca="1">IFERROR(__xludf.DUMMYFUNCTION("""COMPUTED_VALUE"""),"")</f>
        <v/>
      </c>
      <c r="K725" s="189" t="str">
        <f ca="1">IFERROR(__xludf.DUMMYFUNCTION("""COMPUTED_VALUE"""),"")</f>
        <v/>
      </c>
      <c r="L725" s="189" t="str">
        <f ca="1">IFERROR(__xludf.DUMMYFUNCTION("""COMPUTED_VALUE"""),"")</f>
        <v/>
      </c>
      <c r="M725" s="189" t="str">
        <f ca="1">IFERROR(__xludf.DUMMYFUNCTION("""COMPUTED_VALUE"""),"")</f>
        <v/>
      </c>
      <c r="N725" s="189" t="str">
        <f ca="1">IFERROR(__xludf.DUMMYFUNCTION("""COMPUTED_VALUE"""),"")</f>
        <v/>
      </c>
      <c r="O725" s="189" t="str">
        <f ca="1">IFERROR(__xludf.DUMMYFUNCTION("""COMPUTED_VALUE"""),"")</f>
        <v/>
      </c>
      <c r="P725" s="189" t="str">
        <f ca="1">IFERROR(__xludf.DUMMYFUNCTION("""COMPUTED_VALUE"""),"")</f>
        <v/>
      </c>
      <c r="Q725" s="189" t="str">
        <f ca="1">IFERROR(__xludf.DUMMYFUNCTION("""COMPUTED_VALUE"""),"")</f>
        <v/>
      </c>
      <c r="R725" s="189" t="str">
        <f ca="1">IFERROR(__xludf.DUMMYFUNCTION("""COMPUTED_VALUE"""),"")</f>
        <v/>
      </c>
      <c r="S725" s="189" t="str">
        <f ca="1">IFERROR(__xludf.DUMMYFUNCTION("""COMPUTED_VALUE"""),"")</f>
        <v/>
      </c>
      <c r="T725" s="189" t="str">
        <f ca="1">IFERROR(__xludf.DUMMYFUNCTION("""COMPUTED_VALUE"""),"")</f>
        <v/>
      </c>
      <c r="U725" s="189" t="str">
        <f ca="1">IFERROR(__xludf.DUMMYFUNCTION("""COMPUTED_VALUE"""),"")</f>
        <v/>
      </c>
      <c r="V725" s="189" t="str">
        <f ca="1">IFERROR(__xludf.DUMMYFUNCTION("""COMPUTED_VALUE"""),"")</f>
        <v/>
      </c>
      <c r="W725" s="189" t="str">
        <f ca="1">IFERROR(__xludf.DUMMYFUNCTION("""COMPUTED_VALUE"""),"")</f>
        <v/>
      </c>
      <c r="X725" s="189" t="str">
        <f ca="1">IFERROR(__xludf.DUMMYFUNCTION("""COMPUTED_VALUE"""),"")</f>
        <v/>
      </c>
      <c r="Y725" s="189" t="str">
        <f ca="1">IFERROR(__xludf.DUMMYFUNCTION("""COMPUTED_VALUE"""),"")</f>
        <v/>
      </c>
      <c r="Z725" s="189"/>
    </row>
    <row r="726" spans="1:26" ht="12.75">
      <c r="A726" s="189" t="str">
        <f ca="1">IFERROR(__xludf.DUMMYFUNCTION("""COMPUTED_VALUE"""),"")</f>
        <v/>
      </c>
      <c r="B726" s="189" t="str">
        <f ca="1">IFERROR(__xludf.DUMMYFUNCTION("""COMPUTED_VALUE"""),"")</f>
        <v/>
      </c>
      <c r="C726" s="189" t="str">
        <f ca="1">IFERROR(__xludf.DUMMYFUNCTION("""COMPUTED_VALUE"""),"")</f>
        <v/>
      </c>
      <c r="D726" s="189" t="str">
        <f ca="1">IFERROR(__xludf.DUMMYFUNCTION("""COMPUTED_VALUE"""),"")</f>
        <v/>
      </c>
      <c r="E726" s="189" t="str">
        <f ca="1">IFERROR(__xludf.DUMMYFUNCTION("""COMPUTED_VALUE"""),"")</f>
        <v/>
      </c>
      <c r="F726" s="189" t="str">
        <f ca="1">IFERROR(__xludf.DUMMYFUNCTION("""COMPUTED_VALUE"""),"")</f>
        <v/>
      </c>
      <c r="G726" s="189" t="str">
        <f ca="1">IFERROR(__xludf.DUMMYFUNCTION("""COMPUTED_VALUE"""),"")</f>
        <v/>
      </c>
      <c r="H726" s="189" t="str">
        <f ca="1">IFERROR(__xludf.DUMMYFUNCTION("""COMPUTED_VALUE"""),"")</f>
        <v/>
      </c>
      <c r="I726" s="120" t="str">
        <f ca="1">IFERROR(__xludf.DUMMYFUNCTION("""COMPUTED_VALUE"""),"")</f>
        <v/>
      </c>
      <c r="J726" s="189" t="str">
        <f ca="1">IFERROR(__xludf.DUMMYFUNCTION("""COMPUTED_VALUE"""),"")</f>
        <v/>
      </c>
      <c r="K726" s="189" t="str">
        <f ca="1">IFERROR(__xludf.DUMMYFUNCTION("""COMPUTED_VALUE"""),"")</f>
        <v/>
      </c>
      <c r="L726" s="189" t="str">
        <f ca="1">IFERROR(__xludf.DUMMYFUNCTION("""COMPUTED_VALUE"""),"")</f>
        <v/>
      </c>
      <c r="M726" s="189" t="str">
        <f ca="1">IFERROR(__xludf.DUMMYFUNCTION("""COMPUTED_VALUE"""),"")</f>
        <v/>
      </c>
      <c r="N726" s="189" t="str">
        <f ca="1">IFERROR(__xludf.DUMMYFUNCTION("""COMPUTED_VALUE"""),"")</f>
        <v/>
      </c>
      <c r="O726" s="189" t="str">
        <f ca="1">IFERROR(__xludf.DUMMYFUNCTION("""COMPUTED_VALUE"""),"")</f>
        <v/>
      </c>
      <c r="P726" s="189" t="str">
        <f ca="1">IFERROR(__xludf.DUMMYFUNCTION("""COMPUTED_VALUE"""),"")</f>
        <v/>
      </c>
      <c r="Q726" s="189" t="str">
        <f ca="1">IFERROR(__xludf.DUMMYFUNCTION("""COMPUTED_VALUE"""),"")</f>
        <v/>
      </c>
      <c r="R726" s="189" t="str">
        <f ca="1">IFERROR(__xludf.DUMMYFUNCTION("""COMPUTED_VALUE"""),"")</f>
        <v/>
      </c>
      <c r="S726" s="189" t="str">
        <f ca="1">IFERROR(__xludf.DUMMYFUNCTION("""COMPUTED_VALUE"""),"")</f>
        <v/>
      </c>
      <c r="T726" s="189" t="str">
        <f ca="1">IFERROR(__xludf.DUMMYFUNCTION("""COMPUTED_VALUE"""),"")</f>
        <v/>
      </c>
      <c r="U726" s="189" t="str">
        <f ca="1">IFERROR(__xludf.DUMMYFUNCTION("""COMPUTED_VALUE"""),"")</f>
        <v/>
      </c>
      <c r="V726" s="189" t="str">
        <f ca="1">IFERROR(__xludf.DUMMYFUNCTION("""COMPUTED_VALUE"""),"")</f>
        <v/>
      </c>
      <c r="W726" s="189" t="str">
        <f ca="1">IFERROR(__xludf.DUMMYFUNCTION("""COMPUTED_VALUE"""),"")</f>
        <v/>
      </c>
      <c r="X726" s="189" t="str">
        <f ca="1">IFERROR(__xludf.DUMMYFUNCTION("""COMPUTED_VALUE"""),"")</f>
        <v/>
      </c>
      <c r="Y726" s="189" t="str">
        <f ca="1">IFERROR(__xludf.DUMMYFUNCTION("""COMPUTED_VALUE"""),"")</f>
        <v/>
      </c>
      <c r="Z726" s="189"/>
    </row>
    <row r="727" spans="1:26" ht="12.75">
      <c r="A727" s="189" t="str">
        <f ca="1">IFERROR(__xludf.DUMMYFUNCTION("""COMPUTED_VALUE"""),"")</f>
        <v/>
      </c>
      <c r="B727" s="189" t="str">
        <f ca="1">IFERROR(__xludf.DUMMYFUNCTION("""COMPUTED_VALUE"""),"")</f>
        <v/>
      </c>
      <c r="C727" s="189" t="str">
        <f ca="1">IFERROR(__xludf.DUMMYFUNCTION("""COMPUTED_VALUE"""),"")</f>
        <v/>
      </c>
      <c r="D727" s="189" t="str">
        <f ca="1">IFERROR(__xludf.DUMMYFUNCTION("""COMPUTED_VALUE"""),"")</f>
        <v/>
      </c>
      <c r="E727" s="189" t="str">
        <f ca="1">IFERROR(__xludf.DUMMYFUNCTION("""COMPUTED_VALUE"""),"")</f>
        <v/>
      </c>
      <c r="F727" s="189" t="str">
        <f ca="1">IFERROR(__xludf.DUMMYFUNCTION("""COMPUTED_VALUE"""),"")</f>
        <v/>
      </c>
      <c r="G727" s="189" t="str">
        <f ca="1">IFERROR(__xludf.DUMMYFUNCTION("""COMPUTED_VALUE"""),"")</f>
        <v/>
      </c>
      <c r="H727" s="189" t="str">
        <f ca="1">IFERROR(__xludf.DUMMYFUNCTION("""COMPUTED_VALUE"""),"")</f>
        <v/>
      </c>
      <c r="I727" s="120" t="str">
        <f ca="1">IFERROR(__xludf.DUMMYFUNCTION("""COMPUTED_VALUE"""),"")</f>
        <v/>
      </c>
      <c r="J727" s="189" t="str">
        <f ca="1">IFERROR(__xludf.DUMMYFUNCTION("""COMPUTED_VALUE"""),"")</f>
        <v/>
      </c>
      <c r="K727" s="189" t="str">
        <f ca="1">IFERROR(__xludf.DUMMYFUNCTION("""COMPUTED_VALUE"""),"")</f>
        <v/>
      </c>
      <c r="L727" s="189" t="str">
        <f ca="1">IFERROR(__xludf.DUMMYFUNCTION("""COMPUTED_VALUE"""),"")</f>
        <v/>
      </c>
      <c r="M727" s="189" t="str">
        <f ca="1">IFERROR(__xludf.DUMMYFUNCTION("""COMPUTED_VALUE"""),"")</f>
        <v/>
      </c>
      <c r="N727" s="189" t="str">
        <f ca="1">IFERROR(__xludf.DUMMYFUNCTION("""COMPUTED_VALUE"""),"")</f>
        <v/>
      </c>
      <c r="O727" s="189" t="str">
        <f ca="1">IFERROR(__xludf.DUMMYFUNCTION("""COMPUTED_VALUE"""),"")</f>
        <v/>
      </c>
      <c r="P727" s="189" t="str">
        <f ca="1">IFERROR(__xludf.DUMMYFUNCTION("""COMPUTED_VALUE"""),"")</f>
        <v/>
      </c>
      <c r="Q727" s="189" t="str">
        <f ca="1">IFERROR(__xludf.DUMMYFUNCTION("""COMPUTED_VALUE"""),"")</f>
        <v/>
      </c>
      <c r="R727" s="189" t="str">
        <f ca="1">IFERROR(__xludf.DUMMYFUNCTION("""COMPUTED_VALUE"""),"")</f>
        <v/>
      </c>
      <c r="S727" s="189" t="str">
        <f ca="1">IFERROR(__xludf.DUMMYFUNCTION("""COMPUTED_VALUE"""),"")</f>
        <v/>
      </c>
      <c r="T727" s="189" t="str">
        <f ca="1">IFERROR(__xludf.DUMMYFUNCTION("""COMPUTED_VALUE"""),"")</f>
        <v/>
      </c>
      <c r="U727" s="189" t="str">
        <f ca="1">IFERROR(__xludf.DUMMYFUNCTION("""COMPUTED_VALUE"""),"")</f>
        <v/>
      </c>
      <c r="V727" s="189" t="str">
        <f ca="1">IFERROR(__xludf.DUMMYFUNCTION("""COMPUTED_VALUE"""),"")</f>
        <v/>
      </c>
      <c r="W727" s="189" t="str">
        <f ca="1">IFERROR(__xludf.DUMMYFUNCTION("""COMPUTED_VALUE"""),"")</f>
        <v/>
      </c>
      <c r="X727" s="189" t="str">
        <f ca="1">IFERROR(__xludf.DUMMYFUNCTION("""COMPUTED_VALUE"""),"")</f>
        <v/>
      </c>
      <c r="Y727" s="189" t="str">
        <f ca="1">IFERROR(__xludf.DUMMYFUNCTION("""COMPUTED_VALUE"""),"")</f>
        <v/>
      </c>
      <c r="Z727" s="189"/>
    </row>
    <row r="728" spans="1:26" ht="12.75">
      <c r="A728" s="189" t="str">
        <f ca="1">IFERROR(__xludf.DUMMYFUNCTION("""COMPUTED_VALUE"""),"")</f>
        <v/>
      </c>
      <c r="B728" s="189" t="str">
        <f ca="1">IFERROR(__xludf.DUMMYFUNCTION("""COMPUTED_VALUE"""),"")</f>
        <v/>
      </c>
      <c r="C728" s="189" t="str">
        <f ca="1">IFERROR(__xludf.DUMMYFUNCTION("""COMPUTED_VALUE"""),"")</f>
        <v/>
      </c>
      <c r="D728" s="189" t="str">
        <f ca="1">IFERROR(__xludf.DUMMYFUNCTION("""COMPUTED_VALUE"""),"")</f>
        <v/>
      </c>
      <c r="E728" s="189" t="str">
        <f ca="1">IFERROR(__xludf.DUMMYFUNCTION("""COMPUTED_VALUE"""),"")</f>
        <v/>
      </c>
      <c r="F728" s="189" t="str">
        <f ca="1">IFERROR(__xludf.DUMMYFUNCTION("""COMPUTED_VALUE"""),"")</f>
        <v/>
      </c>
      <c r="G728" s="189" t="str">
        <f ca="1">IFERROR(__xludf.DUMMYFUNCTION("""COMPUTED_VALUE"""),"")</f>
        <v/>
      </c>
      <c r="H728" s="189" t="str">
        <f ca="1">IFERROR(__xludf.DUMMYFUNCTION("""COMPUTED_VALUE"""),"")</f>
        <v/>
      </c>
      <c r="I728" s="120" t="str">
        <f ca="1">IFERROR(__xludf.DUMMYFUNCTION("""COMPUTED_VALUE"""),"")</f>
        <v/>
      </c>
      <c r="J728" s="189" t="str">
        <f ca="1">IFERROR(__xludf.DUMMYFUNCTION("""COMPUTED_VALUE"""),"")</f>
        <v/>
      </c>
      <c r="K728" s="189" t="str">
        <f ca="1">IFERROR(__xludf.DUMMYFUNCTION("""COMPUTED_VALUE"""),"")</f>
        <v/>
      </c>
      <c r="L728" s="189" t="str">
        <f ca="1">IFERROR(__xludf.DUMMYFUNCTION("""COMPUTED_VALUE"""),"")</f>
        <v/>
      </c>
      <c r="M728" s="189" t="str">
        <f ca="1">IFERROR(__xludf.DUMMYFUNCTION("""COMPUTED_VALUE"""),"")</f>
        <v/>
      </c>
      <c r="N728" s="189" t="str">
        <f ca="1">IFERROR(__xludf.DUMMYFUNCTION("""COMPUTED_VALUE"""),"")</f>
        <v/>
      </c>
      <c r="O728" s="189" t="str">
        <f ca="1">IFERROR(__xludf.DUMMYFUNCTION("""COMPUTED_VALUE"""),"")</f>
        <v/>
      </c>
      <c r="P728" s="189" t="str">
        <f ca="1">IFERROR(__xludf.DUMMYFUNCTION("""COMPUTED_VALUE"""),"")</f>
        <v/>
      </c>
      <c r="Q728" s="189" t="str">
        <f ca="1">IFERROR(__xludf.DUMMYFUNCTION("""COMPUTED_VALUE"""),"")</f>
        <v/>
      </c>
      <c r="R728" s="189" t="str">
        <f ca="1">IFERROR(__xludf.DUMMYFUNCTION("""COMPUTED_VALUE"""),"")</f>
        <v/>
      </c>
      <c r="S728" s="189" t="str">
        <f ca="1">IFERROR(__xludf.DUMMYFUNCTION("""COMPUTED_VALUE"""),"")</f>
        <v/>
      </c>
      <c r="T728" s="189" t="str">
        <f ca="1">IFERROR(__xludf.DUMMYFUNCTION("""COMPUTED_VALUE"""),"")</f>
        <v/>
      </c>
      <c r="U728" s="189" t="str">
        <f ca="1">IFERROR(__xludf.DUMMYFUNCTION("""COMPUTED_VALUE"""),"")</f>
        <v/>
      </c>
      <c r="V728" s="189" t="str">
        <f ca="1">IFERROR(__xludf.DUMMYFUNCTION("""COMPUTED_VALUE"""),"")</f>
        <v/>
      </c>
      <c r="W728" s="189" t="str">
        <f ca="1">IFERROR(__xludf.DUMMYFUNCTION("""COMPUTED_VALUE"""),"")</f>
        <v/>
      </c>
      <c r="X728" s="189" t="str">
        <f ca="1">IFERROR(__xludf.DUMMYFUNCTION("""COMPUTED_VALUE"""),"")</f>
        <v/>
      </c>
      <c r="Y728" s="189" t="str">
        <f ca="1">IFERROR(__xludf.DUMMYFUNCTION("""COMPUTED_VALUE"""),"")</f>
        <v/>
      </c>
      <c r="Z728" s="189"/>
    </row>
    <row r="729" spans="1:26" ht="12.75">
      <c r="A729" s="189" t="str">
        <f ca="1">IFERROR(__xludf.DUMMYFUNCTION("""COMPUTED_VALUE"""),"")</f>
        <v/>
      </c>
      <c r="B729" s="189" t="str">
        <f ca="1">IFERROR(__xludf.DUMMYFUNCTION("""COMPUTED_VALUE"""),"")</f>
        <v/>
      </c>
      <c r="C729" s="189" t="str">
        <f ca="1">IFERROR(__xludf.DUMMYFUNCTION("""COMPUTED_VALUE"""),"")</f>
        <v/>
      </c>
      <c r="D729" s="189" t="str">
        <f ca="1">IFERROR(__xludf.DUMMYFUNCTION("""COMPUTED_VALUE"""),"")</f>
        <v/>
      </c>
      <c r="E729" s="189" t="str">
        <f ca="1">IFERROR(__xludf.DUMMYFUNCTION("""COMPUTED_VALUE"""),"")</f>
        <v/>
      </c>
      <c r="F729" s="189" t="str">
        <f ca="1">IFERROR(__xludf.DUMMYFUNCTION("""COMPUTED_VALUE"""),"")</f>
        <v/>
      </c>
      <c r="G729" s="189" t="str">
        <f ca="1">IFERROR(__xludf.DUMMYFUNCTION("""COMPUTED_VALUE"""),"")</f>
        <v/>
      </c>
      <c r="H729" s="189" t="str">
        <f ca="1">IFERROR(__xludf.DUMMYFUNCTION("""COMPUTED_VALUE"""),"")</f>
        <v/>
      </c>
      <c r="I729" s="120" t="str">
        <f ca="1">IFERROR(__xludf.DUMMYFUNCTION("""COMPUTED_VALUE"""),"")</f>
        <v/>
      </c>
      <c r="J729" s="189" t="str">
        <f ca="1">IFERROR(__xludf.DUMMYFUNCTION("""COMPUTED_VALUE"""),"")</f>
        <v/>
      </c>
      <c r="K729" s="189" t="str">
        <f ca="1">IFERROR(__xludf.DUMMYFUNCTION("""COMPUTED_VALUE"""),"")</f>
        <v/>
      </c>
      <c r="L729" s="189" t="str">
        <f ca="1">IFERROR(__xludf.DUMMYFUNCTION("""COMPUTED_VALUE"""),"")</f>
        <v/>
      </c>
      <c r="M729" s="189" t="str">
        <f ca="1">IFERROR(__xludf.DUMMYFUNCTION("""COMPUTED_VALUE"""),"")</f>
        <v/>
      </c>
      <c r="N729" s="189" t="str">
        <f ca="1">IFERROR(__xludf.DUMMYFUNCTION("""COMPUTED_VALUE"""),"")</f>
        <v/>
      </c>
      <c r="O729" s="189" t="str">
        <f ca="1">IFERROR(__xludf.DUMMYFUNCTION("""COMPUTED_VALUE"""),"")</f>
        <v/>
      </c>
      <c r="P729" s="189" t="str">
        <f ca="1">IFERROR(__xludf.DUMMYFUNCTION("""COMPUTED_VALUE"""),"")</f>
        <v/>
      </c>
      <c r="Q729" s="189" t="str">
        <f ca="1">IFERROR(__xludf.DUMMYFUNCTION("""COMPUTED_VALUE"""),"")</f>
        <v/>
      </c>
      <c r="R729" s="189" t="str">
        <f ca="1">IFERROR(__xludf.DUMMYFUNCTION("""COMPUTED_VALUE"""),"")</f>
        <v/>
      </c>
      <c r="S729" s="189" t="str">
        <f ca="1">IFERROR(__xludf.DUMMYFUNCTION("""COMPUTED_VALUE"""),"")</f>
        <v/>
      </c>
      <c r="T729" s="189" t="str">
        <f ca="1">IFERROR(__xludf.DUMMYFUNCTION("""COMPUTED_VALUE"""),"")</f>
        <v/>
      </c>
      <c r="U729" s="189" t="str">
        <f ca="1">IFERROR(__xludf.DUMMYFUNCTION("""COMPUTED_VALUE"""),"")</f>
        <v/>
      </c>
      <c r="V729" s="189" t="str">
        <f ca="1">IFERROR(__xludf.DUMMYFUNCTION("""COMPUTED_VALUE"""),"")</f>
        <v/>
      </c>
      <c r="W729" s="189" t="str">
        <f ca="1">IFERROR(__xludf.DUMMYFUNCTION("""COMPUTED_VALUE"""),"")</f>
        <v/>
      </c>
      <c r="X729" s="189" t="str">
        <f ca="1">IFERROR(__xludf.DUMMYFUNCTION("""COMPUTED_VALUE"""),"")</f>
        <v/>
      </c>
      <c r="Y729" s="189" t="str">
        <f ca="1">IFERROR(__xludf.DUMMYFUNCTION("""COMPUTED_VALUE"""),"")</f>
        <v/>
      </c>
      <c r="Z729" s="189"/>
    </row>
    <row r="730" spans="1:26" ht="12.75">
      <c r="A730" s="189" t="str">
        <f ca="1">IFERROR(__xludf.DUMMYFUNCTION("""COMPUTED_VALUE"""),"")</f>
        <v/>
      </c>
      <c r="B730" s="189" t="str">
        <f ca="1">IFERROR(__xludf.DUMMYFUNCTION("""COMPUTED_VALUE"""),"")</f>
        <v/>
      </c>
      <c r="C730" s="189" t="str">
        <f ca="1">IFERROR(__xludf.DUMMYFUNCTION("""COMPUTED_VALUE"""),"")</f>
        <v/>
      </c>
      <c r="D730" s="189" t="str">
        <f ca="1">IFERROR(__xludf.DUMMYFUNCTION("""COMPUTED_VALUE"""),"")</f>
        <v/>
      </c>
      <c r="E730" s="189" t="str">
        <f ca="1">IFERROR(__xludf.DUMMYFUNCTION("""COMPUTED_VALUE"""),"")</f>
        <v/>
      </c>
      <c r="F730" s="189" t="str">
        <f ca="1">IFERROR(__xludf.DUMMYFUNCTION("""COMPUTED_VALUE"""),"")</f>
        <v/>
      </c>
      <c r="G730" s="189" t="str">
        <f ca="1">IFERROR(__xludf.DUMMYFUNCTION("""COMPUTED_VALUE"""),"")</f>
        <v/>
      </c>
      <c r="H730" s="189" t="str">
        <f ca="1">IFERROR(__xludf.DUMMYFUNCTION("""COMPUTED_VALUE"""),"")</f>
        <v/>
      </c>
      <c r="I730" s="120" t="str">
        <f ca="1">IFERROR(__xludf.DUMMYFUNCTION("""COMPUTED_VALUE"""),"")</f>
        <v/>
      </c>
      <c r="J730" s="189" t="str">
        <f ca="1">IFERROR(__xludf.DUMMYFUNCTION("""COMPUTED_VALUE"""),"")</f>
        <v/>
      </c>
      <c r="K730" s="189" t="str">
        <f ca="1">IFERROR(__xludf.DUMMYFUNCTION("""COMPUTED_VALUE"""),"")</f>
        <v/>
      </c>
      <c r="L730" s="189" t="str">
        <f ca="1">IFERROR(__xludf.DUMMYFUNCTION("""COMPUTED_VALUE"""),"")</f>
        <v/>
      </c>
      <c r="M730" s="189" t="str">
        <f ca="1">IFERROR(__xludf.DUMMYFUNCTION("""COMPUTED_VALUE"""),"")</f>
        <v/>
      </c>
      <c r="N730" s="189" t="str">
        <f ca="1">IFERROR(__xludf.DUMMYFUNCTION("""COMPUTED_VALUE"""),"")</f>
        <v/>
      </c>
      <c r="O730" s="189" t="str">
        <f ca="1">IFERROR(__xludf.DUMMYFUNCTION("""COMPUTED_VALUE"""),"")</f>
        <v/>
      </c>
      <c r="P730" s="189" t="str">
        <f ca="1">IFERROR(__xludf.DUMMYFUNCTION("""COMPUTED_VALUE"""),"")</f>
        <v/>
      </c>
      <c r="Q730" s="189" t="str">
        <f ca="1">IFERROR(__xludf.DUMMYFUNCTION("""COMPUTED_VALUE"""),"")</f>
        <v/>
      </c>
      <c r="R730" s="189" t="str">
        <f ca="1">IFERROR(__xludf.DUMMYFUNCTION("""COMPUTED_VALUE"""),"")</f>
        <v/>
      </c>
      <c r="S730" s="189" t="str">
        <f ca="1">IFERROR(__xludf.DUMMYFUNCTION("""COMPUTED_VALUE"""),"")</f>
        <v/>
      </c>
      <c r="T730" s="189" t="str">
        <f ca="1">IFERROR(__xludf.DUMMYFUNCTION("""COMPUTED_VALUE"""),"")</f>
        <v/>
      </c>
      <c r="U730" s="189" t="str">
        <f ca="1">IFERROR(__xludf.DUMMYFUNCTION("""COMPUTED_VALUE"""),"")</f>
        <v/>
      </c>
      <c r="V730" s="189" t="str">
        <f ca="1">IFERROR(__xludf.DUMMYFUNCTION("""COMPUTED_VALUE"""),"")</f>
        <v/>
      </c>
      <c r="W730" s="189" t="str">
        <f ca="1">IFERROR(__xludf.DUMMYFUNCTION("""COMPUTED_VALUE"""),"")</f>
        <v/>
      </c>
      <c r="X730" s="189" t="str">
        <f ca="1">IFERROR(__xludf.DUMMYFUNCTION("""COMPUTED_VALUE"""),"")</f>
        <v/>
      </c>
      <c r="Y730" s="189" t="str">
        <f ca="1">IFERROR(__xludf.DUMMYFUNCTION("""COMPUTED_VALUE"""),"")</f>
        <v/>
      </c>
      <c r="Z730" s="189"/>
    </row>
    <row r="731" spans="1:26" ht="12.75">
      <c r="A731" s="189" t="str">
        <f ca="1">IFERROR(__xludf.DUMMYFUNCTION("""COMPUTED_VALUE"""),"")</f>
        <v/>
      </c>
      <c r="B731" s="189" t="str">
        <f ca="1">IFERROR(__xludf.DUMMYFUNCTION("""COMPUTED_VALUE"""),"")</f>
        <v/>
      </c>
      <c r="C731" s="189" t="str">
        <f ca="1">IFERROR(__xludf.DUMMYFUNCTION("""COMPUTED_VALUE"""),"")</f>
        <v/>
      </c>
      <c r="D731" s="189" t="str">
        <f ca="1">IFERROR(__xludf.DUMMYFUNCTION("""COMPUTED_VALUE"""),"")</f>
        <v/>
      </c>
      <c r="E731" s="189" t="str">
        <f ca="1">IFERROR(__xludf.DUMMYFUNCTION("""COMPUTED_VALUE"""),"")</f>
        <v/>
      </c>
      <c r="F731" s="189" t="str">
        <f ca="1">IFERROR(__xludf.DUMMYFUNCTION("""COMPUTED_VALUE"""),"")</f>
        <v/>
      </c>
      <c r="G731" s="189" t="str">
        <f ca="1">IFERROR(__xludf.DUMMYFUNCTION("""COMPUTED_VALUE"""),"")</f>
        <v/>
      </c>
      <c r="H731" s="189" t="str">
        <f ca="1">IFERROR(__xludf.DUMMYFUNCTION("""COMPUTED_VALUE"""),"")</f>
        <v/>
      </c>
      <c r="I731" s="120" t="str">
        <f ca="1">IFERROR(__xludf.DUMMYFUNCTION("""COMPUTED_VALUE"""),"")</f>
        <v/>
      </c>
      <c r="J731" s="189" t="str">
        <f ca="1">IFERROR(__xludf.DUMMYFUNCTION("""COMPUTED_VALUE"""),"")</f>
        <v/>
      </c>
      <c r="K731" s="189" t="str">
        <f ca="1">IFERROR(__xludf.DUMMYFUNCTION("""COMPUTED_VALUE"""),"")</f>
        <v/>
      </c>
      <c r="L731" s="189" t="str">
        <f ca="1">IFERROR(__xludf.DUMMYFUNCTION("""COMPUTED_VALUE"""),"")</f>
        <v/>
      </c>
      <c r="M731" s="189" t="str">
        <f ca="1">IFERROR(__xludf.DUMMYFUNCTION("""COMPUTED_VALUE"""),"")</f>
        <v/>
      </c>
      <c r="N731" s="189" t="str">
        <f ca="1">IFERROR(__xludf.DUMMYFUNCTION("""COMPUTED_VALUE"""),"")</f>
        <v/>
      </c>
      <c r="O731" s="189" t="str">
        <f ca="1">IFERROR(__xludf.DUMMYFUNCTION("""COMPUTED_VALUE"""),"")</f>
        <v/>
      </c>
      <c r="P731" s="189" t="str">
        <f ca="1">IFERROR(__xludf.DUMMYFUNCTION("""COMPUTED_VALUE"""),"")</f>
        <v/>
      </c>
      <c r="Q731" s="189" t="str">
        <f ca="1">IFERROR(__xludf.DUMMYFUNCTION("""COMPUTED_VALUE"""),"")</f>
        <v/>
      </c>
      <c r="R731" s="189" t="str">
        <f ca="1">IFERROR(__xludf.DUMMYFUNCTION("""COMPUTED_VALUE"""),"")</f>
        <v/>
      </c>
      <c r="S731" s="189" t="str">
        <f ca="1">IFERROR(__xludf.DUMMYFUNCTION("""COMPUTED_VALUE"""),"")</f>
        <v/>
      </c>
      <c r="T731" s="189" t="str">
        <f ca="1">IFERROR(__xludf.DUMMYFUNCTION("""COMPUTED_VALUE"""),"")</f>
        <v/>
      </c>
      <c r="U731" s="189" t="str">
        <f ca="1">IFERROR(__xludf.DUMMYFUNCTION("""COMPUTED_VALUE"""),"")</f>
        <v/>
      </c>
      <c r="V731" s="189" t="str">
        <f ca="1">IFERROR(__xludf.DUMMYFUNCTION("""COMPUTED_VALUE"""),"")</f>
        <v/>
      </c>
      <c r="W731" s="189" t="str">
        <f ca="1">IFERROR(__xludf.DUMMYFUNCTION("""COMPUTED_VALUE"""),"")</f>
        <v/>
      </c>
      <c r="X731" s="189" t="str">
        <f ca="1">IFERROR(__xludf.DUMMYFUNCTION("""COMPUTED_VALUE"""),"")</f>
        <v/>
      </c>
      <c r="Y731" s="189" t="str">
        <f ca="1">IFERROR(__xludf.DUMMYFUNCTION("""COMPUTED_VALUE"""),"")</f>
        <v/>
      </c>
      <c r="Z731" s="189"/>
    </row>
    <row r="732" spans="1:26" ht="12.75">
      <c r="A732" s="189" t="str">
        <f ca="1">IFERROR(__xludf.DUMMYFUNCTION("""COMPUTED_VALUE"""),"")</f>
        <v/>
      </c>
      <c r="B732" s="189" t="str">
        <f ca="1">IFERROR(__xludf.DUMMYFUNCTION("""COMPUTED_VALUE"""),"")</f>
        <v/>
      </c>
      <c r="C732" s="189" t="str">
        <f ca="1">IFERROR(__xludf.DUMMYFUNCTION("""COMPUTED_VALUE"""),"")</f>
        <v/>
      </c>
      <c r="D732" s="189" t="str">
        <f ca="1">IFERROR(__xludf.DUMMYFUNCTION("""COMPUTED_VALUE"""),"")</f>
        <v/>
      </c>
      <c r="E732" s="189" t="str">
        <f ca="1">IFERROR(__xludf.DUMMYFUNCTION("""COMPUTED_VALUE"""),"")</f>
        <v/>
      </c>
      <c r="F732" s="189" t="str">
        <f ca="1">IFERROR(__xludf.DUMMYFUNCTION("""COMPUTED_VALUE"""),"")</f>
        <v/>
      </c>
      <c r="G732" s="189" t="str">
        <f ca="1">IFERROR(__xludf.DUMMYFUNCTION("""COMPUTED_VALUE"""),"")</f>
        <v/>
      </c>
      <c r="H732" s="189" t="str">
        <f ca="1">IFERROR(__xludf.DUMMYFUNCTION("""COMPUTED_VALUE"""),"")</f>
        <v/>
      </c>
      <c r="I732" s="120" t="str">
        <f ca="1">IFERROR(__xludf.DUMMYFUNCTION("""COMPUTED_VALUE"""),"")</f>
        <v/>
      </c>
      <c r="J732" s="189" t="str">
        <f ca="1">IFERROR(__xludf.DUMMYFUNCTION("""COMPUTED_VALUE"""),"")</f>
        <v/>
      </c>
      <c r="K732" s="189" t="str">
        <f ca="1">IFERROR(__xludf.DUMMYFUNCTION("""COMPUTED_VALUE"""),"")</f>
        <v/>
      </c>
      <c r="L732" s="189" t="str">
        <f ca="1">IFERROR(__xludf.DUMMYFUNCTION("""COMPUTED_VALUE"""),"")</f>
        <v/>
      </c>
      <c r="M732" s="189" t="str">
        <f ca="1">IFERROR(__xludf.DUMMYFUNCTION("""COMPUTED_VALUE"""),"")</f>
        <v/>
      </c>
      <c r="N732" s="189" t="str">
        <f ca="1">IFERROR(__xludf.DUMMYFUNCTION("""COMPUTED_VALUE"""),"")</f>
        <v/>
      </c>
      <c r="O732" s="189" t="str">
        <f ca="1">IFERROR(__xludf.DUMMYFUNCTION("""COMPUTED_VALUE"""),"")</f>
        <v/>
      </c>
      <c r="P732" s="189" t="str">
        <f ca="1">IFERROR(__xludf.DUMMYFUNCTION("""COMPUTED_VALUE"""),"")</f>
        <v/>
      </c>
      <c r="Q732" s="189" t="str">
        <f ca="1">IFERROR(__xludf.DUMMYFUNCTION("""COMPUTED_VALUE"""),"")</f>
        <v/>
      </c>
      <c r="R732" s="189" t="str">
        <f ca="1">IFERROR(__xludf.DUMMYFUNCTION("""COMPUTED_VALUE"""),"")</f>
        <v/>
      </c>
      <c r="S732" s="189" t="str">
        <f ca="1">IFERROR(__xludf.DUMMYFUNCTION("""COMPUTED_VALUE"""),"")</f>
        <v/>
      </c>
      <c r="T732" s="189" t="str">
        <f ca="1">IFERROR(__xludf.DUMMYFUNCTION("""COMPUTED_VALUE"""),"")</f>
        <v/>
      </c>
      <c r="U732" s="189" t="str">
        <f ca="1">IFERROR(__xludf.DUMMYFUNCTION("""COMPUTED_VALUE"""),"")</f>
        <v/>
      </c>
      <c r="V732" s="189" t="str">
        <f ca="1">IFERROR(__xludf.DUMMYFUNCTION("""COMPUTED_VALUE"""),"")</f>
        <v/>
      </c>
      <c r="W732" s="189" t="str">
        <f ca="1">IFERROR(__xludf.DUMMYFUNCTION("""COMPUTED_VALUE"""),"")</f>
        <v/>
      </c>
      <c r="X732" s="189" t="str">
        <f ca="1">IFERROR(__xludf.DUMMYFUNCTION("""COMPUTED_VALUE"""),"")</f>
        <v/>
      </c>
      <c r="Y732" s="189" t="str">
        <f ca="1">IFERROR(__xludf.DUMMYFUNCTION("""COMPUTED_VALUE"""),"")</f>
        <v/>
      </c>
      <c r="Z732" s="189"/>
    </row>
    <row r="733" spans="1:26" ht="12.75">
      <c r="A733" s="189" t="str">
        <f ca="1">IFERROR(__xludf.DUMMYFUNCTION("""COMPUTED_VALUE"""),"")</f>
        <v/>
      </c>
      <c r="B733" s="189" t="str">
        <f ca="1">IFERROR(__xludf.DUMMYFUNCTION("""COMPUTED_VALUE"""),"")</f>
        <v/>
      </c>
      <c r="C733" s="189" t="str">
        <f ca="1">IFERROR(__xludf.DUMMYFUNCTION("""COMPUTED_VALUE"""),"")</f>
        <v/>
      </c>
      <c r="D733" s="189" t="str">
        <f ca="1">IFERROR(__xludf.DUMMYFUNCTION("""COMPUTED_VALUE"""),"")</f>
        <v/>
      </c>
      <c r="E733" s="189" t="str">
        <f ca="1">IFERROR(__xludf.DUMMYFUNCTION("""COMPUTED_VALUE"""),"")</f>
        <v/>
      </c>
      <c r="F733" s="189" t="str">
        <f ca="1">IFERROR(__xludf.DUMMYFUNCTION("""COMPUTED_VALUE"""),"")</f>
        <v/>
      </c>
      <c r="G733" s="189" t="str">
        <f ca="1">IFERROR(__xludf.DUMMYFUNCTION("""COMPUTED_VALUE"""),"")</f>
        <v/>
      </c>
      <c r="H733" s="189" t="str">
        <f ca="1">IFERROR(__xludf.DUMMYFUNCTION("""COMPUTED_VALUE"""),"")</f>
        <v/>
      </c>
      <c r="I733" s="120" t="str">
        <f ca="1">IFERROR(__xludf.DUMMYFUNCTION("""COMPUTED_VALUE"""),"")</f>
        <v/>
      </c>
      <c r="J733" s="189" t="str">
        <f ca="1">IFERROR(__xludf.DUMMYFUNCTION("""COMPUTED_VALUE"""),"")</f>
        <v/>
      </c>
      <c r="K733" s="189" t="str">
        <f ca="1">IFERROR(__xludf.DUMMYFUNCTION("""COMPUTED_VALUE"""),"")</f>
        <v/>
      </c>
      <c r="L733" s="189" t="str">
        <f ca="1">IFERROR(__xludf.DUMMYFUNCTION("""COMPUTED_VALUE"""),"")</f>
        <v/>
      </c>
      <c r="M733" s="189" t="str">
        <f ca="1">IFERROR(__xludf.DUMMYFUNCTION("""COMPUTED_VALUE"""),"")</f>
        <v/>
      </c>
      <c r="N733" s="189" t="str">
        <f ca="1">IFERROR(__xludf.DUMMYFUNCTION("""COMPUTED_VALUE"""),"")</f>
        <v/>
      </c>
      <c r="O733" s="189" t="str">
        <f ca="1">IFERROR(__xludf.DUMMYFUNCTION("""COMPUTED_VALUE"""),"")</f>
        <v/>
      </c>
      <c r="P733" s="189" t="str">
        <f ca="1">IFERROR(__xludf.DUMMYFUNCTION("""COMPUTED_VALUE"""),"")</f>
        <v/>
      </c>
      <c r="Q733" s="189" t="str">
        <f ca="1">IFERROR(__xludf.DUMMYFUNCTION("""COMPUTED_VALUE"""),"")</f>
        <v/>
      </c>
      <c r="R733" s="189" t="str">
        <f ca="1">IFERROR(__xludf.DUMMYFUNCTION("""COMPUTED_VALUE"""),"")</f>
        <v/>
      </c>
      <c r="S733" s="189" t="str">
        <f ca="1">IFERROR(__xludf.DUMMYFUNCTION("""COMPUTED_VALUE"""),"")</f>
        <v/>
      </c>
      <c r="T733" s="189" t="str">
        <f ca="1">IFERROR(__xludf.DUMMYFUNCTION("""COMPUTED_VALUE"""),"")</f>
        <v/>
      </c>
      <c r="U733" s="189" t="str">
        <f ca="1">IFERROR(__xludf.DUMMYFUNCTION("""COMPUTED_VALUE"""),"")</f>
        <v/>
      </c>
      <c r="V733" s="189" t="str">
        <f ca="1">IFERROR(__xludf.DUMMYFUNCTION("""COMPUTED_VALUE"""),"")</f>
        <v/>
      </c>
      <c r="W733" s="189" t="str">
        <f ca="1">IFERROR(__xludf.DUMMYFUNCTION("""COMPUTED_VALUE"""),"")</f>
        <v/>
      </c>
      <c r="X733" s="189" t="str">
        <f ca="1">IFERROR(__xludf.DUMMYFUNCTION("""COMPUTED_VALUE"""),"")</f>
        <v/>
      </c>
      <c r="Y733" s="189" t="str">
        <f ca="1">IFERROR(__xludf.DUMMYFUNCTION("""COMPUTED_VALUE"""),"")</f>
        <v/>
      </c>
      <c r="Z733" s="189"/>
    </row>
    <row r="734" spans="1:26" ht="12.75">
      <c r="A734" s="189" t="str">
        <f ca="1">IFERROR(__xludf.DUMMYFUNCTION("""COMPUTED_VALUE"""),"")</f>
        <v/>
      </c>
      <c r="B734" s="189" t="str">
        <f ca="1">IFERROR(__xludf.DUMMYFUNCTION("""COMPUTED_VALUE"""),"")</f>
        <v/>
      </c>
      <c r="C734" s="189" t="str">
        <f ca="1">IFERROR(__xludf.DUMMYFUNCTION("""COMPUTED_VALUE"""),"")</f>
        <v/>
      </c>
      <c r="D734" s="189" t="str">
        <f ca="1">IFERROR(__xludf.DUMMYFUNCTION("""COMPUTED_VALUE"""),"")</f>
        <v/>
      </c>
      <c r="E734" s="189" t="str">
        <f ca="1">IFERROR(__xludf.DUMMYFUNCTION("""COMPUTED_VALUE"""),"")</f>
        <v/>
      </c>
      <c r="F734" s="189" t="str">
        <f ca="1">IFERROR(__xludf.DUMMYFUNCTION("""COMPUTED_VALUE"""),"")</f>
        <v/>
      </c>
      <c r="G734" s="189" t="str">
        <f ca="1">IFERROR(__xludf.DUMMYFUNCTION("""COMPUTED_VALUE"""),"")</f>
        <v/>
      </c>
      <c r="H734" s="189" t="str">
        <f ca="1">IFERROR(__xludf.DUMMYFUNCTION("""COMPUTED_VALUE"""),"")</f>
        <v/>
      </c>
      <c r="I734" s="120" t="str">
        <f ca="1">IFERROR(__xludf.DUMMYFUNCTION("""COMPUTED_VALUE"""),"")</f>
        <v/>
      </c>
      <c r="J734" s="189" t="str">
        <f ca="1">IFERROR(__xludf.DUMMYFUNCTION("""COMPUTED_VALUE"""),"")</f>
        <v/>
      </c>
      <c r="K734" s="189" t="str">
        <f ca="1">IFERROR(__xludf.DUMMYFUNCTION("""COMPUTED_VALUE"""),"")</f>
        <v/>
      </c>
      <c r="L734" s="189" t="str">
        <f ca="1">IFERROR(__xludf.DUMMYFUNCTION("""COMPUTED_VALUE"""),"")</f>
        <v/>
      </c>
      <c r="M734" s="189" t="str">
        <f ca="1">IFERROR(__xludf.DUMMYFUNCTION("""COMPUTED_VALUE"""),"")</f>
        <v/>
      </c>
      <c r="N734" s="189" t="str">
        <f ca="1">IFERROR(__xludf.DUMMYFUNCTION("""COMPUTED_VALUE"""),"")</f>
        <v/>
      </c>
      <c r="O734" s="189" t="str">
        <f ca="1">IFERROR(__xludf.DUMMYFUNCTION("""COMPUTED_VALUE"""),"")</f>
        <v/>
      </c>
      <c r="P734" s="189" t="str">
        <f ca="1">IFERROR(__xludf.DUMMYFUNCTION("""COMPUTED_VALUE"""),"")</f>
        <v/>
      </c>
      <c r="Q734" s="189" t="str">
        <f ca="1">IFERROR(__xludf.DUMMYFUNCTION("""COMPUTED_VALUE"""),"")</f>
        <v/>
      </c>
      <c r="R734" s="189" t="str">
        <f ca="1">IFERROR(__xludf.DUMMYFUNCTION("""COMPUTED_VALUE"""),"")</f>
        <v/>
      </c>
      <c r="S734" s="189" t="str">
        <f ca="1">IFERROR(__xludf.DUMMYFUNCTION("""COMPUTED_VALUE"""),"")</f>
        <v/>
      </c>
      <c r="T734" s="189" t="str">
        <f ca="1">IFERROR(__xludf.DUMMYFUNCTION("""COMPUTED_VALUE"""),"")</f>
        <v/>
      </c>
      <c r="U734" s="189" t="str">
        <f ca="1">IFERROR(__xludf.DUMMYFUNCTION("""COMPUTED_VALUE"""),"")</f>
        <v/>
      </c>
      <c r="V734" s="189" t="str">
        <f ca="1">IFERROR(__xludf.DUMMYFUNCTION("""COMPUTED_VALUE"""),"")</f>
        <v/>
      </c>
      <c r="W734" s="189" t="str">
        <f ca="1">IFERROR(__xludf.DUMMYFUNCTION("""COMPUTED_VALUE"""),"")</f>
        <v/>
      </c>
      <c r="X734" s="189" t="str">
        <f ca="1">IFERROR(__xludf.DUMMYFUNCTION("""COMPUTED_VALUE"""),"")</f>
        <v/>
      </c>
      <c r="Y734" s="189" t="str">
        <f ca="1">IFERROR(__xludf.DUMMYFUNCTION("""COMPUTED_VALUE"""),"")</f>
        <v/>
      </c>
      <c r="Z734" s="189"/>
    </row>
    <row r="735" spans="1:26" ht="12.75">
      <c r="A735" s="189" t="str">
        <f ca="1">IFERROR(__xludf.DUMMYFUNCTION("""COMPUTED_VALUE"""),"")</f>
        <v/>
      </c>
      <c r="B735" s="189" t="str">
        <f ca="1">IFERROR(__xludf.DUMMYFUNCTION("""COMPUTED_VALUE"""),"")</f>
        <v/>
      </c>
      <c r="C735" s="189" t="str">
        <f ca="1">IFERROR(__xludf.DUMMYFUNCTION("""COMPUTED_VALUE"""),"")</f>
        <v/>
      </c>
      <c r="D735" s="189" t="str">
        <f ca="1">IFERROR(__xludf.DUMMYFUNCTION("""COMPUTED_VALUE"""),"")</f>
        <v/>
      </c>
      <c r="E735" s="189" t="str">
        <f ca="1">IFERROR(__xludf.DUMMYFUNCTION("""COMPUTED_VALUE"""),"")</f>
        <v/>
      </c>
      <c r="F735" s="189" t="str">
        <f ca="1">IFERROR(__xludf.DUMMYFUNCTION("""COMPUTED_VALUE"""),"")</f>
        <v/>
      </c>
      <c r="G735" s="189" t="str">
        <f ca="1">IFERROR(__xludf.DUMMYFUNCTION("""COMPUTED_VALUE"""),"")</f>
        <v/>
      </c>
      <c r="H735" s="189" t="str">
        <f ca="1">IFERROR(__xludf.DUMMYFUNCTION("""COMPUTED_VALUE"""),"")</f>
        <v/>
      </c>
      <c r="I735" s="120" t="str">
        <f ca="1">IFERROR(__xludf.DUMMYFUNCTION("""COMPUTED_VALUE"""),"")</f>
        <v/>
      </c>
      <c r="J735" s="189" t="str">
        <f ca="1">IFERROR(__xludf.DUMMYFUNCTION("""COMPUTED_VALUE"""),"")</f>
        <v/>
      </c>
      <c r="K735" s="189" t="str">
        <f ca="1">IFERROR(__xludf.DUMMYFUNCTION("""COMPUTED_VALUE"""),"")</f>
        <v/>
      </c>
      <c r="L735" s="189" t="str">
        <f ca="1">IFERROR(__xludf.DUMMYFUNCTION("""COMPUTED_VALUE"""),"")</f>
        <v/>
      </c>
      <c r="M735" s="189" t="str">
        <f ca="1">IFERROR(__xludf.DUMMYFUNCTION("""COMPUTED_VALUE"""),"")</f>
        <v/>
      </c>
      <c r="N735" s="189" t="str">
        <f ca="1">IFERROR(__xludf.DUMMYFUNCTION("""COMPUTED_VALUE"""),"")</f>
        <v/>
      </c>
      <c r="O735" s="189" t="str">
        <f ca="1">IFERROR(__xludf.DUMMYFUNCTION("""COMPUTED_VALUE"""),"")</f>
        <v/>
      </c>
      <c r="P735" s="189" t="str">
        <f ca="1">IFERROR(__xludf.DUMMYFUNCTION("""COMPUTED_VALUE"""),"")</f>
        <v/>
      </c>
      <c r="Q735" s="189" t="str">
        <f ca="1">IFERROR(__xludf.DUMMYFUNCTION("""COMPUTED_VALUE"""),"")</f>
        <v/>
      </c>
      <c r="R735" s="189" t="str">
        <f ca="1">IFERROR(__xludf.DUMMYFUNCTION("""COMPUTED_VALUE"""),"")</f>
        <v/>
      </c>
      <c r="S735" s="189" t="str">
        <f ca="1">IFERROR(__xludf.DUMMYFUNCTION("""COMPUTED_VALUE"""),"")</f>
        <v/>
      </c>
      <c r="T735" s="189" t="str">
        <f ca="1">IFERROR(__xludf.DUMMYFUNCTION("""COMPUTED_VALUE"""),"")</f>
        <v/>
      </c>
      <c r="U735" s="189" t="str">
        <f ca="1">IFERROR(__xludf.DUMMYFUNCTION("""COMPUTED_VALUE"""),"")</f>
        <v/>
      </c>
      <c r="V735" s="189" t="str">
        <f ca="1">IFERROR(__xludf.DUMMYFUNCTION("""COMPUTED_VALUE"""),"")</f>
        <v/>
      </c>
      <c r="W735" s="189" t="str">
        <f ca="1">IFERROR(__xludf.DUMMYFUNCTION("""COMPUTED_VALUE"""),"")</f>
        <v/>
      </c>
      <c r="X735" s="189" t="str">
        <f ca="1">IFERROR(__xludf.DUMMYFUNCTION("""COMPUTED_VALUE"""),"")</f>
        <v/>
      </c>
      <c r="Y735" s="189" t="str">
        <f ca="1">IFERROR(__xludf.DUMMYFUNCTION("""COMPUTED_VALUE"""),"")</f>
        <v/>
      </c>
      <c r="Z735" s="189"/>
    </row>
    <row r="736" spans="1:26" ht="12.75">
      <c r="A736" s="189" t="str">
        <f ca="1">IFERROR(__xludf.DUMMYFUNCTION("""COMPUTED_VALUE"""),"")</f>
        <v/>
      </c>
      <c r="B736" s="189" t="str">
        <f ca="1">IFERROR(__xludf.DUMMYFUNCTION("""COMPUTED_VALUE"""),"")</f>
        <v/>
      </c>
      <c r="C736" s="189" t="str">
        <f ca="1">IFERROR(__xludf.DUMMYFUNCTION("""COMPUTED_VALUE"""),"")</f>
        <v/>
      </c>
      <c r="D736" s="189" t="str">
        <f ca="1">IFERROR(__xludf.DUMMYFUNCTION("""COMPUTED_VALUE"""),"")</f>
        <v/>
      </c>
      <c r="E736" s="189" t="str">
        <f ca="1">IFERROR(__xludf.DUMMYFUNCTION("""COMPUTED_VALUE"""),"")</f>
        <v/>
      </c>
      <c r="F736" s="189" t="str">
        <f ca="1">IFERROR(__xludf.DUMMYFUNCTION("""COMPUTED_VALUE"""),"")</f>
        <v/>
      </c>
      <c r="G736" s="189" t="str">
        <f ca="1">IFERROR(__xludf.DUMMYFUNCTION("""COMPUTED_VALUE"""),"")</f>
        <v/>
      </c>
      <c r="H736" s="189" t="str">
        <f ca="1">IFERROR(__xludf.DUMMYFUNCTION("""COMPUTED_VALUE"""),"")</f>
        <v/>
      </c>
      <c r="I736" s="120" t="str">
        <f ca="1">IFERROR(__xludf.DUMMYFUNCTION("""COMPUTED_VALUE"""),"")</f>
        <v/>
      </c>
      <c r="J736" s="189" t="str">
        <f ca="1">IFERROR(__xludf.DUMMYFUNCTION("""COMPUTED_VALUE"""),"")</f>
        <v/>
      </c>
      <c r="K736" s="189" t="str">
        <f ca="1">IFERROR(__xludf.DUMMYFUNCTION("""COMPUTED_VALUE"""),"")</f>
        <v/>
      </c>
      <c r="L736" s="189" t="str">
        <f ca="1">IFERROR(__xludf.DUMMYFUNCTION("""COMPUTED_VALUE"""),"")</f>
        <v/>
      </c>
      <c r="M736" s="189" t="str">
        <f ca="1">IFERROR(__xludf.DUMMYFUNCTION("""COMPUTED_VALUE"""),"")</f>
        <v/>
      </c>
      <c r="N736" s="189" t="str">
        <f ca="1">IFERROR(__xludf.DUMMYFUNCTION("""COMPUTED_VALUE"""),"")</f>
        <v/>
      </c>
      <c r="O736" s="189" t="str">
        <f ca="1">IFERROR(__xludf.DUMMYFUNCTION("""COMPUTED_VALUE"""),"")</f>
        <v/>
      </c>
      <c r="P736" s="189" t="str">
        <f ca="1">IFERROR(__xludf.DUMMYFUNCTION("""COMPUTED_VALUE"""),"")</f>
        <v/>
      </c>
      <c r="Q736" s="189" t="str">
        <f ca="1">IFERROR(__xludf.DUMMYFUNCTION("""COMPUTED_VALUE"""),"")</f>
        <v/>
      </c>
      <c r="R736" s="189" t="str">
        <f ca="1">IFERROR(__xludf.DUMMYFUNCTION("""COMPUTED_VALUE"""),"")</f>
        <v/>
      </c>
      <c r="S736" s="189" t="str">
        <f ca="1">IFERROR(__xludf.DUMMYFUNCTION("""COMPUTED_VALUE"""),"")</f>
        <v/>
      </c>
      <c r="T736" s="189" t="str">
        <f ca="1">IFERROR(__xludf.DUMMYFUNCTION("""COMPUTED_VALUE"""),"")</f>
        <v/>
      </c>
      <c r="U736" s="189" t="str">
        <f ca="1">IFERROR(__xludf.DUMMYFUNCTION("""COMPUTED_VALUE"""),"")</f>
        <v/>
      </c>
      <c r="V736" s="189" t="str">
        <f ca="1">IFERROR(__xludf.DUMMYFUNCTION("""COMPUTED_VALUE"""),"")</f>
        <v/>
      </c>
      <c r="W736" s="189" t="str">
        <f ca="1">IFERROR(__xludf.DUMMYFUNCTION("""COMPUTED_VALUE"""),"")</f>
        <v/>
      </c>
      <c r="X736" s="189" t="str">
        <f ca="1">IFERROR(__xludf.DUMMYFUNCTION("""COMPUTED_VALUE"""),"")</f>
        <v/>
      </c>
      <c r="Y736" s="189" t="str">
        <f ca="1">IFERROR(__xludf.DUMMYFUNCTION("""COMPUTED_VALUE"""),"")</f>
        <v/>
      </c>
      <c r="Z736" s="189"/>
    </row>
    <row r="737" spans="1:26" ht="12.75">
      <c r="A737" s="189" t="str">
        <f ca="1">IFERROR(__xludf.DUMMYFUNCTION("""COMPUTED_VALUE"""),"")</f>
        <v/>
      </c>
      <c r="B737" s="189" t="str">
        <f ca="1">IFERROR(__xludf.DUMMYFUNCTION("""COMPUTED_VALUE"""),"")</f>
        <v/>
      </c>
      <c r="C737" s="189" t="str">
        <f ca="1">IFERROR(__xludf.DUMMYFUNCTION("""COMPUTED_VALUE"""),"")</f>
        <v/>
      </c>
      <c r="D737" s="189" t="str">
        <f ca="1">IFERROR(__xludf.DUMMYFUNCTION("""COMPUTED_VALUE"""),"")</f>
        <v/>
      </c>
      <c r="E737" s="189" t="str">
        <f ca="1">IFERROR(__xludf.DUMMYFUNCTION("""COMPUTED_VALUE"""),"")</f>
        <v/>
      </c>
      <c r="F737" s="189" t="str">
        <f ca="1">IFERROR(__xludf.DUMMYFUNCTION("""COMPUTED_VALUE"""),"")</f>
        <v/>
      </c>
      <c r="G737" s="189" t="str">
        <f ca="1">IFERROR(__xludf.DUMMYFUNCTION("""COMPUTED_VALUE"""),"")</f>
        <v/>
      </c>
      <c r="H737" s="189" t="str">
        <f ca="1">IFERROR(__xludf.DUMMYFUNCTION("""COMPUTED_VALUE"""),"")</f>
        <v/>
      </c>
      <c r="I737" s="120" t="str">
        <f ca="1">IFERROR(__xludf.DUMMYFUNCTION("""COMPUTED_VALUE"""),"")</f>
        <v/>
      </c>
      <c r="J737" s="189" t="str">
        <f ca="1">IFERROR(__xludf.DUMMYFUNCTION("""COMPUTED_VALUE"""),"")</f>
        <v/>
      </c>
      <c r="K737" s="189" t="str">
        <f ca="1">IFERROR(__xludf.DUMMYFUNCTION("""COMPUTED_VALUE"""),"")</f>
        <v/>
      </c>
      <c r="L737" s="189" t="str">
        <f ca="1">IFERROR(__xludf.DUMMYFUNCTION("""COMPUTED_VALUE"""),"")</f>
        <v/>
      </c>
      <c r="M737" s="189" t="str">
        <f ca="1">IFERROR(__xludf.DUMMYFUNCTION("""COMPUTED_VALUE"""),"")</f>
        <v/>
      </c>
      <c r="N737" s="189" t="str">
        <f ca="1">IFERROR(__xludf.DUMMYFUNCTION("""COMPUTED_VALUE"""),"")</f>
        <v/>
      </c>
      <c r="O737" s="189" t="str">
        <f ca="1">IFERROR(__xludf.DUMMYFUNCTION("""COMPUTED_VALUE"""),"")</f>
        <v/>
      </c>
      <c r="P737" s="189" t="str">
        <f ca="1">IFERROR(__xludf.DUMMYFUNCTION("""COMPUTED_VALUE"""),"")</f>
        <v/>
      </c>
      <c r="Q737" s="189" t="str">
        <f ca="1">IFERROR(__xludf.DUMMYFUNCTION("""COMPUTED_VALUE"""),"")</f>
        <v/>
      </c>
      <c r="R737" s="189" t="str">
        <f ca="1">IFERROR(__xludf.DUMMYFUNCTION("""COMPUTED_VALUE"""),"")</f>
        <v/>
      </c>
      <c r="S737" s="189" t="str">
        <f ca="1">IFERROR(__xludf.DUMMYFUNCTION("""COMPUTED_VALUE"""),"")</f>
        <v/>
      </c>
      <c r="T737" s="189" t="str">
        <f ca="1">IFERROR(__xludf.DUMMYFUNCTION("""COMPUTED_VALUE"""),"")</f>
        <v/>
      </c>
      <c r="U737" s="189" t="str">
        <f ca="1">IFERROR(__xludf.DUMMYFUNCTION("""COMPUTED_VALUE"""),"")</f>
        <v/>
      </c>
      <c r="V737" s="189" t="str">
        <f ca="1">IFERROR(__xludf.DUMMYFUNCTION("""COMPUTED_VALUE"""),"")</f>
        <v/>
      </c>
      <c r="W737" s="189" t="str">
        <f ca="1">IFERROR(__xludf.DUMMYFUNCTION("""COMPUTED_VALUE"""),"")</f>
        <v/>
      </c>
      <c r="X737" s="189" t="str">
        <f ca="1">IFERROR(__xludf.DUMMYFUNCTION("""COMPUTED_VALUE"""),"")</f>
        <v/>
      </c>
      <c r="Y737" s="189" t="str">
        <f ca="1">IFERROR(__xludf.DUMMYFUNCTION("""COMPUTED_VALUE"""),"")</f>
        <v/>
      </c>
      <c r="Z737" s="189"/>
    </row>
    <row r="738" spans="1:26" ht="12.75">
      <c r="A738" s="189" t="str">
        <f ca="1">IFERROR(__xludf.DUMMYFUNCTION("""COMPUTED_VALUE"""),"")</f>
        <v/>
      </c>
      <c r="B738" s="189" t="str">
        <f ca="1">IFERROR(__xludf.DUMMYFUNCTION("""COMPUTED_VALUE"""),"")</f>
        <v/>
      </c>
      <c r="C738" s="189" t="str">
        <f ca="1">IFERROR(__xludf.DUMMYFUNCTION("""COMPUTED_VALUE"""),"")</f>
        <v/>
      </c>
      <c r="D738" s="189" t="str">
        <f ca="1">IFERROR(__xludf.DUMMYFUNCTION("""COMPUTED_VALUE"""),"")</f>
        <v/>
      </c>
      <c r="E738" s="189" t="str">
        <f ca="1">IFERROR(__xludf.DUMMYFUNCTION("""COMPUTED_VALUE"""),"")</f>
        <v/>
      </c>
      <c r="F738" s="189" t="str">
        <f ca="1">IFERROR(__xludf.DUMMYFUNCTION("""COMPUTED_VALUE"""),"")</f>
        <v/>
      </c>
      <c r="G738" s="189" t="str">
        <f ca="1">IFERROR(__xludf.DUMMYFUNCTION("""COMPUTED_VALUE"""),"")</f>
        <v/>
      </c>
      <c r="H738" s="189" t="str">
        <f ca="1">IFERROR(__xludf.DUMMYFUNCTION("""COMPUTED_VALUE"""),"")</f>
        <v/>
      </c>
      <c r="I738" s="120" t="str">
        <f ca="1">IFERROR(__xludf.DUMMYFUNCTION("""COMPUTED_VALUE"""),"")</f>
        <v/>
      </c>
      <c r="J738" s="189" t="str">
        <f ca="1">IFERROR(__xludf.DUMMYFUNCTION("""COMPUTED_VALUE"""),"")</f>
        <v/>
      </c>
      <c r="K738" s="189" t="str">
        <f ca="1">IFERROR(__xludf.DUMMYFUNCTION("""COMPUTED_VALUE"""),"")</f>
        <v/>
      </c>
      <c r="L738" s="189" t="str">
        <f ca="1">IFERROR(__xludf.DUMMYFUNCTION("""COMPUTED_VALUE"""),"")</f>
        <v/>
      </c>
      <c r="M738" s="189" t="str">
        <f ca="1">IFERROR(__xludf.DUMMYFUNCTION("""COMPUTED_VALUE"""),"")</f>
        <v/>
      </c>
      <c r="N738" s="189" t="str">
        <f ca="1">IFERROR(__xludf.DUMMYFUNCTION("""COMPUTED_VALUE"""),"")</f>
        <v/>
      </c>
      <c r="O738" s="189" t="str">
        <f ca="1">IFERROR(__xludf.DUMMYFUNCTION("""COMPUTED_VALUE"""),"")</f>
        <v/>
      </c>
      <c r="P738" s="189" t="str">
        <f ca="1">IFERROR(__xludf.DUMMYFUNCTION("""COMPUTED_VALUE"""),"")</f>
        <v/>
      </c>
      <c r="Q738" s="189" t="str">
        <f ca="1">IFERROR(__xludf.DUMMYFUNCTION("""COMPUTED_VALUE"""),"")</f>
        <v/>
      </c>
      <c r="R738" s="189" t="str">
        <f ca="1">IFERROR(__xludf.DUMMYFUNCTION("""COMPUTED_VALUE"""),"")</f>
        <v/>
      </c>
      <c r="S738" s="189" t="str">
        <f ca="1">IFERROR(__xludf.DUMMYFUNCTION("""COMPUTED_VALUE"""),"")</f>
        <v/>
      </c>
      <c r="T738" s="189" t="str">
        <f ca="1">IFERROR(__xludf.DUMMYFUNCTION("""COMPUTED_VALUE"""),"")</f>
        <v/>
      </c>
      <c r="U738" s="189" t="str">
        <f ca="1">IFERROR(__xludf.DUMMYFUNCTION("""COMPUTED_VALUE"""),"")</f>
        <v/>
      </c>
      <c r="V738" s="189" t="str">
        <f ca="1">IFERROR(__xludf.DUMMYFUNCTION("""COMPUTED_VALUE"""),"")</f>
        <v/>
      </c>
      <c r="W738" s="189" t="str">
        <f ca="1">IFERROR(__xludf.DUMMYFUNCTION("""COMPUTED_VALUE"""),"")</f>
        <v/>
      </c>
      <c r="X738" s="189" t="str">
        <f ca="1">IFERROR(__xludf.DUMMYFUNCTION("""COMPUTED_VALUE"""),"")</f>
        <v/>
      </c>
      <c r="Y738" s="189" t="str">
        <f ca="1">IFERROR(__xludf.DUMMYFUNCTION("""COMPUTED_VALUE"""),"")</f>
        <v/>
      </c>
      <c r="Z738" s="189"/>
    </row>
    <row r="739" spans="1:26" ht="12.75">
      <c r="A739" s="189" t="str">
        <f ca="1">IFERROR(__xludf.DUMMYFUNCTION("""COMPUTED_VALUE"""),"")</f>
        <v/>
      </c>
      <c r="B739" s="189" t="str">
        <f ca="1">IFERROR(__xludf.DUMMYFUNCTION("""COMPUTED_VALUE"""),"")</f>
        <v/>
      </c>
      <c r="C739" s="189" t="str">
        <f ca="1">IFERROR(__xludf.DUMMYFUNCTION("""COMPUTED_VALUE"""),"")</f>
        <v/>
      </c>
      <c r="D739" s="189" t="str">
        <f ca="1">IFERROR(__xludf.DUMMYFUNCTION("""COMPUTED_VALUE"""),"")</f>
        <v/>
      </c>
      <c r="E739" s="189" t="str">
        <f ca="1">IFERROR(__xludf.DUMMYFUNCTION("""COMPUTED_VALUE"""),"")</f>
        <v/>
      </c>
      <c r="F739" s="189" t="str">
        <f ca="1">IFERROR(__xludf.DUMMYFUNCTION("""COMPUTED_VALUE"""),"")</f>
        <v/>
      </c>
      <c r="G739" s="189" t="str">
        <f ca="1">IFERROR(__xludf.DUMMYFUNCTION("""COMPUTED_VALUE"""),"")</f>
        <v/>
      </c>
      <c r="H739" s="189" t="str">
        <f ca="1">IFERROR(__xludf.DUMMYFUNCTION("""COMPUTED_VALUE"""),"")</f>
        <v/>
      </c>
      <c r="I739" s="120" t="str">
        <f ca="1">IFERROR(__xludf.DUMMYFUNCTION("""COMPUTED_VALUE"""),"")</f>
        <v/>
      </c>
      <c r="J739" s="189" t="str">
        <f ca="1">IFERROR(__xludf.DUMMYFUNCTION("""COMPUTED_VALUE"""),"")</f>
        <v/>
      </c>
      <c r="K739" s="189" t="str">
        <f ca="1">IFERROR(__xludf.DUMMYFUNCTION("""COMPUTED_VALUE"""),"")</f>
        <v/>
      </c>
      <c r="L739" s="189" t="str">
        <f ca="1">IFERROR(__xludf.DUMMYFUNCTION("""COMPUTED_VALUE"""),"")</f>
        <v/>
      </c>
      <c r="M739" s="189" t="str">
        <f ca="1">IFERROR(__xludf.DUMMYFUNCTION("""COMPUTED_VALUE"""),"")</f>
        <v/>
      </c>
      <c r="N739" s="189" t="str">
        <f ca="1">IFERROR(__xludf.DUMMYFUNCTION("""COMPUTED_VALUE"""),"")</f>
        <v/>
      </c>
      <c r="O739" s="189" t="str">
        <f ca="1">IFERROR(__xludf.DUMMYFUNCTION("""COMPUTED_VALUE"""),"")</f>
        <v/>
      </c>
      <c r="P739" s="189" t="str">
        <f ca="1">IFERROR(__xludf.DUMMYFUNCTION("""COMPUTED_VALUE"""),"")</f>
        <v/>
      </c>
      <c r="Q739" s="189" t="str">
        <f ca="1">IFERROR(__xludf.DUMMYFUNCTION("""COMPUTED_VALUE"""),"")</f>
        <v/>
      </c>
      <c r="R739" s="189" t="str">
        <f ca="1">IFERROR(__xludf.DUMMYFUNCTION("""COMPUTED_VALUE"""),"")</f>
        <v/>
      </c>
      <c r="S739" s="189" t="str">
        <f ca="1">IFERROR(__xludf.DUMMYFUNCTION("""COMPUTED_VALUE"""),"")</f>
        <v/>
      </c>
      <c r="T739" s="189" t="str">
        <f ca="1">IFERROR(__xludf.DUMMYFUNCTION("""COMPUTED_VALUE"""),"")</f>
        <v/>
      </c>
      <c r="U739" s="189" t="str">
        <f ca="1">IFERROR(__xludf.DUMMYFUNCTION("""COMPUTED_VALUE"""),"")</f>
        <v/>
      </c>
      <c r="V739" s="189" t="str">
        <f ca="1">IFERROR(__xludf.DUMMYFUNCTION("""COMPUTED_VALUE"""),"")</f>
        <v/>
      </c>
      <c r="W739" s="189" t="str">
        <f ca="1">IFERROR(__xludf.DUMMYFUNCTION("""COMPUTED_VALUE"""),"")</f>
        <v/>
      </c>
      <c r="X739" s="189" t="str">
        <f ca="1">IFERROR(__xludf.DUMMYFUNCTION("""COMPUTED_VALUE"""),"")</f>
        <v/>
      </c>
      <c r="Y739" s="189" t="str">
        <f ca="1">IFERROR(__xludf.DUMMYFUNCTION("""COMPUTED_VALUE"""),"")</f>
        <v/>
      </c>
      <c r="Z739" s="189"/>
    </row>
    <row r="740" spans="1:26" ht="12.75">
      <c r="A740" s="189" t="str">
        <f ca="1">IFERROR(__xludf.DUMMYFUNCTION("""COMPUTED_VALUE"""),"")</f>
        <v/>
      </c>
      <c r="B740" s="189" t="str">
        <f ca="1">IFERROR(__xludf.DUMMYFUNCTION("""COMPUTED_VALUE"""),"")</f>
        <v/>
      </c>
      <c r="C740" s="189" t="str">
        <f ca="1">IFERROR(__xludf.DUMMYFUNCTION("""COMPUTED_VALUE"""),"")</f>
        <v/>
      </c>
      <c r="D740" s="189" t="str">
        <f ca="1">IFERROR(__xludf.DUMMYFUNCTION("""COMPUTED_VALUE"""),"")</f>
        <v/>
      </c>
      <c r="E740" s="189" t="str">
        <f ca="1">IFERROR(__xludf.DUMMYFUNCTION("""COMPUTED_VALUE"""),"")</f>
        <v/>
      </c>
      <c r="F740" s="189" t="str">
        <f ca="1">IFERROR(__xludf.DUMMYFUNCTION("""COMPUTED_VALUE"""),"")</f>
        <v/>
      </c>
      <c r="G740" s="189" t="str">
        <f ca="1">IFERROR(__xludf.DUMMYFUNCTION("""COMPUTED_VALUE"""),"")</f>
        <v/>
      </c>
      <c r="H740" s="189" t="str">
        <f ca="1">IFERROR(__xludf.DUMMYFUNCTION("""COMPUTED_VALUE"""),"")</f>
        <v/>
      </c>
      <c r="I740" s="120" t="str">
        <f ca="1">IFERROR(__xludf.DUMMYFUNCTION("""COMPUTED_VALUE"""),"")</f>
        <v/>
      </c>
      <c r="J740" s="189" t="str">
        <f ca="1">IFERROR(__xludf.DUMMYFUNCTION("""COMPUTED_VALUE"""),"")</f>
        <v/>
      </c>
      <c r="K740" s="189" t="str">
        <f ca="1">IFERROR(__xludf.DUMMYFUNCTION("""COMPUTED_VALUE"""),"")</f>
        <v/>
      </c>
      <c r="L740" s="189" t="str">
        <f ca="1">IFERROR(__xludf.DUMMYFUNCTION("""COMPUTED_VALUE"""),"")</f>
        <v/>
      </c>
      <c r="M740" s="189" t="str">
        <f ca="1">IFERROR(__xludf.DUMMYFUNCTION("""COMPUTED_VALUE"""),"")</f>
        <v/>
      </c>
      <c r="N740" s="189" t="str">
        <f ca="1">IFERROR(__xludf.DUMMYFUNCTION("""COMPUTED_VALUE"""),"")</f>
        <v/>
      </c>
      <c r="O740" s="189" t="str">
        <f ca="1">IFERROR(__xludf.DUMMYFUNCTION("""COMPUTED_VALUE"""),"")</f>
        <v/>
      </c>
      <c r="P740" s="189" t="str">
        <f ca="1">IFERROR(__xludf.DUMMYFUNCTION("""COMPUTED_VALUE"""),"")</f>
        <v/>
      </c>
      <c r="Q740" s="189" t="str">
        <f ca="1">IFERROR(__xludf.DUMMYFUNCTION("""COMPUTED_VALUE"""),"")</f>
        <v/>
      </c>
      <c r="R740" s="189" t="str">
        <f ca="1">IFERROR(__xludf.DUMMYFUNCTION("""COMPUTED_VALUE"""),"")</f>
        <v/>
      </c>
      <c r="S740" s="189" t="str">
        <f ca="1">IFERROR(__xludf.DUMMYFUNCTION("""COMPUTED_VALUE"""),"")</f>
        <v/>
      </c>
      <c r="T740" s="189" t="str">
        <f ca="1">IFERROR(__xludf.DUMMYFUNCTION("""COMPUTED_VALUE"""),"")</f>
        <v/>
      </c>
      <c r="U740" s="189" t="str">
        <f ca="1">IFERROR(__xludf.DUMMYFUNCTION("""COMPUTED_VALUE"""),"")</f>
        <v/>
      </c>
      <c r="V740" s="189" t="str">
        <f ca="1">IFERROR(__xludf.DUMMYFUNCTION("""COMPUTED_VALUE"""),"")</f>
        <v/>
      </c>
      <c r="W740" s="189" t="str">
        <f ca="1">IFERROR(__xludf.DUMMYFUNCTION("""COMPUTED_VALUE"""),"")</f>
        <v/>
      </c>
      <c r="X740" s="189" t="str">
        <f ca="1">IFERROR(__xludf.DUMMYFUNCTION("""COMPUTED_VALUE"""),"")</f>
        <v/>
      </c>
      <c r="Y740" s="189" t="str">
        <f ca="1">IFERROR(__xludf.DUMMYFUNCTION("""COMPUTED_VALUE"""),"")</f>
        <v/>
      </c>
      <c r="Z740" s="189"/>
    </row>
    <row r="741" spans="1:26" ht="12.75">
      <c r="A741" s="189" t="str">
        <f ca="1">IFERROR(__xludf.DUMMYFUNCTION("""COMPUTED_VALUE"""),"")</f>
        <v/>
      </c>
      <c r="B741" s="189" t="str">
        <f ca="1">IFERROR(__xludf.DUMMYFUNCTION("""COMPUTED_VALUE"""),"")</f>
        <v/>
      </c>
      <c r="C741" s="189" t="str">
        <f ca="1">IFERROR(__xludf.DUMMYFUNCTION("""COMPUTED_VALUE"""),"")</f>
        <v/>
      </c>
      <c r="D741" s="189" t="str">
        <f ca="1">IFERROR(__xludf.DUMMYFUNCTION("""COMPUTED_VALUE"""),"")</f>
        <v/>
      </c>
      <c r="E741" s="189" t="str">
        <f ca="1">IFERROR(__xludf.DUMMYFUNCTION("""COMPUTED_VALUE"""),"")</f>
        <v/>
      </c>
      <c r="F741" s="189" t="str">
        <f ca="1">IFERROR(__xludf.DUMMYFUNCTION("""COMPUTED_VALUE"""),"")</f>
        <v/>
      </c>
      <c r="G741" s="189" t="str">
        <f ca="1">IFERROR(__xludf.DUMMYFUNCTION("""COMPUTED_VALUE"""),"")</f>
        <v/>
      </c>
      <c r="H741" s="189" t="str">
        <f ca="1">IFERROR(__xludf.DUMMYFUNCTION("""COMPUTED_VALUE"""),"")</f>
        <v/>
      </c>
      <c r="I741" s="120" t="str">
        <f ca="1">IFERROR(__xludf.DUMMYFUNCTION("""COMPUTED_VALUE"""),"")</f>
        <v/>
      </c>
      <c r="J741" s="189" t="str">
        <f ca="1">IFERROR(__xludf.DUMMYFUNCTION("""COMPUTED_VALUE"""),"")</f>
        <v/>
      </c>
      <c r="K741" s="189" t="str">
        <f ca="1">IFERROR(__xludf.DUMMYFUNCTION("""COMPUTED_VALUE"""),"")</f>
        <v/>
      </c>
      <c r="L741" s="189" t="str">
        <f ca="1">IFERROR(__xludf.DUMMYFUNCTION("""COMPUTED_VALUE"""),"")</f>
        <v/>
      </c>
      <c r="M741" s="189" t="str">
        <f ca="1">IFERROR(__xludf.DUMMYFUNCTION("""COMPUTED_VALUE"""),"")</f>
        <v/>
      </c>
      <c r="N741" s="189" t="str">
        <f ca="1">IFERROR(__xludf.DUMMYFUNCTION("""COMPUTED_VALUE"""),"")</f>
        <v/>
      </c>
      <c r="O741" s="189" t="str">
        <f ca="1">IFERROR(__xludf.DUMMYFUNCTION("""COMPUTED_VALUE"""),"")</f>
        <v/>
      </c>
      <c r="P741" s="189" t="str">
        <f ca="1">IFERROR(__xludf.DUMMYFUNCTION("""COMPUTED_VALUE"""),"")</f>
        <v/>
      </c>
      <c r="Q741" s="189" t="str">
        <f ca="1">IFERROR(__xludf.DUMMYFUNCTION("""COMPUTED_VALUE"""),"")</f>
        <v/>
      </c>
      <c r="R741" s="189" t="str">
        <f ca="1">IFERROR(__xludf.DUMMYFUNCTION("""COMPUTED_VALUE"""),"")</f>
        <v/>
      </c>
      <c r="S741" s="189" t="str">
        <f ca="1">IFERROR(__xludf.DUMMYFUNCTION("""COMPUTED_VALUE"""),"")</f>
        <v/>
      </c>
      <c r="T741" s="189" t="str">
        <f ca="1">IFERROR(__xludf.DUMMYFUNCTION("""COMPUTED_VALUE"""),"")</f>
        <v/>
      </c>
      <c r="U741" s="189" t="str">
        <f ca="1">IFERROR(__xludf.DUMMYFUNCTION("""COMPUTED_VALUE"""),"")</f>
        <v/>
      </c>
      <c r="V741" s="189" t="str">
        <f ca="1">IFERROR(__xludf.DUMMYFUNCTION("""COMPUTED_VALUE"""),"")</f>
        <v/>
      </c>
      <c r="W741" s="189" t="str">
        <f ca="1">IFERROR(__xludf.DUMMYFUNCTION("""COMPUTED_VALUE"""),"")</f>
        <v/>
      </c>
      <c r="X741" s="189" t="str">
        <f ca="1">IFERROR(__xludf.DUMMYFUNCTION("""COMPUTED_VALUE"""),"")</f>
        <v/>
      </c>
      <c r="Y741" s="189" t="str">
        <f ca="1">IFERROR(__xludf.DUMMYFUNCTION("""COMPUTED_VALUE"""),"")</f>
        <v/>
      </c>
      <c r="Z741" s="189"/>
    </row>
    <row r="742" spans="1:26" ht="12.75">
      <c r="A742" s="189" t="str">
        <f ca="1">IFERROR(__xludf.DUMMYFUNCTION("""COMPUTED_VALUE"""),"")</f>
        <v/>
      </c>
      <c r="B742" s="189" t="str">
        <f ca="1">IFERROR(__xludf.DUMMYFUNCTION("""COMPUTED_VALUE"""),"")</f>
        <v/>
      </c>
      <c r="C742" s="189" t="str">
        <f ca="1">IFERROR(__xludf.DUMMYFUNCTION("""COMPUTED_VALUE"""),"")</f>
        <v/>
      </c>
      <c r="D742" s="189" t="str">
        <f ca="1">IFERROR(__xludf.DUMMYFUNCTION("""COMPUTED_VALUE"""),"")</f>
        <v/>
      </c>
      <c r="E742" s="189" t="str">
        <f ca="1">IFERROR(__xludf.DUMMYFUNCTION("""COMPUTED_VALUE"""),"")</f>
        <v/>
      </c>
      <c r="F742" s="189" t="str">
        <f ca="1">IFERROR(__xludf.DUMMYFUNCTION("""COMPUTED_VALUE"""),"")</f>
        <v/>
      </c>
      <c r="G742" s="189" t="str">
        <f ca="1">IFERROR(__xludf.DUMMYFUNCTION("""COMPUTED_VALUE"""),"")</f>
        <v/>
      </c>
      <c r="H742" s="189" t="str">
        <f ca="1">IFERROR(__xludf.DUMMYFUNCTION("""COMPUTED_VALUE"""),"")</f>
        <v/>
      </c>
      <c r="I742" s="120" t="str">
        <f ca="1">IFERROR(__xludf.DUMMYFUNCTION("""COMPUTED_VALUE"""),"")</f>
        <v/>
      </c>
      <c r="J742" s="189" t="str">
        <f ca="1">IFERROR(__xludf.DUMMYFUNCTION("""COMPUTED_VALUE"""),"")</f>
        <v/>
      </c>
      <c r="K742" s="189" t="str">
        <f ca="1">IFERROR(__xludf.DUMMYFUNCTION("""COMPUTED_VALUE"""),"")</f>
        <v/>
      </c>
      <c r="L742" s="189" t="str">
        <f ca="1">IFERROR(__xludf.DUMMYFUNCTION("""COMPUTED_VALUE"""),"")</f>
        <v/>
      </c>
      <c r="M742" s="189" t="str">
        <f ca="1">IFERROR(__xludf.DUMMYFUNCTION("""COMPUTED_VALUE"""),"")</f>
        <v/>
      </c>
      <c r="N742" s="189" t="str">
        <f ca="1">IFERROR(__xludf.DUMMYFUNCTION("""COMPUTED_VALUE"""),"")</f>
        <v/>
      </c>
      <c r="O742" s="189" t="str">
        <f ca="1">IFERROR(__xludf.DUMMYFUNCTION("""COMPUTED_VALUE"""),"")</f>
        <v/>
      </c>
      <c r="P742" s="189" t="str">
        <f ca="1">IFERROR(__xludf.DUMMYFUNCTION("""COMPUTED_VALUE"""),"")</f>
        <v/>
      </c>
      <c r="Q742" s="189" t="str">
        <f ca="1">IFERROR(__xludf.DUMMYFUNCTION("""COMPUTED_VALUE"""),"")</f>
        <v/>
      </c>
      <c r="R742" s="189" t="str">
        <f ca="1">IFERROR(__xludf.DUMMYFUNCTION("""COMPUTED_VALUE"""),"")</f>
        <v/>
      </c>
      <c r="S742" s="189" t="str">
        <f ca="1">IFERROR(__xludf.DUMMYFUNCTION("""COMPUTED_VALUE"""),"")</f>
        <v/>
      </c>
      <c r="T742" s="189" t="str">
        <f ca="1">IFERROR(__xludf.DUMMYFUNCTION("""COMPUTED_VALUE"""),"")</f>
        <v/>
      </c>
      <c r="U742" s="189" t="str">
        <f ca="1">IFERROR(__xludf.DUMMYFUNCTION("""COMPUTED_VALUE"""),"")</f>
        <v/>
      </c>
      <c r="V742" s="189" t="str">
        <f ca="1">IFERROR(__xludf.DUMMYFUNCTION("""COMPUTED_VALUE"""),"")</f>
        <v/>
      </c>
      <c r="W742" s="189" t="str">
        <f ca="1">IFERROR(__xludf.DUMMYFUNCTION("""COMPUTED_VALUE"""),"")</f>
        <v/>
      </c>
      <c r="X742" s="189" t="str">
        <f ca="1">IFERROR(__xludf.DUMMYFUNCTION("""COMPUTED_VALUE"""),"")</f>
        <v/>
      </c>
      <c r="Y742" s="189" t="str">
        <f ca="1">IFERROR(__xludf.DUMMYFUNCTION("""COMPUTED_VALUE"""),"")</f>
        <v/>
      </c>
      <c r="Z742" s="189"/>
    </row>
    <row r="743" spans="1:26" ht="12.75">
      <c r="A743" s="189" t="str">
        <f ca="1">IFERROR(__xludf.DUMMYFUNCTION("""COMPUTED_VALUE"""),"")</f>
        <v/>
      </c>
      <c r="B743" s="189" t="str">
        <f ca="1">IFERROR(__xludf.DUMMYFUNCTION("""COMPUTED_VALUE"""),"")</f>
        <v/>
      </c>
      <c r="C743" s="189" t="str">
        <f ca="1">IFERROR(__xludf.DUMMYFUNCTION("""COMPUTED_VALUE"""),"")</f>
        <v/>
      </c>
      <c r="D743" s="189" t="str">
        <f ca="1">IFERROR(__xludf.DUMMYFUNCTION("""COMPUTED_VALUE"""),"")</f>
        <v/>
      </c>
      <c r="E743" s="189" t="str">
        <f ca="1">IFERROR(__xludf.DUMMYFUNCTION("""COMPUTED_VALUE"""),"")</f>
        <v/>
      </c>
      <c r="F743" s="189" t="str">
        <f ca="1">IFERROR(__xludf.DUMMYFUNCTION("""COMPUTED_VALUE"""),"")</f>
        <v/>
      </c>
      <c r="G743" s="189" t="str">
        <f ca="1">IFERROR(__xludf.DUMMYFUNCTION("""COMPUTED_VALUE"""),"")</f>
        <v/>
      </c>
      <c r="H743" s="189" t="str">
        <f ca="1">IFERROR(__xludf.DUMMYFUNCTION("""COMPUTED_VALUE"""),"")</f>
        <v/>
      </c>
      <c r="I743" s="120" t="str">
        <f ca="1">IFERROR(__xludf.DUMMYFUNCTION("""COMPUTED_VALUE"""),"")</f>
        <v/>
      </c>
      <c r="J743" s="189" t="str">
        <f ca="1">IFERROR(__xludf.DUMMYFUNCTION("""COMPUTED_VALUE"""),"")</f>
        <v/>
      </c>
      <c r="K743" s="189" t="str">
        <f ca="1">IFERROR(__xludf.DUMMYFUNCTION("""COMPUTED_VALUE"""),"")</f>
        <v/>
      </c>
      <c r="L743" s="189" t="str">
        <f ca="1">IFERROR(__xludf.DUMMYFUNCTION("""COMPUTED_VALUE"""),"")</f>
        <v/>
      </c>
      <c r="M743" s="189" t="str">
        <f ca="1">IFERROR(__xludf.DUMMYFUNCTION("""COMPUTED_VALUE"""),"")</f>
        <v/>
      </c>
      <c r="N743" s="189" t="str">
        <f ca="1">IFERROR(__xludf.DUMMYFUNCTION("""COMPUTED_VALUE"""),"")</f>
        <v/>
      </c>
      <c r="O743" s="189" t="str">
        <f ca="1">IFERROR(__xludf.DUMMYFUNCTION("""COMPUTED_VALUE"""),"")</f>
        <v/>
      </c>
      <c r="P743" s="189" t="str">
        <f ca="1">IFERROR(__xludf.DUMMYFUNCTION("""COMPUTED_VALUE"""),"")</f>
        <v/>
      </c>
      <c r="Q743" s="189" t="str">
        <f ca="1">IFERROR(__xludf.DUMMYFUNCTION("""COMPUTED_VALUE"""),"")</f>
        <v/>
      </c>
      <c r="R743" s="189" t="str">
        <f ca="1">IFERROR(__xludf.DUMMYFUNCTION("""COMPUTED_VALUE"""),"")</f>
        <v/>
      </c>
      <c r="S743" s="189" t="str">
        <f ca="1">IFERROR(__xludf.DUMMYFUNCTION("""COMPUTED_VALUE"""),"")</f>
        <v/>
      </c>
      <c r="T743" s="189" t="str">
        <f ca="1">IFERROR(__xludf.DUMMYFUNCTION("""COMPUTED_VALUE"""),"")</f>
        <v/>
      </c>
      <c r="U743" s="189" t="str">
        <f ca="1">IFERROR(__xludf.DUMMYFUNCTION("""COMPUTED_VALUE"""),"")</f>
        <v/>
      </c>
      <c r="V743" s="189" t="str">
        <f ca="1">IFERROR(__xludf.DUMMYFUNCTION("""COMPUTED_VALUE"""),"")</f>
        <v/>
      </c>
      <c r="W743" s="189" t="str">
        <f ca="1">IFERROR(__xludf.DUMMYFUNCTION("""COMPUTED_VALUE"""),"")</f>
        <v/>
      </c>
      <c r="X743" s="189" t="str">
        <f ca="1">IFERROR(__xludf.DUMMYFUNCTION("""COMPUTED_VALUE"""),"")</f>
        <v/>
      </c>
      <c r="Y743" s="189" t="str">
        <f ca="1">IFERROR(__xludf.DUMMYFUNCTION("""COMPUTED_VALUE"""),"")</f>
        <v/>
      </c>
      <c r="Z743" s="189"/>
    </row>
    <row r="744" spans="1:26" ht="12.75">
      <c r="A744" s="189" t="str">
        <f ca="1">IFERROR(__xludf.DUMMYFUNCTION("""COMPUTED_VALUE"""),"")</f>
        <v/>
      </c>
      <c r="B744" s="189" t="str">
        <f ca="1">IFERROR(__xludf.DUMMYFUNCTION("""COMPUTED_VALUE"""),"")</f>
        <v/>
      </c>
      <c r="C744" s="189" t="str">
        <f ca="1">IFERROR(__xludf.DUMMYFUNCTION("""COMPUTED_VALUE"""),"")</f>
        <v/>
      </c>
      <c r="D744" s="189" t="str">
        <f ca="1">IFERROR(__xludf.DUMMYFUNCTION("""COMPUTED_VALUE"""),"")</f>
        <v/>
      </c>
      <c r="E744" s="189" t="str">
        <f ca="1">IFERROR(__xludf.DUMMYFUNCTION("""COMPUTED_VALUE"""),"")</f>
        <v/>
      </c>
      <c r="F744" s="189" t="str">
        <f ca="1">IFERROR(__xludf.DUMMYFUNCTION("""COMPUTED_VALUE"""),"")</f>
        <v/>
      </c>
      <c r="G744" s="189" t="str">
        <f ca="1">IFERROR(__xludf.DUMMYFUNCTION("""COMPUTED_VALUE"""),"")</f>
        <v/>
      </c>
      <c r="H744" s="189" t="str">
        <f ca="1">IFERROR(__xludf.DUMMYFUNCTION("""COMPUTED_VALUE"""),"")</f>
        <v/>
      </c>
      <c r="I744" s="120" t="str">
        <f ca="1">IFERROR(__xludf.DUMMYFUNCTION("""COMPUTED_VALUE"""),"")</f>
        <v/>
      </c>
      <c r="J744" s="189" t="str">
        <f ca="1">IFERROR(__xludf.DUMMYFUNCTION("""COMPUTED_VALUE"""),"")</f>
        <v/>
      </c>
      <c r="K744" s="189" t="str">
        <f ca="1">IFERROR(__xludf.DUMMYFUNCTION("""COMPUTED_VALUE"""),"")</f>
        <v/>
      </c>
      <c r="L744" s="189" t="str">
        <f ca="1">IFERROR(__xludf.DUMMYFUNCTION("""COMPUTED_VALUE"""),"")</f>
        <v/>
      </c>
      <c r="M744" s="189" t="str">
        <f ca="1">IFERROR(__xludf.DUMMYFUNCTION("""COMPUTED_VALUE"""),"")</f>
        <v/>
      </c>
      <c r="N744" s="189" t="str">
        <f ca="1">IFERROR(__xludf.DUMMYFUNCTION("""COMPUTED_VALUE"""),"")</f>
        <v/>
      </c>
      <c r="O744" s="189" t="str">
        <f ca="1">IFERROR(__xludf.DUMMYFUNCTION("""COMPUTED_VALUE"""),"")</f>
        <v/>
      </c>
      <c r="P744" s="189" t="str">
        <f ca="1">IFERROR(__xludf.DUMMYFUNCTION("""COMPUTED_VALUE"""),"")</f>
        <v/>
      </c>
      <c r="Q744" s="189" t="str">
        <f ca="1">IFERROR(__xludf.DUMMYFUNCTION("""COMPUTED_VALUE"""),"")</f>
        <v/>
      </c>
      <c r="R744" s="189" t="str">
        <f ca="1">IFERROR(__xludf.DUMMYFUNCTION("""COMPUTED_VALUE"""),"")</f>
        <v/>
      </c>
      <c r="S744" s="189" t="str">
        <f ca="1">IFERROR(__xludf.DUMMYFUNCTION("""COMPUTED_VALUE"""),"")</f>
        <v/>
      </c>
      <c r="T744" s="189" t="str">
        <f ca="1">IFERROR(__xludf.DUMMYFUNCTION("""COMPUTED_VALUE"""),"")</f>
        <v/>
      </c>
      <c r="U744" s="189" t="str">
        <f ca="1">IFERROR(__xludf.DUMMYFUNCTION("""COMPUTED_VALUE"""),"")</f>
        <v/>
      </c>
      <c r="V744" s="189" t="str">
        <f ca="1">IFERROR(__xludf.DUMMYFUNCTION("""COMPUTED_VALUE"""),"")</f>
        <v/>
      </c>
      <c r="W744" s="189" t="str">
        <f ca="1">IFERROR(__xludf.DUMMYFUNCTION("""COMPUTED_VALUE"""),"")</f>
        <v/>
      </c>
      <c r="X744" s="189" t="str">
        <f ca="1">IFERROR(__xludf.DUMMYFUNCTION("""COMPUTED_VALUE"""),"")</f>
        <v/>
      </c>
      <c r="Y744" s="189" t="str">
        <f ca="1">IFERROR(__xludf.DUMMYFUNCTION("""COMPUTED_VALUE"""),"")</f>
        <v/>
      </c>
      <c r="Z744" s="189"/>
    </row>
    <row r="745" spans="1:26" ht="12.75">
      <c r="A745" s="189" t="str">
        <f ca="1">IFERROR(__xludf.DUMMYFUNCTION("""COMPUTED_VALUE"""),"")</f>
        <v/>
      </c>
      <c r="B745" s="189" t="str">
        <f ca="1">IFERROR(__xludf.DUMMYFUNCTION("""COMPUTED_VALUE"""),"")</f>
        <v/>
      </c>
      <c r="C745" s="189" t="str">
        <f ca="1">IFERROR(__xludf.DUMMYFUNCTION("""COMPUTED_VALUE"""),"")</f>
        <v/>
      </c>
      <c r="D745" s="189" t="str">
        <f ca="1">IFERROR(__xludf.DUMMYFUNCTION("""COMPUTED_VALUE"""),"")</f>
        <v/>
      </c>
      <c r="E745" s="189" t="str">
        <f ca="1">IFERROR(__xludf.DUMMYFUNCTION("""COMPUTED_VALUE"""),"")</f>
        <v/>
      </c>
      <c r="F745" s="189" t="str">
        <f ca="1">IFERROR(__xludf.DUMMYFUNCTION("""COMPUTED_VALUE"""),"")</f>
        <v/>
      </c>
      <c r="G745" s="189" t="str">
        <f ca="1">IFERROR(__xludf.DUMMYFUNCTION("""COMPUTED_VALUE"""),"")</f>
        <v/>
      </c>
      <c r="H745" s="189" t="str">
        <f ca="1">IFERROR(__xludf.DUMMYFUNCTION("""COMPUTED_VALUE"""),"")</f>
        <v/>
      </c>
      <c r="I745" s="120" t="str">
        <f ca="1">IFERROR(__xludf.DUMMYFUNCTION("""COMPUTED_VALUE"""),"")</f>
        <v/>
      </c>
      <c r="J745" s="189" t="str">
        <f ca="1">IFERROR(__xludf.DUMMYFUNCTION("""COMPUTED_VALUE"""),"")</f>
        <v/>
      </c>
      <c r="K745" s="189" t="str">
        <f ca="1">IFERROR(__xludf.DUMMYFUNCTION("""COMPUTED_VALUE"""),"")</f>
        <v/>
      </c>
      <c r="L745" s="189" t="str">
        <f ca="1">IFERROR(__xludf.DUMMYFUNCTION("""COMPUTED_VALUE"""),"")</f>
        <v/>
      </c>
      <c r="M745" s="189" t="str">
        <f ca="1">IFERROR(__xludf.DUMMYFUNCTION("""COMPUTED_VALUE"""),"")</f>
        <v/>
      </c>
      <c r="N745" s="189" t="str">
        <f ca="1">IFERROR(__xludf.DUMMYFUNCTION("""COMPUTED_VALUE"""),"")</f>
        <v/>
      </c>
      <c r="O745" s="189" t="str">
        <f ca="1">IFERROR(__xludf.DUMMYFUNCTION("""COMPUTED_VALUE"""),"")</f>
        <v/>
      </c>
      <c r="P745" s="189" t="str">
        <f ca="1">IFERROR(__xludf.DUMMYFUNCTION("""COMPUTED_VALUE"""),"")</f>
        <v/>
      </c>
      <c r="Q745" s="189" t="str">
        <f ca="1">IFERROR(__xludf.DUMMYFUNCTION("""COMPUTED_VALUE"""),"")</f>
        <v/>
      </c>
      <c r="R745" s="189" t="str">
        <f ca="1">IFERROR(__xludf.DUMMYFUNCTION("""COMPUTED_VALUE"""),"")</f>
        <v/>
      </c>
      <c r="S745" s="189" t="str">
        <f ca="1">IFERROR(__xludf.DUMMYFUNCTION("""COMPUTED_VALUE"""),"")</f>
        <v/>
      </c>
      <c r="T745" s="189" t="str">
        <f ca="1">IFERROR(__xludf.DUMMYFUNCTION("""COMPUTED_VALUE"""),"")</f>
        <v/>
      </c>
      <c r="U745" s="189" t="str">
        <f ca="1">IFERROR(__xludf.DUMMYFUNCTION("""COMPUTED_VALUE"""),"")</f>
        <v/>
      </c>
      <c r="V745" s="189" t="str">
        <f ca="1">IFERROR(__xludf.DUMMYFUNCTION("""COMPUTED_VALUE"""),"")</f>
        <v/>
      </c>
      <c r="W745" s="189" t="str">
        <f ca="1">IFERROR(__xludf.DUMMYFUNCTION("""COMPUTED_VALUE"""),"")</f>
        <v/>
      </c>
      <c r="X745" s="189" t="str">
        <f ca="1">IFERROR(__xludf.DUMMYFUNCTION("""COMPUTED_VALUE"""),"")</f>
        <v/>
      </c>
      <c r="Y745" s="189" t="str">
        <f ca="1">IFERROR(__xludf.DUMMYFUNCTION("""COMPUTED_VALUE"""),"")</f>
        <v/>
      </c>
      <c r="Z745" s="189"/>
    </row>
    <row r="746" spans="1:26" ht="12.75">
      <c r="A746" s="189" t="str">
        <f ca="1">IFERROR(__xludf.DUMMYFUNCTION("""COMPUTED_VALUE"""),"")</f>
        <v/>
      </c>
      <c r="B746" s="189" t="str">
        <f ca="1">IFERROR(__xludf.DUMMYFUNCTION("""COMPUTED_VALUE"""),"")</f>
        <v/>
      </c>
      <c r="C746" s="189" t="str">
        <f ca="1">IFERROR(__xludf.DUMMYFUNCTION("""COMPUTED_VALUE"""),"")</f>
        <v/>
      </c>
      <c r="D746" s="189" t="str">
        <f ca="1">IFERROR(__xludf.DUMMYFUNCTION("""COMPUTED_VALUE"""),"")</f>
        <v/>
      </c>
      <c r="E746" s="189" t="str">
        <f ca="1">IFERROR(__xludf.DUMMYFUNCTION("""COMPUTED_VALUE"""),"")</f>
        <v/>
      </c>
      <c r="F746" s="189" t="str">
        <f ca="1">IFERROR(__xludf.DUMMYFUNCTION("""COMPUTED_VALUE"""),"")</f>
        <v/>
      </c>
      <c r="G746" s="189" t="str">
        <f ca="1">IFERROR(__xludf.DUMMYFUNCTION("""COMPUTED_VALUE"""),"")</f>
        <v/>
      </c>
      <c r="H746" s="189" t="str">
        <f ca="1">IFERROR(__xludf.DUMMYFUNCTION("""COMPUTED_VALUE"""),"")</f>
        <v/>
      </c>
      <c r="I746" s="120" t="str">
        <f ca="1">IFERROR(__xludf.DUMMYFUNCTION("""COMPUTED_VALUE"""),"")</f>
        <v/>
      </c>
      <c r="J746" s="189" t="str">
        <f ca="1">IFERROR(__xludf.DUMMYFUNCTION("""COMPUTED_VALUE"""),"")</f>
        <v/>
      </c>
      <c r="K746" s="189" t="str">
        <f ca="1">IFERROR(__xludf.DUMMYFUNCTION("""COMPUTED_VALUE"""),"")</f>
        <v/>
      </c>
      <c r="L746" s="189" t="str">
        <f ca="1">IFERROR(__xludf.DUMMYFUNCTION("""COMPUTED_VALUE"""),"")</f>
        <v/>
      </c>
      <c r="M746" s="189" t="str">
        <f ca="1">IFERROR(__xludf.DUMMYFUNCTION("""COMPUTED_VALUE"""),"")</f>
        <v/>
      </c>
      <c r="N746" s="189" t="str">
        <f ca="1">IFERROR(__xludf.DUMMYFUNCTION("""COMPUTED_VALUE"""),"")</f>
        <v/>
      </c>
      <c r="O746" s="189" t="str">
        <f ca="1">IFERROR(__xludf.DUMMYFUNCTION("""COMPUTED_VALUE"""),"")</f>
        <v/>
      </c>
      <c r="P746" s="189" t="str">
        <f ca="1">IFERROR(__xludf.DUMMYFUNCTION("""COMPUTED_VALUE"""),"")</f>
        <v/>
      </c>
      <c r="Q746" s="189" t="str">
        <f ca="1">IFERROR(__xludf.DUMMYFUNCTION("""COMPUTED_VALUE"""),"")</f>
        <v/>
      </c>
      <c r="R746" s="189" t="str">
        <f ca="1">IFERROR(__xludf.DUMMYFUNCTION("""COMPUTED_VALUE"""),"")</f>
        <v/>
      </c>
      <c r="S746" s="189" t="str">
        <f ca="1">IFERROR(__xludf.DUMMYFUNCTION("""COMPUTED_VALUE"""),"")</f>
        <v/>
      </c>
      <c r="T746" s="189" t="str">
        <f ca="1">IFERROR(__xludf.DUMMYFUNCTION("""COMPUTED_VALUE"""),"")</f>
        <v/>
      </c>
      <c r="U746" s="189" t="str">
        <f ca="1">IFERROR(__xludf.DUMMYFUNCTION("""COMPUTED_VALUE"""),"")</f>
        <v/>
      </c>
      <c r="V746" s="189" t="str">
        <f ca="1">IFERROR(__xludf.DUMMYFUNCTION("""COMPUTED_VALUE"""),"")</f>
        <v/>
      </c>
      <c r="W746" s="189" t="str">
        <f ca="1">IFERROR(__xludf.DUMMYFUNCTION("""COMPUTED_VALUE"""),"")</f>
        <v/>
      </c>
      <c r="X746" s="189" t="str">
        <f ca="1">IFERROR(__xludf.DUMMYFUNCTION("""COMPUTED_VALUE"""),"")</f>
        <v/>
      </c>
      <c r="Y746" s="189" t="str">
        <f ca="1">IFERROR(__xludf.DUMMYFUNCTION("""COMPUTED_VALUE"""),"")</f>
        <v/>
      </c>
      <c r="Z746" s="189"/>
    </row>
    <row r="747" spans="1:26" ht="12.75">
      <c r="A747" s="189" t="str">
        <f ca="1">IFERROR(__xludf.DUMMYFUNCTION("""COMPUTED_VALUE"""),"")</f>
        <v/>
      </c>
      <c r="B747" s="189" t="str">
        <f ca="1">IFERROR(__xludf.DUMMYFUNCTION("""COMPUTED_VALUE"""),"")</f>
        <v/>
      </c>
      <c r="C747" s="189" t="str">
        <f ca="1">IFERROR(__xludf.DUMMYFUNCTION("""COMPUTED_VALUE"""),"")</f>
        <v/>
      </c>
      <c r="D747" s="189" t="str">
        <f ca="1">IFERROR(__xludf.DUMMYFUNCTION("""COMPUTED_VALUE"""),"")</f>
        <v/>
      </c>
      <c r="E747" s="189" t="str">
        <f ca="1">IFERROR(__xludf.DUMMYFUNCTION("""COMPUTED_VALUE"""),"")</f>
        <v/>
      </c>
      <c r="F747" s="189" t="str">
        <f ca="1">IFERROR(__xludf.DUMMYFUNCTION("""COMPUTED_VALUE"""),"")</f>
        <v/>
      </c>
      <c r="G747" s="189" t="str">
        <f ca="1">IFERROR(__xludf.DUMMYFUNCTION("""COMPUTED_VALUE"""),"")</f>
        <v/>
      </c>
      <c r="H747" s="189" t="str">
        <f ca="1">IFERROR(__xludf.DUMMYFUNCTION("""COMPUTED_VALUE"""),"")</f>
        <v/>
      </c>
      <c r="I747" s="120" t="str">
        <f ca="1">IFERROR(__xludf.DUMMYFUNCTION("""COMPUTED_VALUE"""),"")</f>
        <v/>
      </c>
      <c r="J747" s="189" t="str">
        <f ca="1">IFERROR(__xludf.DUMMYFUNCTION("""COMPUTED_VALUE"""),"")</f>
        <v/>
      </c>
      <c r="K747" s="189" t="str">
        <f ca="1">IFERROR(__xludf.DUMMYFUNCTION("""COMPUTED_VALUE"""),"")</f>
        <v/>
      </c>
      <c r="L747" s="189" t="str">
        <f ca="1">IFERROR(__xludf.DUMMYFUNCTION("""COMPUTED_VALUE"""),"")</f>
        <v/>
      </c>
      <c r="M747" s="189" t="str">
        <f ca="1">IFERROR(__xludf.DUMMYFUNCTION("""COMPUTED_VALUE"""),"")</f>
        <v/>
      </c>
      <c r="N747" s="189" t="str">
        <f ca="1">IFERROR(__xludf.DUMMYFUNCTION("""COMPUTED_VALUE"""),"")</f>
        <v/>
      </c>
      <c r="O747" s="189" t="str">
        <f ca="1">IFERROR(__xludf.DUMMYFUNCTION("""COMPUTED_VALUE"""),"")</f>
        <v/>
      </c>
      <c r="P747" s="189" t="str">
        <f ca="1">IFERROR(__xludf.DUMMYFUNCTION("""COMPUTED_VALUE"""),"")</f>
        <v/>
      </c>
      <c r="Q747" s="189" t="str">
        <f ca="1">IFERROR(__xludf.DUMMYFUNCTION("""COMPUTED_VALUE"""),"")</f>
        <v/>
      </c>
      <c r="R747" s="189" t="str">
        <f ca="1">IFERROR(__xludf.DUMMYFUNCTION("""COMPUTED_VALUE"""),"")</f>
        <v/>
      </c>
      <c r="S747" s="189" t="str">
        <f ca="1">IFERROR(__xludf.DUMMYFUNCTION("""COMPUTED_VALUE"""),"")</f>
        <v/>
      </c>
      <c r="T747" s="189" t="str">
        <f ca="1">IFERROR(__xludf.DUMMYFUNCTION("""COMPUTED_VALUE"""),"")</f>
        <v/>
      </c>
      <c r="U747" s="189" t="str">
        <f ca="1">IFERROR(__xludf.DUMMYFUNCTION("""COMPUTED_VALUE"""),"")</f>
        <v/>
      </c>
      <c r="V747" s="189" t="str">
        <f ca="1">IFERROR(__xludf.DUMMYFUNCTION("""COMPUTED_VALUE"""),"")</f>
        <v/>
      </c>
      <c r="W747" s="189" t="str">
        <f ca="1">IFERROR(__xludf.DUMMYFUNCTION("""COMPUTED_VALUE"""),"")</f>
        <v/>
      </c>
      <c r="X747" s="189" t="str">
        <f ca="1">IFERROR(__xludf.DUMMYFUNCTION("""COMPUTED_VALUE"""),"")</f>
        <v/>
      </c>
      <c r="Y747" s="189" t="str">
        <f ca="1">IFERROR(__xludf.DUMMYFUNCTION("""COMPUTED_VALUE"""),"")</f>
        <v/>
      </c>
      <c r="Z747" s="189"/>
    </row>
    <row r="748" spans="1:26" ht="12.75">
      <c r="A748" s="189" t="str">
        <f ca="1">IFERROR(__xludf.DUMMYFUNCTION("""COMPUTED_VALUE"""),"")</f>
        <v/>
      </c>
      <c r="B748" s="189" t="str">
        <f ca="1">IFERROR(__xludf.DUMMYFUNCTION("""COMPUTED_VALUE"""),"")</f>
        <v/>
      </c>
      <c r="C748" s="189" t="str">
        <f ca="1">IFERROR(__xludf.DUMMYFUNCTION("""COMPUTED_VALUE"""),"")</f>
        <v/>
      </c>
      <c r="D748" s="189" t="str">
        <f ca="1">IFERROR(__xludf.DUMMYFUNCTION("""COMPUTED_VALUE"""),"")</f>
        <v/>
      </c>
      <c r="E748" s="189" t="str">
        <f ca="1">IFERROR(__xludf.DUMMYFUNCTION("""COMPUTED_VALUE"""),"")</f>
        <v/>
      </c>
      <c r="F748" s="189" t="str">
        <f ca="1">IFERROR(__xludf.DUMMYFUNCTION("""COMPUTED_VALUE"""),"")</f>
        <v/>
      </c>
      <c r="G748" s="189" t="str">
        <f ca="1">IFERROR(__xludf.DUMMYFUNCTION("""COMPUTED_VALUE"""),"")</f>
        <v/>
      </c>
      <c r="H748" s="189" t="str">
        <f ca="1">IFERROR(__xludf.DUMMYFUNCTION("""COMPUTED_VALUE"""),"")</f>
        <v/>
      </c>
      <c r="I748" s="120" t="str">
        <f ca="1">IFERROR(__xludf.DUMMYFUNCTION("""COMPUTED_VALUE"""),"")</f>
        <v/>
      </c>
      <c r="J748" s="189" t="str">
        <f ca="1">IFERROR(__xludf.DUMMYFUNCTION("""COMPUTED_VALUE"""),"")</f>
        <v/>
      </c>
      <c r="K748" s="189" t="str">
        <f ca="1">IFERROR(__xludf.DUMMYFUNCTION("""COMPUTED_VALUE"""),"")</f>
        <v/>
      </c>
      <c r="L748" s="189" t="str">
        <f ca="1">IFERROR(__xludf.DUMMYFUNCTION("""COMPUTED_VALUE"""),"")</f>
        <v/>
      </c>
      <c r="M748" s="189" t="str">
        <f ca="1">IFERROR(__xludf.DUMMYFUNCTION("""COMPUTED_VALUE"""),"")</f>
        <v/>
      </c>
      <c r="N748" s="189" t="str">
        <f ca="1">IFERROR(__xludf.DUMMYFUNCTION("""COMPUTED_VALUE"""),"")</f>
        <v/>
      </c>
      <c r="O748" s="189" t="str">
        <f ca="1">IFERROR(__xludf.DUMMYFUNCTION("""COMPUTED_VALUE"""),"")</f>
        <v/>
      </c>
      <c r="P748" s="189" t="str">
        <f ca="1">IFERROR(__xludf.DUMMYFUNCTION("""COMPUTED_VALUE"""),"")</f>
        <v/>
      </c>
      <c r="Q748" s="189" t="str">
        <f ca="1">IFERROR(__xludf.DUMMYFUNCTION("""COMPUTED_VALUE"""),"")</f>
        <v/>
      </c>
      <c r="R748" s="189" t="str">
        <f ca="1">IFERROR(__xludf.DUMMYFUNCTION("""COMPUTED_VALUE"""),"")</f>
        <v/>
      </c>
      <c r="S748" s="189" t="str">
        <f ca="1">IFERROR(__xludf.DUMMYFUNCTION("""COMPUTED_VALUE"""),"")</f>
        <v/>
      </c>
      <c r="T748" s="189" t="str">
        <f ca="1">IFERROR(__xludf.DUMMYFUNCTION("""COMPUTED_VALUE"""),"")</f>
        <v/>
      </c>
      <c r="U748" s="189" t="str">
        <f ca="1">IFERROR(__xludf.DUMMYFUNCTION("""COMPUTED_VALUE"""),"")</f>
        <v/>
      </c>
      <c r="V748" s="189" t="str">
        <f ca="1">IFERROR(__xludf.DUMMYFUNCTION("""COMPUTED_VALUE"""),"")</f>
        <v/>
      </c>
      <c r="W748" s="189" t="str">
        <f ca="1">IFERROR(__xludf.DUMMYFUNCTION("""COMPUTED_VALUE"""),"")</f>
        <v/>
      </c>
      <c r="X748" s="189" t="str">
        <f ca="1">IFERROR(__xludf.DUMMYFUNCTION("""COMPUTED_VALUE"""),"")</f>
        <v/>
      </c>
      <c r="Y748" s="189" t="str">
        <f ca="1">IFERROR(__xludf.DUMMYFUNCTION("""COMPUTED_VALUE"""),"")</f>
        <v/>
      </c>
      <c r="Z748" s="189"/>
    </row>
    <row r="749" spans="1:26" ht="12.75">
      <c r="A749" s="189" t="str">
        <f ca="1">IFERROR(__xludf.DUMMYFUNCTION("""COMPUTED_VALUE"""),"")</f>
        <v/>
      </c>
      <c r="B749" s="189" t="str">
        <f ca="1">IFERROR(__xludf.DUMMYFUNCTION("""COMPUTED_VALUE"""),"")</f>
        <v/>
      </c>
      <c r="C749" s="189" t="str">
        <f ca="1">IFERROR(__xludf.DUMMYFUNCTION("""COMPUTED_VALUE"""),"")</f>
        <v/>
      </c>
      <c r="D749" s="189" t="str">
        <f ca="1">IFERROR(__xludf.DUMMYFUNCTION("""COMPUTED_VALUE"""),"")</f>
        <v/>
      </c>
      <c r="E749" s="189" t="str">
        <f ca="1">IFERROR(__xludf.DUMMYFUNCTION("""COMPUTED_VALUE"""),"")</f>
        <v/>
      </c>
      <c r="F749" s="189" t="str">
        <f ca="1">IFERROR(__xludf.DUMMYFUNCTION("""COMPUTED_VALUE"""),"")</f>
        <v/>
      </c>
      <c r="G749" s="189" t="str">
        <f ca="1">IFERROR(__xludf.DUMMYFUNCTION("""COMPUTED_VALUE"""),"")</f>
        <v/>
      </c>
      <c r="H749" s="189" t="str">
        <f ca="1">IFERROR(__xludf.DUMMYFUNCTION("""COMPUTED_VALUE"""),"")</f>
        <v/>
      </c>
      <c r="I749" s="120" t="str">
        <f ca="1">IFERROR(__xludf.DUMMYFUNCTION("""COMPUTED_VALUE"""),"")</f>
        <v/>
      </c>
      <c r="J749" s="189" t="str">
        <f ca="1">IFERROR(__xludf.DUMMYFUNCTION("""COMPUTED_VALUE"""),"")</f>
        <v/>
      </c>
      <c r="K749" s="189" t="str">
        <f ca="1">IFERROR(__xludf.DUMMYFUNCTION("""COMPUTED_VALUE"""),"")</f>
        <v/>
      </c>
      <c r="L749" s="189" t="str">
        <f ca="1">IFERROR(__xludf.DUMMYFUNCTION("""COMPUTED_VALUE"""),"")</f>
        <v/>
      </c>
      <c r="M749" s="189" t="str">
        <f ca="1">IFERROR(__xludf.DUMMYFUNCTION("""COMPUTED_VALUE"""),"")</f>
        <v/>
      </c>
      <c r="N749" s="189" t="str">
        <f ca="1">IFERROR(__xludf.DUMMYFUNCTION("""COMPUTED_VALUE"""),"")</f>
        <v/>
      </c>
      <c r="O749" s="189" t="str">
        <f ca="1">IFERROR(__xludf.DUMMYFUNCTION("""COMPUTED_VALUE"""),"")</f>
        <v/>
      </c>
      <c r="P749" s="189" t="str">
        <f ca="1">IFERROR(__xludf.DUMMYFUNCTION("""COMPUTED_VALUE"""),"")</f>
        <v/>
      </c>
      <c r="Q749" s="189" t="str">
        <f ca="1">IFERROR(__xludf.DUMMYFUNCTION("""COMPUTED_VALUE"""),"")</f>
        <v/>
      </c>
      <c r="R749" s="189" t="str">
        <f ca="1">IFERROR(__xludf.DUMMYFUNCTION("""COMPUTED_VALUE"""),"")</f>
        <v/>
      </c>
      <c r="S749" s="189" t="str">
        <f ca="1">IFERROR(__xludf.DUMMYFUNCTION("""COMPUTED_VALUE"""),"")</f>
        <v/>
      </c>
      <c r="T749" s="189" t="str">
        <f ca="1">IFERROR(__xludf.DUMMYFUNCTION("""COMPUTED_VALUE"""),"")</f>
        <v/>
      </c>
      <c r="U749" s="189" t="str">
        <f ca="1">IFERROR(__xludf.DUMMYFUNCTION("""COMPUTED_VALUE"""),"")</f>
        <v/>
      </c>
      <c r="V749" s="189" t="str">
        <f ca="1">IFERROR(__xludf.DUMMYFUNCTION("""COMPUTED_VALUE"""),"")</f>
        <v/>
      </c>
      <c r="W749" s="189" t="str">
        <f ca="1">IFERROR(__xludf.DUMMYFUNCTION("""COMPUTED_VALUE"""),"")</f>
        <v/>
      </c>
      <c r="X749" s="189" t="str">
        <f ca="1">IFERROR(__xludf.DUMMYFUNCTION("""COMPUTED_VALUE"""),"")</f>
        <v/>
      </c>
      <c r="Y749" s="189" t="str">
        <f ca="1">IFERROR(__xludf.DUMMYFUNCTION("""COMPUTED_VALUE"""),"")</f>
        <v/>
      </c>
      <c r="Z749" s="189"/>
    </row>
    <row r="750" spans="1:26" ht="12.75">
      <c r="A750" s="189" t="str">
        <f ca="1">IFERROR(__xludf.DUMMYFUNCTION("""COMPUTED_VALUE"""),"")</f>
        <v/>
      </c>
      <c r="B750" s="189" t="str">
        <f ca="1">IFERROR(__xludf.DUMMYFUNCTION("""COMPUTED_VALUE"""),"")</f>
        <v/>
      </c>
      <c r="C750" s="189" t="str">
        <f ca="1">IFERROR(__xludf.DUMMYFUNCTION("""COMPUTED_VALUE"""),"")</f>
        <v/>
      </c>
      <c r="D750" s="189" t="str">
        <f ca="1">IFERROR(__xludf.DUMMYFUNCTION("""COMPUTED_VALUE"""),"")</f>
        <v/>
      </c>
      <c r="E750" s="189" t="str">
        <f ca="1">IFERROR(__xludf.DUMMYFUNCTION("""COMPUTED_VALUE"""),"")</f>
        <v/>
      </c>
      <c r="F750" s="189" t="str">
        <f ca="1">IFERROR(__xludf.DUMMYFUNCTION("""COMPUTED_VALUE"""),"")</f>
        <v/>
      </c>
      <c r="G750" s="189" t="str">
        <f ca="1">IFERROR(__xludf.DUMMYFUNCTION("""COMPUTED_VALUE"""),"")</f>
        <v/>
      </c>
      <c r="H750" s="189" t="str">
        <f ca="1">IFERROR(__xludf.DUMMYFUNCTION("""COMPUTED_VALUE"""),"")</f>
        <v/>
      </c>
      <c r="I750" s="120" t="str">
        <f ca="1">IFERROR(__xludf.DUMMYFUNCTION("""COMPUTED_VALUE"""),"")</f>
        <v/>
      </c>
      <c r="J750" s="189" t="str">
        <f ca="1">IFERROR(__xludf.DUMMYFUNCTION("""COMPUTED_VALUE"""),"")</f>
        <v/>
      </c>
      <c r="K750" s="189" t="str">
        <f ca="1">IFERROR(__xludf.DUMMYFUNCTION("""COMPUTED_VALUE"""),"")</f>
        <v/>
      </c>
      <c r="L750" s="189" t="str">
        <f ca="1">IFERROR(__xludf.DUMMYFUNCTION("""COMPUTED_VALUE"""),"")</f>
        <v/>
      </c>
      <c r="M750" s="189" t="str">
        <f ca="1">IFERROR(__xludf.DUMMYFUNCTION("""COMPUTED_VALUE"""),"")</f>
        <v/>
      </c>
      <c r="N750" s="189" t="str">
        <f ca="1">IFERROR(__xludf.DUMMYFUNCTION("""COMPUTED_VALUE"""),"")</f>
        <v/>
      </c>
      <c r="O750" s="189" t="str">
        <f ca="1">IFERROR(__xludf.DUMMYFUNCTION("""COMPUTED_VALUE"""),"")</f>
        <v/>
      </c>
      <c r="P750" s="189" t="str">
        <f ca="1">IFERROR(__xludf.DUMMYFUNCTION("""COMPUTED_VALUE"""),"")</f>
        <v/>
      </c>
      <c r="Q750" s="189" t="str">
        <f ca="1">IFERROR(__xludf.DUMMYFUNCTION("""COMPUTED_VALUE"""),"")</f>
        <v/>
      </c>
      <c r="R750" s="189" t="str">
        <f ca="1">IFERROR(__xludf.DUMMYFUNCTION("""COMPUTED_VALUE"""),"")</f>
        <v/>
      </c>
      <c r="S750" s="189" t="str">
        <f ca="1">IFERROR(__xludf.DUMMYFUNCTION("""COMPUTED_VALUE"""),"")</f>
        <v/>
      </c>
      <c r="T750" s="189" t="str">
        <f ca="1">IFERROR(__xludf.DUMMYFUNCTION("""COMPUTED_VALUE"""),"")</f>
        <v/>
      </c>
      <c r="U750" s="189" t="str">
        <f ca="1">IFERROR(__xludf.DUMMYFUNCTION("""COMPUTED_VALUE"""),"")</f>
        <v/>
      </c>
      <c r="V750" s="189" t="str">
        <f ca="1">IFERROR(__xludf.DUMMYFUNCTION("""COMPUTED_VALUE"""),"")</f>
        <v/>
      </c>
      <c r="W750" s="189" t="str">
        <f ca="1">IFERROR(__xludf.DUMMYFUNCTION("""COMPUTED_VALUE"""),"")</f>
        <v/>
      </c>
      <c r="X750" s="189" t="str">
        <f ca="1">IFERROR(__xludf.DUMMYFUNCTION("""COMPUTED_VALUE"""),"")</f>
        <v/>
      </c>
      <c r="Y750" s="189" t="str">
        <f ca="1">IFERROR(__xludf.DUMMYFUNCTION("""COMPUTED_VALUE"""),"")</f>
        <v/>
      </c>
      <c r="Z750" s="189"/>
    </row>
    <row r="751" spans="1:26" ht="12.75">
      <c r="A751" s="189" t="str">
        <f ca="1">IFERROR(__xludf.DUMMYFUNCTION("""COMPUTED_VALUE"""),"")</f>
        <v/>
      </c>
      <c r="B751" s="189" t="str">
        <f ca="1">IFERROR(__xludf.DUMMYFUNCTION("""COMPUTED_VALUE"""),"")</f>
        <v/>
      </c>
      <c r="C751" s="189" t="str">
        <f ca="1">IFERROR(__xludf.DUMMYFUNCTION("""COMPUTED_VALUE"""),"")</f>
        <v/>
      </c>
      <c r="D751" s="189" t="str">
        <f ca="1">IFERROR(__xludf.DUMMYFUNCTION("""COMPUTED_VALUE"""),"")</f>
        <v/>
      </c>
      <c r="E751" s="189" t="str">
        <f ca="1">IFERROR(__xludf.DUMMYFUNCTION("""COMPUTED_VALUE"""),"")</f>
        <v/>
      </c>
      <c r="F751" s="189" t="str">
        <f ca="1">IFERROR(__xludf.DUMMYFUNCTION("""COMPUTED_VALUE"""),"")</f>
        <v/>
      </c>
      <c r="G751" s="189" t="str">
        <f ca="1">IFERROR(__xludf.DUMMYFUNCTION("""COMPUTED_VALUE"""),"")</f>
        <v/>
      </c>
      <c r="H751" s="189" t="str">
        <f ca="1">IFERROR(__xludf.DUMMYFUNCTION("""COMPUTED_VALUE"""),"")</f>
        <v/>
      </c>
      <c r="I751" s="120" t="str">
        <f ca="1">IFERROR(__xludf.DUMMYFUNCTION("""COMPUTED_VALUE"""),"")</f>
        <v/>
      </c>
      <c r="J751" s="189" t="str">
        <f ca="1">IFERROR(__xludf.DUMMYFUNCTION("""COMPUTED_VALUE"""),"")</f>
        <v/>
      </c>
      <c r="K751" s="189" t="str">
        <f ca="1">IFERROR(__xludf.DUMMYFUNCTION("""COMPUTED_VALUE"""),"")</f>
        <v/>
      </c>
      <c r="L751" s="189" t="str">
        <f ca="1">IFERROR(__xludf.DUMMYFUNCTION("""COMPUTED_VALUE"""),"")</f>
        <v/>
      </c>
      <c r="M751" s="189" t="str">
        <f ca="1">IFERROR(__xludf.DUMMYFUNCTION("""COMPUTED_VALUE"""),"")</f>
        <v/>
      </c>
      <c r="N751" s="189" t="str">
        <f ca="1">IFERROR(__xludf.DUMMYFUNCTION("""COMPUTED_VALUE"""),"")</f>
        <v/>
      </c>
      <c r="O751" s="189" t="str">
        <f ca="1">IFERROR(__xludf.DUMMYFUNCTION("""COMPUTED_VALUE"""),"")</f>
        <v/>
      </c>
      <c r="P751" s="189" t="str">
        <f ca="1">IFERROR(__xludf.DUMMYFUNCTION("""COMPUTED_VALUE"""),"")</f>
        <v/>
      </c>
      <c r="Q751" s="189" t="str">
        <f ca="1">IFERROR(__xludf.DUMMYFUNCTION("""COMPUTED_VALUE"""),"")</f>
        <v/>
      </c>
      <c r="R751" s="189" t="str">
        <f ca="1">IFERROR(__xludf.DUMMYFUNCTION("""COMPUTED_VALUE"""),"")</f>
        <v/>
      </c>
      <c r="S751" s="189" t="str">
        <f ca="1">IFERROR(__xludf.DUMMYFUNCTION("""COMPUTED_VALUE"""),"")</f>
        <v/>
      </c>
      <c r="T751" s="189" t="str">
        <f ca="1">IFERROR(__xludf.DUMMYFUNCTION("""COMPUTED_VALUE"""),"")</f>
        <v/>
      </c>
      <c r="U751" s="189" t="str">
        <f ca="1">IFERROR(__xludf.DUMMYFUNCTION("""COMPUTED_VALUE"""),"")</f>
        <v/>
      </c>
      <c r="V751" s="189" t="str">
        <f ca="1">IFERROR(__xludf.DUMMYFUNCTION("""COMPUTED_VALUE"""),"")</f>
        <v/>
      </c>
      <c r="W751" s="189" t="str">
        <f ca="1">IFERROR(__xludf.DUMMYFUNCTION("""COMPUTED_VALUE"""),"")</f>
        <v/>
      </c>
      <c r="X751" s="189" t="str">
        <f ca="1">IFERROR(__xludf.DUMMYFUNCTION("""COMPUTED_VALUE"""),"")</f>
        <v/>
      </c>
      <c r="Y751" s="189" t="str">
        <f ca="1">IFERROR(__xludf.DUMMYFUNCTION("""COMPUTED_VALUE"""),"")</f>
        <v/>
      </c>
      <c r="Z751" s="189"/>
    </row>
    <row r="752" spans="1:26" ht="12.75">
      <c r="A752" s="189" t="str">
        <f ca="1">IFERROR(__xludf.DUMMYFUNCTION("""COMPUTED_VALUE"""),"")</f>
        <v/>
      </c>
      <c r="B752" s="189" t="str">
        <f ca="1">IFERROR(__xludf.DUMMYFUNCTION("""COMPUTED_VALUE"""),"")</f>
        <v/>
      </c>
      <c r="C752" s="189" t="str">
        <f ca="1">IFERROR(__xludf.DUMMYFUNCTION("""COMPUTED_VALUE"""),"")</f>
        <v/>
      </c>
      <c r="D752" s="189" t="str">
        <f ca="1">IFERROR(__xludf.DUMMYFUNCTION("""COMPUTED_VALUE"""),"")</f>
        <v/>
      </c>
      <c r="E752" s="189" t="str">
        <f ca="1">IFERROR(__xludf.DUMMYFUNCTION("""COMPUTED_VALUE"""),"")</f>
        <v/>
      </c>
      <c r="F752" s="189" t="str">
        <f ca="1">IFERROR(__xludf.DUMMYFUNCTION("""COMPUTED_VALUE"""),"")</f>
        <v/>
      </c>
      <c r="G752" s="189" t="str">
        <f ca="1">IFERROR(__xludf.DUMMYFUNCTION("""COMPUTED_VALUE"""),"")</f>
        <v/>
      </c>
      <c r="H752" s="189" t="str">
        <f ca="1">IFERROR(__xludf.DUMMYFUNCTION("""COMPUTED_VALUE"""),"")</f>
        <v/>
      </c>
      <c r="I752" s="120" t="str">
        <f ca="1">IFERROR(__xludf.DUMMYFUNCTION("""COMPUTED_VALUE"""),"")</f>
        <v/>
      </c>
      <c r="J752" s="189" t="str">
        <f ca="1">IFERROR(__xludf.DUMMYFUNCTION("""COMPUTED_VALUE"""),"")</f>
        <v/>
      </c>
      <c r="K752" s="189" t="str">
        <f ca="1">IFERROR(__xludf.DUMMYFUNCTION("""COMPUTED_VALUE"""),"")</f>
        <v/>
      </c>
      <c r="L752" s="189" t="str">
        <f ca="1">IFERROR(__xludf.DUMMYFUNCTION("""COMPUTED_VALUE"""),"")</f>
        <v/>
      </c>
      <c r="M752" s="189" t="str">
        <f ca="1">IFERROR(__xludf.DUMMYFUNCTION("""COMPUTED_VALUE"""),"")</f>
        <v/>
      </c>
      <c r="N752" s="189" t="str">
        <f ca="1">IFERROR(__xludf.DUMMYFUNCTION("""COMPUTED_VALUE"""),"")</f>
        <v/>
      </c>
      <c r="O752" s="189" t="str">
        <f ca="1">IFERROR(__xludf.DUMMYFUNCTION("""COMPUTED_VALUE"""),"")</f>
        <v/>
      </c>
      <c r="P752" s="189" t="str">
        <f ca="1">IFERROR(__xludf.DUMMYFUNCTION("""COMPUTED_VALUE"""),"")</f>
        <v/>
      </c>
      <c r="Q752" s="189" t="str">
        <f ca="1">IFERROR(__xludf.DUMMYFUNCTION("""COMPUTED_VALUE"""),"")</f>
        <v/>
      </c>
      <c r="R752" s="189" t="str">
        <f ca="1">IFERROR(__xludf.DUMMYFUNCTION("""COMPUTED_VALUE"""),"")</f>
        <v/>
      </c>
      <c r="S752" s="189" t="str">
        <f ca="1">IFERROR(__xludf.DUMMYFUNCTION("""COMPUTED_VALUE"""),"")</f>
        <v/>
      </c>
      <c r="T752" s="189" t="str">
        <f ca="1">IFERROR(__xludf.DUMMYFUNCTION("""COMPUTED_VALUE"""),"")</f>
        <v/>
      </c>
      <c r="U752" s="189" t="str">
        <f ca="1">IFERROR(__xludf.DUMMYFUNCTION("""COMPUTED_VALUE"""),"")</f>
        <v/>
      </c>
      <c r="V752" s="189" t="str">
        <f ca="1">IFERROR(__xludf.DUMMYFUNCTION("""COMPUTED_VALUE"""),"")</f>
        <v/>
      </c>
      <c r="W752" s="189" t="str">
        <f ca="1">IFERROR(__xludf.DUMMYFUNCTION("""COMPUTED_VALUE"""),"")</f>
        <v/>
      </c>
      <c r="X752" s="189" t="str">
        <f ca="1">IFERROR(__xludf.DUMMYFUNCTION("""COMPUTED_VALUE"""),"")</f>
        <v/>
      </c>
      <c r="Y752" s="189" t="str">
        <f ca="1">IFERROR(__xludf.DUMMYFUNCTION("""COMPUTED_VALUE"""),"")</f>
        <v/>
      </c>
      <c r="Z752" s="189"/>
    </row>
    <row r="753" spans="1:26" ht="12.75">
      <c r="A753" s="189" t="str">
        <f ca="1">IFERROR(__xludf.DUMMYFUNCTION("""COMPUTED_VALUE"""),"")</f>
        <v/>
      </c>
      <c r="B753" s="189" t="str">
        <f ca="1">IFERROR(__xludf.DUMMYFUNCTION("""COMPUTED_VALUE"""),"")</f>
        <v/>
      </c>
      <c r="C753" s="189" t="str">
        <f ca="1">IFERROR(__xludf.DUMMYFUNCTION("""COMPUTED_VALUE"""),"")</f>
        <v/>
      </c>
      <c r="D753" s="189" t="str">
        <f ca="1">IFERROR(__xludf.DUMMYFUNCTION("""COMPUTED_VALUE"""),"")</f>
        <v/>
      </c>
      <c r="E753" s="189" t="str">
        <f ca="1">IFERROR(__xludf.DUMMYFUNCTION("""COMPUTED_VALUE"""),"")</f>
        <v/>
      </c>
      <c r="F753" s="189" t="str">
        <f ca="1">IFERROR(__xludf.DUMMYFUNCTION("""COMPUTED_VALUE"""),"")</f>
        <v/>
      </c>
      <c r="G753" s="189" t="str">
        <f ca="1">IFERROR(__xludf.DUMMYFUNCTION("""COMPUTED_VALUE"""),"")</f>
        <v/>
      </c>
      <c r="H753" s="189" t="str">
        <f ca="1">IFERROR(__xludf.DUMMYFUNCTION("""COMPUTED_VALUE"""),"")</f>
        <v/>
      </c>
      <c r="I753" s="120" t="str">
        <f ca="1">IFERROR(__xludf.DUMMYFUNCTION("""COMPUTED_VALUE"""),"")</f>
        <v/>
      </c>
      <c r="J753" s="189" t="str">
        <f ca="1">IFERROR(__xludf.DUMMYFUNCTION("""COMPUTED_VALUE"""),"")</f>
        <v/>
      </c>
      <c r="K753" s="189" t="str">
        <f ca="1">IFERROR(__xludf.DUMMYFUNCTION("""COMPUTED_VALUE"""),"")</f>
        <v/>
      </c>
      <c r="L753" s="189" t="str">
        <f ca="1">IFERROR(__xludf.DUMMYFUNCTION("""COMPUTED_VALUE"""),"")</f>
        <v/>
      </c>
      <c r="M753" s="189" t="str">
        <f ca="1">IFERROR(__xludf.DUMMYFUNCTION("""COMPUTED_VALUE"""),"")</f>
        <v/>
      </c>
      <c r="N753" s="189" t="str">
        <f ca="1">IFERROR(__xludf.DUMMYFUNCTION("""COMPUTED_VALUE"""),"")</f>
        <v/>
      </c>
      <c r="O753" s="189" t="str">
        <f ca="1">IFERROR(__xludf.DUMMYFUNCTION("""COMPUTED_VALUE"""),"")</f>
        <v/>
      </c>
      <c r="P753" s="189" t="str">
        <f ca="1">IFERROR(__xludf.DUMMYFUNCTION("""COMPUTED_VALUE"""),"")</f>
        <v/>
      </c>
      <c r="Q753" s="189" t="str">
        <f ca="1">IFERROR(__xludf.DUMMYFUNCTION("""COMPUTED_VALUE"""),"")</f>
        <v/>
      </c>
      <c r="R753" s="189" t="str">
        <f ca="1">IFERROR(__xludf.DUMMYFUNCTION("""COMPUTED_VALUE"""),"")</f>
        <v/>
      </c>
      <c r="S753" s="189" t="str">
        <f ca="1">IFERROR(__xludf.DUMMYFUNCTION("""COMPUTED_VALUE"""),"")</f>
        <v/>
      </c>
      <c r="T753" s="189" t="str">
        <f ca="1">IFERROR(__xludf.DUMMYFUNCTION("""COMPUTED_VALUE"""),"")</f>
        <v/>
      </c>
      <c r="U753" s="189" t="str">
        <f ca="1">IFERROR(__xludf.DUMMYFUNCTION("""COMPUTED_VALUE"""),"")</f>
        <v/>
      </c>
      <c r="V753" s="189" t="str">
        <f ca="1">IFERROR(__xludf.DUMMYFUNCTION("""COMPUTED_VALUE"""),"")</f>
        <v/>
      </c>
      <c r="W753" s="189" t="str">
        <f ca="1">IFERROR(__xludf.DUMMYFUNCTION("""COMPUTED_VALUE"""),"")</f>
        <v/>
      </c>
      <c r="X753" s="189" t="str">
        <f ca="1">IFERROR(__xludf.DUMMYFUNCTION("""COMPUTED_VALUE"""),"")</f>
        <v/>
      </c>
      <c r="Y753" s="189" t="str">
        <f ca="1">IFERROR(__xludf.DUMMYFUNCTION("""COMPUTED_VALUE"""),"")</f>
        <v/>
      </c>
      <c r="Z753" s="189"/>
    </row>
    <row r="754" spans="1:26" ht="12.75">
      <c r="A754" s="189" t="str">
        <f ca="1">IFERROR(__xludf.DUMMYFUNCTION("""COMPUTED_VALUE"""),"")</f>
        <v/>
      </c>
      <c r="B754" s="189" t="str">
        <f ca="1">IFERROR(__xludf.DUMMYFUNCTION("""COMPUTED_VALUE"""),"")</f>
        <v/>
      </c>
      <c r="C754" s="189" t="str">
        <f ca="1">IFERROR(__xludf.DUMMYFUNCTION("""COMPUTED_VALUE"""),"")</f>
        <v/>
      </c>
      <c r="D754" s="189" t="str">
        <f ca="1">IFERROR(__xludf.DUMMYFUNCTION("""COMPUTED_VALUE"""),"")</f>
        <v/>
      </c>
      <c r="E754" s="189" t="str">
        <f ca="1">IFERROR(__xludf.DUMMYFUNCTION("""COMPUTED_VALUE"""),"")</f>
        <v/>
      </c>
      <c r="F754" s="189" t="str">
        <f ca="1">IFERROR(__xludf.DUMMYFUNCTION("""COMPUTED_VALUE"""),"")</f>
        <v/>
      </c>
      <c r="G754" s="189" t="str">
        <f ca="1">IFERROR(__xludf.DUMMYFUNCTION("""COMPUTED_VALUE"""),"")</f>
        <v/>
      </c>
      <c r="H754" s="189" t="str">
        <f ca="1">IFERROR(__xludf.DUMMYFUNCTION("""COMPUTED_VALUE"""),"")</f>
        <v/>
      </c>
      <c r="I754" s="120" t="str">
        <f ca="1">IFERROR(__xludf.DUMMYFUNCTION("""COMPUTED_VALUE"""),"")</f>
        <v/>
      </c>
      <c r="J754" s="189" t="str">
        <f ca="1">IFERROR(__xludf.DUMMYFUNCTION("""COMPUTED_VALUE"""),"")</f>
        <v/>
      </c>
      <c r="K754" s="189" t="str">
        <f ca="1">IFERROR(__xludf.DUMMYFUNCTION("""COMPUTED_VALUE"""),"")</f>
        <v/>
      </c>
      <c r="L754" s="189" t="str">
        <f ca="1">IFERROR(__xludf.DUMMYFUNCTION("""COMPUTED_VALUE"""),"")</f>
        <v/>
      </c>
      <c r="M754" s="189" t="str">
        <f ca="1">IFERROR(__xludf.DUMMYFUNCTION("""COMPUTED_VALUE"""),"")</f>
        <v/>
      </c>
      <c r="N754" s="189" t="str">
        <f ca="1">IFERROR(__xludf.DUMMYFUNCTION("""COMPUTED_VALUE"""),"")</f>
        <v/>
      </c>
      <c r="O754" s="189" t="str">
        <f ca="1">IFERROR(__xludf.DUMMYFUNCTION("""COMPUTED_VALUE"""),"")</f>
        <v/>
      </c>
      <c r="P754" s="189" t="str">
        <f ca="1">IFERROR(__xludf.DUMMYFUNCTION("""COMPUTED_VALUE"""),"")</f>
        <v/>
      </c>
      <c r="Q754" s="189" t="str">
        <f ca="1">IFERROR(__xludf.DUMMYFUNCTION("""COMPUTED_VALUE"""),"")</f>
        <v/>
      </c>
      <c r="R754" s="189" t="str">
        <f ca="1">IFERROR(__xludf.DUMMYFUNCTION("""COMPUTED_VALUE"""),"")</f>
        <v/>
      </c>
      <c r="S754" s="189" t="str">
        <f ca="1">IFERROR(__xludf.DUMMYFUNCTION("""COMPUTED_VALUE"""),"")</f>
        <v/>
      </c>
      <c r="T754" s="189" t="str">
        <f ca="1">IFERROR(__xludf.DUMMYFUNCTION("""COMPUTED_VALUE"""),"")</f>
        <v/>
      </c>
      <c r="U754" s="189" t="str">
        <f ca="1">IFERROR(__xludf.DUMMYFUNCTION("""COMPUTED_VALUE"""),"")</f>
        <v/>
      </c>
      <c r="V754" s="189" t="str">
        <f ca="1">IFERROR(__xludf.DUMMYFUNCTION("""COMPUTED_VALUE"""),"")</f>
        <v/>
      </c>
      <c r="W754" s="189" t="str">
        <f ca="1">IFERROR(__xludf.DUMMYFUNCTION("""COMPUTED_VALUE"""),"")</f>
        <v/>
      </c>
      <c r="X754" s="189" t="str">
        <f ca="1">IFERROR(__xludf.DUMMYFUNCTION("""COMPUTED_VALUE"""),"")</f>
        <v/>
      </c>
      <c r="Y754" s="189" t="str">
        <f ca="1">IFERROR(__xludf.DUMMYFUNCTION("""COMPUTED_VALUE"""),"")</f>
        <v/>
      </c>
      <c r="Z754" s="189"/>
    </row>
    <row r="755" spans="1:26" ht="12.75">
      <c r="A755" s="189" t="str">
        <f ca="1">IFERROR(__xludf.DUMMYFUNCTION("""COMPUTED_VALUE"""),"")</f>
        <v/>
      </c>
      <c r="B755" s="189" t="str">
        <f ca="1">IFERROR(__xludf.DUMMYFUNCTION("""COMPUTED_VALUE"""),"")</f>
        <v/>
      </c>
      <c r="C755" s="189" t="str">
        <f ca="1">IFERROR(__xludf.DUMMYFUNCTION("""COMPUTED_VALUE"""),"")</f>
        <v/>
      </c>
      <c r="D755" s="189" t="str">
        <f ca="1">IFERROR(__xludf.DUMMYFUNCTION("""COMPUTED_VALUE"""),"")</f>
        <v/>
      </c>
      <c r="E755" s="189" t="str">
        <f ca="1">IFERROR(__xludf.DUMMYFUNCTION("""COMPUTED_VALUE"""),"")</f>
        <v/>
      </c>
      <c r="F755" s="189" t="str">
        <f ca="1">IFERROR(__xludf.DUMMYFUNCTION("""COMPUTED_VALUE"""),"")</f>
        <v/>
      </c>
      <c r="G755" s="189" t="str">
        <f ca="1">IFERROR(__xludf.DUMMYFUNCTION("""COMPUTED_VALUE"""),"")</f>
        <v/>
      </c>
      <c r="H755" s="189" t="str">
        <f ca="1">IFERROR(__xludf.DUMMYFUNCTION("""COMPUTED_VALUE"""),"")</f>
        <v/>
      </c>
      <c r="I755" s="120" t="str">
        <f ca="1">IFERROR(__xludf.DUMMYFUNCTION("""COMPUTED_VALUE"""),"")</f>
        <v/>
      </c>
      <c r="J755" s="189" t="str">
        <f ca="1">IFERROR(__xludf.DUMMYFUNCTION("""COMPUTED_VALUE"""),"")</f>
        <v/>
      </c>
      <c r="K755" s="189" t="str">
        <f ca="1">IFERROR(__xludf.DUMMYFUNCTION("""COMPUTED_VALUE"""),"")</f>
        <v/>
      </c>
      <c r="L755" s="189" t="str">
        <f ca="1">IFERROR(__xludf.DUMMYFUNCTION("""COMPUTED_VALUE"""),"")</f>
        <v/>
      </c>
      <c r="M755" s="189" t="str">
        <f ca="1">IFERROR(__xludf.DUMMYFUNCTION("""COMPUTED_VALUE"""),"")</f>
        <v/>
      </c>
      <c r="N755" s="189" t="str">
        <f ca="1">IFERROR(__xludf.DUMMYFUNCTION("""COMPUTED_VALUE"""),"")</f>
        <v/>
      </c>
      <c r="O755" s="189" t="str">
        <f ca="1">IFERROR(__xludf.DUMMYFUNCTION("""COMPUTED_VALUE"""),"")</f>
        <v/>
      </c>
      <c r="P755" s="189" t="str">
        <f ca="1">IFERROR(__xludf.DUMMYFUNCTION("""COMPUTED_VALUE"""),"")</f>
        <v/>
      </c>
      <c r="Q755" s="189" t="str">
        <f ca="1">IFERROR(__xludf.DUMMYFUNCTION("""COMPUTED_VALUE"""),"")</f>
        <v/>
      </c>
      <c r="R755" s="189" t="str">
        <f ca="1">IFERROR(__xludf.DUMMYFUNCTION("""COMPUTED_VALUE"""),"")</f>
        <v/>
      </c>
      <c r="S755" s="189" t="str">
        <f ca="1">IFERROR(__xludf.DUMMYFUNCTION("""COMPUTED_VALUE"""),"")</f>
        <v/>
      </c>
      <c r="T755" s="189" t="str">
        <f ca="1">IFERROR(__xludf.DUMMYFUNCTION("""COMPUTED_VALUE"""),"")</f>
        <v/>
      </c>
      <c r="U755" s="189" t="str">
        <f ca="1">IFERROR(__xludf.DUMMYFUNCTION("""COMPUTED_VALUE"""),"")</f>
        <v/>
      </c>
      <c r="V755" s="189" t="str">
        <f ca="1">IFERROR(__xludf.DUMMYFUNCTION("""COMPUTED_VALUE"""),"")</f>
        <v/>
      </c>
      <c r="W755" s="189" t="str">
        <f ca="1">IFERROR(__xludf.DUMMYFUNCTION("""COMPUTED_VALUE"""),"")</f>
        <v/>
      </c>
      <c r="X755" s="189" t="str">
        <f ca="1">IFERROR(__xludf.DUMMYFUNCTION("""COMPUTED_VALUE"""),"")</f>
        <v/>
      </c>
      <c r="Y755" s="189" t="str">
        <f ca="1">IFERROR(__xludf.DUMMYFUNCTION("""COMPUTED_VALUE"""),"")</f>
        <v/>
      </c>
      <c r="Z755" s="189"/>
    </row>
    <row r="756" spans="1:26" ht="12.75">
      <c r="A756" s="189" t="str">
        <f ca="1">IFERROR(__xludf.DUMMYFUNCTION("""COMPUTED_VALUE"""),"")</f>
        <v/>
      </c>
      <c r="B756" s="189" t="str">
        <f ca="1">IFERROR(__xludf.DUMMYFUNCTION("""COMPUTED_VALUE"""),"")</f>
        <v/>
      </c>
      <c r="C756" s="189" t="str">
        <f ca="1">IFERROR(__xludf.DUMMYFUNCTION("""COMPUTED_VALUE"""),"")</f>
        <v/>
      </c>
      <c r="D756" s="189" t="str">
        <f ca="1">IFERROR(__xludf.DUMMYFUNCTION("""COMPUTED_VALUE"""),"")</f>
        <v/>
      </c>
      <c r="E756" s="189" t="str">
        <f ca="1">IFERROR(__xludf.DUMMYFUNCTION("""COMPUTED_VALUE"""),"")</f>
        <v/>
      </c>
      <c r="F756" s="189" t="str">
        <f ca="1">IFERROR(__xludf.DUMMYFUNCTION("""COMPUTED_VALUE"""),"")</f>
        <v/>
      </c>
      <c r="G756" s="189" t="str">
        <f ca="1">IFERROR(__xludf.DUMMYFUNCTION("""COMPUTED_VALUE"""),"")</f>
        <v/>
      </c>
      <c r="H756" s="189" t="str">
        <f ca="1">IFERROR(__xludf.DUMMYFUNCTION("""COMPUTED_VALUE"""),"")</f>
        <v/>
      </c>
      <c r="I756" s="120" t="str">
        <f ca="1">IFERROR(__xludf.DUMMYFUNCTION("""COMPUTED_VALUE"""),"")</f>
        <v/>
      </c>
      <c r="J756" s="189" t="str">
        <f ca="1">IFERROR(__xludf.DUMMYFUNCTION("""COMPUTED_VALUE"""),"")</f>
        <v/>
      </c>
      <c r="K756" s="189" t="str">
        <f ca="1">IFERROR(__xludf.DUMMYFUNCTION("""COMPUTED_VALUE"""),"")</f>
        <v/>
      </c>
      <c r="L756" s="189" t="str">
        <f ca="1">IFERROR(__xludf.DUMMYFUNCTION("""COMPUTED_VALUE"""),"")</f>
        <v/>
      </c>
      <c r="M756" s="189" t="str">
        <f ca="1">IFERROR(__xludf.DUMMYFUNCTION("""COMPUTED_VALUE"""),"")</f>
        <v/>
      </c>
      <c r="N756" s="189" t="str">
        <f ca="1">IFERROR(__xludf.DUMMYFUNCTION("""COMPUTED_VALUE"""),"")</f>
        <v/>
      </c>
      <c r="O756" s="189" t="str">
        <f ca="1">IFERROR(__xludf.DUMMYFUNCTION("""COMPUTED_VALUE"""),"")</f>
        <v/>
      </c>
      <c r="P756" s="189" t="str">
        <f ca="1">IFERROR(__xludf.DUMMYFUNCTION("""COMPUTED_VALUE"""),"")</f>
        <v/>
      </c>
      <c r="Q756" s="189" t="str">
        <f ca="1">IFERROR(__xludf.DUMMYFUNCTION("""COMPUTED_VALUE"""),"")</f>
        <v/>
      </c>
      <c r="R756" s="189" t="str">
        <f ca="1">IFERROR(__xludf.DUMMYFUNCTION("""COMPUTED_VALUE"""),"")</f>
        <v/>
      </c>
      <c r="S756" s="189" t="str">
        <f ca="1">IFERROR(__xludf.DUMMYFUNCTION("""COMPUTED_VALUE"""),"")</f>
        <v/>
      </c>
      <c r="T756" s="189" t="str">
        <f ca="1">IFERROR(__xludf.DUMMYFUNCTION("""COMPUTED_VALUE"""),"")</f>
        <v/>
      </c>
      <c r="U756" s="189" t="str">
        <f ca="1">IFERROR(__xludf.DUMMYFUNCTION("""COMPUTED_VALUE"""),"")</f>
        <v/>
      </c>
      <c r="V756" s="189" t="str">
        <f ca="1">IFERROR(__xludf.DUMMYFUNCTION("""COMPUTED_VALUE"""),"")</f>
        <v/>
      </c>
      <c r="W756" s="189" t="str">
        <f ca="1">IFERROR(__xludf.DUMMYFUNCTION("""COMPUTED_VALUE"""),"")</f>
        <v/>
      </c>
      <c r="X756" s="189" t="str">
        <f ca="1">IFERROR(__xludf.DUMMYFUNCTION("""COMPUTED_VALUE"""),"")</f>
        <v/>
      </c>
      <c r="Y756" s="189" t="str">
        <f ca="1">IFERROR(__xludf.DUMMYFUNCTION("""COMPUTED_VALUE"""),"")</f>
        <v/>
      </c>
      <c r="Z756" s="189"/>
    </row>
    <row r="757" spans="1:26" ht="12.75">
      <c r="A757" s="189" t="str">
        <f ca="1">IFERROR(__xludf.DUMMYFUNCTION("""COMPUTED_VALUE"""),"")</f>
        <v/>
      </c>
      <c r="B757" s="189" t="str">
        <f ca="1">IFERROR(__xludf.DUMMYFUNCTION("""COMPUTED_VALUE"""),"")</f>
        <v/>
      </c>
      <c r="C757" s="189" t="str">
        <f ca="1">IFERROR(__xludf.DUMMYFUNCTION("""COMPUTED_VALUE"""),"")</f>
        <v/>
      </c>
      <c r="D757" s="189" t="str">
        <f ca="1">IFERROR(__xludf.DUMMYFUNCTION("""COMPUTED_VALUE"""),"")</f>
        <v/>
      </c>
      <c r="E757" s="189" t="str">
        <f ca="1">IFERROR(__xludf.DUMMYFUNCTION("""COMPUTED_VALUE"""),"")</f>
        <v/>
      </c>
      <c r="F757" s="189" t="str">
        <f ca="1">IFERROR(__xludf.DUMMYFUNCTION("""COMPUTED_VALUE"""),"")</f>
        <v/>
      </c>
      <c r="G757" s="189" t="str">
        <f ca="1">IFERROR(__xludf.DUMMYFUNCTION("""COMPUTED_VALUE"""),"")</f>
        <v/>
      </c>
      <c r="H757" s="189" t="str">
        <f ca="1">IFERROR(__xludf.DUMMYFUNCTION("""COMPUTED_VALUE"""),"")</f>
        <v/>
      </c>
      <c r="I757" s="120" t="str">
        <f ca="1">IFERROR(__xludf.DUMMYFUNCTION("""COMPUTED_VALUE"""),"")</f>
        <v/>
      </c>
      <c r="J757" s="189" t="str">
        <f ca="1">IFERROR(__xludf.DUMMYFUNCTION("""COMPUTED_VALUE"""),"")</f>
        <v/>
      </c>
      <c r="K757" s="189" t="str">
        <f ca="1">IFERROR(__xludf.DUMMYFUNCTION("""COMPUTED_VALUE"""),"")</f>
        <v/>
      </c>
      <c r="L757" s="189" t="str">
        <f ca="1">IFERROR(__xludf.DUMMYFUNCTION("""COMPUTED_VALUE"""),"")</f>
        <v/>
      </c>
      <c r="M757" s="189" t="str">
        <f ca="1">IFERROR(__xludf.DUMMYFUNCTION("""COMPUTED_VALUE"""),"")</f>
        <v/>
      </c>
      <c r="N757" s="189" t="str">
        <f ca="1">IFERROR(__xludf.DUMMYFUNCTION("""COMPUTED_VALUE"""),"")</f>
        <v/>
      </c>
      <c r="O757" s="189" t="str">
        <f ca="1">IFERROR(__xludf.DUMMYFUNCTION("""COMPUTED_VALUE"""),"")</f>
        <v/>
      </c>
      <c r="P757" s="189" t="str">
        <f ca="1">IFERROR(__xludf.DUMMYFUNCTION("""COMPUTED_VALUE"""),"")</f>
        <v/>
      </c>
      <c r="Q757" s="189" t="str">
        <f ca="1">IFERROR(__xludf.DUMMYFUNCTION("""COMPUTED_VALUE"""),"")</f>
        <v/>
      </c>
      <c r="R757" s="189" t="str">
        <f ca="1">IFERROR(__xludf.DUMMYFUNCTION("""COMPUTED_VALUE"""),"")</f>
        <v/>
      </c>
      <c r="S757" s="189" t="str">
        <f ca="1">IFERROR(__xludf.DUMMYFUNCTION("""COMPUTED_VALUE"""),"")</f>
        <v/>
      </c>
      <c r="T757" s="189" t="str">
        <f ca="1">IFERROR(__xludf.DUMMYFUNCTION("""COMPUTED_VALUE"""),"")</f>
        <v/>
      </c>
      <c r="U757" s="189" t="str">
        <f ca="1">IFERROR(__xludf.DUMMYFUNCTION("""COMPUTED_VALUE"""),"")</f>
        <v/>
      </c>
      <c r="V757" s="189" t="str">
        <f ca="1">IFERROR(__xludf.DUMMYFUNCTION("""COMPUTED_VALUE"""),"")</f>
        <v/>
      </c>
      <c r="W757" s="189" t="str">
        <f ca="1">IFERROR(__xludf.DUMMYFUNCTION("""COMPUTED_VALUE"""),"")</f>
        <v/>
      </c>
      <c r="X757" s="189" t="str">
        <f ca="1">IFERROR(__xludf.DUMMYFUNCTION("""COMPUTED_VALUE"""),"")</f>
        <v/>
      </c>
      <c r="Y757" s="189" t="str">
        <f ca="1">IFERROR(__xludf.DUMMYFUNCTION("""COMPUTED_VALUE"""),"")</f>
        <v/>
      </c>
      <c r="Z757" s="189"/>
    </row>
    <row r="758" spans="1:26" ht="12.75">
      <c r="A758" s="189" t="str">
        <f ca="1">IFERROR(__xludf.DUMMYFUNCTION("""COMPUTED_VALUE"""),"")</f>
        <v/>
      </c>
      <c r="B758" s="189" t="str">
        <f ca="1">IFERROR(__xludf.DUMMYFUNCTION("""COMPUTED_VALUE"""),"")</f>
        <v/>
      </c>
      <c r="C758" s="189" t="str">
        <f ca="1">IFERROR(__xludf.DUMMYFUNCTION("""COMPUTED_VALUE"""),"")</f>
        <v/>
      </c>
      <c r="D758" s="189" t="str">
        <f ca="1">IFERROR(__xludf.DUMMYFUNCTION("""COMPUTED_VALUE"""),"")</f>
        <v/>
      </c>
      <c r="E758" s="189" t="str">
        <f ca="1">IFERROR(__xludf.DUMMYFUNCTION("""COMPUTED_VALUE"""),"")</f>
        <v/>
      </c>
      <c r="F758" s="189" t="str">
        <f ca="1">IFERROR(__xludf.DUMMYFUNCTION("""COMPUTED_VALUE"""),"")</f>
        <v/>
      </c>
      <c r="G758" s="189" t="str">
        <f ca="1">IFERROR(__xludf.DUMMYFUNCTION("""COMPUTED_VALUE"""),"")</f>
        <v/>
      </c>
      <c r="H758" s="189" t="str">
        <f ca="1">IFERROR(__xludf.DUMMYFUNCTION("""COMPUTED_VALUE"""),"")</f>
        <v/>
      </c>
      <c r="I758" s="120" t="str">
        <f ca="1">IFERROR(__xludf.DUMMYFUNCTION("""COMPUTED_VALUE"""),"")</f>
        <v/>
      </c>
      <c r="J758" s="189" t="str">
        <f ca="1">IFERROR(__xludf.DUMMYFUNCTION("""COMPUTED_VALUE"""),"")</f>
        <v/>
      </c>
      <c r="K758" s="189" t="str">
        <f ca="1">IFERROR(__xludf.DUMMYFUNCTION("""COMPUTED_VALUE"""),"")</f>
        <v/>
      </c>
      <c r="L758" s="189" t="str">
        <f ca="1">IFERROR(__xludf.DUMMYFUNCTION("""COMPUTED_VALUE"""),"")</f>
        <v/>
      </c>
      <c r="M758" s="189" t="str">
        <f ca="1">IFERROR(__xludf.DUMMYFUNCTION("""COMPUTED_VALUE"""),"")</f>
        <v/>
      </c>
      <c r="N758" s="189" t="str">
        <f ca="1">IFERROR(__xludf.DUMMYFUNCTION("""COMPUTED_VALUE"""),"")</f>
        <v/>
      </c>
      <c r="O758" s="189" t="str">
        <f ca="1">IFERROR(__xludf.DUMMYFUNCTION("""COMPUTED_VALUE"""),"")</f>
        <v/>
      </c>
      <c r="P758" s="189" t="str">
        <f ca="1">IFERROR(__xludf.DUMMYFUNCTION("""COMPUTED_VALUE"""),"")</f>
        <v/>
      </c>
      <c r="Q758" s="189" t="str">
        <f ca="1">IFERROR(__xludf.DUMMYFUNCTION("""COMPUTED_VALUE"""),"")</f>
        <v/>
      </c>
      <c r="R758" s="189" t="str">
        <f ca="1">IFERROR(__xludf.DUMMYFUNCTION("""COMPUTED_VALUE"""),"")</f>
        <v/>
      </c>
      <c r="S758" s="189" t="str">
        <f ca="1">IFERROR(__xludf.DUMMYFUNCTION("""COMPUTED_VALUE"""),"")</f>
        <v/>
      </c>
      <c r="T758" s="189" t="str">
        <f ca="1">IFERROR(__xludf.DUMMYFUNCTION("""COMPUTED_VALUE"""),"")</f>
        <v/>
      </c>
      <c r="U758" s="189" t="str">
        <f ca="1">IFERROR(__xludf.DUMMYFUNCTION("""COMPUTED_VALUE"""),"")</f>
        <v/>
      </c>
      <c r="V758" s="189" t="str">
        <f ca="1">IFERROR(__xludf.DUMMYFUNCTION("""COMPUTED_VALUE"""),"")</f>
        <v/>
      </c>
      <c r="W758" s="189" t="str">
        <f ca="1">IFERROR(__xludf.DUMMYFUNCTION("""COMPUTED_VALUE"""),"")</f>
        <v/>
      </c>
      <c r="X758" s="189" t="str">
        <f ca="1">IFERROR(__xludf.DUMMYFUNCTION("""COMPUTED_VALUE"""),"")</f>
        <v/>
      </c>
      <c r="Y758" s="189" t="str">
        <f ca="1">IFERROR(__xludf.DUMMYFUNCTION("""COMPUTED_VALUE"""),"")</f>
        <v/>
      </c>
      <c r="Z758" s="189"/>
    </row>
    <row r="759" spans="1:26" ht="12.75">
      <c r="A759" s="189" t="str">
        <f ca="1">IFERROR(__xludf.DUMMYFUNCTION("""COMPUTED_VALUE"""),"")</f>
        <v/>
      </c>
      <c r="B759" s="189" t="str">
        <f ca="1">IFERROR(__xludf.DUMMYFUNCTION("""COMPUTED_VALUE"""),"")</f>
        <v/>
      </c>
      <c r="C759" s="189" t="str">
        <f ca="1">IFERROR(__xludf.DUMMYFUNCTION("""COMPUTED_VALUE"""),"")</f>
        <v/>
      </c>
      <c r="D759" s="189" t="str">
        <f ca="1">IFERROR(__xludf.DUMMYFUNCTION("""COMPUTED_VALUE"""),"")</f>
        <v/>
      </c>
      <c r="E759" s="189" t="str">
        <f ca="1">IFERROR(__xludf.DUMMYFUNCTION("""COMPUTED_VALUE"""),"")</f>
        <v/>
      </c>
      <c r="F759" s="189" t="str">
        <f ca="1">IFERROR(__xludf.DUMMYFUNCTION("""COMPUTED_VALUE"""),"")</f>
        <v/>
      </c>
      <c r="G759" s="189" t="str">
        <f ca="1">IFERROR(__xludf.DUMMYFUNCTION("""COMPUTED_VALUE"""),"")</f>
        <v/>
      </c>
      <c r="H759" s="189" t="str">
        <f ca="1">IFERROR(__xludf.DUMMYFUNCTION("""COMPUTED_VALUE"""),"")</f>
        <v/>
      </c>
      <c r="I759" s="120" t="str">
        <f ca="1">IFERROR(__xludf.DUMMYFUNCTION("""COMPUTED_VALUE"""),"")</f>
        <v/>
      </c>
      <c r="J759" s="189" t="str">
        <f ca="1">IFERROR(__xludf.DUMMYFUNCTION("""COMPUTED_VALUE"""),"")</f>
        <v/>
      </c>
      <c r="K759" s="189" t="str">
        <f ca="1">IFERROR(__xludf.DUMMYFUNCTION("""COMPUTED_VALUE"""),"")</f>
        <v/>
      </c>
      <c r="L759" s="189" t="str">
        <f ca="1">IFERROR(__xludf.DUMMYFUNCTION("""COMPUTED_VALUE"""),"")</f>
        <v/>
      </c>
      <c r="M759" s="189" t="str">
        <f ca="1">IFERROR(__xludf.DUMMYFUNCTION("""COMPUTED_VALUE"""),"")</f>
        <v/>
      </c>
      <c r="N759" s="189" t="str">
        <f ca="1">IFERROR(__xludf.DUMMYFUNCTION("""COMPUTED_VALUE"""),"")</f>
        <v/>
      </c>
      <c r="O759" s="189" t="str">
        <f ca="1">IFERROR(__xludf.DUMMYFUNCTION("""COMPUTED_VALUE"""),"")</f>
        <v/>
      </c>
      <c r="P759" s="189" t="str">
        <f ca="1">IFERROR(__xludf.DUMMYFUNCTION("""COMPUTED_VALUE"""),"")</f>
        <v/>
      </c>
      <c r="Q759" s="189" t="str">
        <f ca="1">IFERROR(__xludf.DUMMYFUNCTION("""COMPUTED_VALUE"""),"")</f>
        <v/>
      </c>
      <c r="R759" s="189" t="str">
        <f ca="1">IFERROR(__xludf.DUMMYFUNCTION("""COMPUTED_VALUE"""),"")</f>
        <v/>
      </c>
      <c r="S759" s="189" t="str">
        <f ca="1">IFERROR(__xludf.DUMMYFUNCTION("""COMPUTED_VALUE"""),"")</f>
        <v/>
      </c>
      <c r="T759" s="189" t="str">
        <f ca="1">IFERROR(__xludf.DUMMYFUNCTION("""COMPUTED_VALUE"""),"")</f>
        <v/>
      </c>
      <c r="U759" s="189" t="str">
        <f ca="1">IFERROR(__xludf.DUMMYFUNCTION("""COMPUTED_VALUE"""),"")</f>
        <v/>
      </c>
      <c r="V759" s="189" t="str">
        <f ca="1">IFERROR(__xludf.DUMMYFUNCTION("""COMPUTED_VALUE"""),"")</f>
        <v/>
      </c>
      <c r="W759" s="189" t="str">
        <f ca="1">IFERROR(__xludf.DUMMYFUNCTION("""COMPUTED_VALUE"""),"")</f>
        <v/>
      </c>
      <c r="X759" s="189" t="str">
        <f ca="1">IFERROR(__xludf.DUMMYFUNCTION("""COMPUTED_VALUE"""),"")</f>
        <v/>
      </c>
      <c r="Y759" s="189" t="str">
        <f ca="1">IFERROR(__xludf.DUMMYFUNCTION("""COMPUTED_VALUE"""),"")</f>
        <v/>
      </c>
      <c r="Z759" s="189"/>
    </row>
    <row r="760" spans="1:26" ht="12.75">
      <c r="A760" s="189" t="str">
        <f ca="1">IFERROR(__xludf.DUMMYFUNCTION("""COMPUTED_VALUE"""),"")</f>
        <v/>
      </c>
      <c r="B760" s="189" t="str">
        <f ca="1">IFERROR(__xludf.DUMMYFUNCTION("""COMPUTED_VALUE"""),"")</f>
        <v/>
      </c>
      <c r="C760" s="189" t="str">
        <f ca="1">IFERROR(__xludf.DUMMYFUNCTION("""COMPUTED_VALUE"""),"")</f>
        <v/>
      </c>
      <c r="D760" s="189" t="str">
        <f ca="1">IFERROR(__xludf.DUMMYFUNCTION("""COMPUTED_VALUE"""),"")</f>
        <v/>
      </c>
      <c r="E760" s="189" t="str">
        <f ca="1">IFERROR(__xludf.DUMMYFUNCTION("""COMPUTED_VALUE"""),"")</f>
        <v/>
      </c>
      <c r="F760" s="189" t="str">
        <f ca="1">IFERROR(__xludf.DUMMYFUNCTION("""COMPUTED_VALUE"""),"")</f>
        <v/>
      </c>
      <c r="G760" s="189" t="str">
        <f ca="1">IFERROR(__xludf.DUMMYFUNCTION("""COMPUTED_VALUE"""),"")</f>
        <v/>
      </c>
      <c r="H760" s="189" t="str">
        <f ca="1">IFERROR(__xludf.DUMMYFUNCTION("""COMPUTED_VALUE"""),"")</f>
        <v/>
      </c>
      <c r="I760" s="120" t="str">
        <f ca="1">IFERROR(__xludf.DUMMYFUNCTION("""COMPUTED_VALUE"""),"")</f>
        <v/>
      </c>
      <c r="J760" s="189" t="str">
        <f ca="1">IFERROR(__xludf.DUMMYFUNCTION("""COMPUTED_VALUE"""),"")</f>
        <v/>
      </c>
      <c r="K760" s="189" t="str">
        <f ca="1">IFERROR(__xludf.DUMMYFUNCTION("""COMPUTED_VALUE"""),"")</f>
        <v/>
      </c>
      <c r="L760" s="189" t="str">
        <f ca="1">IFERROR(__xludf.DUMMYFUNCTION("""COMPUTED_VALUE"""),"")</f>
        <v/>
      </c>
      <c r="M760" s="189" t="str">
        <f ca="1">IFERROR(__xludf.DUMMYFUNCTION("""COMPUTED_VALUE"""),"")</f>
        <v/>
      </c>
      <c r="N760" s="189" t="str">
        <f ca="1">IFERROR(__xludf.DUMMYFUNCTION("""COMPUTED_VALUE"""),"")</f>
        <v/>
      </c>
      <c r="O760" s="189" t="str">
        <f ca="1">IFERROR(__xludf.DUMMYFUNCTION("""COMPUTED_VALUE"""),"")</f>
        <v/>
      </c>
      <c r="P760" s="189" t="str">
        <f ca="1">IFERROR(__xludf.DUMMYFUNCTION("""COMPUTED_VALUE"""),"")</f>
        <v/>
      </c>
      <c r="Q760" s="189" t="str">
        <f ca="1">IFERROR(__xludf.DUMMYFUNCTION("""COMPUTED_VALUE"""),"")</f>
        <v/>
      </c>
      <c r="R760" s="189" t="str">
        <f ca="1">IFERROR(__xludf.DUMMYFUNCTION("""COMPUTED_VALUE"""),"")</f>
        <v/>
      </c>
      <c r="S760" s="189" t="str">
        <f ca="1">IFERROR(__xludf.DUMMYFUNCTION("""COMPUTED_VALUE"""),"")</f>
        <v/>
      </c>
      <c r="T760" s="189" t="str">
        <f ca="1">IFERROR(__xludf.DUMMYFUNCTION("""COMPUTED_VALUE"""),"")</f>
        <v/>
      </c>
      <c r="U760" s="189" t="str">
        <f ca="1">IFERROR(__xludf.DUMMYFUNCTION("""COMPUTED_VALUE"""),"")</f>
        <v/>
      </c>
      <c r="V760" s="189" t="str">
        <f ca="1">IFERROR(__xludf.DUMMYFUNCTION("""COMPUTED_VALUE"""),"")</f>
        <v/>
      </c>
      <c r="W760" s="189" t="str">
        <f ca="1">IFERROR(__xludf.DUMMYFUNCTION("""COMPUTED_VALUE"""),"")</f>
        <v/>
      </c>
      <c r="X760" s="189" t="str">
        <f ca="1">IFERROR(__xludf.DUMMYFUNCTION("""COMPUTED_VALUE"""),"")</f>
        <v/>
      </c>
      <c r="Y760" s="189" t="str">
        <f ca="1">IFERROR(__xludf.DUMMYFUNCTION("""COMPUTED_VALUE"""),"")</f>
        <v/>
      </c>
      <c r="Z760" s="189"/>
    </row>
    <row r="761" spans="1:26" ht="12.75">
      <c r="A761" s="189" t="str">
        <f ca="1">IFERROR(__xludf.DUMMYFUNCTION("""COMPUTED_VALUE"""),"")</f>
        <v/>
      </c>
      <c r="B761" s="189" t="str">
        <f ca="1">IFERROR(__xludf.DUMMYFUNCTION("""COMPUTED_VALUE"""),"")</f>
        <v/>
      </c>
      <c r="C761" s="189" t="str">
        <f ca="1">IFERROR(__xludf.DUMMYFUNCTION("""COMPUTED_VALUE"""),"")</f>
        <v/>
      </c>
      <c r="D761" s="189" t="str">
        <f ca="1">IFERROR(__xludf.DUMMYFUNCTION("""COMPUTED_VALUE"""),"")</f>
        <v/>
      </c>
      <c r="E761" s="189" t="str">
        <f ca="1">IFERROR(__xludf.DUMMYFUNCTION("""COMPUTED_VALUE"""),"")</f>
        <v/>
      </c>
      <c r="F761" s="189" t="str">
        <f ca="1">IFERROR(__xludf.DUMMYFUNCTION("""COMPUTED_VALUE"""),"")</f>
        <v/>
      </c>
      <c r="G761" s="189" t="str">
        <f ca="1">IFERROR(__xludf.DUMMYFUNCTION("""COMPUTED_VALUE"""),"")</f>
        <v/>
      </c>
      <c r="H761" s="189" t="str">
        <f ca="1">IFERROR(__xludf.DUMMYFUNCTION("""COMPUTED_VALUE"""),"")</f>
        <v/>
      </c>
      <c r="I761" s="120" t="str">
        <f ca="1">IFERROR(__xludf.DUMMYFUNCTION("""COMPUTED_VALUE"""),"")</f>
        <v/>
      </c>
      <c r="J761" s="189" t="str">
        <f ca="1">IFERROR(__xludf.DUMMYFUNCTION("""COMPUTED_VALUE"""),"")</f>
        <v/>
      </c>
      <c r="K761" s="189" t="str">
        <f ca="1">IFERROR(__xludf.DUMMYFUNCTION("""COMPUTED_VALUE"""),"")</f>
        <v/>
      </c>
      <c r="L761" s="189" t="str">
        <f ca="1">IFERROR(__xludf.DUMMYFUNCTION("""COMPUTED_VALUE"""),"")</f>
        <v/>
      </c>
      <c r="M761" s="189" t="str">
        <f ca="1">IFERROR(__xludf.DUMMYFUNCTION("""COMPUTED_VALUE"""),"")</f>
        <v/>
      </c>
      <c r="N761" s="189" t="str">
        <f ca="1">IFERROR(__xludf.DUMMYFUNCTION("""COMPUTED_VALUE"""),"")</f>
        <v/>
      </c>
      <c r="O761" s="189" t="str">
        <f ca="1">IFERROR(__xludf.DUMMYFUNCTION("""COMPUTED_VALUE"""),"")</f>
        <v/>
      </c>
      <c r="P761" s="189" t="str">
        <f ca="1">IFERROR(__xludf.DUMMYFUNCTION("""COMPUTED_VALUE"""),"")</f>
        <v/>
      </c>
      <c r="Q761" s="189" t="str">
        <f ca="1">IFERROR(__xludf.DUMMYFUNCTION("""COMPUTED_VALUE"""),"")</f>
        <v/>
      </c>
      <c r="R761" s="189" t="str">
        <f ca="1">IFERROR(__xludf.DUMMYFUNCTION("""COMPUTED_VALUE"""),"")</f>
        <v/>
      </c>
      <c r="S761" s="189" t="str">
        <f ca="1">IFERROR(__xludf.DUMMYFUNCTION("""COMPUTED_VALUE"""),"")</f>
        <v/>
      </c>
      <c r="T761" s="189" t="str">
        <f ca="1">IFERROR(__xludf.DUMMYFUNCTION("""COMPUTED_VALUE"""),"")</f>
        <v/>
      </c>
      <c r="U761" s="189" t="str">
        <f ca="1">IFERROR(__xludf.DUMMYFUNCTION("""COMPUTED_VALUE"""),"")</f>
        <v/>
      </c>
      <c r="V761" s="189" t="str">
        <f ca="1">IFERROR(__xludf.DUMMYFUNCTION("""COMPUTED_VALUE"""),"")</f>
        <v/>
      </c>
      <c r="W761" s="189" t="str">
        <f ca="1">IFERROR(__xludf.DUMMYFUNCTION("""COMPUTED_VALUE"""),"")</f>
        <v/>
      </c>
      <c r="X761" s="189" t="str">
        <f ca="1">IFERROR(__xludf.DUMMYFUNCTION("""COMPUTED_VALUE"""),"")</f>
        <v/>
      </c>
      <c r="Y761" s="189" t="str">
        <f ca="1">IFERROR(__xludf.DUMMYFUNCTION("""COMPUTED_VALUE"""),"")</f>
        <v/>
      </c>
      <c r="Z761" s="189"/>
    </row>
    <row r="762" spans="1:26" ht="12.75">
      <c r="A762" s="189" t="str">
        <f ca="1">IFERROR(__xludf.DUMMYFUNCTION("""COMPUTED_VALUE"""),"")</f>
        <v/>
      </c>
      <c r="B762" s="189" t="str">
        <f ca="1">IFERROR(__xludf.DUMMYFUNCTION("""COMPUTED_VALUE"""),"")</f>
        <v/>
      </c>
      <c r="C762" s="189" t="str">
        <f ca="1">IFERROR(__xludf.DUMMYFUNCTION("""COMPUTED_VALUE"""),"")</f>
        <v/>
      </c>
      <c r="D762" s="189" t="str">
        <f ca="1">IFERROR(__xludf.DUMMYFUNCTION("""COMPUTED_VALUE"""),"")</f>
        <v/>
      </c>
      <c r="E762" s="189" t="str">
        <f ca="1">IFERROR(__xludf.DUMMYFUNCTION("""COMPUTED_VALUE"""),"")</f>
        <v/>
      </c>
      <c r="F762" s="189" t="str">
        <f ca="1">IFERROR(__xludf.DUMMYFUNCTION("""COMPUTED_VALUE"""),"")</f>
        <v/>
      </c>
      <c r="G762" s="189" t="str">
        <f ca="1">IFERROR(__xludf.DUMMYFUNCTION("""COMPUTED_VALUE"""),"")</f>
        <v/>
      </c>
      <c r="H762" s="189" t="str">
        <f ca="1">IFERROR(__xludf.DUMMYFUNCTION("""COMPUTED_VALUE"""),"")</f>
        <v/>
      </c>
      <c r="I762" s="120" t="str">
        <f ca="1">IFERROR(__xludf.DUMMYFUNCTION("""COMPUTED_VALUE"""),"")</f>
        <v/>
      </c>
      <c r="J762" s="189" t="str">
        <f ca="1">IFERROR(__xludf.DUMMYFUNCTION("""COMPUTED_VALUE"""),"")</f>
        <v/>
      </c>
      <c r="K762" s="189" t="str">
        <f ca="1">IFERROR(__xludf.DUMMYFUNCTION("""COMPUTED_VALUE"""),"")</f>
        <v/>
      </c>
      <c r="L762" s="189" t="str">
        <f ca="1">IFERROR(__xludf.DUMMYFUNCTION("""COMPUTED_VALUE"""),"")</f>
        <v/>
      </c>
      <c r="M762" s="189" t="str">
        <f ca="1">IFERROR(__xludf.DUMMYFUNCTION("""COMPUTED_VALUE"""),"")</f>
        <v/>
      </c>
      <c r="N762" s="189" t="str">
        <f ca="1">IFERROR(__xludf.DUMMYFUNCTION("""COMPUTED_VALUE"""),"")</f>
        <v/>
      </c>
      <c r="O762" s="189" t="str">
        <f ca="1">IFERROR(__xludf.DUMMYFUNCTION("""COMPUTED_VALUE"""),"")</f>
        <v/>
      </c>
      <c r="P762" s="189" t="str">
        <f ca="1">IFERROR(__xludf.DUMMYFUNCTION("""COMPUTED_VALUE"""),"")</f>
        <v/>
      </c>
      <c r="Q762" s="189" t="str">
        <f ca="1">IFERROR(__xludf.DUMMYFUNCTION("""COMPUTED_VALUE"""),"")</f>
        <v/>
      </c>
      <c r="R762" s="189" t="str">
        <f ca="1">IFERROR(__xludf.DUMMYFUNCTION("""COMPUTED_VALUE"""),"")</f>
        <v/>
      </c>
      <c r="S762" s="189" t="str">
        <f ca="1">IFERROR(__xludf.DUMMYFUNCTION("""COMPUTED_VALUE"""),"")</f>
        <v/>
      </c>
      <c r="T762" s="189" t="str">
        <f ca="1">IFERROR(__xludf.DUMMYFUNCTION("""COMPUTED_VALUE"""),"")</f>
        <v/>
      </c>
      <c r="U762" s="189" t="str">
        <f ca="1">IFERROR(__xludf.DUMMYFUNCTION("""COMPUTED_VALUE"""),"")</f>
        <v/>
      </c>
      <c r="V762" s="189" t="str">
        <f ca="1">IFERROR(__xludf.DUMMYFUNCTION("""COMPUTED_VALUE"""),"")</f>
        <v/>
      </c>
      <c r="W762" s="189" t="str">
        <f ca="1">IFERROR(__xludf.DUMMYFUNCTION("""COMPUTED_VALUE"""),"")</f>
        <v/>
      </c>
      <c r="X762" s="189" t="str">
        <f ca="1">IFERROR(__xludf.DUMMYFUNCTION("""COMPUTED_VALUE"""),"")</f>
        <v/>
      </c>
      <c r="Y762" s="189" t="str">
        <f ca="1">IFERROR(__xludf.DUMMYFUNCTION("""COMPUTED_VALUE"""),"")</f>
        <v/>
      </c>
      <c r="Z762" s="189"/>
    </row>
    <row r="763" spans="1:26" ht="12.75">
      <c r="A763" s="189" t="str">
        <f ca="1">IFERROR(__xludf.DUMMYFUNCTION("""COMPUTED_VALUE"""),"")</f>
        <v/>
      </c>
      <c r="B763" s="189" t="str">
        <f ca="1">IFERROR(__xludf.DUMMYFUNCTION("""COMPUTED_VALUE"""),"")</f>
        <v/>
      </c>
      <c r="C763" s="189" t="str">
        <f ca="1">IFERROR(__xludf.DUMMYFUNCTION("""COMPUTED_VALUE"""),"")</f>
        <v/>
      </c>
      <c r="D763" s="189" t="str">
        <f ca="1">IFERROR(__xludf.DUMMYFUNCTION("""COMPUTED_VALUE"""),"")</f>
        <v/>
      </c>
      <c r="E763" s="189" t="str">
        <f ca="1">IFERROR(__xludf.DUMMYFUNCTION("""COMPUTED_VALUE"""),"")</f>
        <v/>
      </c>
      <c r="F763" s="189" t="str">
        <f ca="1">IFERROR(__xludf.DUMMYFUNCTION("""COMPUTED_VALUE"""),"")</f>
        <v/>
      </c>
      <c r="G763" s="189" t="str">
        <f ca="1">IFERROR(__xludf.DUMMYFUNCTION("""COMPUTED_VALUE"""),"")</f>
        <v/>
      </c>
      <c r="H763" s="189" t="str">
        <f ca="1">IFERROR(__xludf.DUMMYFUNCTION("""COMPUTED_VALUE"""),"")</f>
        <v/>
      </c>
      <c r="I763" s="120" t="str">
        <f ca="1">IFERROR(__xludf.DUMMYFUNCTION("""COMPUTED_VALUE"""),"")</f>
        <v/>
      </c>
      <c r="J763" s="189" t="str">
        <f ca="1">IFERROR(__xludf.DUMMYFUNCTION("""COMPUTED_VALUE"""),"")</f>
        <v/>
      </c>
      <c r="K763" s="189" t="str">
        <f ca="1">IFERROR(__xludf.DUMMYFUNCTION("""COMPUTED_VALUE"""),"")</f>
        <v/>
      </c>
      <c r="L763" s="189" t="str">
        <f ca="1">IFERROR(__xludf.DUMMYFUNCTION("""COMPUTED_VALUE"""),"")</f>
        <v/>
      </c>
      <c r="M763" s="189" t="str">
        <f ca="1">IFERROR(__xludf.DUMMYFUNCTION("""COMPUTED_VALUE"""),"")</f>
        <v/>
      </c>
      <c r="N763" s="189" t="str">
        <f ca="1">IFERROR(__xludf.DUMMYFUNCTION("""COMPUTED_VALUE"""),"")</f>
        <v/>
      </c>
      <c r="O763" s="189" t="str">
        <f ca="1">IFERROR(__xludf.DUMMYFUNCTION("""COMPUTED_VALUE"""),"")</f>
        <v/>
      </c>
      <c r="P763" s="189" t="str">
        <f ca="1">IFERROR(__xludf.DUMMYFUNCTION("""COMPUTED_VALUE"""),"")</f>
        <v/>
      </c>
      <c r="Q763" s="189" t="str">
        <f ca="1">IFERROR(__xludf.DUMMYFUNCTION("""COMPUTED_VALUE"""),"")</f>
        <v/>
      </c>
      <c r="R763" s="189" t="str">
        <f ca="1">IFERROR(__xludf.DUMMYFUNCTION("""COMPUTED_VALUE"""),"")</f>
        <v/>
      </c>
      <c r="S763" s="189" t="str">
        <f ca="1">IFERROR(__xludf.DUMMYFUNCTION("""COMPUTED_VALUE"""),"")</f>
        <v/>
      </c>
      <c r="T763" s="189" t="str">
        <f ca="1">IFERROR(__xludf.DUMMYFUNCTION("""COMPUTED_VALUE"""),"")</f>
        <v/>
      </c>
      <c r="U763" s="189" t="str">
        <f ca="1">IFERROR(__xludf.DUMMYFUNCTION("""COMPUTED_VALUE"""),"")</f>
        <v/>
      </c>
      <c r="V763" s="189" t="str">
        <f ca="1">IFERROR(__xludf.DUMMYFUNCTION("""COMPUTED_VALUE"""),"")</f>
        <v/>
      </c>
      <c r="W763" s="189" t="str">
        <f ca="1">IFERROR(__xludf.DUMMYFUNCTION("""COMPUTED_VALUE"""),"")</f>
        <v/>
      </c>
      <c r="X763" s="189" t="str">
        <f ca="1">IFERROR(__xludf.DUMMYFUNCTION("""COMPUTED_VALUE"""),"")</f>
        <v/>
      </c>
      <c r="Y763" s="189" t="str">
        <f ca="1">IFERROR(__xludf.DUMMYFUNCTION("""COMPUTED_VALUE"""),"")</f>
        <v/>
      </c>
      <c r="Z763" s="189"/>
    </row>
    <row r="764" spans="1:26" ht="12.75">
      <c r="A764" s="189" t="str">
        <f ca="1">IFERROR(__xludf.DUMMYFUNCTION("""COMPUTED_VALUE"""),"")</f>
        <v/>
      </c>
      <c r="B764" s="189" t="str">
        <f ca="1">IFERROR(__xludf.DUMMYFUNCTION("""COMPUTED_VALUE"""),"")</f>
        <v/>
      </c>
      <c r="C764" s="189" t="str">
        <f ca="1">IFERROR(__xludf.DUMMYFUNCTION("""COMPUTED_VALUE"""),"")</f>
        <v/>
      </c>
      <c r="D764" s="189" t="str">
        <f ca="1">IFERROR(__xludf.DUMMYFUNCTION("""COMPUTED_VALUE"""),"")</f>
        <v/>
      </c>
      <c r="E764" s="189" t="str">
        <f ca="1">IFERROR(__xludf.DUMMYFUNCTION("""COMPUTED_VALUE"""),"")</f>
        <v/>
      </c>
      <c r="F764" s="189" t="str">
        <f ca="1">IFERROR(__xludf.DUMMYFUNCTION("""COMPUTED_VALUE"""),"")</f>
        <v/>
      </c>
      <c r="G764" s="189" t="str">
        <f ca="1">IFERROR(__xludf.DUMMYFUNCTION("""COMPUTED_VALUE"""),"")</f>
        <v/>
      </c>
      <c r="H764" s="189" t="str">
        <f ca="1">IFERROR(__xludf.DUMMYFUNCTION("""COMPUTED_VALUE"""),"")</f>
        <v/>
      </c>
      <c r="I764" s="120" t="str">
        <f ca="1">IFERROR(__xludf.DUMMYFUNCTION("""COMPUTED_VALUE"""),"")</f>
        <v/>
      </c>
      <c r="J764" s="189" t="str">
        <f ca="1">IFERROR(__xludf.DUMMYFUNCTION("""COMPUTED_VALUE"""),"")</f>
        <v/>
      </c>
      <c r="K764" s="189" t="str">
        <f ca="1">IFERROR(__xludf.DUMMYFUNCTION("""COMPUTED_VALUE"""),"")</f>
        <v/>
      </c>
      <c r="L764" s="189" t="str">
        <f ca="1">IFERROR(__xludf.DUMMYFUNCTION("""COMPUTED_VALUE"""),"")</f>
        <v/>
      </c>
      <c r="M764" s="189" t="str">
        <f ca="1">IFERROR(__xludf.DUMMYFUNCTION("""COMPUTED_VALUE"""),"")</f>
        <v/>
      </c>
      <c r="N764" s="189" t="str">
        <f ca="1">IFERROR(__xludf.DUMMYFUNCTION("""COMPUTED_VALUE"""),"")</f>
        <v/>
      </c>
      <c r="O764" s="189" t="str">
        <f ca="1">IFERROR(__xludf.DUMMYFUNCTION("""COMPUTED_VALUE"""),"")</f>
        <v/>
      </c>
      <c r="P764" s="189" t="str">
        <f ca="1">IFERROR(__xludf.DUMMYFUNCTION("""COMPUTED_VALUE"""),"")</f>
        <v/>
      </c>
      <c r="Q764" s="189" t="str">
        <f ca="1">IFERROR(__xludf.DUMMYFUNCTION("""COMPUTED_VALUE"""),"")</f>
        <v/>
      </c>
      <c r="R764" s="189" t="str">
        <f ca="1">IFERROR(__xludf.DUMMYFUNCTION("""COMPUTED_VALUE"""),"")</f>
        <v/>
      </c>
      <c r="S764" s="189" t="str">
        <f ca="1">IFERROR(__xludf.DUMMYFUNCTION("""COMPUTED_VALUE"""),"")</f>
        <v/>
      </c>
      <c r="T764" s="189" t="str">
        <f ca="1">IFERROR(__xludf.DUMMYFUNCTION("""COMPUTED_VALUE"""),"")</f>
        <v/>
      </c>
      <c r="U764" s="189" t="str">
        <f ca="1">IFERROR(__xludf.DUMMYFUNCTION("""COMPUTED_VALUE"""),"")</f>
        <v/>
      </c>
      <c r="V764" s="189" t="str">
        <f ca="1">IFERROR(__xludf.DUMMYFUNCTION("""COMPUTED_VALUE"""),"")</f>
        <v/>
      </c>
      <c r="W764" s="189" t="str">
        <f ca="1">IFERROR(__xludf.DUMMYFUNCTION("""COMPUTED_VALUE"""),"")</f>
        <v/>
      </c>
      <c r="X764" s="189" t="str">
        <f ca="1">IFERROR(__xludf.DUMMYFUNCTION("""COMPUTED_VALUE"""),"")</f>
        <v/>
      </c>
      <c r="Y764" s="189" t="str">
        <f ca="1">IFERROR(__xludf.DUMMYFUNCTION("""COMPUTED_VALUE"""),"")</f>
        <v/>
      </c>
      <c r="Z764" s="189"/>
    </row>
    <row r="765" spans="1:26" ht="12.75">
      <c r="A765" s="189" t="str">
        <f ca="1">IFERROR(__xludf.DUMMYFUNCTION("""COMPUTED_VALUE"""),"")</f>
        <v/>
      </c>
      <c r="B765" s="189" t="str">
        <f ca="1">IFERROR(__xludf.DUMMYFUNCTION("""COMPUTED_VALUE"""),"")</f>
        <v/>
      </c>
      <c r="C765" s="189" t="str">
        <f ca="1">IFERROR(__xludf.DUMMYFUNCTION("""COMPUTED_VALUE"""),"")</f>
        <v/>
      </c>
      <c r="D765" s="189" t="str">
        <f ca="1">IFERROR(__xludf.DUMMYFUNCTION("""COMPUTED_VALUE"""),"")</f>
        <v/>
      </c>
      <c r="E765" s="189" t="str">
        <f ca="1">IFERROR(__xludf.DUMMYFUNCTION("""COMPUTED_VALUE"""),"")</f>
        <v/>
      </c>
      <c r="F765" s="189" t="str">
        <f ca="1">IFERROR(__xludf.DUMMYFUNCTION("""COMPUTED_VALUE"""),"")</f>
        <v/>
      </c>
      <c r="G765" s="189" t="str">
        <f ca="1">IFERROR(__xludf.DUMMYFUNCTION("""COMPUTED_VALUE"""),"")</f>
        <v/>
      </c>
      <c r="H765" s="189" t="str">
        <f ca="1">IFERROR(__xludf.DUMMYFUNCTION("""COMPUTED_VALUE"""),"")</f>
        <v/>
      </c>
      <c r="I765" s="120" t="str">
        <f ca="1">IFERROR(__xludf.DUMMYFUNCTION("""COMPUTED_VALUE"""),"")</f>
        <v/>
      </c>
      <c r="J765" s="189" t="str">
        <f ca="1">IFERROR(__xludf.DUMMYFUNCTION("""COMPUTED_VALUE"""),"")</f>
        <v/>
      </c>
      <c r="K765" s="189" t="str">
        <f ca="1">IFERROR(__xludf.DUMMYFUNCTION("""COMPUTED_VALUE"""),"")</f>
        <v/>
      </c>
      <c r="L765" s="189" t="str">
        <f ca="1">IFERROR(__xludf.DUMMYFUNCTION("""COMPUTED_VALUE"""),"")</f>
        <v/>
      </c>
      <c r="M765" s="189" t="str">
        <f ca="1">IFERROR(__xludf.DUMMYFUNCTION("""COMPUTED_VALUE"""),"")</f>
        <v/>
      </c>
      <c r="N765" s="189" t="str">
        <f ca="1">IFERROR(__xludf.DUMMYFUNCTION("""COMPUTED_VALUE"""),"")</f>
        <v/>
      </c>
      <c r="O765" s="189" t="str">
        <f ca="1">IFERROR(__xludf.DUMMYFUNCTION("""COMPUTED_VALUE"""),"")</f>
        <v/>
      </c>
      <c r="P765" s="189" t="str">
        <f ca="1">IFERROR(__xludf.DUMMYFUNCTION("""COMPUTED_VALUE"""),"")</f>
        <v/>
      </c>
      <c r="Q765" s="189" t="str">
        <f ca="1">IFERROR(__xludf.DUMMYFUNCTION("""COMPUTED_VALUE"""),"")</f>
        <v/>
      </c>
      <c r="R765" s="189" t="str">
        <f ca="1">IFERROR(__xludf.DUMMYFUNCTION("""COMPUTED_VALUE"""),"")</f>
        <v/>
      </c>
      <c r="S765" s="189" t="str">
        <f ca="1">IFERROR(__xludf.DUMMYFUNCTION("""COMPUTED_VALUE"""),"")</f>
        <v/>
      </c>
      <c r="T765" s="189" t="str">
        <f ca="1">IFERROR(__xludf.DUMMYFUNCTION("""COMPUTED_VALUE"""),"")</f>
        <v/>
      </c>
      <c r="U765" s="189" t="str">
        <f ca="1">IFERROR(__xludf.DUMMYFUNCTION("""COMPUTED_VALUE"""),"")</f>
        <v/>
      </c>
      <c r="V765" s="189" t="str">
        <f ca="1">IFERROR(__xludf.DUMMYFUNCTION("""COMPUTED_VALUE"""),"")</f>
        <v/>
      </c>
      <c r="W765" s="189" t="str">
        <f ca="1">IFERROR(__xludf.DUMMYFUNCTION("""COMPUTED_VALUE"""),"")</f>
        <v/>
      </c>
      <c r="X765" s="189" t="str">
        <f ca="1">IFERROR(__xludf.DUMMYFUNCTION("""COMPUTED_VALUE"""),"")</f>
        <v/>
      </c>
      <c r="Y765" s="189" t="str">
        <f ca="1">IFERROR(__xludf.DUMMYFUNCTION("""COMPUTED_VALUE"""),"")</f>
        <v/>
      </c>
      <c r="Z765" s="189"/>
    </row>
    <row r="766" spans="1:26" ht="12.75">
      <c r="A766" s="189" t="str">
        <f ca="1">IFERROR(__xludf.DUMMYFUNCTION("""COMPUTED_VALUE"""),"")</f>
        <v/>
      </c>
      <c r="B766" s="189" t="str">
        <f ca="1">IFERROR(__xludf.DUMMYFUNCTION("""COMPUTED_VALUE"""),"")</f>
        <v/>
      </c>
      <c r="C766" s="189" t="str">
        <f ca="1">IFERROR(__xludf.DUMMYFUNCTION("""COMPUTED_VALUE"""),"")</f>
        <v/>
      </c>
      <c r="D766" s="189" t="str">
        <f ca="1">IFERROR(__xludf.DUMMYFUNCTION("""COMPUTED_VALUE"""),"")</f>
        <v/>
      </c>
      <c r="E766" s="189" t="str">
        <f ca="1">IFERROR(__xludf.DUMMYFUNCTION("""COMPUTED_VALUE"""),"")</f>
        <v/>
      </c>
      <c r="F766" s="189" t="str">
        <f ca="1">IFERROR(__xludf.DUMMYFUNCTION("""COMPUTED_VALUE"""),"")</f>
        <v/>
      </c>
      <c r="G766" s="189" t="str">
        <f ca="1">IFERROR(__xludf.DUMMYFUNCTION("""COMPUTED_VALUE"""),"")</f>
        <v/>
      </c>
      <c r="H766" s="189" t="str">
        <f ca="1">IFERROR(__xludf.DUMMYFUNCTION("""COMPUTED_VALUE"""),"")</f>
        <v/>
      </c>
      <c r="I766" s="120" t="str">
        <f ca="1">IFERROR(__xludf.DUMMYFUNCTION("""COMPUTED_VALUE"""),"")</f>
        <v/>
      </c>
      <c r="J766" s="189" t="str">
        <f ca="1">IFERROR(__xludf.DUMMYFUNCTION("""COMPUTED_VALUE"""),"")</f>
        <v/>
      </c>
      <c r="K766" s="189" t="str">
        <f ca="1">IFERROR(__xludf.DUMMYFUNCTION("""COMPUTED_VALUE"""),"")</f>
        <v/>
      </c>
      <c r="L766" s="189" t="str">
        <f ca="1">IFERROR(__xludf.DUMMYFUNCTION("""COMPUTED_VALUE"""),"")</f>
        <v/>
      </c>
      <c r="M766" s="189" t="str">
        <f ca="1">IFERROR(__xludf.DUMMYFUNCTION("""COMPUTED_VALUE"""),"")</f>
        <v/>
      </c>
      <c r="N766" s="189" t="str">
        <f ca="1">IFERROR(__xludf.DUMMYFUNCTION("""COMPUTED_VALUE"""),"")</f>
        <v/>
      </c>
      <c r="O766" s="189" t="str">
        <f ca="1">IFERROR(__xludf.DUMMYFUNCTION("""COMPUTED_VALUE"""),"")</f>
        <v/>
      </c>
      <c r="P766" s="189" t="str">
        <f ca="1">IFERROR(__xludf.DUMMYFUNCTION("""COMPUTED_VALUE"""),"")</f>
        <v/>
      </c>
      <c r="Q766" s="189" t="str">
        <f ca="1">IFERROR(__xludf.DUMMYFUNCTION("""COMPUTED_VALUE"""),"")</f>
        <v/>
      </c>
      <c r="R766" s="189" t="str">
        <f ca="1">IFERROR(__xludf.DUMMYFUNCTION("""COMPUTED_VALUE"""),"")</f>
        <v/>
      </c>
      <c r="S766" s="189" t="str">
        <f ca="1">IFERROR(__xludf.DUMMYFUNCTION("""COMPUTED_VALUE"""),"")</f>
        <v/>
      </c>
      <c r="T766" s="189" t="str">
        <f ca="1">IFERROR(__xludf.DUMMYFUNCTION("""COMPUTED_VALUE"""),"")</f>
        <v/>
      </c>
      <c r="U766" s="189" t="str">
        <f ca="1">IFERROR(__xludf.DUMMYFUNCTION("""COMPUTED_VALUE"""),"")</f>
        <v/>
      </c>
      <c r="V766" s="189" t="str">
        <f ca="1">IFERROR(__xludf.DUMMYFUNCTION("""COMPUTED_VALUE"""),"")</f>
        <v/>
      </c>
      <c r="W766" s="189" t="str">
        <f ca="1">IFERROR(__xludf.DUMMYFUNCTION("""COMPUTED_VALUE"""),"")</f>
        <v/>
      </c>
      <c r="X766" s="189" t="str">
        <f ca="1">IFERROR(__xludf.DUMMYFUNCTION("""COMPUTED_VALUE"""),"")</f>
        <v/>
      </c>
      <c r="Y766" s="189" t="str">
        <f ca="1">IFERROR(__xludf.DUMMYFUNCTION("""COMPUTED_VALUE"""),"")</f>
        <v/>
      </c>
      <c r="Z766" s="189"/>
    </row>
    <row r="767" spans="1:26" ht="12.75">
      <c r="A767" s="189" t="str">
        <f ca="1">IFERROR(__xludf.DUMMYFUNCTION("""COMPUTED_VALUE"""),"")</f>
        <v/>
      </c>
      <c r="B767" s="189" t="str">
        <f ca="1">IFERROR(__xludf.DUMMYFUNCTION("""COMPUTED_VALUE"""),"")</f>
        <v/>
      </c>
      <c r="C767" s="189" t="str">
        <f ca="1">IFERROR(__xludf.DUMMYFUNCTION("""COMPUTED_VALUE"""),"")</f>
        <v/>
      </c>
      <c r="D767" s="189" t="str">
        <f ca="1">IFERROR(__xludf.DUMMYFUNCTION("""COMPUTED_VALUE"""),"")</f>
        <v/>
      </c>
      <c r="E767" s="189" t="str">
        <f ca="1">IFERROR(__xludf.DUMMYFUNCTION("""COMPUTED_VALUE"""),"")</f>
        <v/>
      </c>
      <c r="F767" s="189" t="str">
        <f ca="1">IFERROR(__xludf.DUMMYFUNCTION("""COMPUTED_VALUE"""),"")</f>
        <v/>
      </c>
      <c r="G767" s="189" t="str">
        <f ca="1">IFERROR(__xludf.DUMMYFUNCTION("""COMPUTED_VALUE"""),"")</f>
        <v/>
      </c>
      <c r="H767" s="189" t="str">
        <f ca="1">IFERROR(__xludf.DUMMYFUNCTION("""COMPUTED_VALUE"""),"")</f>
        <v/>
      </c>
      <c r="I767" s="120" t="str">
        <f ca="1">IFERROR(__xludf.DUMMYFUNCTION("""COMPUTED_VALUE"""),"")</f>
        <v/>
      </c>
      <c r="J767" s="189" t="str">
        <f ca="1">IFERROR(__xludf.DUMMYFUNCTION("""COMPUTED_VALUE"""),"")</f>
        <v/>
      </c>
      <c r="K767" s="189" t="str">
        <f ca="1">IFERROR(__xludf.DUMMYFUNCTION("""COMPUTED_VALUE"""),"")</f>
        <v/>
      </c>
      <c r="L767" s="189" t="str">
        <f ca="1">IFERROR(__xludf.DUMMYFUNCTION("""COMPUTED_VALUE"""),"")</f>
        <v/>
      </c>
      <c r="M767" s="189" t="str">
        <f ca="1">IFERROR(__xludf.DUMMYFUNCTION("""COMPUTED_VALUE"""),"")</f>
        <v/>
      </c>
      <c r="N767" s="189" t="str">
        <f ca="1">IFERROR(__xludf.DUMMYFUNCTION("""COMPUTED_VALUE"""),"")</f>
        <v/>
      </c>
      <c r="O767" s="189" t="str">
        <f ca="1">IFERROR(__xludf.DUMMYFUNCTION("""COMPUTED_VALUE"""),"")</f>
        <v/>
      </c>
      <c r="P767" s="189" t="str">
        <f ca="1">IFERROR(__xludf.DUMMYFUNCTION("""COMPUTED_VALUE"""),"")</f>
        <v/>
      </c>
      <c r="Q767" s="189" t="str">
        <f ca="1">IFERROR(__xludf.DUMMYFUNCTION("""COMPUTED_VALUE"""),"")</f>
        <v/>
      </c>
      <c r="R767" s="189" t="str">
        <f ca="1">IFERROR(__xludf.DUMMYFUNCTION("""COMPUTED_VALUE"""),"")</f>
        <v/>
      </c>
      <c r="S767" s="189" t="str">
        <f ca="1">IFERROR(__xludf.DUMMYFUNCTION("""COMPUTED_VALUE"""),"")</f>
        <v/>
      </c>
      <c r="T767" s="189" t="str">
        <f ca="1">IFERROR(__xludf.DUMMYFUNCTION("""COMPUTED_VALUE"""),"")</f>
        <v/>
      </c>
      <c r="U767" s="189" t="str">
        <f ca="1">IFERROR(__xludf.DUMMYFUNCTION("""COMPUTED_VALUE"""),"")</f>
        <v/>
      </c>
      <c r="V767" s="189" t="str">
        <f ca="1">IFERROR(__xludf.DUMMYFUNCTION("""COMPUTED_VALUE"""),"")</f>
        <v/>
      </c>
      <c r="W767" s="189" t="str">
        <f ca="1">IFERROR(__xludf.DUMMYFUNCTION("""COMPUTED_VALUE"""),"")</f>
        <v/>
      </c>
      <c r="X767" s="189" t="str">
        <f ca="1">IFERROR(__xludf.DUMMYFUNCTION("""COMPUTED_VALUE"""),"")</f>
        <v/>
      </c>
      <c r="Y767" s="189" t="str">
        <f ca="1">IFERROR(__xludf.DUMMYFUNCTION("""COMPUTED_VALUE"""),"")</f>
        <v/>
      </c>
      <c r="Z767" s="189"/>
    </row>
    <row r="768" spans="1:26" ht="12.75">
      <c r="A768" s="189" t="str">
        <f ca="1">IFERROR(__xludf.DUMMYFUNCTION("""COMPUTED_VALUE"""),"")</f>
        <v/>
      </c>
      <c r="B768" s="189" t="str">
        <f ca="1">IFERROR(__xludf.DUMMYFUNCTION("""COMPUTED_VALUE"""),"")</f>
        <v/>
      </c>
      <c r="C768" s="189" t="str">
        <f ca="1">IFERROR(__xludf.DUMMYFUNCTION("""COMPUTED_VALUE"""),"")</f>
        <v/>
      </c>
      <c r="D768" s="189" t="str">
        <f ca="1">IFERROR(__xludf.DUMMYFUNCTION("""COMPUTED_VALUE"""),"")</f>
        <v/>
      </c>
      <c r="E768" s="189" t="str">
        <f ca="1">IFERROR(__xludf.DUMMYFUNCTION("""COMPUTED_VALUE"""),"")</f>
        <v/>
      </c>
      <c r="F768" s="189" t="str">
        <f ca="1">IFERROR(__xludf.DUMMYFUNCTION("""COMPUTED_VALUE"""),"")</f>
        <v/>
      </c>
      <c r="G768" s="189" t="str">
        <f ca="1">IFERROR(__xludf.DUMMYFUNCTION("""COMPUTED_VALUE"""),"")</f>
        <v/>
      </c>
      <c r="H768" s="189" t="str">
        <f ca="1">IFERROR(__xludf.DUMMYFUNCTION("""COMPUTED_VALUE"""),"")</f>
        <v/>
      </c>
      <c r="I768" s="120" t="str">
        <f ca="1">IFERROR(__xludf.DUMMYFUNCTION("""COMPUTED_VALUE"""),"")</f>
        <v/>
      </c>
      <c r="J768" s="189" t="str">
        <f ca="1">IFERROR(__xludf.DUMMYFUNCTION("""COMPUTED_VALUE"""),"")</f>
        <v/>
      </c>
      <c r="K768" s="189" t="str">
        <f ca="1">IFERROR(__xludf.DUMMYFUNCTION("""COMPUTED_VALUE"""),"")</f>
        <v/>
      </c>
      <c r="L768" s="189" t="str">
        <f ca="1">IFERROR(__xludf.DUMMYFUNCTION("""COMPUTED_VALUE"""),"")</f>
        <v/>
      </c>
      <c r="M768" s="189" t="str">
        <f ca="1">IFERROR(__xludf.DUMMYFUNCTION("""COMPUTED_VALUE"""),"")</f>
        <v/>
      </c>
      <c r="N768" s="189" t="str">
        <f ca="1">IFERROR(__xludf.DUMMYFUNCTION("""COMPUTED_VALUE"""),"")</f>
        <v/>
      </c>
      <c r="O768" s="189" t="str">
        <f ca="1">IFERROR(__xludf.DUMMYFUNCTION("""COMPUTED_VALUE"""),"")</f>
        <v/>
      </c>
      <c r="P768" s="189" t="str">
        <f ca="1">IFERROR(__xludf.DUMMYFUNCTION("""COMPUTED_VALUE"""),"")</f>
        <v/>
      </c>
      <c r="Q768" s="189" t="str">
        <f ca="1">IFERROR(__xludf.DUMMYFUNCTION("""COMPUTED_VALUE"""),"")</f>
        <v/>
      </c>
      <c r="R768" s="189" t="str">
        <f ca="1">IFERROR(__xludf.DUMMYFUNCTION("""COMPUTED_VALUE"""),"")</f>
        <v/>
      </c>
      <c r="S768" s="189" t="str">
        <f ca="1">IFERROR(__xludf.DUMMYFUNCTION("""COMPUTED_VALUE"""),"")</f>
        <v/>
      </c>
      <c r="T768" s="189" t="str">
        <f ca="1">IFERROR(__xludf.DUMMYFUNCTION("""COMPUTED_VALUE"""),"")</f>
        <v/>
      </c>
      <c r="U768" s="189" t="str">
        <f ca="1">IFERROR(__xludf.DUMMYFUNCTION("""COMPUTED_VALUE"""),"")</f>
        <v/>
      </c>
      <c r="V768" s="189" t="str">
        <f ca="1">IFERROR(__xludf.DUMMYFUNCTION("""COMPUTED_VALUE"""),"")</f>
        <v/>
      </c>
      <c r="W768" s="189" t="str">
        <f ca="1">IFERROR(__xludf.DUMMYFUNCTION("""COMPUTED_VALUE"""),"")</f>
        <v/>
      </c>
      <c r="X768" s="189" t="str">
        <f ca="1">IFERROR(__xludf.DUMMYFUNCTION("""COMPUTED_VALUE"""),"")</f>
        <v/>
      </c>
      <c r="Y768" s="189" t="str">
        <f ca="1">IFERROR(__xludf.DUMMYFUNCTION("""COMPUTED_VALUE"""),"")</f>
        <v/>
      </c>
      <c r="Z768" s="189"/>
    </row>
    <row r="769" spans="1:26" ht="12.75">
      <c r="A769" s="189" t="str">
        <f ca="1">IFERROR(__xludf.DUMMYFUNCTION("""COMPUTED_VALUE"""),"")</f>
        <v/>
      </c>
      <c r="B769" s="189" t="str">
        <f ca="1">IFERROR(__xludf.DUMMYFUNCTION("""COMPUTED_VALUE"""),"")</f>
        <v/>
      </c>
      <c r="C769" s="189" t="str">
        <f ca="1">IFERROR(__xludf.DUMMYFUNCTION("""COMPUTED_VALUE"""),"")</f>
        <v/>
      </c>
      <c r="D769" s="189" t="str">
        <f ca="1">IFERROR(__xludf.DUMMYFUNCTION("""COMPUTED_VALUE"""),"")</f>
        <v/>
      </c>
      <c r="E769" s="189" t="str">
        <f ca="1">IFERROR(__xludf.DUMMYFUNCTION("""COMPUTED_VALUE"""),"")</f>
        <v/>
      </c>
      <c r="F769" s="189" t="str">
        <f ca="1">IFERROR(__xludf.DUMMYFUNCTION("""COMPUTED_VALUE"""),"")</f>
        <v/>
      </c>
      <c r="G769" s="189" t="str">
        <f ca="1">IFERROR(__xludf.DUMMYFUNCTION("""COMPUTED_VALUE"""),"")</f>
        <v/>
      </c>
      <c r="H769" s="189" t="str">
        <f ca="1">IFERROR(__xludf.DUMMYFUNCTION("""COMPUTED_VALUE"""),"")</f>
        <v/>
      </c>
      <c r="I769" s="120" t="str">
        <f ca="1">IFERROR(__xludf.DUMMYFUNCTION("""COMPUTED_VALUE"""),"")</f>
        <v/>
      </c>
      <c r="J769" s="189" t="str">
        <f ca="1">IFERROR(__xludf.DUMMYFUNCTION("""COMPUTED_VALUE"""),"")</f>
        <v/>
      </c>
      <c r="K769" s="189" t="str">
        <f ca="1">IFERROR(__xludf.DUMMYFUNCTION("""COMPUTED_VALUE"""),"")</f>
        <v/>
      </c>
      <c r="L769" s="189" t="str">
        <f ca="1">IFERROR(__xludf.DUMMYFUNCTION("""COMPUTED_VALUE"""),"")</f>
        <v/>
      </c>
      <c r="M769" s="189" t="str">
        <f ca="1">IFERROR(__xludf.DUMMYFUNCTION("""COMPUTED_VALUE"""),"")</f>
        <v/>
      </c>
      <c r="N769" s="189" t="str">
        <f ca="1">IFERROR(__xludf.DUMMYFUNCTION("""COMPUTED_VALUE"""),"")</f>
        <v/>
      </c>
      <c r="O769" s="189" t="str">
        <f ca="1">IFERROR(__xludf.DUMMYFUNCTION("""COMPUTED_VALUE"""),"")</f>
        <v/>
      </c>
      <c r="P769" s="189" t="str">
        <f ca="1">IFERROR(__xludf.DUMMYFUNCTION("""COMPUTED_VALUE"""),"")</f>
        <v/>
      </c>
      <c r="Q769" s="189" t="str">
        <f ca="1">IFERROR(__xludf.DUMMYFUNCTION("""COMPUTED_VALUE"""),"")</f>
        <v/>
      </c>
      <c r="R769" s="189" t="str">
        <f ca="1">IFERROR(__xludf.DUMMYFUNCTION("""COMPUTED_VALUE"""),"")</f>
        <v/>
      </c>
      <c r="S769" s="189" t="str">
        <f ca="1">IFERROR(__xludf.DUMMYFUNCTION("""COMPUTED_VALUE"""),"")</f>
        <v/>
      </c>
      <c r="T769" s="189" t="str">
        <f ca="1">IFERROR(__xludf.DUMMYFUNCTION("""COMPUTED_VALUE"""),"")</f>
        <v/>
      </c>
      <c r="U769" s="189" t="str">
        <f ca="1">IFERROR(__xludf.DUMMYFUNCTION("""COMPUTED_VALUE"""),"")</f>
        <v/>
      </c>
      <c r="V769" s="189" t="str">
        <f ca="1">IFERROR(__xludf.DUMMYFUNCTION("""COMPUTED_VALUE"""),"")</f>
        <v/>
      </c>
      <c r="W769" s="189" t="str">
        <f ca="1">IFERROR(__xludf.DUMMYFUNCTION("""COMPUTED_VALUE"""),"")</f>
        <v/>
      </c>
      <c r="X769" s="189" t="str">
        <f ca="1">IFERROR(__xludf.DUMMYFUNCTION("""COMPUTED_VALUE"""),"")</f>
        <v/>
      </c>
      <c r="Y769" s="189" t="str">
        <f ca="1">IFERROR(__xludf.DUMMYFUNCTION("""COMPUTED_VALUE"""),"")</f>
        <v/>
      </c>
      <c r="Z769" s="189"/>
    </row>
    <row r="770" spans="1:26" ht="12.75">
      <c r="A770" s="189" t="str">
        <f ca="1">IFERROR(__xludf.DUMMYFUNCTION("""COMPUTED_VALUE"""),"")</f>
        <v/>
      </c>
      <c r="B770" s="189" t="str">
        <f ca="1">IFERROR(__xludf.DUMMYFUNCTION("""COMPUTED_VALUE"""),"")</f>
        <v/>
      </c>
      <c r="C770" s="189" t="str">
        <f ca="1">IFERROR(__xludf.DUMMYFUNCTION("""COMPUTED_VALUE"""),"")</f>
        <v/>
      </c>
      <c r="D770" s="189" t="str">
        <f ca="1">IFERROR(__xludf.DUMMYFUNCTION("""COMPUTED_VALUE"""),"")</f>
        <v/>
      </c>
      <c r="E770" s="189" t="str">
        <f ca="1">IFERROR(__xludf.DUMMYFUNCTION("""COMPUTED_VALUE"""),"")</f>
        <v/>
      </c>
      <c r="F770" s="189" t="str">
        <f ca="1">IFERROR(__xludf.DUMMYFUNCTION("""COMPUTED_VALUE"""),"")</f>
        <v/>
      </c>
      <c r="G770" s="189" t="str">
        <f ca="1">IFERROR(__xludf.DUMMYFUNCTION("""COMPUTED_VALUE"""),"")</f>
        <v/>
      </c>
      <c r="H770" s="189" t="str">
        <f ca="1">IFERROR(__xludf.DUMMYFUNCTION("""COMPUTED_VALUE"""),"")</f>
        <v/>
      </c>
      <c r="I770" s="120" t="str">
        <f ca="1">IFERROR(__xludf.DUMMYFUNCTION("""COMPUTED_VALUE"""),"")</f>
        <v/>
      </c>
      <c r="J770" s="189" t="str">
        <f ca="1">IFERROR(__xludf.DUMMYFUNCTION("""COMPUTED_VALUE"""),"")</f>
        <v/>
      </c>
      <c r="K770" s="189" t="str">
        <f ca="1">IFERROR(__xludf.DUMMYFUNCTION("""COMPUTED_VALUE"""),"")</f>
        <v/>
      </c>
      <c r="L770" s="189" t="str">
        <f ca="1">IFERROR(__xludf.DUMMYFUNCTION("""COMPUTED_VALUE"""),"")</f>
        <v/>
      </c>
      <c r="M770" s="189" t="str">
        <f ca="1">IFERROR(__xludf.DUMMYFUNCTION("""COMPUTED_VALUE"""),"")</f>
        <v/>
      </c>
      <c r="N770" s="189" t="str">
        <f ca="1">IFERROR(__xludf.DUMMYFUNCTION("""COMPUTED_VALUE"""),"")</f>
        <v/>
      </c>
      <c r="O770" s="189" t="str">
        <f ca="1">IFERROR(__xludf.DUMMYFUNCTION("""COMPUTED_VALUE"""),"")</f>
        <v/>
      </c>
      <c r="P770" s="189" t="str">
        <f ca="1">IFERROR(__xludf.DUMMYFUNCTION("""COMPUTED_VALUE"""),"")</f>
        <v/>
      </c>
      <c r="Q770" s="189" t="str">
        <f ca="1">IFERROR(__xludf.DUMMYFUNCTION("""COMPUTED_VALUE"""),"")</f>
        <v/>
      </c>
      <c r="R770" s="189" t="str">
        <f ca="1">IFERROR(__xludf.DUMMYFUNCTION("""COMPUTED_VALUE"""),"")</f>
        <v/>
      </c>
      <c r="S770" s="189" t="str">
        <f ca="1">IFERROR(__xludf.DUMMYFUNCTION("""COMPUTED_VALUE"""),"")</f>
        <v/>
      </c>
      <c r="T770" s="189" t="str">
        <f ca="1">IFERROR(__xludf.DUMMYFUNCTION("""COMPUTED_VALUE"""),"")</f>
        <v/>
      </c>
      <c r="U770" s="189" t="str">
        <f ca="1">IFERROR(__xludf.DUMMYFUNCTION("""COMPUTED_VALUE"""),"")</f>
        <v/>
      </c>
      <c r="V770" s="189" t="str">
        <f ca="1">IFERROR(__xludf.DUMMYFUNCTION("""COMPUTED_VALUE"""),"")</f>
        <v/>
      </c>
      <c r="W770" s="189" t="str">
        <f ca="1">IFERROR(__xludf.DUMMYFUNCTION("""COMPUTED_VALUE"""),"")</f>
        <v/>
      </c>
      <c r="X770" s="189" t="str">
        <f ca="1">IFERROR(__xludf.DUMMYFUNCTION("""COMPUTED_VALUE"""),"")</f>
        <v/>
      </c>
      <c r="Y770" s="189" t="str">
        <f ca="1">IFERROR(__xludf.DUMMYFUNCTION("""COMPUTED_VALUE"""),"")</f>
        <v/>
      </c>
      <c r="Z770" s="189"/>
    </row>
    <row r="771" spans="1:26" ht="12.75">
      <c r="A771" s="189" t="str">
        <f ca="1">IFERROR(__xludf.DUMMYFUNCTION("""COMPUTED_VALUE"""),"")</f>
        <v/>
      </c>
      <c r="B771" s="189" t="str">
        <f ca="1">IFERROR(__xludf.DUMMYFUNCTION("""COMPUTED_VALUE"""),"")</f>
        <v/>
      </c>
      <c r="C771" s="189" t="str">
        <f ca="1">IFERROR(__xludf.DUMMYFUNCTION("""COMPUTED_VALUE"""),"")</f>
        <v/>
      </c>
      <c r="D771" s="189" t="str">
        <f ca="1">IFERROR(__xludf.DUMMYFUNCTION("""COMPUTED_VALUE"""),"")</f>
        <v/>
      </c>
      <c r="E771" s="189" t="str">
        <f ca="1">IFERROR(__xludf.DUMMYFUNCTION("""COMPUTED_VALUE"""),"")</f>
        <v/>
      </c>
      <c r="F771" s="189" t="str">
        <f ca="1">IFERROR(__xludf.DUMMYFUNCTION("""COMPUTED_VALUE"""),"")</f>
        <v/>
      </c>
      <c r="G771" s="189" t="str">
        <f ca="1">IFERROR(__xludf.DUMMYFUNCTION("""COMPUTED_VALUE"""),"")</f>
        <v/>
      </c>
      <c r="H771" s="189" t="str">
        <f ca="1">IFERROR(__xludf.DUMMYFUNCTION("""COMPUTED_VALUE"""),"")</f>
        <v/>
      </c>
      <c r="I771" s="120" t="str">
        <f ca="1">IFERROR(__xludf.DUMMYFUNCTION("""COMPUTED_VALUE"""),"")</f>
        <v/>
      </c>
      <c r="J771" s="189" t="str">
        <f ca="1">IFERROR(__xludf.DUMMYFUNCTION("""COMPUTED_VALUE"""),"")</f>
        <v/>
      </c>
      <c r="K771" s="189" t="str">
        <f ca="1">IFERROR(__xludf.DUMMYFUNCTION("""COMPUTED_VALUE"""),"")</f>
        <v/>
      </c>
      <c r="L771" s="189" t="str">
        <f ca="1">IFERROR(__xludf.DUMMYFUNCTION("""COMPUTED_VALUE"""),"")</f>
        <v/>
      </c>
      <c r="M771" s="189" t="str">
        <f ca="1">IFERROR(__xludf.DUMMYFUNCTION("""COMPUTED_VALUE"""),"")</f>
        <v/>
      </c>
      <c r="N771" s="189" t="str">
        <f ca="1">IFERROR(__xludf.DUMMYFUNCTION("""COMPUTED_VALUE"""),"")</f>
        <v/>
      </c>
      <c r="O771" s="189" t="str">
        <f ca="1">IFERROR(__xludf.DUMMYFUNCTION("""COMPUTED_VALUE"""),"")</f>
        <v/>
      </c>
      <c r="P771" s="189" t="str">
        <f ca="1">IFERROR(__xludf.DUMMYFUNCTION("""COMPUTED_VALUE"""),"")</f>
        <v/>
      </c>
      <c r="Q771" s="189" t="str">
        <f ca="1">IFERROR(__xludf.DUMMYFUNCTION("""COMPUTED_VALUE"""),"")</f>
        <v/>
      </c>
      <c r="R771" s="189" t="str">
        <f ca="1">IFERROR(__xludf.DUMMYFUNCTION("""COMPUTED_VALUE"""),"")</f>
        <v/>
      </c>
      <c r="S771" s="189" t="str">
        <f ca="1">IFERROR(__xludf.DUMMYFUNCTION("""COMPUTED_VALUE"""),"")</f>
        <v/>
      </c>
      <c r="T771" s="189" t="str">
        <f ca="1">IFERROR(__xludf.DUMMYFUNCTION("""COMPUTED_VALUE"""),"")</f>
        <v/>
      </c>
      <c r="U771" s="189" t="str">
        <f ca="1">IFERROR(__xludf.DUMMYFUNCTION("""COMPUTED_VALUE"""),"")</f>
        <v/>
      </c>
      <c r="V771" s="189" t="str">
        <f ca="1">IFERROR(__xludf.DUMMYFUNCTION("""COMPUTED_VALUE"""),"")</f>
        <v/>
      </c>
      <c r="W771" s="189" t="str">
        <f ca="1">IFERROR(__xludf.DUMMYFUNCTION("""COMPUTED_VALUE"""),"")</f>
        <v/>
      </c>
      <c r="X771" s="189" t="str">
        <f ca="1">IFERROR(__xludf.DUMMYFUNCTION("""COMPUTED_VALUE"""),"")</f>
        <v/>
      </c>
      <c r="Y771" s="189" t="str">
        <f ca="1">IFERROR(__xludf.DUMMYFUNCTION("""COMPUTED_VALUE"""),"")</f>
        <v/>
      </c>
      <c r="Z771" s="189"/>
    </row>
    <row r="772" spans="1:26" ht="12.75">
      <c r="A772" s="189" t="str">
        <f ca="1">IFERROR(__xludf.DUMMYFUNCTION("""COMPUTED_VALUE"""),"")</f>
        <v/>
      </c>
      <c r="B772" s="189" t="str">
        <f ca="1">IFERROR(__xludf.DUMMYFUNCTION("""COMPUTED_VALUE"""),"")</f>
        <v/>
      </c>
      <c r="C772" s="189" t="str">
        <f ca="1">IFERROR(__xludf.DUMMYFUNCTION("""COMPUTED_VALUE"""),"")</f>
        <v/>
      </c>
      <c r="D772" s="189" t="str">
        <f ca="1">IFERROR(__xludf.DUMMYFUNCTION("""COMPUTED_VALUE"""),"")</f>
        <v/>
      </c>
      <c r="E772" s="189" t="str">
        <f ca="1">IFERROR(__xludf.DUMMYFUNCTION("""COMPUTED_VALUE"""),"")</f>
        <v/>
      </c>
      <c r="F772" s="189" t="str">
        <f ca="1">IFERROR(__xludf.DUMMYFUNCTION("""COMPUTED_VALUE"""),"")</f>
        <v/>
      </c>
      <c r="G772" s="189" t="str">
        <f ca="1">IFERROR(__xludf.DUMMYFUNCTION("""COMPUTED_VALUE"""),"")</f>
        <v/>
      </c>
      <c r="H772" s="189" t="str">
        <f ca="1">IFERROR(__xludf.DUMMYFUNCTION("""COMPUTED_VALUE"""),"")</f>
        <v/>
      </c>
      <c r="I772" s="120" t="str">
        <f ca="1">IFERROR(__xludf.DUMMYFUNCTION("""COMPUTED_VALUE"""),"")</f>
        <v/>
      </c>
      <c r="J772" s="189" t="str">
        <f ca="1">IFERROR(__xludf.DUMMYFUNCTION("""COMPUTED_VALUE"""),"")</f>
        <v/>
      </c>
      <c r="K772" s="189" t="str">
        <f ca="1">IFERROR(__xludf.DUMMYFUNCTION("""COMPUTED_VALUE"""),"")</f>
        <v/>
      </c>
      <c r="L772" s="189" t="str">
        <f ca="1">IFERROR(__xludf.DUMMYFUNCTION("""COMPUTED_VALUE"""),"")</f>
        <v/>
      </c>
      <c r="M772" s="189" t="str">
        <f ca="1">IFERROR(__xludf.DUMMYFUNCTION("""COMPUTED_VALUE"""),"")</f>
        <v/>
      </c>
      <c r="N772" s="189" t="str">
        <f ca="1">IFERROR(__xludf.DUMMYFUNCTION("""COMPUTED_VALUE"""),"")</f>
        <v/>
      </c>
      <c r="O772" s="189" t="str">
        <f ca="1">IFERROR(__xludf.DUMMYFUNCTION("""COMPUTED_VALUE"""),"")</f>
        <v/>
      </c>
      <c r="P772" s="189" t="str">
        <f ca="1">IFERROR(__xludf.DUMMYFUNCTION("""COMPUTED_VALUE"""),"")</f>
        <v/>
      </c>
      <c r="Q772" s="189" t="str">
        <f ca="1">IFERROR(__xludf.DUMMYFUNCTION("""COMPUTED_VALUE"""),"")</f>
        <v/>
      </c>
      <c r="R772" s="189" t="str">
        <f ca="1">IFERROR(__xludf.DUMMYFUNCTION("""COMPUTED_VALUE"""),"")</f>
        <v/>
      </c>
      <c r="S772" s="189" t="str">
        <f ca="1">IFERROR(__xludf.DUMMYFUNCTION("""COMPUTED_VALUE"""),"")</f>
        <v/>
      </c>
      <c r="T772" s="189" t="str">
        <f ca="1">IFERROR(__xludf.DUMMYFUNCTION("""COMPUTED_VALUE"""),"")</f>
        <v/>
      </c>
      <c r="U772" s="189" t="str">
        <f ca="1">IFERROR(__xludf.DUMMYFUNCTION("""COMPUTED_VALUE"""),"")</f>
        <v/>
      </c>
      <c r="V772" s="189" t="str">
        <f ca="1">IFERROR(__xludf.DUMMYFUNCTION("""COMPUTED_VALUE"""),"")</f>
        <v/>
      </c>
      <c r="W772" s="189" t="str">
        <f ca="1">IFERROR(__xludf.DUMMYFUNCTION("""COMPUTED_VALUE"""),"")</f>
        <v/>
      </c>
      <c r="X772" s="189" t="str">
        <f ca="1">IFERROR(__xludf.DUMMYFUNCTION("""COMPUTED_VALUE"""),"")</f>
        <v/>
      </c>
      <c r="Y772" s="189" t="str">
        <f ca="1">IFERROR(__xludf.DUMMYFUNCTION("""COMPUTED_VALUE"""),"")</f>
        <v/>
      </c>
      <c r="Z772" s="189"/>
    </row>
    <row r="773" spans="1:26" ht="12.75">
      <c r="A773" s="189" t="str">
        <f ca="1">IFERROR(__xludf.DUMMYFUNCTION("""COMPUTED_VALUE"""),"")</f>
        <v/>
      </c>
      <c r="B773" s="189" t="str">
        <f ca="1">IFERROR(__xludf.DUMMYFUNCTION("""COMPUTED_VALUE"""),"")</f>
        <v/>
      </c>
      <c r="C773" s="189" t="str">
        <f ca="1">IFERROR(__xludf.DUMMYFUNCTION("""COMPUTED_VALUE"""),"")</f>
        <v/>
      </c>
      <c r="D773" s="189" t="str">
        <f ca="1">IFERROR(__xludf.DUMMYFUNCTION("""COMPUTED_VALUE"""),"")</f>
        <v/>
      </c>
      <c r="E773" s="189" t="str">
        <f ca="1">IFERROR(__xludf.DUMMYFUNCTION("""COMPUTED_VALUE"""),"")</f>
        <v/>
      </c>
      <c r="F773" s="189" t="str">
        <f ca="1">IFERROR(__xludf.DUMMYFUNCTION("""COMPUTED_VALUE"""),"")</f>
        <v/>
      </c>
      <c r="G773" s="189" t="str">
        <f ca="1">IFERROR(__xludf.DUMMYFUNCTION("""COMPUTED_VALUE"""),"")</f>
        <v/>
      </c>
      <c r="H773" s="189" t="str">
        <f ca="1">IFERROR(__xludf.DUMMYFUNCTION("""COMPUTED_VALUE"""),"")</f>
        <v/>
      </c>
      <c r="I773" s="120" t="str">
        <f ca="1">IFERROR(__xludf.DUMMYFUNCTION("""COMPUTED_VALUE"""),"")</f>
        <v/>
      </c>
      <c r="J773" s="189" t="str">
        <f ca="1">IFERROR(__xludf.DUMMYFUNCTION("""COMPUTED_VALUE"""),"")</f>
        <v/>
      </c>
      <c r="K773" s="189" t="str">
        <f ca="1">IFERROR(__xludf.DUMMYFUNCTION("""COMPUTED_VALUE"""),"")</f>
        <v/>
      </c>
      <c r="L773" s="189" t="str">
        <f ca="1">IFERROR(__xludf.DUMMYFUNCTION("""COMPUTED_VALUE"""),"")</f>
        <v/>
      </c>
      <c r="M773" s="189" t="str">
        <f ca="1">IFERROR(__xludf.DUMMYFUNCTION("""COMPUTED_VALUE"""),"")</f>
        <v/>
      </c>
      <c r="N773" s="189" t="str">
        <f ca="1">IFERROR(__xludf.DUMMYFUNCTION("""COMPUTED_VALUE"""),"")</f>
        <v/>
      </c>
      <c r="O773" s="189" t="str">
        <f ca="1">IFERROR(__xludf.DUMMYFUNCTION("""COMPUTED_VALUE"""),"")</f>
        <v/>
      </c>
      <c r="P773" s="189" t="str">
        <f ca="1">IFERROR(__xludf.DUMMYFUNCTION("""COMPUTED_VALUE"""),"")</f>
        <v/>
      </c>
      <c r="Q773" s="189" t="str">
        <f ca="1">IFERROR(__xludf.DUMMYFUNCTION("""COMPUTED_VALUE"""),"")</f>
        <v/>
      </c>
      <c r="R773" s="189" t="str">
        <f ca="1">IFERROR(__xludf.DUMMYFUNCTION("""COMPUTED_VALUE"""),"")</f>
        <v/>
      </c>
      <c r="S773" s="189" t="str">
        <f ca="1">IFERROR(__xludf.DUMMYFUNCTION("""COMPUTED_VALUE"""),"")</f>
        <v/>
      </c>
      <c r="T773" s="189" t="str">
        <f ca="1">IFERROR(__xludf.DUMMYFUNCTION("""COMPUTED_VALUE"""),"")</f>
        <v/>
      </c>
      <c r="U773" s="189" t="str">
        <f ca="1">IFERROR(__xludf.DUMMYFUNCTION("""COMPUTED_VALUE"""),"")</f>
        <v/>
      </c>
      <c r="V773" s="189" t="str">
        <f ca="1">IFERROR(__xludf.DUMMYFUNCTION("""COMPUTED_VALUE"""),"")</f>
        <v/>
      </c>
      <c r="W773" s="189" t="str">
        <f ca="1">IFERROR(__xludf.DUMMYFUNCTION("""COMPUTED_VALUE"""),"")</f>
        <v/>
      </c>
      <c r="X773" s="189" t="str">
        <f ca="1">IFERROR(__xludf.DUMMYFUNCTION("""COMPUTED_VALUE"""),"")</f>
        <v/>
      </c>
      <c r="Y773" s="189" t="str">
        <f ca="1">IFERROR(__xludf.DUMMYFUNCTION("""COMPUTED_VALUE"""),"")</f>
        <v/>
      </c>
      <c r="Z773" s="189"/>
    </row>
    <row r="774" spans="1:26" ht="12.75">
      <c r="A774" s="189" t="str">
        <f ca="1">IFERROR(__xludf.DUMMYFUNCTION("""COMPUTED_VALUE"""),"")</f>
        <v/>
      </c>
      <c r="B774" s="189" t="str">
        <f ca="1">IFERROR(__xludf.DUMMYFUNCTION("""COMPUTED_VALUE"""),"")</f>
        <v/>
      </c>
      <c r="C774" s="189" t="str">
        <f ca="1">IFERROR(__xludf.DUMMYFUNCTION("""COMPUTED_VALUE"""),"")</f>
        <v/>
      </c>
      <c r="D774" s="189" t="str">
        <f ca="1">IFERROR(__xludf.DUMMYFUNCTION("""COMPUTED_VALUE"""),"")</f>
        <v/>
      </c>
      <c r="E774" s="189" t="str">
        <f ca="1">IFERROR(__xludf.DUMMYFUNCTION("""COMPUTED_VALUE"""),"")</f>
        <v/>
      </c>
      <c r="F774" s="189" t="str">
        <f ca="1">IFERROR(__xludf.DUMMYFUNCTION("""COMPUTED_VALUE"""),"")</f>
        <v/>
      </c>
      <c r="G774" s="189" t="str">
        <f ca="1">IFERROR(__xludf.DUMMYFUNCTION("""COMPUTED_VALUE"""),"")</f>
        <v/>
      </c>
      <c r="H774" s="189" t="str">
        <f ca="1">IFERROR(__xludf.DUMMYFUNCTION("""COMPUTED_VALUE"""),"")</f>
        <v/>
      </c>
      <c r="I774" s="120" t="str">
        <f ca="1">IFERROR(__xludf.DUMMYFUNCTION("""COMPUTED_VALUE"""),"")</f>
        <v/>
      </c>
      <c r="J774" s="189" t="str">
        <f ca="1">IFERROR(__xludf.DUMMYFUNCTION("""COMPUTED_VALUE"""),"")</f>
        <v/>
      </c>
      <c r="K774" s="189" t="str">
        <f ca="1">IFERROR(__xludf.DUMMYFUNCTION("""COMPUTED_VALUE"""),"")</f>
        <v/>
      </c>
      <c r="L774" s="189" t="str">
        <f ca="1">IFERROR(__xludf.DUMMYFUNCTION("""COMPUTED_VALUE"""),"")</f>
        <v/>
      </c>
      <c r="M774" s="189" t="str">
        <f ca="1">IFERROR(__xludf.DUMMYFUNCTION("""COMPUTED_VALUE"""),"")</f>
        <v/>
      </c>
      <c r="N774" s="189" t="str">
        <f ca="1">IFERROR(__xludf.DUMMYFUNCTION("""COMPUTED_VALUE"""),"")</f>
        <v/>
      </c>
      <c r="O774" s="189" t="str">
        <f ca="1">IFERROR(__xludf.DUMMYFUNCTION("""COMPUTED_VALUE"""),"")</f>
        <v/>
      </c>
      <c r="P774" s="189" t="str">
        <f ca="1">IFERROR(__xludf.DUMMYFUNCTION("""COMPUTED_VALUE"""),"")</f>
        <v/>
      </c>
      <c r="Q774" s="189" t="str">
        <f ca="1">IFERROR(__xludf.DUMMYFUNCTION("""COMPUTED_VALUE"""),"")</f>
        <v/>
      </c>
      <c r="R774" s="189" t="str">
        <f ca="1">IFERROR(__xludf.DUMMYFUNCTION("""COMPUTED_VALUE"""),"")</f>
        <v/>
      </c>
      <c r="S774" s="189" t="str">
        <f ca="1">IFERROR(__xludf.DUMMYFUNCTION("""COMPUTED_VALUE"""),"")</f>
        <v/>
      </c>
      <c r="T774" s="189" t="str">
        <f ca="1">IFERROR(__xludf.DUMMYFUNCTION("""COMPUTED_VALUE"""),"")</f>
        <v/>
      </c>
      <c r="U774" s="189" t="str">
        <f ca="1">IFERROR(__xludf.DUMMYFUNCTION("""COMPUTED_VALUE"""),"")</f>
        <v/>
      </c>
      <c r="V774" s="189" t="str">
        <f ca="1">IFERROR(__xludf.DUMMYFUNCTION("""COMPUTED_VALUE"""),"")</f>
        <v/>
      </c>
      <c r="W774" s="189" t="str">
        <f ca="1">IFERROR(__xludf.DUMMYFUNCTION("""COMPUTED_VALUE"""),"")</f>
        <v/>
      </c>
      <c r="X774" s="189" t="str">
        <f ca="1">IFERROR(__xludf.DUMMYFUNCTION("""COMPUTED_VALUE"""),"")</f>
        <v/>
      </c>
      <c r="Y774" s="189" t="str">
        <f ca="1">IFERROR(__xludf.DUMMYFUNCTION("""COMPUTED_VALUE"""),"")</f>
        <v/>
      </c>
      <c r="Z774" s="189"/>
    </row>
    <row r="775" spans="1:26" ht="12.75">
      <c r="A775" s="189" t="str">
        <f ca="1">IFERROR(__xludf.DUMMYFUNCTION("""COMPUTED_VALUE"""),"")</f>
        <v/>
      </c>
      <c r="B775" s="189" t="str">
        <f ca="1">IFERROR(__xludf.DUMMYFUNCTION("""COMPUTED_VALUE"""),"")</f>
        <v/>
      </c>
      <c r="C775" s="189" t="str">
        <f ca="1">IFERROR(__xludf.DUMMYFUNCTION("""COMPUTED_VALUE"""),"")</f>
        <v/>
      </c>
      <c r="D775" s="189" t="str">
        <f ca="1">IFERROR(__xludf.DUMMYFUNCTION("""COMPUTED_VALUE"""),"")</f>
        <v/>
      </c>
      <c r="E775" s="189" t="str">
        <f ca="1">IFERROR(__xludf.DUMMYFUNCTION("""COMPUTED_VALUE"""),"")</f>
        <v/>
      </c>
      <c r="F775" s="189" t="str">
        <f ca="1">IFERROR(__xludf.DUMMYFUNCTION("""COMPUTED_VALUE"""),"")</f>
        <v/>
      </c>
      <c r="G775" s="189" t="str">
        <f ca="1">IFERROR(__xludf.DUMMYFUNCTION("""COMPUTED_VALUE"""),"")</f>
        <v/>
      </c>
      <c r="H775" s="189" t="str">
        <f ca="1">IFERROR(__xludf.DUMMYFUNCTION("""COMPUTED_VALUE"""),"")</f>
        <v/>
      </c>
      <c r="I775" s="120" t="str">
        <f ca="1">IFERROR(__xludf.DUMMYFUNCTION("""COMPUTED_VALUE"""),"")</f>
        <v/>
      </c>
      <c r="J775" s="189" t="str">
        <f ca="1">IFERROR(__xludf.DUMMYFUNCTION("""COMPUTED_VALUE"""),"")</f>
        <v/>
      </c>
      <c r="K775" s="189" t="str">
        <f ca="1">IFERROR(__xludf.DUMMYFUNCTION("""COMPUTED_VALUE"""),"")</f>
        <v/>
      </c>
      <c r="L775" s="189" t="str">
        <f ca="1">IFERROR(__xludf.DUMMYFUNCTION("""COMPUTED_VALUE"""),"")</f>
        <v/>
      </c>
      <c r="M775" s="189" t="str">
        <f ca="1">IFERROR(__xludf.DUMMYFUNCTION("""COMPUTED_VALUE"""),"")</f>
        <v/>
      </c>
      <c r="N775" s="189" t="str">
        <f ca="1">IFERROR(__xludf.DUMMYFUNCTION("""COMPUTED_VALUE"""),"")</f>
        <v/>
      </c>
      <c r="O775" s="189" t="str">
        <f ca="1">IFERROR(__xludf.DUMMYFUNCTION("""COMPUTED_VALUE"""),"")</f>
        <v/>
      </c>
      <c r="P775" s="189" t="str">
        <f ca="1">IFERROR(__xludf.DUMMYFUNCTION("""COMPUTED_VALUE"""),"")</f>
        <v/>
      </c>
      <c r="Q775" s="189" t="str">
        <f ca="1">IFERROR(__xludf.DUMMYFUNCTION("""COMPUTED_VALUE"""),"")</f>
        <v/>
      </c>
      <c r="R775" s="189" t="str">
        <f ca="1">IFERROR(__xludf.DUMMYFUNCTION("""COMPUTED_VALUE"""),"")</f>
        <v/>
      </c>
      <c r="S775" s="189" t="str">
        <f ca="1">IFERROR(__xludf.DUMMYFUNCTION("""COMPUTED_VALUE"""),"")</f>
        <v/>
      </c>
      <c r="T775" s="189" t="str">
        <f ca="1">IFERROR(__xludf.DUMMYFUNCTION("""COMPUTED_VALUE"""),"")</f>
        <v/>
      </c>
      <c r="U775" s="189" t="str">
        <f ca="1">IFERROR(__xludf.DUMMYFUNCTION("""COMPUTED_VALUE"""),"")</f>
        <v/>
      </c>
      <c r="V775" s="189" t="str">
        <f ca="1">IFERROR(__xludf.DUMMYFUNCTION("""COMPUTED_VALUE"""),"")</f>
        <v/>
      </c>
      <c r="W775" s="189" t="str">
        <f ca="1">IFERROR(__xludf.DUMMYFUNCTION("""COMPUTED_VALUE"""),"")</f>
        <v/>
      </c>
      <c r="X775" s="189" t="str">
        <f ca="1">IFERROR(__xludf.DUMMYFUNCTION("""COMPUTED_VALUE"""),"")</f>
        <v/>
      </c>
      <c r="Y775" s="189" t="str">
        <f ca="1">IFERROR(__xludf.DUMMYFUNCTION("""COMPUTED_VALUE"""),"")</f>
        <v/>
      </c>
      <c r="Z775" s="189"/>
    </row>
    <row r="776" spans="1:26" ht="12.75">
      <c r="A776" s="189" t="str">
        <f ca="1">IFERROR(__xludf.DUMMYFUNCTION("""COMPUTED_VALUE"""),"")</f>
        <v/>
      </c>
      <c r="B776" s="189" t="str">
        <f ca="1">IFERROR(__xludf.DUMMYFUNCTION("""COMPUTED_VALUE"""),"")</f>
        <v/>
      </c>
      <c r="C776" s="189" t="str">
        <f ca="1">IFERROR(__xludf.DUMMYFUNCTION("""COMPUTED_VALUE"""),"")</f>
        <v/>
      </c>
      <c r="D776" s="189" t="str">
        <f ca="1">IFERROR(__xludf.DUMMYFUNCTION("""COMPUTED_VALUE"""),"")</f>
        <v/>
      </c>
      <c r="E776" s="189" t="str">
        <f ca="1">IFERROR(__xludf.DUMMYFUNCTION("""COMPUTED_VALUE"""),"")</f>
        <v/>
      </c>
      <c r="F776" s="189" t="str">
        <f ca="1">IFERROR(__xludf.DUMMYFUNCTION("""COMPUTED_VALUE"""),"")</f>
        <v/>
      </c>
      <c r="G776" s="189" t="str">
        <f ca="1">IFERROR(__xludf.DUMMYFUNCTION("""COMPUTED_VALUE"""),"")</f>
        <v/>
      </c>
      <c r="H776" s="189" t="str">
        <f ca="1">IFERROR(__xludf.DUMMYFUNCTION("""COMPUTED_VALUE"""),"")</f>
        <v/>
      </c>
      <c r="I776" s="120" t="str">
        <f ca="1">IFERROR(__xludf.DUMMYFUNCTION("""COMPUTED_VALUE"""),"")</f>
        <v/>
      </c>
      <c r="J776" s="189" t="str">
        <f ca="1">IFERROR(__xludf.DUMMYFUNCTION("""COMPUTED_VALUE"""),"")</f>
        <v/>
      </c>
      <c r="K776" s="189" t="str">
        <f ca="1">IFERROR(__xludf.DUMMYFUNCTION("""COMPUTED_VALUE"""),"")</f>
        <v/>
      </c>
      <c r="L776" s="189" t="str">
        <f ca="1">IFERROR(__xludf.DUMMYFUNCTION("""COMPUTED_VALUE"""),"")</f>
        <v/>
      </c>
      <c r="M776" s="189" t="str">
        <f ca="1">IFERROR(__xludf.DUMMYFUNCTION("""COMPUTED_VALUE"""),"")</f>
        <v/>
      </c>
      <c r="N776" s="189" t="str">
        <f ca="1">IFERROR(__xludf.DUMMYFUNCTION("""COMPUTED_VALUE"""),"")</f>
        <v/>
      </c>
      <c r="O776" s="189" t="str">
        <f ca="1">IFERROR(__xludf.DUMMYFUNCTION("""COMPUTED_VALUE"""),"")</f>
        <v/>
      </c>
      <c r="P776" s="189" t="str">
        <f ca="1">IFERROR(__xludf.DUMMYFUNCTION("""COMPUTED_VALUE"""),"")</f>
        <v/>
      </c>
      <c r="Q776" s="189" t="str">
        <f ca="1">IFERROR(__xludf.DUMMYFUNCTION("""COMPUTED_VALUE"""),"")</f>
        <v/>
      </c>
      <c r="R776" s="189" t="str">
        <f ca="1">IFERROR(__xludf.DUMMYFUNCTION("""COMPUTED_VALUE"""),"")</f>
        <v/>
      </c>
      <c r="S776" s="189" t="str">
        <f ca="1">IFERROR(__xludf.DUMMYFUNCTION("""COMPUTED_VALUE"""),"")</f>
        <v/>
      </c>
      <c r="T776" s="189" t="str">
        <f ca="1">IFERROR(__xludf.DUMMYFUNCTION("""COMPUTED_VALUE"""),"")</f>
        <v/>
      </c>
      <c r="U776" s="189" t="str">
        <f ca="1">IFERROR(__xludf.DUMMYFUNCTION("""COMPUTED_VALUE"""),"")</f>
        <v/>
      </c>
      <c r="V776" s="189" t="str">
        <f ca="1">IFERROR(__xludf.DUMMYFUNCTION("""COMPUTED_VALUE"""),"")</f>
        <v/>
      </c>
      <c r="W776" s="189" t="str">
        <f ca="1">IFERROR(__xludf.DUMMYFUNCTION("""COMPUTED_VALUE"""),"")</f>
        <v/>
      </c>
      <c r="X776" s="189" t="str">
        <f ca="1">IFERROR(__xludf.DUMMYFUNCTION("""COMPUTED_VALUE"""),"")</f>
        <v/>
      </c>
      <c r="Y776" s="189" t="str">
        <f ca="1">IFERROR(__xludf.DUMMYFUNCTION("""COMPUTED_VALUE"""),"")</f>
        <v/>
      </c>
      <c r="Z776" s="189"/>
    </row>
    <row r="777" spans="1:26" ht="12.75">
      <c r="A777" s="189" t="str">
        <f ca="1">IFERROR(__xludf.DUMMYFUNCTION("""COMPUTED_VALUE"""),"")</f>
        <v/>
      </c>
      <c r="B777" s="189" t="str">
        <f ca="1">IFERROR(__xludf.DUMMYFUNCTION("""COMPUTED_VALUE"""),"")</f>
        <v/>
      </c>
      <c r="C777" s="189" t="str">
        <f ca="1">IFERROR(__xludf.DUMMYFUNCTION("""COMPUTED_VALUE"""),"")</f>
        <v/>
      </c>
      <c r="D777" s="189" t="str">
        <f ca="1">IFERROR(__xludf.DUMMYFUNCTION("""COMPUTED_VALUE"""),"")</f>
        <v/>
      </c>
      <c r="E777" s="189" t="str">
        <f ca="1">IFERROR(__xludf.DUMMYFUNCTION("""COMPUTED_VALUE"""),"")</f>
        <v/>
      </c>
      <c r="F777" s="189" t="str">
        <f ca="1">IFERROR(__xludf.DUMMYFUNCTION("""COMPUTED_VALUE"""),"")</f>
        <v/>
      </c>
      <c r="G777" s="189" t="str">
        <f ca="1">IFERROR(__xludf.DUMMYFUNCTION("""COMPUTED_VALUE"""),"")</f>
        <v/>
      </c>
      <c r="H777" s="189" t="str">
        <f ca="1">IFERROR(__xludf.DUMMYFUNCTION("""COMPUTED_VALUE"""),"")</f>
        <v/>
      </c>
      <c r="I777" s="120" t="str">
        <f ca="1">IFERROR(__xludf.DUMMYFUNCTION("""COMPUTED_VALUE"""),"")</f>
        <v/>
      </c>
      <c r="J777" s="189" t="str">
        <f ca="1">IFERROR(__xludf.DUMMYFUNCTION("""COMPUTED_VALUE"""),"")</f>
        <v/>
      </c>
      <c r="K777" s="189" t="str">
        <f ca="1">IFERROR(__xludf.DUMMYFUNCTION("""COMPUTED_VALUE"""),"")</f>
        <v/>
      </c>
      <c r="L777" s="189" t="str">
        <f ca="1">IFERROR(__xludf.DUMMYFUNCTION("""COMPUTED_VALUE"""),"")</f>
        <v/>
      </c>
      <c r="M777" s="189" t="str">
        <f ca="1">IFERROR(__xludf.DUMMYFUNCTION("""COMPUTED_VALUE"""),"")</f>
        <v/>
      </c>
      <c r="N777" s="189" t="str">
        <f ca="1">IFERROR(__xludf.DUMMYFUNCTION("""COMPUTED_VALUE"""),"")</f>
        <v/>
      </c>
      <c r="O777" s="189" t="str">
        <f ca="1">IFERROR(__xludf.DUMMYFUNCTION("""COMPUTED_VALUE"""),"")</f>
        <v/>
      </c>
      <c r="P777" s="189" t="str">
        <f ca="1">IFERROR(__xludf.DUMMYFUNCTION("""COMPUTED_VALUE"""),"")</f>
        <v/>
      </c>
      <c r="Q777" s="189" t="str">
        <f ca="1">IFERROR(__xludf.DUMMYFUNCTION("""COMPUTED_VALUE"""),"")</f>
        <v/>
      </c>
      <c r="R777" s="189" t="str">
        <f ca="1">IFERROR(__xludf.DUMMYFUNCTION("""COMPUTED_VALUE"""),"")</f>
        <v/>
      </c>
      <c r="S777" s="189" t="str">
        <f ca="1">IFERROR(__xludf.DUMMYFUNCTION("""COMPUTED_VALUE"""),"")</f>
        <v/>
      </c>
      <c r="T777" s="189" t="str">
        <f ca="1">IFERROR(__xludf.DUMMYFUNCTION("""COMPUTED_VALUE"""),"")</f>
        <v/>
      </c>
      <c r="U777" s="189" t="str">
        <f ca="1">IFERROR(__xludf.DUMMYFUNCTION("""COMPUTED_VALUE"""),"")</f>
        <v/>
      </c>
      <c r="V777" s="189" t="str">
        <f ca="1">IFERROR(__xludf.DUMMYFUNCTION("""COMPUTED_VALUE"""),"")</f>
        <v/>
      </c>
      <c r="W777" s="189" t="str">
        <f ca="1">IFERROR(__xludf.DUMMYFUNCTION("""COMPUTED_VALUE"""),"")</f>
        <v/>
      </c>
      <c r="X777" s="189" t="str">
        <f ca="1">IFERROR(__xludf.DUMMYFUNCTION("""COMPUTED_VALUE"""),"")</f>
        <v/>
      </c>
      <c r="Y777" s="189" t="str">
        <f ca="1">IFERROR(__xludf.DUMMYFUNCTION("""COMPUTED_VALUE"""),"")</f>
        <v/>
      </c>
      <c r="Z777" s="189"/>
    </row>
    <row r="778" spans="1:26" ht="12.75">
      <c r="A778" s="189" t="str">
        <f ca="1">IFERROR(__xludf.DUMMYFUNCTION("""COMPUTED_VALUE"""),"")</f>
        <v/>
      </c>
      <c r="B778" s="189" t="str">
        <f ca="1">IFERROR(__xludf.DUMMYFUNCTION("""COMPUTED_VALUE"""),"")</f>
        <v/>
      </c>
      <c r="C778" s="189" t="str">
        <f ca="1">IFERROR(__xludf.DUMMYFUNCTION("""COMPUTED_VALUE"""),"")</f>
        <v/>
      </c>
      <c r="D778" s="189" t="str">
        <f ca="1">IFERROR(__xludf.DUMMYFUNCTION("""COMPUTED_VALUE"""),"")</f>
        <v/>
      </c>
      <c r="E778" s="189" t="str">
        <f ca="1">IFERROR(__xludf.DUMMYFUNCTION("""COMPUTED_VALUE"""),"")</f>
        <v/>
      </c>
      <c r="F778" s="189" t="str">
        <f ca="1">IFERROR(__xludf.DUMMYFUNCTION("""COMPUTED_VALUE"""),"")</f>
        <v/>
      </c>
      <c r="G778" s="189" t="str">
        <f ca="1">IFERROR(__xludf.DUMMYFUNCTION("""COMPUTED_VALUE"""),"")</f>
        <v/>
      </c>
      <c r="H778" s="189" t="str">
        <f ca="1">IFERROR(__xludf.DUMMYFUNCTION("""COMPUTED_VALUE"""),"")</f>
        <v/>
      </c>
      <c r="I778" s="120" t="str">
        <f ca="1">IFERROR(__xludf.DUMMYFUNCTION("""COMPUTED_VALUE"""),"")</f>
        <v/>
      </c>
      <c r="J778" s="189" t="str">
        <f ca="1">IFERROR(__xludf.DUMMYFUNCTION("""COMPUTED_VALUE"""),"")</f>
        <v/>
      </c>
      <c r="K778" s="189" t="str">
        <f ca="1">IFERROR(__xludf.DUMMYFUNCTION("""COMPUTED_VALUE"""),"")</f>
        <v/>
      </c>
      <c r="L778" s="189" t="str">
        <f ca="1">IFERROR(__xludf.DUMMYFUNCTION("""COMPUTED_VALUE"""),"")</f>
        <v/>
      </c>
      <c r="M778" s="189" t="str">
        <f ca="1">IFERROR(__xludf.DUMMYFUNCTION("""COMPUTED_VALUE"""),"")</f>
        <v/>
      </c>
      <c r="N778" s="189" t="str">
        <f ca="1">IFERROR(__xludf.DUMMYFUNCTION("""COMPUTED_VALUE"""),"")</f>
        <v/>
      </c>
      <c r="O778" s="189" t="str">
        <f ca="1">IFERROR(__xludf.DUMMYFUNCTION("""COMPUTED_VALUE"""),"")</f>
        <v/>
      </c>
      <c r="P778" s="189" t="str">
        <f ca="1">IFERROR(__xludf.DUMMYFUNCTION("""COMPUTED_VALUE"""),"")</f>
        <v/>
      </c>
      <c r="Q778" s="189" t="str">
        <f ca="1">IFERROR(__xludf.DUMMYFUNCTION("""COMPUTED_VALUE"""),"")</f>
        <v/>
      </c>
      <c r="R778" s="189" t="str">
        <f ca="1">IFERROR(__xludf.DUMMYFUNCTION("""COMPUTED_VALUE"""),"")</f>
        <v/>
      </c>
      <c r="S778" s="189" t="str">
        <f ca="1">IFERROR(__xludf.DUMMYFUNCTION("""COMPUTED_VALUE"""),"")</f>
        <v/>
      </c>
      <c r="T778" s="189" t="str">
        <f ca="1">IFERROR(__xludf.DUMMYFUNCTION("""COMPUTED_VALUE"""),"")</f>
        <v/>
      </c>
      <c r="U778" s="189" t="str">
        <f ca="1">IFERROR(__xludf.DUMMYFUNCTION("""COMPUTED_VALUE"""),"")</f>
        <v/>
      </c>
      <c r="V778" s="189" t="str">
        <f ca="1">IFERROR(__xludf.DUMMYFUNCTION("""COMPUTED_VALUE"""),"")</f>
        <v/>
      </c>
      <c r="W778" s="189" t="str">
        <f ca="1">IFERROR(__xludf.DUMMYFUNCTION("""COMPUTED_VALUE"""),"")</f>
        <v/>
      </c>
      <c r="X778" s="189" t="str">
        <f ca="1">IFERROR(__xludf.DUMMYFUNCTION("""COMPUTED_VALUE"""),"")</f>
        <v/>
      </c>
      <c r="Y778" s="189" t="str">
        <f ca="1">IFERROR(__xludf.DUMMYFUNCTION("""COMPUTED_VALUE"""),"")</f>
        <v/>
      </c>
      <c r="Z778" s="189"/>
    </row>
    <row r="779" spans="1:26" ht="12.75">
      <c r="A779" s="189" t="str">
        <f ca="1">IFERROR(__xludf.DUMMYFUNCTION("""COMPUTED_VALUE"""),"")</f>
        <v/>
      </c>
      <c r="B779" s="189" t="str">
        <f ca="1">IFERROR(__xludf.DUMMYFUNCTION("""COMPUTED_VALUE"""),"")</f>
        <v/>
      </c>
      <c r="C779" s="189" t="str">
        <f ca="1">IFERROR(__xludf.DUMMYFUNCTION("""COMPUTED_VALUE"""),"")</f>
        <v/>
      </c>
      <c r="D779" s="189" t="str">
        <f ca="1">IFERROR(__xludf.DUMMYFUNCTION("""COMPUTED_VALUE"""),"")</f>
        <v/>
      </c>
      <c r="E779" s="189" t="str">
        <f ca="1">IFERROR(__xludf.DUMMYFUNCTION("""COMPUTED_VALUE"""),"")</f>
        <v/>
      </c>
      <c r="F779" s="189" t="str">
        <f ca="1">IFERROR(__xludf.DUMMYFUNCTION("""COMPUTED_VALUE"""),"")</f>
        <v/>
      </c>
      <c r="G779" s="189" t="str">
        <f ca="1">IFERROR(__xludf.DUMMYFUNCTION("""COMPUTED_VALUE"""),"")</f>
        <v/>
      </c>
      <c r="H779" s="189" t="str">
        <f ca="1">IFERROR(__xludf.DUMMYFUNCTION("""COMPUTED_VALUE"""),"")</f>
        <v/>
      </c>
      <c r="I779" s="120" t="str">
        <f ca="1">IFERROR(__xludf.DUMMYFUNCTION("""COMPUTED_VALUE"""),"")</f>
        <v/>
      </c>
      <c r="J779" s="189" t="str">
        <f ca="1">IFERROR(__xludf.DUMMYFUNCTION("""COMPUTED_VALUE"""),"")</f>
        <v/>
      </c>
      <c r="K779" s="189" t="str">
        <f ca="1">IFERROR(__xludf.DUMMYFUNCTION("""COMPUTED_VALUE"""),"")</f>
        <v/>
      </c>
      <c r="L779" s="189" t="str">
        <f ca="1">IFERROR(__xludf.DUMMYFUNCTION("""COMPUTED_VALUE"""),"")</f>
        <v/>
      </c>
      <c r="M779" s="189" t="str">
        <f ca="1">IFERROR(__xludf.DUMMYFUNCTION("""COMPUTED_VALUE"""),"")</f>
        <v/>
      </c>
      <c r="N779" s="189" t="str">
        <f ca="1">IFERROR(__xludf.DUMMYFUNCTION("""COMPUTED_VALUE"""),"")</f>
        <v/>
      </c>
      <c r="O779" s="189" t="str">
        <f ca="1">IFERROR(__xludf.DUMMYFUNCTION("""COMPUTED_VALUE"""),"")</f>
        <v/>
      </c>
      <c r="P779" s="189" t="str">
        <f ca="1">IFERROR(__xludf.DUMMYFUNCTION("""COMPUTED_VALUE"""),"")</f>
        <v/>
      </c>
      <c r="Q779" s="189" t="str">
        <f ca="1">IFERROR(__xludf.DUMMYFUNCTION("""COMPUTED_VALUE"""),"")</f>
        <v/>
      </c>
      <c r="R779" s="189" t="str">
        <f ca="1">IFERROR(__xludf.DUMMYFUNCTION("""COMPUTED_VALUE"""),"")</f>
        <v/>
      </c>
      <c r="S779" s="189" t="str">
        <f ca="1">IFERROR(__xludf.DUMMYFUNCTION("""COMPUTED_VALUE"""),"")</f>
        <v/>
      </c>
      <c r="T779" s="189" t="str">
        <f ca="1">IFERROR(__xludf.DUMMYFUNCTION("""COMPUTED_VALUE"""),"")</f>
        <v/>
      </c>
      <c r="U779" s="189" t="str">
        <f ca="1">IFERROR(__xludf.DUMMYFUNCTION("""COMPUTED_VALUE"""),"")</f>
        <v/>
      </c>
      <c r="V779" s="189" t="str">
        <f ca="1">IFERROR(__xludf.DUMMYFUNCTION("""COMPUTED_VALUE"""),"")</f>
        <v/>
      </c>
      <c r="W779" s="189" t="str">
        <f ca="1">IFERROR(__xludf.DUMMYFUNCTION("""COMPUTED_VALUE"""),"")</f>
        <v/>
      </c>
      <c r="X779" s="189" t="str">
        <f ca="1">IFERROR(__xludf.DUMMYFUNCTION("""COMPUTED_VALUE"""),"")</f>
        <v/>
      </c>
      <c r="Y779" s="189" t="str">
        <f ca="1">IFERROR(__xludf.DUMMYFUNCTION("""COMPUTED_VALUE"""),"")</f>
        <v/>
      </c>
      <c r="Z779" s="189"/>
    </row>
    <row r="780" spans="1:26" ht="12.75">
      <c r="A780" s="189" t="str">
        <f ca="1">IFERROR(__xludf.DUMMYFUNCTION("""COMPUTED_VALUE"""),"")</f>
        <v/>
      </c>
      <c r="B780" s="189" t="str">
        <f ca="1">IFERROR(__xludf.DUMMYFUNCTION("""COMPUTED_VALUE"""),"")</f>
        <v/>
      </c>
      <c r="C780" s="189" t="str">
        <f ca="1">IFERROR(__xludf.DUMMYFUNCTION("""COMPUTED_VALUE"""),"")</f>
        <v/>
      </c>
      <c r="D780" s="189" t="str">
        <f ca="1">IFERROR(__xludf.DUMMYFUNCTION("""COMPUTED_VALUE"""),"")</f>
        <v/>
      </c>
      <c r="E780" s="189" t="str">
        <f ca="1">IFERROR(__xludf.DUMMYFUNCTION("""COMPUTED_VALUE"""),"")</f>
        <v/>
      </c>
      <c r="F780" s="189" t="str">
        <f ca="1">IFERROR(__xludf.DUMMYFUNCTION("""COMPUTED_VALUE"""),"")</f>
        <v/>
      </c>
      <c r="G780" s="189" t="str">
        <f ca="1">IFERROR(__xludf.DUMMYFUNCTION("""COMPUTED_VALUE"""),"")</f>
        <v/>
      </c>
      <c r="H780" s="189" t="str">
        <f ca="1">IFERROR(__xludf.DUMMYFUNCTION("""COMPUTED_VALUE"""),"")</f>
        <v/>
      </c>
      <c r="I780" s="120" t="str">
        <f ca="1">IFERROR(__xludf.DUMMYFUNCTION("""COMPUTED_VALUE"""),"")</f>
        <v/>
      </c>
      <c r="J780" s="189" t="str">
        <f ca="1">IFERROR(__xludf.DUMMYFUNCTION("""COMPUTED_VALUE"""),"")</f>
        <v/>
      </c>
      <c r="K780" s="189" t="str">
        <f ca="1">IFERROR(__xludf.DUMMYFUNCTION("""COMPUTED_VALUE"""),"")</f>
        <v/>
      </c>
      <c r="L780" s="189" t="str">
        <f ca="1">IFERROR(__xludf.DUMMYFUNCTION("""COMPUTED_VALUE"""),"")</f>
        <v/>
      </c>
      <c r="M780" s="189" t="str">
        <f ca="1">IFERROR(__xludf.DUMMYFUNCTION("""COMPUTED_VALUE"""),"")</f>
        <v/>
      </c>
      <c r="N780" s="189" t="str">
        <f ca="1">IFERROR(__xludf.DUMMYFUNCTION("""COMPUTED_VALUE"""),"")</f>
        <v/>
      </c>
      <c r="O780" s="189" t="str">
        <f ca="1">IFERROR(__xludf.DUMMYFUNCTION("""COMPUTED_VALUE"""),"")</f>
        <v/>
      </c>
      <c r="P780" s="189" t="str">
        <f ca="1">IFERROR(__xludf.DUMMYFUNCTION("""COMPUTED_VALUE"""),"")</f>
        <v/>
      </c>
      <c r="Q780" s="189" t="str">
        <f ca="1">IFERROR(__xludf.DUMMYFUNCTION("""COMPUTED_VALUE"""),"")</f>
        <v/>
      </c>
      <c r="R780" s="189" t="str">
        <f ca="1">IFERROR(__xludf.DUMMYFUNCTION("""COMPUTED_VALUE"""),"")</f>
        <v/>
      </c>
      <c r="S780" s="189" t="str">
        <f ca="1">IFERROR(__xludf.DUMMYFUNCTION("""COMPUTED_VALUE"""),"")</f>
        <v/>
      </c>
      <c r="T780" s="189" t="str">
        <f ca="1">IFERROR(__xludf.DUMMYFUNCTION("""COMPUTED_VALUE"""),"")</f>
        <v/>
      </c>
      <c r="U780" s="189" t="str">
        <f ca="1">IFERROR(__xludf.DUMMYFUNCTION("""COMPUTED_VALUE"""),"")</f>
        <v/>
      </c>
      <c r="V780" s="189" t="str">
        <f ca="1">IFERROR(__xludf.DUMMYFUNCTION("""COMPUTED_VALUE"""),"")</f>
        <v/>
      </c>
      <c r="W780" s="189" t="str">
        <f ca="1">IFERROR(__xludf.DUMMYFUNCTION("""COMPUTED_VALUE"""),"")</f>
        <v/>
      </c>
      <c r="X780" s="189" t="str">
        <f ca="1">IFERROR(__xludf.DUMMYFUNCTION("""COMPUTED_VALUE"""),"")</f>
        <v/>
      </c>
      <c r="Y780" s="189" t="str">
        <f ca="1">IFERROR(__xludf.DUMMYFUNCTION("""COMPUTED_VALUE"""),"")</f>
        <v/>
      </c>
      <c r="Z780" s="189"/>
    </row>
    <row r="781" spans="1:26" ht="12.75">
      <c r="A781" s="189" t="str">
        <f ca="1">IFERROR(__xludf.DUMMYFUNCTION("""COMPUTED_VALUE"""),"")</f>
        <v/>
      </c>
      <c r="B781" s="189" t="str">
        <f ca="1">IFERROR(__xludf.DUMMYFUNCTION("""COMPUTED_VALUE"""),"")</f>
        <v/>
      </c>
      <c r="C781" s="189" t="str">
        <f ca="1">IFERROR(__xludf.DUMMYFUNCTION("""COMPUTED_VALUE"""),"")</f>
        <v/>
      </c>
      <c r="D781" s="189" t="str">
        <f ca="1">IFERROR(__xludf.DUMMYFUNCTION("""COMPUTED_VALUE"""),"")</f>
        <v/>
      </c>
      <c r="E781" s="189" t="str">
        <f ca="1">IFERROR(__xludf.DUMMYFUNCTION("""COMPUTED_VALUE"""),"")</f>
        <v/>
      </c>
      <c r="F781" s="189" t="str">
        <f ca="1">IFERROR(__xludf.DUMMYFUNCTION("""COMPUTED_VALUE"""),"")</f>
        <v/>
      </c>
      <c r="G781" s="189" t="str">
        <f ca="1">IFERROR(__xludf.DUMMYFUNCTION("""COMPUTED_VALUE"""),"")</f>
        <v/>
      </c>
      <c r="H781" s="189" t="str">
        <f ca="1">IFERROR(__xludf.DUMMYFUNCTION("""COMPUTED_VALUE"""),"")</f>
        <v/>
      </c>
      <c r="I781" s="120" t="str">
        <f ca="1">IFERROR(__xludf.DUMMYFUNCTION("""COMPUTED_VALUE"""),"")</f>
        <v/>
      </c>
      <c r="J781" s="189" t="str">
        <f ca="1">IFERROR(__xludf.DUMMYFUNCTION("""COMPUTED_VALUE"""),"")</f>
        <v/>
      </c>
      <c r="K781" s="189" t="str">
        <f ca="1">IFERROR(__xludf.DUMMYFUNCTION("""COMPUTED_VALUE"""),"")</f>
        <v/>
      </c>
      <c r="L781" s="189" t="str">
        <f ca="1">IFERROR(__xludf.DUMMYFUNCTION("""COMPUTED_VALUE"""),"")</f>
        <v/>
      </c>
      <c r="M781" s="189" t="str">
        <f ca="1">IFERROR(__xludf.DUMMYFUNCTION("""COMPUTED_VALUE"""),"")</f>
        <v/>
      </c>
      <c r="N781" s="189" t="str">
        <f ca="1">IFERROR(__xludf.DUMMYFUNCTION("""COMPUTED_VALUE"""),"")</f>
        <v/>
      </c>
      <c r="O781" s="189" t="str">
        <f ca="1">IFERROR(__xludf.DUMMYFUNCTION("""COMPUTED_VALUE"""),"")</f>
        <v/>
      </c>
      <c r="P781" s="189" t="str">
        <f ca="1">IFERROR(__xludf.DUMMYFUNCTION("""COMPUTED_VALUE"""),"")</f>
        <v/>
      </c>
      <c r="Q781" s="189" t="str">
        <f ca="1">IFERROR(__xludf.DUMMYFUNCTION("""COMPUTED_VALUE"""),"")</f>
        <v/>
      </c>
      <c r="R781" s="189" t="str">
        <f ca="1">IFERROR(__xludf.DUMMYFUNCTION("""COMPUTED_VALUE"""),"")</f>
        <v/>
      </c>
      <c r="S781" s="189" t="str">
        <f ca="1">IFERROR(__xludf.DUMMYFUNCTION("""COMPUTED_VALUE"""),"")</f>
        <v/>
      </c>
      <c r="T781" s="189" t="str">
        <f ca="1">IFERROR(__xludf.DUMMYFUNCTION("""COMPUTED_VALUE"""),"")</f>
        <v/>
      </c>
      <c r="U781" s="189" t="str">
        <f ca="1">IFERROR(__xludf.DUMMYFUNCTION("""COMPUTED_VALUE"""),"")</f>
        <v/>
      </c>
      <c r="V781" s="189" t="str">
        <f ca="1">IFERROR(__xludf.DUMMYFUNCTION("""COMPUTED_VALUE"""),"")</f>
        <v/>
      </c>
      <c r="W781" s="189" t="str">
        <f ca="1">IFERROR(__xludf.DUMMYFUNCTION("""COMPUTED_VALUE"""),"")</f>
        <v/>
      </c>
      <c r="X781" s="189" t="str">
        <f ca="1">IFERROR(__xludf.DUMMYFUNCTION("""COMPUTED_VALUE"""),"")</f>
        <v/>
      </c>
      <c r="Y781" s="189" t="str">
        <f ca="1">IFERROR(__xludf.DUMMYFUNCTION("""COMPUTED_VALUE"""),"")</f>
        <v/>
      </c>
      <c r="Z781" s="189"/>
    </row>
    <row r="782" spans="1:26" ht="12.75">
      <c r="A782" s="189" t="str">
        <f ca="1">IFERROR(__xludf.DUMMYFUNCTION("""COMPUTED_VALUE"""),"")</f>
        <v/>
      </c>
      <c r="B782" s="189" t="str">
        <f ca="1">IFERROR(__xludf.DUMMYFUNCTION("""COMPUTED_VALUE"""),"")</f>
        <v/>
      </c>
      <c r="C782" s="189" t="str">
        <f ca="1">IFERROR(__xludf.DUMMYFUNCTION("""COMPUTED_VALUE"""),"")</f>
        <v/>
      </c>
      <c r="D782" s="189" t="str">
        <f ca="1">IFERROR(__xludf.DUMMYFUNCTION("""COMPUTED_VALUE"""),"")</f>
        <v/>
      </c>
      <c r="E782" s="189" t="str">
        <f ca="1">IFERROR(__xludf.DUMMYFUNCTION("""COMPUTED_VALUE"""),"")</f>
        <v/>
      </c>
      <c r="F782" s="189" t="str">
        <f ca="1">IFERROR(__xludf.DUMMYFUNCTION("""COMPUTED_VALUE"""),"")</f>
        <v/>
      </c>
      <c r="G782" s="189" t="str">
        <f ca="1">IFERROR(__xludf.DUMMYFUNCTION("""COMPUTED_VALUE"""),"")</f>
        <v/>
      </c>
      <c r="H782" s="189" t="str">
        <f ca="1">IFERROR(__xludf.DUMMYFUNCTION("""COMPUTED_VALUE"""),"")</f>
        <v/>
      </c>
      <c r="I782" s="120" t="str">
        <f ca="1">IFERROR(__xludf.DUMMYFUNCTION("""COMPUTED_VALUE"""),"")</f>
        <v/>
      </c>
      <c r="J782" s="189" t="str">
        <f ca="1">IFERROR(__xludf.DUMMYFUNCTION("""COMPUTED_VALUE"""),"")</f>
        <v/>
      </c>
      <c r="K782" s="189" t="str">
        <f ca="1">IFERROR(__xludf.DUMMYFUNCTION("""COMPUTED_VALUE"""),"")</f>
        <v/>
      </c>
      <c r="L782" s="189" t="str">
        <f ca="1">IFERROR(__xludf.DUMMYFUNCTION("""COMPUTED_VALUE"""),"")</f>
        <v/>
      </c>
      <c r="M782" s="189" t="str">
        <f ca="1">IFERROR(__xludf.DUMMYFUNCTION("""COMPUTED_VALUE"""),"")</f>
        <v/>
      </c>
      <c r="N782" s="189" t="str">
        <f ca="1">IFERROR(__xludf.DUMMYFUNCTION("""COMPUTED_VALUE"""),"")</f>
        <v/>
      </c>
      <c r="O782" s="189" t="str">
        <f ca="1">IFERROR(__xludf.DUMMYFUNCTION("""COMPUTED_VALUE"""),"")</f>
        <v/>
      </c>
      <c r="P782" s="189" t="str">
        <f ca="1">IFERROR(__xludf.DUMMYFUNCTION("""COMPUTED_VALUE"""),"")</f>
        <v/>
      </c>
      <c r="Q782" s="189" t="str">
        <f ca="1">IFERROR(__xludf.DUMMYFUNCTION("""COMPUTED_VALUE"""),"")</f>
        <v/>
      </c>
      <c r="R782" s="189" t="str">
        <f ca="1">IFERROR(__xludf.DUMMYFUNCTION("""COMPUTED_VALUE"""),"")</f>
        <v/>
      </c>
      <c r="S782" s="189" t="str">
        <f ca="1">IFERROR(__xludf.DUMMYFUNCTION("""COMPUTED_VALUE"""),"")</f>
        <v/>
      </c>
      <c r="T782" s="189" t="str">
        <f ca="1">IFERROR(__xludf.DUMMYFUNCTION("""COMPUTED_VALUE"""),"")</f>
        <v/>
      </c>
      <c r="U782" s="189" t="str">
        <f ca="1">IFERROR(__xludf.DUMMYFUNCTION("""COMPUTED_VALUE"""),"")</f>
        <v/>
      </c>
      <c r="V782" s="189" t="str">
        <f ca="1">IFERROR(__xludf.DUMMYFUNCTION("""COMPUTED_VALUE"""),"")</f>
        <v/>
      </c>
      <c r="W782" s="189" t="str">
        <f ca="1">IFERROR(__xludf.DUMMYFUNCTION("""COMPUTED_VALUE"""),"")</f>
        <v/>
      </c>
      <c r="X782" s="189" t="str">
        <f ca="1">IFERROR(__xludf.DUMMYFUNCTION("""COMPUTED_VALUE"""),"")</f>
        <v/>
      </c>
      <c r="Y782" s="189" t="str">
        <f ca="1">IFERROR(__xludf.DUMMYFUNCTION("""COMPUTED_VALUE"""),"")</f>
        <v/>
      </c>
      <c r="Z782" s="189"/>
    </row>
    <row r="783" spans="1:26" ht="12.75">
      <c r="A783" s="189" t="str">
        <f ca="1">IFERROR(__xludf.DUMMYFUNCTION("""COMPUTED_VALUE"""),"")</f>
        <v/>
      </c>
      <c r="B783" s="189" t="str">
        <f ca="1">IFERROR(__xludf.DUMMYFUNCTION("""COMPUTED_VALUE"""),"")</f>
        <v/>
      </c>
      <c r="C783" s="189" t="str">
        <f ca="1">IFERROR(__xludf.DUMMYFUNCTION("""COMPUTED_VALUE"""),"")</f>
        <v/>
      </c>
      <c r="D783" s="189" t="str">
        <f ca="1">IFERROR(__xludf.DUMMYFUNCTION("""COMPUTED_VALUE"""),"")</f>
        <v/>
      </c>
      <c r="E783" s="189" t="str">
        <f ca="1">IFERROR(__xludf.DUMMYFUNCTION("""COMPUTED_VALUE"""),"")</f>
        <v/>
      </c>
      <c r="F783" s="189" t="str">
        <f ca="1">IFERROR(__xludf.DUMMYFUNCTION("""COMPUTED_VALUE"""),"")</f>
        <v/>
      </c>
      <c r="G783" s="189" t="str">
        <f ca="1">IFERROR(__xludf.DUMMYFUNCTION("""COMPUTED_VALUE"""),"")</f>
        <v/>
      </c>
      <c r="H783" s="189" t="str">
        <f ca="1">IFERROR(__xludf.DUMMYFUNCTION("""COMPUTED_VALUE"""),"")</f>
        <v/>
      </c>
      <c r="I783" s="120" t="str">
        <f ca="1">IFERROR(__xludf.DUMMYFUNCTION("""COMPUTED_VALUE"""),"")</f>
        <v/>
      </c>
      <c r="J783" s="189" t="str">
        <f ca="1">IFERROR(__xludf.DUMMYFUNCTION("""COMPUTED_VALUE"""),"")</f>
        <v/>
      </c>
      <c r="K783" s="189" t="str">
        <f ca="1">IFERROR(__xludf.DUMMYFUNCTION("""COMPUTED_VALUE"""),"")</f>
        <v/>
      </c>
      <c r="L783" s="189" t="str">
        <f ca="1">IFERROR(__xludf.DUMMYFUNCTION("""COMPUTED_VALUE"""),"")</f>
        <v/>
      </c>
      <c r="M783" s="189" t="str">
        <f ca="1">IFERROR(__xludf.DUMMYFUNCTION("""COMPUTED_VALUE"""),"")</f>
        <v/>
      </c>
      <c r="N783" s="189" t="str">
        <f ca="1">IFERROR(__xludf.DUMMYFUNCTION("""COMPUTED_VALUE"""),"")</f>
        <v/>
      </c>
      <c r="O783" s="189" t="str">
        <f ca="1">IFERROR(__xludf.DUMMYFUNCTION("""COMPUTED_VALUE"""),"")</f>
        <v/>
      </c>
      <c r="P783" s="189" t="str">
        <f ca="1">IFERROR(__xludf.DUMMYFUNCTION("""COMPUTED_VALUE"""),"")</f>
        <v/>
      </c>
      <c r="Q783" s="189" t="str">
        <f ca="1">IFERROR(__xludf.DUMMYFUNCTION("""COMPUTED_VALUE"""),"")</f>
        <v/>
      </c>
      <c r="R783" s="189" t="str">
        <f ca="1">IFERROR(__xludf.DUMMYFUNCTION("""COMPUTED_VALUE"""),"")</f>
        <v/>
      </c>
      <c r="S783" s="189" t="str">
        <f ca="1">IFERROR(__xludf.DUMMYFUNCTION("""COMPUTED_VALUE"""),"")</f>
        <v/>
      </c>
      <c r="T783" s="189" t="str">
        <f ca="1">IFERROR(__xludf.DUMMYFUNCTION("""COMPUTED_VALUE"""),"")</f>
        <v/>
      </c>
      <c r="U783" s="189" t="str">
        <f ca="1">IFERROR(__xludf.DUMMYFUNCTION("""COMPUTED_VALUE"""),"")</f>
        <v/>
      </c>
      <c r="V783" s="189" t="str">
        <f ca="1">IFERROR(__xludf.DUMMYFUNCTION("""COMPUTED_VALUE"""),"")</f>
        <v/>
      </c>
      <c r="W783" s="189" t="str">
        <f ca="1">IFERROR(__xludf.DUMMYFUNCTION("""COMPUTED_VALUE"""),"")</f>
        <v/>
      </c>
      <c r="X783" s="189" t="str">
        <f ca="1">IFERROR(__xludf.DUMMYFUNCTION("""COMPUTED_VALUE"""),"")</f>
        <v/>
      </c>
      <c r="Y783" s="189" t="str">
        <f ca="1">IFERROR(__xludf.DUMMYFUNCTION("""COMPUTED_VALUE"""),"")</f>
        <v/>
      </c>
      <c r="Z783" s="189"/>
    </row>
    <row r="784" spans="1:26" ht="12.75">
      <c r="A784" s="189" t="str">
        <f ca="1">IFERROR(__xludf.DUMMYFUNCTION("""COMPUTED_VALUE"""),"")</f>
        <v/>
      </c>
      <c r="B784" s="189" t="str">
        <f ca="1">IFERROR(__xludf.DUMMYFUNCTION("""COMPUTED_VALUE"""),"")</f>
        <v/>
      </c>
      <c r="C784" s="189" t="str">
        <f ca="1">IFERROR(__xludf.DUMMYFUNCTION("""COMPUTED_VALUE"""),"")</f>
        <v/>
      </c>
      <c r="D784" s="189" t="str">
        <f ca="1">IFERROR(__xludf.DUMMYFUNCTION("""COMPUTED_VALUE"""),"")</f>
        <v/>
      </c>
      <c r="E784" s="189" t="str">
        <f ca="1">IFERROR(__xludf.DUMMYFUNCTION("""COMPUTED_VALUE"""),"")</f>
        <v/>
      </c>
      <c r="F784" s="189" t="str">
        <f ca="1">IFERROR(__xludf.DUMMYFUNCTION("""COMPUTED_VALUE"""),"")</f>
        <v/>
      </c>
      <c r="G784" s="189" t="str">
        <f ca="1">IFERROR(__xludf.DUMMYFUNCTION("""COMPUTED_VALUE"""),"")</f>
        <v/>
      </c>
      <c r="H784" s="189" t="str">
        <f ca="1">IFERROR(__xludf.DUMMYFUNCTION("""COMPUTED_VALUE"""),"")</f>
        <v/>
      </c>
      <c r="I784" s="120" t="str">
        <f ca="1">IFERROR(__xludf.DUMMYFUNCTION("""COMPUTED_VALUE"""),"")</f>
        <v/>
      </c>
      <c r="J784" s="189" t="str">
        <f ca="1">IFERROR(__xludf.DUMMYFUNCTION("""COMPUTED_VALUE"""),"")</f>
        <v/>
      </c>
      <c r="K784" s="189" t="str">
        <f ca="1">IFERROR(__xludf.DUMMYFUNCTION("""COMPUTED_VALUE"""),"")</f>
        <v/>
      </c>
      <c r="L784" s="189" t="str">
        <f ca="1">IFERROR(__xludf.DUMMYFUNCTION("""COMPUTED_VALUE"""),"")</f>
        <v/>
      </c>
      <c r="M784" s="189" t="str">
        <f ca="1">IFERROR(__xludf.DUMMYFUNCTION("""COMPUTED_VALUE"""),"")</f>
        <v/>
      </c>
      <c r="N784" s="189" t="str">
        <f ca="1">IFERROR(__xludf.DUMMYFUNCTION("""COMPUTED_VALUE"""),"")</f>
        <v/>
      </c>
      <c r="O784" s="189" t="str">
        <f ca="1">IFERROR(__xludf.DUMMYFUNCTION("""COMPUTED_VALUE"""),"")</f>
        <v/>
      </c>
      <c r="P784" s="189" t="str">
        <f ca="1">IFERROR(__xludf.DUMMYFUNCTION("""COMPUTED_VALUE"""),"")</f>
        <v/>
      </c>
      <c r="Q784" s="189" t="str">
        <f ca="1">IFERROR(__xludf.DUMMYFUNCTION("""COMPUTED_VALUE"""),"")</f>
        <v/>
      </c>
      <c r="R784" s="189" t="str">
        <f ca="1">IFERROR(__xludf.DUMMYFUNCTION("""COMPUTED_VALUE"""),"")</f>
        <v/>
      </c>
      <c r="S784" s="189" t="str">
        <f ca="1">IFERROR(__xludf.DUMMYFUNCTION("""COMPUTED_VALUE"""),"")</f>
        <v/>
      </c>
      <c r="T784" s="189" t="str">
        <f ca="1">IFERROR(__xludf.DUMMYFUNCTION("""COMPUTED_VALUE"""),"")</f>
        <v/>
      </c>
      <c r="U784" s="189" t="str">
        <f ca="1">IFERROR(__xludf.DUMMYFUNCTION("""COMPUTED_VALUE"""),"")</f>
        <v/>
      </c>
      <c r="V784" s="189" t="str">
        <f ca="1">IFERROR(__xludf.DUMMYFUNCTION("""COMPUTED_VALUE"""),"")</f>
        <v/>
      </c>
      <c r="W784" s="189" t="str">
        <f ca="1">IFERROR(__xludf.DUMMYFUNCTION("""COMPUTED_VALUE"""),"")</f>
        <v/>
      </c>
      <c r="X784" s="189" t="str">
        <f ca="1">IFERROR(__xludf.DUMMYFUNCTION("""COMPUTED_VALUE"""),"")</f>
        <v/>
      </c>
      <c r="Y784" s="189" t="str">
        <f ca="1">IFERROR(__xludf.DUMMYFUNCTION("""COMPUTED_VALUE"""),"")</f>
        <v/>
      </c>
      <c r="Z784" s="189"/>
    </row>
    <row r="785" spans="1:26" ht="12.75">
      <c r="A785" s="189" t="str">
        <f ca="1">IFERROR(__xludf.DUMMYFUNCTION("""COMPUTED_VALUE"""),"")</f>
        <v/>
      </c>
      <c r="B785" s="189" t="str">
        <f ca="1">IFERROR(__xludf.DUMMYFUNCTION("""COMPUTED_VALUE"""),"")</f>
        <v/>
      </c>
      <c r="C785" s="189" t="str">
        <f ca="1">IFERROR(__xludf.DUMMYFUNCTION("""COMPUTED_VALUE"""),"")</f>
        <v/>
      </c>
      <c r="D785" s="189" t="str">
        <f ca="1">IFERROR(__xludf.DUMMYFUNCTION("""COMPUTED_VALUE"""),"")</f>
        <v/>
      </c>
      <c r="E785" s="189" t="str">
        <f ca="1">IFERROR(__xludf.DUMMYFUNCTION("""COMPUTED_VALUE"""),"")</f>
        <v/>
      </c>
      <c r="F785" s="189" t="str">
        <f ca="1">IFERROR(__xludf.DUMMYFUNCTION("""COMPUTED_VALUE"""),"")</f>
        <v/>
      </c>
      <c r="G785" s="189" t="str">
        <f ca="1">IFERROR(__xludf.DUMMYFUNCTION("""COMPUTED_VALUE"""),"")</f>
        <v/>
      </c>
      <c r="H785" s="189" t="str">
        <f ca="1">IFERROR(__xludf.DUMMYFUNCTION("""COMPUTED_VALUE"""),"")</f>
        <v/>
      </c>
      <c r="I785" s="120" t="str">
        <f ca="1">IFERROR(__xludf.DUMMYFUNCTION("""COMPUTED_VALUE"""),"")</f>
        <v/>
      </c>
      <c r="J785" s="189" t="str">
        <f ca="1">IFERROR(__xludf.DUMMYFUNCTION("""COMPUTED_VALUE"""),"")</f>
        <v/>
      </c>
      <c r="K785" s="189" t="str">
        <f ca="1">IFERROR(__xludf.DUMMYFUNCTION("""COMPUTED_VALUE"""),"")</f>
        <v/>
      </c>
      <c r="L785" s="189" t="str">
        <f ca="1">IFERROR(__xludf.DUMMYFUNCTION("""COMPUTED_VALUE"""),"")</f>
        <v/>
      </c>
      <c r="M785" s="189" t="str">
        <f ca="1">IFERROR(__xludf.DUMMYFUNCTION("""COMPUTED_VALUE"""),"")</f>
        <v/>
      </c>
      <c r="N785" s="189" t="str">
        <f ca="1">IFERROR(__xludf.DUMMYFUNCTION("""COMPUTED_VALUE"""),"")</f>
        <v/>
      </c>
      <c r="O785" s="189" t="str">
        <f ca="1">IFERROR(__xludf.DUMMYFUNCTION("""COMPUTED_VALUE"""),"")</f>
        <v/>
      </c>
      <c r="P785" s="189" t="str">
        <f ca="1">IFERROR(__xludf.DUMMYFUNCTION("""COMPUTED_VALUE"""),"")</f>
        <v/>
      </c>
      <c r="Q785" s="189" t="str">
        <f ca="1">IFERROR(__xludf.DUMMYFUNCTION("""COMPUTED_VALUE"""),"")</f>
        <v/>
      </c>
      <c r="R785" s="189" t="str">
        <f ca="1">IFERROR(__xludf.DUMMYFUNCTION("""COMPUTED_VALUE"""),"")</f>
        <v/>
      </c>
      <c r="S785" s="189" t="str">
        <f ca="1">IFERROR(__xludf.DUMMYFUNCTION("""COMPUTED_VALUE"""),"")</f>
        <v/>
      </c>
      <c r="T785" s="189" t="str">
        <f ca="1">IFERROR(__xludf.DUMMYFUNCTION("""COMPUTED_VALUE"""),"")</f>
        <v/>
      </c>
      <c r="U785" s="189" t="str">
        <f ca="1">IFERROR(__xludf.DUMMYFUNCTION("""COMPUTED_VALUE"""),"")</f>
        <v/>
      </c>
      <c r="V785" s="189" t="str">
        <f ca="1">IFERROR(__xludf.DUMMYFUNCTION("""COMPUTED_VALUE"""),"")</f>
        <v/>
      </c>
      <c r="W785" s="189" t="str">
        <f ca="1">IFERROR(__xludf.DUMMYFUNCTION("""COMPUTED_VALUE"""),"")</f>
        <v/>
      </c>
      <c r="X785" s="189" t="str">
        <f ca="1">IFERROR(__xludf.DUMMYFUNCTION("""COMPUTED_VALUE"""),"")</f>
        <v/>
      </c>
      <c r="Y785" s="189" t="str">
        <f ca="1">IFERROR(__xludf.DUMMYFUNCTION("""COMPUTED_VALUE"""),"")</f>
        <v/>
      </c>
      <c r="Z785" s="189"/>
    </row>
    <row r="786" spans="1:26" ht="12.75">
      <c r="A786" s="189" t="str">
        <f ca="1">IFERROR(__xludf.DUMMYFUNCTION("""COMPUTED_VALUE"""),"")</f>
        <v/>
      </c>
      <c r="B786" s="189" t="str">
        <f ca="1">IFERROR(__xludf.DUMMYFUNCTION("""COMPUTED_VALUE"""),"")</f>
        <v/>
      </c>
      <c r="C786" s="189" t="str">
        <f ca="1">IFERROR(__xludf.DUMMYFUNCTION("""COMPUTED_VALUE"""),"")</f>
        <v/>
      </c>
      <c r="D786" s="189" t="str">
        <f ca="1">IFERROR(__xludf.DUMMYFUNCTION("""COMPUTED_VALUE"""),"")</f>
        <v/>
      </c>
      <c r="E786" s="189" t="str">
        <f ca="1">IFERROR(__xludf.DUMMYFUNCTION("""COMPUTED_VALUE"""),"")</f>
        <v/>
      </c>
      <c r="F786" s="189" t="str">
        <f ca="1">IFERROR(__xludf.DUMMYFUNCTION("""COMPUTED_VALUE"""),"")</f>
        <v/>
      </c>
      <c r="G786" s="189" t="str">
        <f ca="1">IFERROR(__xludf.DUMMYFUNCTION("""COMPUTED_VALUE"""),"")</f>
        <v/>
      </c>
      <c r="H786" s="189" t="str">
        <f ca="1">IFERROR(__xludf.DUMMYFUNCTION("""COMPUTED_VALUE"""),"")</f>
        <v/>
      </c>
      <c r="I786" s="120" t="str">
        <f ca="1">IFERROR(__xludf.DUMMYFUNCTION("""COMPUTED_VALUE"""),"")</f>
        <v/>
      </c>
      <c r="J786" s="189" t="str">
        <f ca="1">IFERROR(__xludf.DUMMYFUNCTION("""COMPUTED_VALUE"""),"")</f>
        <v/>
      </c>
      <c r="K786" s="189" t="str">
        <f ca="1">IFERROR(__xludf.DUMMYFUNCTION("""COMPUTED_VALUE"""),"")</f>
        <v/>
      </c>
      <c r="L786" s="189" t="str">
        <f ca="1">IFERROR(__xludf.DUMMYFUNCTION("""COMPUTED_VALUE"""),"")</f>
        <v/>
      </c>
      <c r="M786" s="189" t="str">
        <f ca="1">IFERROR(__xludf.DUMMYFUNCTION("""COMPUTED_VALUE"""),"")</f>
        <v/>
      </c>
      <c r="N786" s="189" t="str">
        <f ca="1">IFERROR(__xludf.DUMMYFUNCTION("""COMPUTED_VALUE"""),"")</f>
        <v/>
      </c>
      <c r="O786" s="189" t="str">
        <f ca="1">IFERROR(__xludf.DUMMYFUNCTION("""COMPUTED_VALUE"""),"")</f>
        <v/>
      </c>
      <c r="P786" s="189" t="str">
        <f ca="1">IFERROR(__xludf.DUMMYFUNCTION("""COMPUTED_VALUE"""),"")</f>
        <v/>
      </c>
      <c r="Q786" s="189" t="str">
        <f ca="1">IFERROR(__xludf.DUMMYFUNCTION("""COMPUTED_VALUE"""),"")</f>
        <v/>
      </c>
      <c r="R786" s="189" t="str">
        <f ca="1">IFERROR(__xludf.DUMMYFUNCTION("""COMPUTED_VALUE"""),"")</f>
        <v/>
      </c>
      <c r="S786" s="189" t="str">
        <f ca="1">IFERROR(__xludf.DUMMYFUNCTION("""COMPUTED_VALUE"""),"")</f>
        <v/>
      </c>
      <c r="T786" s="189" t="str">
        <f ca="1">IFERROR(__xludf.DUMMYFUNCTION("""COMPUTED_VALUE"""),"")</f>
        <v/>
      </c>
      <c r="U786" s="189" t="str">
        <f ca="1">IFERROR(__xludf.DUMMYFUNCTION("""COMPUTED_VALUE"""),"")</f>
        <v/>
      </c>
      <c r="V786" s="189" t="str">
        <f ca="1">IFERROR(__xludf.DUMMYFUNCTION("""COMPUTED_VALUE"""),"")</f>
        <v/>
      </c>
      <c r="W786" s="189" t="str">
        <f ca="1">IFERROR(__xludf.DUMMYFUNCTION("""COMPUTED_VALUE"""),"")</f>
        <v/>
      </c>
      <c r="X786" s="189" t="str">
        <f ca="1">IFERROR(__xludf.DUMMYFUNCTION("""COMPUTED_VALUE"""),"")</f>
        <v/>
      </c>
      <c r="Y786" s="189" t="str">
        <f ca="1">IFERROR(__xludf.DUMMYFUNCTION("""COMPUTED_VALUE"""),"")</f>
        <v/>
      </c>
      <c r="Z786" s="189"/>
    </row>
    <row r="787" spans="1:26" ht="12.75">
      <c r="A787" s="189" t="str">
        <f ca="1">IFERROR(__xludf.DUMMYFUNCTION("""COMPUTED_VALUE"""),"")</f>
        <v/>
      </c>
      <c r="B787" s="189" t="str">
        <f ca="1">IFERROR(__xludf.DUMMYFUNCTION("""COMPUTED_VALUE"""),"")</f>
        <v/>
      </c>
      <c r="C787" s="189" t="str">
        <f ca="1">IFERROR(__xludf.DUMMYFUNCTION("""COMPUTED_VALUE"""),"")</f>
        <v/>
      </c>
      <c r="D787" s="189" t="str">
        <f ca="1">IFERROR(__xludf.DUMMYFUNCTION("""COMPUTED_VALUE"""),"")</f>
        <v/>
      </c>
      <c r="E787" s="189" t="str">
        <f ca="1">IFERROR(__xludf.DUMMYFUNCTION("""COMPUTED_VALUE"""),"")</f>
        <v/>
      </c>
      <c r="F787" s="189" t="str">
        <f ca="1">IFERROR(__xludf.DUMMYFUNCTION("""COMPUTED_VALUE"""),"")</f>
        <v/>
      </c>
      <c r="G787" s="189" t="str">
        <f ca="1">IFERROR(__xludf.DUMMYFUNCTION("""COMPUTED_VALUE"""),"")</f>
        <v/>
      </c>
      <c r="H787" s="189" t="str">
        <f ca="1">IFERROR(__xludf.DUMMYFUNCTION("""COMPUTED_VALUE"""),"")</f>
        <v/>
      </c>
      <c r="I787" s="120" t="str">
        <f ca="1">IFERROR(__xludf.DUMMYFUNCTION("""COMPUTED_VALUE"""),"")</f>
        <v/>
      </c>
      <c r="J787" s="189" t="str">
        <f ca="1">IFERROR(__xludf.DUMMYFUNCTION("""COMPUTED_VALUE"""),"")</f>
        <v/>
      </c>
      <c r="K787" s="189" t="str">
        <f ca="1">IFERROR(__xludf.DUMMYFUNCTION("""COMPUTED_VALUE"""),"")</f>
        <v/>
      </c>
      <c r="L787" s="189" t="str">
        <f ca="1">IFERROR(__xludf.DUMMYFUNCTION("""COMPUTED_VALUE"""),"")</f>
        <v/>
      </c>
      <c r="M787" s="189" t="str">
        <f ca="1">IFERROR(__xludf.DUMMYFUNCTION("""COMPUTED_VALUE"""),"")</f>
        <v/>
      </c>
      <c r="N787" s="189" t="str">
        <f ca="1">IFERROR(__xludf.DUMMYFUNCTION("""COMPUTED_VALUE"""),"")</f>
        <v/>
      </c>
      <c r="O787" s="189" t="str">
        <f ca="1">IFERROR(__xludf.DUMMYFUNCTION("""COMPUTED_VALUE"""),"")</f>
        <v/>
      </c>
      <c r="P787" s="189" t="str">
        <f ca="1">IFERROR(__xludf.DUMMYFUNCTION("""COMPUTED_VALUE"""),"")</f>
        <v/>
      </c>
      <c r="Q787" s="189" t="str">
        <f ca="1">IFERROR(__xludf.DUMMYFUNCTION("""COMPUTED_VALUE"""),"")</f>
        <v/>
      </c>
      <c r="R787" s="189" t="str">
        <f ca="1">IFERROR(__xludf.DUMMYFUNCTION("""COMPUTED_VALUE"""),"")</f>
        <v/>
      </c>
      <c r="S787" s="189" t="str">
        <f ca="1">IFERROR(__xludf.DUMMYFUNCTION("""COMPUTED_VALUE"""),"")</f>
        <v/>
      </c>
      <c r="T787" s="189" t="str">
        <f ca="1">IFERROR(__xludf.DUMMYFUNCTION("""COMPUTED_VALUE"""),"")</f>
        <v/>
      </c>
      <c r="U787" s="189" t="str">
        <f ca="1">IFERROR(__xludf.DUMMYFUNCTION("""COMPUTED_VALUE"""),"")</f>
        <v/>
      </c>
      <c r="V787" s="189" t="str">
        <f ca="1">IFERROR(__xludf.DUMMYFUNCTION("""COMPUTED_VALUE"""),"")</f>
        <v/>
      </c>
      <c r="W787" s="189" t="str">
        <f ca="1">IFERROR(__xludf.DUMMYFUNCTION("""COMPUTED_VALUE"""),"")</f>
        <v/>
      </c>
      <c r="X787" s="189" t="str">
        <f ca="1">IFERROR(__xludf.DUMMYFUNCTION("""COMPUTED_VALUE"""),"")</f>
        <v/>
      </c>
      <c r="Y787" s="189" t="str">
        <f ca="1">IFERROR(__xludf.DUMMYFUNCTION("""COMPUTED_VALUE"""),"")</f>
        <v/>
      </c>
      <c r="Z787" s="189"/>
    </row>
    <row r="788" spans="1:26" ht="12.75">
      <c r="A788" s="189" t="str">
        <f ca="1">IFERROR(__xludf.DUMMYFUNCTION("""COMPUTED_VALUE"""),"")</f>
        <v/>
      </c>
      <c r="B788" s="189" t="str">
        <f ca="1">IFERROR(__xludf.DUMMYFUNCTION("""COMPUTED_VALUE"""),"")</f>
        <v/>
      </c>
      <c r="C788" s="189" t="str">
        <f ca="1">IFERROR(__xludf.DUMMYFUNCTION("""COMPUTED_VALUE"""),"")</f>
        <v/>
      </c>
      <c r="D788" s="189" t="str">
        <f ca="1">IFERROR(__xludf.DUMMYFUNCTION("""COMPUTED_VALUE"""),"")</f>
        <v/>
      </c>
      <c r="E788" s="189" t="str">
        <f ca="1">IFERROR(__xludf.DUMMYFUNCTION("""COMPUTED_VALUE"""),"")</f>
        <v/>
      </c>
      <c r="F788" s="189" t="str">
        <f ca="1">IFERROR(__xludf.DUMMYFUNCTION("""COMPUTED_VALUE"""),"")</f>
        <v/>
      </c>
      <c r="G788" s="189" t="str">
        <f ca="1">IFERROR(__xludf.DUMMYFUNCTION("""COMPUTED_VALUE"""),"")</f>
        <v/>
      </c>
      <c r="H788" s="189" t="str">
        <f ca="1">IFERROR(__xludf.DUMMYFUNCTION("""COMPUTED_VALUE"""),"")</f>
        <v/>
      </c>
      <c r="I788" s="120" t="str">
        <f ca="1">IFERROR(__xludf.DUMMYFUNCTION("""COMPUTED_VALUE"""),"")</f>
        <v/>
      </c>
      <c r="J788" s="189" t="str">
        <f ca="1">IFERROR(__xludf.DUMMYFUNCTION("""COMPUTED_VALUE"""),"")</f>
        <v/>
      </c>
      <c r="K788" s="189" t="str">
        <f ca="1">IFERROR(__xludf.DUMMYFUNCTION("""COMPUTED_VALUE"""),"")</f>
        <v/>
      </c>
      <c r="L788" s="189" t="str">
        <f ca="1">IFERROR(__xludf.DUMMYFUNCTION("""COMPUTED_VALUE"""),"")</f>
        <v/>
      </c>
      <c r="M788" s="189" t="str">
        <f ca="1">IFERROR(__xludf.DUMMYFUNCTION("""COMPUTED_VALUE"""),"")</f>
        <v/>
      </c>
      <c r="N788" s="189" t="str">
        <f ca="1">IFERROR(__xludf.DUMMYFUNCTION("""COMPUTED_VALUE"""),"")</f>
        <v/>
      </c>
      <c r="O788" s="189" t="str">
        <f ca="1">IFERROR(__xludf.DUMMYFUNCTION("""COMPUTED_VALUE"""),"")</f>
        <v/>
      </c>
      <c r="P788" s="189" t="str">
        <f ca="1">IFERROR(__xludf.DUMMYFUNCTION("""COMPUTED_VALUE"""),"")</f>
        <v/>
      </c>
      <c r="Q788" s="189" t="str">
        <f ca="1">IFERROR(__xludf.DUMMYFUNCTION("""COMPUTED_VALUE"""),"")</f>
        <v/>
      </c>
      <c r="R788" s="189" t="str">
        <f ca="1">IFERROR(__xludf.DUMMYFUNCTION("""COMPUTED_VALUE"""),"")</f>
        <v/>
      </c>
      <c r="S788" s="189" t="str">
        <f ca="1">IFERROR(__xludf.DUMMYFUNCTION("""COMPUTED_VALUE"""),"")</f>
        <v/>
      </c>
      <c r="T788" s="189" t="str">
        <f ca="1">IFERROR(__xludf.DUMMYFUNCTION("""COMPUTED_VALUE"""),"")</f>
        <v/>
      </c>
      <c r="U788" s="189" t="str">
        <f ca="1">IFERROR(__xludf.DUMMYFUNCTION("""COMPUTED_VALUE"""),"")</f>
        <v/>
      </c>
      <c r="V788" s="189" t="str">
        <f ca="1">IFERROR(__xludf.DUMMYFUNCTION("""COMPUTED_VALUE"""),"")</f>
        <v/>
      </c>
      <c r="W788" s="189" t="str">
        <f ca="1">IFERROR(__xludf.DUMMYFUNCTION("""COMPUTED_VALUE"""),"")</f>
        <v/>
      </c>
      <c r="X788" s="189" t="str">
        <f ca="1">IFERROR(__xludf.DUMMYFUNCTION("""COMPUTED_VALUE"""),"")</f>
        <v/>
      </c>
      <c r="Y788" s="189" t="str">
        <f ca="1">IFERROR(__xludf.DUMMYFUNCTION("""COMPUTED_VALUE"""),"")</f>
        <v/>
      </c>
      <c r="Z788" s="189"/>
    </row>
    <row r="789" spans="1:26" ht="12.75">
      <c r="A789" s="189" t="str">
        <f ca="1">IFERROR(__xludf.DUMMYFUNCTION("""COMPUTED_VALUE"""),"")</f>
        <v/>
      </c>
      <c r="B789" s="189" t="str">
        <f ca="1">IFERROR(__xludf.DUMMYFUNCTION("""COMPUTED_VALUE"""),"")</f>
        <v/>
      </c>
      <c r="C789" s="189" t="str">
        <f ca="1">IFERROR(__xludf.DUMMYFUNCTION("""COMPUTED_VALUE"""),"")</f>
        <v/>
      </c>
      <c r="D789" s="189" t="str">
        <f ca="1">IFERROR(__xludf.DUMMYFUNCTION("""COMPUTED_VALUE"""),"")</f>
        <v/>
      </c>
      <c r="E789" s="189" t="str">
        <f ca="1">IFERROR(__xludf.DUMMYFUNCTION("""COMPUTED_VALUE"""),"")</f>
        <v/>
      </c>
      <c r="F789" s="189" t="str">
        <f ca="1">IFERROR(__xludf.DUMMYFUNCTION("""COMPUTED_VALUE"""),"")</f>
        <v/>
      </c>
      <c r="G789" s="189" t="str">
        <f ca="1">IFERROR(__xludf.DUMMYFUNCTION("""COMPUTED_VALUE"""),"")</f>
        <v/>
      </c>
      <c r="H789" s="189" t="str">
        <f ca="1">IFERROR(__xludf.DUMMYFUNCTION("""COMPUTED_VALUE"""),"")</f>
        <v/>
      </c>
      <c r="I789" s="120" t="str">
        <f ca="1">IFERROR(__xludf.DUMMYFUNCTION("""COMPUTED_VALUE"""),"")</f>
        <v/>
      </c>
      <c r="J789" s="189" t="str">
        <f ca="1">IFERROR(__xludf.DUMMYFUNCTION("""COMPUTED_VALUE"""),"")</f>
        <v/>
      </c>
      <c r="K789" s="189" t="str">
        <f ca="1">IFERROR(__xludf.DUMMYFUNCTION("""COMPUTED_VALUE"""),"")</f>
        <v/>
      </c>
      <c r="L789" s="189" t="str">
        <f ca="1">IFERROR(__xludf.DUMMYFUNCTION("""COMPUTED_VALUE"""),"")</f>
        <v/>
      </c>
      <c r="M789" s="189" t="str">
        <f ca="1">IFERROR(__xludf.DUMMYFUNCTION("""COMPUTED_VALUE"""),"")</f>
        <v/>
      </c>
      <c r="N789" s="189" t="str">
        <f ca="1">IFERROR(__xludf.DUMMYFUNCTION("""COMPUTED_VALUE"""),"")</f>
        <v/>
      </c>
      <c r="O789" s="189" t="str">
        <f ca="1">IFERROR(__xludf.DUMMYFUNCTION("""COMPUTED_VALUE"""),"")</f>
        <v/>
      </c>
      <c r="P789" s="189" t="str">
        <f ca="1">IFERROR(__xludf.DUMMYFUNCTION("""COMPUTED_VALUE"""),"")</f>
        <v/>
      </c>
      <c r="Q789" s="189" t="str">
        <f ca="1">IFERROR(__xludf.DUMMYFUNCTION("""COMPUTED_VALUE"""),"")</f>
        <v/>
      </c>
      <c r="R789" s="189" t="str">
        <f ca="1">IFERROR(__xludf.DUMMYFUNCTION("""COMPUTED_VALUE"""),"")</f>
        <v/>
      </c>
      <c r="S789" s="189" t="str">
        <f ca="1">IFERROR(__xludf.DUMMYFUNCTION("""COMPUTED_VALUE"""),"")</f>
        <v/>
      </c>
      <c r="T789" s="189" t="str">
        <f ca="1">IFERROR(__xludf.DUMMYFUNCTION("""COMPUTED_VALUE"""),"")</f>
        <v/>
      </c>
      <c r="U789" s="189" t="str">
        <f ca="1">IFERROR(__xludf.DUMMYFUNCTION("""COMPUTED_VALUE"""),"")</f>
        <v/>
      </c>
      <c r="V789" s="189" t="str">
        <f ca="1">IFERROR(__xludf.DUMMYFUNCTION("""COMPUTED_VALUE"""),"")</f>
        <v/>
      </c>
      <c r="W789" s="189" t="str">
        <f ca="1">IFERROR(__xludf.DUMMYFUNCTION("""COMPUTED_VALUE"""),"")</f>
        <v/>
      </c>
      <c r="X789" s="189" t="str">
        <f ca="1">IFERROR(__xludf.DUMMYFUNCTION("""COMPUTED_VALUE"""),"")</f>
        <v/>
      </c>
      <c r="Y789" s="189" t="str">
        <f ca="1">IFERROR(__xludf.DUMMYFUNCTION("""COMPUTED_VALUE"""),"")</f>
        <v/>
      </c>
      <c r="Z789" s="189"/>
    </row>
    <row r="790" spans="1:26" ht="12.75">
      <c r="A790" s="189" t="str">
        <f ca="1">IFERROR(__xludf.DUMMYFUNCTION("""COMPUTED_VALUE"""),"")</f>
        <v/>
      </c>
      <c r="B790" s="189" t="str">
        <f ca="1">IFERROR(__xludf.DUMMYFUNCTION("""COMPUTED_VALUE"""),"")</f>
        <v/>
      </c>
      <c r="C790" s="189" t="str">
        <f ca="1">IFERROR(__xludf.DUMMYFUNCTION("""COMPUTED_VALUE"""),"")</f>
        <v/>
      </c>
      <c r="D790" s="189" t="str">
        <f ca="1">IFERROR(__xludf.DUMMYFUNCTION("""COMPUTED_VALUE"""),"")</f>
        <v/>
      </c>
      <c r="E790" s="189" t="str">
        <f ca="1">IFERROR(__xludf.DUMMYFUNCTION("""COMPUTED_VALUE"""),"")</f>
        <v/>
      </c>
      <c r="F790" s="189" t="str">
        <f ca="1">IFERROR(__xludf.DUMMYFUNCTION("""COMPUTED_VALUE"""),"")</f>
        <v/>
      </c>
      <c r="G790" s="189" t="str">
        <f ca="1">IFERROR(__xludf.DUMMYFUNCTION("""COMPUTED_VALUE"""),"")</f>
        <v/>
      </c>
      <c r="H790" s="189" t="str">
        <f ca="1">IFERROR(__xludf.DUMMYFUNCTION("""COMPUTED_VALUE"""),"")</f>
        <v/>
      </c>
      <c r="I790" s="120" t="str">
        <f ca="1">IFERROR(__xludf.DUMMYFUNCTION("""COMPUTED_VALUE"""),"")</f>
        <v/>
      </c>
      <c r="J790" s="189" t="str">
        <f ca="1">IFERROR(__xludf.DUMMYFUNCTION("""COMPUTED_VALUE"""),"")</f>
        <v/>
      </c>
      <c r="K790" s="189" t="str">
        <f ca="1">IFERROR(__xludf.DUMMYFUNCTION("""COMPUTED_VALUE"""),"")</f>
        <v/>
      </c>
      <c r="L790" s="189" t="str">
        <f ca="1">IFERROR(__xludf.DUMMYFUNCTION("""COMPUTED_VALUE"""),"")</f>
        <v/>
      </c>
      <c r="M790" s="189" t="str">
        <f ca="1">IFERROR(__xludf.DUMMYFUNCTION("""COMPUTED_VALUE"""),"")</f>
        <v/>
      </c>
      <c r="N790" s="189" t="str">
        <f ca="1">IFERROR(__xludf.DUMMYFUNCTION("""COMPUTED_VALUE"""),"")</f>
        <v/>
      </c>
      <c r="O790" s="189" t="str">
        <f ca="1">IFERROR(__xludf.DUMMYFUNCTION("""COMPUTED_VALUE"""),"")</f>
        <v/>
      </c>
      <c r="P790" s="189" t="str">
        <f ca="1">IFERROR(__xludf.DUMMYFUNCTION("""COMPUTED_VALUE"""),"")</f>
        <v/>
      </c>
      <c r="Q790" s="189" t="str">
        <f ca="1">IFERROR(__xludf.DUMMYFUNCTION("""COMPUTED_VALUE"""),"")</f>
        <v/>
      </c>
      <c r="R790" s="189" t="str">
        <f ca="1">IFERROR(__xludf.DUMMYFUNCTION("""COMPUTED_VALUE"""),"")</f>
        <v/>
      </c>
      <c r="S790" s="189" t="str">
        <f ca="1">IFERROR(__xludf.DUMMYFUNCTION("""COMPUTED_VALUE"""),"")</f>
        <v/>
      </c>
      <c r="T790" s="189" t="str">
        <f ca="1">IFERROR(__xludf.DUMMYFUNCTION("""COMPUTED_VALUE"""),"")</f>
        <v/>
      </c>
      <c r="U790" s="189" t="str">
        <f ca="1">IFERROR(__xludf.DUMMYFUNCTION("""COMPUTED_VALUE"""),"")</f>
        <v/>
      </c>
      <c r="V790" s="189" t="str">
        <f ca="1">IFERROR(__xludf.DUMMYFUNCTION("""COMPUTED_VALUE"""),"")</f>
        <v/>
      </c>
      <c r="W790" s="189" t="str">
        <f ca="1">IFERROR(__xludf.DUMMYFUNCTION("""COMPUTED_VALUE"""),"")</f>
        <v/>
      </c>
      <c r="X790" s="189" t="str">
        <f ca="1">IFERROR(__xludf.DUMMYFUNCTION("""COMPUTED_VALUE"""),"")</f>
        <v/>
      </c>
      <c r="Y790" s="189" t="str">
        <f ca="1">IFERROR(__xludf.DUMMYFUNCTION("""COMPUTED_VALUE"""),"")</f>
        <v/>
      </c>
      <c r="Z790" s="189"/>
    </row>
    <row r="791" spans="1:26" ht="12.75">
      <c r="A791" s="189" t="str">
        <f ca="1">IFERROR(__xludf.DUMMYFUNCTION("""COMPUTED_VALUE"""),"")</f>
        <v/>
      </c>
      <c r="B791" s="189" t="str">
        <f ca="1">IFERROR(__xludf.DUMMYFUNCTION("""COMPUTED_VALUE"""),"")</f>
        <v/>
      </c>
      <c r="C791" s="189" t="str">
        <f ca="1">IFERROR(__xludf.DUMMYFUNCTION("""COMPUTED_VALUE"""),"")</f>
        <v/>
      </c>
      <c r="D791" s="189" t="str">
        <f ca="1">IFERROR(__xludf.DUMMYFUNCTION("""COMPUTED_VALUE"""),"")</f>
        <v/>
      </c>
      <c r="E791" s="189" t="str">
        <f ca="1">IFERROR(__xludf.DUMMYFUNCTION("""COMPUTED_VALUE"""),"")</f>
        <v/>
      </c>
      <c r="F791" s="189" t="str">
        <f ca="1">IFERROR(__xludf.DUMMYFUNCTION("""COMPUTED_VALUE"""),"")</f>
        <v/>
      </c>
      <c r="G791" s="189" t="str">
        <f ca="1">IFERROR(__xludf.DUMMYFUNCTION("""COMPUTED_VALUE"""),"")</f>
        <v/>
      </c>
      <c r="H791" s="189" t="str">
        <f ca="1">IFERROR(__xludf.DUMMYFUNCTION("""COMPUTED_VALUE"""),"")</f>
        <v/>
      </c>
      <c r="I791" s="120" t="str">
        <f ca="1">IFERROR(__xludf.DUMMYFUNCTION("""COMPUTED_VALUE"""),"")</f>
        <v/>
      </c>
      <c r="J791" s="189" t="str">
        <f ca="1">IFERROR(__xludf.DUMMYFUNCTION("""COMPUTED_VALUE"""),"")</f>
        <v/>
      </c>
      <c r="K791" s="189" t="str">
        <f ca="1">IFERROR(__xludf.DUMMYFUNCTION("""COMPUTED_VALUE"""),"")</f>
        <v/>
      </c>
      <c r="L791" s="189" t="str">
        <f ca="1">IFERROR(__xludf.DUMMYFUNCTION("""COMPUTED_VALUE"""),"")</f>
        <v/>
      </c>
      <c r="M791" s="189" t="str">
        <f ca="1">IFERROR(__xludf.DUMMYFUNCTION("""COMPUTED_VALUE"""),"")</f>
        <v/>
      </c>
      <c r="N791" s="189" t="str">
        <f ca="1">IFERROR(__xludf.DUMMYFUNCTION("""COMPUTED_VALUE"""),"")</f>
        <v/>
      </c>
      <c r="O791" s="189" t="str">
        <f ca="1">IFERROR(__xludf.DUMMYFUNCTION("""COMPUTED_VALUE"""),"")</f>
        <v/>
      </c>
      <c r="P791" s="189" t="str">
        <f ca="1">IFERROR(__xludf.DUMMYFUNCTION("""COMPUTED_VALUE"""),"")</f>
        <v/>
      </c>
      <c r="Q791" s="189" t="str">
        <f ca="1">IFERROR(__xludf.DUMMYFUNCTION("""COMPUTED_VALUE"""),"")</f>
        <v/>
      </c>
      <c r="R791" s="189" t="str">
        <f ca="1">IFERROR(__xludf.DUMMYFUNCTION("""COMPUTED_VALUE"""),"")</f>
        <v/>
      </c>
      <c r="S791" s="189" t="str">
        <f ca="1">IFERROR(__xludf.DUMMYFUNCTION("""COMPUTED_VALUE"""),"")</f>
        <v/>
      </c>
      <c r="T791" s="189" t="str">
        <f ca="1">IFERROR(__xludf.DUMMYFUNCTION("""COMPUTED_VALUE"""),"")</f>
        <v/>
      </c>
      <c r="U791" s="189" t="str">
        <f ca="1">IFERROR(__xludf.DUMMYFUNCTION("""COMPUTED_VALUE"""),"")</f>
        <v/>
      </c>
      <c r="V791" s="189" t="str">
        <f ca="1">IFERROR(__xludf.DUMMYFUNCTION("""COMPUTED_VALUE"""),"")</f>
        <v/>
      </c>
      <c r="W791" s="189" t="str">
        <f ca="1">IFERROR(__xludf.DUMMYFUNCTION("""COMPUTED_VALUE"""),"")</f>
        <v/>
      </c>
      <c r="X791" s="189" t="str">
        <f ca="1">IFERROR(__xludf.DUMMYFUNCTION("""COMPUTED_VALUE"""),"")</f>
        <v/>
      </c>
      <c r="Y791" s="189" t="str">
        <f ca="1">IFERROR(__xludf.DUMMYFUNCTION("""COMPUTED_VALUE"""),"")</f>
        <v/>
      </c>
      <c r="Z791" s="189"/>
    </row>
    <row r="792" spans="1:26" ht="12.75">
      <c r="A792" s="189" t="str">
        <f ca="1">IFERROR(__xludf.DUMMYFUNCTION("""COMPUTED_VALUE"""),"")</f>
        <v/>
      </c>
      <c r="B792" s="189" t="str">
        <f ca="1">IFERROR(__xludf.DUMMYFUNCTION("""COMPUTED_VALUE"""),"")</f>
        <v/>
      </c>
      <c r="C792" s="189" t="str">
        <f ca="1">IFERROR(__xludf.DUMMYFUNCTION("""COMPUTED_VALUE"""),"")</f>
        <v/>
      </c>
      <c r="D792" s="189" t="str">
        <f ca="1">IFERROR(__xludf.DUMMYFUNCTION("""COMPUTED_VALUE"""),"")</f>
        <v/>
      </c>
      <c r="E792" s="189" t="str">
        <f ca="1">IFERROR(__xludf.DUMMYFUNCTION("""COMPUTED_VALUE"""),"")</f>
        <v/>
      </c>
      <c r="F792" s="189" t="str">
        <f ca="1">IFERROR(__xludf.DUMMYFUNCTION("""COMPUTED_VALUE"""),"")</f>
        <v/>
      </c>
      <c r="G792" s="189" t="str">
        <f ca="1">IFERROR(__xludf.DUMMYFUNCTION("""COMPUTED_VALUE"""),"")</f>
        <v/>
      </c>
      <c r="H792" s="189" t="str">
        <f ca="1">IFERROR(__xludf.DUMMYFUNCTION("""COMPUTED_VALUE"""),"")</f>
        <v/>
      </c>
      <c r="I792" s="120" t="str">
        <f ca="1">IFERROR(__xludf.DUMMYFUNCTION("""COMPUTED_VALUE"""),"")</f>
        <v/>
      </c>
      <c r="J792" s="189" t="str">
        <f ca="1">IFERROR(__xludf.DUMMYFUNCTION("""COMPUTED_VALUE"""),"")</f>
        <v/>
      </c>
      <c r="K792" s="189" t="str">
        <f ca="1">IFERROR(__xludf.DUMMYFUNCTION("""COMPUTED_VALUE"""),"")</f>
        <v/>
      </c>
      <c r="L792" s="189" t="str">
        <f ca="1">IFERROR(__xludf.DUMMYFUNCTION("""COMPUTED_VALUE"""),"")</f>
        <v/>
      </c>
      <c r="M792" s="189" t="str">
        <f ca="1">IFERROR(__xludf.DUMMYFUNCTION("""COMPUTED_VALUE"""),"")</f>
        <v/>
      </c>
      <c r="N792" s="189" t="str">
        <f ca="1">IFERROR(__xludf.DUMMYFUNCTION("""COMPUTED_VALUE"""),"")</f>
        <v/>
      </c>
      <c r="O792" s="189" t="str">
        <f ca="1">IFERROR(__xludf.DUMMYFUNCTION("""COMPUTED_VALUE"""),"")</f>
        <v/>
      </c>
      <c r="P792" s="189" t="str">
        <f ca="1">IFERROR(__xludf.DUMMYFUNCTION("""COMPUTED_VALUE"""),"")</f>
        <v/>
      </c>
      <c r="Q792" s="189" t="str">
        <f ca="1">IFERROR(__xludf.DUMMYFUNCTION("""COMPUTED_VALUE"""),"")</f>
        <v/>
      </c>
      <c r="R792" s="189" t="str">
        <f ca="1">IFERROR(__xludf.DUMMYFUNCTION("""COMPUTED_VALUE"""),"")</f>
        <v/>
      </c>
      <c r="S792" s="189" t="str">
        <f ca="1">IFERROR(__xludf.DUMMYFUNCTION("""COMPUTED_VALUE"""),"")</f>
        <v/>
      </c>
      <c r="T792" s="189" t="str">
        <f ca="1">IFERROR(__xludf.DUMMYFUNCTION("""COMPUTED_VALUE"""),"")</f>
        <v/>
      </c>
      <c r="U792" s="189" t="str">
        <f ca="1">IFERROR(__xludf.DUMMYFUNCTION("""COMPUTED_VALUE"""),"")</f>
        <v/>
      </c>
      <c r="V792" s="189" t="str">
        <f ca="1">IFERROR(__xludf.DUMMYFUNCTION("""COMPUTED_VALUE"""),"")</f>
        <v/>
      </c>
      <c r="W792" s="189" t="str">
        <f ca="1">IFERROR(__xludf.DUMMYFUNCTION("""COMPUTED_VALUE"""),"")</f>
        <v/>
      </c>
      <c r="X792" s="189" t="str">
        <f ca="1">IFERROR(__xludf.DUMMYFUNCTION("""COMPUTED_VALUE"""),"")</f>
        <v/>
      </c>
      <c r="Y792" s="189" t="str">
        <f ca="1">IFERROR(__xludf.DUMMYFUNCTION("""COMPUTED_VALUE"""),"")</f>
        <v/>
      </c>
      <c r="Z792" s="189"/>
    </row>
    <row r="793" spans="1:26" ht="12.75">
      <c r="A793" s="189" t="str">
        <f ca="1">IFERROR(__xludf.DUMMYFUNCTION("""COMPUTED_VALUE"""),"")</f>
        <v/>
      </c>
      <c r="B793" s="189" t="str">
        <f ca="1">IFERROR(__xludf.DUMMYFUNCTION("""COMPUTED_VALUE"""),"")</f>
        <v/>
      </c>
      <c r="C793" s="189" t="str">
        <f ca="1">IFERROR(__xludf.DUMMYFUNCTION("""COMPUTED_VALUE"""),"")</f>
        <v/>
      </c>
      <c r="D793" s="189" t="str">
        <f ca="1">IFERROR(__xludf.DUMMYFUNCTION("""COMPUTED_VALUE"""),"")</f>
        <v/>
      </c>
      <c r="E793" s="189" t="str">
        <f ca="1">IFERROR(__xludf.DUMMYFUNCTION("""COMPUTED_VALUE"""),"")</f>
        <v/>
      </c>
      <c r="F793" s="189" t="str">
        <f ca="1">IFERROR(__xludf.DUMMYFUNCTION("""COMPUTED_VALUE"""),"")</f>
        <v/>
      </c>
      <c r="G793" s="189" t="str">
        <f ca="1">IFERROR(__xludf.DUMMYFUNCTION("""COMPUTED_VALUE"""),"")</f>
        <v/>
      </c>
      <c r="H793" s="189" t="str">
        <f ca="1">IFERROR(__xludf.DUMMYFUNCTION("""COMPUTED_VALUE"""),"")</f>
        <v/>
      </c>
      <c r="I793" s="120" t="str">
        <f ca="1">IFERROR(__xludf.DUMMYFUNCTION("""COMPUTED_VALUE"""),"")</f>
        <v/>
      </c>
      <c r="J793" s="189" t="str">
        <f ca="1">IFERROR(__xludf.DUMMYFUNCTION("""COMPUTED_VALUE"""),"")</f>
        <v/>
      </c>
      <c r="K793" s="189" t="str">
        <f ca="1">IFERROR(__xludf.DUMMYFUNCTION("""COMPUTED_VALUE"""),"")</f>
        <v/>
      </c>
      <c r="L793" s="189" t="str">
        <f ca="1">IFERROR(__xludf.DUMMYFUNCTION("""COMPUTED_VALUE"""),"")</f>
        <v/>
      </c>
      <c r="M793" s="189" t="str">
        <f ca="1">IFERROR(__xludf.DUMMYFUNCTION("""COMPUTED_VALUE"""),"")</f>
        <v/>
      </c>
      <c r="N793" s="189" t="str">
        <f ca="1">IFERROR(__xludf.DUMMYFUNCTION("""COMPUTED_VALUE"""),"")</f>
        <v/>
      </c>
      <c r="O793" s="189" t="str">
        <f ca="1">IFERROR(__xludf.DUMMYFUNCTION("""COMPUTED_VALUE"""),"")</f>
        <v/>
      </c>
      <c r="P793" s="189" t="str">
        <f ca="1">IFERROR(__xludf.DUMMYFUNCTION("""COMPUTED_VALUE"""),"")</f>
        <v/>
      </c>
      <c r="Q793" s="189" t="str">
        <f ca="1">IFERROR(__xludf.DUMMYFUNCTION("""COMPUTED_VALUE"""),"")</f>
        <v/>
      </c>
      <c r="R793" s="189" t="str">
        <f ca="1">IFERROR(__xludf.DUMMYFUNCTION("""COMPUTED_VALUE"""),"")</f>
        <v/>
      </c>
      <c r="S793" s="189" t="str">
        <f ca="1">IFERROR(__xludf.DUMMYFUNCTION("""COMPUTED_VALUE"""),"")</f>
        <v/>
      </c>
      <c r="T793" s="189" t="str">
        <f ca="1">IFERROR(__xludf.DUMMYFUNCTION("""COMPUTED_VALUE"""),"")</f>
        <v/>
      </c>
      <c r="U793" s="189" t="str">
        <f ca="1">IFERROR(__xludf.DUMMYFUNCTION("""COMPUTED_VALUE"""),"")</f>
        <v/>
      </c>
      <c r="V793" s="189" t="str">
        <f ca="1">IFERROR(__xludf.DUMMYFUNCTION("""COMPUTED_VALUE"""),"")</f>
        <v/>
      </c>
      <c r="W793" s="189" t="str">
        <f ca="1">IFERROR(__xludf.DUMMYFUNCTION("""COMPUTED_VALUE"""),"")</f>
        <v/>
      </c>
      <c r="X793" s="189" t="str">
        <f ca="1">IFERROR(__xludf.DUMMYFUNCTION("""COMPUTED_VALUE"""),"")</f>
        <v/>
      </c>
      <c r="Y793" s="189" t="str">
        <f ca="1">IFERROR(__xludf.DUMMYFUNCTION("""COMPUTED_VALUE"""),"")</f>
        <v/>
      </c>
      <c r="Z793" s="189"/>
    </row>
    <row r="794" spans="1:26" ht="12.75">
      <c r="A794" s="189" t="str">
        <f ca="1">IFERROR(__xludf.DUMMYFUNCTION("""COMPUTED_VALUE"""),"")</f>
        <v/>
      </c>
      <c r="B794" s="189" t="str">
        <f ca="1">IFERROR(__xludf.DUMMYFUNCTION("""COMPUTED_VALUE"""),"")</f>
        <v/>
      </c>
      <c r="C794" s="189" t="str">
        <f ca="1">IFERROR(__xludf.DUMMYFUNCTION("""COMPUTED_VALUE"""),"")</f>
        <v/>
      </c>
      <c r="D794" s="189" t="str">
        <f ca="1">IFERROR(__xludf.DUMMYFUNCTION("""COMPUTED_VALUE"""),"")</f>
        <v/>
      </c>
      <c r="E794" s="189" t="str">
        <f ca="1">IFERROR(__xludf.DUMMYFUNCTION("""COMPUTED_VALUE"""),"")</f>
        <v/>
      </c>
      <c r="F794" s="189" t="str">
        <f ca="1">IFERROR(__xludf.DUMMYFUNCTION("""COMPUTED_VALUE"""),"")</f>
        <v/>
      </c>
      <c r="G794" s="189" t="str">
        <f ca="1">IFERROR(__xludf.DUMMYFUNCTION("""COMPUTED_VALUE"""),"")</f>
        <v/>
      </c>
      <c r="H794" s="189" t="str">
        <f ca="1">IFERROR(__xludf.DUMMYFUNCTION("""COMPUTED_VALUE"""),"")</f>
        <v/>
      </c>
      <c r="I794" s="120" t="str">
        <f ca="1">IFERROR(__xludf.DUMMYFUNCTION("""COMPUTED_VALUE"""),"")</f>
        <v/>
      </c>
      <c r="J794" s="189" t="str">
        <f ca="1">IFERROR(__xludf.DUMMYFUNCTION("""COMPUTED_VALUE"""),"")</f>
        <v/>
      </c>
      <c r="K794" s="189" t="str">
        <f ca="1">IFERROR(__xludf.DUMMYFUNCTION("""COMPUTED_VALUE"""),"")</f>
        <v/>
      </c>
      <c r="L794" s="189" t="str">
        <f ca="1">IFERROR(__xludf.DUMMYFUNCTION("""COMPUTED_VALUE"""),"")</f>
        <v/>
      </c>
      <c r="M794" s="189" t="str">
        <f ca="1">IFERROR(__xludf.DUMMYFUNCTION("""COMPUTED_VALUE"""),"")</f>
        <v/>
      </c>
      <c r="N794" s="189" t="str">
        <f ca="1">IFERROR(__xludf.DUMMYFUNCTION("""COMPUTED_VALUE"""),"")</f>
        <v/>
      </c>
      <c r="O794" s="189" t="str">
        <f ca="1">IFERROR(__xludf.DUMMYFUNCTION("""COMPUTED_VALUE"""),"")</f>
        <v/>
      </c>
      <c r="P794" s="189" t="str">
        <f ca="1">IFERROR(__xludf.DUMMYFUNCTION("""COMPUTED_VALUE"""),"")</f>
        <v/>
      </c>
      <c r="Q794" s="189" t="str">
        <f ca="1">IFERROR(__xludf.DUMMYFUNCTION("""COMPUTED_VALUE"""),"")</f>
        <v/>
      </c>
      <c r="R794" s="189" t="str">
        <f ca="1">IFERROR(__xludf.DUMMYFUNCTION("""COMPUTED_VALUE"""),"")</f>
        <v/>
      </c>
      <c r="S794" s="189" t="str">
        <f ca="1">IFERROR(__xludf.DUMMYFUNCTION("""COMPUTED_VALUE"""),"")</f>
        <v/>
      </c>
      <c r="T794" s="189" t="str">
        <f ca="1">IFERROR(__xludf.DUMMYFUNCTION("""COMPUTED_VALUE"""),"")</f>
        <v/>
      </c>
      <c r="U794" s="189" t="str">
        <f ca="1">IFERROR(__xludf.DUMMYFUNCTION("""COMPUTED_VALUE"""),"")</f>
        <v/>
      </c>
      <c r="V794" s="189" t="str">
        <f ca="1">IFERROR(__xludf.DUMMYFUNCTION("""COMPUTED_VALUE"""),"")</f>
        <v/>
      </c>
      <c r="W794" s="189" t="str">
        <f ca="1">IFERROR(__xludf.DUMMYFUNCTION("""COMPUTED_VALUE"""),"")</f>
        <v/>
      </c>
      <c r="X794" s="189" t="str">
        <f ca="1">IFERROR(__xludf.DUMMYFUNCTION("""COMPUTED_VALUE"""),"")</f>
        <v/>
      </c>
      <c r="Y794" s="189" t="str">
        <f ca="1">IFERROR(__xludf.DUMMYFUNCTION("""COMPUTED_VALUE"""),"")</f>
        <v/>
      </c>
      <c r="Z794" s="189"/>
    </row>
    <row r="795" spans="1:26" ht="12.75">
      <c r="A795" s="189" t="str">
        <f ca="1">IFERROR(__xludf.DUMMYFUNCTION("""COMPUTED_VALUE"""),"")</f>
        <v/>
      </c>
      <c r="B795" s="189" t="str">
        <f ca="1">IFERROR(__xludf.DUMMYFUNCTION("""COMPUTED_VALUE"""),"")</f>
        <v/>
      </c>
      <c r="C795" s="189" t="str">
        <f ca="1">IFERROR(__xludf.DUMMYFUNCTION("""COMPUTED_VALUE"""),"")</f>
        <v/>
      </c>
      <c r="D795" s="189" t="str">
        <f ca="1">IFERROR(__xludf.DUMMYFUNCTION("""COMPUTED_VALUE"""),"")</f>
        <v/>
      </c>
      <c r="E795" s="189" t="str">
        <f ca="1">IFERROR(__xludf.DUMMYFUNCTION("""COMPUTED_VALUE"""),"")</f>
        <v/>
      </c>
      <c r="F795" s="189" t="str">
        <f ca="1">IFERROR(__xludf.DUMMYFUNCTION("""COMPUTED_VALUE"""),"")</f>
        <v/>
      </c>
      <c r="G795" s="189" t="str">
        <f ca="1">IFERROR(__xludf.DUMMYFUNCTION("""COMPUTED_VALUE"""),"")</f>
        <v/>
      </c>
      <c r="H795" s="189" t="str">
        <f ca="1">IFERROR(__xludf.DUMMYFUNCTION("""COMPUTED_VALUE"""),"")</f>
        <v/>
      </c>
      <c r="I795" s="120" t="str">
        <f ca="1">IFERROR(__xludf.DUMMYFUNCTION("""COMPUTED_VALUE"""),"")</f>
        <v/>
      </c>
      <c r="J795" s="189" t="str">
        <f ca="1">IFERROR(__xludf.DUMMYFUNCTION("""COMPUTED_VALUE"""),"")</f>
        <v/>
      </c>
      <c r="K795" s="189" t="str">
        <f ca="1">IFERROR(__xludf.DUMMYFUNCTION("""COMPUTED_VALUE"""),"")</f>
        <v/>
      </c>
      <c r="L795" s="189" t="str">
        <f ca="1">IFERROR(__xludf.DUMMYFUNCTION("""COMPUTED_VALUE"""),"")</f>
        <v/>
      </c>
      <c r="M795" s="189" t="str">
        <f ca="1">IFERROR(__xludf.DUMMYFUNCTION("""COMPUTED_VALUE"""),"")</f>
        <v/>
      </c>
      <c r="N795" s="189" t="str">
        <f ca="1">IFERROR(__xludf.DUMMYFUNCTION("""COMPUTED_VALUE"""),"")</f>
        <v/>
      </c>
      <c r="O795" s="189" t="str">
        <f ca="1">IFERROR(__xludf.DUMMYFUNCTION("""COMPUTED_VALUE"""),"")</f>
        <v/>
      </c>
      <c r="P795" s="189" t="str">
        <f ca="1">IFERROR(__xludf.DUMMYFUNCTION("""COMPUTED_VALUE"""),"")</f>
        <v/>
      </c>
      <c r="Q795" s="189" t="str">
        <f ca="1">IFERROR(__xludf.DUMMYFUNCTION("""COMPUTED_VALUE"""),"")</f>
        <v/>
      </c>
      <c r="R795" s="189" t="str">
        <f ca="1">IFERROR(__xludf.DUMMYFUNCTION("""COMPUTED_VALUE"""),"")</f>
        <v/>
      </c>
      <c r="S795" s="189" t="str">
        <f ca="1">IFERROR(__xludf.DUMMYFUNCTION("""COMPUTED_VALUE"""),"")</f>
        <v/>
      </c>
      <c r="T795" s="189" t="str">
        <f ca="1">IFERROR(__xludf.DUMMYFUNCTION("""COMPUTED_VALUE"""),"")</f>
        <v/>
      </c>
      <c r="U795" s="189" t="str">
        <f ca="1">IFERROR(__xludf.DUMMYFUNCTION("""COMPUTED_VALUE"""),"")</f>
        <v/>
      </c>
      <c r="V795" s="189" t="str">
        <f ca="1">IFERROR(__xludf.DUMMYFUNCTION("""COMPUTED_VALUE"""),"")</f>
        <v/>
      </c>
      <c r="W795" s="189" t="str">
        <f ca="1">IFERROR(__xludf.DUMMYFUNCTION("""COMPUTED_VALUE"""),"")</f>
        <v/>
      </c>
      <c r="X795" s="189" t="str">
        <f ca="1">IFERROR(__xludf.DUMMYFUNCTION("""COMPUTED_VALUE"""),"")</f>
        <v/>
      </c>
      <c r="Y795" s="189" t="str">
        <f ca="1">IFERROR(__xludf.DUMMYFUNCTION("""COMPUTED_VALUE"""),"")</f>
        <v/>
      </c>
      <c r="Z795" s="189"/>
    </row>
    <row r="796" spans="1:26" ht="12.75">
      <c r="A796" s="189" t="str">
        <f ca="1">IFERROR(__xludf.DUMMYFUNCTION("""COMPUTED_VALUE"""),"")</f>
        <v/>
      </c>
      <c r="B796" s="189" t="str">
        <f ca="1">IFERROR(__xludf.DUMMYFUNCTION("""COMPUTED_VALUE"""),"")</f>
        <v/>
      </c>
      <c r="C796" s="189" t="str">
        <f ca="1">IFERROR(__xludf.DUMMYFUNCTION("""COMPUTED_VALUE"""),"")</f>
        <v/>
      </c>
      <c r="D796" s="189" t="str">
        <f ca="1">IFERROR(__xludf.DUMMYFUNCTION("""COMPUTED_VALUE"""),"")</f>
        <v/>
      </c>
      <c r="E796" s="189" t="str">
        <f ca="1">IFERROR(__xludf.DUMMYFUNCTION("""COMPUTED_VALUE"""),"")</f>
        <v/>
      </c>
      <c r="F796" s="189" t="str">
        <f ca="1">IFERROR(__xludf.DUMMYFUNCTION("""COMPUTED_VALUE"""),"")</f>
        <v/>
      </c>
      <c r="G796" s="189" t="str">
        <f ca="1">IFERROR(__xludf.DUMMYFUNCTION("""COMPUTED_VALUE"""),"")</f>
        <v/>
      </c>
      <c r="H796" s="189" t="str">
        <f ca="1">IFERROR(__xludf.DUMMYFUNCTION("""COMPUTED_VALUE"""),"")</f>
        <v/>
      </c>
      <c r="I796" s="120" t="str">
        <f ca="1">IFERROR(__xludf.DUMMYFUNCTION("""COMPUTED_VALUE"""),"")</f>
        <v/>
      </c>
      <c r="J796" s="189" t="str">
        <f ca="1">IFERROR(__xludf.DUMMYFUNCTION("""COMPUTED_VALUE"""),"")</f>
        <v/>
      </c>
      <c r="K796" s="189" t="str">
        <f ca="1">IFERROR(__xludf.DUMMYFUNCTION("""COMPUTED_VALUE"""),"")</f>
        <v/>
      </c>
      <c r="L796" s="189" t="str">
        <f ca="1">IFERROR(__xludf.DUMMYFUNCTION("""COMPUTED_VALUE"""),"")</f>
        <v/>
      </c>
      <c r="M796" s="189" t="str">
        <f ca="1">IFERROR(__xludf.DUMMYFUNCTION("""COMPUTED_VALUE"""),"")</f>
        <v/>
      </c>
      <c r="N796" s="189" t="str">
        <f ca="1">IFERROR(__xludf.DUMMYFUNCTION("""COMPUTED_VALUE"""),"")</f>
        <v/>
      </c>
      <c r="O796" s="189" t="str">
        <f ca="1">IFERROR(__xludf.DUMMYFUNCTION("""COMPUTED_VALUE"""),"")</f>
        <v/>
      </c>
      <c r="P796" s="189" t="str">
        <f ca="1">IFERROR(__xludf.DUMMYFUNCTION("""COMPUTED_VALUE"""),"")</f>
        <v/>
      </c>
      <c r="Q796" s="189" t="str">
        <f ca="1">IFERROR(__xludf.DUMMYFUNCTION("""COMPUTED_VALUE"""),"")</f>
        <v/>
      </c>
      <c r="R796" s="189" t="str">
        <f ca="1">IFERROR(__xludf.DUMMYFUNCTION("""COMPUTED_VALUE"""),"")</f>
        <v/>
      </c>
      <c r="S796" s="189" t="str">
        <f ca="1">IFERROR(__xludf.DUMMYFUNCTION("""COMPUTED_VALUE"""),"")</f>
        <v/>
      </c>
      <c r="T796" s="189" t="str">
        <f ca="1">IFERROR(__xludf.DUMMYFUNCTION("""COMPUTED_VALUE"""),"")</f>
        <v/>
      </c>
      <c r="U796" s="189" t="str">
        <f ca="1">IFERROR(__xludf.DUMMYFUNCTION("""COMPUTED_VALUE"""),"")</f>
        <v/>
      </c>
      <c r="V796" s="189" t="str">
        <f ca="1">IFERROR(__xludf.DUMMYFUNCTION("""COMPUTED_VALUE"""),"")</f>
        <v/>
      </c>
      <c r="W796" s="189" t="str">
        <f ca="1">IFERROR(__xludf.DUMMYFUNCTION("""COMPUTED_VALUE"""),"")</f>
        <v/>
      </c>
      <c r="X796" s="189" t="str">
        <f ca="1">IFERROR(__xludf.DUMMYFUNCTION("""COMPUTED_VALUE"""),"")</f>
        <v/>
      </c>
      <c r="Y796" s="189" t="str">
        <f ca="1">IFERROR(__xludf.DUMMYFUNCTION("""COMPUTED_VALUE"""),"")</f>
        <v/>
      </c>
      <c r="Z796" s="189"/>
    </row>
    <row r="797" spans="1:26" ht="12.75">
      <c r="A797" s="189" t="str">
        <f ca="1">IFERROR(__xludf.DUMMYFUNCTION("""COMPUTED_VALUE"""),"")</f>
        <v/>
      </c>
      <c r="B797" s="189" t="str">
        <f ca="1">IFERROR(__xludf.DUMMYFUNCTION("""COMPUTED_VALUE"""),"")</f>
        <v/>
      </c>
      <c r="C797" s="189" t="str">
        <f ca="1">IFERROR(__xludf.DUMMYFUNCTION("""COMPUTED_VALUE"""),"")</f>
        <v/>
      </c>
      <c r="D797" s="189" t="str">
        <f ca="1">IFERROR(__xludf.DUMMYFUNCTION("""COMPUTED_VALUE"""),"")</f>
        <v/>
      </c>
      <c r="E797" s="189" t="str">
        <f ca="1">IFERROR(__xludf.DUMMYFUNCTION("""COMPUTED_VALUE"""),"")</f>
        <v/>
      </c>
      <c r="F797" s="189" t="str">
        <f ca="1">IFERROR(__xludf.DUMMYFUNCTION("""COMPUTED_VALUE"""),"")</f>
        <v/>
      </c>
      <c r="G797" s="189" t="str">
        <f ca="1">IFERROR(__xludf.DUMMYFUNCTION("""COMPUTED_VALUE"""),"")</f>
        <v/>
      </c>
      <c r="H797" s="189" t="str">
        <f ca="1">IFERROR(__xludf.DUMMYFUNCTION("""COMPUTED_VALUE"""),"")</f>
        <v/>
      </c>
      <c r="I797" s="120" t="str">
        <f ca="1">IFERROR(__xludf.DUMMYFUNCTION("""COMPUTED_VALUE"""),"")</f>
        <v/>
      </c>
      <c r="J797" s="189" t="str">
        <f ca="1">IFERROR(__xludf.DUMMYFUNCTION("""COMPUTED_VALUE"""),"")</f>
        <v/>
      </c>
      <c r="K797" s="189" t="str">
        <f ca="1">IFERROR(__xludf.DUMMYFUNCTION("""COMPUTED_VALUE"""),"")</f>
        <v/>
      </c>
      <c r="L797" s="189" t="str">
        <f ca="1">IFERROR(__xludf.DUMMYFUNCTION("""COMPUTED_VALUE"""),"")</f>
        <v/>
      </c>
      <c r="M797" s="189" t="str">
        <f ca="1">IFERROR(__xludf.DUMMYFUNCTION("""COMPUTED_VALUE"""),"")</f>
        <v/>
      </c>
      <c r="N797" s="189" t="str">
        <f ca="1">IFERROR(__xludf.DUMMYFUNCTION("""COMPUTED_VALUE"""),"")</f>
        <v/>
      </c>
      <c r="O797" s="189" t="str">
        <f ca="1">IFERROR(__xludf.DUMMYFUNCTION("""COMPUTED_VALUE"""),"")</f>
        <v/>
      </c>
      <c r="P797" s="189" t="str">
        <f ca="1">IFERROR(__xludf.DUMMYFUNCTION("""COMPUTED_VALUE"""),"")</f>
        <v/>
      </c>
      <c r="Q797" s="189" t="str">
        <f ca="1">IFERROR(__xludf.DUMMYFUNCTION("""COMPUTED_VALUE"""),"")</f>
        <v/>
      </c>
      <c r="R797" s="189" t="str">
        <f ca="1">IFERROR(__xludf.DUMMYFUNCTION("""COMPUTED_VALUE"""),"")</f>
        <v/>
      </c>
      <c r="S797" s="189" t="str">
        <f ca="1">IFERROR(__xludf.DUMMYFUNCTION("""COMPUTED_VALUE"""),"")</f>
        <v/>
      </c>
      <c r="T797" s="189" t="str">
        <f ca="1">IFERROR(__xludf.DUMMYFUNCTION("""COMPUTED_VALUE"""),"")</f>
        <v/>
      </c>
      <c r="U797" s="189" t="str">
        <f ca="1">IFERROR(__xludf.DUMMYFUNCTION("""COMPUTED_VALUE"""),"")</f>
        <v/>
      </c>
      <c r="V797" s="189" t="str">
        <f ca="1">IFERROR(__xludf.DUMMYFUNCTION("""COMPUTED_VALUE"""),"")</f>
        <v/>
      </c>
      <c r="W797" s="189" t="str">
        <f ca="1">IFERROR(__xludf.DUMMYFUNCTION("""COMPUTED_VALUE"""),"")</f>
        <v/>
      </c>
      <c r="X797" s="189" t="str">
        <f ca="1">IFERROR(__xludf.DUMMYFUNCTION("""COMPUTED_VALUE"""),"")</f>
        <v/>
      </c>
      <c r="Y797" s="189" t="str">
        <f ca="1">IFERROR(__xludf.DUMMYFUNCTION("""COMPUTED_VALUE"""),"")</f>
        <v/>
      </c>
      <c r="Z797" s="189"/>
    </row>
    <row r="798" spans="1:26" ht="12.75">
      <c r="A798" s="189" t="str">
        <f ca="1">IFERROR(__xludf.DUMMYFUNCTION("""COMPUTED_VALUE"""),"")</f>
        <v/>
      </c>
      <c r="B798" s="189" t="str">
        <f ca="1">IFERROR(__xludf.DUMMYFUNCTION("""COMPUTED_VALUE"""),"")</f>
        <v/>
      </c>
      <c r="C798" s="189" t="str">
        <f ca="1">IFERROR(__xludf.DUMMYFUNCTION("""COMPUTED_VALUE"""),"")</f>
        <v/>
      </c>
      <c r="D798" s="189" t="str">
        <f ca="1">IFERROR(__xludf.DUMMYFUNCTION("""COMPUTED_VALUE"""),"")</f>
        <v/>
      </c>
      <c r="E798" s="189" t="str">
        <f ca="1">IFERROR(__xludf.DUMMYFUNCTION("""COMPUTED_VALUE"""),"")</f>
        <v/>
      </c>
      <c r="F798" s="189" t="str">
        <f ca="1">IFERROR(__xludf.DUMMYFUNCTION("""COMPUTED_VALUE"""),"")</f>
        <v/>
      </c>
      <c r="G798" s="189" t="str">
        <f ca="1">IFERROR(__xludf.DUMMYFUNCTION("""COMPUTED_VALUE"""),"")</f>
        <v/>
      </c>
      <c r="H798" s="189" t="str">
        <f ca="1">IFERROR(__xludf.DUMMYFUNCTION("""COMPUTED_VALUE"""),"")</f>
        <v/>
      </c>
      <c r="I798" s="120" t="str">
        <f ca="1">IFERROR(__xludf.DUMMYFUNCTION("""COMPUTED_VALUE"""),"")</f>
        <v/>
      </c>
      <c r="J798" s="189" t="str">
        <f ca="1">IFERROR(__xludf.DUMMYFUNCTION("""COMPUTED_VALUE"""),"")</f>
        <v/>
      </c>
      <c r="K798" s="189" t="str">
        <f ca="1">IFERROR(__xludf.DUMMYFUNCTION("""COMPUTED_VALUE"""),"")</f>
        <v/>
      </c>
      <c r="L798" s="189" t="str">
        <f ca="1">IFERROR(__xludf.DUMMYFUNCTION("""COMPUTED_VALUE"""),"")</f>
        <v/>
      </c>
      <c r="M798" s="189" t="str">
        <f ca="1">IFERROR(__xludf.DUMMYFUNCTION("""COMPUTED_VALUE"""),"")</f>
        <v/>
      </c>
      <c r="N798" s="189" t="str">
        <f ca="1">IFERROR(__xludf.DUMMYFUNCTION("""COMPUTED_VALUE"""),"")</f>
        <v/>
      </c>
      <c r="O798" s="189" t="str">
        <f ca="1">IFERROR(__xludf.DUMMYFUNCTION("""COMPUTED_VALUE"""),"")</f>
        <v/>
      </c>
      <c r="P798" s="189" t="str">
        <f ca="1">IFERROR(__xludf.DUMMYFUNCTION("""COMPUTED_VALUE"""),"")</f>
        <v/>
      </c>
      <c r="Q798" s="189" t="str">
        <f ca="1">IFERROR(__xludf.DUMMYFUNCTION("""COMPUTED_VALUE"""),"")</f>
        <v/>
      </c>
      <c r="R798" s="189" t="str">
        <f ca="1">IFERROR(__xludf.DUMMYFUNCTION("""COMPUTED_VALUE"""),"")</f>
        <v/>
      </c>
      <c r="S798" s="189" t="str">
        <f ca="1">IFERROR(__xludf.DUMMYFUNCTION("""COMPUTED_VALUE"""),"")</f>
        <v/>
      </c>
      <c r="T798" s="189" t="str">
        <f ca="1">IFERROR(__xludf.DUMMYFUNCTION("""COMPUTED_VALUE"""),"")</f>
        <v/>
      </c>
      <c r="U798" s="189" t="str">
        <f ca="1">IFERROR(__xludf.DUMMYFUNCTION("""COMPUTED_VALUE"""),"")</f>
        <v/>
      </c>
      <c r="V798" s="189" t="str">
        <f ca="1">IFERROR(__xludf.DUMMYFUNCTION("""COMPUTED_VALUE"""),"")</f>
        <v/>
      </c>
      <c r="W798" s="189" t="str">
        <f ca="1">IFERROR(__xludf.DUMMYFUNCTION("""COMPUTED_VALUE"""),"")</f>
        <v/>
      </c>
      <c r="X798" s="189" t="str">
        <f ca="1">IFERROR(__xludf.DUMMYFUNCTION("""COMPUTED_VALUE"""),"")</f>
        <v/>
      </c>
      <c r="Y798" s="189" t="str">
        <f ca="1">IFERROR(__xludf.DUMMYFUNCTION("""COMPUTED_VALUE"""),"")</f>
        <v/>
      </c>
      <c r="Z798" s="189"/>
    </row>
    <row r="799" spans="1:26" ht="12.75">
      <c r="A799" s="189" t="str">
        <f ca="1">IFERROR(__xludf.DUMMYFUNCTION("""COMPUTED_VALUE"""),"")</f>
        <v/>
      </c>
      <c r="B799" s="189" t="str">
        <f ca="1">IFERROR(__xludf.DUMMYFUNCTION("""COMPUTED_VALUE"""),"")</f>
        <v/>
      </c>
      <c r="C799" s="189" t="str">
        <f ca="1">IFERROR(__xludf.DUMMYFUNCTION("""COMPUTED_VALUE"""),"")</f>
        <v/>
      </c>
      <c r="D799" s="189" t="str">
        <f ca="1">IFERROR(__xludf.DUMMYFUNCTION("""COMPUTED_VALUE"""),"")</f>
        <v/>
      </c>
      <c r="E799" s="189" t="str">
        <f ca="1">IFERROR(__xludf.DUMMYFUNCTION("""COMPUTED_VALUE"""),"")</f>
        <v/>
      </c>
      <c r="F799" s="189" t="str">
        <f ca="1">IFERROR(__xludf.DUMMYFUNCTION("""COMPUTED_VALUE"""),"")</f>
        <v/>
      </c>
      <c r="G799" s="189" t="str">
        <f ca="1">IFERROR(__xludf.DUMMYFUNCTION("""COMPUTED_VALUE"""),"")</f>
        <v/>
      </c>
      <c r="H799" s="189" t="str">
        <f ca="1">IFERROR(__xludf.DUMMYFUNCTION("""COMPUTED_VALUE"""),"")</f>
        <v/>
      </c>
      <c r="I799" s="120" t="str">
        <f ca="1">IFERROR(__xludf.DUMMYFUNCTION("""COMPUTED_VALUE"""),"")</f>
        <v/>
      </c>
      <c r="J799" s="189" t="str">
        <f ca="1">IFERROR(__xludf.DUMMYFUNCTION("""COMPUTED_VALUE"""),"")</f>
        <v/>
      </c>
      <c r="K799" s="189" t="str">
        <f ca="1">IFERROR(__xludf.DUMMYFUNCTION("""COMPUTED_VALUE"""),"")</f>
        <v/>
      </c>
      <c r="L799" s="189" t="str">
        <f ca="1">IFERROR(__xludf.DUMMYFUNCTION("""COMPUTED_VALUE"""),"")</f>
        <v/>
      </c>
      <c r="M799" s="189" t="str">
        <f ca="1">IFERROR(__xludf.DUMMYFUNCTION("""COMPUTED_VALUE"""),"")</f>
        <v/>
      </c>
      <c r="N799" s="189" t="str">
        <f ca="1">IFERROR(__xludf.DUMMYFUNCTION("""COMPUTED_VALUE"""),"")</f>
        <v/>
      </c>
      <c r="O799" s="189" t="str">
        <f ca="1">IFERROR(__xludf.DUMMYFUNCTION("""COMPUTED_VALUE"""),"")</f>
        <v/>
      </c>
      <c r="P799" s="189" t="str">
        <f ca="1">IFERROR(__xludf.DUMMYFUNCTION("""COMPUTED_VALUE"""),"")</f>
        <v/>
      </c>
      <c r="Q799" s="189" t="str">
        <f ca="1">IFERROR(__xludf.DUMMYFUNCTION("""COMPUTED_VALUE"""),"")</f>
        <v/>
      </c>
      <c r="R799" s="189" t="str">
        <f ca="1">IFERROR(__xludf.DUMMYFUNCTION("""COMPUTED_VALUE"""),"")</f>
        <v/>
      </c>
      <c r="S799" s="189" t="str">
        <f ca="1">IFERROR(__xludf.DUMMYFUNCTION("""COMPUTED_VALUE"""),"")</f>
        <v/>
      </c>
      <c r="T799" s="189" t="str">
        <f ca="1">IFERROR(__xludf.DUMMYFUNCTION("""COMPUTED_VALUE"""),"")</f>
        <v/>
      </c>
      <c r="U799" s="189" t="str">
        <f ca="1">IFERROR(__xludf.DUMMYFUNCTION("""COMPUTED_VALUE"""),"")</f>
        <v/>
      </c>
      <c r="V799" s="189" t="str">
        <f ca="1">IFERROR(__xludf.DUMMYFUNCTION("""COMPUTED_VALUE"""),"")</f>
        <v/>
      </c>
      <c r="W799" s="189" t="str">
        <f ca="1">IFERROR(__xludf.DUMMYFUNCTION("""COMPUTED_VALUE"""),"")</f>
        <v/>
      </c>
      <c r="X799" s="189" t="str">
        <f ca="1">IFERROR(__xludf.DUMMYFUNCTION("""COMPUTED_VALUE"""),"")</f>
        <v/>
      </c>
      <c r="Y799" s="189" t="str">
        <f ca="1">IFERROR(__xludf.DUMMYFUNCTION("""COMPUTED_VALUE"""),"")</f>
        <v/>
      </c>
      <c r="Z799" s="189"/>
    </row>
    <row r="800" spans="1:26" ht="12.75">
      <c r="A800" s="189" t="str">
        <f ca="1">IFERROR(__xludf.DUMMYFUNCTION("""COMPUTED_VALUE"""),"")</f>
        <v/>
      </c>
      <c r="B800" s="189" t="str">
        <f ca="1">IFERROR(__xludf.DUMMYFUNCTION("""COMPUTED_VALUE"""),"")</f>
        <v/>
      </c>
      <c r="C800" s="189" t="str">
        <f ca="1">IFERROR(__xludf.DUMMYFUNCTION("""COMPUTED_VALUE"""),"")</f>
        <v/>
      </c>
      <c r="D800" s="189" t="str">
        <f ca="1">IFERROR(__xludf.DUMMYFUNCTION("""COMPUTED_VALUE"""),"")</f>
        <v/>
      </c>
      <c r="E800" s="189" t="str">
        <f ca="1">IFERROR(__xludf.DUMMYFUNCTION("""COMPUTED_VALUE"""),"")</f>
        <v/>
      </c>
      <c r="F800" s="189" t="str">
        <f ca="1">IFERROR(__xludf.DUMMYFUNCTION("""COMPUTED_VALUE"""),"")</f>
        <v/>
      </c>
      <c r="G800" s="189" t="str">
        <f ca="1">IFERROR(__xludf.DUMMYFUNCTION("""COMPUTED_VALUE"""),"")</f>
        <v/>
      </c>
      <c r="H800" s="189" t="str">
        <f ca="1">IFERROR(__xludf.DUMMYFUNCTION("""COMPUTED_VALUE"""),"")</f>
        <v/>
      </c>
      <c r="I800" s="120" t="str">
        <f ca="1">IFERROR(__xludf.DUMMYFUNCTION("""COMPUTED_VALUE"""),"")</f>
        <v/>
      </c>
      <c r="J800" s="189" t="str">
        <f ca="1">IFERROR(__xludf.DUMMYFUNCTION("""COMPUTED_VALUE"""),"")</f>
        <v/>
      </c>
      <c r="K800" s="189" t="str">
        <f ca="1">IFERROR(__xludf.DUMMYFUNCTION("""COMPUTED_VALUE"""),"")</f>
        <v/>
      </c>
      <c r="L800" s="189" t="str">
        <f ca="1">IFERROR(__xludf.DUMMYFUNCTION("""COMPUTED_VALUE"""),"")</f>
        <v/>
      </c>
      <c r="M800" s="189" t="str">
        <f ca="1">IFERROR(__xludf.DUMMYFUNCTION("""COMPUTED_VALUE"""),"")</f>
        <v/>
      </c>
      <c r="N800" s="189" t="str">
        <f ca="1">IFERROR(__xludf.DUMMYFUNCTION("""COMPUTED_VALUE"""),"")</f>
        <v/>
      </c>
      <c r="O800" s="189" t="str">
        <f ca="1">IFERROR(__xludf.DUMMYFUNCTION("""COMPUTED_VALUE"""),"")</f>
        <v/>
      </c>
      <c r="P800" s="189" t="str">
        <f ca="1">IFERROR(__xludf.DUMMYFUNCTION("""COMPUTED_VALUE"""),"")</f>
        <v/>
      </c>
      <c r="Q800" s="189" t="str">
        <f ca="1">IFERROR(__xludf.DUMMYFUNCTION("""COMPUTED_VALUE"""),"")</f>
        <v/>
      </c>
      <c r="R800" s="189" t="str">
        <f ca="1">IFERROR(__xludf.DUMMYFUNCTION("""COMPUTED_VALUE"""),"")</f>
        <v/>
      </c>
      <c r="S800" s="189" t="str">
        <f ca="1">IFERROR(__xludf.DUMMYFUNCTION("""COMPUTED_VALUE"""),"")</f>
        <v/>
      </c>
      <c r="T800" s="189" t="str">
        <f ca="1">IFERROR(__xludf.DUMMYFUNCTION("""COMPUTED_VALUE"""),"")</f>
        <v/>
      </c>
      <c r="U800" s="189" t="str">
        <f ca="1">IFERROR(__xludf.DUMMYFUNCTION("""COMPUTED_VALUE"""),"")</f>
        <v/>
      </c>
      <c r="V800" s="189" t="str">
        <f ca="1">IFERROR(__xludf.DUMMYFUNCTION("""COMPUTED_VALUE"""),"")</f>
        <v/>
      </c>
      <c r="W800" s="189" t="str">
        <f ca="1">IFERROR(__xludf.DUMMYFUNCTION("""COMPUTED_VALUE"""),"")</f>
        <v/>
      </c>
      <c r="X800" s="189" t="str">
        <f ca="1">IFERROR(__xludf.DUMMYFUNCTION("""COMPUTED_VALUE"""),"")</f>
        <v/>
      </c>
      <c r="Y800" s="189" t="str">
        <f ca="1">IFERROR(__xludf.DUMMYFUNCTION("""COMPUTED_VALUE"""),"")</f>
        <v/>
      </c>
      <c r="Z800" s="189"/>
    </row>
    <row r="801" spans="1:26" ht="12.75">
      <c r="A801" s="189" t="str">
        <f ca="1">IFERROR(__xludf.DUMMYFUNCTION("""COMPUTED_VALUE"""),"")</f>
        <v/>
      </c>
      <c r="B801" s="189" t="str">
        <f ca="1">IFERROR(__xludf.DUMMYFUNCTION("""COMPUTED_VALUE"""),"")</f>
        <v/>
      </c>
      <c r="C801" s="189" t="str">
        <f ca="1">IFERROR(__xludf.DUMMYFUNCTION("""COMPUTED_VALUE"""),"")</f>
        <v/>
      </c>
      <c r="D801" s="189" t="str">
        <f ca="1">IFERROR(__xludf.DUMMYFUNCTION("""COMPUTED_VALUE"""),"")</f>
        <v/>
      </c>
      <c r="E801" s="189" t="str">
        <f ca="1">IFERROR(__xludf.DUMMYFUNCTION("""COMPUTED_VALUE"""),"")</f>
        <v/>
      </c>
      <c r="F801" s="189" t="str">
        <f ca="1">IFERROR(__xludf.DUMMYFUNCTION("""COMPUTED_VALUE"""),"")</f>
        <v/>
      </c>
      <c r="G801" s="189" t="str">
        <f ca="1">IFERROR(__xludf.DUMMYFUNCTION("""COMPUTED_VALUE"""),"")</f>
        <v/>
      </c>
      <c r="H801" s="189" t="str">
        <f ca="1">IFERROR(__xludf.DUMMYFUNCTION("""COMPUTED_VALUE"""),"")</f>
        <v/>
      </c>
      <c r="I801" s="120" t="str">
        <f ca="1">IFERROR(__xludf.DUMMYFUNCTION("""COMPUTED_VALUE"""),"")</f>
        <v/>
      </c>
      <c r="J801" s="189" t="str">
        <f ca="1">IFERROR(__xludf.DUMMYFUNCTION("""COMPUTED_VALUE"""),"")</f>
        <v/>
      </c>
      <c r="K801" s="189" t="str">
        <f ca="1">IFERROR(__xludf.DUMMYFUNCTION("""COMPUTED_VALUE"""),"")</f>
        <v/>
      </c>
      <c r="L801" s="189" t="str">
        <f ca="1">IFERROR(__xludf.DUMMYFUNCTION("""COMPUTED_VALUE"""),"")</f>
        <v/>
      </c>
      <c r="M801" s="189" t="str">
        <f ca="1">IFERROR(__xludf.DUMMYFUNCTION("""COMPUTED_VALUE"""),"")</f>
        <v/>
      </c>
      <c r="N801" s="189" t="str">
        <f ca="1">IFERROR(__xludf.DUMMYFUNCTION("""COMPUTED_VALUE"""),"")</f>
        <v/>
      </c>
      <c r="O801" s="189" t="str">
        <f ca="1">IFERROR(__xludf.DUMMYFUNCTION("""COMPUTED_VALUE"""),"")</f>
        <v/>
      </c>
      <c r="P801" s="189" t="str">
        <f ca="1">IFERROR(__xludf.DUMMYFUNCTION("""COMPUTED_VALUE"""),"")</f>
        <v/>
      </c>
      <c r="Q801" s="189" t="str">
        <f ca="1">IFERROR(__xludf.DUMMYFUNCTION("""COMPUTED_VALUE"""),"")</f>
        <v/>
      </c>
      <c r="R801" s="189" t="str">
        <f ca="1">IFERROR(__xludf.DUMMYFUNCTION("""COMPUTED_VALUE"""),"")</f>
        <v/>
      </c>
      <c r="S801" s="189" t="str">
        <f ca="1">IFERROR(__xludf.DUMMYFUNCTION("""COMPUTED_VALUE"""),"")</f>
        <v/>
      </c>
      <c r="T801" s="189" t="str">
        <f ca="1">IFERROR(__xludf.DUMMYFUNCTION("""COMPUTED_VALUE"""),"")</f>
        <v/>
      </c>
      <c r="U801" s="189" t="str">
        <f ca="1">IFERROR(__xludf.DUMMYFUNCTION("""COMPUTED_VALUE"""),"")</f>
        <v/>
      </c>
      <c r="V801" s="189" t="str">
        <f ca="1">IFERROR(__xludf.DUMMYFUNCTION("""COMPUTED_VALUE"""),"")</f>
        <v/>
      </c>
      <c r="W801" s="189" t="str">
        <f ca="1">IFERROR(__xludf.DUMMYFUNCTION("""COMPUTED_VALUE"""),"")</f>
        <v/>
      </c>
      <c r="X801" s="189" t="str">
        <f ca="1">IFERROR(__xludf.DUMMYFUNCTION("""COMPUTED_VALUE"""),"")</f>
        <v/>
      </c>
      <c r="Y801" s="189" t="str">
        <f ca="1">IFERROR(__xludf.DUMMYFUNCTION("""COMPUTED_VALUE"""),"")</f>
        <v/>
      </c>
      <c r="Z801" s="189"/>
    </row>
    <row r="802" spans="1:26" ht="12.75">
      <c r="A802" s="189" t="str">
        <f ca="1">IFERROR(__xludf.DUMMYFUNCTION("""COMPUTED_VALUE"""),"")</f>
        <v/>
      </c>
      <c r="B802" s="189" t="str">
        <f ca="1">IFERROR(__xludf.DUMMYFUNCTION("""COMPUTED_VALUE"""),"")</f>
        <v/>
      </c>
      <c r="C802" s="189" t="str">
        <f ca="1">IFERROR(__xludf.DUMMYFUNCTION("""COMPUTED_VALUE"""),"")</f>
        <v/>
      </c>
      <c r="D802" s="189" t="str">
        <f ca="1">IFERROR(__xludf.DUMMYFUNCTION("""COMPUTED_VALUE"""),"")</f>
        <v/>
      </c>
      <c r="E802" s="189" t="str">
        <f ca="1">IFERROR(__xludf.DUMMYFUNCTION("""COMPUTED_VALUE"""),"")</f>
        <v/>
      </c>
      <c r="F802" s="189" t="str">
        <f ca="1">IFERROR(__xludf.DUMMYFUNCTION("""COMPUTED_VALUE"""),"")</f>
        <v/>
      </c>
      <c r="G802" s="189" t="str">
        <f ca="1">IFERROR(__xludf.DUMMYFUNCTION("""COMPUTED_VALUE"""),"")</f>
        <v/>
      </c>
      <c r="H802" s="189" t="str">
        <f ca="1">IFERROR(__xludf.DUMMYFUNCTION("""COMPUTED_VALUE"""),"")</f>
        <v/>
      </c>
      <c r="I802" s="120" t="str">
        <f ca="1">IFERROR(__xludf.DUMMYFUNCTION("""COMPUTED_VALUE"""),"")</f>
        <v/>
      </c>
      <c r="J802" s="189" t="str">
        <f ca="1">IFERROR(__xludf.DUMMYFUNCTION("""COMPUTED_VALUE"""),"")</f>
        <v/>
      </c>
      <c r="K802" s="189" t="str">
        <f ca="1">IFERROR(__xludf.DUMMYFUNCTION("""COMPUTED_VALUE"""),"")</f>
        <v/>
      </c>
      <c r="L802" s="189" t="str">
        <f ca="1">IFERROR(__xludf.DUMMYFUNCTION("""COMPUTED_VALUE"""),"")</f>
        <v/>
      </c>
      <c r="M802" s="189" t="str">
        <f ca="1">IFERROR(__xludf.DUMMYFUNCTION("""COMPUTED_VALUE"""),"")</f>
        <v/>
      </c>
      <c r="N802" s="189" t="str">
        <f ca="1">IFERROR(__xludf.DUMMYFUNCTION("""COMPUTED_VALUE"""),"")</f>
        <v/>
      </c>
      <c r="O802" s="189" t="str">
        <f ca="1">IFERROR(__xludf.DUMMYFUNCTION("""COMPUTED_VALUE"""),"")</f>
        <v/>
      </c>
      <c r="P802" s="189" t="str">
        <f ca="1">IFERROR(__xludf.DUMMYFUNCTION("""COMPUTED_VALUE"""),"")</f>
        <v/>
      </c>
      <c r="Q802" s="189" t="str">
        <f ca="1">IFERROR(__xludf.DUMMYFUNCTION("""COMPUTED_VALUE"""),"")</f>
        <v/>
      </c>
      <c r="R802" s="189" t="str">
        <f ca="1">IFERROR(__xludf.DUMMYFUNCTION("""COMPUTED_VALUE"""),"")</f>
        <v/>
      </c>
      <c r="S802" s="189" t="str">
        <f ca="1">IFERROR(__xludf.DUMMYFUNCTION("""COMPUTED_VALUE"""),"")</f>
        <v/>
      </c>
      <c r="T802" s="189" t="str">
        <f ca="1">IFERROR(__xludf.DUMMYFUNCTION("""COMPUTED_VALUE"""),"")</f>
        <v/>
      </c>
      <c r="U802" s="189" t="str">
        <f ca="1">IFERROR(__xludf.DUMMYFUNCTION("""COMPUTED_VALUE"""),"")</f>
        <v/>
      </c>
      <c r="V802" s="189" t="str">
        <f ca="1">IFERROR(__xludf.DUMMYFUNCTION("""COMPUTED_VALUE"""),"")</f>
        <v/>
      </c>
      <c r="W802" s="189" t="str">
        <f ca="1">IFERROR(__xludf.DUMMYFUNCTION("""COMPUTED_VALUE"""),"")</f>
        <v/>
      </c>
      <c r="X802" s="189" t="str">
        <f ca="1">IFERROR(__xludf.DUMMYFUNCTION("""COMPUTED_VALUE"""),"")</f>
        <v/>
      </c>
      <c r="Y802" s="189" t="str">
        <f ca="1">IFERROR(__xludf.DUMMYFUNCTION("""COMPUTED_VALUE"""),"")</f>
        <v/>
      </c>
      <c r="Z802" s="189"/>
    </row>
    <row r="803" spans="1:26" ht="12.75">
      <c r="A803" s="189" t="str">
        <f ca="1">IFERROR(__xludf.DUMMYFUNCTION("""COMPUTED_VALUE"""),"")</f>
        <v/>
      </c>
      <c r="B803" s="189" t="str">
        <f ca="1">IFERROR(__xludf.DUMMYFUNCTION("""COMPUTED_VALUE"""),"")</f>
        <v/>
      </c>
      <c r="C803" s="189" t="str">
        <f ca="1">IFERROR(__xludf.DUMMYFUNCTION("""COMPUTED_VALUE"""),"")</f>
        <v/>
      </c>
      <c r="D803" s="189" t="str">
        <f ca="1">IFERROR(__xludf.DUMMYFUNCTION("""COMPUTED_VALUE"""),"")</f>
        <v/>
      </c>
      <c r="E803" s="189" t="str">
        <f ca="1">IFERROR(__xludf.DUMMYFUNCTION("""COMPUTED_VALUE"""),"")</f>
        <v/>
      </c>
      <c r="F803" s="189" t="str">
        <f ca="1">IFERROR(__xludf.DUMMYFUNCTION("""COMPUTED_VALUE"""),"")</f>
        <v/>
      </c>
      <c r="G803" s="189" t="str">
        <f ca="1">IFERROR(__xludf.DUMMYFUNCTION("""COMPUTED_VALUE"""),"")</f>
        <v/>
      </c>
      <c r="H803" s="189" t="str">
        <f ca="1">IFERROR(__xludf.DUMMYFUNCTION("""COMPUTED_VALUE"""),"")</f>
        <v/>
      </c>
      <c r="I803" s="120" t="str">
        <f ca="1">IFERROR(__xludf.DUMMYFUNCTION("""COMPUTED_VALUE"""),"")</f>
        <v/>
      </c>
      <c r="J803" s="189" t="str">
        <f ca="1">IFERROR(__xludf.DUMMYFUNCTION("""COMPUTED_VALUE"""),"")</f>
        <v/>
      </c>
      <c r="K803" s="189" t="str">
        <f ca="1">IFERROR(__xludf.DUMMYFUNCTION("""COMPUTED_VALUE"""),"")</f>
        <v/>
      </c>
      <c r="L803" s="189" t="str">
        <f ca="1">IFERROR(__xludf.DUMMYFUNCTION("""COMPUTED_VALUE"""),"")</f>
        <v/>
      </c>
      <c r="M803" s="189" t="str">
        <f ca="1">IFERROR(__xludf.DUMMYFUNCTION("""COMPUTED_VALUE"""),"")</f>
        <v/>
      </c>
      <c r="N803" s="189" t="str">
        <f ca="1">IFERROR(__xludf.DUMMYFUNCTION("""COMPUTED_VALUE"""),"")</f>
        <v/>
      </c>
      <c r="O803" s="189" t="str">
        <f ca="1">IFERROR(__xludf.DUMMYFUNCTION("""COMPUTED_VALUE"""),"")</f>
        <v/>
      </c>
      <c r="P803" s="189" t="str">
        <f ca="1">IFERROR(__xludf.DUMMYFUNCTION("""COMPUTED_VALUE"""),"")</f>
        <v/>
      </c>
      <c r="Q803" s="189" t="str">
        <f ca="1">IFERROR(__xludf.DUMMYFUNCTION("""COMPUTED_VALUE"""),"")</f>
        <v/>
      </c>
      <c r="R803" s="189" t="str">
        <f ca="1">IFERROR(__xludf.DUMMYFUNCTION("""COMPUTED_VALUE"""),"")</f>
        <v/>
      </c>
      <c r="S803" s="189" t="str">
        <f ca="1">IFERROR(__xludf.DUMMYFUNCTION("""COMPUTED_VALUE"""),"")</f>
        <v/>
      </c>
      <c r="T803" s="189" t="str">
        <f ca="1">IFERROR(__xludf.DUMMYFUNCTION("""COMPUTED_VALUE"""),"")</f>
        <v/>
      </c>
      <c r="U803" s="189" t="str">
        <f ca="1">IFERROR(__xludf.DUMMYFUNCTION("""COMPUTED_VALUE"""),"")</f>
        <v/>
      </c>
      <c r="V803" s="189" t="str">
        <f ca="1">IFERROR(__xludf.DUMMYFUNCTION("""COMPUTED_VALUE"""),"")</f>
        <v/>
      </c>
      <c r="W803" s="189" t="str">
        <f ca="1">IFERROR(__xludf.DUMMYFUNCTION("""COMPUTED_VALUE"""),"")</f>
        <v/>
      </c>
      <c r="X803" s="189" t="str">
        <f ca="1">IFERROR(__xludf.DUMMYFUNCTION("""COMPUTED_VALUE"""),"")</f>
        <v/>
      </c>
      <c r="Y803" s="189" t="str">
        <f ca="1">IFERROR(__xludf.DUMMYFUNCTION("""COMPUTED_VALUE"""),"")</f>
        <v/>
      </c>
      <c r="Z803" s="189"/>
    </row>
    <row r="804" spans="1:26" ht="12.75">
      <c r="A804" s="189" t="str">
        <f ca="1">IFERROR(__xludf.DUMMYFUNCTION("""COMPUTED_VALUE"""),"")</f>
        <v/>
      </c>
      <c r="B804" s="189" t="str">
        <f ca="1">IFERROR(__xludf.DUMMYFUNCTION("""COMPUTED_VALUE"""),"")</f>
        <v/>
      </c>
      <c r="C804" s="189" t="str">
        <f ca="1">IFERROR(__xludf.DUMMYFUNCTION("""COMPUTED_VALUE"""),"")</f>
        <v/>
      </c>
      <c r="D804" s="189" t="str">
        <f ca="1">IFERROR(__xludf.DUMMYFUNCTION("""COMPUTED_VALUE"""),"")</f>
        <v/>
      </c>
      <c r="E804" s="189" t="str">
        <f ca="1">IFERROR(__xludf.DUMMYFUNCTION("""COMPUTED_VALUE"""),"")</f>
        <v/>
      </c>
      <c r="F804" s="189" t="str">
        <f ca="1">IFERROR(__xludf.DUMMYFUNCTION("""COMPUTED_VALUE"""),"")</f>
        <v/>
      </c>
      <c r="G804" s="189" t="str">
        <f ca="1">IFERROR(__xludf.DUMMYFUNCTION("""COMPUTED_VALUE"""),"")</f>
        <v/>
      </c>
      <c r="H804" s="189" t="str">
        <f ca="1">IFERROR(__xludf.DUMMYFUNCTION("""COMPUTED_VALUE"""),"")</f>
        <v/>
      </c>
      <c r="I804" s="120" t="str">
        <f ca="1">IFERROR(__xludf.DUMMYFUNCTION("""COMPUTED_VALUE"""),"")</f>
        <v/>
      </c>
      <c r="J804" s="189" t="str">
        <f ca="1">IFERROR(__xludf.DUMMYFUNCTION("""COMPUTED_VALUE"""),"")</f>
        <v/>
      </c>
      <c r="K804" s="189" t="str">
        <f ca="1">IFERROR(__xludf.DUMMYFUNCTION("""COMPUTED_VALUE"""),"")</f>
        <v/>
      </c>
      <c r="L804" s="189" t="str">
        <f ca="1">IFERROR(__xludf.DUMMYFUNCTION("""COMPUTED_VALUE"""),"")</f>
        <v/>
      </c>
      <c r="M804" s="189" t="str">
        <f ca="1">IFERROR(__xludf.DUMMYFUNCTION("""COMPUTED_VALUE"""),"")</f>
        <v/>
      </c>
      <c r="N804" s="189" t="str">
        <f ca="1">IFERROR(__xludf.DUMMYFUNCTION("""COMPUTED_VALUE"""),"")</f>
        <v/>
      </c>
      <c r="O804" s="189" t="str">
        <f ca="1">IFERROR(__xludf.DUMMYFUNCTION("""COMPUTED_VALUE"""),"")</f>
        <v/>
      </c>
      <c r="P804" s="189" t="str">
        <f ca="1">IFERROR(__xludf.DUMMYFUNCTION("""COMPUTED_VALUE"""),"")</f>
        <v/>
      </c>
      <c r="Q804" s="189" t="str">
        <f ca="1">IFERROR(__xludf.DUMMYFUNCTION("""COMPUTED_VALUE"""),"")</f>
        <v/>
      </c>
      <c r="R804" s="189" t="str">
        <f ca="1">IFERROR(__xludf.DUMMYFUNCTION("""COMPUTED_VALUE"""),"")</f>
        <v/>
      </c>
      <c r="S804" s="189" t="str">
        <f ca="1">IFERROR(__xludf.DUMMYFUNCTION("""COMPUTED_VALUE"""),"")</f>
        <v/>
      </c>
      <c r="T804" s="189" t="str">
        <f ca="1">IFERROR(__xludf.DUMMYFUNCTION("""COMPUTED_VALUE"""),"")</f>
        <v/>
      </c>
      <c r="U804" s="189" t="str">
        <f ca="1">IFERROR(__xludf.DUMMYFUNCTION("""COMPUTED_VALUE"""),"")</f>
        <v/>
      </c>
      <c r="V804" s="189" t="str">
        <f ca="1">IFERROR(__xludf.DUMMYFUNCTION("""COMPUTED_VALUE"""),"")</f>
        <v/>
      </c>
      <c r="W804" s="189" t="str">
        <f ca="1">IFERROR(__xludf.DUMMYFUNCTION("""COMPUTED_VALUE"""),"")</f>
        <v/>
      </c>
      <c r="X804" s="189" t="str">
        <f ca="1">IFERROR(__xludf.DUMMYFUNCTION("""COMPUTED_VALUE"""),"")</f>
        <v/>
      </c>
      <c r="Y804" s="189" t="str">
        <f ca="1">IFERROR(__xludf.DUMMYFUNCTION("""COMPUTED_VALUE"""),"")</f>
        <v/>
      </c>
      <c r="Z804" s="189"/>
    </row>
    <row r="805" spans="1:26" ht="12.75">
      <c r="A805" s="189" t="str">
        <f ca="1">IFERROR(__xludf.DUMMYFUNCTION("""COMPUTED_VALUE"""),"")</f>
        <v/>
      </c>
      <c r="B805" s="189" t="str">
        <f ca="1">IFERROR(__xludf.DUMMYFUNCTION("""COMPUTED_VALUE"""),"")</f>
        <v/>
      </c>
      <c r="C805" s="189" t="str">
        <f ca="1">IFERROR(__xludf.DUMMYFUNCTION("""COMPUTED_VALUE"""),"")</f>
        <v/>
      </c>
      <c r="D805" s="189" t="str">
        <f ca="1">IFERROR(__xludf.DUMMYFUNCTION("""COMPUTED_VALUE"""),"")</f>
        <v/>
      </c>
      <c r="E805" s="189" t="str">
        <f ca="1">IFERROR(__xludf.DUMMYFUNCTION("""COMPUTED_VALUE"""),"")</f>
        <v/>
      </c>
      <c r="F805" s="189" t="str">
        <f ca="1">IFERROR(__xludf.DUMMYFUNCTION("""COMPUTED_VALUE"""),"")</f>
        <v/>
      </c>
      <c r="G805" s="189" t="str">
        <f ca="1">IFERROR(__xludf.DUMMYFUNCTION("""COMPUTED_VALUE"""),"")</f>
        <v/>
      </c>
      <c r="H805" s="189" t="str">
        <f ca="1">IFERROR(__xludf.DUMMYFUNCTION("""COMPUTED_VALUE"""),"")</f>
        <v/>
      </c>
      <c r="I805" s="120" t="str">
        <f ca="1">IFERROR(__xludf.DUMMYFUNCTION("""COMPUTED_VALUE"""),"")</f>
        <v/>
      </c>
      <c r="J805" s="189" t="str">
        <f ca="1">IFERROR(__xludf.DUMMYFUNCTION("""COMPUTED_VALUE"""),"")</f>
        <v/>
      </c>
      <c r="K805" s="189" t="str">
        <f ca="1">IFERROR(__xludf.DUMMYFUNCTION("""COMPUTED_VALUE"""),"")</f>
        <v/>
      </c>
      <c r="L805" s="189" t="str">
        <f ca="1">IFERROR(__xludf.DUMMYFUNCTION("""COMPUTED_VALUE"""),"")</f>
        <v/>
      </c>
      <c r="M805" s="189" t="str">
        <f ca="1">IFERROR(__xludf.DUMMYFUNCTION("""COMPUTED_VALUE"""),"")</f>
        <v/>
      </c>
      <c r="N805" s="189" t="str">
        <f ca="1">IFERROR(__xludf.DUMMYFUNCTION("""COMPUTED_VALUE"""),"")</f>
        <v/>
      </c>
      <c r="O805" s="189" t="str">
        <f ca="1">IFERROR(__xludf.DUMMYFUNCTION("""COMPUTED_VALUE"""),"")</f>
        <v/>
      </c>
      <c r="P805" s="189" t="str">
        <f ca="1">IFERROR(__xludf.DUMMYFUNCTION("""COMPUTED_VALUE"""),"")</f>
        <v/>
      </c>
      <c r="Q805" s="189" t="str">
        <f ca="1">IFERROR(__xludf.DUMMYFUNCTION("""COMPUTED_VALUE"""),"")</f>
        <v/>
      </c>
      <c r="R805" s="189" t="str">
        <f ca="1">IFERROR(__xludf.DUMMYFUNCTION("""COMPUTED_VALUE"""),"")</f>
        <v/>
      </c>
      <c r="S805" s="189" t="str">
        <f ca="1">IFERROR(__xludf.DUMMYFUNCTION("""COMPUTED_VALUE"""),"")</f>
        <v/>
      </c>
      <c r="T805" s="189" t="str">
        <f ca="1">IFERROR(__xludf.DUMMYFUNCTION("""COMPUTED_VALUE"""),"")</f>
        <v/>
      </c>
      <c r="U805" s="189" t="str">
        <f ca="1">IFERROR(__xludf.DUMMYFUNCTION("""COMPUTED_VALUE"""),"")</f>
        <v/>
      </c>
      <c r="V805" s="189" t="str">
        <f ca="1">IFERROR(__xludf.DUMMYFUNCTION("""COMPUTED_VALUE"""),"")</f>
        <v/>
      </c>
      <c r="W805" s="189" t="str">
        <f ca="1">IFERROR(__xludf.DUMMYFUNCTION("""COMPUTED_VALUE"""),"")</f>
        <v/>
      </c>
      <c r="X805" s="189" t="str">
        <f ca="1">IFERROR(__xludf.DUMMYFUNCTION("""COMPUTED_VALUE"""),"")</f>
        <v/>
      </c>
      <c r="Y805" s="189" t="str">
        <f ca="1">IFERROR(__xludf.DUMMYFUNCTION("""COMPUTED_VALUE"""),"")</f>
        <v/>
      </c>
      <c r="Z805" s="189"/>
    </row>
    <row r="806" spans="1:26" ht="12.75">
      <c r="A806" s="189" t="str">
        <f ca="1">IFERROR(__xludf.DUMMYFUNCTION("""COMPUTED_VALUE"""),"")</f>
        <v/>
      </c>
      <c r="B806" s="189" t="str">
        <f ca="1">IFERROR(__xludf.DUMMYFUNCTION("""COMPUTED_VALUE"""),"")</f>
        <v/>
      </c>
      <c r="C806" s="189" t="str">
        <f ca="1">IFERROR(__xludf.DUMMYFUNCTION("""COMPUTED_VALUE"""),"")</f>
        <v/>
      </c>
      <c r="D806" s="189" t="str">
        <f ca="1">IFERROR(__xludf.DUMMYFUNCTION("""COMPUTED_VALUE"""),"")</f>
        <v/>
      </c>
      <c r="E806" s="189" t="str">
        <f ca="1">IFERROR(__xludf.DUMMYFUNCTION("""COMPUTED_VALUE"""),"")</f>
        <v/>
      </c>
      <c r="F806" s="189" t="str">
        <f ca="1">IFERROR(__xludf.DUMMYFUNCTION("""COMPUTED_VALUE"""),"")</f>
        <v/>
      </c>
      <c r="G806" s="189" t="str">
        <f ca="1">IFERROR(__xludf.DUMMYFUNCTION("""COMPUTED_VALUE"""),"")</f>
        <v/>
      </c>
      <c r="H806" s="189" t="str">
        <f ca="1">IFERROR(__xludf.DUMMYFUNCTION("""COMPUTED_VALUE"""),"")</f>
        <v/>
      </c>
      <c r="I806" s="120" t="str">
        <f ca="1">IFERROR(__xludf.DUMMYFUNCTION("""COMPUTED_VALUE"""),"")</f>
        <v/>
      </c>
      <c r="J806" s="189" t="str">
        <f ca="1">IFERROR(__xludf.DUMMYFUNCTION("""COMPUTED_VALUE"""),"")</f>
        <v/>
      </c>
      <c r="K806" s="189" t="str">
        <f ca="1">IFERROR(__xludf.DUMMYFUNCTION("""COMPUTED_VALUE"""),"")</f>
        <v/>
      </c>
      <c r="L806" s="189" t="str">
        <f ca="1">IFERROR(__xludf.DUMMYFUNCTION("""COMPUTED_VALUE"""),"")</f>
        <v/>
      </c>
      <c r="M806" s="189" t="str">
        <f ca="1">IFERROR(__xludf.DUMMYFUNCTION("""COMPUTED_VALUE"""),"")</f>
        <v/>
      </c>
      <c r="N806" s="189" t="str">
        <f ca="1">IFERROR(__xludf.DUMMYFUNCTION("""COMPUTED_VALUE"""),"")</f>
        <v/>
      </c>
      <c r="O806" s="189" t="str">
        <f ca="1">IFERROR(__xludf.DUMMYFUNCTION("""COMPUTED_VALUE"""),"")</f>
        <v/>
      </c>
      <c r="P806" s="189" t="str">
        <f ca="1">IFERROR(__xludf.DUMMYFUNCTION("""COMPUTED_VALUE"""),"")</f>
        <v/>
      </c>
      <c r="Q806" s="189" t="str">
        <f ca="1">IFERROR(__xludf.DUMMYFUNCTION("""COMPUTED_VALUE"""),"")</f>
        <v/>
      </c>
      <c r="R806" s="189" t="str">
        <f ca="1">IFERROR(__xludf.DUMMYFUNCTION("""COMPUTED_VALUE"""),"")</f>
        <v/>
      </c>
      <c r="S806" s="189" t="str">
        <f ca="1">IFERROR(__xludf.DUMMYFUNCTION("""COMPUTED_VALUE"""),"")</f>
        <v/>
      </c>
      <c r="T806" s="189" t="str">
        <f ca="1">IFERROR(__xludf.DUMMYFUNCTION("""COMPUTED_VALUE"""),"")</f>
        <v/>
      </c>
      <c r="U806" s="189" t="str">
        <f ca="1">IFERROR(__xludf.DUMMYFUNCTION("""COMPUTED_VALUE"""),"")</f>
        <v/>
      </c>
      <c r="V806" s="189" t="str">
        <f ca="1">IFERROR(__xludf.DUMMYFUNCTION("""COMPUTED_VALUE"""),"")</f>
        <v/>
      </c>
      <c r="W806" s="189" t="str">
        <f ca="1">IFERROR(__xludf.DUMMYFUNCTION("""COMPUTED_VALUE"""),"")</f>
        <v/>
      </c>
      <c r="X806" s="189" t="str">
        <f ca="1">IFERROR(__xludf.DUMMYFUNCTION("""COMPUTED_VALUE"""),"")</f>
        <v/>
      </c>
      <c r="Y806" s="189" t="str">
        <f ca="1">IFERROR(__xludf.DUMMYFUNCTION("""COMPUTED_VALUE"""),"")</f>
        <v/>
      </c>
      <c r="Z806" s="189"/>
    </row>
    <row r="807" spans="1:26" ht="12.75">
      <c r="A807" s="189" t="str">
        <f ca="1">IFERROR(__xludf.DUMMYFUNCTION("""COMPUTED_VALUE"""),"")</f>
        <v/>
      </c>
      <c r="B807" s="189" t="str">
        <f ca="1">IFERROR(__xludf.DUMMYFUNCTION("""COMPUTED_VALUE"""),"")</f>
        <v/>
      </c>
      <c r="C807" s="189" t="str">
        <f ca="1">IFERROR(__xludf.DUMMYFUNCTION("""COMPUTED_VALUE"""),"")</f>
        <v/>
      </c>
      <c r="D807" s="189" t="str">
        <f ca="1">IFERROR(__xludf.DUMMYFUNCTION("""COMPUTED_VALUE"""),"")</f>
        <v/>
      </c>
      <c r="E807" s="189" t="str">
        <f ca="1">IFERROR(__xludf.DUMMYFUNCTION("""COMPUTED_VALUE"""),"")</f>
        <v/>
      </c>
      <c r="F807" s="189" t="str">
        <f ca="1">IFERROR(__xludf.DUMMYFUNCTION("""COMPUTED_VALUE"""),"")</f>
        <v/>
      </c>
      <c r="G807" s="189" t="str">
        <f ca="1">IFERROR(__xludf.DUMMYFUNCTION("""COMPUTED_VALUE"""),"")</f>
        <v/>
      </c>
      <c r="H807" s="189" t="str">
        <f ca="1">IFERROR(__xludf.DUMMYFUNCTION("""COMPUTED_VALUE"""),"")</f>
        <v/>
      </c>
      <c r="I807" s="120" t="str">
        <f ca="1">IFERROR(__xludf.DUMMYFUNCTION("""COMPUTED_VALUE"""),"")</f>
        <v/>
      </c>
      <c r="J807" s="189" t="str">
        <f ca="1">IFERROR(__xludf.DUMMYFUNCTION("""COMPUTED_VALUE"""),"")</f>
        <v/>
      </c>
      <c r="K807" s="189" t="str">
        <f ca="1">IFERROR(__xludf.DUMMYFUNCTION("""COMPUTED_VALUE"""),"")</f>
        <v/>
      </c>
      <c r="L807" s="189" t="str">
        <f ca="1">IFERROR(__xludf.DUMMYFUNCTION("""COMPUTED_VALUE"""),"")</f>
        <v/>
      </c>
      <c r="M807" s="189" t="str">
        <f ca="1">IFERROR(__xludf.DUMMYFUNCTION("""COMPUTED_VALUE"""),"")</f>
        <v/>
      </c>
      <c r="N807" s="189" t="str">
        <f ca="1">IFERROR(__xludf.DUMMYFUNCTION("""COMPUTED_VALUE"""),"")</f>
        <v/>
      </c>
      <c r="O807" s="189" t="str">
        <f ca="1">IFERROR(__xludf.DUMMYFUNCTION("""COMPUTED_VALUE"""),"")</f>
        <v/>
      </c>
      <c r="P807" s="189" t="str">
        <f ca="1">IFERROR(__xludf.DUMMYFUNCTION("""COMPUTED_VALUE"""),"")</f>
        <v/>
      </c>
      <c r="Q807" s="189" t="str">
        <f ca="1">IFERROR(__xludf.DUMMYFUNCTION("""COMPUTED_VALUE"""),"")</f>
        <v/>
      </c>
      <c r="R807" s="189" t="str">
        <f ca="1">IFERROR(__xludf.DUMMYFUNCTION("""COMPUTED_VALUE"""),"")</f>
        <v/>
      </c>
      <c r="S807" s="189" t="str">
        <f ca="1">IFERROR(__xludf.DUMMYFUNCTION("""COMPUTED_VALUE"""),"")</f>
        <v/>
      </c>
      <c r="T807" s="189" t="str">
        <f ca="1">IFERROR(__xludf.DUMMYFUNCTION("""COMPUTED_VALUE"""),"")</f>
        <v/>
      </c>
      <c r="U807" s="189" t="str">
        <f ca="1">IFERROR(__xludf.DUMMYFUNCTION("""COMPUTED_VALUE"""),"")</f>
        <v/>
      </c>
      <c r="V807" s="189" t="str">
        <f ca="1">IFERROR(__xludf.DUMMYFUNCTION("""COMPUTED_VALUE"""),"")</f>
        <v/>
      </c>
      <c r="W807" s="189" t="str">
        <f ca="1">IFERROR(__xludf.DUMMYFUNCTION("""COMPUTED_VALUE"""),"")</f>
        <v/>
      </c>
      <c r="X807" s="189" t="str">
        <f ca="1">IFERROR(__xludf.DUMMYFUNCTION("""COMPUTED_VALUE"""),"")</f>
        <v/>
      </c>
      <c r="Y807" s="189" t="str">
        <f ca="1">IFERROR(__xludf.DUMMYFUNCTION("""COMPUTED_VALUE"""),"")</f>
        <v/>
      </c>
      <c r="Z807" s="189"/>
    </row>
    <row r="808" spans="1:26" ht="12.75">
      <c r="A808" s="189" t="str">
        <f ca="1">IFERROR(__xludf.DUMMYFUNCTION("""COMPUTED_VALUE"""),"")</f>
        <v/>
      </c>
      <c r="B808" s="189" t="str">
        <f ca="1">IFERROR(__xludf.DUMMYFUNCTION("""COMPUTED_VALUE"""),"")</f>
        <v/>
      </c>
      <c r="C808" s="189" t="str">
        <f ca="1">IFERROR(__xludf.DUMMYFUNCTION("""COMPUTED_VALUE"""),"")</f>
        <v/>
      </c>
      <c r="D808" s="189" t="str">
        <f ca="1">IFERROR(__xludf.DUMMYFUNCTION("""COMPUTED_VALUE"""),"")</f>
        <v/>
      </c>
      <c r="E808" s="189" t="str">
        <f ca="1">IFERROR(__xludf.DUMMYFUNCTION("""COMPUTED_VALUE"""),"")</f>
        <v/>
      </c>
      <c r="F808" s="189" t="str">
        <f ca="1">IFERROR(__xludf.DUMMYFUNCTION("""COMPUTED_VALUE"""),"")</f>
        <v/>
      </c>
      <c r="G808" s="189" t="str">
        <f ca="1">IFERROR(__xludf.DUMMYFUNCTION("""COMPUTED_VALUE"""),"")</f>
        <v/>
      </c>
      <c r="H808" s="189" t="str">
        <f ca="1">IFERROR(__xludf.DUMMYFUNCTION("""COMPUTED_VALUE"""),"")</f>
        <v/>
      </c>
      <c r="I808" s="120" t="str">
        <f ca="1">IFERROR(__xludf.DUMMYFUNCTION("""COMPUTED_VALUE"""),"")</f>
        <v/>
      </c>
      <c r="J808" s="189" t="str">
        <f ca="1">IFERROR(__xludf.DUMMYFUNCTION("""COMPUTED_VALUE"""),"")</f>
        <v/>
      </c>
      <c r="K808" s="189" t="str">
        <f ca="1">IFERROR(__xludf.DUMMYFUNCTION("""COMPUTED_VALUE"""),"")</f>
        <v/>
      </c>
      <c r="L808" s="189" t="str">
        <f ca="1">IFERROR(__xludf.DUMMYFUNCTION("""COMPUTED_VALUE"""),"")</f>
        <v/>
      </c>
      <c r="M808" s="189" t="str">
        <f ca="1">IFERROR(__xludf.DUMMYFUNCTION("""COMPUTED_VALUE"""),"")</f>
        <v/>
      </c>
      <c r="N808" s="189" t="str">
        <f ca="1">IFERROR(__xludf.DUMMYFUNCTION("""COMPUTED_VALUE"""),"")</f>
        <v/>
      </c>
      <c r="O808" s="189" t="str">
        <f ca="1">IFERROR(__xludf.DUMMYFUNCTION("""COMPUTED_VALUE"""),"")</f>
        <v/>
      </c>
      <c r="P808" s="189" t="str">
        <f ca="1">IFERROR(__xludf.DUMMYFUNCTION("""COMPUTED_VALUE"""),"")</f>
        <v/>
      </c>
      <c r="Q808" s="189" t="str">
        <f ca="1">IFERROR(__xludf.DUMMYFUNCTION("""COMPUTED_VALUE"""),"")</f>
        <v/>
      </c>
      <c r="R808" s="189" t="str">
        <f ca="1">IFERROR(__xludf.DUMMYFUNCTION("""COMPUTED_VALUE"""),"")</f>
        <v/>
      </c>
      <c r="S808" s="189" t="str">
        <f ca="1">IFERROR(__xludf.DUMMYFUNCTION("""COMPUTED_VALUE"""),"")</f>
        <v/>
      </c>
      <c r="T808" s="189" t="str">
        <f ca="1">IFERROR(__xludf.DUMMYFUNCTION("""COMPUTED_VALUE"""),"")</f>
        <v/>
      </c>
      <c r="U808" s="189" t="str">
        <f ca="1">IFERROR(__xludf.DUMMYFUNCTION("""COMPUTED_VALUE"""),"")</f>
        <v/>
      </c>
      <c r="V808" s="189" t="str">
        <f ca="1">IFERROR(__xludf.DUMMYFUNCTION("""COMPUTED_VALUE"""),"")</f>
        <v/>
      </c>
      <c r="W808" s="189" t="str">
        <f ca="1">IFERROR(__xludf.DUMMYFUNCTION("""COMPUTED_VALUE"""),"")</f>
        <v/>
      </c>
      <c r="X808" s="189" t="str">
        <f ca="1">IFERROR(__xludf.DUMMYFUNCTION("""COMPUTED_VALUE"""),"")</f>
        <v/>
      </c>
      <c r="Y808" s="189" t="str">
        <f ca="1">IFERROR(__xludf.DUMMYFUNCTION("""COMPUTED_VALUE"""),"")</f>
        <v/>
      </c>
      <c r="Z808" s="189"/>
    </row>
    <row r="809" spans="1:26" ht="12.75">
      <c r="A809" s="189" t="str">
        <f ca="1">IFERROR(__xludf.DUMMYFUNCTION("""COMPUTED_VALUE"""),"")</f>
        <v/>
      </c>
      <c r="B809" s="189" t="str">
        <f ca="1">IFERROR(__xludf.DUMMYFUNCTION("""COMPUTED_VALUE"""),"")</f>
        <v/>
      </c>
      <c r="C809" s="189" t="str">
        <f ca="1">IFERROR(__xludf.DUMMYFUNCTION("""COMPUTED_VALUE"""),"")</f>
        <v/>
      </c>
      <c r="D809" s="189" t="str">
        <f ca="1">IFERROR(__xludf.DUMMYFUNCTION("""COMPUTED_VALUE"""),"")</f>
        <v/>
      </c>
      <c r="E809" s="189" t="str">
        <f ca="1">IFERROR(__xludf.DUMMYFUNCTION("""COMPUTED_VALUE"""),"")</f>
        <v/>
      </c>
      <c r="F809" s="189" t="str">
        <f ca="1">IFERROR(__xludf.DUMMYFUNCTION("""COMPUTED_VALUE"""),"")</f>
        <v/>
      </c>
      <c r="G809" s="189" t="str">
        <f ca="1">IFERROR(__xludf.DUMMYFUNCTION("""COMPUTED_VALUE"""),"")</f>
        <v/>
      </c>
      <c r="H809" s="189" t="str">
        <f ca="1">IFERROR(__xludf.DUMMYFUNCTION("""COMPUTED_VALUE"""),"")</f>
        <v/>
      </c>
      <c r="I809" s="120" t="str">
        <f ca="1">IFERROR(__xludf.DUMMYFUNCTION("""COMPUTED_VALUE"""),"")</f>
        <v/>
      </c>
      <c r="J809" s="189" t="str">
        <f ca="1">IFERROR(__xludf.DUMMYFUNCTION("""COMPUTED_VALUE"""),"")</f>
        <v/>
      </c>
      <c r="K809" s="189" t="str">
        <f ca="1">IFERROR(__xludf.DUMMYFUNCTION("""COMPUTED_VALUE"""),"")</f>
        <v/>
      </c>
      <c r="L809" s="189" t="str">
        <f ca="1">IFERROR(__xludf.DUMMYFUNCTION("""COMPUTED_VALUE"""),"")</f>
        <v/>
      </c>
      <c r="M809" s="189" t="str">
        <f ca="1">IFERROR(__xludf.DUMMYFUNCTION("""COMPUTED_VALUE"""),"")</f>
        <v/>
      </c>
      <c r="N809" s="189" t="str">
        <f ca="1">IFERROR(__xludf.DUMMYFUNCTION("""COMPUTED_VALUE"""),"")</f>
        <v/>
      </c>
      <c r="O809" s="189" t="str">
        <f ca="1">IFERROR(__xludf.DUMMYFUNCTION("""COMPUTED_VALUE"""),"")</f>
        <v/>
      </c>
      <c r="P809" s="189" t="str">
        <f ca="1">IFERROR(__xludf.DUMMYFUNCTION("""COMPUTED_VALUE"""),"")</f>
        <v/>
      </c>
      <c r="Q809" s="189" t="str">
        <f ca="1">IFERROR(__xludf.DUMMYFUNCTION("""COMPUTED_VALUE"""),"")</f>
        <v/>
      </c>
      <c r="R809" s="189" t="str">
        <f ca="1">IFERROR(__xludf.DUMMYFUNCTION("""COMPUTED_VALUE"""),"")</f>
        <v/>
      </c>
      <c r="S809" s="189" t="str">
        <f ca="1">IFERROR(__xludf.DUMMYFUNCTION("""COMPUTED_VALUE"""),"")</f>
        <v/>
      </c>
      <c r="T809" s="189" t="str">
        <f ca="1">IFERROR(__xludf.DUMMYFUNCTION("""COMPUTED_VALUE"""),"")</f>
        <v/>
      </c>
      <c r="U809" s="189" t="str">
        <f ca="1">IFERROR(__xludf.DUMMYFUNCTION("""COMPUTED_VALUE"""),"")</f>
        <v/>
      </c>
      <c r="V809" s="189" t="str">
        <f ca="1">IFERROR(__xludf.DUMMYFUNCTION("""COMPUTED_VALUE"""),"")</f>
        <v/>
      </c>
      <c r="W809" s="189" t="str">
        <f ca="1">IFERROR(__xludf.DUMMYFUNCTION("""COMPUTED_VALUE"""),"")</f>
        <v/>
      </c>
      <c r="X809" s="189" t="str">
        <f ca="1">IFERROR(__xludf.DUMMYFUNCTION("""COMPUTED_VALUE"""),"")</f>
        <v/>
      </c>
      <c r="Y809" s="189" t="str">
        <f ca="1">IFERROR(__xludf.DUMMYFUNCTION("""COMPUTED_VALUE"""),"")</f>
        <v/>
      </c>
      <c r="Z809" s="189"/>
    </row>
    <row r="810" spans="1:26" ht="12.75">
      <c r="A810" s="189" t="str">
        <f ca="1">IFERROR(__xludf.DUMMYFUNCTION("""COMPUTED_VALUE"""),"")</f>
        <v/>
      </c>
      <c r="B810" s="189" t="str">
        <f ca="1">IFERROR(__xludf.DUMMYFUNCTION("""COMPUTED_VALUE"""),"")</f>
        <v/>
      </c>
      <c r="C810" s="189" t="str">
        <f ca="1">IFERROR(__xludf.DUMMYFUNCTION("""COMPUTED_VALUE"""),"")</f>
        <v/>
      </c>
      <c r="D810" s="189" t="str">
        <f ca="1">IFERROR(__xludf.DUMMYFUNCTION("""COMPUTED_VALUE"""),"")</f>
        <v/>
      </c>
      <c r="E810" s="189" t="str">
        <f ca="1">IFERROR(__xludf.DUMMYFUNCTION("""COMPUTED_VALUE"""),"")</f>
        <v/>
      </c>
      <c r="F810" s="189" t="str">
        <f ca="1">IFERROR(__xludf.DUMMYFUNCTION("""COMPUTED_VALUE"""),"")</f>
        <v/>
      </c>
      <c r="G810" s="189" t="str">
        <f ca="1">IFERROR(__xludf.DUMMYFUNCTION("""COMPUTED_VALUE"""),"")</f>
        <v/>
      </c>
      <c r="H810" s="189" t="str">
        <f ca="1">IFERROR(__xludf.DUMMYFUNCTION("""COMPUTED_VALUE"""),"")</f>
        <v/>
      </c>
      <c r="I810" s="120" t="str">
        <f ca="1">IFERROR(__xludf.DUMMYFUNCTION("""COMPUTED_VALUE"""),"")</f>
        <v/>
      </c>
      <c r="J810" s="189" t="str">
        <f ca="1">IFERROR(__xludf.DUMMYFUNCTION("""COMPUTED_VALUE"""),"")</f>
        <v/>
      </c>
      <c r="K810" s="189" t="str">
        <f ca="1">IFERROR(__xludf.DUMMYFUNCTION("""COMPUTED_VALUE"""),"")</f>
        <v/>
      </c>
      <c r="L810" s="189" t="str">
        <f ca="1">IFERROR(__xludf.DUMMYFUNCTION("""COMPUTED_VALUE"""),"")</f>
        <v/>
      </c>
      <c r="M810" s="189" t="str">
        <f ca="1">IFERROR(__xludf.DUMMYFUNCTION("""COMPUTED_VALUE"""),"")</f>
        <v/>
      </c>
      <c r="N810" s="189" t="str">
        <f ca="1">IFERROR(__xludf.DUMMYFUNCTION("""COMPUTED_VALUE"""),"")</f>
        <v/>
      </c>
      <c r="O810" s="189" t="str">
        <f ca="1">IFERROR(__xludf.DUMMYFUNCTION("""COMPUTED_VALUE"""),"")</f>
        <v/>
      </c>
      <c r="P810" s="189" t="str">
        <f ca="1">IFERROR(__xludf.DUMMYFUNCTION("""COMPUTED_VALUE"""),"")</f>
        <v/>
      </c>
      <c r="Q810" s="189" t="str">
        <f ca="1">IFERROR(__xludf.DUMMYFUNCTION("""COMPUTED_VALUE"""),"")</f>
        <v/>
      </c>
      <c r="R810" s="189" t="str">
        <f ca="1">IFERROR(__xludf.DUMMYFUNCTION("""COMPUTED_VALUE"""),"")</f>
        <v/>
      </c>
      <c r="S810" s="189" t="str">
        <f ca="1">IFERROR(__xludf.DUMMYFUNCTION("""COMPUTED_VALUE"""),"")</f>
        <v/>
      </c>
      <c r="T810" s="189" t="str">
        <f ca="1">IFERROR(__xludf.DUMMYFUNCTION("""COMPUTED_VALUE"""),"")</f>
        <v/>
      </c>
      <c r="U810" s="189" t="str">
        <f ca="1">IFERROR(__xludf.DUMMYFUNCTION("""COMPUTED_VALUE"""),"")</f>
        <v/>
      </c>
      <c r="V810" s="189" t="str">
        <f ca="1">IFERROR(__xludf.DUMMYFUNCTION("""COMPUTED_VALUE"""),"")</f>
        <v/>
      </c>
      <c r="W810" s="189" t="str">
        <f ca="1">IFERROR(__xludf.DUMMYFUNCTION("""COMPUTED_VALUE"""),"")</f>
        <v/>
      </c>
      <c r="X810" s="189" t="str">
        <f ca="1">IFERROR(__xludf.DUMMYFUNCTION("""COMPUTED_VALUE"""),"")</f>
        <v/>
      </c>
      <c r="Y810" s="189" t="str">
        <f ca="1">IFERROR(__xludf.DUMMYFUNCTION("""COMPUTED_VALUE"""),"")</f>
        <v/>
      </c>
      <c r="Z810" s="189"/>
    </row>
    <row r="811" spans="1:26" ht="12.75">
      <c r="A811" s="189" t="str">
        <f ca="1">IFERROR(__xludf.DUMMYFUNCTION("""COMPUTED_VALUE"""),"")</f>
        <v/>
      </c>
      <c r="B811" s="189" t="str">
        <f ca="1">IFERROR(__xludf.DUMMYFUNCTION("""COMPUTED_VALUE"""),"")</f>
        <v/>
      </c>
      <c r="C811" s="189" t="str">
        <f ca="1">IFERROR(__xludf.DUMMYFUNCTION("""COMPUTED_VALUE"""),"")</f>
        <v/>
      </c>
      <c r="D811" s="189" t="str">
        <f ca="1">IFERROR(__xludf.DUMMYFUNCTION("""COMPUTED_VALUE"""),"")</f>
        <v/>
      </c>
      <c r="E811" s="189" t="str">
        <f ca="1">IFERROR(__xludf.DUMMYFUNCTION("""COMPUTED_VALUE"""),"")</f>
        <v/>
      </c>
      <c r="F811" s="189" t="str">
        <f ca="1">IFERROR(__xludf.DUMMYFUNCTION("""COMPUTED_VALUE"""),"")</f>
        <v/>
      </c>
      <c r="G811" s="189" t="str">
        <f ca="1">IFERROR(__xludf.DUMMYFUNCTION("""COMPUTED_VALUE"""),"")</f>
        <v/>
      </c>
      <c r="H811" s="189" t="str">
        <f ca="1">IFERROR(__xludf.DUMMYFUNCTION("""COMPUTED_VALUE"""),"")</f>
        <v/>
      </c>
      <c r="I811" s="120" t="str">
        <f ca="1">IFERROR(__xludf.DUMMYFUNCTION("""COMPUTED_VALUE"""),"")</f>
        <v/>
      </c>
      <c r="J811" s="189" t="str">
        <f ca="1">IFERROR(__xludf.DUMMYFUNCTION("""COMPUTED_VALUE"""),"")</f>
        <v/>
      </c>
      <c r="K811" s="189" t="str">
        <f ca="1">IFERROR(__xludf.DUMMYFUNCTION("""COMPUTED_VALUE"""),"")</f>
        <v/>
      </c>
      <c r="L811" s="189" t="str">
        <f ca="1">IFERROR(__xludf.DUMMYFUNCTION("""COMPUTED_VALUE"""),"")</f>
        <v/>
      </c>
      <c r="M811" s="189" t="str">
        <f ca="1">IFERROR(__xludf.DUMMYFUNCTION("""COMPUTED_VALUE"""),"")</f>
        <v/>
      </c>
      <c r="N811" s="189" t="str">
        <f ca="1">IFERROR(__xludf.DUMMYFUNCTION("""COMPUTED_VALUE"""),"")</f>
        <v/>
      </c>
      <c r="O811" s="189" t="str">
        <f ca="1">IFERROR(__xludf.DUMMYFUNCTION("""COMPUTED_VALUE"""),"")</f>
        <v/>
      </c>
      <c r="P811" s="189" t="str">
        <f ca="1">IFERROR(__xludf.DUMMYFUNCTION("""COMPUTED_VALUE"""),"")</f>
        <v/>
      </c>
      <c r="Q811" s="189" t="str">
        <f ca="1">IFERROR(__xludf.DUMMYFUNCTION("""COMPUTED_VALUE"""),"")</f>
        <v/>
      </c>
      <c r="R811" s="189" t="str">
        <f ca="1">IFERROR(__xludf.DUMMYFUNCTION("""COMPUTED_VALUE"""),"")</f>
        <v/>
      </c>
      <c r="S811" s="189" t="str">
        <f ca="1">IFERROR(__xludf.DUMMYFUNCTION("""COMPUTED_VALUE"""),"")</f>
        <v/>
      </c>
      <c r="T811" s="189" t="str">
        <f ca="1">IFERROR(__xludf.DUMMYFUNCTION("""COMPUTED_VALUE"""),"")</f>
        <v/>
      </c>
      <c r="U811" s="189" t="str">
        <f ca="1">IFERROR(__xludf.DUMMYFUNCTION("""COMPUTED_VALUE"""),"")</f>
        <v/>
      </c>
      <c r="V811" s="189" t="str">
        <f ca="1">IFERROR(__xludf.DUMMYFUNCTION("""COMPUTED_VALUE"""),"")</f>
        <v/>
      </c>
      <c r="W811" s="189" t="str">
        <f ca="1">IFERROR(__xludf.DUMMYFUNCTION("""COMPUTED_VALUE"""),"")</f>
        <v/>
      </c>
      <c r="X811" s="189" t="str">
        <f ca="1">IFERROR(__xludf.DUMMYFUNCTION("""COMPUTED_VALUE"""),"")</f>
        <v/>
      </c>
      <c r="Y811" s="189" t="str">
        <f ca="1">IFERROR(__xludf.DUMMYFUNCTION("""COMPUTED_VALUE"""),"")</f>
        <v/>
      </c>
      <c r="Z811" s="189"/>
    </row>
    <row r="812" spans="1:26" ht="12.75">
      <c r="A812" s="189" t="str">
        <f ca="1">IFERROR(__xludf.DUMMYFUNCTION("""COMPUTED_VALUE"""),"")</f>
        <v/>
      </c>
      <c r="B812" s="189" t="str">
        <f ca="1">IFERROR(__xludf.DUMMYFUNCTION("""COMPUTED_VALUE"""),"")</f>
        <v/>
      </c>
      <c r="C812" s="189" t="str">
        <f ca="1">IFERROR(__xludf.DUMMYFUNCTION("""COMPUTED_VALUE"""),"")</f>
        <v/>
      </c>
      <c r="D812" s="189" t="str">
        <f ca="1">IFERROR(__xludf.DUMMYFUNCTION("""COMPUTED_VALUE"""),"")</f>
        <v/>
      </c>
      <c r="E812" s="189" t="str">
        <f ca="1">IFERROR(__xludf.DUMMYFUNCTION("""COMPUTED_VALUE"""),"")</f>
        <v/>
      </c>
      <c r="F812" s="189" t="str">
        <f ca="1">IFERROR(__xludf.DUMMYFUNCTION("""COMPUTED_VALUE"""),"")</f>
        <v/>
      </c>
      <c r="G812" s="189" t="str">
        <f ca="1">IFERROR(__xludf.DUMMYFUNCTION("""COMPUTED_VALUE"""),"")</f>
        <v/>
      </c>
      <c r="H812" s="189" t="str">
        <f ca="1">IFERROR(__xludf.DUMMYFUNCTION("""COMPUTED_VALUE"""),"")</f>
        <v/>
      </c>
      <c r="I812" s="120" t="str">
        <f ca="1">IFERROR(__xludf.DUMMYFUNCTION("""COMPUTED_VALUE"""),"")</f>
        <v/>
      </c>
      <c r="J812" s="189" t="str">
        <f ca="1">IFERROR(__xludf.DUMMYFUNCTION("""COMPUTED_VALUE"""),"")</f>
        <v/>
      </c>
      <c r="K812" s="189" t="str">
        <f ca="1">IFERROR(__xludf.DUMMYFUNCTION("""COMPUTED_VALUE"""),"")</f>
        <v/>
      </c>
      <c r="L812" s="189" t="str">
        <f ca="1">IFERROR(__xludf.DUMMYFUNCTION("""COMPUTED_VALUE"""),"")</f>
        <v/>
      </c>
      <c r="M812" s="189" t="str">
        <f ca="1">IFERROR(__xludf.DUMMYFUNCTION("""COMPUTED_VALUE"""),"")</f>
        <v/>
      </c>
      <c r="N812" s="189" t="str">
        <f ca="1">IFERROR(__xludf.DUMMYFUNCTION("""COMPUTED_VALUE"""),"")</f>
        <v/>
      </c>
      <c r="O812" s="189" t="str">
        <f ca="1">IFERROR(__xludf.DUMMYFUNCTION("""COMPUTED_VALUE"""),"")</f>
        <v/>
      </c>
      <c r="P812" s="189" t="str">
        <f ca="1">IFERROR(__xludf.DUMMYFUNCTION("""COMPUTED_VALUE"""),"")</f>
        <v/>
      </c>
      <c r="Q812" s="189" t="str">
        <f ca="1">IFERROR(__xludf.DUMMYFUNCTION("""COMPUTED_VALUE"""),"")</f>
        <v/>
      </c>
      <c r="R812" s="189" t="str">
        <f ca="1">IFERROR(__xludf.DUMMYFUNCTION("""COMPUTED_VALUE"""),"")</f>
        <v/>
      </c>
      <c r="S812" s="189" t="str">
        <f ca="1">IFERROR(__xludf.DUMMYFUNCTION("""COMPUTED_VALUE"""),"")</f>
        <v/>
      </c>
      <c r="T812" s="189" t="str">
        <f ca="1">IFERROR(__xludf.DUMMYFUNCTION("""COMPUTED_VALUE"""),"")</f>
        <v/>
      </c>
      <c r="U812" s="189" t="str">
        <f ca="1">IFERROR(__xludf.DUMMYFUNCTION("""COMPUTED_VALUE"""),"")</f>
        <v/>
      </c>
      <c r="V812" s="189" t="str">
        <f ca="1">IFERROR(__xludf.DUMMYFUNCTION("""COMPUTED_VALUE"""),"")</f>
        <v/>
      </c>
      <c r="W812" s="189" t="str">
        <f ca="1">IFERROR(__xludf.DUMMYFUNCTION("""COMPUTED_VALUE"""),"")</f>
        <v/>
      </c>
      <c r="X812" s="189" t="str">
        <f ca="1">IFERROR(__xludf.DUMMYFUNCTION("""COMPUTED_VALUE"""),"")</f>
        <v/>
      </c>
      <c r="Y812" s="189" t="str">
        <f ca="1">IFERROR(__xludf.DUMMYFUNCTION("""COMPUTED_VALUE"""),"")</f>
        <v/>
      </c>
      <c r="Z812" s="189"/>
    </row>
    <row r="813" spans="1:26" ht="12.75">
      <c r="A813" s="189" t="str">
        <f ca="1">IFERROR(__xludf.DUMMYFUNCTION("""COMPUTED_VALUE"""),"")</f>
        <v/>
      </c>
      <c r="B813" s="189" t="str">
        <f ca="1">IFERROR(__xludf.DUMMYFUNCTION("""COMPUTED_VALUE"""),"")</f>
        <v/>
      </c>
      <c r="C813" s="189" t="str">
        <f ca="1">IFERROR(__xludf.DUMMYFUNCTION("""COMPUTED_VALUE"""),"")</f>
        <v/>
      </c>
      <c r="D813" s="189" t="str">
        <f ca="1">IFERROR(__xludf.DUMMYFUNCTION("""COMPUTED_VALUE"""),"")</f>
        <v/>
      </c>
      <c r="E813" s="189" t="str">
        <f ca="1">IFERROR(__xludf.DUMMYFUNCTION("""COMPUTED_VALUE"""),"")</f>
        <v/>
      </c>
      <c r="F813" s="189" t="str">
        <f ca="1">IFERROR(__xludf.DUMMYFUNCTION("""COMPUTED_VALUE"""),"")</f>
        <v/>
      </c>
      <c r="G813" s="189" t="str">
        <f ca="1">IFERROR(__xludf.DUMMYFUNCTION("""COMPUTED_VALUE"""),"")</f>
        <v/>
      </c>
      <c r="H813" s="189" t="str">
        <f ca="1">IFERROR(__xludf.DUMMYFUNCTION("""COMPUTED_VALUE"""),"")</f>
        <v/>
      </c>
      <c r="I813" s="120" t="str">
        <f ca="1">IFERROR(__xludf.DUMMYFUNCTION("""COMPUTED_VALUE"""),"")</f>
        <v/>
      </c>
      <c r="J813" s="189" t="str">
        <f ca="1">IFERROR(__xludf.DUMMYFUNCTION("""COMPUTED_VALUE"""),"")</f>
        <v/>
      </c>
      <c r="K813" s="189" t="str">
        <f ca="1">IFERROR(__xludf.DUMMYFUNCTION("""COMPUTED_VALUE"""),"")</f>
        <v/>
      </c>
      <c r="L813" s="189" t="str">
        <f ca="1">IFERROR(__xludf.DUMMYFUNCTION("""COMPUTED_VALUE"""),"")</f>
        <v/>
      </c>
      <c r="M813" s="189" t="str">
        <f ca="1">IFERROR(__xludf.DUMMYFUNCTION("""COMPUTED_VALUE"""),"")</f>
        <v/>
      </c>
      <c r="N813" s="189" t="str">
        <f ca="1">IFERROR(__xludf.DUMMYFUNCTION("""COMPUTED_VALUE"""),"")</f>
        <v/>
      </c>
      <c r="O813" s="189" t="str">
        <f ca="1">IFERROR(__xludf.DUMMYFUNCTION("""COMPUTED_VALUE"""),"")</f>
        <v/>
      </c>
      <c r="P813" s="189" t="str">
        <f ca="1">IFERROR(__xludf.DUMMYFUNCTION("""COMPUTED_VALUE"""),"")</f>
        <v/>
      </c>
      <c r="Q813" s="189" t="str">
        <f ca="1">IFERROR(__xludf.DUMMYFUNCTION("""COMPUTED_VALUE"""),"")</f>
        <v/>
      </c>
      <c r="R813" s="189" t="str">
        <f ca="1">IFERROR(__xludf.DUMMYFUNCTION("""COMPUTED_VALUE"""),"")</f>
        <v/>
      </c>
      <c r="S813" s="189" t="str">
        <f ca="1">IFERROR(__xludf.DUMMYFUNCTION("""COMPUTED_VALUE"""),"")</f>
        <v/>
      </c>
      <c r="T813" s="189" t="str">
        <f ca="1">IFERROR(__xludf.DUMMYFUNCTION("""COMPUTED_VALUE"""),"")</f>
        <v/>
      </c>
      <c r="U813" s="189" t="str">
        <f ca="1">IFERROR(__xludf.DUMMYFUNCTION("""COMPUTED_VALUE"""),"")</f>
        <v/>
      </c>
      <c r="V813" s="189" t="str">
        <f ca="1">IFERROR(__xludf.DUMMYFUNCTION("""COMPUTED_VALUE"""),"")</f>
        <v/>
      </c>
      <c r="W813" s="189" t="str">
        <f ca="1">IFERROR(__xludf.DUMMYFUNCTION("""COMPUTED_VALUE"""),"")</f>
        <v/>
      </c>
      <c r="X813" s="189" t="str">
        <f ca="1">IFERROR(__xludf.DUMMYFUNCTION("""COMPUTED_VALUE"""),"")</f>
        <v/>
      </c>
      <c r="Y813" s="189" t="str">
        <f ca="1">IFERROR(__xludf.DUMMYFUNCTION("""COMPUTED_VALUE"""),"")</f>
        <v/>
      </c>
      <c r="Z813" s="189"/>
    </row>
    <row r="814" spans="1:26" ht="12.75">
      <c r="A814" s="189" t="str">
        <f ca="1">IFERROR(__xludf.DUMMYFUNCTION("""COMPUTED_VALUE"""),"")</f>
        <v/>
      </c>
      <c r="B814" s="189" t="str">
        <f ca="1">IFERROR(__xludf.DUMMYFUNCTION("""COMPUTED_VALUE"""),"")</f>
        <v/>
      </c>
      <c r="C814" s="189" t="str">
        <f ca="1">IFERROR(__xludf.DUMMYFUNCTION("""COMPUTED_VALUE"""),"")</f>
        <v/>
      </c>
      <c r="D814" s="189" t="str">
        <f ca="1">IFERROR(__xludf.DUMMYFUNCTION("""COMPUTED_VALUE"""),"")</f>
        <v/>
      </c>
      <c r="E814" s="189" t="str">
        <f ca="1">IFERROR(__xludf.DUMMYFUNCTION("""COMPUTED_VALUE"""),"")</f>
        <v/>
      </c>
      <c r="F814" s="189" t="str">
        <f ca="1">IFERROR(__xludf.DUMMYFUNCTION("""COMPUTED_VALUE"""),"")</f>
        <v/>
      </c>
      <c r="G814" s="189" t="str">
        <f ca="1">IFERROR(__xludf.DUMMYFUNCTION("""COMPUTED_VALUE"""),"")</f>
        <v/>
      </c>
      <c r="H814" s="189" t="str">
        <f ca="1">IFERROR(__xludf.DUMMYFUNCTION("""COMPUTED_VALUE"""),"")</f>
        <v/>
      </c>
      <c r="I814" s="120" t="str">
        <f ca="1">IFERROR(__xludf.DUMMYFUNCTION("""COMPUTED_VALUE"""),"")</f>
        <v/>
      </c>
      <c r="J814" s="189" t="str">
        <f ca="1">IFERROR(__xludf.DUMMYFUNCTION("""COMPUTED_VALUE"""),"")</f>
        <v/>
      </c>
      <c r="K814" s="189" t="str">
        <f ca="1">IFERROR(__xludf.DUMMYFUNCTION("""COMPUTED_VALUE"""),"")</f>
        <v/>
      </c>
      <c r="L814" s="189" t="str">
        <f ca="1">IFERROR(__xludf.DUMMYFUNCTION("""COMPUTED_VALUE"""),"")</f>
        <v/>
      </c>
      <c r="M814" s="189" t="str">
        <f ca="1">IFERROR(__xludf.DUMMYFUNCTION("""COMPUTED_VALUE"""),"")</f>
        <v/>
      </c>
      <c r="N814" s="189" t="str">
        <f ca="1">IFERROR(__xludf.DUMMYFUNCTION("""COMPUTED_VALUE"""),"")</f>
        <v/>
      </c>
      <c r="O814" s="189" t="str">
        <f ca="1">IFERROR(__xludf.DUMMYFUNCTION("""COMPUTED_VALUE"""),"")</f>
        <v/>
      </c>
      <c r="P814" s="189" t="str">
        <f ca="1">IFERROR(__xludf.DUMMYFUNCTION("""COMPUTED_VALUE"""),"")</f>
        <v/>
      </c>
      <c r="Q814" s="189" t="str">
        <f ca="1">IFERROR(__xludf.DUMMYFUNCTION("""COMPUTED_VALUE"""),"")</f>
        <v/>
      </c>
      <c r="R814" s="189" t="str">
        <f ca="1">IFERROR(__xludf.DUMMYFUNCTION("""COMPUTED_VALUE"""),"")</f>
        <v/>
      </c>
      <c r="S814" s="189" t="str">
        <f ca="1">IFERROR(__xludf.DUMMYFUNCTION("""COMPUTED_VALUE"""),"")</f>
        <v/>
      </c>
      <c r="T814" s="189" t="str">
        <f ca="1">IFERROR(__xludf.DUMMYFUNCTION("""COMPUTED_VALUE"""),"")</f>
        <v/>
      </c>
      <c r="U814" s="189" t="str">
        <f ca="1">IFERROR(__xludf.DUMMYFUNCTION("""COMPUTED_VALUE"""),"")</f>
        <v/>
      </c>
      <c r="V814" s="189" t="str">
        <f ca="1">IFERROR(__xludf.DUMMYFUNCTION("""COMPUTED_VALUE"""),"")</f>
        <v/>
      </c>
      <c r="W814" s="189" t="str">
        <f ca="1">IFERROR(__xludf.DUMMYFUNCTION("""COMPUTED_VALUE"""),"")</f>
        <v/>
      </c>
      <c r="X814" s="189" t="str">
        <f ca="1">IFERROR(__xludf.DUMMYFUNCTION("""COMPUTED_VALUE"""),"")</f>
        <v/>
      </c>
      <c r="Y814" s="189" t="str">
        <f ca="1">IFERROR(__xludf.DUMMYFUNCTION("""COMPUTED_VALUE"""),"")</f>
        <v/>
      </c>
      <c r="Z814" s="189"/>
    </row>
    <row r="815" spans="1:26" ht="12.75">
      <c r="A815" s="189" t="str">
        <f ca="1">IFERROR(__xludf.DUMMYFUNCTION("""COMPUTED_VALUE"""),"")</f>
        <v/>
      </c>
      <c r="B815" s="189" t="str">
        <f ca="1">IFERROR(__xludf.DUMMYFUNCTION("""COMPUTED_VALUE"""),"")</f>
        <v/>
      </c>
      <c r="C815" s="189" t="str">
        <f ca="1">IFERROR(__xludf.DUMMYFUNCTION("""COMPUTED_VALUE"""),"")</f>
        <v/>
      </c>
      <c r="D815" s="189" t="str">
        <f ca="1">IFERROR(__xludf.DUMMYFUNCTION("""COMPUTED_VALUE"""),"")</f>
        <v/>
      </c>
      <c r="E815" s="189" t="str">
        <f ca="1">IFERROR(__xludf.DUMMYFUNCTION("""COMPUTED_VALUE"""),"")</f>
        <v/>
      </c>
      <c r="F815" s="189" t="str">
        <f ca="1">IFERROR(__xludf.DUMMYFUNCTION("""COMPUTED_VALUE"""),"")</f>
        <v/>
      </c>
      <c r="G815" s="189" t="str">
        <f ca="1">IFERROR(__xludf.DUMMYFUNCTION("""COMPUTED_VALUE"""),"")</f>
        <v/>
      </c>
      <c r="H815" s="189" t="str">
        <f ca="1">IFERROR(__xludf.DUMMYFUNCTION("""COMPUTED_VALUE"""),"")</f>
        <v/>
      </c>
      <c r="I815" s="120" t="str">
        <f ca="1">IFERROR(__xludf.DUMMYFUNCTION("""COMPUTED_VALUE"""),"")</f>
        <v/>
      </c>
      <c r="J815" s="189" t="str">
        <f ca="1">IFERROR(__xludf.DUMMYFUNCTION("""COMPUTED_VALUE"""),"")</f>
        <v/>
      </c>
      <c r="K815" s="189" t="str">
        <f ca="1">IFERROR(__xludf.DUMMYFUNCTION("""COMPUTED_VALUE"""),"")</f>
        <v/>
      </c>
      <c r="L815" s="189" t="str">
        <f ca="1">IFERROR(__xludf.DUMMYFUNCTION("""COMPUTED_VALUE"""),"")</f>
        <v/>
      </c>
      <c r="M815" s="189" t="str">
        <f ca="1">IFERROR(__xludf.DUMMYFUNCTION("""COMPUTED_VALUE"""),"")</f>
        <v/>
      </c>
      <c r="N815" s="189" t="str">
        <f ca="1">IFERROR(__xludf.DUMMYFUNCTION("""COMPUTED_VALUE"""),"")</f>
        <v/>
      </c>
      <c r="O815" s="189" t="str">
        <f ca="1">IFERROR(__xludf.DUMMYFUNCTION("""COMPUTED_VALUE"""),"")</f>
        <v/>
      </c>
      <c r="P815" s="189" t="str">
        <f ca="1">IFERROR(__xludf.DUMMYFUNCTION("""COMPUTED_VALUE"""),"")</f>
        <v/>
      </c>
      <c r="Q815" s="189" t="str">
        <f ca="1">IFERROR(__xludf.DUMMYFUNCTION("""COMPUTED_VALUE"""),"")</f>
        <v/>
      </c>
      <c r="R815" s="189" t="str">
        <f ca="1">IFERROR(__xludf.DUMMYFUNCTION("""COMPUTED_VALUE"""),"")</f>
        <v/>
      </c>
      <c r="S815" s="189" t="str">
        <f ca="1">IFERROR(__xludf.DUMMYFUNCTION("""COMPUTED_VALUE"""),"")</f>
        <v/>
      </c>
      <c r="T815" s="189" t="str">
        <f ca="1">IFERROR(__xludf.DUMMYFUNCTION("""COMPUTED_VALUE"""),"")</f>
        <v/>
      </c>
      <c r="U815" s="189" t="str">
        <f ca="1">IFERROR(__xludf.DUMMYFUNCTION("""COMPUTED_VALUE"""),"")</f>
        <v/>
      </c>
      <c r="V815" s="189" t="str">
        <f ca="1">IFERROR(__xludf.DUMMYFUNCTION("""COMPUTED_VALUE"""),"")</f>
        <v/>
      </c>
      <c r="W815" s="189" t="str">
        <f ca="1">IFERROR(__xludf.DUMMYFUNCTION("""COMPUTED_VALUE"""),"")</f>
        <v/>
      </c>
      <c r="X815" s="189" t="str">
        <f ca="1">IFERROR(__xludf.DUMMYFUNCTION("""COMPUTED_VALUE"""),"")</f>
        <v/>
      </c>
      <c r="Y815" s="189" t="str">
        <f ca="1">IFERROR(__xludf.DUMMYFUNCTION("""COMPUTED_VALUE"""),"")</f>
        <v/>
      </c>
      <c r="Z815" s="189"/>
    </row>
    <row r="816" spans="1:26" ht="12.75">
      <c r="A816" s="189" t="str">
        <f ca="1">IFERROR(__xludf.DUMMYFUNCTION("""COMPUTED_VALUE"""),"")</f>
        <v/>
      </c>
      <c r="B816" s="189" t="str">
        <f ca="1">IFERROR(__xludf.DUMMYFUNCTION("""COMPUTED_VALUE"""),"")</f>
        <v/>
      </c>
      <c r="C816" s="189" t="str">
        <f ca="1">IFERROR(__xludf.DUMMYFUNCTION("""COMPUTED_VALUE"""),"")</f>
        <v/>
      </c>
      <c r="D816" s="189" t="str">
        <f ca="1">IFERROR(__xludf.DUMMYFUNCTION("""COMPUTED_VALUE"""),"")</f>
        <v/>
      </c>
      <c r="E816" s="189" t="str">
        <f ca="1">IFERROR(__xludf.DUMMYFUNCTION("""COMPUTED_VALUE"""),"")</f>
        <v/>
      </c>
      <c r="F816" s="189" t="str">
        <f ca="1">IFERROR(__xludf.DUMMYFUNCTION("""COMPUTED_VALUE"""),"")</f>
        <v/>
      </c>
      <c r="G816" s="189" t="str">
        <f ca="1">IFERROR(__xludf.DUMMYFUNCTION("""COMPUTED_VALUE"""),"")</f>
        <v/>
      </c>
      <c r="H816" s="189" t="str">
        <f ca="1">IFERROR(__xludf.DUMMYFUNCTION("""COMPUTED_VALUE"""),"")</f>
        <v/>
      </c>
      <c r="I816" s="120" t="str">
        <f ca="1">IFERROR(__xludf.DUMMYFUNCTION("""COMPUTED_VALUE"""),"")</f>
        <v/>
      </c>
      <c r="J816" s="189" t="str">
        <f ca="1">IFERROR(__xludf.DUMMYFUNCTION("""COMPUTED_VALUE"""),"")</f>
        <v/>
      </c>
      <c r="K816" s="189" t="str">
        <f ca="1">IFERROR(__xludf.DUMMYFUNCTION("""COMPUTED_VALUE"""),"")</f>
        <v/>
      </c>
      <c r="L816" s="189" t="str">
        <f ca="1">IFERROR(__xludf.DUMMYFUNCTION("""COMPUTED_VALUE"""),"")</f>
        <v/>
      </c>
      <c r="M816" s="189" t="str">
        <f ca="1">IFERROR(__xludf.DUMMYFUNCTION("""COMPUTED_VALUE"""),"")</f>
        <v/>
      </c>
      <c r="N816" s="189" t="str">
        <f ca="1">IFERROR(__xludf.DUMMYFUNCTION("""COMPUTED_VALUE"""),"")</f>
        <v/>
      </c>
      <c r="O816" s="189" t="str">
        <f ca="1">IFERROR(__xludf.DUMMYFUNCTION("""COMPUTED_VALUE"""),"")</f>
        <v/>
      </c>
      <c r="P816" s="189" t="str">
        <f ca="1">IFERROR(__xludf.DUMMYFUNCTION("""COMPUTED_VALUE"""),"")</f>
        <v/>
      </c>
      <c r="Q816" s="189" t="str">
        <f ca="1">IFERROR(__xludf.DUMMYFUNCTION("""COMPUTED_VALUE"""),"")</f>
        <v/>
      </c>
      <c r="R816" s="189" t="str">
        <f ca="1">IFERROR(__xludf.DUMMYFUNCTION("""COMPUTED_VALUE"""),"")</f>
        <v/>
      </c>
      <c r="S816" s="189" t="str">
        <f ca="1">IFERROR(__xludf.DUMMYFUNCTION("""COMPUTED_VALUE"""),"")</f>
        <v/>
      </c>
      <c r="T816" s="189" t="str">
        <f ca="1">IFERROR(__xludf.DUMMYFUNCTION("""COMPUTED_VALUE"""),"")</f>
        <v/>
      </c>
      <c r="U816" s="189" t="str">
        <f ca="1">IFERROR(__xludf.DUMMYFUNCTION("""COMPUTED_VALUE"""),"")</f>
        <v/>
      </c>
      <c r="V816" s="189" t="str">
        <f ca="1">IFERROR(__xludf.DUMMYFUNCTION("""COMPUTED_VALUE"""),"")</f>
        <v/>
      </c>
      <c r="W816" s="189" t="str">
        <f ca="1">IFERROR(__xludf.DUMMYFUNCTION("""COMPUTED_VALUE"""),"")</f>
        <v/>
      </c>
      <c r="X816" s="189" t="str">
        <f ca="1">IFERROR(__xludf.DUMMYFUNCTION("""COMPUTED_VALUE"""),"")</f>
        <v/>
      </c>
      <c r="Y816" s="189" t="str">
        <f ca="1">IFERROR(__xludf.DUMMYFUNCTION("""COMPUTED_VALUE"""),"")</f>
        <v/>
      </c>
      <c r="Z816" s="189"/>
    </row>
    <row r="817" spans="1:26" ht="12.75">
      <c r="A817" s="189" t="str">
        <f ca="1">IFERROR(__xludf.DUMMYFUNCTION("""COMPUTED_VALUE"""),"")</f>
        <v/>
      </c>
      <c r="B817" s="189" t="str">
        <f ca="1">IFERROR(__xludf.DUMMYFUNCTION("""COMPUTED_VALUE"""),"")</f>
        <v/>
      </c>
      <c r="C817" s="189" t="str">
        <f ca="1">IFERROR(__xludf.DUMMYFUNCTION("""COMPUTED_VALUE"""),"")</f>
        <v/>
      </c>
      <c r="D817" s="189" t="str">
        <f ca="1">IFERROR(__xludf.DUMMYFUNCTION("""COMPUTED_VALUE"""),"")</f>
        <v/>
      </c>
      <c r="E817" s="189" t="str">
        <f ca="1">IFERROR(__xludf.DUMMYFUNCTION("""COMPUTED_VALUE"""),"")</f>
        <v/>
      </c>
      <c r="F817" s="189" t="str">
        <f ca="1">IFERROR(__xludf.DUMMYFUNCTION("""COMPUTED_VALUE"""),"")</f>
        <v/>
      </c>
      <c r="G817" s="189" t="str">
        <f ca="1">IFERROR(__xludf.DUMMYFUNCTION("""COMPUTED_VALUE"""),"")</f>
        <v/>
      </c>
      <c r="H817" s="189" t="str">
        <f ca="1">IFERROR(__xludf.DUMMYFUNCTION("""COMPUTED_VALUE"""),"")</f>
        <v/>
      </c>
      <c r="I817" s="120" t="str">
        <f ca="1">IFERROR(__xludf.DUMMYFUNCTION("""COMPUTED_VALUE"""),"")</f>
        <v/>
      </c>
      <c r="J817" s="189" t="str">
        <f ca="1">IFERROR(__xludf.DUMMYFUNCTION("""COMPUTED_VALUE"""),"")</f>
        <v/>
      </c>
      <c r="K817" s="189" t="str">
        <f ca="1">IFERROR(__xludf.DUMMYFUNCTION("""COMPUTED_VALUE"""),"")</f>
        <v/>
      </c>
      <c r="L817" s="189" t="str">
        <f ca="1">IFERROR(__xludf.DUMMYFUNCTION("""COMPUTED_VALUE"""),"")</f>
        <v/>
      </c>
      <c r="M817" s="189" t="str">
        <f ca="1">IFERROR(__xludf.DUMMYFUNCTION("""COMPUTED_VALUE"""),"")</f>
        <v/>
      </c>
      <c r="N817" s="189" t="str">
        <f ca="1">IFERROR(__xludf.DUMMYFUNCTION("""COMPUTED_VALUE"""),"")</f>
        <v/>
      </c>
      <c r="O817" s="189" t="str">
        <f ca="1">IFERROR(__xludf.DUMMYFUNCTION("""COMPUTED_VALUE"""),"")</f>
        <v/>
      </c>
      <c r="P817" s="189" t="str">
        <f ca="1">IFERROR(__xludf.DUMMYFUNCTION("""COMPUTED_VALUE"""),"")</f>
        <v/>
      </c>
      <c r="Q817" s="189" t="str">
        <f ca="1">IFERROR(__xludf.DUMMYFUNCTION("""COMPUTED_VALUE"""),"")</f>
        <v/>
      </c>
      <c r="R817" s="189" t="str">
        <f ca="1">IFERROR(__xludf.DUMMYFUNCTION("""COMPUTED_VALUE"""),"")</f>
        <v/>
      </c>
      <c r="S817" s="189" t="str">
        <f ca="1">IFERROR(__xludf.DUMMYFUNCTION("""COMPUTED_VALUE"""),"")</f>
        <v/>
      </c>
      <c r="T817" s="189" t="str">
        <f ca="1">IFERROR(__xludf.DUMMYFUNCTION("""COMPUTED_VALUE"""),"")</f>
        <v/>
      </c>
      <c r="U817" s="189" t="str">
        <f ca="1">IFERROR(__xludf.DUMMYFUNCTION("""COMPUTED_VALUE"""),"")</f>
        <v/>
      </c>
      <c r="V817" s="189" t="str">
        <f ca="1">IFERROR(__xludf.DUMMYFUNCTION("""COMPUTED_VALUE"""),"")</f>
        <v/>
      </c>
      <c r="W817" s="189" t="str">
        <f ca="1">IFERROR(__xludf.DUMMYFUNCTION("""COMPUTED_VALUE"""),"")</f>
        <v/>
      </c>
      <c r="X817" s="189" t="str">
        <f ca="1">IFERROR(__xludf.DUMMYFUNCTION("""COMPUTED_VALUE"""),"")</f>
        <v/>
      </c>
      <c r="Y817" s="189" t="str">
        <f ca="1">IFERROR(__xludf.DUMMYFUNCTION("""COMPUTED_VALUE"""),"")</f>
        <v/>
      </c>
      <c r="Z817" s="189"/>
    </row>
    <row r="818" spans="1:26" ht="12.75">
      <c r="A818" s="189" t="str">
        <f ca="1">IFERROR(__xludf.DUMMYFUNCTION("""COMPUTED_VALUE"""),"")</f>
        <v/>
      </c>
      <c r="B818" s="189" t="str">
        <f ca="1">IFERROR(__xludf.DUMMYFUNCTION("""COMPUTED_VALUE"""),"")</f>
        <v/>
      </c>
      <c r="C818" s="189" t="str">
        <f ca="1">IFERROR(__xludf.DUMMYFUNCTION("""COMPUTED_VALUE"""),"")</f>
        <v/>
      </c>
      <c r="D818" s="189" t="str">
        <f ca="1">IFERROR(__xludf.DUMMYFUNCTION("""COMPUTED_VALUE"""),"")</f>
        <v/>
      </c>
      <c r="E818" s="189" t="str">
        <f ca="1">IFERROR(__xludf.DUMMYFUNCTION("""COMPUTED_VALUE"""),"")</f>
        <v/>
      </c>
      <c r="F818" s="189" t="str">
        <f ca="1">IFERROR(__xludf.DUMMYFUNCTION("""COMPUTED_VALUE"""),"")</f>
        <v/>
      </c>
      <c r="G818" s="189" t="str">
        <f ca="1">IFERROR(__xludf.DUMMYFUNCTION("""COMPUTED_VALUE"""),"")</f>
        <v/>
      </c>
      <c r="H818" s="189" t="str">
        <f ca="1">IFERROR(__xludf.DUMMYFUNCTION("""COMPUTED_VALUE"""),"")</f>
        <v/>
      </c>
      <c r="I818" s="120" t="str">
        <f ca="1">IFERROR(__xludf.DUMMYFUNCTION("""COMPUTED_VALUE"""),"")</f>
        <v/>
      </c>
      <c r="J818" s="189" t="str">
        <f ca="1">IFERROR(__xludf.DUMMYFUNCTION("""COMPUTED_VALUE"""),"")</f>
        <v/>
      </c>
      <c r="K818" s="189" t="str">
        <f ca="1">IFERROR(__xludf.DUMMYFUNCTION("""COMPUTED_VALUE"""),"")</f>
        <v/>
      </c>
      <c r="L818" s="189" t="str">
        <f ca="1">IFERROR(__xludf.DUMMYFUNCTION("""COMPUTED_VALUE"""),"")</f>
        <v/>
      </c>
      <c r="M818" s="189" t="str">
        <f ca="1">IFERROR(__xludf.DUMMYFUNCTION("""COMPUTED_VALUE"""),"")</f>
        <v/>
      </c>
      <c r="N818" s="189" t="str">
        <f ca="1">IFERROR(__xludf.DUMMYFUNCTION("""COMPUTED_VALUE"""),"")</f>
        <v/>
      </c>
      <c r="O818" s="189" t="str">
        <f ca="1">IFERROR(__xludf.DUMMYFUNCTION("""COMPUTED_VALUE"""),"")</f>
        <v/>
      </c>
      <c r="P818" s="189" t="str">
        <f ca="1">IFERROR(__xludf.DUMMYFUNCTION("""COMPUTED_VALUE"""),"")</f>
        <v/>
      </c>
      <c r="Q818" s="189" t="str">
        <f ca="1">IFERROR(__xludf.DUMMYFUNCTION("""COMPUTED_VALUE"""),"")</f>
        <v/>
      </c>
      <c r="R818" s="189" t="str">
        <f ca="1">IFERROR(__xludf.DUMMYFUNCTION("""COMPUTED_VALUE"""),"")</f>
        <v/>
      </c>
      <c r="S818" s="189" t="str">
        <f ca="1">IFERROR(__xludf.DUMMYFUNCTION("""COMPUTED_VALUE"""),"")</f>
        <v/>
      </c>
      <c r="T818" s="189" t="str">
        <f ca="1">IFERROR(__xludf.DUMMYFUNCTION("""COMPUTED_VALUE"""),"")</f>
        <v/>
      </c>
      <c r="U818" s="189" t="str">
        <f ca="1">IFERROR(__xludf.DUMMYFUNCTION("""COMPUTED_VALUE"""),"")</f>
        <v/>
      </c>
      <c r="V818" s="189" t="str">
        <f ca="1">IFERROR(__xludf.DUMMYFUNCTION("""COMPUTED_VALUE"""),"")</f>
        <v/>
      </c>
      <c r="W818" s="189" t="str">
        <f ca="1">IFERROR(__xludf.DUMMYFUNCTION("""COMPUTED_VALUE"""),"")</f>
        <v/>
      </c>
      <c r="X818" s="189" t="str">
        <f ca="1">IFERROR(__xludf.DUMMYFUNCTION("""COMPUTED_VALUE"""),"")</f>
        <v/>
      </c>
      <c r="Y818" s="189" t="str">
        <f ca="1">IFERROR(__xludf.DUMMYFUNCTION("""COMPUTED_VALUE"""),"")</f>
        <v/>
      </c>
      <c r="Z818" s="189"/>
    </row>
    <row r="819" spans="1:26" ht="12.75">
      <c r="A819" s="189" t="str">
        <f ca="1">IFERROR(__xludf.DUMMYFUNCTION("""COMPUTED_VALUE"""),"")</f>
        <v/>
      </c>
      <c r="B819" s="189" t="str">
        <f ca="1">IFERROR(__xludf.DUMMYFUNCTION("""COMPUTED_VALUE"""),"")</f>
        <v/>
      </c>
      <c r="C819" s="189" t="str">
        <f ca="1">IFERROR(__xludf.DUMMYFUNCTION("""COMPUTED_VALUE"""),"")</f>
        <v/>
      </c>
      <c r="D819" s="189" t="str">
        <f ca="1">IFERROR(__xludf.DUMMYFUNCTION("""COMPUTED_VALUE"""),"")</f>
        <v/>
      </c>
      <c r="E819" s="189" t="str">
        <f ca="1">IFERROR(__xludf.DUMMYFUNCTION("""COMPUTED_VALUE"""),"")</f>
        <v/>
      </c>
      <c r="F819" s="189" t="str">
        <f ca="1">IFERROR(__xludf.DUMMYFUNCTION("""COMPUTED_VALUE"""),"")</f>
        <v/>
      </c>
      <c r="G819" s="189" t="str">
        <f ca="1">IFERROR(__xludf.DUMMYFUNCTION("""COMPUTED_VALUE"""),"")</f>
        <v/>
      </c>
      <c r="H819" s="189" t="str">
        <f ca="1">IFERROR(__xludf.DUMMYFUNCTION("""COMPUTED_VALUE"""),"")</f>
        <v/>
      </c>
      <c r="I819" s="120" t="str">
        <f ca="1">IFERROR(__xludf.DUMMYFUNCTION("""COMPUTED_VALUE"""),"")</f>
        <v/>
      </c>
      <c r="J819" s="189" t="str">
        <f ca="1">IFERROR(__xludf.DUMMYFUNCTION("""COMPUTED_VALUE"""),"")</f>
        <v/>
      </c>
      <c r="K819" s="189" t="str">
        <f ca="1">IFERROR(__xludf.DUMMYFUNCTION("""COMPUTED_VALUE"""),"")</f>
        <v/>
      </c>
      <c r="L819" s="189" t="str">
        <f ca="1">IFERROR(__xludf.DUMMYFUNCTION("""COMPUTED_VALUE"""),"")</f>
        <v/>
      </c>
      <c r="M819" s="189" t="str">
        <f ca="1">IFERROR(__xludf.DUMMYFUNCTION("""COMPUTED_VALUE"""),"")</f>
        <v/>
      </c>
      <c r="N819" s="189" t="str">
        <f ca="1">IFERROR(__xludf.DUMMYFUNCTION("""COMPUTED_VALUE"""),"")</f>
        <v/>
      </c>
      <c r="O819" s="189" t="str">
        <f ca="1">IFERROR(__xludf.DUMMYFUNCTION("""COMPUTED_VALUE"""),"")</f>
        <v/>
      </c>
      <c r="P819" s="189" t="str">
        <f ca="1">IFERROR(__xludf.DUMMYFUNCTION("""COMPUTED_VALUE"""),"")</f>
        <v/>
      </c>
      <c r="Q819" s="189" t="str">
        <f ca="1">IFERROR(__xludf.DUMMYFUNCTION("""COMPUTED_VALUE"""),"")</f>
        <v/>
      </c>
      <c r="R819" s="189" t="str">
        <f ca="1">IFERROR(__xludf.DUMMYFUNCTION("""COMPUTED_VALUE"""),"")</f>
        <v/>
      </c>
      <c r="S819" s="189" t="str">
        <f ca="1">IFERROR(__xludf.DUMMYFUNCTION("""COMPUTED_VALUE"""),"")</f>
        <v/>
      </c>
      <c r="T819" s="189" t="str">
        <f ca="1">IFERROR(__xludf.DUMMYFUNCTION("""COMPUTED_VALUE"""),"")</f>
        <v/>
      </c>
      <c r="U819" s="189" t="str">
        <f ca="1">IFERROR(__xludf.DUMMYFUNCTION("""COMPUTED_VALUE"""),"")</f>
        <v/>
      </c>
      <c r="V819" s="189" t="str">
        <f ca="1">IFERROR(__xludf.DUMMYFUNCTION("""COMPUTED_VALUE"""),"")</f>
        <v/>
      </c>
      <c r="W819" s="189" t="str">
        <f ca="1">IFERROR(__xludf.DUMMYFUNCTION("""COMPUTED_VALUE"""),"")</f>
        <v/>
      </c>
      <c r="X819" s="189" t="str">
        <f ca="1">IFERROR(__xludf.DUMMYFUNCTION("""COMPUTED_VALUE"""),"")</f>
        <v/>
      </c>
      <c r="Y819" s="189" t="str">
        <f ca="1">IFERROR(__xludf.DUMMYFUNCTION("""COMPUTED_VALUE"""),"")</f>
        <v/>
      </c>
      <c r="Z819" s="189"/>
    </row>
    <row r="820" spans="1:26" ht="12.75">
      <c r="A820" s="189" t="str">
        <f ca="1">IFERROR(__xludf.DUMMYFUNCTION("""COMPUTED_VALUE"""),"")</f>
        <v/>
      </c>
      <c r="B820" s="189" t="str">
        <f ca="1">IFERROR(__xludf.DUMMYFUNCTION("""COMPUTED_VALUE"""),"")</f>
        <v/>
      </c>
      <c r="C820" s="189" t="str">
        <f ca="1">IFERROR(__xludf.DUMMYFUNCTION("""COMPUTED_VALUE"""),"")</f>
        <v/>
      </c>
      <c r="D820" s="189" t="str">
        <f ca="1">IFERROR(__xludf.DUMMYFUNCTION("""COMPUTED_VALUE"""),"")</f>
        <v/>
      </c>
      <c r="E820" s="189" t="str">
        <f ca="1">IFERROR(__xludf.DUMMYFUNCTION("""COMPUTED_VALUE"""),"")</f>
        <v/>
      </c>
      <c r="F820" s="189" t="str">
        <f ca="1">IFERROR(__xludf.DUMMYFUNCTION("""COMPUTED_VALUE"""),"")</f>
        <v/>
      </c>
      <c r="G820" s="189" t="str">
        <f ca="1">IFERROR(__xludf.DUMMYFUNCTION("""COMPUTED_VALUE"""),"")</f>
        <v/>
      </c>
      <c r="H820" s="189" t="str">
        <f ca="1">IFERROR(__xludf.DUMMYFUNCTION("""COMPUTED_VALUE"""),"")</f>
        <v/>
      </c>
      <c r="I820" s="120" t="str">
        <f ca="1">IFERROR(__xludf.DUMMYFUNCTION("""COMPUTED_VALUE"""),"")</f>
        <v/>
      </c>
      <c r="J820" s="189" t="str">
        <f ca="1">IFERROR(__xludf.DUMMYFUNCTION("""COMPUTED_VALUE"""),"")</f>
        <v/>
      </c>
      <c r="K820" s="189" t="str">
        <f ca="1">IFERROR(__xludf.DUMMYFUNCTION("""COMPUTED_VALUE"""),"")</f>
        <v/>
      </c>
      <c r="L820" s="189" t="str">
        <f ca="1">IFERROR(__xludf.DUMMYFUNCTION("""COMPUTED_VALUE"""),"")</f>
        <v/>
      </c>
      <c r="M820" s="189" t="str">
        <f ca="1">IFERROR(__xludf.DUMMYFUNCTION("""COMPUTED_VALUE"""),"")</f>
        <v/>
      </c>
      <c r="N820" s="189" t="str">
        <f ca="1">IFERROR(__xludf.DUMMYFUNCTION("""COMPUTED_VALUE"""),"")</f>
        <v/>
      </c>
      <c r="O820" s="189" t="str">
        <f ca="1">IFERROR(__xludf.DUMMYFUNCTION("""COMPUTED_VALUE"""),"")</f>
        <v/>
      </c>
      <c r="P820" s="189" t="str">
        <f ca="1">IFERROR(__xludf.DUMMYFUNCTION("""COMPUTED_VALUE"""),"")</f>
        <v/>
      </c>
      <c r="Q820" s="189" t="str">
        <f ca="1">IFERROR(__xludf.DUMMYFUNCTION("""COMPUTED_VALUE"""),"")</f>
        <v/>
      </c>
      <c r="R820" s="189" t="str">
        <f ca="1">IFERROR(__xludf.DUMMYFUNCTION("""COMPUTED_VALUE"""),"")</f>
        <v/>
      </c>
      <c r="S820" s="189" t="str">
        <f ca="1">IFERROR(__xludf.DUMMYFUNCTION("""COMPUTED_VALUE"""),"")</f>
        <v/>
      </c>
      <c r="T820" s="189" t="str">
        <f ca="1">IFERROR(__xludf.DUMMYFUNCTION("""COMPUTED_VALUE"""),"")</f>
        <v/>
      </c>
      <c r="U820" s="189" t="str">
        <f ca="1">IFERROR(__xludf.DUMMYFUNCTION("""COMPUTED_VALUE"""),"")</f>
        <v/>
      </c>
      <c r="V820" s="189" t="str">
        <f ca="1">IFERROR(__xludf.DUMMYFUNCTION("""COMPUTED_VALUE"""),"")</f>
        <v/>
      </c>
      <c r="W820" s="189" t="str">
        <f ca="1">IFERROR(__xludf.DUMMYFUNCTION("""COMPUTED_VALUE"""),"")</f>
        <v/>
      </c>
      <c r="X820" s="189" t="str">
        <f ca="1">IFERROR(__xludf.DUMMYFUNCTION("""COMPUTED_VALUE"""),"")</f>
        <v/>
      </c>
      <c r="Y820" s="189" t="str">
        <f ca="1">IFERROR(__xludf.DUMMYFUNCTION("""COMPUTED_VALUE"""),"")</f>
        <v/>
      </c>
      <c r="Z820" s="189"/>
    </row>
    <row r="821" spans="1:26" ht="12.75">
      <c r="A821" s="189" t="str">
        <f ca="1">IFERROR(__xludf.DUMMYFUNCTION("""COMPUTED_VALUE"""),"")</f>
        <v/>
      </c>
      <c r="B821" s="189" t="str">
        <f ca="1">IFERROR(__xludf.DUMMYFUNCTION("""COMPUTED_VALUE"""),"")</f>
        <v/>
      </c>
      <c r="C821" s="189" t="str">
        <f ca="1">IFERROR(__xludf.DUMMYFUNCTION("""COMPUTED_VALUE"""),"")</f>
        <v/>
      </c>
      <c r="D821" s="189" t="str">
        <f ca="1">IFERROR(__xludf.DUMMYFUNCTION("""COMPUTED_VALUE"""),"")</f>
        <v/>
      </c>
      <c r="E821" s="189" t="str">
        <f ca="1">IFERROR(__xludf.DUMMYFUNCTION("""COMPUTED_VALUE"""),"")</f>
        <v/>
      </c>
      <c r="F821" s="189" t="str">
        <f ca="1">IFERROR(__xludf.DUMMYFUNCTION("""COMPUTED_VALUE"""),"")</f>
        <v/>
      </c>
      <c r="G821" s="189" t="str">
        <f ca="1">IFERROR(__xludf.DUMMYFUNCTION("""COMPUTED_VALUE"""),"")</f>
        <v/>
      </c>
      <c r="H821" s="189" t="str">
        <f ca="1">IFERROR(__xludf.DUMMYFUNCTION("""COMPUTED_VALUE"""),"")</f>
        <v/>
      </c>
      <c r="I821" s="120" t="str">
        <f ca="1">IFERROR(__xludf.DUMMYFUNCTION("""COMPUTED_VALUE"""),"")</f>
        <v/>
      </c>
      <c r="J821" s="189" t="str">
        <f ca="1">IFERROR(__xludf.DUMMYFUNCTION("""COMPUTED_VALUE"""),"")</f>
        <v/>
      </c>
      <c r="K821" s="189" t="str">
        <f ca="1">IFERROR(__xludf.DUMMYFUNCTION("""COMPUTED_VALUE"""),"")</f>
        <v/>
      </c>
      <c r="L821" s="189" t="str">
        <f ca="1">IFERROR(__xludf.DUMMYFUNCTION("""COMPUTED_VALUE"""),"")</f>
        <v/>
      </c>
      <c r="M821" s="189" t="str">
        <f ca="1">IFERROR(__xludf.DUMMYFUNCTION("""COMPUTED_VALUE"""),"")</f>
        <v/>
      </c>
      <c r="N821" s="189" t="str">
        <f ca="1">IFERROR(__xludf.DUMMYFUNCTION("""COMPUTED_VALUE"""),"")</f>
        <v/>
      </c>
      <c r="O821" s="189" t="str">
        <f ca="1">IFERROR(__xludf.DUMMYFUNCTION("""COMPUTED_VALUE"""),"")</f>
        <v/>
      </c>
      <c r="P821" s="189" t="str">
        <f ca="1">IFERROR(__xludf.DUMMYFUNCTION("""COMPUTED_VALUE"""),"")</f>
        <v/>
      </c>
      <c r="Q821" s="189" t="str">
        <f ca="1">IFERROR(__xludf.DUMMYFUNCTION("""COMPUTED_VALUE"""),"")</f>
        <v/>
      </c>
      <c r="R821" s="189" t="str">
        <f ca="1">IFERROR(__xludf.DUMMYFUNCTION("""COMPUTED_VALUE"""),"")</f>
        <v/>
      </c>
      <c r="S821" s="189" t="str">
        <f ca="1">IFERROR(__xludf.DUMMYFUNCTION("""COMPUTED_VALUE"""),"")</f>
        <v/>
      </c>
      <c r="T821" s="189" t="str">
        <f ca="1">IFERROR(__xludf.DUMMYFUNCTION("""COMPUTED_VALUE"""),"")</f>
        <v/>
      </c>
      <c r="U821" s="189" t="str">
        <f ca="1">IFERROR(__xludf.DUMMYFUNCTION("""COMPUTED_VALUE"""),"")</f>
        <v/>
      </c>
      <c r="V821" s="189" t="str">
        <f ca="1">IFERROR(__xludf.DUMMYFUNCTION("""COMPUTED_VALUE"""),"")</f>
        <v/>
      </c>
      <c r="W821" s="189" t="str">
        <f ca="1">IFERROR(__xludf.DUMMYFUNCTION("""COMPUTED_VALUE"""),"")</f>
        <v/>
      </c>
      <c r="X821" s="189" t="str">
        <f ca="1">IFERROR(__xludf.DUMMYFUNCTION("""COMPUTED_VALUE"""),"")</f>
        <v/>
      </c>
      <c r="Y821" s="189" t="str">
        <f ca="1">IFERROR(__xludf.DUMMYFUNCTION("""COMPUTED_VALUE"""),"")</f>
        <v/>
      </c>
      <c r="Z821" s="189"/>
    </row>
    <row r="822" spans="1:26" ht="12.75">
      <c r="A822" s="189" t="str">
        <f ca="1">IFERROR(__xludf.DUMMYFUNCTION("""COMPUTED_VALUE"""),"")</f>
        <v/>
      </c>
      <c r="B822" s="189" t="str">
        <f ca="1">IFERROR(__xludf.DUMMYFUNCTION("""COMPUTED_VALUE"""),"")</f>
        <v/>
      </c>
      <c r="C822" s="189" t="str">
        <f ca="1">IFERROR(__xludf.DUMMYFUNCTION("""COMPUTED_VALUE"""),"")</f>
        <v/>
      </c>
      <c r="D822" s="189" t="str">
        <f ca="1">IFERROR(__xludf.DUMMYFUNCTION("""COMPUTED_VALUE"""),"")</f>
        <v/>
      </c>
      <c r="E822" s="189" t="str">
        <f ca="1">IFERROR(__xludf.DUMMYFUNCTION("""COMPUTED_VALUE"""),"")</f>
        <v/>
      </c>
      <c r="F822" s="189" t="str">
        <f ca="1">IFERROR(__xludf.DUMMYFUNCTION("""COMPUTED_VALUE"""),"")</f>
        <v/>
      </c>
      <c r="G822" s="189" t="str">
        <f ca="1">IFERROR(__xludf.DUMMYFUNCTION("""COMPUTED_VALUE"""),"")</f>
        <v/>
      </c>
      <c r="H822" s="189" t="str">
        <f ca="1">IFERROR(__xludf.DUMMYFUNCTION("""COMPUTED_VALUE"""),"")</f>
        <v/>
      </c>
      <c r="I822" s="120" t="str">
        <f ca="1">IFERROR(__xludf.DUMMYFUNCTION("""COMPUTED_VALUE"""),"")</f>
        <v/>
      </c>
      <c r="J822" s="189" t="str">
        <f ca="1">IFERROR(__xludf.DUMMYFUNCTION("""COMPUTED_VALUE"""),"")</f>
        <v/>
      </c>
      <c r="K822" s="189" t="str">
        <f ca="1">IFERROR(__xludf.DUMMYFUNCTION("""COMPUTED_VALUE"""),"")</f>
        <v/>
      </c>
      <c r="L822" s="189" t="str">
        <f ca="1">IFERROR(__xludf.DUMMYFUNCTION("""COMPUTED_VALUE"""),"")</f>
        <v/>
      </c>
      <c r="M822" s="189" t="str">
        <f ca="1">IFERROR(__xludf.DUMMYFUNCTION("""COMPUTED_VALUE"""),"")</f>
        <v/>
      </c>
      <c r="N822" s="189" t="str">
        <f ca="1">IFERROR(__xludf.DUMMYFUNCTION("""COMPUTED_VALUE"""),"")</f>
        <v/>
      </c>
      <c r="O822" s="189" t="str">
        <f ca="1">IFERROR(__xludf.DUMMYFUNCTION("""COMPUTED_VALUE"""),"")</f>
        <v/>
      </c>
      <c r="P822" s="189" t="str">
        <f ca="1">IFERROR(__xludf.DUMMYFUNCTION("""COMPUTED_VALUE"""),"")</f>
        <v/>
      </c>
      <c r="Q822" s="189" t="str">
        <f ca="1">IFERROR(__xludf.DUMMYFUNCTION("""COMPUTED_VALUE"""),"")</f>
        <v/>
      </c>
      <c r="R822" s="189" t="str">
        <f ca="1">IFERROR(__xludf.DUMMYFUNCTION("""COMPUTED_VALUE"""),"")</f>
        <v/>
      </c>
      <c r="S822" s="189" t="str">
        <f ca="1">IFERROR(__xludf.DUMMYFUNCTION("""COMPUTED_VALUE"""),"")</f>
        <v/>
      </c>
      <c r="T822" s="189" t="str">
        <f ca="1">IFERROR(__xludf.DUMMYFUNCTION("""COMPUTED_VALUE"""),"")</f>
        <v/>
      </c>
      <c r="U822" s="189" t="str">
        <f ca="1">IFERROR(__xludf.DUMMYFUNCTION("""COMPUTED_VALUE"""),"")</f>
        <v/>
      </c>
      <c r="V822" s="189" t="str">
        <f ca="1">IFERROR(__xludf.DUMMYFUNCTION("""COMPUTED_VALUE"""),"")</f>
        <v/>
      </c>
      <c r="W822" s="189" t="str">
        <f ca="1">IFERROR(__xludf.DUMMYFUNCTION("""COMPUTED_VALUE"""),"")</f>
        <v/>
      </c>
      <c r="X822" s="189" t="str">
        <f ca="1">IFERROR(__xludf.DUMMYFUNCTION("""COMPUTED_VALUE"""),"")</f>
        <v/>
      </c>
      <c r="Y822" s="189" t="str">
        <f ca="1">IFERROR(__xludf.DUMMYFUNCTION("""COMPUTED_VALUE"""),"")</f>
        <v/>
      </c>
      <c r="Z822" s="189"/>
    </row>
    <row r="823" spans="1:26" ht="12.75">
      <c r="A823" s="189" t="str">
        <f ca="1">IFERROR(__xludf.DUMMYFUNCTION("""COMPUTED_VALUE"""),"")</f>
        <v/>
      </c>
      <c r="B823" s="189" t="str">
        <f ca="1">IFERROR(__xludf.DUMMYFUNCTION("""COMPUTED_VALUE"""),"")</f>
        <v/>
      </c>
      <c r="C823" s="189" t="str">
        <f ca="1">IFERROR(__xludf.DUMMYFUNCTION("""COMPUTED_VALUE"""),"")</f>
        <v/>
      </c>
      <c r="D823" s="189" t="str">
        <f ca="1">IFERROR(__xludf.DUMMYFUNCTION("""COMPUTED_VALUE"""),"")</f>
        <v/>
      </c>
      <c r="E823" s="189" t="str">
        <f ca="1">IFERROR(__xludf.DUMMYFUNCTION("""COMPUTED_VALUE"""),"")</f>
        <v/>
      </c>
      <c r="F823" s="189" t="str">
        <f ca="1">IFERROR(__xludf.DUMMYFUNCTION("""COMPUTED_VALUE"""),"")</f>
        <v/>
      </c>
      <c r="G823" s="189" t="str">
        <f ca="1">IFERROR(__xludf.DUMMYFUNCTION("""COMPUTED_VALUE"""),"")</f>
        <v/>
      </c>
      <c r="H823" s="189" t="str">
        <f ca="1">IFERROR(__xludf.DUMMYFUNCTION("""COMPUTED_VALUE"""),"")</f>
        <v/>
      </c>
      <c r="I823" s="120" t="str">
        <f ca="1">IFERROR(__xludf.DUMMYFUNCTION("""COMPUTED_VALUE"""),"")</f>
        <v/>
      </c>
      <c r="J823" s="189" t="str">
        <f ca="1">IFERROR(__xludf.DUMMYFUNCTION("""COMPUTED_VALUE"""),"")</f>
        <v/>
      </c>
      <c r="K823" s="189" t="str">
        <f ca="1">IFERROR(__xludf.DUMMYFUNCTION("""COMPUTED_VALUE"""),"")</f>
        <v/>
      </c>
      <c r="L823" s="189" t="str">
        <f ca="1">IFERROR(__xludf.DUMMYFUNCTION("""COMPUTED_VALUE"""),"")</f>
        <v/>
      </c>
      <c r="M823" s="189" t="str">
        <f ca="1">IFERROR(__xludf.DUMMYFUNCTION("""COMPUTED_VALUE"""),"")</f>
        <v/>
      </c>
      <c r="N823" s="189" t="str">
        <f ca="1">IFERROR(__xludf.DUMMYFUNCTION("""COMPUTED_VALUE"""),"")</f>
        <v/>
      </c>
      <c r="O823" s="189" t="str">
        <f ca="1">IFERROR(__xludf.DUMMYFUNCTION("""COMPUTED_VALUE"""),"")</f>
        <v/>
      </c>
      <c r="P823" s="189" t="str">
        <f ca="1">IFERROR(__xludf.DUMMYFUNCTION("""COMPUTED_VALUE"""),"")</f>
        <v/>
      </c>
      <c r="Q823" s="189" t="str">
        <f ca="1">IFERROR(__xludf.DUMMYFUNCTION("""COMPUTED_VALUE"""),"")</f>
        <v/>
      </c>
      <c r="R823" s="189" t="str">
        <f ca="1">IFERROR(__xludf.DUMMYFUNCTION("""COMPUTED_VALUE"""),"")</f>
        <v/>
      </c>
      <c r="S823" s="189" t="str">
        <f ca="1">IFERROR(__xludf.DUMMYFUNCTION("""COMPUTED_VALUE"""),"")</f>
        <v/>
      </c>
      <c r="T823" s="189" t="str">
        <f ca="1">IFERROR(__xludf.DUMMYFUNCTION("""COMPUTED_VALUE"""),"")</f>
        <v/>
      </c>
      <c r="U823" s="189" t="str">
        <f ca="1">IFERROR(__xludf.DUMMYFUNCTION("""COMPUTED_VALUE"""),"")</f>
        <v/>
      </c>
      <c r="V823" s="189" t="str">
        <f ca="1">IFERROR(__xludf.DUMMYFUNCTION("""COMPUTED_VALUE"""),"")</f>
        <v/>
      </c>
      <c r="W823" s="189" t="str">
        <f ca="1">IFERROR(__xludf.DUMMYFUNCTION("""COMPUTED_VALUE"""),"")</f>
        <v/>
      </c>
      <c r="X823" s="189" t="str">
        <f ca="1">IFERROR(__xludf.DUMMYFUNCTION("""COMPUTED_VALUE"""),"")</f>
        <v/>
      </c>
      <c r="Y823" s="189" t="str">
        <f ca="1">IFERROR(__xludf.DUMMYFUNCTION("""COMPUTED_VALUE"""),"")</f>
        <v/>
      </c>
      <c r="Z823" s="189"/>
    </row>
    <row r="824" spans="1:26" ht="12.75">
      <c r="A824" s="189" t="str">
        <f ca="1">IFERROR(__xludf.DUMMYFUNCTION("""COMPUTED_VALUE"""),"")</f>
        <v/>
      </c>
      <c r="B824" s="189" t="str">
        <f ca="1">IFERROR(__xludf.DUMMYFUNCTION("""COMPUTED_VALUE"""),"")</f>
        <v/>
      </c>
      <c r="C824" s="189" t="str">
        <f ca="1">IFERROR(__xludf.DUMMYFUNCTION("""COMPUTED_VALUE"""),"")</f>
        <v/>
      </c>
      <c r="D824" s="189" t="str">
        <f ca="1">IFERROR(__xludf.DUMMYFUNCTION("""COMPUTED_VALUE"""),"")</f>
        <v/>
      </c>
      <c r="E824" s="189" t="str">
        <f ca="1">IFERROR(__xludf.DUMMYFUNCTION("""COMPUTED_VALUE"""),"")</f>
        <v/>
      </c>
      <c r="F824" s="189" t="str">
        <f ca="1">IFERROR(__xludf.DUMMYFUNCTION("""COMPUTED_VALUE"""),"")</f>
        <v/>
      </c>
      <c r="G824" s="189" t="str">
        <f ca="1">IFERROR(__xludf.DUMMYFUNCTION("""COMPUTED_VALUE"""),"")</f>
        <v/>
      </c>
      <c r="H824" s="189" t="str">
        <f ca="1">IFERROR(__xludf.DUMMYFUNCTION("""COMPUTED_VALUE"""),"")</f>
        <v/>
      </c>
      <c r="I824" s="120" t="str">
        <f ca="1">IFERROR(__xludf.DUMMYFUNCTION("""COMPUTED_VALUE"""),"")</f>
        <v/>
      </c>
      <c r="J824" s="189" t="str">
        <f ca="1">IFERROR(__xludf.DUMMYFUNCTION("""COMPUTED_VALUE"""),"")</f>
        <v/>
      </c>
      <c r="K824" s="189" t="str">
        <f ca="1">IFERROR(__xludf.DUMMYFUNCTION("""COMPUTED_VALUE"""),"")</f>
        <v/>
      </c>
      <c r="L824" s="189" t="str">
        <f ca="1">IFERROR(__xludf.DUMMYFUNCTION("""COMPUTED_VALUE"""),"")</f>
        <v/>
      </c>
      <c r="M824" s="189" t="str">
        <f ca="1">IFERROR(__xludf.DUMMYFUNCTION("""COMPUTED_VALUE"""),"")</f>
        <v/>
      </c>
      <c r="N824" s="189" t="str">
        <f ca="1">IFERROR(__xludf.DUMMYFUNCTION("""COMPUTED_VALUE"""),"")</f>
        <v/>
      </c>
      <c r="O824" s="189" t="str">
        <f ca="1">IFERROR(__xludf.DUMMYFUNCTION("""COMPUTED_VALUE"""),"")</f>
        <v/>
      </c>
      <c r="P824" s="189" t="str">
        <f ca="1">IFERROR(__xludf.DUMMYFUNCTION("""COMPUTED_VALUE"""),"")</f>
        <v/>
      </c>
      <c r="Q824" s="189" t="str">
        <f ca="1">IFERROR(__xludf.DUMMYFUNCTION("""COMPUTED_VALUE"""),"")</f>
        <v/>
      </c>
      <c r="R824" s="189" t="str">
        <f ca="1">IFERROR(__xludf.DUMMYFUNCTION("""COMPUTED_VALUE"""),"")</f>
        <v/>
      </c>
      <c r="S824" s="189" t="str">
        <f ca="1">IFERROR(__xludf.DUMMYFUNCTION("""COMPUTED_VALUE"""),"")</f>
        <v/>
      </c>
      <c r="T824" s="189" t="str">
        <f ca="1">IFERROR(__xludf.DUMMYFUNCTION("""COMPUTED_VALUE"""),"")</f>
        <v/>
      </c>
      <c r="U824" s="189" t="str">
        <f ca="1">IFERROR(__xludf.DUMMYFUNCTION("""COMPUTED_VALUE"""),"")</f>
        <v/>
      </c>
      <c r="V824" s="189" t="str">
        <f ca="1">IFERROR(__xludf.DUMMYFUNCTION("""COMPUTED_VALUE"""),"")</f>
        <v/>
      </c>
      <c r="W824" s="189" t="str">
        <f ca="1">IFERROR(__xludf.DUMMYFUNCTION("""COMPUTED_VALUE"""),"")</f>
        <v/>
      </c>
      <c r="X824" s="189" t="str">
        <f ca="1">IFERROR(__xludf.DUMMYFUNCTION("""COMPUTED_VALUE"""),"")</f>
        <v/>
      </c>
      <c r="Y824" s="189" t="str">
        <f ca="1">IFERROR(__xludf.DUMMYFUNCTION("""COMPUTED_VALUE"""),"")</f>
        <v/>
      </c>
      <c r="Z824" s="189"/>
    </row>
    <row r="825" spans="1:26" ht="12.75">
      <c r="A825" s="189" t="str">
        <f ca="1">IFERROR(__xludf.DUMMYFUNCTION("""COMPUTED_VALUE"""),"")</f>
        <v/>
      </c>
      <c r="B825" s="189" t="str">
        <f ca="1">IFERROR(__xludf.DUMMYFUNCTION("""COMPUTED_VALUE"""),"")</f>
        <v/>
      </c>
      <c r="C825" s="189" t="str">
        <f ca="1">IFERROR(__xludf.DUMMYFUNCTION("""COMPUTED_VALUE"""),"")</f>
        <v/>
      </c>
      <c r="D825" s="189" t="str">
        <f ca="1">IFERROR(__xludf.DUMMYFUNCTION("""COMPUTED_VALUE"""),"")</f>
        <v/>
      </c>
      <c r="E825" s="189" t="str">
        <f ca="1">IFERROR(__xludf.DUMMYFUNCTION("""COMPUTED_VALUE"""),"")</f>
        <v/>
      </c>
      <c r="F825" s="189" t="str">
        <f ca="1">IFERROR(__xludf.DUMMYFUNCTION("""COMPUTED_VALUE"""),"")</f>
        <v/>
      </c>
      <c r="G825" s="189" t="str">
        <f ca="1">IFERROR(__xludf.DUMMYFUNCTION("""COMPUTED_VALUE"""),"")</f>
        <v/>
      </c>
      <c r="H825" s="189" t="str">
        <f ca="1">IFERROR(__xludf.DUMMYFUNCTION("""COMPUTED_VALUE"""),"")</f>
        <v/>
      </c>
      <c r="I825" s="120" t="str">
        <f ca="1">IFERROR(__xludf.DUMMYFUNCTION("""COMPUTED_VALUE"""),"")</f>
        <v/>
      </c>
      <c r="J825" s="189" t="str">
        <f ca="1">IFERROR(__xludf.DUMMYFUNCTION("""COMPUTED_VALUE"""),"")</f>
        <v/>
      </c>
      <c r="K825" s="189" t="str">
        <f ca="1">IFERROR(__xludf.DUMMYFUNCTION("""COMPUTED_VALUE"""),"")</f>
        <v/>
      </c>
      <c r="L825" s="189" t="str">
        <f ca="1">IFERROR(__xludf.DUMMYFUNCTION("""COMPUTED_VALUE"""),"")</f>
        <v/>
      </c>
      <c r="M825" s="189" t="str">
        <f ca="1">IFERROR(__xludf.DUMMYFUNCTION("""COMPUTED_VALUE"""),"")</f>
        <v/>
      </c>
      <c r="N825" s="189" t="str">
        <f ca="1">IFERROR(__xludf.DUMMYFUNCTION("""COMPUTED_VALUE"""),"")</f>
        <v/>
      </c>
      <c r="O825" s="189" t="str">
        <f ca="1">IFERROR(__xludf.DUMMYFUNCTION("""COMPUTED_VALUE"""),"")</f>
        <v/>
      </c>
      <c r="P825" s="189" t="str">
        <f ca="1">IFERROR(__xludf.DUMMYFUNCTION("""COMPUTED_VALUE"""),"")</f>
        <v/>
      </c>
      <c r="Q825" s="189" t="str">
        <f ca="1">IFERROR(__xludf.DUMMYFUNCTION("""COMPUTED_VALUE"""),"")</f>
        <v/>
      </c>
      <c r="R825" s="189" t="str">
        <f ca="1">IFERROR(__xludf.DUMMYFUNCTION("""COMPUTED_VALUE"""),"")</f>
        <v/>
      </c>
      <c r="S825" s="189" t="str">
        <f ca="1">IFERROR(__xludf.DUMMYFUNCTION("""COMPUTED_VALUE"""),"")</f>
        <v/>
      </c>
      <c r="T825" s="189" t="str">
        <f ca="1">IFERROR(__xludf.DUMMYFUNCTION("""COMPUTED_VALUE"""),"")</f>
        <v/>
      </c>
      <c r="U825" s="189" t="str">
        <f ca="1">IFERROR(__xludf.DUMMYFUNCTION("""COMPUTED_VALUE"""),"")</f>
        <v/>
      </c>
      <c r="V825" s="189" t="str">
        <f ca="1">IFERROR(__xludf.DUMMYFUNCTION("""COMPUTED_VALUE"""),"")</f>
        <v/>
      </c>
      <c r="W825" s="189" t="str">
        <f ca="1">IFERROR(__xludf.DUMMYFUNCTION("""COMPUTED_VALUE"""),"")</f>
        <v/>
      </c>
      <c r="X825" s="189" t="str">
        <f ca="1">IFERROR(__xludf.DUMMYFUNCTION("""COMPUTED_VALUE"""),"")</f>
        <v/>
      </c>
      <c r="Y825" s="189" t="str">
        <f ca="1">IFERROR(__xludf.DUMMYFUNCTION("""COMPUTED_VALUE"""),"")</f>
        <v/>
      </c>
      <c r="Z825" s="189"/>
    </row>
    <row r="826" spans="1:26" ht="12.75">
      <c r="A826" s="189" t="str">
        <f ca="1">IFERROR(__xludf.DUMMYFUNCTION("""COMPUTED_VALUE"""),"")</f>
        <v/>
      </c>
      <c r="B826" s="189" t="str">
        <f ca="1">IFERROR(__xludf.DUMMYFUNCTION("""COMPUTED_VALUE"""),"")</f>
        <v/>
      </c>
      <c r="C826" s="189" t="str">
        <f ca="1">IFERROR(__xludf.DUMMYFUNCTION("""COMPUTED_VALUE"""),"")</f>
        <v/>
      </c>
      <c r="D826" s="189" t="str">
        <f ca="1">IFERROR(__xludf.DUMMYFUNCTION("""COMPUTED_VALUE"""),"")</f>
        <v/>
      </c>
      <c r="E826" s="189" t="str">
        <f ca="1">IFERROR(__xludf.DUMMYFUNCTION("""COMPUTED_VALUE"""),"")</f>
        <v/>
      </c>
      <c r="F826" s="189" t="str">
        <f ca="1">IFERROR(__xludf.DUMMYFUNCTION("""COMPUTED_VALUE"""),"")</f>
        <v/>
      </c>
      <c r="G826" s="189" t="str">
        <f ca="1">IFERROR(__xludf.DUMMYFUNCTION("""COMPUTED_VALUE"""),"")</f>
        <v/>
      </c>
      <c r="H826" s="189" t="str">
        <f ca="1">IFERROR(__xludf.DUMMYFUNCTION("""COMPUTED_VALUE"""),"")</f>
        <v/>
      </c>
      <c r="I826" s="120" t="str">
        <f ca="1">IFERROR(__xludf.DUMMYFUNCTION("""COMPUTED_VALUE"""),"")</f>
        <v/>
      </c>
      <c r="J826" s="189" t="str">
        <f ca="1">IFERROR(__xludf.DUMMYFUNCTION("""COMPUTED_VALUE"""),"")</f>
        <v/>
      </c>
      <c r="K826" s="189" t="str">
        <f ca="1">IFERROR(__xludf.DUMMYFUNCTION("""COMPUTED_VALUE"""),"")</f>
        <v/>
      </c>
      <c r="L826" s="189" t="str">
        <f ca="1">IFERROR(__xludf.DUMMYFUNCTION("""COMPUTED_VALUE"""),"")</f>
        <v/>
      </c>
      <c r="M826" s="189" t="str">
        <f ca="1">IFERROR(__xludf.DUMMYFUNCTION("""COMPUTED_VALUE"""),"")</f>
        <v/>
      </c>
      <c r="N826" s="189" t="str">
        <f ca="1">IFERROR(__xludf.DUMMYFUNCTION("""COMPUTED_VALUE"""),"")</f>
        <v/>
      </c>
      <c r="O826" s="189" t="str">
        <f ca="1">IFERROR(__xludf.DUMMYFUNCTION("""COMPUTED_VALUE"""),"")</f>
        <v/>
      </c>
      <c r="P826" s="189" t="str">
        <f ca="1">IFERROR(__xludf.DUMMYFUNCTION("""COMPUTED_VALUE"""),"")</f>
        <v/>
      </c>
      <c r="Q826" s="189" t="str">
        <f ca="1">IFERROR(__xludf.DUMMYFUNCTION("""COMPUTED_VALUE"""),"")</f>
        <v/>
      </c>
      <c r="R826" s="189" t="str">
        <f ca="1">IFERROR(__xludf.DUMMYFUNCTION("""COMPUTED_VALUE"""),"")</f>
        <v/>
      </c>
      <c r="S826" s="189" t="str">
        <f ca="1">IFERROR(__xludf.DUMMYFUNCTION("""COMPUTED_VALUE"""),"")</f>
        <v/>
      </c>
      <c r="T826" s="189" t="str">
        <f ca="1">IFERROR(__xludf.DUMMYFUNCTION("""COMPUTED_VALUE"""),"")</f>
        <v/>
      </c>
      <c r="U826" s="189" t="str">
        <f ca="1">IFERROR(__xludf.DUMMYFUNCTION("""COMPUTED_VALUE"""),"")</f>
        <v/>
      </c>
      <c r="V826" s="189" t="str">
        <f ca="1">IFERROR(__xludf.DUMMYFUNCTION("""COMPUTED_VALUE"""),"")</f>
        <v/>
      </c>
      <c r="W826" s="189" t="str">
        <f ca="1">IFERROR(__xludf.DUMMYFUNCTION("""COMPUTED_VALUE"""),"")</f>
        <v/>
      </c>
      <c r="X826" s="189" t="str">
        <f ca="1">IFERROR(__xludf.DUMMYFUNCTION("""COMPUTED_VALUE"""),"")</f>
        <v/>
      </c>
      <c r="Y826" s="189" t="str">
        <f ca="1">IFERROR(__xludf.DUMMYFUNCTION("""COMPUTED_VALUE"""),"")</f>
        <v/>
      </c>
      <c r="Z826" s="189"/>
    </row>
    <row r="827" spans="1:26" ht="12.75">
      <c r="A827" s="189" t="str">
        <f ca="1">IFERROR(__xludf.DUMMYFUNCTION("""COMPUTED_VALUE"""),"")</f>
        <v/>
      </c>
      <c r="B827" s="189" t="str">
        <f ca="1">IFERROR(__xludf.DUMMYFUNCTION("""COMPUTED_VALUE"""),"")</f>
        <v/>
      </c>
      <c r="C827" s="189" t="str">
        <f ca="1">IFERROR(__xludf.DUMMYFUNCTION("""COMPUTED_VALUE"""),"")</f>
        <v/>
      </c>
      <c r="D827" s="189" t="str">
        <f ca="1">IFERROR(__xludf.DUMMYFUNCTION("""COMPUTED_VALUE"""),"")</f>
        <v/>
      </c>
      <c r="E827" s="189" t="str">
        <f ca="1">IFERROR(__xludf.DUMMYFUNCTION("""COMPUTED_VALUE"""),"")</f>
        <v/>
      </c>
      <c r="F827" s="189" t="str">
        <f ca="1">IFERROR(__xludf.DUMMYFUNCTION("""COMPUTED_VALUE"""),"")</f>
        <v/>
      </c>
      <c r="G827" s="189" t="str">
        <f ca="1">IFERROR(__xludf.DUMMYFUNCTION("""COMPUTED_VALUE"""),"")</f>
        <v/>
      </c>
      <c r="H827" s="189" t="str">
        <f ca="1">IFERROR(__xludf.DUMMYFUNCTION("""COMPUTED_VALUE"""),"")</f>
        <v/>
      </c>
      <c r="I827" s="120" t="str">
        <f ca="1">IFERROR(__xludf.DUMMYFUNCTION("""COMPUTED_VALUE"""),"")</f>
        <v/>
      </c>
      <c r="J827" s="189" t="str">
        <f ca="1">IFERROR(__xludf.DUMMYFUNCTION("""COMPUTED_VALUE"""),"")</f>
        <v/>
      </c>
      <c r="K827" s="189" t="str">
        <f ca="1">IFERROR(__xludf.DUMMYFUNCTION("""COMPUTED_VALUE"""),"")</f>
        <v/>
      </c>
      <c r="L827" s="189" t="str">
        <f ca="1">IFERROR(__xludf.DUMMYFUNCTION("""COMPUTED_VALUE"""),"")</f>
        <v/>
      </c>
      <c r="M827" s="189" t="str">
        <f ca="1">IFERROR(__xludf.DUMMYFUNCTION("""COMPUTED_VALUE"""),"")</f>
        <v/>
      </c>
      <c r="N827" s="189" t="str">
        <f ca="1">IFERROR(__xludf.DUMMYFUNCTION("""COMPUTED_VALUE"""),"")</f>
        <v/>
      </c>
      <c r="O827" s="189" t="str">
        <f ca="1">IFERROR(__xludf.DUMMYFUNCTION("""COMPUTED_VALUE"""),"")</f>
        <v/>
      </c>
      <c r="P827" s="189" t="str">
        <f ca="1">IFERROR(__xludf.DUMMYFUNCTION("""COMPUTED_VALUE"""),"")</f>
        <v/>
      </c>
      <c r="Q827" s="189" t="str">
        <f ca="1">IFERROR(__xludf.DUMMYFUNCTION("""COMPUTED_VALUE"""),"")</f>
        <v/>
      </c>
      <c r="R827" s="189" t="str">
        <f ca="1">IFERROR(__xludf.DUMMYFUNCTION("""COMPUTED_VALUE"""),"")</f>
        <v/>
      </c>
      <c r="S827" s="189" t="str">
        <f ca="1">IFERROR(__xludf.DUMMYFUNCTION("""COMPUTED_VALUE"""),"")</f>
        <v/>
      </c>
      <c r="T827" s="189" t="str">
        <f ca="1">IFERROR(__xludf.DUMMYFUNCTION("""COMPUTED_VALUE"""),"")</f>
        <v/>
      </c>
      <c r="U827" s="189" t="str">
        <f ca="1">IFERROR(__xludf.DUMMYFUNCTION("""COMPUTED_VALUE"""),"")</f>
        <v/>
      </c>
      <c r="V827" s="189" t="str">
        <f ca="1">IFERROR(__xludf.DUMMYFUNCTION("""COMPUTED_VALUE"""),"")</f>
        <v/>
      </c>
      <c r="W827" s="189" t="str">
        <f ca="1">IFERROR(__xludf.DUMMYFUNCTION("""COMPUTED_VALUE"""),"")</f>
        <v/>
      </c>
      <c r="X827" s="189" t="str">
        <f ca="1">IFERROR(__xludf.DUMMYFUNCTION("""COMPUTED_VALUE"""),"")</f>
        <v/>
      </c>
      <c r="Y827" s="189" t="str">
        <f ca="1">IFERROR(__xludf.DUMMYFUNCTION("""COMPUTED_VALUE"""),"")</f>
        <v/>
      </c>
      <c r="Z827" s="189"/>
    </row>
    <row r="828" spans="1:26" ht="12.75">
      <c r="A828" s="189" t="str">
        <f ca="1">IFERROR(__xludf.DUMMYFUNCTION("""COMPUTED_VALUE"""),"")</f>
        <v/>
      </c>
      <c r="B828" s="189" t="str">
        <f ca="1">IFERROR(__xludf.DUMMYFUNCTION("""COMPUTED_VALUE"""),"")</f>
        <v/>
      </c>
      <c r="C828" s="189" t="str">
        <f ca="1">IFERROR(__xludf.DUMMYFUNCTION("""COMPUTED_VALUE"""),"")</f>
        <v/>
      </c>
      <c r="D828" s="189" t="str">
        <f ca="1">IFERROR(__xludf.DUMMYFUNCTION("""COMPUTED_VALUE"""),"")</f>
        <v/>
      </c>
      <c r="E828" s="189" t="str">
        <f ca="1">IFERROR(__xludf.DUMMYFUNCTION("""COMPUTED_VALUE"""),"")</f>
        <v/>
      </c>
      <c r="F828" s="189" t="str">
        <f ca="1">IFERROR(__xludf.DUMMYFUNCTION("""COMPUTED_VALUE"""),"")</f>
        <v/>
      </c>
      <c r="G828" s="189" t="str">
        <f ca="1">IFERROR(__xludf.DUMMYFUNCTION("""COMPUTED_VALUE"""),"")</f>
        <v/>
      </c>
      <c r="H828" s="189" t="str">
        <f ca="1">IFERROR(__xludf.DUMMYFUNCTION("""COMPUTED_VALUE"""),"")</f>
        <v/>
      </c>
      <c r="I828" s="120" t="str">
        <f ca="1">IFERROR(__xludf.DUMMYFUNCTION("""COMPUTED_VALUE"""),"")</f>
        <v/>
      </c>
      <c r="J828" s="189" t="str">
        <f ca="1">IFERROR(__xludf.DUMMYFUNCTION("""COMPUTED_VALUE"""),"")</f>
        <v/>
      </c>
      <c r="K828" s="189" t="str">
        <f ca="1">IFERROR(__xludf.DUMMYFUNCTION("""COMPUTED_VALUE"""),"")</f>
        <v/>
      </c>
      <c r="L828" s="189" t="str">
        <f ca="1">IFERROR(__xludf.DUMMYFUNCTION("""COMPUTED_VALUE"""),"")</f>
        <v/>
      </c>
      <c r="M828" s="189" t="str">
        <f ca="1">IFERROR(__xludf.DUMMYFUNCTION("""COMPUTED_VALUE"""),"")</f>
        <v/>
      </c>
      <c r="N828" s="189" t="str">
        <f ca="1">IFERROR(__xludf.DUMMYFUNCTION("""COMPUTED_VALUE"""),"")</f>
        <v/>
      </c>
      <c r="O828" s="189" t="str">
        <f ca="1">IFERROR(__xludf.DUMMYFUNCTION("""COMPUTED_VALUE"""),"")</f>
        <v/>
      </c>
      <c r="P828" s="189" t="str">
        <f ca="1">IFERROR(__xludf.DUMMYFUNCTION("""COMPUTED_VALUE"""),"")</f>
        <v/>
      </c>
      <c r="Q828" s="189" t="str">
        <f ca="1">IFERROR(__xludf.DUMMYFUNCTION("""COMPUTED_VALUE"""),"")</f>
        <v/>
      </c>
      <c r="R828" s="189" t="str">
        <f ca="1">IFERROR(__xludf.DUMMYFUNCTION("""COMPUTED_VALUE"""),"")</f>
        <v/>
      </c>
      <c r="S828" s="189" t="str">
        <f ca="1">IFERROR(__xludf.DUMMYFUNCTION("""COMPUTED_VALUE"""),"")</f>
        <v/>
      </c>
      <c r="T828" s="189" t="str">
        <f ca="1">IFERROR(__xludf.DUMMYFUNCTION("""COMPUTED_VALUE"""),"")</f>
        <v/>
      </c>
      <c r="U828" s="189" t="str">
        <f ca="1">IFERROR(__xludf.DUMMYFUNCTION("""COMPUTED_VALUE"""),"")</f>
        <v/>
      </c>
      <c r="V828" s="189" t="str">
        <f ca="1">IFERROR(__xludf.DUMMYFUNCTION("""COMPUTED_VALUE"""),"")</f>
        <v/>
      </c>
      <c r="W828" s="189" t="str">
        <f ca="1">IFERROR(__xludf.DUMMYFUNCTION("""COMPUTED_VALUE"""),"")</f>
        <v/>
      </c>
      <c r="X828" s="189" t="str">
        <f ca="1">IFERROR(__xludf.DUMMYFUNCTION("""COMPUTED_VALUE"""),"")</f>
        <v/>
      </c>
      <c r="Y828" s="189" t="str">
        <f ca="1">IFERROR(__xludf.DUMMYFUNCTION("""COMPUTED_VALUE"""),"")</f>
        <v/>
      </c>
      <c r="Z828" s="189"/>
    </row>
    <row r="829" spans="1:26" ht="12.75">
      <c r="A829" s="189" t="str">
        <f ca="1">IFERROR(__xludf.DUMMYFUNCTION("""COMPUTED_VALUE"""),"")</f>
        <v/>
      </c>
      <c r="B829" s="189" t="str">
        <f ca="1">IFERROR(__xludf.DUMMYFUNCTION("""COMPUTED_VALUE"""),"")</f>
        <v/>
      </c>
      <c r="C829" s="189" t="str">
        <f ca="1">IFERROR(__xludf.DUMMYFUNCTION("""COMPUTED_VALUE"""),"")</f>
        <v/>
      </c>
      <c r="D829" s="189" t="str">
        <f ca="1">IFERROR(__xludf.DUMMYFUNCTION("""COMPUTED_VALUE"""),"")</f>
        <v/>
      </c>
      <c r="E829" s="189" t="str">
        <f ca="1">IFERROR(__xludf.DUMMYFUNCTION("""COMPUTED_VALUE"""),"")</f>
        <v/>
      </c>
      <c r="F829" s="189" t="str">
        <f ca="1">IFERROR(__xludf.DUMMYFUNCTION("""COMPUTED_VALUE"""),"")</f>
        <v/>
      </c>
      <c r="G829" s="189" t="str">
        <f ca="1">IFERROR(__xludf.DUMMYFUNCTION("""COMPUTED_VALUE"""),"")</f>
        <v/>
      </c>
      <c r="H829" s="189" t="str">
        <f ca="1">IFERROR(__xludf.DUMMYFUNCTION("""COMPUTED_VALUE"""),"")</f>
        <v/>
      </c>
      <c r="I829" s="120" t="str">
        <f ca="1">IFERROR(__xludf.DUMMYFUNCTION("""COMPUTED_VALUE"""),"")</f>
        <v/>
      </c>
      <c r="J829" s="189" t="str">
        <f ca="1">IFERROR(__xludf.DUMMYFUNCTION("""COMPUTED_VALUE"""),"")</f>
        <v/>
      </c>
      <c r="K829" s="189" t="str">
        <f ca="1">IFERROR(__xludf.DUMMYFUNCTION("""COMPUTED_VALUE"""),"")</f>
        <v/>
      </c>
      <c r="L829" s="189" t="str">
        <f ca="1">IFERROR(__xludf.DUMMYFUNCTION("""COMPUTED_VALUE"""),"")</f>
        <v/>
      </c>
      <c r="M829" s="189" t="str">
        <f ca="1">IFERROR(__xludf.DUMMYFUNCTION("""COMPUTED_VALUE"""),"")</f>
        <v/>
      </c>
      <c r="N829" s="189" t="str">
        <f ca="1">IFERROR(__xludf.DUMMYFUNCTION("""COMPUTED_VALUE"""),"")</f>
        <v/>
      </c>
      <c r="O829" s="189" t="str">
        <f ca="1">IFERROR(__xludf.DUMMYFUNCTION("""COMPUTED_VALUE"""),"")</f>
        <v/>
      </c>
      <c r="P829" s="189" t="str">
        <f ca="1">IFERROR(__xludf.DUMMYFUNCTION("""COMPUTED_VALUE"""),"")</f>
        <v/>
      </c>
      <c r="Q829" s="189" t="str">
        <f ca="1">IFERROR(__xludf.DUMMYFUNCTION("""COMPUTED_VALUE"""),"")</f>
        <v/>
      </c>
      <c r="R829" s="189" t="str">
        <f ca="1">IFERROR(__xludf.DUMMYFUNCTION("""COMPUTED_VALUE"""),"")</f>
        <v/>
      </c>
      <c r="S829" s="189" t="str">
        <f ca="1">IFERROR(__xludf.DUMMYFUNCTION("""COMPUTED_VALUE"""),"")</f>
        <v/>
      </c>
      <c r="T829" s="189" t="str">
        <f ca="1">IFERROR(__xludf.DUMMYFUNCTION("""COMPUTED_VALUE"""),"")</f>
        <v/>
      </c>
      <c r="U829" s="189" t="str">
        <f ca="1">IFERROR(__xludf.DUMMYFUNCTION("""COMPUTED_VALUE"""),"")</f>
        <v/>
      </c>
      <c r="V829" s="189" t="str">
        <f ca="1">IFERROR(__xludf.DUMMYFUNCTION("""COMPUTED_VALUE"""),"")</f>
        <v/>
      </c>
      <c r="W829" s="189" t="str">
        <f ca="1">IFERROR(__xludf.DUMMYFUNCTION("""COMPUTED_VALUE"""),"")</f>
        <v/>
      </c>
      <c r="X829" s="189" t="str">
        <f ca="1">IFERROR(__xludf.DUMMYFUNCTION("""COMPUTED_VALUE"""),"")</f>
        <v/>
      </c>
      <c r="Y829" s="189" t="str">
        <f ca="1">IFERROR(__xludf.DUMMYFUNCTION("""COMPUTED_VALUE"""),"")</f>
        <v/>
      </c>
      <c r="Z829" s="189"/>
    </row>
    <row r="830" spans="1:26" ht="12.75">
      <c r="A830" s="189" t="str">
        <f ca="1">IFERROR(__xludf.DUMMYFUNCTION("""COMPUTED_VALUE"""),"")</f>
        <v/>
      </c>
      <c r="B830" s="189" t="str">
        <f ca="1">IFERROR(__xludf.DUMMYFUNCTION("""COMPUTED_VALUE"""),"")</f>
        <v/>
      </c>
      <c r="C830" s="189" t="str">
        <f ca="1">IFERROR(__xludf.DUMMYFUNCTION("""COMPUTED_VALUE"""),"")</f>
        <v/>
      </c>
      <c r="D830" s="189" t="str">
        <f ca="1">IFERROR(__xludf.DUMMYFUNCTION("""COMPUTED_VALUE"""),"")</f>
        <v/>
      </c>
      <c r="E830" s="189" t="str">
        <f ca="1">IFERROR(__xludf.DUMMYFUNCTION("""COMPUTED_VALUE"""),"")</f>
        <v/>
      </c>
      <c r="F830" s="189" t="str">
        <f ca="1">IFERROR(__xludf.DUMMYFUNCTION("""COMPUTED_VALUE"""),"")</f>
        <v/>
      </c>
      <c r="G830" s="189" t="str">
        <f ca="1">IFERROR(__xludf.DUMMYFUNCTION("""COMPUTED_VALUE"""),"")</f>
        <v/>
      </c>
      <c r="H830" s="189" t="str">
        <f ca="1">IFERROR(__xludf.DUMMYFUNCTION("""COMPUTED_VALUE"""),"")</f>
        <v/>
      </c>
      <c r="I830" s="120" t="str">
        <f ca="1">IFERROR(__xludf.DUMMYFUNCTION("""COMPUTED_VALUE"""),"")</f>
        <v/>
      </c>
      <c r="J830" s="189" t="str">
        <f ca="1">IFERROR(__xludf.DUMMYFUNCTION("""COMPUTED_VALUE"""),"")</f>
        <v/>
      </c>
      <c r="K830" s="189" t="str">
        <f ca="1">IFERROR(__xludf.DUMMYFUNCTION("""COMPUTED_VALUE"""),"")</f>
        <v/>
      </c>
      <c r="L830" s="189" t="str">
        <f ca="1">IFERROR(__xludf.DUMMYFUNCTION("""COMPUTED_VALUE"""),"")</f>
        <v/>
      </c>
      <c r="M830" s="189" t="str">
        <f ca="1">IFERROR(__xludf.DUMMYFUNCTION("""COMPUTED_VALUE"""),"")</f>
        <v/>
      </c>
      <c r="N830" s="189" t="str">
        <f ca="1">IFERROR(__xludf.DUMMYFUNCTION("""COMPUTED_VALUE"""),"")</f>
        <v/>
      </c>
      <c r="O830" s="189" t="str">
        <f ca="1">IFERROR(__xludf.DUMMYFUNCTION("""COMPUTED_VALUE"""),"")</f>
        <v/>
      </c>
      <c r="P830" s="189" t="str">
        <f ca="1">IFERROR(__xludf.DUMMYFUNCTION("""COMPUTED_VALUE"""),"")</f>
        <v/>
      </c>
      <c r="Q830" s="189" t="str">
        <f ca="1">IFERROR(__xludf.DUMMYFUNCTION("""COMPUTED_VALUE"""),"")</f>
        <v/>
      </c>
      <c r="R830" s="189" t="str">
        <f ca="1">IFERROR(__xludf.DUMMYFUNCTION("""COMPUTED_VALUE"""),"")</f>
        <v/>
      </c>
      <c r="S830" s="189" t="str">
        <f ca="1">IFERROR(__xludf.DUMMYFUNCTION("""COMPUTED_VALUE"""),"")</f>
        <v/>
      </c>
      <c r="T830" s="189" t="str">
        <f ca="1">IFERROR(__xludf.DUMMYFUNCTION("""COMPUTED_VALUE"""),"")</f>
        <v/>
      </c>
      <c r="U830" s="189" t="str">
        <f ca="1">IFERROR(__xludf.DUMMYFUNCTION("""COMPUTED_VALUE"""),"")</f>
        <v/>
      </c>
      <c r="V830" s="189" t="str">
        <f ca="1">IFERROR(__xludf.DUMMYFUNCTION("""COMPUTED_VALUE"""),"")</f>
        <v/>
      </c>
      <c r="W830" s="189" t="str">
        <f ca="1">IFERROR(__xludf.DUMMYFUNCTION("""COMPUTED_VALUE"""),"")</f>
        <v/>
      </c>
      <c r="X830" s="189" t="str">
        <f ca="1">IFERROR(__xludf.DUMMYFUNCTION("""COMPUTED_VALUE"""),"")</f>
        <v/>
      </c>
      <c r="Y830" s="189" t="str">
        <f ca="1">IFERROR(__xludf.DUMMYFUNCTION("""COMPUTED_VALUE"""),"")</f>
        <v/>
      </c>
      <c r="Z830" s="189"/>
    </row>
    <row r="831" spans="1:26" ht="12.75">
      <c r="A831" s="189" t="str">
        <f ca="1">IFERROR(__xludf.DUMMYFUNCTION("""COMPUTED_VALUE"""),"")</f>
        <v/>
      </c>
      <c r="B831" s="189" t="str">
        <f ca="1">IFERROR(__xludf.DUMMYFUNCTION("""COMPUTED_VALUE"""),"")</f>
        <v/>
      </c>
      <c r="C831" s="189" t="str">
        <f ca="1">IFERROR(__xludf.DUMMYFUNCTION("""COMPUTED_VALUE"""),"")</f>
        <v/>
      </c>
      <c r="D831" s="189" t="str">
        <f ca="1">IFERROR(__xludf.DUMMYFUNCTION("""COMPUTED_VALUE"""),"")</f>
        <v/>
      </c>
      <c r="E831" s="189" t="str">
        <f ca="1">IFERROR(__xludf.DUMMYFUNCTION("""COMPUTED_VALUE"""),"")</f>
        <v/>
      </c>
      <c r="F831" s="189" t="str">
        <f ca="1">IFERROR(__xludf.DUMMYFUNCTION("""COMPUTED_VALUE"""),"")</f>
        <v/>
      </c>
      <c r="G831" s="189" t="str">
        <f ca="1">IFERROR(__xludf.DUMMYFUNCTION("""COMPUTED_VALUE"""),"")</f>
        <v/>
      </c>
      <c r="H831" s="189" t="str">
        <f ca="1">IFERROR(__xludf.DUMMYFUNCTION("""COMPUTED_VALUE"""),"")</f>
        <v/>
      </c>
      <c r="I831" s="120" t="str">
        <f ca="1">IFERROR(__xludf.DUMMYFUNCTION("""COMPUTED_VALUE"""),"")</f>
        <v/>
      </c>
      <c r="J831" s="189" t="str">
        <f ca="1">IFERROR(__xludf.DUMMYFUNCTION("""COMPUTED_VALUE"""),"")</f>
        <v/>
      </c>
      <c r="K831" s="189" t="str">
        <f ca="1">IFERROR(__xludf.DUMMYFUNCTION("""COMPUTED_VALUE"""),"")</f>
        <v/>
      </c>
      <c r="L831" s="189" t="str">
        <f ca="1">IFERROR(__xludf.DUMMYFUNCTION("""COMPUTED_VALUE"""),"")</f>
        <v/>
      </c>
      <c r="M831" s="189" t="str">
        <f ca="1">IFERROR(__xludf.DUMMYFUNCTION("""COMPUTED_VALUE"""),"")</f>
        <v/>
      </c>
      <c r="N831" s="189" t="str">
        <f ca="1">IFERROR(__xludf.DUMMYFUNCTION("""COMPUTED_VALUE"""),"")</f>
        <v/>
      </c>
      <c r="O831" s="189" t="str">
        <f ca="1">IFERROR(__xludf.DUMMYFUNCTION("""COMPUTED_VALUE"""),"")</f>
        <v/>
      </c>
      <c r="P831" s="189" t="str">
        <f ca="1">IFERROR(__xludf.DUMMYFUNCTION("""COMPUTED_VALUE"""),"")</f>
        <v/>
      </c>
      <c r="Q831" s="189" t="str">
        <f ca="1">IFERROR(__xludf.DUMMYFUNCTION("""COMPUTED_VALUE"""),"")</f>
        <v/>
      </c>
      <c r="R831" s="189" t="str">
        <f ca="1">IFERROR(__xludf.DUMMYFUNCTION("""COMPUTED_VALUE"""),"")</f>
        <v/>
      </c>
      <c r="S831" s="189" t="str">
        <f ca="1">IFERROR(__xludf.DUMMYFUNCTION("""COMPUTED_VALUE"""),"")</f>
        <v/>
      </c>
      <c r="T831" s="189" t="str">
        <f ca="1">IFERROR(__xludf.DUMMYFUNCTION("""COMPUTED_VALUE"""),"")</f>
        <v/>
      </c>
      <c r="U831" s="189" t="str">
        <f ca="1">IFERROR(__xludf.DUMMYFUNCTION("""COMPUTED_VALUE"""),"")</f>
        <v/>
      </c>
      <c r="V831" s="189" t="str">
        <f ca="1">IFERROR(__xludf.DUMMYFUNCTION("""COMPUTED_VALUE"""),"")</f>
        <v/>
      </c>
      <c r="W831" s="189" t="str">
        <f ca="1">IFERROR(__xludf.DUMMYFUNCTION("""COMPUTED_VALUE"""),"")</f>
        <v/>
      </c>
      <c r="X831" s="189" t="str">
        <f ca="1">IFERROR(__xludf.DUMMYFUNCTION("""COMPUTED_VALUE"""),"")</f>
        <v/>
      </c>
      <c r="Y831" s="189" t="str">
        <f ca="1">IFERROR(__xludf.DUMMYFUNCTION("""COMPUTED_VALUE"""),"")</f>
        <v/>
      </c>
      <c r="Z831" s="189"/>
    </row>
    <row r="832" spans="1:26" ht="12.75">
      <c r="A832" s="189" t="str">
        <f ca="1">IFERROR(__xludf.DUMMYFUNCTION("""COMPUTED_VALUE"""),"")</f>
        <v/>
      </c>
      <c r="B832" s="189" t="str">
        <f ca="1">IFERROR(__xludf.DUMMYFUNCTION("""COMPUTED_VALUE"""),"")</f>
        <v/>
      </c>
      <c r="C832" s="189" t="str">
        <f ca="1">IFERROR(__xludf.DUMMYFUNCTION("""COMPUTED_VALUE"""),"")</f>
        <v/>
      </c>
      <c r="D832" s="189" t="str">
        <f ca="1">IFERROR(__xludf.DUMMYFUNCTION("""COMPUTED_VALUE"""),"")</f>
        <v/>
      </c>
      <c r="E832" s="189" t="str">
        <f ca="1">IFERROR(__xludf.DUMMYFUNCTION("""COMPUTED_VALUE"""),"")</f>
        <v/>
      </c>
      <c r="F832" s="189" t="str">
        <f ca="1">IFERROR(__xludf.DUMMYFUNCTION("""COMPUTED_VALUE"""),"")</f>
        <v/>
      </c>
      <c r="G832" s="189" t="str">
        <f ca="1">IFERROR(__xludf.DUMMYFUNCTION("""COMPUTED_VALUE"""),"")</f>
        <v/>
      </c>
      <c r="H832" s="189" t="str">
        <f ca="1">IFERROR(__xludf.DUMMYFUNCTION("""COMPUTED_VALUE"""),"")</f>
        <v/>
      </c>
      <c r="I832" s="120" t="str">
        <f ca="1">IFERROR(__xludf.DUMMYFUNCTION("""COMPUTED_VALUE"""),"")</f>
        <v/>
      </c>
      <c r="J832" s="189" t="str">
        <f ca="1">IFERROR(__xludf.DUMMYFUNCTION("""COMPUTED_VALUE"""),"")</f>
        <v/>
      </c>
      <c r="K832" s="189" t="str">
        <f ca="1">IFERROR(__xludf.DUMMYFUNCTION("""COMPUTED_VALUE"""),"")</f>
        <v/>
      </c>
      <c r="L832" s="189" t="str">
        <f ca="1">IFERROR(__xludf.DUMMYFUNCTION("""COMPUTED_VALUE"""),"")</f>
        <v/>
      </c>
      <c r="M832" s="189" t="str">
        <f ca="1">IFERROR(__xludf.DUMMYFUNCTION("""COMPUTED_VALUE"""),"")</f>
        <v/>
      </c>
      <c r="N832" s="189" t="str">
        <f ca="1">IFERROR(__xludf.DUMMYFUNCTION("""COMPUTED_VALUE"""),"")</f>
        <v/>
      </c>
      <c r="O832" s="189" t="str">
        <f ca="1">IFERROR(__xludf.DUMMYFUNCTION("""COMPUTED_VALUE"""),"")</f>
        <v/>
      </c>
      <c r="P832" s="189" t="str">
        <f ca="1">IFERROR(__xludf.DUMMYFUNCTION("""COMPUTED_VALUE"""),"")</f>
        <v/>
      </c>
      <c r="Q832" s="189" t="str">
        <f ca="1">IFERROR(__xludf.DUMMYFUNCTION("""COMPUTED_VALUE"""),"")</f>
        <v/>
      </c>
      <c r="R832" s="189" t="str">
        <f ca="1">IFERROR(__xludf.DUMMYFUNCTION("""COMPUTED_VALUE"""),"")</f>
        <v/>
      </c>
      <c r="S832" s="189" t="str">
        <f ca="1">IFERROR(__xludf.DUMMYFUNCTION("""COMPUTED_VALUE"""),"")</f>
        <v/>
      </c>
      <c r="T832" s="189" t="str">
        <f ca="1">IFERROR(__xludf.DUMMYFUNCTION("""COMPUTED_VALUE"""),"")</f>
        <v/>
      </c>
      <c r="U832" s="189" t="str">
        <f ca="1">IFERROR(__xludf.DUMMYFUNCTION("""COMPUTED_VALUE"""),"")</f>
        <v/>
      </c>
      <c r="V832" s="189" t="str">
        <f ca="1">IFERROR(__xludf.DUMMYFUNCTION("""COMPUTED_VALUE"""),"")</f>
        <v/>
      </c>
      <c r="W832" s="189" t="str">
        <f ca="1">IFERROR(__xludf.DUMMYFUNCTION("""COMPUTED_VALUE"""),"")</f>
        <v/>
      </c>
      <c r="X832" s="189" t="str">
        <f ca="1">IFERROR(__xludf.DUMMYFUNCTION("""COMPUTED_VALUE"""),"")</f>
        <v/>
      </c>
      <c r="Y832" s="189" t="str">
        <f ca="1">IFERROR(__xludf.DUMMYFUNCTION("""COMPUTED_VALUE"""),"")</f>
        <v/>
      </c>
      <c r="Z832" s="189"/>
    </row>
    <row r="833" spans="1:26" ht="12.75">
      <c r="A833" s="189" t="str">
        <f ca="1">IFERROR(__xludf.DUMMYFUNCTION("""COMPUTED_VALUE"""),"")</f>
        <v/>
      </c>
      <c r="B833" s="189" t="str">
        <f ca="1">IFERROR(__xludf.DUMMYFUNCTION("""COMPUTED_VALUE"""),"")</f>
        <v/>
      </c>
      <c r="C833" s="189" t="str">
        <f ca="1">IFERROR(__xludf.DUMMYFUNCTION("""COMPUTED_VALUE"""),"")</f>
        <v/>
      </c>
      <c r="D833" s="189" t="str">
        <f ca="1">IFERROR(__xludf.DUMMYFUNCTION("""COMPUTED_VALUE"""),"")</f>
        <v/>
      </c>
      <c r="E833" s="189" t="str">
        <f ca="1">IFERROR(__xludf.DUMMYFUNCTION("""COMPUTED_VALUE"""),"")</f>
        <v/>
      </c>
      <c r="F833" s="189" t="str">
        <f ca="1">IFERROR(__xludf.DUMMYFUNCTION("""COMPUTED_VALUE"""),"")</f>
        <v/>
      </c>
      <c r="G833" s="189" t="str">
        <f ca="1">IFERROR(__xludf.DUMMYFUNCTION("""COMPUTED_VALUE"""),"")</f>
        <v/>
      </c>
      <c r="H833" s="189" t="str">
        <f ca="1">IFERROR(__xludf.DUMMYFUNCTION("""COMPUTED_VALUE"""),"")</f>
        <v/>
      </c>
      <c r="I833" s="120" t="str">
        <f ca="1">IFERROR(__xludf.DUMMYFUNCTION("""COMPUTED_VALUE"""),"")</f>
        <v/>
      </c>
      <c r="J833" s="189" t="str">
        <f ca="1">IFERROR(__xludf.DUMMYFUNCTION("""COMPUTED_VALUE"""),"")</f>
        <v/>
      </c>
      <c r="K833" s="189" t="str">
        <f ca="1">IFERROR(__xludf.DUMMYFUNCTION("""COMPUTED_VALUE"""),"")</f>
        <v/>
      </c>
      <c r="L833" s="189" t="str">
        <f ca="1">IFERROR(__xludf.DUMMYFUNCTION("""COMPUTED_VALUE"""),"")</f>
        <v/>
      </c>
      <c r="M833" s="189" t="str">
        <f ca="1">IFERROR(__xludf.DUMMYFUNCTION("""COMPUTED_VALUE"""),"")</f>
        <v/>
      </c>
      <c r="N833" s="189" t="str">
        <f ca="1">IFERROR(__xludf.DUMMYFUNCTION("""COMPUTED_VALUE"""),"")</f>
        <v/>
      </c>
      <c r="O833" s="189" t="str">
        <f ca="1">IFERROR(__xludf.DUMMYFUNCTION("""COMPUTED_VALUE"""),"")</f>
        <v/>
      </c>
      <c r="P833" s="189" t="str">
        <f ca="1">IFERROR(__xludf.DUMMYFUNCTION("""COMPUTED_VALUE"""),"")</f>
        <v/>
      </c>
      <c r="Q833" s="189" t="str">
        <f ca="1">IFERROR(__xludf.DUMMYFUNCTION("""COMPUTED_VALUE"""),"")</f>
        <v/>
      </c>
      <c r="R833" s="189" t="str">
        <f ca="1">IFERROR(__xludf.DUMMYFUNCTION("""COMPUTED_VALUE"""),"")</f>
        <v/>
      </c>
      <c r="S833" s="189" t="str">
        <f ca="1">IFERROR(__xludf.DUMMYFUNCTION("""COMPUTED_VALUE"""),"")</f>
        <v/>
      </c>
      <c r="T833" s="189" t="str">
        <f ca="1">IFERROR(__xludf.DUMMYFUNCTION("""COMPUTED_VALUE"""),"")</f>
        <v/>
      </c>
      <c r="U833" s="189" t="str">
        <f ca="1">IFERROR(__xludf.DUMMYFUNCTION("""COMPUTED_VALUE"""),"")</f>
        <v/>
      </c>
      <c r="V833" s="189" t="str">
        <f ca="1">IFERROR(__xludf.DUMMYFUNCTION("""COMPUTED_VALUE"""),"")</f>
        <v/>
      </c>
      <c r="W833" s="189" t="str">
        <f ca="1">IFERROR(__xludf.DUMMYFUNCTION("""COMPUTED_VALUE"""),"")</f>
        <v/>
      </c>
      <c r="X833" s="189" t="str">
        <f ca="1">IFERROR(__xludf.DUMMYFUNCTION("""COMPUTED_VALUE"""),"")</f>
        <v/>
      </c>
      <c r="Y833" s="189" t="str">
        <f ca="1">IFERROR(__xludf.DUMMYFUNCTION("""COMPUTED_VALUE"""),"")</f>
        <v/>
      </c>
      <c r="Z833" s="189"/>
    </row>
    <row r="834" spans="1:26" ht="12.75">
      <c r="A834" s="189" t="str">
        <f ca="1">IFERROR(__xludf.DUMMYFUNCTION("""COMPUTED_VALUE"""),"")</f>
        <v/>
      </c>
      <c r="B834" s="189" t="str">
        <f ca="1">IFERROR(__xludf.DUMMYFUNCTION("""COMPUTED_VALUE"""),"")</f>
        <v/>
      </c>
      <c r="C834" s="189" t="str">
        <f ca="1">IFERROR(__xludf.DUMMYFUNCTION("""COMPUTED_VALUE"""),"")</f>
        <v/>
      </c>
      <c r="D834" s="189" t="str">
        <f ca="1">IFERROR(__xludf.DUMMYFUNCTION("""COMPUTED_VALUE"""),"")</f>
        <v/>
      </c>
      <c r="E834" s="189" t="str">
        <f ca="1">IFERROR(__xludf.DUMMYFUNCTION("""COMPUTED_VALUE"""),"")</f>
        <v/>
      </c>
      <c r="F834" s="189" t="str">
        <f ca="1">IFERROR(__xludf.DUMMYFUNCTION("""COMPUTED_VALUE"""),"")</f>
        <v/>
      </c>
      <c r="G834" s="189" t="str">
        <f ca="1">IFERROR(__xludf.DUMMYFUNCTION("""COMPUTED_VALUE"""),"")</f>
        <v/>
      </c>
      <c r="H834" s="189" t="str">
        <f ca="1">IFERROR(__xludf.DUMMYFUNCTION("""COMPUTED_VALUE"""),"")</f>
        <v/>
      </c>
      <c r="I834" s="120" t="str">
        <f ca="1">IFERROR(__xludf.DUMMYFUNCTION("""COMPUTED_VALUE"""),"")</f>
        <v/>
      </c>
      <c r="J834" s="189" t="str">
        <f ca="1">IFERROR(__xludf.DUMMYFUNCTION("""COMPUTED_VALUE"""),"")</f>
        <v/>
      </c>
      <c r="K834" s="189" t="str">
        <f ca="1">IFERROR(__xludf.DUMMYFUNCTION("""COMPUTED_VALUE"""),"")</f>
        <v/>
      </c>
      <c r="L834" s="189" t="str">
        <f ca="1">IFERROR(__xludf.DUMMYFUNCTION("""COMPUTED_VALUE"""),"")</f>
        <v/>
      </c>
      <c r="M834" s="189" t="str">
        <f ca="1">IFERROR(__xludf.DUMMYFUNCTION("""COMPUTED_VALUE"""),"")</f>
        <v/>
      </c>
      <c r="N834" s="189" t="str">
        <f ca="1">IFERROR(__xludf.DUMMYFUNCTION("""COMPUTED_VALUE"""),"")</f>
        <v/>
      </c>
      <c r="O834" s="189" t="str">
        <f ca="1">IFERROR(__xludf.DUMMYFUNCTION("""COMPUTED_VALUE"""),"")</f>
        <v/>
      </c>
      <c r="P834" s="189" t="str">
        <f ca="1">IFERROR(__xludf.DUMMYFUNCTION("""COMPUTED_VALUE"""),"")</f>
        <v/>
      </c>
      <c r="Q834" s="189" t="str">
        <f ca="1">IFERROR(__xludf.DUMMYFUNCTION("""COMPUTED_VALUE"""),"")</f>
        <v/>
      </c>
      <c r="R834" s="189" t="str">
        <f ca="1">IFERROR(__xludf.DUMMYFUNCTION("""COMPUTED_VALUE"""),"")</f>
        <v/>
      </c>
      <c r="S834" s="189" t="str">
        <f ca="1">IFERROR(__xludf.DUMMYFUNCTION("""COMPUTED_VALUE"""),"")</f>
        <v/>
      </c>
      <c r="T834" s="189" t="str">
        <f ca="1">IFERROR(__xludf.DUMMYFUNCTION("""COMPUTED_VALUE"""),"")</f>
        <v/>
      </c>
      <c r="U834" s="189" t="str">
        <f ca="1">IFERROR(__xludf.DUMMYFUNCTION("""COMPUTED_VALUE"""),"")</f>
        <v/>
      </c>
      <c r="V834" s="189" t="str">
        <f ca="1">IFERROR(__xludf.DUMMYFUNCTION("""COMPUTED_VALUE"""),"")</f>
        <v/>
      </c>
      <c r="W834" s="189" t="str">
        <f ca="1">IFERROR(__xludf.DUMMYFUNCTION("""COMPUTED_VALUE"""),"")</f>
        <v/>
      </c>
      <c r="X834" s="189" t="str">
        <f ca="1">IFERROR(__xludf.DUMMYFUNCTION("""COMPUTED_VALUE"""),"")</f>
        <v/>
      </c>
      <c r="Y834" s="189" t="str">
        <f ca="1">IFERROR(__xludf.DUMMYFUNCTION("""COMPUTED_VALUE"""),"")</f>
        <v/>
      </c>
      <c r="Z834" s="189"/>
    </row>
    <row r="835" spans="1:26" ht="12.75">
      <c r="A835" s="189" t="str">
        <f ca="1">IFERROR(__xludf.DUMMYFUNCTION("""COMPUTED_VALUE"""),"")</f>
        <v/>
      </c>
      <c r="B835" s="189" t="str">
        <f ca="1">IFERROR(__xludf.DUMMYFUNCTION("""COMPUTED_VALUE"""),"")</f>
        <v/>
      </c>
      <c r="C835" s="189" t="str">
        <f ca="1">IFERROR(__xludf.DUMMYFUNCTION("""COMPUTED_VALUE"""),"")</f>
        <v/>
      </c>
      <c r="D835" s="189" t="str">
        <f ca="1">IFERROR(__xludf.DUMMYFUNCTION("""COMPUTED_VALUE"""),"")</f>
        <v/>
      </c>
      <c r="E835" s="189" t="str">
        <f ca="1">IFERROR(__xludf.DUMMYFUNCTION("""COMPUTED_VALUE"""),"")</f>
        <v/>
      </c>
      <c r="F835" s="189" t="str">
        <f ca="1">IFERROR(__xludf.DUMMYFUNCTION("""COMPUTED_VALUE"""),"")</f>
        <v/>
      </c>
      <c r="G835" s="189" t="str">
        <f ca="1">IFERROR(__xludf.DUMMYFUNCTION("""COMPUTED_VALUE"""),"")</f>
        <v/>
      </c>
      <c r="H835" s="189" t="str">
        <f ca="1">IFERROR(__xludf.DUMMYFUNCTION("""COMPUTED_VALUE"""),"")</f>
        <v/>
      </c>
      <c r="I835" s="120" t="str">
        <f ca="1">IFERROR(__xludf.DUMMYFUNCTION("""COMPUTED_VALUE"""),"")</f>
        <v/>
      </c>
      <c r="J835" s="189" t="str">
        <f ca="1">IFERROR(__xludf.DUMMYFUNCTION("""COMPUTED_VALUE"""),"")</f>
        <v/>
      </c>
      <c r="K835" s="189" t="str">
        <f ca="1">IFERROR(__xludf.DUMMYFUNCTION("""COMPUTED_VALUE"""),"")</f>
        <v/>
      </c>
      <c r="L835" s="189" t="str">
        <f ca="1">IFERROR(__xludf.DUMMYFUNCTION("""COMPUTED_VALUE"""),"")</f>
        <v/>
      </c>
      <c r="M835" s="189" t="str">
        <f ca="1">IFERROR(__xludf.DUMMYFUNCTION("""COMPUTED_VALUE"""),"")</f>
        <v/>
      </c>
      <c r="N835" s="189" t="str">
        <f ca="1">IFERROR(__xludf.DUMMYFUNCTION("""COMPUTED_VALUE"""),"")</f>
        <v/>
      </c>
      <c r="O835" s="189" t="str">
        <f ca="1">IFERROR(__xludf.DUMMYFUNCTION("""COMPUTED_VALUE"""),"")</f>
        <v/>
      </c>
      <c r="P835" s="189" t="str">
        <f ca="1">IFERROR(__xludf.DUMMYFUNCTION("""COMPUTED_VALUE"""),"")</f>
        <v/>
      </c>
      <c r="Q835" s="189" t="str">
        <f ca="1">IFERROR(__xludf.DUMMYFUNCTION("""COMPUTED_VALUE"""),"")</f>
        <v/>
      </c>
      <c r="R835" s="189" t="str">
        <f ca="1">IFERROR(__xludf.DUMMYFUNCTION("""COMPUTED_VALUE"""),"")</f>
        <v/>
      </c>
      <c r="S835" s="189" t="str">
        <f ca="1">IFERROR(__xludf.DUMMYFUNCTION("""COMPUTED_VALUE"""),"")</f>
        <v/>
      </c>
      <c r="T835" s="189" t="str">
        <f ca="1">IFERROR(__xludf.DUMMYFUNCTION("""COMPUTED_VALUE"""),"")</f>
        <v/>
      </c>
      <c r="U835" s="189" t="str">
        <f ca="1">IFERROR(__xludf.DUMMYFUNCTION("""COMPUTED_VALUE"""),"")</f>
        <v/>
      </c>
      <c r="V835" s="189" t="str">
        <f ca="1">IFERROR(__xludf.DUMMYFUNCTION("""COMPUTED_VALUE"""),"")</f>
        <v/>
      </c>
      <c r="W835" s="189" t="str">
        <f ca="1">IFERROR(__xludf.DUMMYFUNCTION("""COMPUTED_VALUE"""),"")</f>
        <v/>
      </c>
      <c r="X835" s="189" t="str">
        <f ca="1">IFERROR(__xludf.DUMMYFUNCTION("""COMPUTED_VALUE"""),"")</f>
        <v/>
      </c>
      <c r="Y835" s="189" t="str">
        <f ca="1">IFERROR(__xludf.DUMMYFUNCTION("""COMPUTED_VALUE"""),"")</f>
        <v/>
      </c>
      <c r="Z835" s="189"/>
    </row>
    <row r="836" spans="1:26" ht="12.75">
      <c r="A836" s="189" t="str">
        <f ca="1">IFERROR(__xludf.DUMMYFUNCTION("""COMPUTED_VALUE"""),"")</f>
        <v/>
      </c>
      <c r="B836" s="189" t="str">
        <f ca="1">IFERROR(__xludf.DUMMYFUNCTION("""COMPUTED_VALUE"""),"")</f>
        <v/>
      </c>
      <c r="C836" s="189" t="str">
        <f ca="1">IFERROR(__xludf.DUMMYFUNCTION("""COMPUTED_VALUE"""),"")</f>
        <v/>
      </c>
      <c r="D836" s="189" t="str">
        <f ca="1">IFERROR(__xludf.DUMMYFUNCTION("""COMPUTED_VALUE"""),"")</f>
        <v/>
      </c>
      <c r="E836" s="189" t="str">
        <f ca="1">IFERROR(__xludf.DUMMYFUNCTION("""COMPUTED_VALUE"""),"")</f>
        <v/>
      </c>
      <c r="F836" s="189" t="str">
        <f ca="1">IFERROR(__xludf.DUMMYFUNCTION("""COMPUTED_VALUE"""),"")</f>
        <v/>
      </c>
      <c r="G836" s="189" t="str">
        <f ca="1">IFERROR(__xludf.DUMMYFUNCTION("""COMPUTED_VALUE"""),"")</f>
        <v/>
      </c>
      <c r="H836" s="189" t="str">
        <f ca="1">IFERROR(__xludf.DUMMYFUNCTION("""COMPUTED_VALUE"""),"")</f>
        <v/>
      </c>
      <c r="I836" s="120" t="str">
        <f ca="1">IFERROR(__xludf.DUMMYFUNCTION("""COMPUTED_VALUE"""),"")</f>
        <v/>
      </c>
      <c r="J836" s="189" t="str">
        <f ca="1">IFERROR(__xludf.DUMMYFUNCTION("""COMPUTED_VALUE"""),"")</f>
        <v/>
      </c>
      <c r="K836" s="189" t="str">
        <f ca="1">IFERROR(__xludf.DUMMYFUNCTION("""COMPUTED_VALUE"""),"")</f>
        <v/>
      </c>
      <c r="L836" s="189" t="str">
        <f ca="1">IFERROR(__xludf.DUMMYFUNCTION("""COMPUTED_VALUE"""),"")</f>
        <v/>
      </c>
      <c r="M836" s="189" t="str">
        <f ca="1">IFERROR(__xludf.DUMMYFUNCTION("""COMPUTED_VALUE"""),"")</f>
        <v/>
      </c>
      <c r="N836" s="189" t="str">
        <f ca="1">IFERROR(__xludf.DUMMYFUNCTION("""COMPUTED_VALUE"""),"")</f>
        <v/>
      </c>
      <c r="O836" s="189" t="str">
        <f ca="1">IFERROR(__xludf.DUMMYFUNCTION("""COMPUTED_VALUE"""),"")</f>
        <v/>
      </c>
      <c r="P836" s="189" t="str">
        <f ca="1">IFERROR(__xludf.DUMMYFUNCTION("""COMPUTED_VALUE"""),"")</f>
        <v/>
      </c>
      <c r="Q836" s="189" t="str">
        <f ca="1">IFERROR(__xludf.DUMMYFUNCTION("""COMPUTED_VALUE"""),"")</f>
        <v/>
      </c>
      <c r="R836" s="189" t="str">
        <f ca="1">IFERROR(__xludf.DUMMYFUNCTION("""COMPUTED_VALUE"""),"")</f>
        <v/>
      </c>
      <c r="S836" s="189" t="str">
        <f ca="1">IFERROR(__xludf.DUMMYFUNCTION("""COMPUTED_VALUE"""),"")</f>
        <v/>
      </c>
      <c r="T836" s="189" t="str">
        <f ca="1">IFERROR(__xludf.DUMMYFUNCTION("""COMPUTED_VALUE"""),"")</f>
        <v/>
      </c>
      <c r="U836" s="189" t="str">
        <f ca="1">IFERROR(__xludf.DUMMYFUNCTION("""COMPUTED_VALUE"""),"")</f>
        <v/>
      </c>
      <c r="V836" s="189" t="str">
        <f ca="1">IFERROR(__xludf.DUMMYFUNCTION("""COMPUTED_VALUE"""),"")</f>
        <v/>
      </c>
      <c r="W836" s="189" t="str">
        <f ca="1">IFERROR(__xludf.DUMMYFUNCTION("""COMPUTED_VALUE"""),"")</f>
        <v/>
      </c>
      <c r="X836" s="189" t="str">
        <f ca="1">IFERROR(__xludf.DUMMYFUNCTION("""COMPUTED_VALUE"""),"")</f>
        <v/>
      </c>
      <c r="Y836" s="189" t="str">
        <f ca="1">IFERROR(__xludf.DUMMYFUNCTION("""COMPUTED_VALUE"""),"")</f>
        <v/>
      </c>
      <c r="Z836" s="189"/>
    </row>
    <row r="837" spans="1:26" ht="12.75">
      <c r="A837" s="189" t="str">
        <f ca="1">IFERROR(__xludf.DUMMYFUNCTION("""COMPUTED_VALUE"""),"")</f>
        <v/>
      </c>
      <c r="B837" s="189" t="str">
        <f ca="1">IFERROR(__xludf.DUMMYFUNCTION("""COMPUTED_VALUE"""),"")</f>
        <v/>
      </c>
      <c r="C837" s="189" t="str">
        <f ca="1">IFERROR(__xludf.DUMMYFUNCTION("""COMPUTED_VALUE"""),"")</f>
        <v/>
      </c>
      <c r="D837" s="189" t="str">
        <f ca="1">IFERROR(__xludf.DUMMYFUNCTION("""COMPUTED_VALUE"""),"")</f>
        <v/>
      </c>
      <c r="E837" s="189" t="str">
        <f ca="1">IFERROR(__xludf.DUMMYFUNCTION("""COMPUTED_VALUE"""),"")</f>
        <v/>
      </c>
      <c r="F837" s="189" t="str">
        <f ca="1">IFERROR(__xludf.DUMMYFUNCTION("""COMPUTED_VALUE"""),"")</f>
        <v/>
      </c>
      <c r="G837" s="189" t="str">
        <f ca="1">IFERROR(__xludf.DUMMYFUNCTION("""COMPUTED_VALUE"""),"")</f>
        <v/>
      </c>
      <c r="H837" s="189" t="str">
        <f ca="1">IFERROR(__xludf.DUMMYFUNCTION("""COMPUTED_VALUE"""),"")</f>
        <v/>
      </c>
      <c r="I837" s="120" t="str">
        <f ca="1">IFERROR(__xludf.DUMMYFUNCTION("""COMPUTED_VALUE"""),"")</f>
        <v/>
      </c>
      <c r="J837" s="189" t="str">
        <f ca="1">IFERROR(__xludf.DUMMYFUNCTION("""COMPUTED_VALUE"""),"")</f>
        <v/>
      </c>
      <c r="K837" s="189" t="str">
        <f ca="1">IFERROR(__xludf.DUMMYFUNCTION("""COMPUTED_VALUE"""),"")</f>
        <v/>
      </c>
      <c r="L837" s="189" t="str">
        <f ca="1">IFERROR(__xludf.DUMMYFUNCTION("""COMPUTED_VALUE"""),"")</f>
        <v/>
      </c>
      <c r="M837" s="189" t="str">
        <f ca="1">IFERROR(__xludf.DUMMYFUNCTION("""COMPUTED_VALUE"""),"")</f>
        <v/>
      </c>
      <c r="N837" s="189" t="str">
        <f ca="1">IFERROR(__xludf.DUMMYFUNCTION("""COMPUTED_VALUE"""),"")</f>
        <v/>
      </c>
      <c r="O837" s="189" t="str">
        <f ca="1">IFERROR(__xludf.DUMMYFUNCTION("""COMPUTED_VALUE"""),"")</f>
        <v/>
      </c>
      <c r="P837" s="189" t="str">
        <f ca="1">IFERROR(__xludf.DUMMYFUNCTION("""COMPUTED_VALUE"""),"")</f>
        <v/>
      </c>
      <c r="Q837" s="189" t="str">
        <f ca="1">IFERROR(__xludf.DUMMYFUNCTION("""COMPUTED_VALUE"""),"")</f>
        <v/>
      </c>
      <c r="R837" s="189" t="str">
        <f ca="1">IFERROR(__xludf.DUMMYFUNCTION("""COMPUTED_VALUE"""),"")</f>
        <v/>
      </c>
      <c r="S837" s="189" t="str">
        <f ca="1">IFERROR(__xludf.DUMMYFUNCTION("""COMPUTED_VALUE"""),"")</f>
        <v/>
      </c>
      <c r="T837" s="189" t="str">
        <f ca="1">IFERROR(__xludf.DUMMYFUNCTION("""COMPUTED_VALUE"""),"")</f>
        <v/>
      </c>
      <c r="U837" s="189" t="str">
        <f ca="1">IFERROR(__xludf.DUMMYFUNCTION("""COMPUTED_VALUE"""),"")</f>
        <v/>
      </c>
      <c r="V837" s="189" t="str">
        <f ca="1">IFERROR(__xludf.DUMMYFUNCTION("""COMPUTED_VALUE"""),"")</f>
        <v/>
      </c>
      <c r="W837" s="189" t="str">
        <f ca="1">IFERROR(__xludf.DUMMYFUNCTION("""COMPUTED_VALUE"""),"")</f>
        <v/>
      </c>
      <c r="X837" s="189" t="str">
        <f ca="1">IFERROR(__xludf.DUMMYFUNCTION("""COMPUTED_VALUE"""),"")</f>
        <v/>
      </c>
      <c r="Y837" s="189" t="str">
        <f ca="1">IFERROR(__xludf.DUMMYFUNCTION("""COMPUTED_VALUE"""),"")</f>
        <v/>
      </c>
      <c r="Z837" s="189"/>
    </row>
    <row r="838" spans="1:26" ht="12.75">
      <c r="A838" s="189" t="str">
        <f ca="1">IFERROR(__xludf.DUMMYFUNCTION("""COMPUTED_VALUE"""),"")</f>
        <v/>
      </c>
      <c r="B838" s="189" t="str">
        <f ca="1">IFERROR(__xludf.DUMMYFUNCTION("""COMPUTED_VALUE"""),"")</f>
        <v/>
      </c>
      <c r="C838" s="189" t="str">
        <f ca="1">IFERROR(__xludf.DUMMYFUNCTION("""COMPUTED_VALUE"""),"")</f>
        <v/>
      </c>
      <c r="D838" s="189" t="str">
        <f ca="1">IFERROR(__xludf.DUMMYFUNCTION("""COMPUTED_VALUE"""),"")</f>
        <v/>
      </c>
      <c r="E838" s="189" t="str">
        <f ca="1">IFERROR(__xludf.DUMMYFUNCTION("""COMPUTED_VALUE"""),"")</f>
        <v/>
      </c>
      <c r="F838" s="189" t="str">
        <f ca="1">IFERROR(__xludf.DUMMYFUNCTION("""COMPUTED_VALUE"""),"")</f>
        <v/>
      </c>
      <c r="G838" s="189" t="str">
        <f ca="1">IFERROR(__xludf.DUMMYFUNCTION("""COMPUTED_VALUE"""),"")</f>
        <v/>
      </c>
      <c r="H838" s="189" t="str">
        <f ca="1">IFERROR(__xludf.DUMMYFUNCTION("""COMPUTED_VALUE"""),"")</f>
        <v/>
      </c>
      <c r="I838" s="120" t="str">
        <f ca="1">IFERROR(__xludf.DUMMYFUNCTION("""COMPUTED_VALUE"""),"")</f>
        <v/>
      </c>
      <c r="J838" s="189" t="str">
        <f ca="1">IFERROR(__xludf.DUMMYFUNCTION("""COMPUTED_VALUE"""),"")</f>
        <v/>
      </c>
      <c r="K838" s="189" t="str">
        <f ca="1">IFERROR(__xludf.DUMMYFUNCTION("""COMPUTED_VALUE"""),"")</f>
        <v/>
      </c>
      <c r="L838" s="189" t="str">
        <f ca="1">IFERROR(__xludf.DUMMYFUNCTION("""COMPUTED_VALUE"""),"")</f>
        <v/>
      </c>
      <c r="M838" s="189" t="str">
        <f ca="1">IFERROR(__xludf.DUMMYFUNCTION("""COMPUTED_VALUE"""),"")</f>
        <v/>
      </c>
      <c r="N838" s="189" t="str">
        <f ca="1">IFERROR(__xludf.DUMMYFUNCTION("""COMPUTED_VALUE"""),"")</f>
        <v/>
      </c>
      <c r="O838" s="189" t="str">
        <f ca="1">IFERROR(__xludf.DUMMYFUNCTION("""COMPUTED_VALUE"""),"")</f>
        <v/>
      </c>
      <c r="P838" s="189" t="str">
        <f ca="1">IFERROR(__xludf.DUMMYFUNCTION("""COMPUTED_VALUE"""),"")</f>
        <v/>
      </c>
      <c r="Q838" s="189" t="str">
        <f ca="1">IFERROR(__xludf.DUMMYFUNCTION("""COMPUTED_VALUE"""),"")</f>
        <v/>
      </c>
      <c r="R838" s="189" t="str">
        <f ca="1">IFERROR(__xludf.DUMMYFUNCTION("""COMPUTED_VALUE"""),"")</f>
        <v/>
      </c>
      <c r="S838" s="189" t="str">
        <f ca="1">IFERROR(__xludf.DUMMYFUNCTION("""COMPUTED_VALUE"""),"")</f>
        <v/>
      </c>
      <c r="T838" s="189" t="str">
        <f ca="1">IFERROR(__xludf.DUMMYFUNCTION("""COMPUTED_VALUE"""),"")</f>
        <v/>
      </c>
      <c r="U838" s="189" t="str">
        <f ca="1">IFERROR(__xludf.DUMMYFUNCTION("""COMPUTED_VALUE"""),"")</f>
        <v/>
      </c>
      <c r="V838" s="189" t="str">
        <f ca="1">IFERROR(__xludf.DUMMYFUNCTION("""COMPUTED_VALUE"""),"")</f>
        <v/>
      </c>
      <c r="W838" s="189" t="str">
        <f ca="1">IFERROR(__xludf.DUMMYFUNCTION("""COMPUTED_VALUE"""),"")</f>
        <v/>
      </c>
      <c r="X838" s="189" t="str">
        <f ca="1">IFERROR(__xludf.DUMMYFUNCTION("""COMPUTED_VALUE"""),"")</f>
        <v/>
      </c>
      <c r="Y838" s="189" t="str">
        <f ca="1">IFERROR(__xludf.DUMMYFUNCTION("""COMPUTED_VALUE"""),"")</f>
        <v/>
      </c>
      <c r="Z838" s="189"/>
    </row>
    <row r="839" spans="1:26" ht="12.75">
      <c r="A839" s="189" t="str">
        <f ca="1">IFERROR(__xludf.DUMMYFUNCTION("""COMPUTED_VALUE"""),"")</f>
        <v/>
      </c>
      <c r="B839" s="189" t="str">
        <f ca="1">IFERROR(__xludf.DUMMYFUNCTION("""COMPUTED_VALUE"""),"")</f>
        <v/>
      </c>
      <c r="C839" s="189" t="str">
        <f ca="1">IFERROR(__xludf.DUMMYFUNCTION("""COMPUTED_VALUE"""),"")</f>
        <v/>
      </c>
      <c r="D839" s="189" t="str">
        <f ca="1">IFERROR(__xludf.DUMMYFUNCTION("""COMPUTED_VALUE"""),"")</f>
        <v/>
      </c>
      <c r="E839" s="189" t="str">
        <f ca="1">IFERROR(__xludf.DUMMYFUNCTION("""COMPUTED_VALUE"""),"")</f>
        <v/>
      </c>
      <c r="F839" s="189" t="str">
        <f ca="1">IFERROR(__xludf.DUMMYFUNCTION("""COMPUTED_VALUE"""),"")</f>
        <v/>
      </c>
      <c r="G839" s="189" t="str">
        <f ca="1">IFERROR(__xludf.DUMMYFUNCTION("""COMPUTED_VALUE"""),"")</f>
        <v/>
      </c>
      <c r="H839" s="189" t="str">
        <f ca="1">IFERROR(__xludf.DUMMYFUNCTION("""COMPUTED_VALUE"""),"")</f>
        <v/>
      </c>
      <c r="I839" s="120" t="str">
        <f ca="1">IFERROR(__xludf.DUMMYFUNCTION("""COMPUTED_VALUE"""),"")</f>
        <v/>
      </c>
      <c r="J839" s="189" t="str">
        <f ca="1">IFERROR(__xludf.DUMMYFUNCTION("""COMPUTED_VALUE"""),"")</f>
        <v/>
      </c>
      <c r="K839" s="189" t="str">
        <f ca="1">IFERROR(__xludf.DUMMYFUNCTION("""COMPUTED_VALUE"""),"")</f>
        <v/>
      </c>
      <c r="L839" s="189" t="str">
        <f ca="1">IFERROR(__xludf.DUMMYFUNCTION("""COMPUTED_VALUE"""),"")</f>
        <v/>
      </c>
      <c r="M839" s="189" t="str">
        <f ca="1">IFERROR(__xludf.DUMMYFUNCTION("""COMPUTED_VALUE"""),"")</f>
        <v/>
      </c>
      <c r="N839" s="189" t="str">
        <f ca="1">IFERROR(__xludf.DUMMYFUNCTION("""COMPUTED_VALUE"""),"")</f>
        <v/>
      </c>
      <c r="O839" s="189" t="str">
        <f ca="1">IFERROR(__xludf.DUMMYFUNCTION("""COMPUTED_VALUE"""),"")</f>
        <v/>
      </c>
      <c r="P839" s="189" t="str">
        <f ca="1">IFERROR(__xludf.DUMMYFUNCTION("""COMPUTED_VALUE"""),"")</f>
        <v/>
      </c>
      <c r="Q839" s="189" t="str">
        <f ca="1">IFERROR(__xludf.DUMMYFUNCTION("""COMPUTED_VALUE"""),"")</f>
        <v/>
      </c>
      <c r="R839" s="189" t="str">
        <f ca="1">IFERROR(__xludf.DUMMYFUNCTION("""COMPUTED_VALUE"""),"")</f>
        <v/>
      </c>
      <c r="S839" s="189" t="str">
        <f ca="1">IFERROR(__xludf.DUMMYFUNCTION("""COMPUTED_VALUE"""),"")</f>
        <v/>
      </c>
      <c r="T839" s="189" t="str">
        <f ca="1">IFERROR(__xludf.DUMMYFUNCTION("""COMPUTED_VALUE"""),"")</f>
        <v/>
      </c>
      <c r="U839" s="189" t="str">
        <f ca="1">IFERROR(__xludf.DUMMYFUNCTION("""COMPUTED_VALUE"""),"")</f>
        <v/>
      </c>
      <c r="V839" s="189" t="str">
        <f ca="1">IFERROR(__xludf.DUMMYFUNCTION("""COMPUTED_VALUE"""),"")</f>
        <v/>
      </c>
      <c r="W839" s="189" t="str">
        <f ca="1">IFERROR(__xludf.DUMMYFUNCTION("""COMPUTED_VALUE"""),"")</f>
        <v/>
      </c>
      <c r="X839" s="189" t="str">
        <f ca="1">IFERROR(__xludf.DUMMYFUNCTION("""COMPUTED_VALUE"""),"")</f>
        <v/>
      </c>
      <c r="Y839" s="189" t="str">
        <f ca="1">IFERROR(__xludf.DUMMYFUNCTION("""COMPUTED_VALUE"""),"")</f>
        <v/>
      </c>
      <c r="Z839" s="189"/>
    </row>
    <row r="840" spans="1:26" ht="12.75">
      <c r="A840" s="189" t="str">
        <f ca="1">IFERROR(__xludf.DUMMYFUNCTION("""COMPUTED_VALUE"""),"")</f>
        <v/>
      </c>
      <c r="B840" s="189" t="str">
        <f ca="1">IFERROR(__xludf.DUMMYFUNCTION("""COMPUTED_VALUE"""),"")</f>
        <v/>
      </c>
      <c r="C840" s="189" t="str">
        <f ca="1">IFERROR(__xludf.DUMMYFUNCTION("""COMPUTED_VALUE"""),"")</f>
        <v/>
      </c>
      <c r="D840" s="189" t="str">
        <f ca="1">IFERROR(__xludf.DUMMYFUNCTION("""COMPUTED_VALUE"""),"")</f>
        <v/>
      </c>
      <c r="E840" s="189" t="str">
        <f ca="1">IFERROR(__xludf.DUMMYFUNCTION("""COMPUTED_VALUE"""),"")</f>
        <v/>
      </c>
      <c r="F840" s="189" t="str">
        <f ca="1">IFERROR(__xludf.DUMMYFUNCTION("""COMPUTED_VALUE"""),"")</f>
        <v/>
      </c>
      <c r="G840" s="189" t="str">
        <f ca="1">IFERROR(__xludf.DUMMYFUNCTION("""COMPUTED_VALUE"""),"")</f>
        <v/>
      </c>
      <c r="H840" s="189" t="str">
        <f ca="1">IFERROR(__xludf.DUMMYFUNCTION("""COMPUTED_VALUE"""),"")</f>
        <v/>
      </c>
      <c r="I840" s="120" t="str">
        <f ca="1">IFERROR(__xludf.DUMMYFUNCTION("""COMPUTED_VALUE"""),"")</f>
        <v/>
      </c>
      <c r="J840" s="189" t="str">
        <f ca="1">IFERROR(__xludf.DUMMYFUNCTION("""COMPUTED_VALUE"""),"")</f>
        <v/>
      </c>
      <c r="K840" s="189" t="str">
        <f ca="1">IFERROR(__xludf.DUMMYFUNCTION("""COMPUTED_VALUE"""),"")</f>
        <v/>
      </c>
      <c r="L840" s="189" t="str">
        <f ca="1">IFERROR(__xludf.DUMMYFUNCTION("""COMPUTED_VALUE"""),"")</f>
        <v/>
      </c>
      <c r="M840" s="189" t="str">
        <f ca="1">IFERROR(__xludf.DUMMYFUNCTION("""COMPUTED_VALUE"""),"")</f>
        <v/>
      </c>
      <c r="N840" s="189" t="str">
        <f ca="1">IFERROR(__xludf.DUMMYFUNCTION("""COMPUTED_VALUE"""),"")</f>
        <v/>
      </c>
      <c r="O840" s="189" t="str">
        <f ca="1">IFERROR(__xludf.DUMMYFUNCTION("""COMPUTED_VALUE"""),"")</f>
        <v/>
      </c>
      <c r="P840" s="189" t="str">
        <f ca="1">IFERROR(__xludf.DUMMYFUNCTION("""COMPUTED_VALUE"""),"")</f>
        <v/>
      </c>
      <c r="Q840" s="189" t="str">
        <f ca="1">IFERROR(__xludf.DUMMYFUNCTION("""COMPUTED_VALUE"""),"")</f>
        <v/>
      </c>
      <c r="R840" s="189" t="str">
        <f ca="1">IFERROR(__xludf.DUMMYFUNCTION("""COMPUTED_VALUE"""),"")</f>
        <v/>
      </c>
      <c r="S840" s="189" t="str">
        <f ca="1">IFERROR(__xludf.DUMMYFUNCTION("""COMPUTED_VALUE"""),"")</f>
        <v/>
      </c>
      <c r="T840" s="189" t="str">
        <f ca="1">IFERROR(__xludf.DUMMYFUNCTION("""COMPUTED_VALUE"""),"")</f>
        <v/>
      </c>
      <c r="U840" s="189" t="str">
        <f ca="1">IFERROR(__xludf.DUMMYFUNCTION("""COMPUTED_VALUE"""),"")</f>
        <v/>
      </c>
      <c r="V840" s="189" t="str">
        <f ca="1">IFERROR(__xludf.DUMMYFUNCTION("""COMPUTED_VALUE"""),"")</f>
        <v/>
      </c>
      <c r="W840" s="189" t="str">
        <f ca="1">IFERROR(__xludf.DUMMYFUNCTION("""COMPUTED_VALUE"""),"")</f>
        <v/>
      </c>
      <c r="X840" s="189" t="str">
        <f ca="1">IFERROR(__xludf.DUMMYFUNCTION("""COMPUTED_VALUE"""),"")</f>
        <v/>
      </c>
      <c r="Y840" s="189" t="str">
        <f ca="1">IFERROR(__xludf.DUMMYFUNCTION("""COMPUTED_VALUE"""),"")</f>
        <v/>
      </c>
      <c r="Z840" s="189"/>
    </row>
    <row r="841" spans="1:26" ht="12.75">
      <c r="A841" s="189" t="str">
        <f ca="1">IFERROR(__xludf.DUMMYFUNCTION("""COMPUTED_VALUE"""),"")</f>
        <v/>
      </c>
      <c r="B841" s="189" t="str">
        <f ca="1">IFERROR(__xludf.DUMMYFUNCTION("""COMPUTED_VALUE"""),"")</f>
        <v/>
      </c>
      <c r="C841" s="189" t="str">
        <f ca="1">IFERROR(__xludf.DUMMYFUNCTION("""COMPUTED_VALUE"""),"")</f>
        <v/>
      </c>
      <c r="D841" s="189" t="str">
        <f ca="1">IFERROR(__xludf.DUMMYFUNCTION("""COMPUTED_VALUE"""),"")</f>
        <v/>
      </c>
      <c r="E841" s="189" t="str">
        <f ca="1">IFERROR(__xludf.DUMMYFUNCTION("""COMPUTED_VALUE"""),"")</f>
        <v/>
      </c>
      <c r="F841" s="189" t="str">
        <f ca="1">IFERROR(__xludf.DUMMYFUNCTION("""COMPUTED_VALUE"""),"")</f>
        <v/>
      </c>
      <c r="G841" s="189" t="str">
        <f ca="1">IFERROR(__xludf.DUMMYFUNCTION("""COMPUTED_VALUE"""),"")</f>
        <v/>
      </c>
      <c r="H841" s="189" t="str">
        <f ca="1">IFERROR(__xludf.DUMMYFUNCTION("""COMPUTED_VALUE"""),"")</f>
        <v/>
      </c>
      <c r="I841" s="120" t="str">
        <f ca="1">IFERROR(__xludf.DUMMYFUNCTION("""COMPUTED_VALUE"""),"")</f>
        <v/>
      </c>
      <c r="J841" s="189" t="str">
        <f ca="1">IFERROR(__xludf.DUMMYFUNCTION("""COMPUTED_VALUE"""),"")</f>
        <v/>
      </c>
      <c r="K841" s="189" t="str">
        <f ca="1">IFERROR(__xludf.DUMMYFUNCTION("""COMPUTED_VALUE"""),"")</f>
        <v/>
      </c>
      <c r="L841" s="189" t="str">
        <f ca="1">IFERROR(__xludf.DUMMYFUNCTION("""COMPUTED_VALUE"""),"")</f>
        <v/>
      </c>
      <c r="M841" s="189" t="str">
        <f ca="1">IFERROR(__xludf.DUMMYFUNCTION("""COMPUTED_VALUE"""),"")</f>
        <v/>
      </c>
      <c r="N841" s="189" t="str">
        <f ca="1">IFERROR(__xludf.DUMMYFUNCTION("""COMPUTED_VALUE"""),"")</f>
        <v/>
      </c>
      <c r="O841" s="189" t="str">
        <f ca="1">IFERROR(__xludf.DUMMYFUNCTION("""COMPUTED_VALUE"""),"")</f>
        <v/>
      </c>
      <c r="P841" s="189" t="str">
        <f ca="1">IFERROR(__xludf.DUMMYFUNCTION("""COMPUTED_VALUE"""),"")</f>
        <v/>
      </c>
      <c r="Q841" s="189" t="str">
        <f ca="1">IFERROR(__xludf.DUMMYFUNCTION("""COMPUTED_VALUE"""),"")</f>
        <v/>
      </c>
      <c r="R841" s="189" t="str">
        <f ca="1">IFERROR(__xludf.DUMMYFUNCTION("""COMPUTED_VALUE"""),"")</f>
        <v/>
      </c>
      <c r="S841" s="189" t="str">
        <f ca="1">IFERROR(__xludf.DUMMYFUNCTION("""COMPUTED_VALUE"""),"")</f>
        <v/>
      </c>
      <c r="T841" s="189" t="str">
        <f ca="1">IFERROR(__xludf.DUMMYFUNCTION("""COMPUTED_VALUE"""),"")</f>
        <v/>
      </c>
      <c r="U841" s="189" t="str">
        <f ca="1">IFERROR(__xludf.DUMMYFUNCTION("""COMPUTED_VALUE"""),"")</f>
        <v/>
      </c>
      <c r="V841" s="189" t="str">
        <f ca="1">IFERROR(__xludf.DUMMYFUNCTION("""COMPUTED_VALUE"""),"")</f>
        <v/>
      </c>
      <c r="W841" s="189" t="str">
        <f ca="1">IFERROR(__xludf.DUMMYFUNCTION("""COMPUTED_VALUE"""),"")</f>
        <v/>
      </c>
      <c r="X841" s="189" t="str">
        <f ca="1">IFERROR(__xludf.DUMMYFUNCTION("""COMPUTED_VALUE"""),"")</f>
        <v/>
      </c>
      <c r="Y841" s="189" t="str">
        <f ca="1">IFERROR(__xludf.DUMMYFUNCTION("""COMPUTED_VALUE"""),"")</f>
        <v/>
      </c>
      <c r="Z841" s="189"/>
    </row>
    <row r="842" spans="1:26" ht="12.75">
      <c r="A842" s="189" t="str">
        <f ca="1">IFERROR(__xludf.DUMMYFUNCTION("""COMPUTED_VALUE"""),"")</f>
        <v/>
      </c>
      <c r="B842" s="189" t="str">
        <f ca="1">IFERROR(__xludf.DUMMYFUNCTION("""COMPUTED_VALUE"""),"")</f>
        <v/>
      </c>
      <c r="C842" s="189" t="str">
        <f ca="1">IFERROR(__xludf.DUMMYFUNCTION("""COMPUTED_VALUE"""),"")</f>
        <v/>
      </c>
      <c r="D842" s="189" t="str">
        <f ca="1">IFERROR(__xludf.DUMMYFUNCTION("""COMPUTED_VALUE"""),"")</f>
        <v/>
      </c>
      <c r="E842" s="189" t="str">
        <f ca="1">IFERROR(__xludf.DUMMYFUNCTION("""COMPUTED_VALUE"""),"")</f>
        <v/>
      </c>
      <c r="F842" s="189" t="str">
        <f ca="1">IFERROR(__xludf.DUMMYFUNCTION("""COMPUTED_VALUE"""),"")</f>
        <v/>
      </c>
      <c r="G842" s="189" t="str">
        <f ca="1">IFERROR(__xludf.DUMMYFUNCTION("""COMPUTED_VALUE"""),"")</f>
        <v/>
      </c>
      <c r="H842" s="189" t="str">
        <f ca="1">IFERROR(__xludf.DUMMYFUNCTION("""COMPUTED_VALUE"""),"")</f>
        <v/>
      </c>
      <c r="I842" s="120" t="str">
        <f ca="1">IFERROR(__xludf.DUMMYFUNCTION("""COMPUTED_VALUE"""),"")</f>
        <v/>
      </c>
      <c r="J842" s="189" t="str">
        <f ca="1">IFERROR(__xludf.DUMMYFUNCTION("""COMPUTED_VALUE"""),"")</f>
        <v/>
      </c>
      <c r="K842" s="189" t="str">
        <f ca="1">IFERROR(__xludf.DUMMYFUNCTION("""COMPUTED_VALUE"""),"")</f>
        <v/>
      </c>
      <c r="L842" s="189" t="str">
        <f ca="1">IFERROR(__xludf.DUMMYFUNCTION("""COMPUTED_VALUE"""),"")</f>
        <v/>
      </c>
      <c r="M842" s="189" t="str">
        <f ca="1">IFERROR(__xludf.DUMMYFUNCTION("""COMPUTED_VALUE"""),"")</f>
        <v/>
      </c>
      <c r="N842" s="189" t="str">
        <f ca="1">IFERROR(__xludf.DUMMYFUNCTION("""COMPUTED_VALUE"""),"")</f>
        <v/>
      </c>
      <c r="O842" s="189" t="str">
        <f ca="1">IFERROR(__xludf.DUMMYFUNCTION("""COMPUTED_VALUE"""),"")</f>
        <v/>
      </c>
      <c r="P842" s="189" t="str">
        <f ca="1">IFERROR(__xludf.DUMMYFUNCTION("""COMPUTED_VALUE"""),"")</f>
        <v/>
      </c>
      <c r="Q842" s="189" t="str">
        <f ca="1">IFERROR(__xludf.DUMMYFUNCTION("""COMPUTED_VALUE"""),"")</f>
        <v/>
      </c>
      <c r="R842" s="189" t="str">
        <f ca="1">IFERROR(__xludf.DUMMYFUNCTION("""COMPUTED_VALUE"""),"")</f>
        <v/>
      </c>
      <c r="S842" s="189" t="str">
        <f ca="1">IFERROR(__xludf.DUMMYFUNCTION("""COMPUTED_VALUE"""),"")</f>
        <v/>
      </c>
      <c r="T842" s="189" t="str">
        <f ca="1">IFERROR(__xludf.DUMMYFUNCTION("""COMPUTED_VALUE"""),"")</f>
        <v/>
      </c>
      <c r="U842" s="189" t="str">
        <f ca="1">IFERROR(__xludf.DUMMYFUNCTION("""COMPUTED_VALUE"""),"")</f>
        <v/>
      </c>
      <c r="V842" s="189" t="str">
        <f ca="1">IFERROR(__xludf.DUMMYFUNCTION("""COMPUTED_VALUE"""),"")</f>
        <v/>
      </c>
      <c r="W842" s="189" t="str">
        <f ca="1">IFERROR(__xludf.DUMMYFUNCTION("""COMPUTED_VALUE"""),"")</f>
        <v/>
      </c>
      <c r="X842" s="189" t="str">
        <f ca="1">IFERROR(__xludf.DUMMYFUNCTION("""COMPUTED_VALUE"""),"")</f>
        <v/>
      </c>
      <c r="Y842" s="189" t="str">
        <f ca="1">IFERROR(__xludf.DUMMYFUNCTION("""COMPUTED_VALUE"""),"")</f>
        <v/>
      </c>
      <c r="Z842" s="189"/>
    </row>
    <row r="843" spans="1:26" ht="12.75">
      <c r="A843" s="189" t="str">
        <f ca="1">IFERROR(__xludf.DUMMYFUNCTION("""COMPUTED_VALUE"""),"")</f>
        <v/>
      </c>
      <c r="B843" s="189" t="str">
        <f ca="1">IFERROR(__xludf.DUMMYFUNCTION("""COMPUTED_VALUE"""),"")</f>
        <v/>
      </c>
      <c r="C843" s="189" t="str">
        <f ca="1">IFERROR(__xludf.DUMMYFUNCTION("""COMPUTED_VALUE"""),"")</f>
        <v/>
      </c>
      <c r="D843" s="189" t="str">
        <f ca="1">IFERROR(__xludf.DUMMYFUNCTION("""COMPUTED_VALUE"""),"")</f>
        <v/>
      </c>
      <c r="E843" s="189" t="str">
        <f ca="1">IFERROR(__xludf.DUMMYFUNCTION("""COMPUTED_VALUE"""),"")</f>
        <v/>
      </c>
      <c r="F843" s="189" t="str">
        <f ca="1">IFERROR(__xludf.DUMMYFUNCTION("""COMPUTED_VALUE"""),"")</f>
        <v/>
      </c>
      <c r="G843" s="189" t="str">
        <f ca="1">IFERROR(__xludf.DUMMYFUNCTION("""COMPUTED_VALUE"""),"")</f>
        <v/>
      </c>
      <c r="H843" s="189" t="str">
        <f ca="1">IFERROR(__xludf.DUMMYFUNCTION("""COMPUTED_VALUE"""),"")</f>
        <v/>
      </c>
      <c r="I843" s="120" t="str">
        <f ca="1">IFERROR(__xludf.DUMMYFUNCTION("""COMPUTED_VALUE"""),"")</f>
        <v/>
      </c>
      <c r="J843" s="189" t="str">
        <f ca="1">IFERROR(__xludf.DUMMYFUNCTION("""COMPUTED_VALUE"""),"")</f>
        <v/>
      </c>
      <c r="K843" s="189" t="str">
        <f ca="1">IFERROR(__xludf.DUMMYFUNCTION("""COMPUTED_VALUE"""),"")</f>
        <v/>
      </c>
      <c r="L843" s="189" t="str">
        <f ca="1">IFERROR(__xludf.DUMMYFUNCTION("""COMPUTED_VALUE"""),"")</f>
        <v/>
      </c>
      <c r="M843" s="189" t="str">
        <f ca="1">IFERROR(__xludf.DUMMYFUNCTION("""COMPUTED_VALUE"""),"")</f>
        <v/>
      </c>
      <c r="N843" s="189" t="str">
        <f ca="1">IFERROR(__xludf.DUMMYFUNCTION("""COMPUTED_VALUE"""),"")</f>
        <v/>
      </c>
      <c r="O843" s="189" t="str">
        <f ca="1">IFERROR(__xludf.DUMMYFUNCTION("""COMPUTED_VALUE"""),"")</f>
        <v/>
      </c>
      <c r="P843" s="189" t="str">
        <f ca="1">IFERROR(__xludf.DUMMYFUNCTION("""COMPUTED_VALUE"""),"")</f>
        <v/>
      </c>
      <c r="Q843" s="189" t="str">
        <f ca="1">IFERROR(__xludf.DUMMYFUNCTION("""COMPUTED_VALUE"""),"")</f>
        <v/>
      </c>
      <c r="R843" s="189" t="str">
        <f ca="1">IFERROR(__xludf.DUMMYFUNCTION("""COMPUTED_VALUE"""),"")</f>
        <v/>
      </c>
      <c r="S843" s="189" t="str">
        <f ca="1">IFERROR(__xludf.DUMMYFUNCTION("""COMPUTED_VALUE"""),"")</f>
        <v/>
      </c>
      <c r="T843" s="189" t="str">
        <f ca="1">IFERROR(__xludf.DUMMYFUNCTION("""COMPUTED_VALUE"""),"")</f>
        <v/>
      </c>
      <c r="U843" s="189" t="str">
        <f ca="1">IFERROR(__xludf.DUMMYFUNCTION("""COMPUTED_VALUE"""),"")</f>
        <v/>
      </c>
      <c r="V843" s="189" t="str">
        <f ca="1">IFERROR(__xludf.DUMMYFUNCTION("""COMPUTED_VALUE"""),"")</f>
        <v/>
      </c>
      <c r="W843" s="189" t="str">
        <f ca="1">IFERROR(__xludf.DUMMYFUNCTION("""COMPUTED_VALUE"""),"")</f>
        <v/>
      </c>
      <c r="X843" s="189" t="str">
        <f ca="1">IFERROR(__xludf.DUMMYFUNCTION("""COMPUTED_VALUE"""),"")</f>
        <v/>
      </c>
      <c r="Y843" s="189" t="str">
        <f ca="1">IFERROR(__xludf.DUMMYFUNCTION("""COMPUTED_VALUE"""),"")</f>
        <v/>
      </c>
      <c r="Z843" s="189"/>
    </row>
    <row r="844" spans="1:26" ht="12.75">
      <c r="A844" s="189" t="str">
        <f ca="1">IFERROR(__xludf.DUMMYFUNCTION("""COMPUTED_VALUE"""),"")</f>
        <v/>
      </c>
      <c r="B844" s="189" t="str">
        <f ca="1">IFERROR(__xludf.DUMMYFUNCTION("""COMPUTED_VALUE"""),"")</f>
        <v/>
      </c>
      <c r="C844" s="189" t="str">
        <f ca="1">IFERROR(__xludf.DUMMYFUNCTION("""COMPUTED_VALUE"""),"")</f>
        <v/>
      </c>
      <c r="D844" s="189" t="str">
        <f ca="1">IFERROR(__xludf.DUMMYFUNCTION("""COMPUTED_VALUE"""),"")</f>
        <v/>
      </c>
      <c r="E844" s="189" t="str">
        <f ca="1">IFERROR(__xludf.DUMMYFUNCTION("""COMPUTED_VALUE"""),"")</f>
        <v/>
      </c>
      <c r="F844" s="189" t="str">
        <f ca="1">IFERROR(__xludf.DUMMYFUNCTION("""COMPUTED_VALUE"""),"")</f>
        <v/>
      </c>
      <c r="G844" s="189" t="str">
        <f ca="1">IFERROR(__xludf.DUMMYFUNCTION("""COMPUTED_VALUE"""),"")</f>
        <v/>
      </c>
      <c r="H844" s="189" t="str">
        <f ca="1">IFERROR(__xludf.DUMMYFUNCTION("""COMPUTED_VALUE"""),"")</f>
        <v/>
      </c>
      <c r="I844" s="120" t="str">
        <f ca="1">IFERROR(__xludf.DUMMYFUNCTION("""COMPUTED_VALUE"""),"")</f>
        <v/>
      </c>
      <c r="J844" s="189" t="str">
        <f ca="1">IFERROR(__xludf.DUMMYFUNCTION("""COMPUTED_VALUE"""),"")</f>
        <v/>
      </c>
      <c r="K844" s="189" t="str">
        <f ca="1">IFERROR(__xludf.DUMMYFUNCTION("""COMPUTED_VALUE"""),"")</f>
        <v/>
      </c>
      <c r="L844" s="189" t="str">
        <f ca="1">IFERROR(__xludf.DUMMYFUNCTION("""COMPUTED_VALUE"""),"")</f>
        <v/>
      </c>
      <c r="M844" s="189" t="str">
        <f ca="1">IFERROR(__xludf.DUMMYFUNCTION("""COMPUTED_VALUE"""),"")</f>
        <v/>
      </c>
      <c r="N844" s="189" t="str">
        <f ca="1">IFERROR(__xludf.DUMMYFUNCTION("""COMPUTED_VALUE"""),"")</f>
        <v/>
      </c>
      <c r="O844" s="189" t="str">
        <f ca="1">IFERROR(__xludf.DUMMYFUNCTION("""COMPUTED_VALUE"""),"")</f>
        <v/>
      </c>
      <c r="P844" s="189" t="str">
        <f ca="1">IFERROR(__xludf.DUMMYFUNCTION("""COMPUTED_VALUE"""),"")</f>
        <v/>
      </c>
      <c r="Q844" s="189" t="str">
        <f ca="1">IFERROR(__xludf.DUMMYFUNCTION("""COMPUTED_VALUE"""),"")</f>
        <v/>
      </c>
      <c r="R844" s="189" t="str">
        <f ca="1">IFERROR(__xludf.DUMMYFUNCTION("""COMPUTED_VALUE"""),"")</f>
        <v/>
      </c>
      <c r="S844" s="189" t="str">
        <f ca="1">IFERROR(__xludf.DUMMYFUNCTION("""COMPUTED_VALUE"""),"")</f>
        <v/>
      </c>
      <c r="T844" s="189" t="str">
        <f ca="1">IFERROR(__xludf.DUMMYFUNCTION("""COMPUTED_VALUE"""),"")</f>
        <v/>
      </c>
      <c r="U844" s="189" t="str">
        <f ca="1">IFERROR(__xludf.DUMMYFUNCTION("""COMPUTED_VALUE"""),"")</f>
        <v/>
      </c>
      <c r="V844" s="189" t="str">
        <f ca="1">IFERROR(__xludf.DUMMYFUNCTION("""COMPUTED_VALUE"""),"")</f>
        <v/>
      </c>
      <c r="W844" s="189" t="str">
        <f ca="1">IFERROR(__xludf.DUMMYFUNCTION("""COMPUTED_VALUE"""),"")</f>
        <v/>
      </c>
      <c r="X844" s="189" t="str">
        <f ca="1">IFERROR(__xludf.DUMMYFUNCTION("""COMPUTED_VALUE"""),"")</f>
        <v/>
      </c>
      <c r="Y844" s="189" t="str">
        <f ca="1">IFERROR(__xludf.DUMMYFUNCTION("""COMPUTED_VALUE"""),"")</f>
        <v/>
      </c>
      <c r="Z844" s="189"/>
    </row>
    <row r="845" spans="1:26" ht="12.75">
      <c r="A845" s="189" t="str">
        <f ca="1">IFERROR(__xludf.DUMMYFUNCTION("""COMPUTED_VALUE"""),"")</f>
        <v/>
      </c>
      <c r="B845" s="189" t="str">
        <f ca="1">IFERROR(__xludf.DUMMYFUNCTION("""COMPUTED_VALUE"""),"")</f>
        <v/>
      </c>
      <c r="C845" s="189" t="str">
        <f ca="1">IFERROR(__xludf.DUMMYFUNCTION("""COMPUTED_VALUE"""),"")</f>
        <v/>
      </c>
      <c r="D845" s="189" t="str">
        <f ca="1">IFERROR(__xludf.DUMMYFUNCTION("""COMPUTED_VALUE"""),"")</f>
        <v/>
      </c>
      <c r="E845" s="189" t="str">
        <f ca="1">IFERROR(__xludf.DUMMYFUNCTION("""COMPUTED_VALUE"""),"")</f>
        <v/>
      </c>
      <c r="F845" s="189" t="str">
        <f ca="1">IFERROR(__xludf.DUMMYFUNCTION("""COMPUTED_VALUE"""),"")</f>
        <v/>
      </c>
      <c r="G845" s="189" t="str">
        <f ca="1">IFERROR(__xludf.DUMMYFUNCTION("""COMPUTED_VALUE"""),"")</f>
        <v/>
      </c>
      <c r="H845" s="189" t="str">
        <f ca="1">IFERROR(__xludf.DUMMYFUNCTION("""COMPUTED_VALUE"""),"")</f>
        <v/>
      </c>
      <c r="I845" s="120" t="str">
        <f ca="1">IFERROR(__xludf.DUMMYFUNCTION("""COMPUTED_VALUE"""),"")</f>
        <v/>
      </c>
      <c r="J845" s="189" t="str">
        <f ca="1">IFERROR(__xludf.DUMMYFUNCTION("""COMPUTED_VALUE"""),"")</f>
        <v/>
      </c>
      <c r="K845" s="189" t="str">
        <f ca="1">IFERROR(__xludf.DUMMYFUNCTION("""COMPUTED_VALUE"""),"")</f>
        <v/>
      </c>
      <c r="L845" s="189" t="str">
        <f ca="1">IFERROR(__xludf.DUMMYFUNCTION("""COMPUTED_VALUE"""),"")</f>
        <v/>
      </c>
      <c r="M845" s="189" t="str">
        <f ca="1">IFERROR(__xludf.DUMMYFUNCTION("""COMPUTED_VALUE"""),"")</f>
        <v/>
      </c>
      <c r="N845" s="189" t="str">
        <f ca="1">IFERROR(__xludf.DUMMYFUNCTION("""COMPUTED_VALUE"""),"")</f>
        <v/>
      </c>
      <c r="O845" s="189" t="str">
        <f ca="1">IFERROR(__xludf.DUMMYFUNCTION("""COMPUTED_VALUE"""),"")</f>
        <v/>
      </c>
      <c r="P845" s="189" t="str">
        <f ca="1">IFERROR(__xludf.DUMMYFUNCTION("""COMPUTED_VALUE"""),"")</f>
        <v/>
      </c>
      <c r="Q845" s="189" t="str">
        <f ca="1">IFERROR(__xludf.DUMMYFUNCTION("""COMPUTED_VALUE"""),"")</f>
        <v/>
      </c>
      <c r="R845" s="189" t="str">
        <f ca="1">IFERROR(__xludf.DUMMYFUNCTION("""COMPUTED_VALUE"""),"")</f>
        <v/>
      </c>
      <c r="S845" s="189" t="str">
        <f ca="1">IFERROR(__xludf.DUMMYFUNCTION("""COMPUTED_VALUE"""),"")</f>
        <v/>
      </c>
      <c r="T845" s="189" t="str">
        <f ca="1">IFERROR(__xludf.DUMMYFUNCTION("""COMPUTED_VALUE"""),"")</f>
        <v/>
      </c>
      <c r="U845" s="189" t="str">
        <f ca="1">IFERROR(__xludf.DUMMYFUNCTION("""COMPUTED_VALUE"""),"")</f>
        <v/>
      </c>
      <c r="V845" s="189" t="str">
        <f ca="1">IFERROR(__xludf.DUMMYFUNCTION("""COMPUTED_VALUE"""),"")</f>
        <v/>
      </c>
      <c r="W845" s="189" t="str">
        <f ca="1">IFERROR(__xludf.DUMMYFUNCTION("""COMPUTED_VALUE"""),"")</f>
        <v/>
      </c>
      <c r="X845" s="189" t="str">
        <f ca="1">IFERROR(__xludf.DUMMYFUNCTION("""COMPUTED_VALUE"""),"")</f>
        <v/>
      </c>
      <c r="Y845" s="189" t="str">
        <f ca="1">IFERROR(__xludf.DUMMYFUNCTION("""COMPUTED_VALUE"""),"")</f>
        <v/>
      </c>
      <c r="Z845" s="189"/>
    </row>
    <row r="846" spans="1:26" ht="12.75">
      <c r="A846" s="189" t="str">
        <f ca="1">IFERROR(__xludf.DUMMYFUNCTION("""COMPUTED_VALUE"""),"")</f>
        <v/>
      </c>
      <c r="B846" s="189" t="str">
        <f ca="1">IFERROR(__xludf.DUMMYFUNCTION("""COMPUTED_VALUE"""),"")</f>
        <v/>
      </c>
      <c r="C846" s="189" t="str">
        <f ca="1">IFERROR(__xludf.DUMMYFUNCTION("""COMPUTED_VALUE"""),"")</f>
        <v/>
      </c>
      <c r="D846" s="189" t="str">
        <f ca="1">IFERROR(__xludf.DUMMYFUNCTION("""COMPUTED_VALUE"""),"")</f>
        <v/>
      </c>
      <c r="E846" s="189" t="str">
        <f ca="1">IFERROR(__xludf.DUMMYFUNCTION("""COMPUTED_VALUE"""),"")</f>
        <v/>
      </c>
      <c r="F846" s="189" t="str">
        <f ca="1">IFERROR(__xludf.DUMMYFUNCTION("""COMPUTED_VALUE"""),"")</f>
        <v/>
      </c>
      <c r="G846" s="189" t="str">
        <f ca="1">IFERROR(__xludf.DUMMYFUNCTION("""COMPUTED_VALUE"""),"")</f>
        <v/>
      </c>
      <c r="H846" s="189" t="str">
        <f ca="1">IFERROR(__xludf.DUMMYFUNCTION("""COMPUTED_VALUE"""),"")</f>
        <v/>
      </c>
      <c r="I846" s="120" t="str">
        <f ca="1">IFERROR(__xludf.DUMMYFUNCTION("""COMPUTED_VALUE"""),"")</f>
        <v/>
      </c>
      <c r="J846" s="189" t="str">
        <f ca="1">IFERROR(__xludf.DUMMYFUNCTION("""COMPUTED_VALUE"""),"")</f>
        <v/>
      </c>
      <c r="K846" s="189" t="str">
        <f ca="1">IFERROR(__xludf.DUMMYFUNCTION("""COMPUTED_VALUE"""),"")</f>
        <v/>
      </c>
      <c r="L846" s="189" t="str">
        <f ca="1">IFERROR(__xludf.DUMMYFUNCTION("""COMPUTED_VALUE"""),"")</f>
        <v/>
      </c>
      <c r="M846" s="189" t="str">
        <f ca="1">IFERROR(__xludf.DUMMYFUNCTION("""COMPUTED_VALUE"""),"")</f>
        <v/>
      </c>
      <c r="N846" s="189" t="str">
        <f ca="1">IFERROR(__xludf.DUMMYFUNCTION("""COMPUTED_VALUE"""),"")</f>
        <v/>
      </c>
      <c r="O846" s="189" t="str">
        <f ca="1">IFERROR(__xludf.DUMMYFUNCTION("""COMPUTED_VALUE"""),"")</f>
        <v/>
      </c>
      <c r="P846" s="189" t="str">
        <f ca="1">IFERROR(__xludf.DUMMYFUNCTION("""COMPUTED_VALUE"""),"")</f>
        <v/>
      </c>
      <c r="Q846" s="189" t="str">
        <f ca="1">IFERROR(__xludf.DUMMYFUNCTION("""COMPUTED_VALUE"""),"")</f>
        <v/>
      </c>
      <c r="R846" s="189" t="str">
        <f ca="1">IFERROR(__xludf.DUMMYFUNCTION("""COMPUTED_VALUE"""),"")</f>
        <v/>
      </c>
      <c r="S846" s="189" t="str">
        <f ca="1">IFERROR(__xludf.DUMMYFUNCTION("""COMPUTED_VALUE"""),"")</f>
        <v/>
      </c>
      <c r="T846" s="189" t="str">
        <f ca="1">IFERROR(__xludf.DUMMYFUNCTION("""COMPUTED_VALUE"""),"")</f>
        <v/>
      </c>
      <c r="U846" s="189" t="str">
        <f ca="1">IFERROR(__xludf.DUMMYFUNCTION("""COMPUTED_VALUE"""),"")</f>
        <v/>
      </c>
      <c r="V846" s="189" t="str">
        <f ca="1">IFERROR(__xludf.DUMMYFUNCTION("""COMPUTED_VALUE"""),"")</f>
        <v/>
      </c>
      <c r="W846" s="189" t="str">
        <f ca="1">IFERROR(__xludf.DUMMYFUNCTION("""COMPUTED_VALUE"""),"")</f>
        <v/>
      </c>
      <c r="X846" s="189" t="str">
        <f ca="1">IFERROR(__xludf.DUMMYFUNCTION("""COMPUTED_VALUE"""),"")</f>
        <v/>
      </c>
      <c r="Y846" s="189" t="str">
        <f ca="1">IFERROR(__xludf.DUMMYFUNCTION("""COMPUTED_VALUE"""),"")</f>
        <v/>
      </c>
      <c r="Z846" s="189"/>
    </row>
    <row r="847" spans="1:26" ht="12.75">
      <c r="A847" s="189" t="str">
        <f ca="1">IFERROR(__xludf.DUMMYFUNCTION("""COMPUTED_VALUE"""),"")</f>
        <v/>
      </c>
      <c r="B847" s="189" t="str">
        <f ca="1">IFERROR(__xludf.DUMMYFUNCTION("""COMPUTED_VALUE"""),"")</f>
        <v/>
      </c>
      <c r="C847" s="189" t="str">
        <f ca="1">IFERROR(__xludf.DUMMYFUNCTION("""COMPUTED_VALUE"""),"")</f>
        <v/>
      </c>
      <c r="D847" s="189" t="str">
        <f ca="1">IFERROR(__xludf.DUMMYFUNCTION("""COMPUTED_VALUE"""),"")</f>
        <v/>
      </c>
      <c r="E847" s="189" t="str">
        <f ca="1">IFERROR(__xludf.DUMMYFUNCTION("""COMPUTED_VALUE"""),"")</f>
        <v/>
      </c>
      <c r="F847" s="189" t="str">
        <f ca="1">IFERROR(__xludf.DUMMYFUNCTION("""COMPUTED_VALUE"""),"")</f>
        <v/>
      </c>
      <c r="G847" s="189" t="str">
        <f ca="1">IFERROR(__xludf.DUMMYFUNCTION("""COMPUTED_VALUE"""),"")</f>
        <v/>
      </c>
      <c r="H847" s="189" t="str">
        <f ca="1">IFERROR(__xludf.DUMMYFUNCTION("""COMPUTED_VALUE"""),"")</f>
        <v/>
      </c>
      <c r="I847" s="120" t="str">
        <f ca="1">IFERROR(__xludf.DUMMYFUNCTION("""COMPUTED_VALUE"""),"")</f>
        <v/>
      </c>
      <c r="J847" s="189" t="str">
        <f ca="1">IFERROR(__xludf.DUMMYFUNCTION("""COMPUTED_VALUE"""),"")</f>
        <v/>
      </c>
      <c r="K847" s="189" t="str">
        <f ca="1">IFERROR(__xludf.DUMMYFUNCTION("""COMPUTED_VALUE"""),"")</f>
        <v/>
      </c>
      <c r="L847" s="189" t="str">
        <f ca="1">IFERROR(__xludf.DUMMYFUNCTION("""COMPUTED_VALUE"""),"")</f>
        <v/>
      </c>
      <c r="M847" s="189" t="str">
        <f ca="1">IFERROR(__xludf.DUMMYFUNCTION("""COMPUTED_VALUE"""),"")</f>
        <v/>
      </c>
      <c r="N847" s="189" t="str">
        <f ca="1">IFERROR(__xludf.DUMMYFUNCTION("""COMPUTED_VALUE"""),"")</f>
        <v/>
      </c>
      <c r="O847" s="189" t="str">
        <f ca="1">IFERROR(__xludf.DUMMYFUNCTION("""COMPUTED_VALUE"""),"")</f>
        <v/>
      </c>
      <c r="P847" s="189" t="str">
        <f ca="1">IFERROR(__xludf.DUMMYFUNCTION("""COMPUTED_VALUE"""),"")</f>
        <v/>
      </c>
      <c r="Q847" s="189" t="str">
        <f ca="1">IFERROR(__xludf.DUMMYFUNCTION("""COMPUTED_VALUE"""),"")</f>
        <v/>
      </c>
      <c r="R847" s="189" t="str">
        <f ca="1">IFERROR(__xludf.DUMMYFUNCTION("""COMPUTED_VALUE"""),"")</f>
        <v/>
      </c>
      <c r="S847" s="189" t="str">
        <f ca="1">IFERROR(__xludf.DUMMYFUNCTION("""COMPUTED_VALUE"""),"")</f>
        <v/>
      </c>
      <c r="T847" s="189" t="str">
        <f ca="1">IFERROR(__xludf.DUMMYFUNCTION("""COMPUTED_VALUE"""),"")</f>
        <v/>
      </c>
      <c r="U847" s="189" t="str">
        <f ca="1">IFERROR(__xludf.DUMMYFUNCTION("""COMPUTED_VALUE"""),"")</f>
        <v/>
      </c>
      <c r="V847" s="189" t="str">
        <f ca="1">IFERROR(__xludf.DUMMYFUNCTION("""COMPUTED_VALUE"""),"")</f>
        <v/>
      </c>
      <c r="W847" s="189" t="str">
        <f ca="1">IFERROR(__xludf.DUMMYFUNCTION("""COMPUTED_VALUE"""),"")</f>
        <v/>
      </c>
      <c r="X847" s="189" t="str">
        <f ca="1">IFERROR(__xludf.DUMMYFUNCTION("""COMPUTED_VALUE"""),"")</f>
        <v/>
      </c>
      <c r="Y847" s="189" t="str">
        <f ca="1">IFERROR(__xludf.DUMMYFUNCTION("""COMPUTED_VALUE"""),"")</f>
        <v/>
      </c>
      <c r="Z847" s="189"/>
    </row>
    <row r="848" spans="1:26" ht="12.75">
      <c r="A848" s="189" t="str">
        <f ca="1">IFERROR(__xludf.DUMMYFUNCTION("""COMPUTED_VALUE"""),"")</f>
        <v/>
      </c>
      <c r="B848" s="189" t="str">
        <f ca="1">IFERROR(__xludf.DUMMYFUNCTION("""COMPUTED_VALUE"""),"")</f>
        <v/>
      </c>
      <c r="C848" s="189" t="str">
        <f ca="1">IFERROR(__xludf.DUMMYFUNCTION("""COMPUTED_VALUE"""),"")</f>
        <v/>
      </c>
      <c r="D848" s="189" t="str">
        <f ca="1">IFERROR(__xludf.DUMMYFUNCTION("""COMPUTED_VALUE"""),"")</f>
        <v/>
      </c>
      <c r="E848" s="189" t="str">
        <f ca="1">IFERROR(__xludf.DUMMYFUNCTION("""COMPUTED_VALUE"""),"")</f>
        <v/>
      </c>
      <c r="F848" s="189" t="str">
        <f ca="1">IFERROR(__xludf.DUMMYFUNCTION("""COMPUTED_VALUE"""),"")</f>
        <v/>
      </c>
      <c r="G848" s="189" t="str">
        <f ca="1">IFERROR(__xludf.DUMMYFUNCTION("""COMPUTED_VALUE"""),"")</f>
        <v/>
      </c>
      <c r="H848" s="189" t="str">
        <f ca="1">IFERROR(__xludf.DUMMYFUNCTION("""COMPUTED_VALUE"""),"")</f>
        <v/>
      </c>
      <c r="I848" s="120" t="str">
        <f ca="1">IFERROR(__xludf.DUMMYFUNCTION("""COMPUTED_VALUE"""),"")</f>
        <v/>
      </c>
      <c r="J848" s="189" t="str">
        <f ca="1">IFERROR(__xludf.DUMMYFUNCTION("""COMPUTED_VALUE"""),"")</f>
        <v/>
      </c>
      <c r="K848" s="189" t="str">
        <f ca="1">IFERROR(__xludf.DUMMYFUNCTION("""COMPUTED_VALUE"""),"")</f>
        <v/>
      </c>
      <c r="L848" s="189" t="str">
        <f ca="1">IFERROR(__xludf.DUMMYFUNCTION("""COMPUTED_VALUE"""),"")</f>
        <v/>
      </c>
      <c r="M848" s="189" t="str">
        <f ca="1">IFERROR(__xludf.DUMMYFUNCTION("""COMPUTED_VALUE"""),"")</f>
        <v/>
      </c>
      <c r="N848" s="189" t="str">
        <f ca="1">IFERROR(__xludf.DUMMYFUNCTION("""COMPUTED_VALUE"""),"")</f>
        <v/>
      </c>
      <c r="O848" s="189" t="str">
        <f ca="1">IFERROR(__xludf.DUMMYFUNCTION("""COMPUTED_VALUE"""),"")</f>
        <v/>
      </c>
      <c r="P848" s="189" t="str">
        <f ca="1">IFERROR(__xludf.DUMMYFUNCTION("""COMPUTED_VALUE"""),"")</f>
        <v/>
      </c>
      <c r="Q848" s="189" t="str">
        <f ca="1">IFERROR(__xludf.DUMMYFUNCTION("""COMPUTED_VALUE"""),"")</f>
        <v/>
      </c>
      <c r="R848" s="189" t="str">
        <f ca="1">IFERROR(__xludf.DUMMYFUNCTION("""COMPUTED_VALUE"""),"")</f>
        <v/>
      </c>
      <c r="S848" s="189" t="str">
        <f ca="1">IFERROR(__xludf.DUMMYFUNCTION("""COMPUTED_VALUE"""),"")</f>
        <v/>
      </c>
      <c r="T848" s="189" t="str">
        <f ca="1">IFERROR(__xludf.DUMMYFUNCTION("""COMPUTED_VALUE"""),"")</f>
        <v/>
      </c>
      <c r="U848" s="189" t="str">
        <f ca="1">IFERROR(__xludf.DUMMYFUNCTION("""COMPUTED_VALUE"""),"")</f>
        <v/>
      </c>
      <c r="V848" s="189" t="str">
        <f ca="1">IFERROR(__xludf.DUMMYFUNCTION("""COMPUTED_VALUE"""),"")</f>
        <v/>
      </c>
      <c r="W848" s="189" t="str">
        <f ca="1">IFERROR(__xludf.DUMMYFUNCTION("""COMPUTED_VALUE"""),"")</f>
        <v/>
      </c>
      <c r="X848" s="189" t="str">
        <f ca="1">IFERROR(__xludf.DUMMYFUNCTION("""COMPUTED_VALUE"""),"")</f>
        <v/>
      </c>
      <c r="Y848" s="189" t="str">
        <f ca="1">IFERROR(__xludf.DUMMYFUNCTION("""COMPUTED_VALUE"""),"")</f>
        <v/>
      </c>
      <c r="Z848" s="189"/>
    </row>
    <row r="849" spans="1:26" ht="12.75">
      <c r="A849" s="189" t="str">
        <f ca="1">IFERROR(__xludf.DUMMYFUNCTION("""COMPUTED_VALUE"""),"")</f>
        <v/>
      </c>
      <c r="B849" s="189" t="str">
        <f ca="1">IFERROR(__xludf.DUMMYFUNCTION("""COMPUTED_VALUE"""),"")</f>
        <v/>
      </c>
      <c r="C849" s="189" t="str">
        <f ca="1">IFERROR(__xludf.DUMMYFUNCTION("""COMPUTED_VALUE"""),"")</f>
        <v/>
      </c>
      <c r="D849" s="189" t="str">
        <f ca="1">IFERROR(__xludf.DUMMYFUNCTION("""COMPUTED_VALUE"""),"")</f>
        <v/>
      </c>
      <c r="E849" s="189" t="str">
        <f ca="1">IFERROR(__xludf.DUMMYFUNCTION("""COMPUTED_VALUE"""),"")</f>
        <v/>
      </c>
      <c r="F849" s="189" t="str">
        <f ca="1">IFERROR(__xludf.DUMMYFUNCTION("""COMPUTED_VALUE"""),"")</f>
        <v/>
      </c>
      <c r="G849" s="189" t="str">
        <f ca="1">IFERROR(__xludf.DUMMYFUNCTION("""COMPUTED_VALUE"""),"")</f>
        <v/>
      </c>
      <c r="H849" s="189" t="str">
        <f ca="1">IFERROR(__xludf.DUMMYFUNCTION("""COMPUTED_VALUE"""),"")</f>
        <v/>
      </c>
      <c r="I849" s="120" t="str">
        <f ca="1">IFERROR(__xludf.DUMMYFUNCTION("""COMPUTED_VALUE"""),"")</f>
        <v/>
      </c>
      <c r="J849" s="189" t="str">
        <f ca="1">IFERROR(__xludf.DUMMYFUNCTION("""COMPUTED_VALUE"""),"")</f>
        <v/>
      </c>
      <c r="K849" s="189" t="str">
        <f ca="1">IFERROR(__xludf.DUMMYFUNCTION("""COMPUTED_VALUE"""),"")</f>
        <v/>
      </c>
      <c r="L849" s="189" t="str">
        <f ca="1">IFERROR(__xludf.DUMMYFUNCTION("""COMPUTED_VALUE"""),"")</f>
        <v/>
      </c>
      <c r="M849" s="189" t="str">
        <f ca="1">IFERROR(__xludf.DUMMYFUNCTION("""COMPUTED_VALUE"""),"")</f>
        <v/>
      </c>
      <c r="N849" s="189" t="str">
        <f ca="1">IFERROR(__xludf.DUMMYFUNCTION("""COMPUTED_VALUE"""),"")</f>
        <v/>
      </c>
      <c r="O849" s="189" t="str">
        <f ca="1">IFERROR(__xludf.DUMMYFUNCTION("""COMPUTED_VALUE"""),"")</f>
        <v/>
      </c>
      <c r="P849" s="189" t="str">
        <f ca="1">IFERROR(__xludf.DUMMYFUNCTION("""COMPUTED_VALUE"""),"")</f>
        <v/>
      </c>
      <c r="Q849" s="189" t="str">
        <f ca="1">IFERROR(__xludf.DUMMYFUNCTION("""COMPUTED_VALUE"""),"")</f>
        <v/>
      </c>
      <c r="R849" s="189" t="str">
        <f ca="1">IFERROR(__xludf.DUMMYFUNCTION("""COMPUTED_VALUE"""),"")</f>
        <v/>
      </c>
      <c r="S849" s="189" t="str">
        <f ca="1">IFERROR(__xludf.DUMMYFUNCTION("""COMPUTED_VALUE"""),"")</f>
        <v/>
      </c>
      <c r="T849" s="189" t="str">
        <f ca="1">IFERROR(__xludf.DUMMYFUNCTION("""COMPUTED_VALUE"""),"")</f>
        <v/>
      </c>
      <c r="U849" s="189" t="str">
        <f ca="1">IFERROR(__xludf.DUMMYFUNCTION("""COMPUTED_VALUE"""),"")</f>
        <v/>
      </c>
      <c r="V849" s="189" t="str">
        <f ca="1">IFERROR(__xludf.DUMMYFUNCTION("""COMPUTED_VALUE"""),"")</f>
        <v/>
      </c>
      <c r="W849" s="189" t="str">
        <f ca="1">IFERROR(__xludf.DUMMYFUNCTION("""COMPUTED_VALUE"""),"")</f>
        <v/>
      </c>
      <c r="X849" s="189" t="str">
        <f ca="1">IFERROR(__xludf.DUMMYFUNCTION("""COMPUTED_VALUE"""),"")</f>
        <v/>
      </c>
      <c r="Y849" s="189" t="str">
        <f ca="1">IFERROR(__xludf.DUMMYFUNCTION("""COMPUTED_VALUE"""),"")</f>
        <v/>
      </c>
      <c r="Z849" s="189"/>
    </row>
    <row r="850" spans="1:26" ht="12.75">
      <c r="A850" s="189" t="str">
        <f ca="1">IFERROR(__xludf.DUMMYFUNCTION("""COMPUTED_VALUE"""),"")</f>
        <v/>
      </c>
      <c r="B850" s="189" t="str">
        <f ca="1">IFERROR(__xludf.DUMMYFUNCTION("""COMPUTED_VALUE"""),"")</f>
        <v/>
      </c>
      <c r="C850" s="189" t="str">
        <f ca="1">IFERROR(__xludf.DUMMYFUNCTION("""COMPUTED_VALUE"""),"")</f>
        <v/>
      </c>
      <c r="D850" s="189" t="str">
        <f ca="1">IFERROR(__xludf.DUMMYFUNCTION("""COMPUTED_VALUE"""),"")</f>
        <v/>
      </c>
      <c r="E850" s="189" t="str">
        <f ca="1">IFERROR(__xludf.DUMMYFUNCTION("""COMPUTED_VALUE"""),"")</f>
        <v/>
      </c>
      <c r="F850" s="189" t="str">
        <f ca="1">IFERROR(__xludf.DUMMYFUNCTION("""COMPUTED_VALUE"""),"")</f>
        <v/>
      </c>
      <c r="G850" s="189" t="str">
        <f ca="1">IFERROR(__xludf.DUMMYFUNCTION("""COMPUTED_VALUE"""),"")</f>
        <v/>
      </c>
      <c r="H850" s="189" t="str">
        <f ca="1">IFERROR(__xludf.DUMMYFUNCTION("""COMPUTED_VALUE"""),"")</f>
        <v/>
      </c>
      <c r="I850" s="120" t="str">
        <f ca="1">IFERROR(__xludf.DUMMYFUNCTION("""COMPUTED_VALUE"""),"")</f>
        <v/>
      </c>
      <c r="J850" s="189" t="str">
        <f ca="1">IFERROR(__xludf.DUMMYFUNCTION("""COMPUTED_VALUE"""),"")</f>
        <v/>
      </c>
      <c r="K850" s="189" t="str">
        <f ca="1">IFERROR(__xludf.DUMMYFUNCTION("""COMPUTED_VALUE"""),"")</f>
        <v/>
      </c>
      <c r="L850" s="189" t="str">
        <f ca="1">IFERROR(__xludf.DUMMYFUNCTION("""COMPUTED_VALUE"""),"")</f>
        <v/>
      </c>
      <c r="M850" s="189" t="str">
        <f ca="1">IFERROR(__xludf.DUMMYFUNCTION("""COMPUTED_VALUE"""),"")</f>
        <v/>
      </c>
      <c r="N850" s="189" t="str">
        <f ca="1">IFERROR(__xludf.DUMMYFUNCTION("""COMPUTED_VALUE"""),"")</f>
        <v/>
      </c>
      <c r="O850" s="189" t="str">
        <f ca="1">IFERROR(__xludf.DUMMYFUNCTION("""COMPUTED_VALUE"""),"")</f>
        <v/>
      </c>
      <c r="P850" s="189" t="str">
        <f ca="1">IFERROR(__xludf.DUMMYFUNCTION("""COMPUTED_VALUE"""),"")</f>
        <v/>
      </c>
      <c r="Q850" s="189" t="str">
        <f ca="1">IFERROR(__xludf.DUMMYFUNCTION("""COMPUTED_VALUE"""),"")</f>
        <v/>
      </c>
      <c r="R850" s="189" t="str">
        <f ca="1">IFERROR(__xludf.DUMMYFUNCTION("""COMPUTED_VALUE"""),"")</f>
        <v/>
      </c>
      <c r="S850" s="189" t="str">
        <f ca="1">IFERROR(__xludf.DUMMYFUNCTION("""COMPUTED_VALUE"""),"")</f>
        <v/>
      </c>
      <c r="T850" s="189" t="str">
        <f ca="1">IFERROR(__xludf.DUMMYFUNCTION("""COMPUTED_VALUE"""),"")</f>
        <v/>
      </c>
      <c r="U850" s="189" t="str">
        <f ca="1">IFERROR(__xludf.DUMMYFUNCTION("""COMPUTED_VALUE"""),"")</f>
        <v/>
      </c>
      <c r="V850" s="189" t="str">
        <f ca="1">IFERROR(__xludf.DUMMYFUNCTION("""COMPUTED_VALUE"""),"")</f>
        <v/>
      </c>
      <c r="W850" s="189" t="str">
        <f ca="1">IFERROR(__xludf.DUMMYFUNCTION("""COMPUTED_VALUE"""),"")</f>
        <v/>
      </c>
      <c r="X850" s="189" t="str">
        <f ca="1">IFERROR(__xludf.DUMMYFUNCTION("""COMPUTED_VALUE"""),"")</f>
        <v/>
      </c>
      <c r="Y850" s="189" t="str">
        <f ca="1">IFERROR(__xludf.DUMMYFUNCTION("""COMPUTED_VALUE"""),"")</f>
        <v/>
      </c>
      <c r="Z850" s="189"/>
    </row>
    <row r="851" spans="1:26" ht="12.75">
      <c r="A851" s="189" t="str">
        <f ca="1">IFERROR(__xludf.DUMMYFUNCTION("""COMPUTED_VALUE"""),"")</f>
        <v/>
      </c>
      <c r="B851" s="189" t="str">
        <f ca="1">IFERROR(__xludf.DUMMYFUNCTION("""COMPUTED_VALUE"""),"")</f>
        <v/>
      </c>
      <c r="C851" s="189" t="str">
        <f ca="1">IFERROR(__xludf.DUMMYFUNCTION("""COMPUTED_VALUE"""),"")</f>
        <v/>
      </c>
      <c r="D851" s="189" t="str">
        <f ca="1">IFERROR(__xludf.DUMMYFUNCTION("""COMPUTED_VALUE"""),"")</f>
        <v/>
      </c>
      <c r="E851" s="189" t="str">
        <f ca="1">IFERROR(__xludf.DUMMYFUNCTION("""COMPUTED_VALUE"""),"")</f>
        <v/>
      </c>
      <c r="F851" s="189" t="str">
        <f ca="1">IFERROR(__xludf.DUMMYFUNCTION("""COMPUTED_VALUE"""),"")</f>
        <v/>
      </c>
      <c r="G851" s="189" t="str">
        <f ca="1">IFERROR(__xludf.DUMMYFUNCTION("""COMPUTED_VALUE"""),"")</f>
        <v/>
      </c>
      <c r="H851" s="189" t="str">
        <f ca="1">IFERROR(__xludf.DUMMYFUNCTION("""COMPUTED_VALUE"""),"")</f>
        <v/>
      </c>
      <c r="I851" s="120" t="str">
        <f ca="1">IFERROR(__xludf.DUMMYFUNCTION("""COMPUTED_VALUE"""),"")</f>
        <v/>
      </c>
      <c r="J851" s="189" t="str">
        <f ca="1">IFERROR(__xludf.DUMMYFUNCTION("""COMPUTED_VALUE"""),"")</f>
        <v/>
      </c>
      <c r="K851" s="189" t="str">
        <f ca="1">IFERROR(__xludf.DUMMYFUNCTION("""COMPUTED_VALUE"""),"")</f>
        <v/>
      </c>
      <c r="L851" s="189" t="str">
        <f ca="1">IFERROR(__xludf.DUMMYFUNCTION("""COMPUTED_VALUE"""),"")</f>
        <v/>
      </c>
      <c r="M851" s="189" t="str">
        <f ca="1">IFERROR(__xludf.DUMMYFUNCTION("""COMPUTED_VALUE"""),"")</f>
        <v/>
      </c>
      <c r="N851" s="189" t="str">
        <f ca="1">IFERROR(__xludf.DUMMYFUNCTION("""COMPUTED_VALUE"""),"")</f>
        <v/>
      </c>
      <c r="O851" s="189" t="str">
        <f ca="1">IFERROR(__xludf.DUMMYFUNCTION("""COMPUTED_VALUE"""),"")</f>
        <v/>
      </c>
      <c r="P851" s="189" t="str">
        <f ca="1">IFERROR(__xludf.DUMMYFUNCTION("""COMPUTED_VALUE"""),"")</f>
        <v/>
      </c>
      <c r="Q851" s="189" t="str">
        <f ca="1">IFERROR(__xludf.DUMMYFUNCTION("""COMPUTED_VALUE"""),"")</f>
        <v/>
      </c>
      <c r="R851" s="189" t="str">
        <f ca="1">IFERROR(__xludf.DUMMYFUNCTION("""COMPUTED_VALUE"""),"")</f>
        <v/>
      </c>
      <c r="S851" s="189" t="str">
        <f ca="1">IFERROR(__xludf.DUMMYFUNCTION("""COMPUTED_VALUE"""),"")</f>
        <v/>
      </c>
      <c r="T851" s="189" t="str">
        <f ca="1">IFERROR(__xludf.DUMMYFUNCTION("""COMPUTED_VALUE"""),"")</f>
        <v/>
      </c>
      <c r="U851" s="189" t="str">
        <f ca="1">IFERROR(__xludf.DUMMYFUNCTION("""COMPUTED_VALUE"""),"")</f>
        <v/>
      </c>
      <c r="V851" s="189" t="str">
        <f ca="1">IFERROR(__xludf.DUMMYFUNCTION("""COMPUTED_VALUE"""),"")</f>
        <v/>
      </c>
      <c r="W851" s="189" t="str">
        <f ca="1">IFERROR(__xludf.DUMMYFUNCTION("""COMPUTED_VALUE"""),"")</f>
        <v/>
      </c>
      <c r="X851" s="189" t="str">
        <f ca="1">IFERROR(__xludf.DUMMYFUNCTION("""COMPUTED_VALUE"""),"")</f>
        <v/>
      </c>
      <c r="Y851" s="189" t="str">
        <f ca="1">IFERROR(__xludf.DUMMYFUNCTION("""COMPUTED_VALUE"""),"")</f>
        <v/>
      </c>
      <c r="Z851" s="189"/>
    </row>
    <row r="852" spans="1:26" ht="12.75">
      <c r="A852" s="189" t="str">
        <f ca="1">IFERROR(__xludf.DUMMYFUNCTION("""COMPUTED_VALUE"""),"")</f>
        <v/>
      </c>
      <c r="B852" s="189" t="str">
        <f ca="1">IFERROR(__xludf.DUMMYFUNCTION("""COMPUTED_VALUE"""),"")</f>
        <v/>
      </c>
      <c r="C852" s="189" t="str">
        <f ca="1">IFERROR(__xludf.DUMMYFUNCTION("""COMPUTED_VALUE"""),"")</f>
        <v/>
      </c>
      <c r="D852" s="189" t="str">
        <f ca="1">IFERROR(__xludf.DUMMYFUNCTION("""COMPUTED_VALUE"""),"")</f>
        <v/>
      </c>
      <c r="E852" s="189" t="str">
        <f ca="1">IFERROR(__xludf.DUMMYFUNCTION("""COMPUTED_VALUE"""),"")</f>
        <v/>
      </c>
      <c r="F852" s="189" t="str">
        <f ca="1">IFERROR(__xludf.DUMMYFUNCTION("""COMPUTED_VALUE"""),"")</f>
        <v/>
      </c>
      <c r="G852" s="189" t="str">
        <f ca="1">IFERROR(__xludf.DUMMYFUNCTION("""COMPUTED_VALUE"""),"")</f>
        <v/>
      </c>
      <c r="H852" s="189" t="str">
        <f ca="1">IFERROR(__xludf.DUMMYFUNCTION("""COMPUTED_VALUE"""),"")</f>
        <v/>
      </c>
      <c r="I852" s="120" t="str">
        <f ca="1">IFERROR(__xludf.DUMMYFUNCTION("""COMPUTED_VALUE"""),"")</f>
        <v/>
      </c>
      <c r="J852" s="189" t="str">
        <f ca="1">IFERROR(__xludf.DUMMYFUNCTION("""COMPUTED_VALUE"""),"")</f>
        <v/>
      </c>
      <c r="K852" s="189" t="str">
        <f ca="1">IFERROR(__xludf.DUMMYFUNCTION("""COMPUTED_VALUE"""),"")</f>
        <v/>
      </c>
      <c r="L852" s="189" t="str">
        <f ca="1">IFERROR(__xludf.DUMMYFUNCTION("""COMPUTED_VALUE"""),"")</f>
        <v/>
      </c>
      <c r="M852" s="189" t="str">
        <f ca="1">IFERROR(__xludf.DUMMYFUNCTION("""COMPUTED_VALUE"""),"")</f>
        <v/>
      </c>
      <c r="N852" s="189" t="str">
        <f ca="1">IFERROR(__xludf.DUMMYFUNCTION("""COMPUTED_VALUE"""),"")</f>
        <v/>
      </c>
      <c r="O852" s="189" t="str">
        <f ca="1">IFERROR(__xludf.DUMMYFUNCTION("""COMPUTED_VALUE"""),"")</f>
        <v/>
      </c>
      <c r="P852" s="189" t="str">
        <f ca="1">IFERROR(__xludf.DUMMYFUNCTION("""COMPUTED_VALUE"""),"")</f>
        <v/>
      </c>
      <c r="Q852" s="189" t="str">
        <f ca="1">IFERROR(__xludf.DUMMYFUNCTION("""COMPUTED_VALUE"""),"")</f>
        <v/>
      </c>
      <c r="R852" s="189" t="str">
        <f ca="1">IFERROR(__xludf.DUMMYFUNCTION("""COMPUTED_VALUE"""),"")</f>
        <v/>
      </c>
      <c r="S852" s="189" t="str">
        <f ca="1">IFERROR(__xludf.DUMMYFUNCTION("""COMPUTED_VALUE"""),"")</f>
        <v/>
      </c>
      <c r="T852" s="189" t="str">
        <f ca="1">IFERROR(__xludf.DUMMYFUNCTION("""COMPUTED_VALUE"""),"")</f>
        <v/>
      </c>
      <c r="U852" s="189" t="str">
        <f ca="1">IFERROR(__xludf.DUMMYFUNCTION("""COMPUTED_VALUE"""),"")</f>
        <v/>
      </c>
      <c r="V852" s="189" t="str">
        <f ca="1">IFERROR(__xludf.DUMMYFUNCTION("""COMPUTED_VALUE"""),"")</f>
        <v/>
      </c>
      <c r="W852" s="189" t="str">
        <f ca="1">IFERROR(__xludf.DUMMYFUNCTION("""COMPUTED_VALUE"""),"")</f>
        <v/>
      </c>
      <c r="X852" s="189" t="str">
        <f ca="1">IFERROR(__xludf.DUMMYFUNCTION("""COMPUTED_VALUE"""),"")</f>
        <v/>
      </c>
      <c r="Y852" s="189" t="str">
        <f ca="1">IFERROR(__xludf.DUMMYFUNCTION("""COMPUTED_VALUE"""),"")</f>
        <v/>
      </c>
      <c r="Z852" s="189"/>
    </row>
    <row r="853" spans="1:26" ht="12.75">
      <c r="A853" s="189" t="str">
        <f ca="1">IFERROR(__xludf.DUMMYFUNCTION("""COMPUTED_VALUE"""),"")</f>
        <v/>
      </c>
      <c r="B853" s="189" t="str">
        <f ca="1">IFERROR(__xludf.DUMMYFUNCTION("""COMPUTED_VALUE"""),"")</f>
        <v/>
      </c>
      <c r="C853" s="189" t="str">
        <f ca="1">IFERROR(__xludf.DUMMYFUNCTION("""COMPUTED_VALUE"""),"")</f>
        <v/>
      </c>
      <c r="D853" s="189" t="str">
        <f ca="1">IFERROR(__xludf.DUMMYFUNCTION("""COMPUTED_VALUE"""),"")</f>
        <v/>
      </c>
      <c r="E853" s="189" t="str">
        <f ca="1">IFERROR(__xludf.DUMMYFUNCTION("""COMPUTED_VALUE"""),"")</f>
        <v/>
      </c>
      <c r="F853" s="189" t="str">
        <f ca="1">IFERROR(__xludf.DUMMYFUNCTION("""COMPUTED_VALUE"""),"")</f>
        <v/>
      </c>
      <c r="G853" s="189" t="str">
        <f ca="1">IFERROR(__xludf.DUMMYFUNCTION("""COMPUTED_VALUE"""),"")</f>
        <v/>
      </c>
      <c r="H853" s="189" t="str">
        <f ca="1">IFERROR(__xludf.DUMMYFUNCTION("""COMPUTED_VALUE"""),"")</f>
        <v/>
      </c>
      <c r="I853" s="120" t="str">
        <f ca="1">IFERROR(__xludf.DUMMYFUNCTION("""COMPUTED_VALUE"""),"")</f>
        <v/>
      </c>
      <c r="J853" s="189" t="str">
        <f ca="1">IFERROR(__xludf.DUMMYFUNCTION("""COMPUTED_VALUE"""),"")</f>
        <v/>
      </c>
      <c r="K853" s="189" t="str">
        <f ca="1">IFERROR(__xludf.DUMMYFUNCTION("""COMPUTED_VALUE"""),"")</f>
        <v/>
      </c>
      <c r="L853" s="189" t="str">
        <f ca="1">IFERROR(__xludf.DUMMYFUNCTION("""COMPUTED_VALUE"""),"")</f>
        <v/>
      </c>
      <c r="M853" s="189" t="str">
        <f ca="1">IFERROR(__xludf.DUMMYFUNCTION("""COMPUTED_VALUE"""),"")</f>
        <v/>
      </c>
      <c r="N853" s="189" t="str">
        <f ca="1">IFERROR(__xludf.DUMMYFUNCTION("""COMPUTED_VALUE"""),"")</f>
        <v/>
      </c>
      <c r="O853" s="189" t="str">
        <f ca="1">IFERROR(__xludf.DUMMYFUNCTION("""COMPUTED_VALUE"""),"")</f>
        <v/>
      </c>
      <c r="P853" s="189" t="str">
        <f ca="1">IFERROR(__xludf.DUMMYFUNCTION("""COMPUTED_VALUE"""),"")</f>
        <v/>
      </c>
      <c r="Q853" s="189" t="str">
        <f ca="1">IFERROR(__xludf.DUMMYFUNCTION("""COMPUTED_VALUE"""),"")</f>
        <v/>
      </c>
      <c r="R853" s="189" t="str">
        <f ca="1">IFERROR(__xludf.DUMMYFUNCTION("""COMPUTED_VALUE"""),"")</f>
        <v/>
      </c>
      <c r="S853" s="189" t="str">
        <f ca="1">IFERROR(__xludf.DUMMYFUNCTION("""COMPUTED_VALUE"""),"")</f>
        <v/>
      </c>
      <c r="T853" s="189" t="str">
        <f ca="1">IFERROR(__xludf.DUMMYFUNCTION("""COMPUTED_VALUE"""),"")</f>
        <v/>
      </c>
      <c r="U853" s="189" t="str">
        <f ca="1">IFERROR(__xludf.DUMMYFUNCTION("""COMPUTED_VALUE"""),"")</f>
        <v/>
      </c>
      <c r="V853" s="189" t="str">
        <f ca="1">IFERROR(__xludf.DUMMYFUNCTION("""COMPUTED_VALUE"""),"")</f>
        <v/>
      </c>
      <c r="W853" s="189" t="str">
        <f ca="1">IFERROR(__xludf.DUMMYFUNCTION("""COMPUTED_VALUE"""),"")</f>
        <v/>
      </c>
      <c r="X853" s="189" t="str">
        <f ca="1">IFERROR(__xludf.DUMMYFUNCTION("""COMPUTED_VALUE"""),"")</f>
        <v/>
      </c>
      <c r="Y853" s="189" t="str">
        <f ca="1">IFERROR(__xludf.DUMMYFUNCTION("""COMPUTED_VALUE"""),"")</f>
        <v/>
      </c>
      <c r="Z853" s="189"/>
    </row>
    <row r="854" spans="1:26" ht="12.75">
      <c r="A854" s="189" t="str">
        <f ca="1">IFERROR(__xludf.DUMMYFUNCTION("""COMPUTED_VALUE"""),"")</f>
        <v/>
      </c>
      <c r="B854" s="189" t="str">
        <f ca="1">IFERROR(__xludf.DUMMYFUNCTION("""COMPUTED_VALUE"""),"")</f>
        <v/>
      </c>
      <c r="C854" s="189" t="str">
        <f ca="1">IFERROR(__xludf.DUMMYFUNCTION("""COMPUTED_VALUE"""),"")</f>
        <v/>
      </c>
      <c r="D854" s="189" t="str">
        <f ca="1">IFERROR(__xludf.DUMMYFUNCTION("""COMPUTED_VALUE"""),"")</f>
        <v/>
      </c>
      <c r="E854" s="189" t="str">
        <f ca="1">IFERROR(__xludf.DUMMYFUNCTION("""COMPUTED_VALUE"""),"")</f>
        <v/>
      </c>
      <c r="F854" s="189" t="str">
        <f ca="1">IFERROR(__xludf.DUMMYFUNCTION("""COMPUTED_VALUE"""),"")</f>
        <v/>
      </c>
      <c r="G854" s="189" t="str">
        <f ca="1">IFERROR(__xludf.DUMMYFUNCTION("""COMPUTED_VALUE"""),"")</f>
        <v/>
      </c>
      <c r="H854" s="189" t="str">
        <f ca="1">IFERROR(__xludf.DUMMYFUNCTION("""COMPUTED_VALUE"""),"")</f>
        <v/>
      </c>
      <c r="I854" s="120" t="str">
        <f ca="1">IFERROR(__xludf.DUMMYFUNCTION("""COMPUTED_VALUE"""),"")</f>
        <v/>
      </c>
      <c r="J854" s="189" t="str">
        <f ca="1">IFERROR(__xludf.DUMMYFUNCTION("""COMPUTED_VALUE"""),"")</f>
        <v/>
      </c>
      <c r="K854" s="189" t="str">
        <f ca="1">IFERROR(__xludf.DUMMYFUNCTION("""COMPUTED_VALUE"""),"")</f>
        <v/>
      </c>
      <c r="L854" s="189" t="str">
        <f ca="1">IFERROR(__xludf.DUMMYFUNCTION("""COMPUTED_VALUE"""),"")</f>
        <v/>
      </c>
      <c r="M854" s="189" t="str">
        <f ca="1">IFERROR(__xludf.DUMMYFUNCTION("""COMPUTED_VALUE"""),"")</f>
        <v/>
      </c>
      <c r="N854" s="189" t="str">
        <f ca="1">IFERROR(__xludf.DUMMYFUNCTION("""COMPUTED_VALUE"""),"")</f>
        <v/>
      </c>
      <c r="O854" s="189" t="str">
        <f ca="1">IFERROR(__xludf.DUMMYFUNCTION("""COMPUTED_VALUE"""),"")</f>
        <v/>
      </c>
      <c r="P854" s="189" t="str">
        <f ca="1">IFERROR(__xludf.DUMMYFUNCTION("""COMPUTED_VALUE"""),"")</f>
        <v/>
      </c>
      <c r="Q854" s="189" t="str">
        <f ca="1">IFERROR(__xludf.DUMMYFUNCTION("""COMPUTED_VALUE"""),"")</f>
        <v/>
      </c>
      <c r="R854" s="189" t="str">
        <f ca="1">IFERROR(__xludf.DUMMYFUNCTION("""COMPUTED_VALUE"""),"")</f>
        <v/>
      </c>
      <c r="S854" s="189" t="str">
        <f ca="1">IFERROR(__xludf.DUMMYFUNCTION("""COMPUTED_VALUE"""),"")</f>
        <v/>
      </c>
      <c r="T854" s="189" t="str">
        <f ca="1">IFERROR(__xludf.DUMMYFUNCTION("""COMPUTED_VALUE"""),"")</f>
        <v/>
      </c>
      <c r="U854" s="189" t="str">
        <f ca="1">IFERROR(__xludf.DUMMYFUNCTION("""COMPUTED_VALUE"""),"")</f>
        <v/>
      </c>
      <c r="V854" s="189" t="str">
        <f ca="1">IFERROR(__xludf.DUMMYFUNCTION("""COMPUTED_VALUE"""),"")</f>
        <v/>
      </c>
      <c r="W854" s="189" t="str">
        <f ca="1">IFERROR(__xludf.DUMMYFUNCTION("""COMPUTED_VALUE"""),"")</f>
        <v/>
      </c>
      <c r="X854" s="189" t="str">
        <f ca="1">IFERROR(__xludf.DUMMYFUNCTION("""COMPUTED_VALUE"""),"")</f>
        <v/>
      </c>
      <c r="Y854" s="189" t="str">
        <f ca="1">IFERROR(__xludf.DUMMYFUNCTION("""COMPUTED_VALUE"""),"")</f>
        <v/>
      </c>
      <c r="Z854" s="189"/>
    </row>
    <row r="855" spans="1:26" ht="12.75">
      <c r="A855" s="189" t="str">
        <f ca="1">IFERROR(__xludf.DUMMYFUNCTION("""COMPUTED_VALUE"""),"")</f>
        <v/>
      </c>
      <c r="B855" s="189" t="str">
        <f ca="1">IFERROR(__xludf.DUMMYFUNCTION("""COMPUTED_VALUE"""),"")</f>
        <v/>
      </c>
      <c r="C855" s="189" t="str">
        <f ca="1">IFERROR(__xludf.DUMMYFUNCTION("""COMPUTED_VALUE"""),"")</f>
        <v/>
      </c>
      <c r="D855" s="189" t="str">
        <f ca="1">IFERROR(__xludf.DUMMYFUNCTION("""COMPUTED_VALUE"""),"")</f>
        <v/>
      </c>
      <c r="E855" s="189" t="str">
        <f ca="1">IFERROR(__xludf.DUMMYFUNCTION("""COMPUTED_VALUE"""),"")</f>
        <v/>
      </c>
      <c r="F855" s="189" t="str">
        <f ca="1">IFERROR(__xludf.DUMMYFUNCTION("""COMPUTED_VALUE"""),"")</f>
        <v/>
      </c>
      <c r="G855" s="189" t="str">
        <f ca="1">IFERROR(__xludf.DUMMYFUNCTION("""COMPUTED_VALUE"""),"")</f>
        <v/>
      </c>
      <c r="H855" s="189" t="str">
        <f ca="1">IFERROR(__xludf.DUMMYFUNCTION("""COMPUTED_VALUE"""),"")</f>
        <v/>
      </c>
      <c r="I855" s="120" t="str">
        <f ca="1">IFERROR(__xludf.DUMMYFUNCTION("""COMPUTED_VALUE"""),"")</f>
        <v/>
      </c>
      <c r="J855" s="189" t="str">
        <f ca="1">IFERROR(__xludf.DUMMYFUNCTION("""COMPUTED_VALUE"""),"")</f>
        <v/>
      </c>
      <c r="K855" s="189" t="str">
        <f ca="1">IFERROR(__xludf.DUMMYFUNCTION("""COMPUTED_VALUE"""),"")</f>
        <v/>
      </c>
      <c r="L855" s="189" t="str">
        <f ca="1">IFERROR(__xludf.DUMMYFUNCTION("""COMPUTED_VALUE"""),"")</f>
        <v/>
      </c>
      <c r="M855" s="189" t="str">
        <f ca="1">IFERROR(__xludf.DUMMYFUNCTION("""COMPUTED_VALUE"""),"")</f>
        <v/>
      </c>
      <c r="N855" s="189" t="str">
        <f ca="1">IFERROR(__xludf.DUMMYFUNCTION("""COMPUTED_VALUE"""),"")</f>
        <v/>
      </c>
      <c r="O855" s="189" t="str">
        <f ca="1">IFERROR(__xludf.DUMMYFUNCTION("""COMPUTED_VALUE"""),"")</f>
        <v/>
      </c>
      <c r="P855" s="189" t="str">
        <f ca="1">IFERROR(__xludf.DUMMYFUNCTION("""COMPUTED_VALUE"""),"")</f>
        <v/>
      </c>
      <c r="Q855" s="189" t="str">
        <f ca="1">IFERROR(__xludf.DUMMYFUNCTION("""COMPUTED_VALUE"""),"")</f>
        <v/>
      </c>
      <c r="R855" s="189" t="str">
        <f ca="1">IFERROR(__xludf.DUMMYFUNCTION("""COMPUTED_VALUE"""),"")</f>
        <v/>
      </c>
      <c r="S855" s="189" t="str">
        <f ca="1">IFERROR(__xludf.DUMMYFUNCTION("""COMPUTED_VALUE"""),"")</f>
        <v/>
      </c>
      <c r="T855" s="189" t="str">
        <f ca="1">IFERROR(__xludf.DUMMYFUNCTION("""COMPUTED_VALUE"""),"")</f>
        <v/>
      </c>
      <c r="U855" s="189" t="str">
        <f ca="1">IFERROR(__xludf.DUMMYFUNCTION("""COMPUTED_VALUE"""),"")</f>
        <v/>
      </c>
      <c r="V855" s="189" t="str">
        <f ca="1">IFERROR(__xludf.DUMMYFUNCTION("""COMPUTED_VALUE"""),"")</f>
        <v/>
      </c>
      <c r="W855" s="189" t="str">
        <f ca="1">IFERROR(__xludf.DUMMYFUNCTION("""COMPUTED_VALUE"""),"")</f>
        <v/>
      </c>
      <c r="X855" s="189" t="str">
        <f ca="1">IFERROR(__xludf.DUMMYFUNCTION("""COMPUTED_VALUE"""),"")</f>
        <v/>
      </c>
      <c r="Y855" s="189" t="str">
        <f ca="1">IFERROR(__xludf.DUMMYFUNCTION("""COMPUTED_VALUE"""),"")</f>
        <v/>
      </c>
      <c r="Z855" s="189"/>
    </row>
    <row r="856" spans="1:26" ht="12.75">
      <c r="A856" s="189" t="str">
        <f ca="1">IFERROR(__xludf.DUMMYFUNCTION("""COMPUTED_VALUE"""),"")</f>
        <v/>
      </c>
      <c r="B856" s="189" t="str">
        <f ca="1">IFERROR(__xludf.DUMMYFUNCTION("""COMPUTED_VALUE"""),"")</f>
        <v/>
      </c>
      <c r="C856" s="189" t="str">
        <f ca="1">IFERROR(__xludf.DUMMYFUNCTION("""COMPUTED_VALUE"""),"")</f>
        <v/>
      </c>
      <c r="D856" s="189" t="str">
        <f ca="1">IFERROR(__xludf.DUMMYFUNCTION("""COMPUTED_VALUE"""),"")</f>
        <v/>
      </c>
      <c r="E856" s="189" t="str">
        <f ca="1">IFERROR(__xludf.DUMMYFUNCTION("""COMPUTED_VALUE"""),"")</f>
        <v/>
      </c>
      <c r="F856" s="189" t="str">
        <f ca="1">IFERROR(__xludf.DUMMYFUNCTION("""COMPUTED_VALUE"""),"")</f>
        <v/>
      </c>
      <c r="G856" s="189" t="str">
        <f ca="1">IFERROR(__xludf.DUMMYFUNCTION("""COMPUTED_VALUE"""),"")</f>
        <v/>
      </c>
      <c r="H856" s="189" t="str">
        <f ca="1">IFERROR(__xludf.DUMMYFUNCTION("""COMPUTED_VALUE"""),"")</f>
        <v/>
      </c>
      <c r="I856" s="120" t="str">
        <f ca="1">IFERROR(__xludf.DUMMYFUNCTION("""COMPUTED_VALUE"""),"")</f>
        <v/>
      </c>
      <c r="J856" s="189" t="str">
        <f ca="1">IFERROR(__xludf.DUMMYFUNCTION("""COMPUTED_VALUE"""),"")</f>
        <v/>
      </c>
      <c r="K856" s="189" t="str">
        <f ca="1">IFERROR(__xludf.DUMMYFUNCTION("""COMPUTED_VALUE"""),"")</f>
        <v/>
      </c>
      <c r="L856" s="189" t="str">
        <f ca="1">IFERROR(__xludf.DUMMYFUNCTION("""COMPUTED_VALUE"""),"")</f>
        <v/>
      </c>
      <c r="M856" s="189" t="str">
        <f ca="1">IFERROR(__xludf.DUMMYFUNCTION("""COMPUTED_VALUE"""),"")</f>
        <v/>
      </c>
      <c r="N856" s="189" t="str">
        <f ca="1">IFERROR(__xludf.DUMMYFUNCTION("""COMPUTED_VALUE"""),"")</f>
        <v/>
      </c>
      <c r="O856" s="189" t="str">
        <f ca="1">IFERROR(__xludf.DUMMYFUNCTION("""COMPUTED_VALUE"""),"")</f>
        <v/>
      </c>
      <c r="P856" s="189" t="str">
        <f ca="1">IFERROR(__xludf.DUMMYFUNCTION("""COMPUTED_VALUE"""),"")</f>
        <v/>
      </c>
      <c r="Q856" s="189" t="str">
        <f ca="1">IFERROR(__xludf.DUMMYFUNCTION("""COMPUTED_VALUE"""),"")</f>
        <v/>
      </c>
      <c r="R856" s="189" t="str">
        <f ca="1">IFERROR(__xludf.DUMMYFUNCTION("""COMPUTED_VALUE"""),"")</f>
        <v/>
      </c>
      <c r="S856" s="189" t="str">
        <f ca="1">IFERROR(__xludf.DUMMYFUNCTION("""COMPUTED_VALUE"""),"")</f>
        <v/>
      </c>
      <c r="T856" s="189" t="str">
        <f ca="1">IFERROR(__xludf.DUMMYFUNCTION("""COMPUTED_VALUE"""),"")</f>
        <v/>
      </c>
      <c r="U856" s="189" t="str">
        <f ca="1">IFERROR(__xludf.DUMMYFUNCTION("""COMPUTED_VALUE"""),"")</f>
        <v/>
      </c>
      <c r="V856" s="189" t="str">
        <f ca="1">IFERROR(__xludf.DUMMYFUNCTION("""COMPUTED_VALUE"""),"")</f>
        <v/>
      </c>
      <c r="W856" s="189" t="str">
        <f ca="1">IFERROR(__xludf.DUMMYFUNCTION("""COMPUTED_VALUE"""),"")</f>
        <v/>
      </c>
      <c r="X856" s="189" t="str">
        <f ca="1">IFERROR(__xludf.DUMMYFUNCTION("""COMPUTED_VALUE"""),"")</f>
        <v/>
      </c>
      <c r="Y856" s="189" t="str">
        <f ca="1">IFERROR(__xludf.DUMMYFUNCTION("""COMPUTED_VALUE"""),"")</f>
        <v/>
      </c>
      <c r="Z856" s="189"/>
    </row>
    <row r="857" spans="1:26" ht="12.75">
      <c r="A857" s="189" t="str">
        <f ca="1">IFERROR(__xludf.DUMMYFUNCTION("""COMPUTED_VALUE"""),"")</f>
        <v/>
      </c>
      <c r="B857" s="189" t="str">
        <f ca="1">IFERROR(__xludf.DUMMYFUNCTION("""COMPUTED_VALUE"""),"")</f>
        <v/>
      </c>
      <c r="C857" s="189" t="str">
        <f ca="1">IFERROR(__xludf.DUMMYFUNCTION("""COMPUTED_VALUE"""),"")</f>
        <v/>
      </c>
      <c r="D857" s="189" t="str">
        <f ca="1">IFERROR(__xludf.DUMMYFUNCTION("""COMPUTED_VALUE"""),"")</f>
        <v/>
      </c>
      <c r="E857" s="189" t="str">
        <f ca="1">IFERROR(__xludf.DUMMYFUNCTION("""COMPUTED_VALUE"""),"")</f>
        <v/>
      </c>
      <c r="F857" s="189" t="str">
        <f ca="1">IFERROR(__xludf.DUMMYFUNCTION("""COMPUTED_VALUE"""),"")</f>
        <v/>
      </c>
      <c r="G857" s="189" t="str">
        <f ca="1">IFERROR(__xludf.DUMMYFUNCTION("""COMPUTED_VALUE"""),"")</f>
        <v/>
      </c>
      <c r="H857" s="189" t="str">
        <f ca="1">IFERROR(__xludf.DUMMYFUNCTION("""COMPUTED_VALUE"""),"")</f>
        <v/>
      </c>
      <c r="I857" s="120" t="str">
        <f ca="1">IFERROR(__xludf.DUMMYFUNCTION("""COMPUTED_VALUE"""),"")</f>
        <v/>
      </c>
      <c r="J857" s="189" t="str">
        <f ca="1">IFERROR(__xludf.DUMMYFUNCTION("""COMPUTED_VALUE"""),"")</f>
        <v/>
      </c>
      <c r="K857" s="189" t="str">
        <f ca="1">IFERROR(__xludf.DUMMYFUNCTION("""COMPUTED_VALUE"""),"")</f>
        <v/>
      </c>
      <c r="L857" s="189" t="str">
        <f ca="1">IFERROR(__xludf.DUMMYFUNCTION("""COMPUTED_VALUE"""),"")</f>
        <v/>
      </c>
      <c r="M857" s="189" t="str">
        <f ca="1">IFERROR(__xludf.DUMMYFUNCTION("""COMPUTED_VALUE"""),"")</f>
        <v/>
      </c>
      <c r="N857" s="189" t="str">
        <f ca="1">IFERROR(__xludf.DUMMYFUNCTION("""COMPUTED_VALUE"""),"")</f>
        <v/>
      </c>
      <c r="O857" s="189" t="str">
        <f ca="1">IFERROR(__xludf.DUMMYFUNCTION("""COMPUTED_VALUE"""),"")</f>
        <v/>
      </c>
      <c r="P857" s="189" t="str">
        <f ca="1">IFERROR(__xludf.DUMMYFUNCTION("""COMPUTED_VALUE"""),"")</f>
        <v/>
      </c>
      <c r="Q857" s="189" t="str">
        <f ca="1">IFERROR(__xludf.DUMMYFUNCTION("""COMPUTED_VALUE"""),"")</f>
        <v/>
      </c>
      <c r="R857" s="189" t="str">
        <f ca="1">IFERROR(__xludf.DUMMYFUNCTION("""COMPUTED_VALUE"""),"")</f>
        <v/>
      </c>
      <c r="S857" s="189" t="str">
        <f ca="1">IFERROR(__xludf.DUMMYFUNCTION("""COMPUTED_VALUE"""),"")</f>
        <v/>
      </c>
      <c r="T857" s="189" t="str">
        <f ca="1">IFERROR(__xludf.DUMMYFUNCTION("""COMPUTED_VALUE"""),"")</f>
        <v/>
      </c>
      <c r="U857" s="189" t="str">
        <f ca="1">IFERROR(__xludf.DUMMYFUNCTION("""COMPUTED_VALUE"""),"")</f>
        <v/>
      </c>
      <c r="V857" s="189" t="str">
        <f ca="1">IFERROR(__xludf.DUMMYFUNCTION("""COMPUTED_VALUE"""),"")</f>
        <v/>
      </c>
      <c r="W857" s="189" t="str">
        <f ca="1">IFERROR(__xludf.DUMMYFUNCTION("""COMPUTED_VALUE"""),"")</f>
        <v/>
      </c>
      <c r="X857" s="189" t="str">
        <f ca="1">IFERROR(__xludf.DUMMYFUNCTION("""COMPUTED_VALUE"""),"")</f>
        <v/>
      </c>
      <c r="Y857" s="189" t="str">
        <f ca="1">IFERROR(__xludf.DUMMYFUNCTION("""COMPUTED_VALUE"""),"")</f>
        <v/>
      </c>
      <c r="Z857" s="189"/>
    </row>
    <row r="858" spans="1:26" ht="12.75">
      <c r="A858" s="189" t="str">
        <f ca="1">IFERROR(__xludf.DUMMYFUNCTION("""COMPUTED_VALUE"""),"")</f>
        <v/>
      </c>
      <c r="B858" s="189" t="str">
        <f ca="1">IFERROR(__xludf.DUMMYFUNCTION("""COMPUTED_VALUE"""),"")</f>
        <v/>
      </c>
      <c r="C858" s="189" t="str">
        <f ca="1">IFERROR(__xludf.DUMMYFUNCTION("""COMPUTED_VALUE"""),"")</f>
        <v/>
      </c>
      <c r="D858" s="189" t="str">
        <f ca="1">IFERROR(__xludf.DUMMYFUNCTION("""COMPUTED_VALUE"""),"")</f>
        <v/>
      </c>
      <c r="E858" s="189" t="str">
        <f ca="1">IFERROR(__xludf.DUMMYFUNCTION("""COMPUTED_VALUE"""),"")</f>
        <v/>
      </c>
      <c r="F858" s="189" t="str">
        <f ca="1">IFERROR(__xludf.DUMMYFUNCTION("""COMPUTED_VALUE"""),"")</f>
        <v/>
      </c>
      <c r="G858" s="189" t="str">
        <f ca="1">IFERROR(__xludf.DUMMYFUNCTION("""COMPUTED_VALUE"""),"")</f>
        <v/>
      </c>
      <c r="H858" s="189" t="str">
        <f ca="1">IFERROR(__xludf.DUMMYFUNCTION("""COMPUTED_VALUE"""),"")</f>
        <v/>
      </c>
      <c r="I858" s="120" t="str">
        <f ca="1">IFERROR(__xludf.DUMMYFUNCTION("""COMPUTED_VALUE"""),"")</f>
        <v/>
      </c>
      <c r="J858" s="189" t="str">
        <f ca="1">IFERROR(__xludf.DUMMYFUNCTION("""COMPUTED_VALUE"""),"")</f>
        <v/>
      </c>
      <c r="K858" s="189" t="str">
        <f ca="1">IFERROR(__xludf.DUMMYFUNCTION("""COMPUTED_VALUE"""),"")</f>
        <v/>
      </c>
      <c r="L858" s="189" t="str">
        <f ca="1">IFERROR(__xludf.DUMMYFUNCTION("""COMPUTED_VALUE"""),"")</f>
        <v/>
      </c>
      <c r="M858" s="189" t="str">
        <f ca="1">IFERROR(__xludf.DUMMYFUNCTION("""COMPUTED_VALUE"""),"")</f>
        <v/>
      </c>
      <c r="N858" s="189" t="str">
        <f ca="1">IFERROR(__xludf.DUMMYFUNCTION("""COMPUTED_VALUE"""),"")</f>
        <v/>
      </c>
      <c r="O858" s="189" t="str">
        <f ca="1">IFERROR(__xludf.DUMMYFUNCTION("""COMPUTED_VALUE"""),"")</f>
        <v/>
      </c>
      <c r="P858" s="189" t="str">
        <f ca="1">IFERROR(__xludf.DUMMYFUNCTION("""COMPUTED_VALUE"""),"")</f>
        <v/>
      </c>
      <c r="Q858" s="189" t="str">
        <f ca="1">IFERROR(__xludf.DUMMYFUNCTION("""COMPUTED_VALUE"""),"")</f>
        <v/>
      </c>
      <c r="R858" s="189" t="str">
        <f ca="1">IFERROR(__xludf.DUMMYFUNCTION("""COMPUTED_VALUE"""),"")</f>
        <v/>
      </c>
      <c r="S858" s="189" t="str">
        <f ca="1">IFERROR(__xludf.DUMMYFUNCTION("""COMPUTED_VALUE"""),"")</f>
        <v/>
      </c>
      <c r="T858" s="189" t="str">
        <f ca="1">IFERROR(__xludf.DUMMYFUNCTION("""COMPUTED_VALUE"""),"")</f>
        <v/>
      </c>
      <c r="U858" s="189" t="str">
        <f ca="1">IFERROR(__xludf.DUMMYFUNCTION("""COMPUTED_VALUE"""),"")</f>
        <v/>
      </c>
      <c r="V858" s="189" t="str">
        <f ca="1">IFERROR(__xludf.DUMMYFUNCTION("""COMPUTED_VALUE"""),"")</f>
        <v/>
      </c>
      <c r="W858" s="189" t="str">
        <f ca="1">IFERROR(__xludf.DUMMYFUNCTION("""COMPUTED_VALUE"""),"")</f>
        <v/>
      </c>
      <c r="X858" s="189" t="str">
        <f ca="1">IFERROR(__xludf.DUMMYFUNCTION("""COMPUTED_VALUE"""),"")</f>
        <v/>
      </c>
      <c r="Y858" s="189" t="str">
        <f ca="1">IFERROR(__xludf.DUMMYFUNCTION("""COMPUTED_VALUE"""),"")</f>
        <v/>
      </c>
      <c r="Z858" s="189"/>
    </row>
    <row r="859" spans="1:26" ht="12.75">
      <c r="A859" s="189" t="str">
        <f ca="1">IFERROR(__xludf.DUMMYFUNCTION("""COMPUTED_VALUE"""),"")</f>
        <v/>
      </c>
      <c r="B859" s="189" t="str">
        <f ca="1">IFERROR(__xludf.DUMMYFUNCTION("""COMPUTED_VALUE"""),"")</f>
        <v/>
      </c>
      <c r="C859" s="189" t="str">
        <f ca="1">IFERROR(__xludf.DUMMYFUNCTION("""COMPUTED_VALUE"""),"")</f>
        <v/>
      </c>
      <c r="D859" s="189" t="str">
        <f ca="1">IFERROR(__xludf.DUMMYFUNCTION("""COMPUTED_VALUE"""),"")</f>
        <v/>
      </c>
      <c r="E859" s="189" t="str">
        <f ca="1">IFERROR(__xludf.DUMMYFUNCTION("""COMPUTED_VALUE"""),"")</f>
        <v/>
      </c>
      <c r="F859" s="189" t="str">
        <f ca="1">IFERROR(__xludf.DUMMYFUNCTION("""COMPUTED_VALUE"""),"")</f>
        <v/>
      </c>
      <c r="G859" s="189" t="str">
        <f ca="1">IFERROR(__xludf.DUMMYFUNCTION("""COMPUTED_VALUE"""),"")</f>
        <v/>
      </c>
      <c r="H859" s="189" t="str">
        <f ca="1">IFERROR(__xludf.DUMMYFUNCTION("""COMPUTED_VALUE"""),"")</f>
        <v/>
      </c>
      <c r="I859" s="120" t="str">
        <f ca="1">IFERROR(__xludf.DUMMYFUNCTION("""COMPUTED_VALUE"""),"")</f>
        <v/>
      </c>
      <c r="J859" s="189" t="str">
        <f ca="1">IFERROR(__xludf.DUMMYFUNCTION("""COMPUTED_VALUE"""),"")</f>
        <v/>
      </c>
      <c r="K859" s="189" t="str">
        <f ca="1">IFERROR(__xludf.DUMMYFUNCTION("""COMPUTED_VALUE"""),"")</f>
        <v/>
      </c>
      <c r="L859" s="189" t="str">
        <f ca="1">IFERROR(__xludf.DUMMYFUNCTION("""COMPUTED_VALUE"""),"")</f>
        <v/>
      </c>
      <c r="M859" s="189" t="str">
        <f ca="1">IFERROR(__xludf.DUMMYFUNCTION("""COMPUTED_VALUE"""),"")</f>
        <v/>
      </c>
      <c r="N859" s="189" t="str">
        <f ca="1">IFERROR(__xludf.DUMMYFUNCTION("""COMPUTED_VALUE"""),"")</f>
        <v/>
      </c>
      <c r="O859" s="189" t="str">
        <f ca="1">IFERROR(__xludf.DUMMYFUNCTION("""COMPUTED_VALUE"""),"")</f>
        <v/>
      </c>
      <c r="P859" s="189" t="str">
        <f ca="1">IFERROR(__xludf.DUMMYFUNCTION("""COMPUTED_VALUE"""),"")</f>
        <v/>
      </c>
      <c r="Q859" s="189" t="str">
        <f ca="1">IFERROR(__xludf.DUMMYFUNCTION("""COMPUTED_VALUE"""),"")</f>
        <v/>
      </c>
      <c r="R859" s="189" t="str">
        <f ca="1">IFERROR(__xludf.DUMMYFUNCTION("""COMPUTED_VALUE"""),"")</f>
        <v/>
      </c>
      <c r="S859" s="189" t="str">
        <f ca="1">IFERROR(__xludf.DUMMYFUNCTION("""COMPUTED_VALUE"""),"")</f>
        <v/>
      </c>
      <c r="T859" s="189" t="str">
        <f ca="1">IFERROR(__xludf.DUMMYFUNCTION("""COMPUTED_VALUE"""),"")</f>
        <v/>
      </c>
      <c r="U859" s="189" t="str">
        <f ca="1">IFERROR(__xludf.DUMMYFUNCTION("""COMPUTED_VALUE"""),"")</f>
        <v/>
      </c>
      <c r="V859" s="189" t="str">
        <f ca="1">IFERROR(__xludf.DUMMYFUNCTION("""COMPUTED_VALUE"""),"")</f>
        <v/>
      </c>
      <c r="W859" s="189" t="str">
        <f ca="1">IFERROR(__xludf.DUMMYFUNCTION("""COMPUTED_VALUE"""),"")</f>
        <v/>
      </c>
      <c r="X859" s="189" t="str">
        <f ca="1">IFERROR(__xludf.DUMMYFUNCTION("""COMPUTED_VALUE"""),"")</f>
        <v/>
      </c>
      <c r="Y859" s="189" t="str">
        <f ca="1">IFERROR(__xludf.DUMMYFUNCTION("""COMPUTED_VALUE"""),"")</f>
        <v/>
      </c>
      <c r="Z859" s="189"/>
    </row>
    <row r="860" spans="1:26" ht="12.75">
      <c r="A860" s="189" t="str">
        <f ca="1">IFERROR(__xludf.DUMMYFUNCTION("""COMPUTED_VALUE"""),"")</f>
        <v/>
      </c>
      <c r="B860" s="189" t="str">
        <f ca="1">IFERROR(__xludf.DUMMYFUNCTION("""COMPUTED_VALUE"""),"")</f>
        <v/>
      </c>
      <c r="C860" s="189" t="str">
        <f ca="1">IFERROR(__xludf.DUMMYFUNCTION("""COMPUTED_VALUE"""),"")</f>
        <v/>
      </c>
      <c r="D860" s="189" t="str">
        <f ca="1">IFERROR(__xludf.DUMMYFUNCTION("""COMPUTED_VALUE"""),"")</f>
        <v/>
      </c>
      <c r="E860" s="189" t="str">
        <f ca="1">IFERROR(__xludf.DUMMYFUNCTION("""COMPUTED_VALUE"""),"")</f>
        <v/>
      </c>
      <c r="F860" s="189" t="str">
        <f ca="1">IFERROR(__xludf.DUMMYFUNCTION("""COMPUTED_VALUE"""),"")</f>
        <v/>
      </c>
      <c r="G860" s="189" t="str">
        <f ca="1">IFERROR(__xludf.DUMMYFUNCTION("""COMPUTED_VALUE"""),"")</f>
        <v/>
      </c>
      <c r="H860" s="189" t="str">
        <f ca="1">IFERROR(__xludf.DUMMYFUNCTION("""COMPUTED_VALUE"""),"")</f>
        <v/>
      </c>
      <c r="I860" s="120" t="str">
        <f ca="1">IFERROR(__xludf.DUMMYFUNCTION("""COMPUTED_VALUE"""),"")</f>
        <v/>
      </c>
      <c r="J860" s="189" t="str">
        <f ca="1">IFERROR(__xludf.DUMMYFUNCTION("""COMPUTED_VALUE"""),"")</f>
        <v/>
      </c>
      <c r="K860" s="189" t="str">
        <f ca="1">IFERROR(__xludf.DUMMYFUNCTION("""COMPUTED_VALUE"""),"")</f>
        <v/>
      </c>
      <c r="L860" s="189" t="str">
        <f ca="1">IFERROR(__xludf.DUMMYFUNCTION("""COMPUTED_VALUE"""),"")</f>
        <v/>
      </c>
      <c r="M860" s="189" t="str">
        <f ca="1">IFERROR(__xludf.DUMMYFUNCTION("""COMPUTED_VALUE"""),"")</f>
        <v/>
      </c>
      <c r="N860" s="189" t="str">
        <f ca="1">IFERROR(__xludf.DUMMYFUNCTION("""COMPUTED_VALUE"""),"")</f>
        <v/>
      </c>
      <c r="O860" s="189" t="str">
        <f ca="1">IFERROR(__xludf.DUMMYFUNCTION("""COMPUTED_VALUE"""),"")</f>
        <v/>
      </c>
      <c r="P860" s="189" t="str">
        <f ca="1">IFERROR(__xludf.DUMMYFUNCTION("""COMPUTED_VALUE"""),"")</f>
        <v/>
      </c>
      <c r="Q860" s="189" t="str">
        <f ca="1">IFERROR(__xludf.DUMMYFUNCTION("""COMPUTED_VALUE"""),"")</f>
        <v/>
      </c>
      <c r="R860" s="189" t="str">
        <f ca="1">IFERROR(__xludf.DUMMYFUNCTION("""COMPUTED_VALUE"""),"")</f>
        <v/>
      </c>
      <c r="S860" s="189" t="str">
        <f ca="1">IFERROR(__xludf.DUMMYFUNCTION("""COMPUTED_VALUE"""),"")</f>
        <v/>
      </c>
      <c r="T860" s="189" t="str">
        <f ca="1">IFERROR(__xludf.DUMMYFUNCTION("""COMPUTED_VALUE"""),"")</f>
        <v/>
      </c>
      <c r="U860" s="189" t="str">
        <f ca="1">IFERROR(__xludf.DUMMYFUNCTION("""COMPUTED_VALUE"""),"")</f>
        <v/>
      </c>
      <c r="V860" s="189" t="str">
        <f ca="1">IFERROR(__xludf.DUMMYFUNCTION("""COMPUTED_VALUE"""),"")</f>
        <v/>
      </c>
      <c r="W860" s="189" t="str">
        <f ca="1">IFERROR(__xludf.DUMMYFUNCTION("""COMPUTED_VALUE"""),"")</f>
        <v/>
      </c>
      <c r="X860" s="189" t="str">
        <f ca="1">IFERROR(__xludf.DUMMYFUNCTION("""COMPUTED_VALUE"""),"")</f>
        <v/>
      </c>
      <c r="Y860" s="189" t="str">
        <f ca="1">IFERROR(__xludf.DUMMYFUNCTION("""COMPUTED_VALUE"""),"")</f>
        <v/>
      </c>
      <c r="Z860" s="189"/>
    </row>
    <row r="861" spans="1:26" ht="12.75">
      <c r="A861" s="189" t="str">
        <f ca="1">IFERROR(__xludf.DUMMYFUNCTION("""COMPUTED_VALUE"""),"")</f>
        <v/>
      </c>
      <c r="B861" s="189" t="str">
        <f ca="1">IFERROR(__xludf.DUMMYFUNCTION("""COMPUTED_VALUE"""),"")</f>
        <v/>
      </c>
      <c r="C861" s="189" t="str">
        <f ca="1">IFERROR(__xludf.DUMMYFUNCTION("""COMPUTED_VALUE"""),"")</f>
        <v/>
      </c>
      <c r="D861" s="189" t="str">
        <f ca="1">IFERROR(__xludf.DUMMYFUNCTION("""COMPUTED_VALUE"""),"")</f>
        <v/>
      </c>
      <c r="E861" s="189" t="str">
        <f ca="1">IFERROR(__xludf.DUMMYFUNCTION("""COMPUTED_VALUE"""),"")</f>
        <v/>
      </c>
      <c r="F861" s="189" t="str">
        <f ca="1">IFERROR(__xludf.DUMMYFUNCTION("""COMPUTED_VALUE"""),"")</f>
        <v/>
      </c>
      <c r="G861" s="189" t="str">
        <f ca="1">IFERROR(__xludf.DUMMYFUNCTION("""COMPUTED_VALUE"""),"")</f>
        <v/>
      </c>
      <c r="H861" s="189" t="str">
        <f ca="1">IFERROR(__xludf.DUMMYFUNCTION("""COMPUTED_VALUE"""),"")</f>
        <v/>
      </c>
      <c r="I861" s="120" t="str">
        <f ca="1">IFERROR(__xludf.DUMMYFUNCTION("""COMPUTED_VALUE"""),"")</f>
        <v/>
      </c>
      <c r="J861" s="189" t="str">
        <f ca="1">IFERROR(__xludf.DUMMYFUNCTION("""COMPUTED_VALUE"""),"")</f>
        <v/>
      </c>
      <c r="K861" s="189" t="str">
        <f ca="1">IFERROR(__xludf.DUMMYFUNCTION("""COMPUTED_VALUE"""),"")</f>
        <v/>
      </c>
      <c r="L861" s="189" t="str">
        <f ca="1">IFERROR(__xludf.DUMMYFUNCTION("""COMPUTED_VALUE"""),"")</f>
        <v/>
      </c>
      <c r="M861" s="189" t="str">
        <f ca="1">IFERROR(__xludf.DUMMYFUNCTION("""COMPUTED_VALUE"""),"")</f>
        <v/>
      </c>
      <c r="N861" s="189" t="str">
        <f ca="1">IFERROR(__xludf.DUMMYFUNCTION("""COMPUTED_VALUE"""),"")</f>
        <v/>
      </c>
      <c r="O861" s="189" t="str">
        <f ca="1">IFERROR(__xludf.DUMMYFUNCTION("""COMPUTED_VALUE"""),"")</f>
        <v/>
      </c>
      <c r="P861" s="189" t="str">
        <f ca="1">IFERROR(__xludf.DUMMYFUNCTION("""COMPUTED_VALUE"""),"")</f>
        <v/>
      </c>
      <c r="Q861" s="189" t="str">
        <f ca="1">IFERROR(__xludf.DUMMYFUNCTION("""COMPUTED_VALUE"""),"")</f>
        <v/>
      </c>
      <c r="R861" s="189" t="str">
        <f ca="1">IFERROR(__xludf.DUMMYFUNCTION("""COMPUTED_VALUE"""),"")</f>
        <v/>
      </c>
      <c r="S861" s="189" t="str">
        <f ca="1">IFERROR(__xludf.DUMMYFUNCTION("""COMPUTED_VALUE"""),"")</f>
        <v/>
      </c>
      <c r="T861" s="189" t="str">
        <f ca="1">IFERROR(__xludf.DUMMYFUNCTION("""COMPUTED_VALUE"""),"")</f>
        <v/>
      </c>
      <c r="U861" s="189" t="str">
        <f ca="1">IFERROR(__xludf.DUMMYFUNCTION("""COMPUTED_VALUE"""),"")</f>
        <v/>
      </c>
      <c r="V861" s="189" t="str">
        <f ca="1">IFERROR(__xludf.DUMMYFUNCTION("""COMPUTED_VALUE"""),"")</f>
        <v/>
      </c>
      <c r="W861" s="189" t="str">
        <f ca="1">IFERROR(__xludf.DUMMYFUNCTION("""COMPUTED_VALUE"""),"")</f>
        <v/>
      </c>
      <c r="X861" s="189" t="str">
        <f ca="1">IFERROR(__xludf.DUMMYFUNCTION("""COMPUTED_VALUE"""),"")</f>
        <v/>
      </c>
      <c r="Y861" s="189" t="str">
        <f ca="1">IFERROR(__xludf.DUMMYFUNCTION("""COMPUTED_VALUE"""),"")</f>
        <v/>
      </c>
      <c r="Z861" s="189"/>
    </row>
    <row r="862" spans="1:26" ht="12.75">
      <c r="A862" s="189" t="str">
        <f ca="1">IFERROR(__xludf.DUMMYFUNCTION("""COMPUTED_VALUE"""),"")</f>
        <v/>
      </c>
      <c r="B862" s="189" t="str">
        <f ca="1">IFERROR(__xludf.DUMMYFUNCTION("""COMPUTED_VALUE"""),"")</f>
        <v/>
      </c>
      <c r="C862" s="189" t="str">
        <f ca="1">IFERROR(__xludf.DUMMYFUNCTION("""COMPUTED_VALUE"""),"")</f>
        <v/>
      </c>
      <c r="D862" s="189" t="str">
        <f ca="1">IFERROR(__xludf.DUMMYFUNCTION("""COMPUTED_VALUE"""),"")</f>
        <v/>
      </c>
      <c r="E862" s="189" t="str">
        <f ca="1">IFERROR(__xludf.DUMMYFUNCTION("""COMPUTED_VALUE"""),"")</f>
        <v/>
      </c>
      <c r="F862" s="189" t="str">
        <f ca="1">IFERROR(__xludf.DUMMYFUNCTION("""COMPUTED_VALUE"""),"")</f>
        <v/>
      </c>
      <c r="G862" s="189" t="str">
        <f ca="1">IFERROR(__xludf.DUMMYFUNCTION("""COMPUTED_VALUE"""),"")</f>
        <v/>
      </c>
      <c r="H862" s="189" t="str">
        <f ca="1">IFERROR(__xludf.DUMMYFUNCTION("""COMPUTED_VALUE"""),"")</f>
        <v/>
      </c>
      <c r="I862" s="120" t="str">
        <f ca="1">IFERROR(__xludf.DUMMYFUNCTION("""COMPUTED_VALUE"""),"")</f>
        <v/>
      </c>
      <c r="J862" s="189" t="str">
        <f ca="1">IFERROR(__xludf.DUMMYFUNCTION("""COMPUTED_VALUE"""),"")</f>
        <v/>
      </c>
      <c r="K862" s="189" t="str">
        <f ca="1">IFERROR(__xludf.DUMMYFUNCTION("""COMPUTED_VALUE"""),"")</f>
        <v/>
      </c>
      <c r="L862" s="189" t="str">
        <f ca="1">IFERROR(__xludf.DUMMYFUNCTION("""COMPUTED_VALUE"""),"")</f>
        <v/>
      </c>
      <c r="M862" s="189" t="str">
        <f ca="1">IFERROR(__xludf.DUMMYFUNCTION("""COMPUTED_VALUE"""),"")</f>
        <v/>
      </c>
      <c r="N862" s="189" t="str">
        <f ca="1">IFERROR(__xludf.DUMMYFUNCTION("""COMPUTED_VALUE"""),"")</f>
        <v/>
      </c>
      <c r="O862" s="189" t="str">
        <f ca="1">IFERROR(__xludf.DUMMYFUNCTION("""COMPUTED_VALUE"""),"")</f>
        <v/>
      </c>
      <c r="P862" s="189" t="str">
        <f ca="1">IFERROR(__xludf.DUMMYFUNCTION("""COMPUTED_VALUE"""),"")</f>
        <v/>
      </c>
      <c r="Q862" s="189" t="str">
        <f ca="1">IFERROR(__xludf.DUMMYFUNCTION("""COMPUTED_VALUE"""),"")</f>
        <v/>
      </c>
      <c r="R862" s="189" t="str">
        <f ca="1">IFERROR(__xludf.DUMMYFUNCTION("""COMPUTED_VALUE"""),"")</f>
        <v/>
      </c>
      <c r="S862" s="189" t="str">
        <f ca="1">IFERROR(__xludf.DUMMYFUNCTION("""COMPUTED_VALUE"""),"")</f>
        <v/>
      </c>
      <c r="T862" s="189" t="str">
        <f ca="1">IFERROR(__xludf.DUMMYFUNCTION("""COMPUTED_VALUE"""),"")</f>
        <v/>
      </c>
      <c r="U862" s="189" t="str">
        <f ca="1">IFERROR(__xludf.DUMMYFUNCTION("""COMPUTED_VALUE"""),"")</f>
        <v/>
      </c>
      <c r="V862" s="189" t="str">
        <f ca="1">IFERROR(__xludf.DUMMYFUNCTION("""COMPUTED_VALUE"""),"")</f>
        <v/>
      </c>
      <c r="W862" s="189" t="str">
        <f ca="1">IFERROR(__xludf.DUMMYFUNCTION("""COMPUTED_VALUE"""),"")</f>
        <v/>
      </c>
      <c r="X862" s="189" t="str">
        <f ca="1">IFERROR(__xludf.DUMMYFUNCTION("""COMPUTED_VALUE"""),"")</f>
        <v/>
      </c>
      <c r="Y862" s="189" t="str">
        <f ca="1">IFERROR(__xludf.DUMMYFUNCTION("""COMPUTED_VALUE"""),"")</f>
        <v/>
      </c>
      <c r="Z862" s="189"/>
    </row>
    <row r="863" spans="1:26" ht="12.75">
      <c r="A863" s="189" t="str">
        <f ca="1">IFERROR(__xludf.DUMMYFUNCTION("""COMPUTED_VALUE"""),"")</f>
        <v/>
      </c>
      <c r="B863" s="189" t="str">
        <f ca="1">IFERROR(__xludf.DUMMYFUNCTION("""COMPUTED_VALUE"""),"")</f>
        <v/>
      </c>
      <c r="C863" s="189" t="str">
        <f ca="1">IFERROR(__xludf.DUMMYFUNCTION("""COMPUTED_VALUE"""),"")</f>
        <v/>
      </c>
      <c r="D863" s="189" t="str">
        <f ca="1">IFERROR(__xludf.DUMMYFUNCTION("""COMPUTED_VALUE"""),"")</f>
        <v/>
      </c>
      <c r="E863" s="189" t="str">
        <f ca="1">IFERROR(__xludf.DUMMYFUNCTION("""COMPUTED_VALUE"""),"")</f>
        <v/>
      </c>
      <c r="F863" s="189" t="str">
        <f ca="1">IFERROR(__xludf.DUMMYFUNCTION("""COMPUTED_VALUE"""),"")</f>
        <v/>
      </c>
      <c r="G863" s="189" t="str">
        <f ca="1">IFERROR(__xludf.DUMMYFUNCTION("""COMPUTED_VALUE"""),"")</f>
        <v/>
      </c>
      <c r="H863" s="189" t="str">
        <f ca="1">IFERROR(__xludf.DUMMYFUNCTION("""COMPUTED_VALUE"""),"")</f>
        <v/>
      </c>
      <c r="I863" s="120" t="str">
        <f ca="1">IFERROR(__xludf.DUMMYFUNCTION("""COMPUTED_VALUE"""),"")</f>
        <v/>
      </c>
      <c r="J863" s="189" t="str">
        <f ca="1">IFERROR(__xludf.DUMMYFUNCTION("""COMPUTED_VALUE"""),"")</f>
        <v/>
      </c>
      <c r="K863" s="189" t="str">
        <f ca="1">IFERROR(__xludf.DUMMYFUNCTION("""COMPUTED_VALUE"""),"")</f>
        <v/>
      </c>
      <c r="L863" s="189" t="str">
        <f ca="1">IFERROR(__xludf.DUMMYFUNCTION("""COMPUTED_VALUE"""),"")</f>
        <v/>
      </c>
      <c r="M863" s="189" t="str">
        <f ca="1">IFERROR(__xludf.DUMMYFUNCTION("""COMPUTED_VALUE"""),"")</f>
        <v/>
      </c>
      <c r="N863" s="189" t="str">
        <f ca="1">IFERROR(__xludf.DUMMYFUNCTION("""COMPUTED_VALUE"""),"")</f>
        <v/>
      </c>
      <c r="O863" s="189" t="str">
        <f ca="1">IFERROR(__xludf.DUMMYFUNCTION("""COMPUTED_VALUE"""),"")</f>
        <v/>
      </c>
      <c r="P863" s="189" t="str">
        <f ca="1">IFERROR(__xludf.DUMMYFUNCTION("""COMPUTED_VALUE"""),"")</f>
        <v/>
      </c>
      <c r="Q863" s="189" t="str">
        <f ca="1">IFERROR(__xludf.DUMMYFUNCTION("""COMPUTED_VALUE"""),"")</f>
        <v/>
      </c>
      <c r="R863" s="189" t="str">
        <f ca="1">IFERROR(__xludf.DUMMYFUNCTION("""COMPUTED_VALUE"""),"")</f>
        <v/>
      </c>
      <c r="S863" s="189" t="str">
        <f ca="1">IFERROR(__xludf.DUMMYFUNCTION("""COMPUTED_VALUE"""),"")</f>
        <v/>
      </c>
      <c r="T863" s="189" t="str">
        <f ca="1">IFERROR(__xludf.DUMMYFUNCTION("""COMPUTED_VALUE"""),"")</f>
        <v/>
      </c>
      <c r="U863" s="189" t="str">
        <f ca="1">IFERROR(__xludf.DUMMYFUNCTION("""COMPUTED_VALUE"""),"")</f>
        <v/>
      </c>
      <c r="V863" s="189" t="str">
        <f ca="1">IFERROR(__xludf.DUMMYFUNCTION("""COMPUTED_VALUE"""),"")</f>
        <v/>
      </c>
      <c r="W863" s="189" t="str">
        <f ca="1">IFERROR(__xludf.DUMMYFUNCTION("""COMPUTED_VALUE"""),"")</f>
        <v/>
      </c>
      <c r="X863" s="189" t="str">
        <f ca="1">IFERROR(__xludf.DUMMYFUNCTION("""COMPUTED_VALUE"""),"")</f>
        <v/>
      </c>
      <c r="Y863" s="189" t="str">
        <f ca="1">IFERROR(__xludf.DUMMYFUNCTION("""COMPUTED_VALUE"""),"")</f>
        <v/>
      </c>
      <c r="Z863" s="189"/>
    </row>
    <row r="864" spans="1:26" ht="12.75">
      <c r="A864" s="189" t="str">
        <f ca="1">IFERROR(__xludf.DUMMYFUNCTION("""COMPUTED_VALUE"""),"")</f>
        <v/>
      </c>
      <c r="B864" s="189" t="str">
        <f ca="1">IFERROR(__xludf.DUMMYFUNCTION("""COMPUTED_VALUE"""),"")</f>
        <v/>
      </c>
      <c r="C864" s="189" t="str">
        <f ca="1">IFERROR(__xludf.DUMMYFUNCTION("""COMPUTED_VALUE"""),"")</f>
        <v/>
      </c>
      <c r="D864" s="189" t="str">
        <f ca="1">IFERROR(__xludf.DUMMYFUNCTION("""COMPUTED_VALUE"""),"")</f>
        <v/>
      </c>
      <c r="E864" s="189" t="str">
        <f ca="1">IFERROR(__xludf.DUMMYFUNCTION("""COMPUTED_VALUE"""),"")</f>
        <v/>
      </c>
      <c r="F864" s="189" t="str">
        <f ca="1">IFERROR(__xludf.DUMMYFUNCTION("""COMPUTED_VALUE"""),"")</f>
        <v/>
      </c>
      <c r="G864" s="189" t="str">
        <f ca="1">IFERROR(__xludf.DUMMYFUNCTION("""COMPUTED_VALUE"""),"")</f>
        <v/>
      </c>
      <c r="H864" s="189" t="str">
        <f ca="1">IFERROR(__xludf.DUMMYFUNCTION("""COMPUTED_VALUE"""),"")</f>
        <v/>
      </c>
      <c r="I864" s="120" t="str">
        <f ca="1">IFERROR(__xludf.DUMMYFUNCTION("""COMPUTED_VALUE"""),"")</f>
        <v/>
      </c>
      <c r="J864" s="189" t="str">
        <f ca="1">IFERROR(__xludf.DUMMYFUNCTION("""COMPUTED_VALUE"""),"")</f>
        <v/>
      </c>
      <c r="K864" s="189" t="str">
        <f ca="1">IFERROR(__xludf.DUMMYFUNCTION("""COMPUTED_VALUE"""),"")</f>
        <v/>
      </c>
      <c r="L864" s="189" t="str">
        <f ca="1">IFERROR(__xludf.DUMMYFUNCTION("""COMPUTED_VALUE"""),"")</f>
        <v/>
      </c>
      <c r="M864" s="189" t="str">
        <f ca="1">IFERROR(__xludf.DUMMYFUNCTION("""COMPUTED_VALUE"""),"")</f>
        <v/>
      </c>
      <c r="N864" s="189" t="str">
        <f ca="1">IFERROR(__xludf.DUMMYFUNCTION("""COMPUTED_VALUE"""),"")</f>
        <v/>
      </c>
      <c r="O864" s="189" t="str">
        <f ca="1">IFERROR(__xludf.DUMMYFUNCTION("""COMPUTED_VALUE"""),"")</f>
        <v/>
      </c>
      <c r="P864" s="189" t="str">
        <f ca="1">IFERROR(__xludf.DUMMYFUNCTION("""COMPUTED_VALUE"""),"")</f>
        <v/>
      </c>
      <c r="Q864" s="189" t="str">
        <f ca="1">IFERROR(__xludf.DUMMYFUNCTION("""COMPUTED_VALUE"""),"")</f>
        <v/>
      </c>
      <c r="R864" s="189" t="str">
        <f ca="1">IFERROR(__xludf.DUMMYFUNCTION("""COMPUTED_VALUE"""),"")</f>
        <v/>
      </c>
      <c r="S864" s="189" t="str">
        <f ca="1">IFERROR(__xludf.DUMMYFUNCTION("""COMPUTED_VALUE"""),"")</f>
        <v/>
      </c>
      <c r="T864" s="189" t="str">
        <f ca="1">IFERROR(__xludf.DUMMYFUNCTION("""COMPUTED_VALUE"""),"")</f>
        <v/>
      </c>
      <c r="U864" s="189" t="str">
        <f ca="1">IFERROR(__xludf.DUMMYFUNCTION("""COMPUTED_VALUE"""),"")</f>
        <v/>
      </c>
      <c r="V864" s="189" t="str">
        <f ca="1">IFERROR(__xludf.DUMMYFUNCTION("""COMPUTED_VALUE"""),"")</f>
        <v/>
      </c>
      <c r="W864" s="189" t="str">
        <f ca="1">IFERROR(__xludf.DUMMYFUNCTION("""COMPUTED_VALUE"""),"")</f>
        <v/>
      </c>
      <c r="X864" s="189" t="str">
        <f ca="1">IFERROR(__xludf.DUMMYFUNCTION("""COMPUTED_VALUE"""),"")</f>
        <v/>
      </c>
      <c r="Y864" s="189" t="str">
        <f ca="1">IFERROR(__xludf.DUMMYFUNCTION("""COMPUTED_VALUE"""),"")</f>
        <v/>
      </c>
      <c r="Z864" s="189"/>
    </row>
    <row r="865" spans="1:26" ht="12.75">
      <c r="A865" s="189" t="str">
        <f ca="1">IFERROR(__xludf.DUMMYFUNCTION("""COMPUTED_VALUE"""),"")</f>
        <v/>
      </c>
      <c r="B865" s="189" t="str">
        <f ca="1">IFERROR(__xludf.DUMMYFUNCTION("""COMPUTED_VALUE"""),"")</f>
        <v/>
      </c>
      <c r="C865" s="189" t="str">
        <f ca="1">IFERROR(__xludf.DUMMYFUNCTION("""COMPUTED_VALUE"""),"")</f>
        <v/>
      </c>
      <c r="D865" s="189" t="str">
        <f ca="1">IFERROR(__xludf.DUMMYFUNCTION("""COMPUTED_VALUE"""),"")</f>
        <v/>
      </c>
      <c r="E865" s="189" t="str">
        <f ca="1">IFERROR(__xludf.DUMMYFUNCTION("""COMPUTED_VALUE"""),"")</f>
        <v/>
      </c>
      <c r="F865" s="189" t="str">
        <f ca="1">IFERROR(__xludf.DUMMYFUNCTION("""COMPUTED_VALUE"""),"")</f>
        <v/>
      </c>
      <c r="G865" s="189" t="str">
        <f ca="1">IFERROR(__xludf.DUMMYFUNCTION("""COMPUTED_VALUE"""),"")</f>
        <v/>
      </c>
      <c r="H865" s="189" t="str">
        <f ca="1">IFERROR(__xludf.DUMMYFUNCTION("""COMPUTED_VALUE"""),"")</f>
        <v/>
      </c>
      <c r="I865" s="120" t="str">
        <f ca="1">IFERROR(__xludf.DUMMYFUNCTION("""COMPUTED_VALUE"""),"")</f>
        <v/>
      </c>
      <c r="J865" s="189" t="str">
        <f ca="1">IFERROR(__xludf.DUMMYFUNCTION("""COMPUTED_VALUE"""),"")</f>
        <v/>
      </c>
      <c r="K865" s="189" t="str">
        <f ca="1">IFERROR(__xludf.DUMMYFUNCTION("""COMPUTED_VALUE"""),"")</f>
        <v/>
      </c>
      <c r="L865" s="189" t="str">
        <f ca="1">IFERROR(__xludf.DUMMYFUNCTION("""COMPUTED_VALUE"""),"")</f>
        <v/>
      </c>
      <c r="M865" s="189" t="str">
        <f ca="1">IFERROR(__xludf.DUMMYFUNCTION("""COMPUTED_VALUE"""),"")</f>
        <v/>
      </c>
      <c r="N865" s="189" t="str">
        <f ca="1">IFERROR(__xludf.DUMMYFUNCTION("""COMPUTED_VALUE"""),"")</f>
        <v/>
      </c>
      <c r="O865" s="189" t="str">
        <f ca="1">IFERROR(__xludf.DUMMYFUNCTION("""COMPUTED_VALUE"""),"")</f>
        <v/>
      </c>
      <c r="P865" s="189" t="str">
        <f ca="1">IFERROR(__xludf.DUMMYFUNCTION("""COMPUTED_VALUE"""),"")</f>
        <v/>
      </c>
      <c r="Q865" s="189" t="str">
        <f ca="1">IFERROR(__xludf.DUMMYFUNCTION("""COMPUTED_VALUE"""),"")</f>
        <v/>
      </c>
      <c r="R865" s="189" t="str">
        <f ca="1">IFERROR(__xludf.DUMMYFUNCTION("""COMPUTED_VALUE"""),"")</f>
        <v/>
      </c>
      <c r="S865" s="189" t="str">
        <f ca="1">IFERROR(__xludf.DUMMYFUNCTION("""COMPUTED_VALUE"""),"")</f>
        <v/>
      </c>
      <c r="T865" s="189" t="str">
        <f ca="1">IFERROR(__xludf.DUMMYFUNCTION("""COMPUTED_VALUE"""),"")</f>
        <v/>
      </c>
      <c r="U865" s="189" t="str">
        <f ca="1">IFERROR(__xludf.DUMMYFUNCTION("""COMPUTED_VALUE"""),"")</f>
        <v/>
      </c>
      <c r="V865" s="189" t="str">
        <f ca="1">IFERROR(__xludf.DUMMYFUNCTION("""COMPUTED_VALUE"""),"")</f>
        <v/>
      </c>
      <c r="W865" s="189" t="str">
        <f ca="1">IFERROR(__xludf.DUMMYFUNCTION("""COMPUTED_VALUE"""),"")</f>
        <v/>
      </c>
      <c r="X865" s="189" t="str">
        <f ca="1">IFERROR(__xludf.DUMMYFUNCTION("""COMPUTED_VALUE"""),"")</f>
        <v/>
      </c>
      <c r="Y865" s="189" t="str">
        <f ca="1">IFERROR(__xludf.DUMMYFUNCTION("""COMPUTED_VALUE"""),"")</f>
        <v/>
      </c>
      <c r="Z865" s="189"/>
    </row>
    <row r="866" spans="1:26" ht="12.75">
      <c r="A866" s="189" t="str">
        <f ca="1">IFERROR(__xludf.DUMMYFUNCTION("""COMPUTED_VALUE"""),"")</f>
        <v/>
      </c>
      <c r="B866" s="189" t="str">
        <f ca="1">IFERROR(__xludf.DUMMYFUNCTION("""COMPUTED_VALUE"""),"")</f>
        <v/>
      </c>
      <c r="C866" s="189" t="str">
        <f ca="1">IFERROR(__xludf.DUMMYFUNCTION("""COMPUTED_VALUE"""),"")</f>
        <v/>
      </c>
      <c r="D866" s="189" t="str">
        <f ca="1">IFERROR(__xludf.DUMMYFUNCTION("""COMPUTED_VALUE"""),"")</f>
        <v/>
      </c>
      <c r="E866" s="189" t="str">
        <f ca="1">IFERROR(__xludf.DUMMYFUNCTION("""COMPUTED_VALUE"""),"")</f>
        <v/>
      </c>
      <c r="F866" s="189" t="str">
        <f ca="1">IFERROR(__xludf.DUMMYFUNCTION("""COMPUTED_VALUE"""),"")</f>
        <v/>
      </c>
      <c r="G866" s="189" t="str">
        <f ca="1">IFERROR(__xludf.DUMMYFUNCTION("""COMPUTED_VALUE"""),"")</f>
        <v/>
      </c>
      <c r="H866" s="189" t="str">
        <f ca="1">IFERROR(__xludf.DUMMYFUNCTION("""COMPUTED_VALUE"""),"")</f>
        <v/>
      </c>
      <c r="I866" s="120" t="str">
        <f ca="1">IFERROR(__xludf.DUMMYFUNCTION("""COMPUTED_VALUE"""),"")</f>
        <v/>
      </c>
      <c r="J866" s="189" t="str">
        <f ca="1">IFERROR(__xludf.DUMMYFUNCTION("""COMPUTED_VALUE"""),"")</f>
        <v/>
      </c>
      <c r="K866" s="189" t="str">
        <f ca="1">IFERROR(__xludf.DUMMYFUNCTION("""COMPUTED_VALUE"""),"")</f>
        <v/>
      </c>
      <c r="L866" s="189" t="str">
        <f ca="1">IFERROR(__xludf.DUMMYFUNCTION("""COMPUTED_VALUE"""),"")</f>
        <v/>
      </c>
      <c r="M866" s="189" t="str">
        <f ca="1">IFERROR(__xludf.DUMMYFUNCTION("""COMPUTED_VALUE"""),"")</f>
        <v/>
      </c>
      <c r="N866" s="189" t="str">
        <f ca="1">IFERROR(__xludf.DUMMYFUNCTION("""COMPUTED_VALUE"""),"")</f>
        <v/>
      </c>
      <c r="O866" s="189" t="str">
        <f ca="1">IFERROR(__xludf.DUMMYFUNCTION("""COMPUTED_VALUE"""),"")</f>
        <v/>
      </c>
      <c r="P866" s="189" t="str">
        <f ca="1">IFERROR(__xludf.DUMMYFUNCTION("""COMPUTED_VALUE"""),"")</f>
        <v/>
      </c>
      <c r="Q866" s="189" t="str">
        <f ca="1">IFERROR(__xludf.DUMMYFUNCTION("""COMPUTED_VALUE"""),"")</f>
        <v/>
      </c>
      <c r="R866" s="189" t="str">
        <f ca="1">IFERROR(__xludf.DUMMYFUNCTION("""COMPUTED_VALUE"""),"")</f>
        <v/>
      </c>
      <c r="S866" s="189" t="str">
        <f ca="1">IFERROR(__xludf.DUMMYFUNCTION("""COMPUTED_VALUE"""),"")</f>
        <v/>
      </c>
      <c r="T866" s="189" t="str">
        <f ca="1">IFERROR(__xludf.DUMMYFUNCTION("""COMPUTED_VALUE"""),"")</f>
        <v/>
      </c>
      <c r="U866" s="189" t="str">
        <f ca="1">IFERROR(__xludf.DUMMYFUNCTION("""COMPUTED_VALUE"""),"")</f>
        <v/>
      </c>
      <c r="V866" s="189" t="str">
        <f ca="1">IFERROR(__xludf.DUMMYFUNCTION("""COMPUTED_VALUE"""),"")</f>
        <v/>
      </c>
      <c r="W866" s="189" t="str">
        <f ca="1">IFERROR(__xludf.DUMMYFUNCTION("""COMPUTED_VALUE"""),"")</f>
        <v/>
      </c>
      <c r="X866" s="189" t="str">
        <f ca="1">IFERROR(__xludf.DUMMYFUNCTION("""COMPUTED_VALUE"""),"")</f>
        <v/>
      </c>
      <c r="Y866" s="189" t="str">
        <f ca="1">IFERROR(__xludf.DUMMYFUNCTION("""COMPUTED_VALUE"""),"")</f>
        <v/>
      </c>
      <c r="Z866" s="189"/>
    </row>
    <row r="867" spans="1:26" ht="12.75">
      <c r="A867" s="189" t="str">
        <f ca="1">IFERROR(__xludf.DUMMYFUNCTION("""COMPUTED_VALUE"""),"")</f>
        <v/>
      </c>
      <c r="B867" s="189" t="str">
        <f ca="1">IFERROR(__xludf.DUMMYFUNCTION("""COMPUTED_VALUE"""),"")</f>
        <v/>
      </c>
      <c r="C867" s="189" t="str">
        <f ca="1">IFERROR(__xludf.DUMMYFUNCTION("""COMPUTED_VALUE"""),"")</f>
        <v/>
      </c>
      <c r="D867" s="189" t="str">
        <f ca="1">IFERROR(__xludf.DUMMYFUNCTION("""COMPUTED_VALUE"""),"")</f>
        <v/>
      </c>
      <c r="E867" s="189" t="str">
        <f ca="1">IFERROR(__xludf.DUMMYFUNCTION("""COMPUTED_VALUE"""),"")</f>
        <v/>
      </c>
      <c r="F867" s="189" t="str">
        <f ca="1">IFERROR(__xludf.DUMMYFUNCTION("""COMPUTED_VALUE"""),"")</f>
        <v/>
      </c>
      <c r="G867" s="189" t="str">
        <f ca="1">IFERROR(__xludf.DUMMYFUNCTION("""COMPUTED_VALUE"""),"")</f>
        <v/>
      </c>
      <c r="H867" s="189" t="str">
        <f ca="1">IFERROR(__xludf.DUMMYFUNCTION("""COMPUTED_VALUE"""),"")</f>
        <v/>
      </c>
      <c r="I867" s="120" t="str">
        <f ca="1">IFERROR(__xludf.DUMMYFUNCTION("""COMPUTED_VALUE"""),"")</f>
        <v/>
      </c>
      <c r="J867" s="189" t="str">
        <f ca="1">IFERROR(__xludf.DUMMYFUNCTION("""COMPUTED_VALUE"""),"")</f>
        <v/>
      </c>
      <c r="K867" s="189" t="str">
        <f ca="1">IFERROR(__xludf.DUMMYFUNCTION("""COMPUTED_VALUE"""),"")</f>
        <v/>
      </c>
      <c r="L867" s="189" t="str">
        <f ca="1">IFERROR(__xludf.DUMMYFUNCTION("""COMPUTED_VALUE"""),"")</f>
        <v/>
      </c>
      <c r="M867" s="189" t="str">
        <f ca="1">IFERROR(__xludf.DUMMYFUNCTION("""COMPUTED_VALUE"""),"")</f>
        <v/>
      </c>
      <c r="N867" s="189" t="str">
        <f ca="1">IFERROR(__xludf.DUMMYFUNCTION("""COMPUTED_VALUE"""),"")</f>
        <v/>
      </c>
      <c r="O867" s="189" t="str">
        <f ca="1">IFERROR(__xludf.DUMMYFUNCTION("""COMPUTED_VALUE"""),"")</f>
        <v/>
      </c>
      <c r="P867" s="189" t="str">
        <f ca="1">IFERROR(__xludf.DUMMYFUNCTION("""COMPUTED_VALUE"""),"")</f>
        <v/>
      </c>
      <c r="Q867" s="189" t="str">
        <f ca="1">IFERROR(__xludf.DUMMYFUNCTION("""COMPUTED_VALUE"""),"")</f>
        <v/>
      </c>
      <c r="R867" s="189" t="str">
        <f ca="1">IFERROR(__xludf.DUMMYFUNCTION("""COMPUTED_VALUE"""),"")</f>
        <v/>
      </c>
      <c r="S867" s="189" t="str">
        <f ca="1">IFERROR(__xludf.DUMMYFUNCTION("""COMPUTED_VALUE"""),"")</f>
        <v/>
      </c>
      <c r="T867" s="189" t="str">
        <f ca="1">IFERROR(__xludf.DUMMYFUNCTION("""COMPUTED_VALUE"""),"")</f>
        <v/>
      </c>
      <c r="U867" s="189" t="str">
        <f ca="1">IFERROR(__xludf.DUMMYFUNCTION("""COMPUTED_VALUE"""),"")</f>
        <v/>
      </c>
      <c r="V867" s="189" t="str">
        <f ca="1">IFERROR(__xludf.DUMMYFUNCTION("""COMPUTED_VALUE"""),"")</f>
        <v/>
      </c>
      <c r="W867" s="189" t="str">
        <f ca="1">IFERROR(__xludf.DUMMYFUNCTION("""COMPUTED_VALUE"""),"")</f>
        <v/>
      </c>
      <c r="X867" s="189" t="str">
        <f ca="1">IFERROR(__xludf.DUMMYFUNCTION("""COMPUTED_VALUE"""),"")</f>
        <v/>
      </c>
      <c r="Y867" s="189" t="str">
        <f ca="1">IFERROR(__xludf.DUMMYFUNCTION("""COMPUTED_VALUE"""),"")</f>
        <v/>
      </c>
      <c r="Z867" s="189"/>
    </row>
    <row r="868" spans="1:26" ht="12.75">
      <c r="A868" s="189" t="str">
        <f ca="1">IFERROR(__xludf.DUMMYFUNCTION("""COMPUTED_VALUE"""),"")</f>
        <v/>
      </c>
      <c r="B868" s="189" t="str">
        <f ca="1">IFERROR(__xludf.DUMMYFUNCTION("""COMPUTED_VALUE"""),"")</f>
        <v/>
      </c>
      <c r="C868" s="189" t="str">
        <f ca="1">IFERROR(__xludf.DUMMYFUNCTION("""COMPUTED_VALUE"""),"")</f>
        <v/>
      </c>
      <c r="D868" s="189" t="str">
        <f ca="1">IFERROR(__xludf.DUMMYFUNCTION("""COMPUTED_VALUE"""),"")</f>
        <v/>
      </c>
      <c r="E868" s="189" t="str">
        <f ca="1">IFERROR(__xludf.DUMMYFUNCTION("""COMPUTED_VALUE"""),"")</f>
        <v/>
      </c>
      <c r="F868" s="189" t="str">
        <f ca="1">IFERROR(__xludf.DUMMYFUNCTION("""COMPUTED_VALUE"""),"")</f>
        <v/>
      </c>
      <c r="G868" s="189" t="str">
        <f ca="1">IFERROR(__xludf.DUMMYFUNCTION("""COMPUTED_VALUE"""),"")</f>
        <v/>
      </c>
      <c r="H868" s="189" t="str">
        <f ca="1">IFERROR(__xludf.DUMMYFUNCTION("""COMPUTED_VALUE"""),"")</f>
        <v/>
      </c>
      <c r="I868" s="120" t="str">
        <f ca="1">IFERROR(__xludf.DUMMYFUNCTION("""COMPUTED_VALUE"""),"")</f>
        <v/>
      </c>
      <c r="J868" s="189" t="str">
        <f ca="1">IFERROR(__xludf.DUMMYFUNCTION("""COMPUTED_VALUE"""),"")</f>
        <v/>
      </c>
      <c r="K868" s="189" t="str">
        <f ca="1">IFERROR(__xludf.DUMMYFUNCTION("""COMPUTED_VALUE"""),"")</f>
        <v/>
      </c>
      <c r="L868" s="189" t="str">
        <f ca="1">IFERROR(__xludf.DUMMYFUNCTION("""COMPUTED_VALUE"""),"")</f>
        <v/>
      </c>
      <c r="M868" s="189" t="str">
        <f ca="1">IFERROR(__xludf.DUMMYFUNCTION("""COMPUTED_VALUE"""),"")</f>
        <v/>
      </c>
      <c r="N868" s="189" t="str">
        <f ca="1">IFERROR(__xludf.DUMMYFUNCTION("""COMPUTED_VALUE"""),"")</f>
        <v/>
      </c>
      <c r="O868" s="189" t="str">
        <f ca="1">IFERROR(__xludf.DUMMYFUNCTION("""COMPUTED_VALUE"""),"")</f>
        <v/>
      </c>
      <c r="P868" s="189" t="str">
        <f ca="1">IFERROR(__xludf.DUMMYFUNCTION("""COMPUTED_VALUE"""),"")</f>
        <v/>
      </c>
      <c r="Q868" s="189" t="str">
        <f ca="1">IFERROR(__xludf.DUMMYFUNCTION("""COMPUTED_VALUE"""),"")</f>
        <v/>
      </c>
      <c r="R868" s="189" t="str">
        <f ca="1">IFERROR(__xludf.DUMMYFUNCTION("""COMPUTED_VALUE"""),"")</f>
        <v/>
      </c>
      <c r="S868" s="189" t="str">
        <f ca="1">IFERROR(__xludf.DUMMYFUNCTION("""COMPUTED_VALUE"""),"")</f>
        <v/>
      </c>
      <c r="T868" s="189" t="str">
        <f ca="1">IFERROR(__xludf.DUMMYFUNCTION("""COMPUTED_VALUE"""),"")</f>
        <v/>
      </c>
      <c r="U868" s="189" t="str">
        <f ca="1">IFERROR(__xludf.DUMMYFUNCTION("""COMPUTED_VALUE"""),"")</f>
        <v/>
      </c>
      <c r="V868" s="189" t="str">
        <f ca="1">IFERROR(__xludf.DUMMYFUNCTION("""COMPUTED_VALUE"""),"")</f>
        <v/>
      </c>
      <c r="W868" s="189" t="str">
        <f ca="1">IFERROR(__xludf.DUMMYFUNCTION("""COMPUTED_VALUE"""),"")</f>
        <v/>
      </c>
      <c r="X868" s="189" t="str">
        <f ca="1">IFERROR(__xludf.DUMMYFUNCTION("""COMPUTED_VALUE"""),"")</f>
        <v/>
      </c>
      <c r="Y868" s="189" t="str">
        <f ca="1">IFERROR(__xludf.DUMMYFUNCTION("""COMPUTED_VALUE"""),"")</f>
        <v/>
      </c>
      <c r="Z868" s="189"/>
    </row>
    <row r="869" spans="1:26" ht="12.75">
      <c r="A869" s="189" t="str">
        <f ca="1">IFERROR(__xludf.DUMMYFUNCTION("""COMPUTED_VALUE"""),"")</f>
        <v/>
      </c>
      <c r="B869" s="189" t="str">
        <f ca="1">IFERROR(__xludf.DUMMYFUNCTION("""COMPUTED_VALUE"""),"")</f>
        <v/>
      </c>
      <c r="C869" s="189" t="str">
        <f ca="1">IFERROR(__xludf.DUMMYFUNCTION("""COMPUTED_VALUE"""),"")</f>
        <v/>
      </c>
      <c r="D869" s="189" t="str">
        <f ca="1">IFERROR(__xludf.DUMMYFUNCTION("""COMPUTED_VALUE"""),"")</f>
        <v/>
      </c>
      <c r="E869" s="189" t="str">
        <f ca="1">IFERROR(__xludf.DUMMYFUNCTION("""COMPUTED_VALUE"""),"")</f>
        <v/>
      </c>
      <c r="F869" s="189" t="str">
        <f ca="1">IFERROR(__xludf.DUMMYFUNCTION("""COMPUTED_VALUE"""),"")</f>
        <v/>
      </c>
      <c r="G869" s="189" t="str">
        <f ca="1">IFERROR(__xludf.DUMMYFUNCTION("""COMPUTED_VALUE"""),"")</f>
        <v/>
      </c>
      <c r="H869" s="189" t="str">
        <f ca="1">IFERROR(__xludf.DUMMYFUNCTION("""COMPUTED_VALUE"""),"")</f>
        <v/>
      </c>
      <c r="I869" s="120" t="str">
        <f ca="1">IFERROR(__xludf.DUMMYFUNCTION("""COMPUTED_VALUE"""),"")</f>
        <v/>
      </c>
      <c r="J869" s="189" t="str">
        <f ca="1">IFERROR(__xludf.DUMMYFUNCTION("""COMPUTED_VALUE"""),"")</f>
        <v/>
      </c>
      <c r="K869" s="189" t="str">
        <f ca="1">IFERROR(__xludf.DUMMYFUNCTION("""COMPUTED_VALUE"""),"")</f>
        <v/>
      </c>
      <c r="L869" s="189" t="str">
        <f ca="1">IFERROR(__xludf.DUMMYFUNCTION("""COMPUTED_VALUE"""),"")</f>
        <v/>
      </c>
      <c r="M869" s="189" t="str">
        <f ca="1">IFERROR(__xludf.DUMMYFUNCTION("""COMPUTED_VALUE"""),"")</f>
        <v/>
      </c>
      <c r="N869" s="189" t="str">
        <f ca="1">IFERROR(__xludf.DUMMYFUNCTION("""COMPUTED_VALUE"""),"")</f>
        <v/>
      </c>
      <c r="O869" s="189" t="str">
        <f ca="1">IFERROR(__xludf.DUMMYFUNCTION("""COMPUTED_VALUE"""),"")</f>
        <v/>
      </c>
      <c r="P869" s="189" t="str">
        <f ca="1">IFERROR(__xludf.DUMMYFUNCTION("""COMPUTED_VALUE"""),"")</f>
        <v/>
      </c>
      <c r="Q869" s="189" t="str">
        <f ca="1">IFERROR(__xludf.DUMMYFUNCTION("""COMPUTED_VALUE"""),"")</f>
        <v/>
      </c>
      <c r="R869" s="189" t="str">
        <f ca="1">IFERROR(__xludf.DUMMYFUNCTION("""COMPUTED_VALUE"""),"")</f>
        <v/>
      </c>
      <c r="S869" s="189" t="str">
        <f ca="1">IFERROR(__xludf.DUMMYFUNCTION("""COMPUTED_VALUE"""),"")</f>
        <v/>
      </c>
      <c r="T869" s="189" t="str">
        <f ca="1">IFERROR(__xludf.DUMMYFUNCTION("""COMPUTED_VALUE"""),"")</f>
        <v/>
      </c>
      <c r="U869" s="189" t="str">
        <f ca="1">IFERROR(__xludf.DUMMYFUNCTION("""COMPUTED_VALUE"""),"")</f>
        <v/>
      </c>
      <c r="V869" s="189" t="str">
        <f ca="1">IFERROR(__xludf.DUMMYFUNCTION("""COMPUTED_VALUE"""),"")</f>
        <v/>
      </c>
      <c r="W869" s="189" t="str">
        <f ca="1">IFERROR(__xludf.DUMMYFUNCTION("""COMPUTED_VALUE"""),"")</f>
        <v/>
      </c>
      <c r="X869" s="189" t="str">
        <f ca="1">IFERROR(__xludf.DUMMYFUNCTION("""COMPUTED_VALUE"""),"")</f>
        <v/>
      </c>
      <c r="Y869" s="189" t="str">
        <f ca="1">IFERROR(__xludf.DUMMYFUNCTION("""COMPUTED_VALUE"""),"")</f>
        <v/>
      </c>
      <c r="Z869" s="189"/>
    </row>
    <row r="870" spans="1:26" ht="12.75">
      <c r="A870" s="189" t="str">
        <f ca="1">IFERROR(__xludf.DUMMYFUNCTION("""COMPUTED_VALUE"""),"")</f>
        <v/>
      </c>
      <c r="B870" s="189" t="str">
        <f ca="1">IFERROR(__xludf.DUMMYFUNCTION("""COMPUTED_VALUE"""),"")</f>
        <v/>
      </c>
      <c r="C870" s="189" t="str">
        <f ca="1">IFERROR(__xludf.DUMMYFUNCTION("""COMPUTED_VALUE"""),"")</f>
        <v/>
      </c>
      <c r="D870" s="189" t="str">
        <f ca="1">IFERROR(__xludf.DUMMYFUNCTION("""COMPUTED_VALUE"""),"")</f>
        <v/>
      </c>
      <c r="E870" s="189" t="str">
        <f ca="1">IFERROR(__xludf.DUMMYFUNCTION("""COMPUTED_VALUE"""),"")</f>
        <v/>
      </c>
      <c r="F870" s="189" t="str">
        <f ca="1">IFERROR(__xludf.DUMMYFUNCTION("""COMPUTED_VALUE"""),"")</f>
        <v/>
      </c>
      <c r="G870" s="189" t="str">
        <f ca="1">IFERROR(__xludf.DUMMYFUNCTION("""COMPUTED_VALUE"""),"")</f>
        <v/>
      </c>
      <c r="H870" s="189" t="str">
        <f ca="1">IFERROR(__xludf.DUMMYFUNCTION("""COMPUTED_VALUE"""),"")</f>
        <v/>
      </c>
      <c r="I870" s="120" t="str">
        <f ca="1">IFERROR(__xludf.DUMMYFUNCTION("""COMPUTED_VALUE"""),"")</f>
        <v/>
      </c>
      <c r="J870" s="189" t="str">
        <f ca="1">IFERROR(__xludf.DUMMYFUNCTION("""COMPUTED_VALUE"""),"")</f>
        <v/>
      </c>
      <c r="K870" s="189" t="str">
        <f ca="1">IFERROR(__xludf.DUMMYFUNCTION("""COMPUTED_VALUE"""),"")</f>
        <v/>
      </c>
      <c r="L870" s="189" t="str">
        <f ca="1">IFERROR(__xludf.DUMMYFUNCTION("""COMPUTED_VALUE"""),"")</f>
        <v/>
      </c>
      <c r="M870" s="189" t="str">
        <f ca="1">IFERROR(__xludf.DUMMYFUNCTION("""COMPUTED_VALUE"""),"")</f>
        <v/>
      </c>
      <c r="N870" s="189" t="str">
        <f ca="1">IFERROR(__xludf.DUMMYFUNCTION("""COMPUTED_VALUE"""),"")</f>
        <v/>
      </c>
      <c r="O870" s="189" t="str">
        <f ca="1">IFERROR(__xludf.DUMMYFUNCTION("""COMPUTED_VALUE"""),"")</f>
        <v/>
      </c>
      <c r="P870" s="189" t="str">
        <f ca="1">IFERROR(__xludf.DUMMYFUNCTION("""COMPUTED_VALUE"""),"")</f>
        <v/>
      </c>
      <c r="Q870" s="189" t="str">
        <f ca="1">IFERROR(__xludf.DUMMYFUNCTION("""COMPUTED_VALUE"""),"")</f>
        <v/>
      </c>
      <c r="R870" s="189" t="str">
        <f ca="1">IFERROR(__xludf.DUMMYFUNCTION("""COMPUTED_VALUE"""),"")</f>
        <v/>
      </c>
      <c r="S870" s="189" t="str">
        <f ca="1">IFERROR(__xludf.DUMMYFUNCTION("""COMPUTED_VALUE"""),"")</f>
        <v/>
      </c>
      <c r="T870" s="189" t="str">
        <f ca="1">IFERROR(__xludf.DUMMYFUNCTION("""COMPUTED_VALUE"""),"")</f>
        <v/>
      </c>
      <c r="U870" s="189" t="str">
        <f ca="1">IFERROR(__xludf.DUMMYFUNCTION("""COMPUTED_VALUE"""),"")</f>
        <v/>
      </c>
      <c r="V870" s="189" t="str">
        <f ca="1">IFERROR(__xludf.DUMMYFUNCTION("""COMPUTED_VALUE"""),"")</f>
        <v/>
      </c>
      <c r="W870" s="189" t="str">
        <f ca="1">IFERROR(__xludf.DUMMYFUNCTION("""COMPUTED_VALUE"""),"")</f>
        <v/>
      </c>
      <c r="X870" s="189" t="str">
        <f ca="1">IFERROR(__xludf.DUMMYFUNCTION("""COMPUTED_VALUE"""),"")</f>
        <v/>
      </c>
      <c r="Y870" s="189" t="str">
        <f ca="1">IFERROR(__xludf.DUMMYFUNCTION("""COMPUTED_VALUE"""),"")</f>
        <v/>
      </c>
      <c r="Z870" s="189"/>
    </row>
    <row r="871" spans="1:26" ht="12.75">
      <c r="A871" s="189" t="str">
        <f ca="1">IFERROR(__xludf.DUMMYFUNCTION("""COMPUTED_VALUE"""),"")</f>
        <v/>
      </c>
      <c r="B871" s="189" t="str">
        <f ca="1">IFERROR(__xludf.DUMMYFUNCTION("""COMPUTED_VALUE"""),"")</f>
        <v/>
      </c>
      <c r="C871" s="189" t="str">
        <f ca="1">IFERROR(__xludf.DUMMYFUNCTION("""COMPUTED_VALUE"""),"")</f>
        <v/>
      </c>
      <c r="D871" s="189" t="str">
        <f ca="1">IFERROR(__xludf.DUMMYFUNCTION("""COMPUTED_VALUE"""),"")</f>
        <v/>
      </c>
      <c r="E871" s="189" t="str">
        <f ca="1">IFERROR(__xludf.DUMMYFUNCTION("""COMPUTED_VALUE"""),"")</f>
        <v/>
      </c>
      <c r="F871" s="189" t="str">
        <f ca="1">IFERROR(__xludf.DUMMYFUNCTION("""COMPUTED_VALUE"""),"")</f>
        <v/>
      </c>
      <c r="G871" s="189" t="str">
        <f ca="1">IFERROR(__xludf.DUMMYFUNCTION("""COMPUTED_VALUE"""),"")</f>
        <v/>
      </c>
      <c r="H871" s="189" t="str">
        <f ca="1">IFERROR(__xludf.DUMMYFUNCTION("""COMPUTED_VALUE"""),"")</f>
        <v/>
      </c>
      <c r="I871" s="120" t="str">
        <f ca="1">IFERROR(__xludf.DUMMYFUNCTION("""COMPUTED_VALUE"""),"")</f>
        <v/>
      </c>
      <c r="J871" s="189" t="str">
        <f ca="1">IFERROR(__xludf.DUMMYFUNCTION("""COMPUTED_VALUE"""),"")</f>
        <v/>
      </c>
      <c r="K871" s="189" t="str">
        <f ca="1">IFERROR(__xludf.DUMMYFUNCTION("""COMPUTED_VALUE"""),"")</f>
        <v/>
      </c>
      <c r="L871" s="189" t="str">
        <f ca="1">IFERROR(__xludf.DUMMYFUNCTION("""COMPUTED_VALUE"""),"")</f>
        <v/>
      </c>
      <c r="M871" s="189" t="str">
        <f ca="1">IFERROR(__xludf.DUMMYFUNCTION("""COMPUTED_VALUE"""),"")</f>
        <v/>
      </c>
      <c r="N871" s="189" t="str">
        <f ca="1">IFERROR(__xludf.DUMMYFUNCTION("""COMPUTED_VALUE"""),"")</f>
        <v/>
      </c>
      <c r="O871" s="189" t="str">
        <f ca="1">IFERROR(__xludf.DUMMYFUNCTION("""COMPUTED_VALUE"""),"")</f>
        <v/>
      </c>
      <c r="P871" s="189" t="str">
        <f ca="1">IFERROR(__xludf.DUMMYFUNCTION("""COMPUTED_VALUE"""),"")</f>
        <v/>
      </c>
      <c r="Q871" s="189" t="str">
        <f ca="1">IFERROR(__xludf.DUMMYFUNCTION("""COMPUTED_VALUE"""),"")</f>
        <v/>
      </c>
      <c r="R871" s="189" t="str">
        <f ca="1">IFERROR(__xludf.DUMMYFUNCTION("""COMPUTED_VALUE"""),"")</f>
        <v/>
      </c>
      <c r="S871" s="189" t="str">
        <f ca="1">IFERROR(__xludf.DUMMYFUNCTION("""COMPUTED_VALUE"""),"")</f>
        <v/>
      </c>
      <c r="T871" s="189" t="str">
        <f ca="1">IFERROR(__xludf.DUMMYFUNCTION("""COMPUTED_VALUE"""),"")</f>
        <v/>
      </c>
      <c r="U871" s="189" t="str">
        <f ca="1">IFERROR(__xludf.DUMMYFUNCTION("""COMPUTED_VALUE"""),"")</f>
        <v/>
      </c>
      <c r="V871" s="189" t="str">
        <f ca="1">IFERROR(__xludf.DUMMYFUNCTION("""COMPUTED_VALUE"""),"")</f>
        <v/>
      </c>
      <c r="W871" s="189" t="str">
        <f ca="1">IFERROR(__xludf.DUMMYFUNCTION("""COMPUTED_VALUE"""),"")</f>
        <v/>
      </c>
      <c r="X871" s="189" t="str">
        <f ca="1">IFERROR(__xludf.DUMMYFUNCTION("""COMPUTED_VALUE"""),"")</f>
        <v/>
      </c>
      <c r="Y871" s="189" t="str">
        <f ca="1">IFERROR(__xludf.DUMMYFUNCTION("""COMPUTED_VALUE"""),"")</f>
        <v/>
      </c>
      <c r="Z871" s="189"/>
    </row>
    <row r="872" spans="1:26" ht="12.75">
      <c r="A872" s="189" t="str">
        <f ca="1">IFERROR(__xludf.DUMMYFUNCTION("""COMPUTED_VALUE"""),"")</f>
        <v/>
      </c>
      <c r="B872" s="189" t="str">
        <f ca="1">IFERROR(__xludf.DUMMYFUNCTION("""COMPUTED_VALUE"""),"")</f>
        <v/>
      </c>
      <c r="C872" s="189" t="str">
        <f ca="1">IFERROR(__xludf.DUMMYFUNCTION("""COMPUTED_VALUE"""),"")</f>
        <v/>
      </c>
      <c r="D872" s="189" t="str">
        <f ca="1">IFERROR(__xludf.DUMMYFUNCTION("""COMPUTED_VALUE"""),"")</f>
        <v/>
      </c>
      <c r="E872" s="189" t="str">
        <f ca="1">IFERROR(__xludf.DUMMYFUNCTION("""COMPUTED_VALUE"""),"")</f>
        <v/>
      </c>
      <c r="F872" s="189" t="str">
        <f ca="1">IFERROR(__xludf.DUMMYFUNCTION("""COMPUTED_VALUE"""),"")</f>
        <v/>
      </c>
      <c r="G872" s="189" t="str">
        <f ca="1">IFERROR(__xludf.DUMMYFUNCTION("""COMPUTED_VALUE"""),"")</f>
        <v/>
      </c>
      <c r="H872" s="189" t="str">
        <f ca="1">IFERROR(__xludf.DUMMYFUNCTION("""COMPUTED_VALUE"""),"")</f>
        <v/>
      </c>
      <c r="I872" s="120" t="str">
        <f ca="1">IFERROR(__xludf.DUMMYFUNCTION("""COMPUTED_VALUE"""),"")</f>
        <v/>
      </c>
      <c r="J872" s="189" t="str">
        <f ca="1">IFERROR(__xludf.DUMMYFUNCTION("""COMPUTED_VALUE"""),"")</f>
        <v/>
      </c>
      <c r="K872" s="189" t="str">
        <f ca="1">IFERROR(__xludf.DUMMYFUNCTION("""COMPUTED_VALUE"""),"")</f>
        <v/>
      </c>
      <c r="L872" s="189" t="str">
        <f ca="1">IFERROR(__xludf.DUMMYFUNCTION("""COMPUTED_VALUE"""),"")</f>
        <v/>
      </c>
      <c r="M872" s="189" t="str">
        <f ca="1">IFERROR(__xludf.DUMMYFUNCTION("""COMPUTED_VALUE"""),"")</f>
        <v/>
      </c>
      <c r="N872" s="189" t="str">
        <f ca="1">IFERROR(__xludf.DUMMYFUNCTION("""COMPUTED_VALUE"""),"")</f>
        <v/>
      </c>
      <c r="O872" s="189" t="str">
        <f ca="1">IFERROR(__xludf.DUMMYFUNCTION("""COMPUTED_VALUE"""),"")</f>
        <v/>
      </c>
      <c r="P872" s="189" t="str">
        <f ca="1">IFERROR(__xludf.DUMMYFUNCTION("""COMPUTED_VALUE"""),"")</f>
        <v/>
      </c>
      <c r="Q872" s="189" t="str">
        <f ca="1">IFERROR(__xludf.DUMMYFUNCTION("""COMPUTED_VALUE"""),"")</f>
        <v/>
      </c>
      <c r="R872" s="189" t="str">
        <f ca="1">IFERROR(__xludf.DUMMYFUNCTION("""COMPUTED_VALUE"""),"")</f>
        <v/>
      </c>
      <c r="S872" s="189" t="str">
        <f ca="1">IFERROR(__xludf.DUMMYFUNCTION("""COMPUTED_VALUE"""),"")</f>
        <v/>
      </c>
      <c r="T872" s="189" t="str">
        <f ca="1">IFERROR(__xludf.DUMMYFUNCTION("""COMPUTED_VALUE"""),"")</f>
        <v/>
      </c>
      <c r="U872" s="189" t="str">
        <f ca="1">IFERROR(__xludf.DUMMYFUNCTION("""COMPUTED_VALUE"""),"")</f>
        <v/>
      </c>
      <c r="V872" s="189" t="str">
        <f ca="1">IFERROR(__xludf.DUMMYFUNCTION("""COMPUTED_VALUE"""),"")</f>
        <v/>
      </c>
      <c r="W872" s="189" t="str">
        <f ca="1">IFERROR(__xludf.DUMMYFUNCTION("""COMPUTED_VALUE"""),"")</f>
        <v/>
      </c>
      <c r="X872" s="189" t="str">
        <f ca="1">IFERROR(__xludf.DUMMYFUNCTION("""COMPUTED_VALUE"""),"")</f>
        <v/>
      </c>
      <c r="Y872" s="189" t="str">
        <f ca="1">IFERROR(__xludf.DUMMYFUNCTION("""COMPUTED_VALUE"""),"")</f>
        <v/>
      </c>
      <c r="Z872" s="189"/>
    </row>
    <row r="873" spans="1:26" ht="12.75">
      <c r="A873" s="189" t="str">
        <f ca="1">IFERROR(__xludf.DUMMYFUNCTION("""COMPUTED_VALUE"""),"")</f>
        <v/>
      </c>
      <c r="B873" s="189" t="str">
        <f ca="1">IFERROR(__xludf.DUMMYFUNCTION("""COMPUTED_VALUE"""),"")</f>
        <v/>
      </c>
      <c r="C873" s="189" t="str">
        <f ca="1">IFERROR(__xludf.DUMMYFUNCTION("""COMPUTED_VALUE"""),"")</f>
        <v/>
      </c>
      <c r="D873" s="189" t="str">
        <f ca="1">IFERROR(__xludf.DUMMYFUNCTION("""COMPUTED_VALUE"""),"")</f>
        <v/>
      </c>
      <c r="E873" s="189" t="str">
        <f ca="1">IFERROR(__xludf.DUMMYFUNCTION("""COMPUTED_VALUE"""),"")</f>
        <v/>
      </c>
      <c r="F873" s="189" t="str">
        <f ca="1">IFERROR(__xludf.DUMMYFUNCTION("""COMPUTED_VALUE"""),"")</f>
        <v/>
      </c>
      <c r="G873" s="189" t="str">
        <f ca="1">IFERROR(__xludf.DUMMYFUNCTION("""COMPUTED_VALUE"""),"")</f>
        <v/>
      </c>
      <c r="H873" s="189" t="str">
        <f ca="1">IFERROR(__xludf.DUMMYFUNCTION("""COMPUTED_VALUE"""),"")</f>
        <v/>
      </c>
      <c r="I873" s="120" t="str">
        <f ca="1">IFERROR(__xludf.DUMMYFUNCTION("""COMPUTED_VALUE"""),"")</f>
        <v/>
      </c>
      <c r="J873" s="189" t="str">
        <f ca="1">IFERROR(__xludf.DUMMYFUNCTION("""COMPUTED_VALUE"""),"")</f>
        <v/>
      </c>
      <c r="K873" s="189" t="str">
        <f ca="1">IFERROR(__xludf.DUMMYFUNCTION("""COMPUTED_VALUE"""),"")</f>
        <v/>
      </c>
      <c r="L873" s="189" t="str">
        <f ca="1">IFERROR(__xludf.DUMMYFUNCTION("""COMPUTED_VALUE"""),"")</f>
        <v/>
      </c>
      <c r="M873" s="189" t="str">
        <f ca="1">IFERROR(__xludf.DUMMYFUNCTION("""COMPUTED_VALUE"""),"")</f>
        <v/>
      </c>
      <c r="N873" s="189" t="str">
        <f ca="1">IFERROR(__xludf.DUMMYFUNCTION("""COMPUTED_VALUE"""),"")</f>
        <v/>
      </c>
      <c r="O873" s="189" t="str">
        <f ca="1">IFERROR(__xludf.DUMMYFUNCTION("""COMPUTED_VALUE"""),"")</f>
        <v/>
      </c>
      <c r="P873" s="189" t="str">
        <f ca="1">IFERROR(__xludf.DUMMYFUNCTION("""COMPUTED_VALUE"""),"")</f>
        <v/>
      </c>
      <c r="Q873" s="189" t="str">
        <f ca="1">IFERROR(__xludf.DUMMYFUNCTION("""COMPUTED_VALUE"""),"")</f>
        <v/>
      </c>
      <c r="R873" s="189" t="str">
        <f ca="1">IFERROR(__xludf.DUMMYFUNCTION("""COMPUTED_VALUE"""),"")</f>
        <v/>
      </c>
      <c r="S873" s="189" t="str">
        <f ca="1">IFERROR(__xludf.DUMMYFUNCTION("""COMPUTED_VALUE"""),"")</f>
        <v/>
      </c>
      <c r="T873" s="189" t="str">
        <f ca="1">IFERROR(__xludf.DUMMYFUNCTION("""COMPUTED_VALUE"""),"")</f>
        <v/>
      </c>
      <c r="U873" s="189" t="str">
        <f ca="1">IFERROR(__xludf.DUMMYFUNCTION("""COMPUTED_VALUE"""),"")</f>
        <v/>
      </c>
      <c r="V873" s="189" t="str">
        <f ca="1">IFERROR(__xludf.DUMMYFUNCTION("""COMPUTED_VALUE"""),"")</f>
        <v/>
      </c>
      <c r="W873" s="189" t="str">
        <f ca="1">IFERROR(__xludf.DUMMYFUNCTION("""COMPUTED_VALUE"""),"")</f>
        <v/>
      </c>
      <c r="X873" s="189" t="str">
        <f ca="1">IFERROR(__xludf.DUMMYFUNCTION("""COMPUTED_VALUE"""),"")</f>
        <v/>
      </c>
      <c r="Y873" s="189" t="str">
        <f ca="1">IFERROR(__xludf.DUMMYFUNCTION("""COMPUTED_VALUE"""),"")</f>
        <v/>
      </c>
      <c r="Z873" s="189"/>
    </row>
    <row r="874" spans="1:26" ht="12.75">
      <c r="A874" s="189" t="str">
        <f ca="1">IFERROR(__xludf.DUMMYFUNCTION("""COMPUTED_VALUE"""),"")</f>
        <v/>
      </c>
      <c r="B874" s="189" t="str">
        <f ca="1">IFERROR(__xludf.DUMMYFUNCTION("""COMPUTED_VALUE"""),"")</f>
        <v/>
      </c>
      <c r="C874" s="189" t="str">
        <f ca="1">IFERROR(__xludf.DUMMYFUNCTION("""COMPUTED_VALUE"""),"")</f>
        <v/>
      </c>
      <c r="D874" s="189" t="str">
        <f ca="1">IFERROR(__xludf.DUMMYFUNCTION("""COMPUTED_VALUE"""),"")</f>
        <v/>
      </c>
      <c r="E874" s="189" t="str">
        <f ca="1">IFERROR(__xludf.DUMMYFUNCTION("""COMPUTED_VALUE"""),"")</f>
        <v/>
      </c>
      <c r="F874" s="189" t="str">
        <f ca="1">IFERROR(__xludf.DUMMYFUNCTION("""COMPUTED_VALUE"""),"")</f>
        <v/>
      </c>
      <c r="G874" s="189" t="str">
        <f ca="1">IFERROR(__xludf.DUMMYFUNCTION("""COMPUTED_VALUE"""),"")</f>
        <v/>
      </c>
      <c r="H874" s="189" t="str">
        <f ca="1">IFERROR(__xludf.DUMMYFUNCTION("""COMPUTED_VALUE"""),"")</f>
        <v/>
      </c>
      <c r="I874" s="120" t="str">
        <f ca="1">IFERROR(__xludf.DUMMYFUNCTION("""COMPUTED_VALUE"""),"")</f>
        <v/>
      </c>
      <c r="J874" s="189" t="str">
        <f ca="1">IFERROR(__xludf.DUMMYFUNCTION("""COMPUTED_VALUE"""),"")</f>
        <v/>
      </c>
      <c r="K874" s="189" t="str">
        <f ca="1">IFERROR(__xludf.DUMMYFUNCTION("""COMPUTED_VALUE"""),"")</f>
        <v/>
      </c>
      <c r="L874" s="189" t="str">
        <f ca="1">IFERROR(__xludf.DUMMYFUNCTION("""COMPUTED_VALUE"""),"")</f>
        <v/>
      </c>
      <c r="M874" s="189" t="str">
        <f ca="1">IFERROR(__xludf.DUMMYFUNCTION("""COMPUTED_VALUE"""),"")</f>
        <v/>
      </c>
      <c r="N874" s="189" t="str">
        <f ca="1">IFERROR(__xludf.DUMMYFUNCTION("""COMPUTED_VALUE"""),"")</f>
        <v/>
      </c>
      <c r="O874" s="189" t="str">
        <f ca="1">IFERROR(__xludf.DUMMYFUNCTION("""COMPUTED_VALUE"""),"")</f>
        <v/>
      </c>
      <c r="P874" s="189" t="str">
        <f ca="1">IFERROR(__xludf.DUMMYFUNCTION("""COMPUTED_VALUE"""),"")</f>
        <v/>
      </c>
      <c r="Q874" s="189" t="str">
        <f ca="1">IFERROR(__xludf.DUMMYFUNCTION("""COMPUTED_VALUE"""),"")</f>
        <v/>
      </c>
      <c r="R874" s="189" t="str">
        <f ca="1">IFERROR(__xludf.DUMMYFUNCTION("""COMPUTED_VALUE"""),"")</f>
        <v/>
      </c>
      <c r="S874" s="189" t="str">
        <f ca="1">IFERROR(__xludf.DUMMYFUNCTION("""COMPUTED_VALUE"""),"")</f>
        <v/>
      </c>
      <c r="T874" s="189" t="str">
        <f ca="1">IFERROR(__xludf.DUMMYFUNCTION("""COMPUTED_VALUE"""),"")</f>
        <v/>
      </c>
      <c r="U874" s="189" t="str">
        <f ca="1">IFERROR(__xludf.DUMMYFUNCTION("""COMPUTED_VALUE"""),"")</f>
        <v/>
      </c>
      <c r="V874" s="189" t="str">
        <f ca="1">IFERROR(__xludf.DUMMYFUNCTION("""COMPUTED_VALUE"""),"")</f>
        <v/>
      </c>
      <c r="W874" s="189" t="str">
        <f ca="1">IFERROR(__xludf.DUMMYFUNCTION("""COMPUTED_VALUE"""),"")</f>
        <v/>
      </c>
      <c r="X874" s="189" t="str">
        <f ca="1">IFERROR(__xludf.DUMMYFUNCTION("""COMPUTED_VALUE"""),"")</f>
        <v/>
      </c>
      <c r="Y874" s="189" t="str">
        <f ca="1">IFERROR(__xludf.DUMMYFUNCTION("""COMPUTED_VALUE"""),"")</f>
        <v/>
      </c>
      <c r="Z874" s="189"/>
    </row>
    <row r="875" spans="1:26" ht="12.75">
      <c r="A875" s="189" t="str">
        <f ca="1">IFERROR(__xludf.DUMMYFUNCTION("""COMPUTED_VALUE"""),"")</f>
        <v/>
      </c>
      <c r="B875" s="189" t="str">
        <f ca="1">IFERROR(__xludf.DUMMYFUNCTION("""COMPUTED_VALUE"""),"")</f>
        <v/>
      </c>
      <c r="C875" s="189" t="str">
        <f ca="1">IFERROR(__xludf.DUMMYFUNCTION("""COMPUTED_VALUE"""),"")</f>
        <v/>
      </c>
      <c r="D875" s="189" t="str">
        <f ca="1">IFERROR(__xludf.DUMMYFUNCTION("""COMPUTED_VALUE"""),"")</f>
        <v/>
      </c>
      <c r="E875" s="189" t="str">
        <f ca="1">IFERROR(__xludf.DUMMYFUNCTION("""COMPUTED_VALUE"""),"")</f>
        <v/>
      </c>
      <c r="F875" s="189" t="str">
        <f ca="1">IFERROR(__xludf.DUMMYFUNCTION("""COMPUTED_VALUE"""),"")</f>
        <v/>
      </c>
      <c r="G875" s="189" t="str">
        <f ca="1">IFERROR(__xludf.DUMMYFUNCTION("""COMPUTED_VALUE"""),"")</f>
        <v/>
      </c>
      <c r="H875" s="189" t="str">
        <f ca="1">IFERROR(__xludf.DUMMYFUNCTION("""COMPUTED_VALUE"""),"")</f>
        <v/>
      </c>
      <c r="I875" s="120" t="str">
        <f ca="1">IFERROR(__xludf.DUMMYFUNCTION("""COMPUTED_VALUE"""),"")</f>
        <v/>
      </c>
      <c r="J875" s="189" t="str">
        <f ca="1">IFERROR(__xludf.DUMMYFUNCTION("""COMPUTED_VALUE"""),"")</f>
        <v/>
      </c>
      <c r="K875" s="189" t="str">
        <f ca="1">IFERROR(__xludf.DUMMYFUNCTION("""COMPUTED_VALUE"""),"")</f>
        <v/>
      </c>
      <c r="L875" s="189" t="str">
        <f ca="1">IFERROR(__xludf.DUMMYFUNCTION("""COMPUTED_VALUE"""),"")</f>
        <v/>
      </c>
      <c r="M875" s="189" t="str">
        <f ca="1">IFERROR(__xludf.DUMMYFUNCTION("""COMPUTED_VALUE"""),"")</f>
        <v/>
      </c>
      <c r="N875" s="189" t="str">
        <f ca="1">IFERROR(__xludf.DUMMYFUNCTION("""COMPUTED_VALUE"""),"")</f>
        <v/>
      </c>
      <c r="O875" s="189" t="str">
        <f ca="1">IFERROR(__xludf.DUMMYFUNCTION("""COMPUTED_VALUE"""),"")</f>
        <v/>
      </c>
      <c r="P875" s="189" t="str">
        <f ca="1">IFERROR(__xludf.DUMMYFUNCTION("""COMPUTED_VALUE"""),"")</f>
        <v/>
      </c>
      <c r="Q875" s="189" t="str">
        <f ca="1">IFERROR(__xludf.DUMMYFUNCTION("""COMPUTED_VALUE"""),"")</f>
        <v/>
      </c>
      <c r="R875" s="189" t="str">
        <f ca="1">IFERROR(__xludf.DUMMYFUNCTION("""COMPUTED_VALUE"""),"")</f>
        <v/>
      </c>
      <c r="S875" s="189" t="str">
        <f ca="1">IFERROR(__xludf.DUMMYFUNCTION("""COMPUTED_VALUE"""),"")</f>
        <v/>
      </c>
      <c r="T875" s="189" t="str">
        <f ca="1">IFERROR(__xludf.DUMMYFUNCTION("""COMPUTED_VALUE"""),"")</f>
        <v/>
      </c>
      <c r="U875" s="189" t="str">
        <f ca="1">IFERROR(__xludf.DUMMYFUNCTION("""COMPUTED_VALUE"""),"")</f>
        <v/>
      </c>
      <c r="V875" s="189" t="str">
        <f ca="1">IFERROR(__xludf.DUMMYFUNCTION("""COMPUTED_VALUE"""),"")</f>
        <v/>
      </c>
      <c r="W875" s="189" t="str">
        <f ca="1">IFERROR(__xludf.DUMMYFUNCTION("""COMPUTED_VALUE"""),"")</f>
        <v/>
      </c>
      <c r="X875" s="189" t="str">
        <f ca="1">IFERROR(__xludf.DUMMYFUNCTION("""COMPUTED_VALUE"""),"")</f>
        <v/>
      </c>
      <c r="Y875" s="189" t="str">
        <f ca="1">IFERROR(__xludf.DUMMYFUNCTION("""COMPUTED_VALUE"""),"")</f>
        <v/>
      </c>
      <c r="Z875" s="189"/>
    </row>
    <row r="876" spans="1:26" ht="12.75">
      <c r="A876" s="189" t="str">
        <f ca="1">IFERROR(__xludf.DUMMYFUNCTION("""COMPUTED_VALUE"""),"")</f>
        <v/>
      </c>
      <c r="B876" s="189" t="str">
        <f ca="1">IFERROR(__xludf.DUMMYFUNCTION("""COMPUTED_VALUE"""),"")</f>
        <v/>
      </c>
      <c r="C876" s="189" t="str">
        <f ca="1">IFERROR(__xludf.DUMMYFUNCTION("""COMPUTED_VALUE"""),"")</f>
        <v/>
      </c>
      <c r="D876" s="189" t="str">
        <f ca="1">IFERROR(__xludf.DUMMYFUNCTION("""COMPUTED_VALUE"""),"")</f>
        <v/>
      </c>
      <c r="E876" s="189" t="str">
        <f ca="1">IFERROR(__xludf.DUMMYFUNCTION("""COMPUTED_VALUE"""),"")</f>
        <v/>
      </c>
      <c r="F876" s="189" t="str">
        <f ca="1">IFERROR(__xludf.DUMMYFUNCTION("""COMPUTED_VALUE"""),"")</f>
        <v/>
      </c>
      <c r="G876" s="189" t="str">
        <f ca="1">IFERROR(__xludf.DUMMYFUNCTION("""COMPUTED_VALUE"""),"")</f>
        <v/>
      </c>
      <c r="H876" s="189" t="str">
        <f ca="1">IFERROR(__xludf.DUMMYFUNCTION("""COMPUTED_VALUE"""),"")</f>
        <v/>
      </c>
      <c r="I876" s="120" t="str">
        <f ca="1">IFERROR(__xludf.DUMMYFUNCTION("""COMPUTED_VALUE"""),"")</f>
        <v/>
      </c>
      <c r="J876" s="189" t="str">
        <f ca="1">IFERROR(__xludf.DUMMYFUNCTION("""COMPUTED_VALUE"""),"")</f>
        <v/>
      </c>
      <c r="K876" s="189" t="str">
        <f ca="1">IFERROR(__xludf.DUMMYFUNCTION("""COMPUTED_VALUE"""),"")</f>
        <v/>
      </c>
      <c r="L876" s="189" t="str">
        <f ca="1">IFERROR(__xludf.DUMMYFUNCTION("""COMPUTED_VALUE"""),"")</f>
        <v/>
      </c>
      <c r="M876" s="189" t="str">
        <f ca="1">IFERROR(__xludf.DUMMYFUNCTION("""COMPUTED_VALUE"""),"")</f>
        <v/>
      </c>
      <c r="N876" s="189" t="str">
        <f ca="1">IFERROR(__xludf.DUMMYFUNCTION("""COMPUTED_VALUE"""),"")</f>
        <v/>
      </c>
      <c r="O876" s="189" t="str">
        <f ca="1">IFERROR(__xludf.DUMMYFUNCTION("""COMPUTED_VALUE"""),"")</f>
        <v/>
      </c>
      <c r="P876" s="189" t="str">
        <f ca="1">IFERROR(__xludf.DUMMYFUNCTION("""COMPUTED_VALUE"""),"")</f>
        <v/>
      </c>
      <c r="Q876" s="189" t="str">
        <f ca="1">IFERROR(__xludf.DUMMYFUNCTION("""COMPUTED_VALUE"""),"")</f>
        <v/>
      </c>
      <c r="R876" s="189" t="str">
        <f ca="1">IFERROR(__xludf.DUMMYFUNCTION("""COMPUTED_VALUE"""),"")</f>
        <v/>
      </c>
      <c r="S876" s="189" t="str">
        <f ca="1">IFERROR(__xludf.DUMMYFUNCTION("""COMPUTED_VALUE"""),"")</f>
        <v/>
      </c>
      <c r="T876" s="189" t="str">
        <f ca="1">IFERROR(__xludf.DUMMYFUNCTION("""COMPUTED_VALUE"""),"")</f>
        <v/>
      </c>
      <c r="U876" s="189" t="str">
        <f ca="1">IFERROR(__xludf.DUMMYFUNCTION("""COMPUTED_VALUE"""),"")</f>
        <v/>
      </c>
      <c r="V876" s="189" t="str">
        <f ca="1">IFERROR(__xludf.DUMMYFUNCTION("""COMPUTED_VALUE"""),"")</f>
        <v/>
      </c>
      <c r="W876" s="189" t="str">
        <f ca="1">IFERROR(__xludf.DUMMYFUNCTION("""COMPUTED_VALUE"""),"")</f>
        <v/>
      </c>
      <c r="X876" s="189" t="str">
        <f ca="1">IFERROR(__xludf.DUMMYFUNCTION("""COMPUTED_VALUE"""),"")</f>
        <v/>
      </c>
      <c r="Y876" s="189" t="str">
        <f ca="1">IFERROR(__xludf.DUMMYFUNCTION("""COMPUTED_VALUE"""),"")</f>
        <v/>
      </c>
      <c r="Z876" s="189"/>
    </row>
    <row r="877" spans="1:26" ht="12.75">
      <c r="A877" s="189" t="str">
        <f ca="1">IFERROR(__xludf.DUMMYFUNCTION("""COMPUTED_VALUE"""),"")</f>
        <v/>
      </c>
      <c r="B877" s="189" t="str">
        <f ca="1">IFERROR(__xludf.DUMMYFUNCTION("""COMPUTED_VALUE"""),"")</f>
        <v/>
      </c>
      <c r="C877" s="189" t="str">
        <f ca="1">IFERROR(__xludf.DUMMYFUNCTION("""COMPUTED_VALUE"""),"")</f>
        <v/>
      </c>
      <c r="D877" s="189" t="str">
        <f ca="1">IFERROR(__xludf.DUMMYFUNCTION("""COMPUTED_VALUE"""),"")</f>
        <v/>
      </c>
      <c r="E877" s="189" t="str">
        <f ca="1">IFERROR(__xludf.DUMMYFUNCTION("""COMPUTED_VALUE"""),"")</f>
        <v/>
      </c>
      <c r="F877" s="189" t="str">
        <f ca="1">IFERROR(__xludf.DUMMYFUNCTION("""COMPUTED_VALUE"""),"")</f>
        <v/>
      </c>
      <c r="G877" s="189" t="str">
        <f ca="1">IFERROR(__xludf.DUMMYFUNCTION("""COMPUTED_VALUE"""),"")</f>
        <v/>
      </c>
      <c r="H877" s="189" t="str">
        <f ca="1">IFERROR(__xludf.DUMMYFUNCTION("""COMPUTED_VALUE"""),"")</f>
        <v/>
      </c>
      <c r="I877" s="120" t="str">
        <f ca="1">IFERROR(__xludf.DUMMYFUNCTION("""COMPUTED_VALUE"""),"")</f>
        <v/>
      </c>
      <c r="J877" s="189" t="str">
        <f ca="1">IFERROR(__xludf.DUMMYFUNCTION("""COMPUTED_VALUE"""),"")</f>
        <v/>
      </c>
      <c r="K877" s="189" t="str">
        <f ca="1">IFERROR(__xludf.DUMMYFUNCTION("""COMPUTED_VALUE"""),"")</f>
        <v/>
      </c>
      <c r="L877" s="189" t="str">
        <f ca="1">IFERROR(__xludf.DUMMYFUNCTION("""COMPUTED_VALUE"""),"")</f>
        <v/>
      </c>
      <c r="M877" s="189" t="str">
        <f ca="1">IFERROR(__xludf.DUMMYFUNCTION("""COMPUTED_VALUE"""),"")</f>
        <v/>
      </c>
      <c r="N877" s="189" t="str">
        <f ca="1">IFERROR(__xludf.DUMMYFUNCTION("""COMPUTED_VALUE"""),"")</f>
        <v/>
      </c>
      <c r="O877" s="189" t="str">
        <f ca="1">IFERROR(__xludf.DUMMYFUNCTION("""COMPUTED_VALUE"""),"")</f>
        <v/>
      </c>
      <c r="P877" s="189" t="str">
        <f ca="1">IFERROR(__xludf.DUMMYFUNCTION("""COMPUTED_VALUE"""),"")</f>
        <v/>
      </c>
      <c r="Q877" s="189" t="str">
        <f ca="1">IFERROR(__xludf.DUMMYFUNCTION("""COMPUTED_VALUE"""),"")</f>
        <v/>
      </c>
      <c r="R877" s="189" t="str">
        <f ca="1">IFERROR(__xludf.DUMMYFUNCTION("""COMPUTED_VALUE"""),"")</f>
        <v/>
      </c>
      <c r="S877" s="189" t="str">
        <f ca="1">IFERROR(__xludf.DUMMYFUNCTION("""COMPUTED_VALUE"""),"")</f>
        <v/>
      </c>
      <c r="T877" s="189" t="str">
        <f ca="1">IFERROR(__xludf.DUMMYFUNCTION("""COMPUTED_VALUE"""),"")</f>
        <v/>
      </c>
      <c r="U877" s="189" t="str">
        <f ca="1">IFERROR(__xludf.DUMMYFUNCTION("""COMPUTED_VALUE"""),"")</f>
        <v/>
      </c>
      <c r="V877" s="189" t="str">
        <f ca="1">IFERROR(__xludf.DUMMYFUNCTION("""COMPUTED_VALUE"""),"")</f>
        <v/>
      </c>
      <c r="W877" s="189" t="str">
        <f ca="1">IFERROR(__xludf.DUMMYFUNCTION("""COMPUTED_VALUE"""),"")</f>
        <v/>
      </c>
      <c r="X877" s="189" t="str">
        <f ca="1">IFERROR(__xludf.DUMMYFUNCTION("""COMPUTED_VALUE"""),"")</f>
        <v/>
      </c>
      <c r="Y877" s="189" t="str">
        <f ca="1">IFERROR(__xludf.DUMMYFUNCTION("""COMPUTED_VALUE"""),"")</f>
        <v/>
      </c>
      <c r="Z877" s="189"/>
    </row>
    <row r="878" spans="1:26" ht="12.75">
      <c r="A878" s="189" t="str">
        <f ca="1">IFERROR(__xludf.DUMMYFUNCTION("""COMPUTED_VALUE"""),"")</f>
        <v/>
      </c>
      <c r="B878" s="189" t="str">
        <f ca="1">IFERROR(__xludf.DUMMYFUNCTION("""COMPUTED_VALUE"""),"")</f>
        <v/>
      </c>
      <c r="C878" s="189" t="str">
        <f ca="1">IFERROR(__xludf.DUMMYFUNCTION("""COMPUTED_VALUE"""),"")</f>
        <v/>
      </c>
      <c r="D878" s="189" t="str">
        <f ca="1">IFERROR(__xludf.DUMMYFUNCTION("""COMPUTED_VALUE"""),"")</f>
        <v/>
      </c>
      <c r="E878" s="189" t="str">
        <f ca="1">IFERROR(__xludf.DUMMYFUNCTION("""COMPUTED_VALUE"""),"")</f>
        <v/>
      </c>
      <c r="F878" s="189" t="str">
        <f ca="1">IFERROR(__xludf.DUMMYFUNCTION("""COMPUTED_VALUE"""),"")</f>
        <v/>
      </c>
      <c r="G878" s="189" t="str">
        <f ca="1">IFERROR(__xludf.DUMMYFUNCTION("""COMPUTED_VALUE"""),"")</f>
        <v/>
      </c>
      <c r="H878" s="189" t="str">
        <f ca="1">IFERROR(__xludf.DUMMYFUNCTION("""COMPUTED_VALUE"""),"")</f>
        <v/>
      </c>
      <c r="I878" s="120" t="str">
        <f ca="1">IFERROR(__xludf.DUMMYFUNCTION("""COMPUTED_VALUE"""),"")</f>
        <v/>
      </c>
      <c r="J878" s="189" t="str">
        <f ca="1">IFERROR(__xludf.DUMMYFUNCTION("""COMPUTED_VALUE"""),"")</f>
        <v/>
      </c>
      <c r="K878" s="189" t="str">
        <f ca="1">IFERROR(__xludf.DUMMYFUNCTION("""COMPUTED_VALUE"""),"")</f>
        <v/>
      </c>
      <c r="L878" s="189" t="str">
        <f ca="1">IFERROR(__xludf.DUMMYFUNCTION("""COMPUTED_VALUE"""),"")</f>
        <v/>
      </c>
      <c r="M878" s="189" t="str">
        <f ca="1">IFERROR(__xludf.DUMMYFUNCTION("""COMPUTED_VALUE"""),"")</f>
        <v/>
      </c>
      <c r="N878" s="189" t="str">
        <f ca="1">IFERROR(__xludf.DUMMYFUNCTION("""COMPUTED_VALUE"""),"")</f>
        <v/>
      </c>
      <c r="O878" s="189" t="str">
        <f ca="1">IFERROR(__xludf.DUMMYFUNCTION("""COMPUTED_VALUE"""),"")</f>
        <v/>
      </c>
      <c r="P878" s="189" t="str">
        <f ca="1">IFERROR(__xludf.DUMMYFUNCTION("""COMPUTED_VALUE"""),"")</f>
        <v/>
      </c>
      <c r="Q878" s="189" t="str">
        <f ca="1">IFERROR(__xludf.DUMMYFUNCTION("""COMPUTED_VALUE"""),"")</f>
        <v/>
      </c>
      <c r="R878" s="189" t="str">
        <f ca="1">IFERROR(__xludf.DUMMYFUNCTION("""COMPUTED_VALUE"""),"")</f>
        <v/>
      </c>
      <c r="S878" s="189" t="str">
        <f ca="1">IFERROR(__xludf.DUMMYFUNCTION("""COMPUTED_VALUE"""),"")</f>
        <v/>
      </c>
      <c r="T878" s="189" t="str">
        <f ca="1">IFERROR(__xludf.DUMMYFUNCTION("""COMPUTED_VALUE"""),"")</f>
        <v/>
      </c>
      <c r="U878" s="189" t="str">
        <f ca="1">IFERROR(__xludf.DUMMYFUNCTION("""COMPUTED_VALUE"""),"")</f>
        <v/>
      </c>
      <c r="V878" s="189" t="str">
        <f ca="1">IFERROR(__xludf.DUMMYFUNCTION("""COMPUTED_VALUE"""),"")</f>
        <v/>
      </c>
      <c r="W878" s="189" t="str">
        <f ca="1">IFERROR(__xludf.DUMMYFUNCTION("""COMPUTED_VALUE"""),"")</f>
        <v/>
      </c>
      <c r="X878" s="189" t="str">
        <f ca="1">IFERROR(__xludf.DUMMYFUNCTION("""COMPUTED_VALUE"""),"")</f>
        <v/>
      </c>
      <c r="Y878" s="189" t="str">
        <f ca="1">IFERROR(__xludf.DUMMYFUNCTION("""COMPUTED_VALUE"""),"")</f>
        <v/>
      </c>
      <c r="Z878" s="189"/>
    </row>
    <row r="879" spans="1:26" ht="12.75">
      <c r="A879" s="189" t="str">
        <f ca="1">IFERROR(__xludf.DUMMYFUNCTION("""COMPUTED_VALUE"""),"")</f>
        <v/>
      </c>
      <c r="B879" s="189" t="str">
        <f ca="1">IFERROR(__xludf.DUMMYFUNCTION("""COMPUTED_VALUE"""),"")</f>
        <v/>
      </c>
      <c r="C879" s="189" t="str">
        <f ca="1">IFERROR(__xludf.DUMMYFUNCTION("""COMPUTED_VALUE"""),"")</f>
        <v/>
      </c>
      <c r="D879" s="189" t="str">
        <f ca="1">IFERROR(__xludf.DUMMYFUNCTION("""COMPUTED_VALUE"""),"")</f>
        <v/>
      </c>
      <c r="E879" s="189" t="str">
        <f ca="1">IFERROR(__xludf.DUMMYFUNCTION("""COMPUTED_VALUE"""),"")</f>
        <v/>
      </c>
      <c r="F879" s="189" t="str">
        <f ca="1">IFERROR(__xludf.DUMMYFUNCTION("""COMPUTED_VALUE"""),"")</f>
        <v/>
      </c>
      <c r="G879" s="189" t="str">
        <f ca="1">IFERROR(__xludf.DUMMYFUNCTION("""COMPUTED_VALUE"""),"")</f>
        <v/>
      </c>
      <c r="H879" s="189" t="str">
        <f ca="1">IFERROR(__xludf.DUMMYFUNCTION("""COMPUTED_VALUE"""),"")</f>
        <v/>
      </c>
      <c r="I879" s="120" t="str">
        <f ca="1">IFERROR(__xludf.DUMMYFUNCTION("""COMPUTED_VALUE"""),"")</f>
        <v/>
      </c>
      <c r="J879" s="189" t="str">
        <f ca="1">IFERROR(__xludf.DUMMYFUNCTION("""COMPUTED_VALUE"""),"")</f>
        <v/>
      </c>
      <c r="K879" s="189" t="str">
        <f ca="1">IFERROR(__xludf.DUMMYFUNCTION("""COMPUTED_VALUE"""),"")</f>
        <v/>
      </c>
      <c r="L879" s="189" t="str">
        <f ca="1">IFERROR(__xludf.DUMMYFUNCTION("""COMPUTED_VALUE"""),"")</f>
        <v/>
      </c>
      <c r="M879" s="189" t="str">
        <f ca="1">IFERROR(__xludf.DUMMYFUNCTION("""COMPUTED_VALUE"""),"")</f>
        <v/>
      </c>
      <c r="N879" s="189" t="str">
        <f ca="1">IFERROR(__xludf.DUMMYFUNCTION("""COMPUTED_VALUE"""),"")</f>
        <v/>
      </c>
      <c r="O879" s="189" t="str">
        <f ca="1">IFERROR(__xludf.DUMMYFUNCTION("""COMPUTED_VALUE"""),"")</f>
        <v/>
      </c>
      <c r="P879" s="189" t="str">
        <f ca="1">IFERROR(__xludf.DUMMYFUNCTION("""COMPUTED_VALUE"""),"")</f>
        <v/>
      </c>
      <c r="Q879" s="189" t="str">
        <f ca="1">IFERROR(__xludf.DUMMYFUNCTION("""COMPUTED_VALUE"""),"")</f>
        <v/>
      </c>
      <c r="R879" s="189" t="str">
        <f ca="1">IFERROR(__xludf.DUMMYFUNCTION("""COMPUTED_VALUE"""),"")</f>
        <v/>
      </c>
      <c r="S879" s="189" t="str">
        <f ca="1">IFERROR(__xludf.DUMMYFUNCTION("""COMPUTED_VALUE"""),"")</f>
        <v/>
      </c>
      <c r="T879" s="189" t="str">
        <f ca="1">IFERROR(__xludf.DUMMYFUNCTION("""COMPUTED_VALUE"""),"")</f>
        <v/>
      </c>
      <c r="U879" s="189" t="str">
        <f ca="1">IFERROR(__xludf.DUMMYFUNCTION("""COMPUTED_VALUE"""),"")</f>
        <v/>
      </c>
      <c r="V879" s="189" t="str">
        <f ca="1">IFERROR(__xludf.DUMMYFUNCTION("""COMPUTED_VALUE"""),"")</f>
        <v/>
      </c>
      <c r="W879" s="189" t="str">
        <f ca="1">IFERROR(__xludf.DUMMYFUNCTION("""COMPUTED_VALUE"""),"")</f>
        <v/>
      </c>
      <c r="X879" s="189" t="str">
        <f ca="1">IFERROR(__xludf.DUMMYFUNCTION("""COMPUTED_VALUE"""),"")</f>
        <v/>
      </c>
      <c r="Y879" s="189" t="str">
        <f ca="1">IFERROR(__xludf.DUMMYFUNCTION("""COMPUTED_VALUE"""),"")</f>
        <v/>
      </c>
      <c r="Z879" s="189"/>
    </row>
    <row r="880" spans="1:26" ht="12.75">
      <c r="A880" s="189" t="str">
        <f ca="1">IFERROR(__xludf.DUMMYFUNCTION("""COMPUTED_VALUE"""),"")</f>
        <v/>
      </c>
      <c r="B880" s="189" t="str">
        <f ca="1">IFERROR(__xludf.DUMMYFUNCTION("""COMPUTED_VALUE"""),"")</f>
        <v/>
      </c>
      <c r="C880" s="189" t="str">
        <f ca="1">IFERROR(__xludf.DUMMYFUNCTION("""COMPUTED_VALUE"""),"")</f>
        <v/>
      </c>
      <c r="D880" s="189" t="str">
        <f ca="1">IFERROR(__xludf.DUMMYFUNCTION("""COMPUTED_VALUE"""),"")</f>
        <v/>
      </c>
      <c r="E880" s="189" t="str">
        <f ca="1">IFERROR(__xludf.DUMMYFUNCTION("""COMPUTED_VALUE"""),"")</f>
        <v/>
      </c>
      <c r="F880" s="189" t="str">
        <f ca="1">IFERROR(__xludf.DUMMYFUNCTION("""COMPUTED_VALUE"""),"")</f>
        <v/>
      </c>
      <c r="G880" s="189" t="str">
        <f ca="1">IFERROR(__xludf.DUMMYFUNCTION("""COMPUTED_VALUE"""),"")</f>
        <v/>
      </c>
      <c r="H880" s="189" t="str">
        <f ca="1">IFERROR(__xludf.DUMMYFUNCTION("""COMPUTED_VALUE"""),"")</f>
        <v/>
      </c>
      <c r="I880" s="120" t="str">
        <f ca="1">IFERROR(__xludf.DUMMYFUNCTION("""COMPUTED_VALUE"""),"")</f>
        <v/>
      </c>
      <c r="J880" s="189" t="str">
        <f ca="1">IFERROR(__xludf.DUMMYFUNCTION("""COMPUTED_VALUE"""),"")</f>
        <v/>
      </c>
      <c r="K880" s="189" t="str">
        <f ca="1">IFERROR(__xludf.DUMMYFUNCTION("""COMPUTED_VALUE"""),"")</f>
        <v/>
      </c>
      <c r="L880" s="189" t="str">
        <f ca="1">IFERROR(__xludf.DUMMYFUNCTION("""COMPUTED_VALUE"""),"")</f>
        <v/>
      </c>
      <c r="M880" s="189" t="str">
        <f ca="1">IFERROR(__xludf.DUMMYFUNCTION("""COMPUTED_VALUE"""),"")</f>
        <v/>
      </c>
      <c r="N880" s="189" t="str">
        <f ca="1">IFERROR(__xludf.DUMMYFUNCTION("""COMPUTED_VALUE"""),"")</f>
        <v/>
      </c>
      <c r="O880" s="189" t="str">
        <f ca="1">IFERROR(__xludf.DUMMYFUNCTION("""COMPUTED_VALUE"""),"")</f>
        <v/>
      </c>
      <c r="P880" s="189" t="str">
        <f ca="1">IFERROR(__xludf.DUMMYFUNCTION("""COMPUTED_VALUE"""),"")</f>
        <v/>
      </c>
      <c r="Q880" s="189" t="str">
        <f ca="1">IFERROR(__xludf.DUMMYFUNCTION("""COMPUTED_VALUE"""),"")</f>
        <v/>
      </c>
      <c r="R880" s="189" t="str">
        <f ca="1">IFERROR(__xludf.DUMMYFUNCTION("""COMPUTED_VALUE"""),"")</f>
        <v/>
      </c>
      <c r="S880" s="189" t="str">
        <f ca="1">IFERROR(__xludf.DUMMYFUNCTION("""COMPUTED_VALUE"""),"")</f>
        <v/>
      </c>
      <c r="T880" s="189" t="str">
        <f ca="1">IFERROR(__xludf.DUMMYFUNCTION("""COMPUTED_VALUE"""),"")</f>
        <v/>
      </c>
      <c r="U880" s="189" t="str">
        <f ca="1">IFERROR(__xludf.DUMMYFUNCTION("""COMPUTED_VALUE"""),"")</f>
        <v/>
      </c>
      <c r="V880" s="189" t="str">
        <f ca="1">IFERROR(__xludf.DUMMYFUNCTION("""COMPUTED_VALUE"""),"")</f>
        <v/>
      </c>
      <c r="W880" s="189" t="str">
        <f ca="1">IFERROR(__xludf.DUMMYFUNCTION("""COMPUTED_VALUE"""),"")</f>
        <v/>
      </c>
      <c r="X880" s="189" t="str">
        <f ca="1">IFERROR(__xludf.DUMMYFUNCTION("""COMPUTED_VALUE"""),"")</f>
        <v/>
      </c>
      <c r="Y880" s="189" t="str">
        <f ca="1">IFERROR(__xludf.DUMMYFUNCTION("""COMPUTED_VALUE"""),"")</f>
        <v/>
      </c>
      <c r="Z880" s="189"/>
    </row>
    <row r="881" spans="1:26" ht="12.75">
      <c r="A881" s="189" t="str">
        <f ca="1">IFERROR(__xludf.DUMMYFUNCTION("""COMPUTED_VALUE"""),"")</f>
        <v/>
      </c>
      <c r="B881" s="189" t="str">
        <f ca="1">IFERROR(__xludf.DUMMYFUNCTION("""COMPUTED_VALUE"""),"")</f>
        <v/>
      </c>
      <c r="C881" s="189" t="str">
        <f ca="1">IFERROR(__xludf.DUMMYFUNCTION("""COMPUTED_VALUE"""),"")</f>
        <v/>
      </c>
      <c r="D881" s="189" t="str">
        <f ca="1">IFERROR(__xludf.DUMMYFUNCTION("""COMPUTED_VALUE"""),"")</f>
        <v/>
      </c>
      <c r="E881" s="189" t="str">
        <f ca="1">IFERROR(__xludf.DUMMYFUNCTION("""COMPUTED_VALUE"""),"")</f>
        <v/>
      </c>
      <c r="F881" s="189" t="str">
        <f ca="1">IFERROR(__xludf.DUMMYFUNCTION("""COMPUTED_VALUE"""),"")</f>
        <v/>
      </c>
      <c r="G881" s="189" t="str">
        <f ca="1">IFERROR(__xludf.DUMMYFUNCTION("""COMPUTED_VALUE"""),"")</f>
        <v/>
      </c>
      <c r="H881" s="189" t="str">
        <f ca="1">IFERROR(__xludf.DUMMYFUNCTION("""COMPUTED_VALUE"""),"")</f>
        <v/>
      </c>
      <c r="I881" s="120" t="str">
        <f ca="1">IFERROR(__xludf.DUMMYFUNCTION("""COMPUTED_VALUE"""),"")</f>
        <v/>
      </c>
      <c r="J881" s="189" t="str">
        <f ca="1">IFERROR(__xludf.DUMMYFUNCTION("""COMPUTED_VALUE"""),"")</f>
        <v/>
      </c>
      <c r="K881" s="189" t="str">
        <f ca="1">IFERROR(__xludf.DUMMYFUNCTION("""COMPUTED_VALUE"""),"")</f>
        <v/>
      </c>
      <c r="L881" s="189" t="str">
        <f ca="1">IFERROR(__xludf.DUMMYFUNCTION("""COMPUTED_VALUE"""),"")</f>
        <v/>
      </c>
      <c r="M881" s="189" t="str">
        <f ca="1">IFERROR(__xludf.DUMMYFUNCTION("""COMPUTED_VALUE"""),"")</f>
        <v/>
      </c>
      <c r="N881" s="189" t="str">
        <f ca="1">IFERROR(__xludf.DUMMYFUNCTION("""COMPUTED_VALUE"""),"")</f>
        <v/>
      </c>
      <c r="O881" s="189" t="str">
        <f ca="1">IFERROR(__xludf.DUMMYFUNCTION("""COMPUTED_VALUE"""),"")</f>
        <v/>
      </c>
      <c r="P881" s="189" t="str">
        <f ca="1">IFERROR(__xludf.DUMMYFUNCTION("""COMPUTED_VALUE"""),"")</f>
        <v/>
      </c>
      <c r="Q881" s="189" t="str">
        <f ca="1">IFERROR(__xludf.DUMMYFUNCTION("""COMPUTED_VALUE"""),"")</f>
        <v/>
      </c>
      <c r="R881" s="189" t="str">
        <f ca="1">IFERROR(__xludf.DUMMYFUNCTION("""COMPUTED_VALUE"""),"")</f>
        <v/>
      </c>
      <c r="S881" s="189" t="str">
        <f ca="1">IFERROR(__xludf.DUMMYFUNCTION("""COMPUTED_VALUE"""),"")</f>
        <v/>
      </c>
      <c r="T881" s="189" t="str">
        <f ca="1">IFERROR(__xludf.DUMMYFUNCTION("""COMPUTED_VALUE"""),"")</f>
        <v/>
      </c>
      <c r="U881" s="189" t="str">
        <f ca="1">IFERROR(__xludf.DUMMYFUNCTION("""COMPUTED_VALUE"""),"")</f>
        <v/>
      </c>
      <c r="V881" s="189" t="str">
        <f ca="1">IFERROR(__xludf.DUMMYFUNCTION("""COMPUTED_VALUE"""),"")</f>
        <v/>
      </c>
      <c r="W881" s="189" t="str">
        <f ca="1">IFERROR(__xludf.DUMMYFUNCTION("""COMPUTED_VALUE"""),"")</f>
        <v/>
      </c>
      <c r="X881" s="189" t="str">
        <f ca="1">IFERROR(__xludf.DUMMYFUNCTION("""COMPUTED_VALUE"""),"")</f>
        <v/>
      </c>
      <c r="Y881" s="189" t="str">
        <f ca="1">IFERROR(__xludf.DUMMYFUNCTION("""COMPUTED_VALUE"""),"")</f>
        <v/>
      </c>
      <c r="Z881" s="189"/>
    </row>
    <row r="882" spans="1:26" ht="12.75">
      <c r="A882" s="189" t="str">
        <f ca="1">IFERROR(__xludf.DUMMYFUNCTION("""COMPUTED_VALUE"""),"")</f>
        <v/>
      </c>
      <c r="B882" s="189" t="str">
        <f ca="1">IFERROR(__xludf.DUMMYFUNCTION("""COMPUTED_VALUE"""),"")</f>
        <v/>
      </c>
      <c r="C882" s="189" t="str">
        <f ca="1">IFERROR(__xludf.DUMMYFUNCTION("""COMPUTED_VALUE"""),"")</f>
        <v/>
      </c>
      <c r="D882" s="189" t="str">
        <f ca="1">IFERROR(__xludf.DUMMYFUNCTION("""COMPUTED_VALUE"""),"")</f>
        <v/>
      </c>
      <c r="E882" s="189" t="str">
        <f ca="1">IFERROR(__xludf.DUMMYFUNCTION("""COMPUTED_VALUE"""),"")</f>
        <v/>
      </c>
      <c r="F882" s="189" t="str">
        <f ca="1">IFERROR(__xludf.DUMMYFUNCTION("""COMPUTED_VALUE"""),"")</f>
        <v/>
      </c>
      <c r="G882" s="189" t="str">
        <f ca="1">IFERROR(__xludf.DUMMYFUNCTION("""COMPUTED_VALUE"""),"")</f>
        <v/>
      </c>
      <c r="H882" s="189" t="str">
        <f ca="1">IFERROR(__xludf.DUMMYFUNCTION("""COMPUTED_VALUE"""),"")</f>
        <v/>
      </c>
      <c r="I882" s="120" t="str">
        <f ca="1">IFERROR(__xludf.DUMMYFUNCTION("""COMPUTED_VALUE"""),"")</f>
        <v/>
      </c>
      <c r="J882" s="189" t="str">
        <f ca="1">IFERROR(__xludf.DUMMYFUNCTION("""COMPUTED_VALUE"""),"")</f>
        <v/>
      </c>
      <c r="K882" s="189" t="str">
        <f ca="1">IFERROR(__xludf.DUMMYFUNCTION("""COMPUTED_VALUE"""),"")</f>
        <v/>
      </c>
      <c r="L882" s="189" t="str">
        <f ca="1">IFERROR(__xludf.DUMMYFUNCTION("""COMPUTED_VALUE"""),"")</f>
        <v/>
      </c>
      <c r="M882" s="189" t="str">
        <f ca="1">IFERROR(__xludf.DUMMYFUNCTION("""COMPUTED_VALUE"""),"")</f>
        <v/>
      </c>
      <c r="N882" s="189" t="str">
        <f ca="1">IFERROR(__xludf.DUMMYFUNCTION("""COMPUTED_VALUE"""),"")</f>
        <v/>
      </c>
      <c r="O882" s="189" t="str">
        <f ca="1">IFERROR(__xludf.DUMMYFUNCTION("""COMPUTED_VALUE"""),"")</f>
        <v/>
      </c>
      <c r="P882" s="189" t="str">
        <f ca="1">IFERROR(__xludf.DUMMYFUNCTION("""COMPUTED_VALUE"""),"")</f>
        <v/>
      </c>
      <c r="Q882" s="189" t="str">
        <f ca="1">IFERROR(__xludf.DUMMYFUNCTION("""COMPUTED_VALUE"""),"")</f>
        <v/>
      </c>
      <c r="R882" s="189" t="str">
        <f ca="1">IFERROR(__xludf.DUMMYFUNCTION("""COMPUTED_VALUE"""),"")</f>
        <v/>
      </c>
      <c r="S882" s="189" t="str">
        <f ca="1">IFERROR(__xludf.DUMMYFUNCTION("""COMPUTED_VALUE"""),"")</f>
        <v/>
      </c>
      <c r="T882" s="189" t="str">
        <f ca="1">IFERROR(__xludf.DUMMYFUNCTION("""COMPUTED_VALUE"""),"")</f>
        <v/>
      </c>
      <c r="U882" s="189" t="str">
        <f ca="1">IFERROR(__xludf.DUMMYFUNCTION("""COMPUTED_VALUE"""),"")</f>
        <v/>
      </c>
      <c r="V882" s="189" t="str">
        <f ca="1">IFERROR(__xludf.DUMMYFUNCTION("""COMPUTED_VALUE"""),"")</f>
        <v/>
      </c>
      <c r="W882" s="189" t="str">
        <f ca="1">IFERROR(__xludf.DUMMYFUNCTION("""COMPUTED_VALUE"""),"")</f>
        <v/>
      </c>
      <c r="X882" s="189" t="str">
        <f ca="1">IFERROR(__xludf.DUMMYFUNCTION("""COMPUTED_VALUE"""),"")</f>
        <v/>
      </c>
      <c r="Y882" s="189" t="str">
        <f ca="1">IFERROR(__xludf.DUMMYFUNCTION("""COMPUTED_VALUE"""),"")</f>
        <v/>
      </c>
      <c r="Z882" s="189"/>
    </row>
    <row r="883" spans="1:26" ht="12.75">
      <c r="A883" s="189" t="str">
        <f ca="1">IFERROR(__xludf.DUMMYFUNCTION("""COMPUTED_VALUE"""),"")</f>
        <v/>
      </c>
      <c r="B883" s="189" t="str">
        <f ca="1">IFERROR(__xludf.DUMMYFUNCTION("""COMPUTED_VALUE"""),"")</f>
        <v/>
      </c>
      <c r="C883" s="189" t="str">
        <f ca="1">IFERROR(__xludf.DUMMYFUNCTION("""COMPUTED_VALUE"""),"")</f>
        <v/>
      </c>
      <c r="D883" s="189" t="str">
        <f ca="1">IFERROR(__xludf.DUMMYFUNCTION("""COMPUTED_VALUE"""),"")</f>
        <v/>
      </c>
      <c r="E883" s="189" t="str">
        <f ca="1">IFERROR(__xludf.DUMMYFUNCTION("""COMPUTED_VALUE"""),"")</f>
        <v/>
      </c>
      <c r="F883" s="189" t="str">
        <f ca="1">IFERROR(__xludf.DUMMYFUNCTION("""COMPUTED_VALUE"""),"")</f>
        <v/>
      </c>
      <c r="G883" s="189" t="str">
        <f ca="1">IFERROR(__xludf.DUMMYFUNCTION("""COMPUTED_VALUE"""),"")</f>
        <v/>
      </c>
      <c r="H883" s="189" t="str">
        <f ca="1">IFERROR(__xludf.DUMMYFUNCTION("""COMPUTED_VALUE"""),"")</f>
        <v/>
      </c>
      <c r="I883" s="120" t="str">
        <f ca="1">IFERROR(__xludf.DUMMYFUNCTION("""COMPUTED_VALUE"""),"")</f>
        <v/>
      </c>
      <c r="J883" s="189" t="str">
        <f ca="1">IFERROR(__xludf.DUMMYFUNCTION("""COMPUTED_VALUE"""),"")</f>
        <v/>
      </c>
      <c r="K883" s="189" t="str">
        <f ca="1">IFERROR(__xludf.DUMMYFUNCTION("""COMPUTED_VALUE"""),"")</f>
        <v/>
      </c>
      <c r="L883" s="189" t="str">
        <f ca="1">IFERROR(__xludf.DUMMYFUNCTION("""COMPUTED_VALUE"""),"")</f>
        <v/>
      </c>
      <c r="M883" s="189" t="str">
        <f ca="1">IFERROR(__xludf.DUMMYFUNCTION("""COMPUTED_VALUE"""),"")</f>
        <v/>
      </c>
      <c r="N883" s="189" t="str">
        <f ca="1">IFERROR(__xludf.DUMMYFUNCTION("""COMPUTED_VALUE"""),"")</f>
        <v/>
      </c>
      <c r="O883" s="189" t="str">
        <f ca="1">IFERROR(__xludf.DUMMYFUNCTION("""COMPUTED_VALUE"""),"")</f>
        <v/>
      </c>
      <c r="P883" s="189" t="str">
        <f ca="1">IFERROR(__xludf.DUMMYFUNCTION("""COMPUTED_VALUE"""),"")</f>
        <v/>
      </c>
      <c r="Q883" s="189" t="str">
        <f ca="1">IFERROR(__xludf.DUMMYFUNCTION("""COMPUTED_VALUE"""),"")</f>
        <v/>
      </c>
      <c r="R883" s="189" t="str">
        <f ca="1">IFERROR(__xludf.DUMMYFUNCTION("""COMPUTED_VALUE"""),"")</f>
        <v/>
      </c>
      <c r="S883" s="189" t="str">
        <f ca="1">IFERROR(__xludf.DUMMYFUNCTION("""COMPUTED_VALUE"""),"")</f>
        <v/>
      </c>
      <c r="T883" s="189" t="str">
        <f ca="1">IFERROR(__xludf.DUMMYFUNCTION("""COMPUTED_VALUE"""),"")</f>
        <v/>
      </c>
      <c r="U883" s="189" t="str">
        <f ca="1">IFERROR(__xludf.DUMMYFUNCTION("""COMPUTED_VALUE"""),"")</f>
        <v/>
      </c>
      <c r="V883" s="189" t="str">
        <f ca="1">IFERROR(__xludf.DUMMYFUNCTION("""COMPUTED_VALUE"""),"")</f>
        <v/>
      </c>
      <c r="W883" s="189" t="str">
        <f ca="1">IFERROR(__xludf.DUMMYFUNCTION("""COMPUTED_VALUE"""),"")</f>
        <v/>
      </c>
      <c r="X883" s="189" t="str">
        <f ca="1">IFERROR(__xludf.DUMMYFUNCTION("""COMPUTED_VALUE"""),"")</f>
        <v/>
      </c>
      <c r="Y883" s="189" t="str">
        <f ca="1">IFERROR(__xludf.DUMMYFUNCTION("""COMPUTED_VALUE"""),"")</f>
        <v/>
      </c>
      <c r="Z883" s="189"/>
    </row>
    <row r="884" spans="1:26" ht="12.75">
      <c r="A884" s="189" t="str">
        <f ca="1">IFERROR(__xludf.DUMMYFUNCTION("""COMPUTED_VALUE"""),"")</f>
        <v/>
      </c>
      <c r="B884" s="189" t="str">
        <f ca="1">IFERROR(__xludf.DUMMYFUNCTION("""COMPUTED_VALUE"""),"")</f>
        <v/>
      </c>
      <c r="C884" s="189" t="str">
        <f ca="1">IFERROR(__xludf.DUMMYFUNCTION("""COMPUTED_VALUE"""),"")</f>
        <v/>
      </c>
      <c r="D884" s="189" t="str">
        <f ca="1">IFERROR(__xludf.DUMMYFUNCTION("""COMPUTED_VALUE"""),"")</f>
        <v/>
      </c>
      <c r="E884" s="189" t="str">
        <f ca="1">IFERROR(__xludf.DUMMYFUNCTION("""COMPUTED_VALUE"""),"")</f>
        <v/>
      </c>
      <c r="F884" s="189" t="str">
        <f ca="1">IFERROR(__xludf.DUMMYFUNCTION("""COMPUTED_VALUE"""),"")</f>
        <v/>
      </c>
      <c r="G884" s="189" t="str">
        <f ca="1">IFERROR(__xludf.DUMMYFUNCTION("""COMPUTED_VALUE"""),"")</f>
        <v/>
      </c>
      <c r="H884" s="189" t="str">
        <f ca="1">IFERROR(__xludf.DUMMYFUNCTION("""COMPUTED_VALUE"""),"")</f>
        <v/>
      </c>
      <c r="I884" s="120" t="str">
        <f ca="1">IFERROR(__xludf.DUMMYFUNCTION("""COMPUTED_VALUE"""),"")</f>
        <v/>
      </c>
      <c r="J884" s="189" t="str">
        <f ca="1">IFERROR(__xludf.DUMMYFUNCTION("""COMPUTED_VALUE"""),"")</f>
        <v/>
      </c>
      <c r="K884" s="189" t="str">
        <f ca="1">IFERROR(__xludf.DUMMYFUNCTION("""COMPUTED_VALUE"""),"")</f>
        <v/>
      </c>
      <c r="L884" s="189" t="str">
        <f ca="1">IFERROR(__xludf.DUMMYFUNCTION("""COMPUTED_VALUE"""),"")</f>
        <v/>
      </c>
      <c r="M884" s="189" t="str">
        <f ca="1">IFERROR(__xludf.DUMMYFUNCTION("""COMPUTED_VALUE"""),"")</f>
        <v/>
      </c>
      <c r="N884" s="189" t="str">
        <f ca="1">IFERROR(__xludf.DUMMYFUNCTION("""COMPUTED_VALUE"""),"")</f>
        <v/>
      </c>
      <c r="O884" s="189" t="str">
        <f ca="1">IFERROR(__xludf.DUMMYFUNCTION("""COMPUTED_VALUE"""),"")</f>
        <v/>
      </c>
      <c r="P884" s="189" t="str">
        <f ca="1">IFERROR(__xludf.DUMMYFUNCTION("""COMPUTED_VALUE"""),"")</f>
        <v/>
      </c>
      <c r="Q884" s="189" t="str">
        <f ca="1">IFERROR(__xludf.DUMMYFUNCTION("""COMPUTED_VALUE"""),"")</f>
        <v/>
      </c>
      <c r="R884" s="189" t="str">
        <f ca="1">IFERROR(__xludf.DUMMYFUNCTION("""COMPUTED_VALUE"""),"")</f>
        <v/>
      </c>
      <c r="S884" s="189" t="str">
        <f ca="1">IFERROR(__xludf.DUMMYFUNCTION("""COMPUTED_VALUE"""),"")</f>
        <v/>
      </c>
      <c r="T884" s="189" t="str">
        <f ca="1">IFERROR(__xludf.DUMMYFUNCTION("""COMPUTED_VALUE"""),"")</f>
        <v/>
      </c>
      <c r="U884" s="189" t="str">
        <f ca="1">IFERROR(__xludf.DUMMYFUNCTION("""COMPUTED_VALUE"""),"")</f>
        <v/>
      </c>
      <c r="V884" s="189" t="str">
        <f ca="1">IFERROR(__xludf.DUMMYFUNCTION("""COMPUTED_VALUE"""),"")</f>
        <v/>
      </c>
      <c r="W884" s="189" t="str">
        <f ca="1">IFERROR(__xludf.DUMMYFUNCTION("""COMPUTED_VALUE"""),"")</f>
        <v/>
      </c>
      <c r="X884" s="189" t="str">
        <f ca="1">IFERROR(__xludf.DUMMYFUNCTION("""COMPUTED_VALUE"""),"")</f>
        <v/>
      </c>
      <c r="Y884" s="189" t="str">
        <f ca="1">IFERROR(__xludf.DUMMYFUNCTION("""COMPUTED_VALUE"""),"")</f>
        <v/>
      </c>
      <c r="Z884" s="189"/>
    </row>
    <row r="885" spans="1:26" ht="12.75">
      <c r="A885" s="189" t="str">
        <f ca="1">IFERROR(__xludf.DUMMYFUNCTION("""COMPUTED_VALUE"""),"")</f>
        <v/>
      </c>
      <c r="B885" s="189" t="str">
        <f ca="1">IFERROR(__xludf.DUMMYFUNCTION("""COMPUTED_VALUE"""),"")</f>
        <v/>
      </c>
      <c r="C885" s="189" t="str">
        <f ca="1">IFERROR(__xludf.DUMMYFUNCTION("""COMPUTED_VALUE"""),"")</f>
        <v/>
      </c>
      <c r="D885" s="189" t="str">
        <f ca="1">IFERROR(__xludf.DUMMYFUNCTION("""COMPUTED_VALUE"""),"")</f>
        <v/>
      </c>
      <c r="E885" s="189" t="str">
        <f ca="1">IFERROR(__xludf.DUMMYFUNCTION("""COMPUTED_VALUE"""),"")</f>
        <v/>
      </c>
      <c r="F885" s="189" t="str">
        <f ca="1">IFERROR(__xludf.DUMMYFUNCTION("""COMPUTED_VALUE"""),"")</f>
        <v/>
      </c>
      <c r="G885" s="189" t="str">
        <f ca="1">IFERROR(__xludf.DUMMYFUNCTION("""COMPUTED_VALUE"""),"")</f>
        <v/>
      </c>
      <c r="H885" s="189" t="str">
        <f ca="1">IFERROR(__xludf.DUMMYFUNCTION("""COMPUTED_VALUE"""),"")</f>
        <v/>
      </c>
      <c r="I885" s="120" t="str">
        <f ca="1">IFERROR(__xludf.DUMMYFUNCTION("""COMPUTED_VALUE"""),"")</f>
        <v/>
      </c>
      <c r="J885" s="189" t="str">
        <f ca="1">IFERROR(__xludf.DUMMYFUNCTION("""COMPUTED_VALUE"""),"")</f>
        <v/>
      </c>
      <c r="K885" s="189" t="str">
        <f ca="1">IFERROR(__xludf.DUMMYFUNCTION("""COMPUTED_VALUE"""),"")</f>
        <v/>
      </c>
      <c r="L885" s="189" t="str">
        <f ca="1">IFERROR(__xludf.DUMMYFUNCTION("""COMPUTED_VALUE"""),"")</f>
        <v/>
      </c>
      <c r="M885" s="189" t="str">
        <f ca="1">IFERROR(__xludf.DUMMYFUNCTION("""COMPUTED_VALUE"""),"")</f>
        <v/>
      </c>
      <c r="N885" s="189" t="str">
        <f ca="1">IFERROR(__xludf.DUMMYFUNCTION("""COMPUTED_VALUE"""),"")</f>
        <v/>
      </c>
      <c r="O885" s="189" t="str">
        <f ca="1">IFERROR(__xludf.DUMMYFUNCTION("""COMPUTED_VALUE"""),"")</f>
        <v/>
      </c>
      <c r="P885" s="189" t="str">
        <f ca="1">IFERROR(__xludf.DUMMYFUNCTION("""COMPUTED_VALUE"""),"")</f>
        <v/>
      </c>
      <c r="Q885" s="189" t="str">
        <f ca="1">IFERROR(__xludf.DUMMYFUNCTION("""COMPUTED_VALUE"""),"")</f>
        <v/>
      </c>
      <c r="R885" s="189" t="str">
        <f ca="1">IFERROR(__xludf.DUMMYFUNCTION("""COMPUTED_VALUE"""),"")</f>
        <v/>
      </c>
      <c r="S885" s="189" t="str">
        <f ca="1">IFERROR(__xludf.DUMMYFUNCTION("""COMPUTED_VALUE"""),"")</f>
        <v/>
      </c>
      <c r="T885" s="189" t="str">
        <f ca="1">IFERROR(__xludf.DUMMYFUNCTION("""COMPUTED_VALUE"""),"")</f>
        <v/>
      </c>
      <c r="U885" s="189" t="str">
        <f ca="1">IFERROR(__xludf.DUMMYFUNCTION("""COMPUTED_VALUE"""),"")</f>
        <v/>
      </c>
      <c r="V885" s="189" t="str">
        <f ca="1">IFERROR(__xludf.DUMMYFUNCTION("""COMPUTED_VALUE"""),"")</f>
        <v/>
      </c>
      <c r="W885" s="189" t="str">
        <f ca="1">IFERROR(__xludf.DUMMYFUNCTION("""COMPUTED_VALUE"""),"")</f>
        <v/>
      </c>
      <c r="X885" s="189" t="str">
        <f ca="1">IFERROR(__xludf.DUMMYFUNCTION("""COMPUTED_VALUE"""),"")</f>
        <v/>
      </c>
      <c r="Y885" s="189" t="str">
        <f ca="1">IFERROR(__xludf.DUMMYFUNCTION("""COMPUTED_VALUE"""),"")</f>
        <v/>
      </c>
      <c r="Z885" s="189"/>
    </row>
    <row r="886" spans="1:26" ht="12.75">
      <c r="A886" s="189" t="str">
        <f ca="1">IFERROR(__xludf.DUMMYFUNCTION("""COMPUTED_VALUE"""),"")</f>
        <v/>
      </c>
      <c r="B886" s="189" t="str">
        <f ca="1">IFERROR(__xludf.DUMMYFUNCTION("""COMPUTED_VALUE"""),"")</f>
        <v/>
      </c>
      <c r="C886" s="189" t="str">
        <f ca="1">IFERROR(__xludf.DUMMYFUNCTION("""COMPUTED_VALUE"""),"")</f>
        <v/>
      </c>
      <c r="D886" s="189" t="str">
        <f ca="1">IFERROR(__xludf.DUMMYFUNCTION("""COMPUTED_VALUE"""),"")</f>
        <v/>
      </c>
      <c r="E886" s="189" t="str">
        <f ca="1">IFERROR(__xludf.DUMMYFUNCTION("""COMPUTED_VALUE"""),"")</f>
        <v/>
      </c>
      <c r="F886" s="189" t="str">
        <f ca="1">IFERROR(__xludf.DUMMYFUNCTION("""COMPUTED_VALUE"""),"")</f>
        <v/>
      </c>
      <c r="G886" s="189" t="str">
        <f ca="1">IFERROR(__xludf.DUMMYFUNCTION("""COMPUTED_VALUE"""),"")</f>
        <v/>
      </c>
      <c r="H886" s="189" t="str">
        <f ca="1">IFERROR(__xludf.DUMMYFUNCTION("""COMPUTED_VALUE"""),"")</f>
        <v/>
      </c>
      <c r="I886" s="120" t="str">
        <f ca="1">IFERROR(__xludf.DUMMYFUNCTION("""COMPUTED_VALUE"""),"")</f>
        <v/>
      </c>
      <c r="J886" s="189" t="str">
        <f ca="1">IFERROR(__xludf.DUMMYFUNCTION("""COMPUTED_VALUE"""),"")</f>
        <v/>
      </c>
      <c r="K886" s="189" t="str">
        <f ca="1">IFERROR(__xludf.DUMMYFUNCTION("""COMPUTED_VALUE"""),"")</f>
        <v/>
      </c>
      <c r="L886" s="189" t="str">
        <f ca="1">IFERROR(__xludf.DUMMYFUNCTION("""COMPUTED_VALUE"""),"")</f>
        <v/>
      </c>
      <c r="M886" s="189" t="str">
        <f ca="1">IFERROR(__xludf.DUMMYFUNCTION("""COMPUTED_VALUE"""),"")</f>
        <v/>
      </c>
      <c r="N886" s="189" t="str">
        <f ca="1">IFERROR(__xludf.DUMMYFUNCTION("""COMPUTED_VALUE"""),"")</f>
        <v/>
      </c>
      <c r="O886" s="189" t="str">
        <f ca="1">IFERROR(__xludf.DUMMYFUNCTION("""COMPUTED_VALUE"""),"")</f>
        <v/>
      </c>
      <c r="P886" s="189" t="str">
        <f ca="1">IFERROR(__xludf.DUMMYFUNCTION("""COMPUTED_VALUE"""),"")</f>
        <v/>
      </c>
      <c r="Q886" s="189" t="str">
        <f ca="1">IFERROR(__xludf.DUMMYFUNCTION("""COMPUTED_VALUE"""),"")</f>
        <v/>
      </c>
      <c r="R886" s="189" t="str">
        <f ca="1">IFERROR(__xludf.DUMMYFUNCTION("""COMPUTED_VALUE"""),"")</f>
        <v/>
      </c>
      <c r="S886" s="189" t="str">
        <f ca="1">IFERROR(__xludf.DUMMYFUNCTION("""COMPUTED_VALUE"""),"")</f>
        <v/>
      </c>
      <c r="T886" s="189" t="str">
        <f ca="1">IFERROR(__xludf.DUMMYFUNCTION("""COMPUTED_VALUE"""),"")</f>
        <v/>
      </c>
      <c r="U886" s="189" t="str">
        <f ca="1">IFERROR(__xludf.DUMMYFUNCTION("""COMPUTED_VALUE"""),"")</f>
        <v/>
      </c>
      <c r="V886" s="189" t="str">
        <f ca="1">IFERROR(__xludf.DUMMYFUNCTION("""COMPUTED_VALUE"""),"")</f>
        <v/>
      </c>
      <c r="W886" s="189" t="str">
        <f ca="1">IFERROR(__xludf.DUMMYFUNCTION("""COMPUTED_VALUE"""),"")</f>
        <v/>
      </c>
      <c r="X886" s="189" t="str">
        <f ca="1">IFERROR(__xludf.DUMMYFUNCTION("""COMPUTED_VALUE"""),"")</f>
        <v/>
      </c>
      <c r="Y886" s="189" t="str">
        <f ca="1">IFERROR(__xludf.DUMMYFUNCTION("""COMPUTED_VALUE"""),"")</f>
        <v/>
      </c>
      <c r="Z886" s="189"/>
    </row>
    <row r="887" spans="1:26" ht="12.75">
      <c r="A887" s="189" t="str">
        <f ca="1">IFERROR(__xludf.DUMMYFUNCTION("""COMPUTED_VALUE"""),"")</f>
        <v/>
      </c>
      <c r="B887" s="189" t="str">
        <f ca="1">IFERROR(__xludf.DUMMYFUNCTION("""COMPUTED_VALUE"""),"")</f>
        <v/>
      </c>
      <c r="C887" s="189" t="str">
        <f ca="1">IFERROR(__xludf.DUMMYFUNCTION("""COMPUTED_VALUE"""),"")</f>
        <v/>
      </c>
      <c r="D887" s="189" t="str">
        <f ca="1">IFERROR(__xludf.DUMMYFUNCTION("""COMPUTED_VALUE"""),"")</f>
        <v/>
      </c>
      <c r="E887" s="189" t="str">
        <f ca="1">IFERROR(__xludf.DUMMYFUNCTION("""COMPUTED_VALUE"""),"")</f>
        <v/>
      </c>
      <c r="F887" s="189" t="str">
        <f ca="1">IFERROR(__xludf.DUMMYFUNCTION("""COMPUTED_VALUE"""),"")</f>
        <v/>
      </c>
      <c r="G887" s="189" t="str">
        <f ca="1">IFERROR(__xludf.DUMMYFUNCTION("""COMPUTED_VALUE"""),"")</f>
        <v/>
      </c>
      <c r="H887" s="189" t="str">
        <f ca="1">IFERROR(__xludf.DUMMYFUNCTION("""COMPUTED_VALUE"""),"")</f>
        <v/>
      </c>
      <c r="I887" s="120" t="str">
        <f ca="1">IFERROR(__xludf.DUMMYFUNCTION("""COMPUTED_VALUE"""),"")</f>
        <v/>
      </c>
      <c r="J887" s="189" t="str">
        <f ca="1">IFERROR(__xludf.DUMMYFUNCTION("""COMPUTED_VALUE"""),"")</f>
        <v/>
      </c>
      <c r="K887" s="189" t="str">
        <f ca="1">IFERROR(__xludf.DUMMYFUNCTION("""COMPUTED_VALUE"""),"")</f>
        <v/>
      </c>
      <c r="L887" s="189" t="str">
        <f ca="1">IFERROR(__xludf.DUMMYFUNCTION("""COMPUTED_VALUE"""),"")</f>
        <v/>
      </c>
      <c r="M887" s="189" t="str">
        <f ca="1">IFERROR(__xludf.DUMMYFUNCTION("""COMPUTED_VALUE"""),"")</f>
        <v/>
      </c>
      <c r="N887" s="189" t="str">
        <f ca="1">IFERROR(__xludf.DUMMYFUNCTION("""COMPUTED_VALUE"""),"")</f>
        <v/>
      </c>
      <c r="O887" s="189" t="str">
        <f ca="1">IFERROR(__xludf.DUMMYFUNCTION("""COMPUTED_VALUE"""),"")</f>
        <v/>
      </c>
      <c r="P887" s="189" t="str">
        <f ca="1">IFERROR(__xludf.DUMMYFUNCTION("""COMPUTED_VALUE"""),"")</f>
        <v/>
      </c>
      <c r="Q887" s="189" t="str">
        <f ca="1">IFERROR(__xludf.DUMMYFUNCTION("""COMPUTED_VALUE"""),"")</f>
        <v/>
      </c>
      <c r="R887" s="189" t="str">
        <f ca="1">IFERROR(__xludf.DUMMYFUNCTION("""COMPUTED_VALUE"""),"")</f>
        <v/>
      </c>
      <c r="S887" s="189" t="str">
        <f ca="1">IFERROR(__xludf.DUMMYFUNCTION("""COMPUTED_VALUE"""),"")</f>
        <v/>
      </c>
      <c r="T887" s="189" t="str">
        <f ca="1">IFERROR(__xludf.DUMMYFUNCTION("""COMPUTED_VALUE"""),"")</f>
        <v/>
      </c>
      <c r="U887" s="189" t="str">
        <f ca="1">IFERROR(__xludf.DUMMYFUNCTION("""COMPUTED_VALUE"""),"")</f>
        <v/>
      </c>
      <c r="V887" s="189" t="str">
        <f ca="1">IFERROR(__xludf.DUMMYFUNCTION("""COMPUTED_VALUE"""),"")</f>
        <v/>
      </c>
      <c r="W887" s="189" t="str">
        <f ca="1">IFERROR(__xludf.DUMMYFUNCTION("""COMPUTED_VALUE"""),"")</f>
        <v/>
      </c>
      <c r="X887" s="189" t="str">
        <f ca="1">IFERROR(__xludf.DUMMYFUNCTION("""COMPUTED_VALUE"""),"")</f>
        <v/>
      </c>
      <c r="Y887" s="189" t="str">
        <f ca="1">IFERROR(__xludf.DUMMYFUNCTION("""COMPUTED_VALUE"""),"")</f>
        <v/>
      </c>
      <c r="Z887" s="189"/>
    </row>
    <row r="888" spans="1:26" ht="12.75">
      <c r="A888" s="189" t="str">
        <f ca="1">IFERROR(__xludf.DUMMYFUNCTION("""COMPUTED_VALUE"""),"")</f>
        <v/>
      </c>
      <c r="B888" s="189" t="str">
        <f ca="1">IFERROR(__xludf.DUMMYFUNCTION("""COMPUTED_VALUE"""),"")</f>
        <v/>
      </c>
      <c r="C888" s="189" t="str">
        <f ca="1">IFERROR(__xludf.DUMMYFUNCTION("""COMPUTED_VALUE"""),"")</f>
        <v/>
      </c>
      <c r="D888" s="189" t="str">
        <f ca="1">IFERROR(__xludf.DUMMYFUNCTION("""COMPUTED_VALUE"""),"")</f>
        <v/>
      </c>
      <c r="E888" s="189" t="str">
        <f ca="1">IFERROR(__xludf.DUMMYFUNCTION("""COMPUTED_VALUE"""),"")</f>
        <v/>
      </c>
      <c r="F888" s="189" t="str">
        <f ca="1">IFERROR(__xludf.DUMMYFUNCTION("""COMPUTED_VALUE"""),"")</f>
        <v/>
      </c>
      <c r="G888" s="189" t="str">
        <f ca="1">IFERROR(__xludf.DUMMYFUNCTION("""COMPUTED_VALUE"""),"")</f>
        <v/>
      </c>
      <c r="H888" s="189" t="str">
        <f ca="1">IFERROR(__xludf.DUMMYFUNCTION("""COMPUTED_VALUE"""),"")</f>
        <v/>
      </c>
      <c r="I888" s="120" t="str">
        <f ca="1">IFERROR(__xludf.DUMMYFUNCTION("""COMPUTED_VALUE"""),"")</f>
        <v/>
      </c>
      <c r="J888" s="189" t="str">
        <f ca="1">IFERROR(__xludf.DUMMYFUNCTION("""COMPUTED_VALUE"""),"")</f>
        <v/>
      </c>
      <c r="K888" s="189" t="str">
        <f ca="1">IFERROR(__xludf.DUMMYFUNCTION("""COMPUTED_VALUE"""),"")</f>
        <v/>
      </c>
      <c r="L888" s="189" t="str">
        <f ca="1">IFERROR(__xludf.DUMMYFUNCTION("""COMPUTED_VALUE"""),"")</f>
        <v/>
      </c>
      <c r="M888" s="189" t="str">
        <f ca="1">IFERROR(__xludf.DUMMYFUNCTION("""COMPUTED_VALUE"""),"")</f>
        <v/>
      </c>
      <c r="N888" s="189" t="str">
        <f ca="1">IFERROR(__xludf.DUMMYFUNCTION("""COMPUTED_VALUE"""),"")</f>
        <v/>
      </c>
      <c r="O888" s="189" t="str">
        <f ca="1">IFERROR(__xludf.DUMMYFUNCTION("""COMPUTED_VALUE"""),"")</f>
        <v/>
      </c>
      <c r="P888" s="189" t="str">
        <f ca="1">IFERROR(__xludf.DUMMYFUNCTION("""COMPUTED_VALUE"""),"")</f>
        <v/>
      </c>
      <c r="Q888" s="189" t="str">
        <f ca="1">IFERROR(__xludf.DUMMYFUNCTION("""COMPUTED_VALUE"""),"")</f>
        <v/>
      </c>
      <c r="R888" s="189" t="str">
        <f ca="1">IFERROR(__xludf.DUMMYFUNCTION("""COMPUTED_VALUE"""),"")</f>
        <v/>
      </c>
      <c r="S888" s="189" t="str">
        <f ca="1">IFERROR(__xludf.DUMMYFUNCTION("""COMPUTED_VALUE"""),"")</f>
        <v/>
      </c>
      <c r="T888" s="189" t="str">
        <f ca="1">IFERROR(__xludf.DUMMYFUNCTION("""COMPUTED_VALUE"""),"")</f>
        <v/>
      </c>
      <c r="U888" s="189" t="str">
        <f ca="1">IFERROR(__xludf.DUMMYFUNCTION("""COMPUTED_VALUE"""),"")</f>
        <v/>
      </c>
      <c r="V888" s="189" t="str">
        <f ca="1">IFERROR(__xludf.DUMMYFUNCTION("""COMPUTED_VALUE"""),"")</f>
        <v/>
      </c>
      <c r="W888" s="189" t="str">
        <f ca="1">IFERROR(__xludf.DUMMYFUNCTION("""COMPUTED_VALUE"""),"")</f>
        <v/>
      </c>
      <c r="X888" s="189" t="str">
        <f ca="1">IFERROR(__xludf.DUMMYFUNCTION("""COMPUTED_VALUE"""),"")</f>
        <v/>
      </c>
      <c r="Y888" s="189" t="str">
        <f ca="1">IFERROR(__xludf.DUMMYFUNCTION("""COMPUTED_VALUE"""),"")</f>
        <v/>
      </c>
      <c r="Z888" s="189"/>
    </row>
    <row r="889" spans="1:26" ht="12.75">
      <c r="A889" s="189" t="str">
        <f ca="1">IFERROR(__xludf.DUMMYFUNCTION("""COMPUTED_VALUE"""),"")</f>
        <v/>
      </c>
      <c r="B889" s="189" t="str">
        <f ca="1">IFERROR(__xludf.DUMMYFUNCTION("""COMPUTED_VALUE"""),"")</f>
        <v/>
      </c>
      <c r="C889" s="189" t="str">
        <f ca="1">IFERROR(__xludf.DUMMYFUNCTION("""COMPUTED_VALUE"""),"")</f>
        <v/>
      </c>
      <c r="D889" s="189" t="str">
        <f ca="1">IFERROR(__xludf.DUMMYFUNCTION("""COMPUTED_VALUE"""),"")</f>
        <v/>
      </c>
      <c r="E889" s="189" t="str">
        <f ca="1">IFERROR(__xludf.DUMMYFUNCTION("""COMPUTED_VALUE"""),"")</f>
        <v/>
      </c>
      <c r="F889" s="189" t="str">
        <f ca="1">IFERROR(__xludf.DUMMYFUNCTION("""COMPUTED_VALUE"""),"")</f>
        <v/>
      </c>
      <c r="G889" s="189" t="str">
        <f ca="1">IFERROR(__xludf.DUMMYFUNCTION("""COMPUTED_VALUE"""),"")</f>
        <v/>
      </c>
      <c r="H889" s="189" t="str">
        <f ca="1">IFERROR(__xludf.DUMMYFUNCTION("""COMPUTED_VALUE"""),"")</f>
        <v/>
      </c>
      <c r="I889" s="120" t="str">
        <f ca="1">IFERROR(__xludf.DUMMYFUNCTION("""COMPUTED_VALUE"""),"")</f>
        <v/>
      </c>
      <c r="J889" s="189" t="str">
        <f ca="1">IFERROR(__xludf.DUMMYFUNCTION("""COMPUTED_VALUE"""),"")</f>
        <v/>
      </c>
      <c r="K889" s="189" t="str">
        <f ca="1">IFERROR(__xludf.DUMMYFUNCTION("""COMPUTED_VALUE"""),"")</f>
        <v/>
      </c>
      <c r="L889" s="189" t="str">
        <f ca="1">IFERROR(__xludf.DUMMYFUNCTION("""COMPUTED_VALUE"""),"")</f>
        <v/>
      </c>
      <c r="M889" s="189" t="str">
        <f ca="1">IFERROR(__xludf.DUMMYFUNCTION("""COMPUTED_VALUE"""),"")</f>
        <v/>
      </c>
      <c r="N889" s="189" t="str">
        <f ca="1">IFERROR(__xludf.DUMMYFUNCTION("""COMPUTED_VALUE"""),"")</f>
        <v/>
      </c>
      <c r="O889" s="189" t="str">
        <f ca="1">IFERROR(__xludf.DUMMYFUNCTION("""COMPUTED_VALUE"""),"")</f>
        <v/>
      </c>
      <c r="P889" s="189" t="str">
        <f ca="1">IFERROR(__xludf.DUMMYFUNCTION("""COMPUTED_VALUE"""),"")</f>
        <v/>
      </c>
      <c r="Q889" s="189" t="str">
        <f ca="1">IFERROR(__xludf.DUMMYFUNCTION("""COMPUTED_VALUE"""),"")</f>
        <v/>
      </c>
      <c r="R889" s="189" t="str">
        <f ca="1">IFERROR(__xludf.DUMMYFUNCTION("""COMPUTED_VALUE"""),"")</f>
        <v/>
      </c>
      <c r="S889" s="189" t="str">
        <f ca="1">IFERROR(__xludf.DUMMYFUNCTION("""COMPUTED_VALUE"""),"")</f>
        <v/>
      </c>
      <c r="T889" s="189" t="str">
        <f ca="1">IFERROR(__xludf.DUMMYFUNCTION("""COMPUTED_VALUE"""),"")</f>
        <v/>
      </c>
      <c r="U889" s="189" t="str">
        <f ca="1">IFERROR(__xludf.DUMMYFUNCTION("""COMPUTED_VALUE"""),"")</f>
        <v/>
      </c>
      <c r="V889" s="189" t="str">
        <f ca="1">IFERROR(__xludf.DUMMYFUNCTION("""COMPUTED_VALUE"""),"")</f>
        <v/>
      </c>
      <c r="W889" s="189" t="str">
        <f ca="1">IFERROR(__xludf.DUMMYFUNCTION("""COMPUTED_VALUE"""),"")</f>
        <v/>
      </c>
      <c r="X889" s="189" t="str">
        <f ca="1">IFERROR(__xludf.DUMMYFUNCTION("""COMPUTED_VALUE"""),"")</f>
        <v/>
      </c>
      <c r="Y889" s="189" t="str">
        <f ca="1">IFERROR(__xludf.DUMMYFUNCTION("""COMPUTED_VALUE"""),"")</f>
        <v/>
      </c>
      <c r="Z889" s="189"/>
    </row>
    <row r="890" spans="1:26" ht="12.75">
      <c r="A890" s="189" t="str">
        <f ca="1">IFERROR(__xludf.DUMMYFUNCTION("""COMPUTED_VALUE"""),"")</f>
        <v/>
      </c>
      <c r="B890" s="189" t="str">
        <f ca="1">IFERROR(__xludf.DUMMYFUNCTION("""COMPUTED_VALUE"""),"")</f>
        <v/>
      </c>
      <c r="C890" s="189" t="str">
        <f ca="1">IFERROR(__xludf.DUMMYFUNCTION("""COMPUTED_VALUE"""),"")</f>
        <v/>
      </c>
      <c r="D890" s="189" t="str">
        <f ca="1">IFERROR(__xludf.DUMMYFUNCTION("""COMPUTED_VALUE"""),"")</f>
        <v/>
      </c>
      <c r="E890" s="189" t="str">
        <f ca="1">IFERROR(__xludf.DUMMYFUNCTION("""COMPUTED_VALUE"""),"")</f>
        <v/>
      </c>
      <c r="F890" s="189" t="str">
        <f ca="1">IFERROR(__xludf.DUMMYFUNCTION("""COMPUTED_VALUE"""),"")</f>
        <v/>
      </c>
      <c r="G890" s="189" t="str">
        <f ca="1">IFERROR(__xludf.DUMMYFUNCTION("""COMPUTED_VALUE"""),"")</f>
        <v/>
      </c>
      <c r="H890" s="189" t="str">
        <f ca="1">IFERROR(__xludf.DUMMYFUNCTION("""COMPUTED_VALUE"""),"")</f>
        <v/>
      </c>
      <c r="I890" s="120" t="str">
        <f ca="1">IFERROR(__xludf.DUMMYFUNCTION("""COMPUTED_VALUE"""),"")</f>
        <v/>
      </c>
      <c r="J890" s="189" t="str">
        <f ca="1">IFERROR(__xludf.DUMMYFUNCTION("""COMPUTED_VALUE"""),"")</f>
        <v/>
      </c>
      <c r="K890" s="189" t="str">
        <f ca="1">IFERROR(__xludf.DUMMYFUNCTION("""COMPUTED_VALUE"""),"")</f>
        <v/>
      </c>
      <c r="L890" s="189" t="str">
        <f ca="1">IFERROR(__xludf.DUMMYFUNCTION("""COMPUTED_VALUE"""),"")</f>
        <v/>
      </c>
      <c r="M890" s="189" t="str">
        <f ca="1">IFERROR(__xludf.DUMMYFUNCTION("""COMPUTED_VALUE"""),"")</f>
        <v/>
      </c>
      <c r="N890" s="189" t="str">
        <f ca="1">IFERROR(__xludf.DUMMYFUNCTION("""COMPUTED_VALUE"""),"")</f>
        <v/>
      </c>
      <c r="O890" s="189" t="str">
        <f ca="1">IFERROR(__xludf.DUMMYFUNCTION("""COMPUTED_VALUE"""),"")</f>
        <v/>
      </c>
      <c r="P890" s="189" t="str">
        <f ca="1">IFERROR(__xludf.DUMMYFUNCTION("""COMPUTED_VALUE"""),"")</f>
        <v/>
      </c>
      <c r="Q890" s="189" t="str">
        <f ca="1">IFERROR(__xludf.DUMMYFUNCTION("""COMPUTED_VALUE"""),"")</f>
        <v/>
      </c>
      <c r="R890" s="189" t="str">
        <f ca="1">IFERROR(__xludf.DUMMYFUNCTION("""COMPUTED_VALUE"""),"")</f>
        <v/>
      </c>
      <c r="S890" s="189" t="str">
        <f ca="1">IFERROR(__xludf.DUMMYFUNCTION("""COMPUTED_VALUE"""),"")</f>
        <v/>
      </c>
      <c r="T890" s="189" t="str">
        <f ca="1">IFERROR(__xludf.DUMMYFUNCTION("""COMPUTED_VALUE"""),"")</f>
        <v/>
      </c>
      <c r="U890" s="189" t="str">
        <f ca="1">IFERROR(__xludf.DUMMYFUNCTION("""COMPUTED_VALUE"""),"")</f>
        <v/>
      </c>
      <c r="V890" s="189" t="str">
        <f ca="1">IFERROR(__xludf.DUMMYFUNCTION("""COMPUTED_VALUE"""),"")</f>
        <v/>
      </c>
      <c r="W890" s="189" t="str">
        <f ca="1">IFERROR(__xludf.DUMMYFUNCTION("""COMPUTED_VALUE"""),"")</f>
        <v/>
      </c>
      <c r="X890" s="189" t="str">
        <f ca="1">IFERROR(__xludf.DUMMYFUNCTION("""COMPUTED_VALUE"""),"")</f>
        <v/>
      </c>
      <c r="Y890" s="189" t="str">
        <f ca="1">IFERROR(__xludf.DUMMYFUNCTION("""COMPUTED_VALUE"""),"")</f>
        <v/>
      </c>
      <c r="Z890" s="189"/>
    </row>
    <row r="891" spans="1:26" ht="12.75">
      <c r="A891" s="189" t="str">
        <f ca="1">IFERROR(__xludf.DUMMYFUNCTION("""COMPUTED_VALUE"""),"")</f>
        <v/>
      </c>
      <c r="B891" s="189" t="str">
        <f ca="1">IFERROR(__xludf.DUMMYFUNCTION("""COMPUTED_VALUE"""),"")</f>
        <v/>
      </c>
      <c r="C891" s="189" t="str">
        <f ca="1">IFERROR(__xludf.DUMMYFUNCTION("""COMPUTED_VALUE"""),"")</f>
        <v/>
      </c>
      <c r="D891" s="189" t="str">
        <f ca="1">IFERROR(__xludf.DUMMYFUNCTION("""COMPUTED_VALUE"""),"")</f>
        <v/>
      </c>
      <c r="E891" s="189" t="str">
        <f ca="1">IFERROR(__xludf.DUMMYFUNCTION("""COMPUTED_VALUE"""),"")</f>
        <v/>
      </c>
      <c r="F891" s="189" t="str">
        <f ca="1">IFERROR(__xludf.DUMMYFUNCTION("""COMPUTED_VALUE"""),"")</f>
        <v/>
      </c>
      <c r="G891" s="189" t="str">
        <f ca="1">IFERROR(__xludf.DUMMYFUNCTION("""COMPUTED_VALUE"""),"")</f>
        <v/>
      </c>
      <c r="H891" s="189" t="str">
        <f ca="1">IFERROR(__xludf.DUMMYFUNCTION("""COMPUTED_VALUE"""),"")</f>
        <v/>
      </c>
      <c r="I891" s="120" t="str">
        <f ca="1">IFERROR(__xludf.DUMMYFUNCTION("""COMPUTED_VALUE"""),"")</f>
        <v/>
      </c>
      <c r="J891" s="189" t="str">
        <f ca="1">IFERROR(__xludf.DUMMYFUNCTION("""COMPUTED_VALUE"""),"")</f>
        <v/>
      </c>
      <c r="K891" s="189" t="str">
        <f ca="1">IFERROR(__xludf.DUMMYFUNCTION("""COMPUTED_VALUE"""),"")</f>
        <v/>
      </c>
      <c r="L891" s="189" t="str">
        <f ca="1">IFERROR(__xludf.DUMMYFUNCTION("""COMPUTED_VALUE"""),"")</f>
        <v/>
      </c>
      <c r="M891" s="189" t="str">
        <f ca="1">IFERROR(__xludf.DUMMYFUNCTION("""COMPUTED_VALUE"""),"")</f>
        <v/>
      </c>
      <c r="N891" s="189" t="str">
        <f ca="1">IFERROR(__xludf.DUMMYFUNCTION("""COMPUTED_VALUE"""),"")</f>
        <v/>
      </c>
      <c r="O891" s="189" t="str">
        <f ca="1">IFERROR(__xludf.DUMMYFUNCTION("""COMPUTED_VALUE"""),"")</f>
        <v/>
      </c>
      <c r="P891" s="189" t="str">
        <f ca="1">IFERROR(__xludf.DUMMYFUNCTION("""COMPUTED_VALUE"""),"")</f>
        <v/>
      </c>
      <c r="Q891" s="189" t="str">
        <f ca="1">IFERROR(__xludf.DUMMYFUNCTION("""COMPUTED_VALUE"""),"")</f>
        <v/>
      </c>
      <c r="R891" s="189" t="str">
        <f ca="1">IFERROR(__xludf.DUMMYFUNCTION("""COMPUTED_VALUE"""),"")</f>
        <v/>
      </c>
      <c r="S891" s="189" t="str">
        <f ca="1">IFERROR(__xludf.DUMMYFUNCTION("""COMPUTED_VALUE"""),"")</f>
        <v/>
      </c>
      <c r="T891" s="189" t="str">
        <f ca="1">IFERROR(__xludf.DUMMYFUNCTION("""COMPUTED_VALUE"""),"")</f>
        <v/>
      </c>
      <c r="U891" s="189" t="str">
        <f ca="1">IFERROR(__xludf.DUMMYFUNCTION("""COMPUTED_VALUE"""),"")</f>
        <v/>
      </c>
      <c r="V891" s="189" t="str">
        <f ca="1">IFERROR(__xludf.DUMMYFUNCTION("""COMPUTED_VALUE"""),"")</f>
        <v/>
      </c>
      <c r="W891" s="189" t="str">
        <f ca="1">IFERROR(__xludf.DUMMYFUNCTION("""COMPUTED_VALUE"""),"")</f>
        <v/>
      </c>
      <c r="X891" s="189" t="str">
        <f ca="1">IFERROR(__xludf.DUMMYFUNCTION("""COMPUTED_VALUE"""),"")</f>
        <v/>
      </c>
      <c r="Y891" s="189" t="str">
        <f ca="1">IFERROR(__xludf.DUMMYFUNCTION("""COMPUTED_VALUE"""),"")</f>
        <v/>
      </c>
      <c r="Z891" s="189"/>
    </row>
    <row r="892" spans="1:26" ht="12.75">
      <c r="A892" s="189" t="str">
        <f ca="1">IFERROR(__xludf.DUMMYFUNCTION("""COMPUTED_VALUE"""),"")</f>
        <v/>
      </c>
      <c r="B892" s="189" t="str">
        <f ca="1">IFERROR(__xludf.DUMMYFUNCTION("""COMPUTED_VALUE"""),"")</f>
        <v/>
      </c>
      <c r="C892" s="189" t="str">
        <f ca="1">IFERROR(__xludf.DUMMYFUNCTION("""COMPUTED_VALUE"""),"")</f>
        <v/>
      </c>
      <c r="D892" s="189" t="str">
        <f ca="1">IFERROR(__xludf.DUMMYFUNCTION("""COMPUTED_VALUE"""),"")</f>
        <v/>
      </c>
      <c r="E892" s="189" t="str">
        <f ca="1">IFERROR(__xludf.DUMMYFUNCTION("""COMPUTED_VALUE"""),"")</f>
        <v/>
      </c>
      <c r="F892" s="189" t="str">
        <f ca="1">IFERROR(__xludf.DUMMYFUNCTION("""COMPUTED_VALUE"""),"")</f>
        <v/>
      </c>
      <c r="G892" s="189" t="str">
        <f ca="1">IFERROR(__xludf.DUMMYFUNCTION("""COMPUTED_VALUE"""),"")</f>
        <v/>
      </c>
      <c r="H892" s="189" t="str">
        <f ca="1">IFERROR(__xludf.DUMMYFUNCTION("""COMPUTED_VALUE"""),"")</f>
        <v/>
      </c>
      <c r="I892" s="120" t="str">
        <f ca="1">IFERROR(__xludf.DUMMYFUNCTION("""COMPUTED_VALUE"""),"")</f>
        <v/>
      </c>
      <c r="J892" s="189" t="str">
        <f ca="1">IFERROR(__xludf.DUMMYFUNCTION("""COMPUTED_VALUE"""),"")</f>
        <v/>
      </c>
      <c r="K892" s="189" t="str">
        <f ca="1">IFERROR(__xludf.DUMMYFUNCTION("""COMPUTED_VALUE"""),"")</f>
        <v/>
      </c>
      <c r="L892" s="189" t="str">
        <f ca="1">IFERROR(__xludf.DUMMYFUNCTION("""COMPUTED_VALUE"""),"")</f>
        <v/>
      </c>
      <c r="M892" s="189" t="str">
        <f ca="1">IFERROR(__xludf.DUMMYFUNCTION("""COMPUTED_VALUE"""),"")</f>
        <v/>
      </c>
      <c r="N892" s="189" t="str">
        <f ca="1">IFERROR(__xludf.DUMMYFUNCTION("""COMPUTED_VALUE"""),"")</f>
        <v/>
      </c>
      <c r="O892" s="189" t="str">
        <f ca="1">IFERROR(__xludf.DUMMYFUNCTION("""COMPUTED_VALUE"""),"")</f>
        <v/>
      </c>
      <c r="P892" s="189" t="str">
        <f ca="1">IFERROR(__xludf.DUMMYFUNCTION("""COMPUTED_VALUE"""),"")</f>
        <v/>
      </c>
      <c r="Q892" s="189" t="str">
        <f ca="1">IFERROR(__xludf.DUMMYFUNCTION("""COMPUTED_VALUE"""),"")</f>
        <v/>
      </c>
      <c r="R892" s="189" t="str">
        <f ca="1">IFERROR(__xludf.DUMMYFUNCTION("""COMPUTED_VALUE"""),"")</f>
        <v/>
      </c>
      <c r="S892" s="189" t="str">
        <f ca="1">IFERROR(__xludf.DUMMYFUNCTION("""COMPUTED_VALUE"""),"")</f>
        <v/>
      </c>
      <c r="T892" s="189" t="str">
        <f ca="1">IFERROR(__xludf.DUMMYFUNCTION("""COMPUTED_VALUE"""),"")</f>
        <v/>
      </c>
      <c r="U892" s="189" t="str">
        <f ca="1">IFERROR(__xludf.DUMMYFUNCTION("""COMPUTED_VALUE"""),"")</f>
        <v/>
      </c>
      <c r="V892" s="189" t="str">
        <f ca="1">IFERROR(__xludf.DUMMYFUNCTION("""COMPUTED_VALUE"""),"")</f>
        <v/>
      </c>
      <c r="W892" s="189" t="str">
        <f ca="1">IFERROR(__xludf.DUMMYFUNCTION("""COMPUTED_VALUE"""),"")</f>
        <v/>
      </c>
      <c r="X892" s="189" t="str">
        <f ca="1">IFERROR(__xludf.DUMMYFUNCTION("""COMPUTED_VALUE"""),"")</f>
        <v/>
      </c>
      <c r="Y892" s="189" t="str">
        <f ca="1">IFERROR(__xludf.DUMMYFUNCTION("""COMPUTED_VALUE"""),"")</f>
        <v/>
      </c>
      <c r="Z892" s="189"/>
    </row>
    <row r="893" spans="1:26" ht="12.75">
      <c r="A893" s="189" t="str">
        <f ca="1">IFERROR(__xludf.DUMMYFUNCTION("""COMPUTED_VALUE"""),"")</f>
        <v/>
      </c>
      <c r="B893" s="189" t="str">
        <f ca="1">IFERROR(__xludf.DUMMYFUNCTION("""COMPUTED_VALUE"""),"")</f>
        <v/>
      </c>
      <c r="C893" s="189" t="str">
        <f ca="1">IFERROR(__xludf.DUMMYFUNCTION("""COMPUTED_VALUE"""),"")</f>
        <v/>
      </c>
      <c r="D893" s="189" t="str">
        <f ca="1">IFERROR(__xludf.DUMMYFUNCTION("""COMPUTED_VALUE"""),"")</f>
        <v/>
      </c>
      <c r="E893" s="189" t="str">
        <f ca="1">IFERROR(__xludf.DUMMYFUNCTION("""COMPUTED_VALUE"""),"")</f>
        <v/>
      </c>
      <c r="F893" s="189" t="str">
        <f ca="1">IFERROR(__xludf.DUMMYFUNCTION("""COMPUTED_VALUE"""),"")</f>
        <v/>
      </c>
      <c r="G893" s="189" t="str">
        <f ca="1">IFERROR(__xludf.DUMMYFUNCTION("""COMPUTED_VALUE"""),"")</f>
        <v/>
      </c>
      <c r="H893" s="189" t="str">
        <f ca="1">IFERROR(__xludf.DUMMYFUNCTION("""COMPUTED_VALUE"""),"")</f>
        <v/>
      </c>
      <c r="I893" s="120" t="str">
        <f ca="1">IFERROR(__xludf.DUMMYFUNCTION("""COMPUTED_VALUE"""),"")</f>
        <v/>
      </c>
      <c r="J893" s="189" t="str">
        <f ca="1">IFERROR(__xludf.DUMMYFUNCTION("""COMPUTED_VALUE"""),"")</f>
        <v/>
      </c>
      <c r="K893" s="189" t="str">
        <f ca="1">IFERROR(__xludf.DUMMYFUNCTION("""COMPUTED_VALUE"""),"")</f>
        <v/>
      </c>
      <c r="L893" s="189" t="str">
        <f ca="1">IFERROR(__xludf.DUMMYFUNCTION("""COMPUTED_VALUE"""),"")</f>
        <v/>
      </c>
      <c r="M893" s="189" t="str">
        <f ca="1">IFERROR(__xludf.DUMMYFUNCTION("""COMPUTED_VALUE"""),"")</f>
        <v/>
      </c>
      <c r="N893" s="189" t="str">
        <f ca="1">IFERROR(__xludf.DUMMYFUNCTION("""COMPUTED_VALUE"""),"")</f>
        <v/>
      </c>
      <c r="O893" s="189" t="str">
        <f ca="1">IFERROR(__xludf.DUMMYFUNCTION("""COMPUTED_VALUE"""),"")</f>
        <v/>
      </c>
      <c r="P893" s="189" t="str">
        <f ca="1">IFERROR(__xludf.DUMMYFUNCTION("""COMPUTED_VALUE"""),"")</f>
        <v/>
      </c>
      <c r="Q893" s="189" t="str">
        <f ca="1">IFERROR(__xludf.DUMMYFUNCTION("""COMPUTED_VALUE"""),"")</f>
        <v/>
      </c>
      <c r="R893" s="189" t="str">
        <f ca="1">IFERROR(__xludf.DUMMYFUNCTION("""COMPUTED_VALUE"""),"")</f>
        <v/>
      </c>
      <c r="S893" s="189" t="str">
        <f ca="1">IFERROR(__xludf.DUMMYFUNCTION("""COMPUTED_VALUE"""),"")</f>
        <v/>
      </c>
      <c r="T893" s="189" t="str">
        <f ca="1">IFERROR(__xludf.DUMMYFUNCTION("""COMPUTED_VALUE"""),"")</f>
        <v/>
      </c>
      <c r="U893" s="189" t="str">
        <f ca="1">IFERROR(__xludf.DUMMYFUNCTION("""COMPUTED_VALUE"""),"")</f>
        <v/>
      </c>
      <c r="V893" s="189" t="str">
        <f ca="1">IFERROR(__xludf.DUMMYFUNCTION("""COMPUTED_VALUE"""),"")</f>
        <v/>
      </c>
      <c r="W893" s="189" t="str">
        <f ca="1">IFERROR(__xludf.DUMMYFUNCTION("""COMPUTED_VALUE"""),"")</f>
        <v/>
      </c>
      <c r="X893" s="189" t="str">
        <f ca="1">IFERROR(__xludf.DUMMYFUNCTION("""COMPUTED_VALUE"""),"")</f>
        <v/>
      </c>
      <c r="Y893" s="189" t="str">
        <f ca="1">IFERROR(__xludf.DUMMYFUNCTION("""COMPUTED_VALUE"""),"")</f>
        <v/>
      </c>
      <c r="Z893" s="189"/>
    </row>
    <row r="894" spans="1:26" ht="12.75">
      <c r="A894" s="189" t="str">
        <f ca="1">IFERROR(__xludf.DUMMYFUNCTION("""COMPUTED_VALUE"""),"")</f>
        <v/>
      </c>
      <c r="B894" s="189" t="str">
        <f ca="1">IFERROR(__xludf.DUMMYFUNCTION("""COMPUTED_VALUE"""),"")</f>
        <v/>
      </c>
      <c r="C894" s="189" t="str">
        <f ca="1">IFERROR(__xludf.DUMMYFUNCTION("""COMPUTED_VALUE"""),"")</f>
        <v/>
      </c>
      <c r="D894" s="189" t="str">
        <f ca="1">IFERROR(__xludf.DUMMYFUNCTION("""COMPUTED_VALUE"""),"")</f>
        <v/>
      </c>
      <c r="E894" s="189" t="str">
        <f ca="1">IFERROR(__xludf.DUMMYFUNCTION("""COMPUTED_VALUE"""),"")</f>
        <v/>
      </c>
      <c r="F894" s="189" t="str">
        <f ca="1">IFERROR(__xludf.DUMMYFUNCTION("""COMPUTED_VALUE"""),"")</f>
        <v/>
      </c>
      <c r="G894" s="189" t="str">
        <f ca="1">IFERROR(__xludf.DUMMYFUNCTION("""COMPUTED_VALUE"""),"")</f>
        <v/>
      </c>
      <c r="H894" s="189" t="str">
        <f ca="1">IFERROR(__xludf.DUMMYFUNCTION("""COMPUTED_VALUE"""),"")</f>
        <v/>
      </c>
      <c r="I894" s="120" t="str">
        <f ca="1">IFERROR(__xludf.DUMMYFUNCTION("""COMPUTED_VALUE"""),"")</f>
        <v/>
      </c>
      <c r="J894" s="189" t="str">
        <f ca="1">IFERROR(__xludf.DUMMYFUNCTION("""COMPUTED_VALUE"""),"")</f>
        <v/>
      </c>
      <c r="K894" s="189" t="str">
        <f ca="1">IFERROR(__xludf.DUMMYFUNCTION("""COMPUTED_VALUE"""),"")</f>
        <v/>
      </c>
      <c r="L894" s="189" t="str">
        <f ca="1">IFERROR(__xludf.DUMMYFUNCTION("""COMPUTED_VALUE"""),"")</f>
        <v/>
      </c>
      <c r="M894" s="189" t="str">
        <f ca="1">IFERROR(__xludf.DUMMYFUNCTION("""COMPUTED_VALUE"""),"")</f>
        <v/>
      </c>
      <c r="N894" s="189" t="str">
        <f ca="1">IFERROR(__xludf.DUMMYFUNCTION("""COMPUTED_VALUE"""),"")</f>
        <v/>
      </c>
      <c r="O894" s="189" t="str">
        <f ca="1">IFERROR(__xludf.DUMMYFUNCTION("""COMPUTED_VALUE"""),"")</f>
        <v/>
      </c>
      <c r="P894" s="189" t="str">
        <f ca="1">IFERROR(__xludf.DUMMYFUNCTION("""COMPUTED_VALUE"""),"")</f>
        <v/>
      </c>
      <c r="Q894" s="189" t="str">
        <f ca="1">IFERROR(__xludf.DUMMYFUNCTION("""COMPUTED_VALUE"""),"")</f>
        <v/>
      </c>
      <c r="R894" s="189" t="str">
        <f ca="1">IFERROR(__xludf.DUMMYFUNCTION("""COMPUTED_VALUE"""),"")</f>
        <v/>
      </c>
      <c r="S894" s="189" t="str">
        <f ca="1">IFERROR(__xludf.DUMMYFUNCTION("""COMPUTED_VALUE"""),"")</f>
        <v/>
      </c>
      <c r="T894" s="189" t="str">
        <f ca="1">IFERROR(__xludf.DUMMYFUNCTION("""COMPUTED_VALUE"""),"")</f>
        <v/>
      </c>
      <c r="U894" s="189" t="str">
        <f ca="1">IFERROR(__xludf.DUMMYFUNCTION("""COMPUTED_VALUE"""),"")</f>
        <v/>
      </c>
      <c r="V894" s="189" t="str">
        <f ca="1">IFERROR(__xludf.DUMMYFUNCTION("""COMPUTED_VALUE"""),"")</f>
        <v/>
      </c>
      <c r="W894" s="189" t="str">
        <f ca="1">IFERROR(__xludf.DUMMYFUNCTION("""COMPUTED_VALUE"""),"")</f>
        <v/>
      </c>
      <c r="X894" s="189" t="str">
        <f ca="1">IFERROR(__xludf.DUMMYFUNCTION("""COMPUTED_VALUE"""),"")</f>
        <v/>
      </c>
      <c r="Y894" s="189" t="str">
        <f ca="1">IFERROR(__xludf.DUMMYFUNCTION("""COMPUTED_VALUE"""),"")</f>
        <v/>
      </c>
      <c r="Z894" s="189"/>
    </row>
    <row r="895" spans="1:26" ht="12.75">
      <c r="A895" s="189" t="str">
        <f ca="1">IFERROR(__xludf.DUMMYFUNCTION("""COMPUTED_VALUE"""),"")</f>
        <v/>
      </c>
      <c r="B895" s="189" t="str">
        <f ca="1">IFERROR(__xludf.DUMMYFUNCTION("""COMPUTED_VALUE"""),"")</f>
        <v/>
      </c>
      <c r="C895" s="189" t="str">
        <f ca="1">IFERROR(__xludf.DUMMYFUNCTION("""COMPUTED_VALUE"""),"")</f>
        <v/>
      </c>
      <c r="D895" s="189" t="str">
        <f ca="1">IFERROR(__xludf.DUMMYFUNCTION("""COMPUTED_VALUE"""),"")</f>
        <v/>
      </c>
      <c r="E895" s="189" t="str">
        <f ca="1">IFERROR(__xludf.DUMMYFUNCTION("""COMPUTED_VALUE"""),"")</f>
        <v/>
      </c>
      <c r="F895" s="189" t="str">
        <f ca="1">IFERROR(__xludf.DUMMYFUNCTION("""COMPUTED_VALUE"""),"")</f>
        <v/>
      </c>
      <c r="G895" s="189" t="str">
        <f ca="1">IFERROR(__xludf.DUMMYFUNCTION("""COMPUTED_VALUE"""),"")</f>
        <v/>
      </c>
      <c r="H895" s="189" t="str">
        <f ca="1">IFERROR(__xludf.DUMMYFUNCTION("""COMPUTED_VALUE"""),"")</f>
        <v/>
      </c>
      <c r="I895" s="120" t="str">
        <f ca="1">IFERROR(__xludf.DUMMYFUNCTION("""COMPUTED_VALUE"""),"")</f>
        <v/>
      </c>
      <c r="J895" s="189" t="str">
        <f ca="1">IFERROR(__xludf.DUMMYFUNCTION("""COMPUTED_VALUE"""),"")</f>
        <v/>
      </c>
      <c r="K895" s="189" t="str">
        <f ca="1">IFERROR(__xludf.DUMMYFUNCTION("""COMPUTED_VALUE"""),"")</f>
        <v/>
      </c>
      <c r="L895" s="189" t="str">
        <f ca="1">IFERROR(__xludf.DUMMYFUNCTION("""COMPUTED_VALUE"""),"")</f>
        <v/>
      </c>
      <c r="M895" s="189" t="str">
        <f ca="1">IFERROR(__xludf.DUMMYFUNCTION("""COMPUTED_VALUE"""),"")</f>
        <v/>
      </c>
      <c r="N895" s="189" t="str">
        <f ca="1">IFERROR(__xludf.DUMMYFUNCTION("""COMPUTED_VALUE"""),"")</f>
        <v/>
      </c>
      <c r="O895" s="189" t="str">
        <f ca="1">IFERROR(__xludf.DUMMYFUNCTION("""COMPUTED_VALUE"""),"")</f>
        <v/>
      </c>
      <c r="P895" s="189" t="str">
        <f ca="1">IFERROR(__xludf.DUMMYFUNCTION("""COMPUTED_VALUE"""),"")</f>
        <v/>
      </c>
      <c r="Q895" s="189" t="str">
        <f ca="1">IFERROR(__xludf.DUMMYFUNCTION("""COMPUTED_VALUE"""),"")</f>
        <v/>
      </c>
      <c r="R895" s="189" t="str">
        <f ca="1">IFERROR(__xludf.DUMMYFUNCTION("""COMPUTED_VALUE"""),"")</f>
        <v/>
      </c>
      <c r="S895" s="189" t="str">
        <f ca="1">IFERROR(__xludf.DUMMYFUNCTION("""COMPUTED_VALUE"""),"")</f>
        <v/>
      </c>
      <c r="T895" s="189" t="str">
        <f ca="1">IFERROR(__xludf.DUMMYFUNCTION("""COMPUTED_VALUE"""),"")</f>
        <v/>
      </c>
      <c r="U895" s="189" t="str">
        <f ca="1">IFERROR(__xludf.DUMMYFUNCTION("""COMPUTED_VALUE"""),"")</f>
        <v/>
      </c>
      <c r="V895" s="189" t="str">
        <f ca="1">IFERROR(__xludf.DUMMYFUNCTION("""COMPUTED_VALUE"""),"")</f>
        <v/>
      </c>
      <c r="W895" s="189" t="str">
        <f ca="1">IFERROR(__xludf.DUMMYFUNCTION("""COMPUTED_VALUE"""),"")</f>
        <v/>
      </c>
      <c r="X895" s="189" t="str">
        <f ca="1">IFERROR(__xludf.DUMMYFUNCTION("""COMPUTED_VALUE"""),"")</f>
        <v/>
      </c>
      <c r="Y895" s="189" t="str">
        <f ca="1">IFERROR(__xludf.DUMMYFUNCTION("""COMPUTED_VALUE"""),"")</f>
        <v/>
      </c>
      <c r="Z895" s="189"/>
    </row>
    <row r="896" spans="1:26" ht="12.75">
      <c r="A896" s="189" t="str">
        <f ca="1">IFERROR(__xludf.DUMMYFUNCTION("""COMPUTED_VALUE"""),"")</f>
        <v/>
      </c>
      <c r="B896" s="189" t="str">
        <f ca="1">IFERROR(__xludf.DUMMYFUNCTION("""COMPUTED_VALUE"""),"")</f>
        <v/>
      </c>
      <c r="C896" s="189" t="str">
        <f ca="1">IFERROR(__xludf.DUMMYFUNCTION("""COMPUTED_VALUE"""),"")</f>
        <v/>
      </c>
      <c r="D896" s="189" t="str">
        <f ca="1">IFERROR(__xludf.DUMMYFUNCTION("""COMPUTED_VALUE"""),"")</f>
        <v/>
      </c>
      <c r="E896" s="189" t="str">
        <f ca="1">IFERROR(__xludf.DUMMYFUNCTION("""COMPUTED_VALUE"""),"")</f>
        <v/>
      </c>
      <c r="F896" s="189" t="str">
        <f ca="1">IFERROR(__xludf.DUMMYFUNCTION("""COMPUTED_VALUE"""),"")</f>
        <v/>
      </c>
      <c r="G896" s="189" t="str">
        <f ca="1">IFERROR(__xludf.DUMMYFUNCTION("""COMPUTED_VALUE"""),"")</f>
        <v/>
      </c>
      <c r="H896" s="189" t="str">
        <f ca="1">IFERROR(__xludf.DUMMYFUNCTION("""COMPUTED_VALUE"""),"")</f>
        <v/>
      </c>
      <c r="I896" s="120" t="str">
        <f ca="1">IFERROR(__xludf.DUMMYFUNCTION("""COMPUTED_VALUE"""),"")</f>
        <v/>
      </c>
      <c r="J896" s="189" t="str">
        <f ca="1">IFERROR(__xludf.DUMMYFUNCTION("""COMPUTED_VALUE"""),"")</f>
        <v/>
      </c>
      <c r="K896" s="189" t="str">
        <f ca="1">IFERROR(__xludf.DUMMYFUNCTION("""COMPUTED_VALUE"""),"")</f>
        <v/>
      </c>
      <c r="L896" s="189" t="str">
        <f ca="1">IFERROR(__xludf.DUMMYFUNCTION("""COMPUTED_VALUE"""),"")</f>
        <v/>
      </c>
      <c r="M896" s="189" t="str">
        <f ca="1">IFERROR(__xludf.DUMMYFUNCTION("""COMPUTED_VALUE"""),"")</f>
        <v/>
      </c>
      <c r="N896" s="189" t="str">
        <f ca="1">IFERROR(__xludf.DUMMYFUNCTION("""COMPUTED_VALUE"""),"")</f>
        <v/>
      </c>
      <c r="O896" s="189" t="str">
        <f ca="1">IFERROR(__xludf.DUMMYFUNCTION("""COMPUTED_VALUE"""),"")</f>
        <v/>
      </c>
      <c r="P896" s="189" t="str">
        <f ca="1">IFERROR(__xludf.DUMMYFUNCTION("""COMPUTED_VALUE"""),"")</f>
        <v/>
      </c>
      <c r="Q896" s="189" t="str">
        <f ca="1">IFERROR(__xludf.DUMMYFUNCTION("""COMPUTED_VALUE"""),"")</f>
        <v/>
      </c>
      <c r="R896" s="189" t="str">
        <f ca="1">IFERROR(__xludf.DUMMYFUNCTION("""COMPUTED_VALUE"""),"")</f>
        <v/>
      </c>
      <c r="S896" s="189" t="str">
        <f ca="1">IFERROR(__xludf.DUMMYFUNCTION("""COMPUTED_VALUE"""),"")</f>
        <v/>
      </c>
      <c r="T896" s="189" t="str">
        <f ca="1">IFERROR(__xludf.DUMMYFUNCTION("""COMPUTED_VALUE"""),"")</f>
        <v/>
      </c>
      <c r="U896" s="189" t="str">
        <f ca="1">IFERROR(__xludf.DUMMYFUNCTION("""COMPUTED_VALUE"""),"")</f>
        <v/>
      </c>
      <c r="V896" s="189" t="str">
        <f ca="1">IFERROR(__xludf.DUMMYFUNCTION("""COMPUTED_VALUE"""),"")</f>
        <v/>
      </c>
      <c r="W896" s="189" t="str">
        <f ca="1">IFERROR(__xludf.DUMMYFUNCTION("""COMPUTED_VALUE"""),"")</f>
        <v/>
      </c>
      <c r="X896" s="189" t="str">
        <f ca="1">IFERROR(__xludf.DUMMYFUNCTION("""COMPUTED_VALUE"""),"")</f>
        <v/>
      </c>
      <c r="Y896" s="189" t="str">
        <f ca="1">IFERROR(__xludf.DUMMYFUNCTION("""COMPUTED_VALUE"""),"")</f>
        <v/>
      </c>
      <c r="Z896" s="189"/>
    </row>
    <row r="897" spans="1:26" ht="12.75">
      <c r="A897" s="189" t="str">
        <f ca="1">IFERROR(__xludf.DUMMYFUNCTION("""COMPUTED_VALUE"""),"")</f>
        <v/>
      </c>
      <c r="B897" s="189" t="str">
        <f ca="1">IFERROR(__xludf.DUMMYFUNCTION("""COMPUTED_VALUE"""),"")</f>
        <v/>
      </c>
      <c r="C897" s="189" t="str">
        <f ca="1">IFERROR(__xludf.DUMMYFUNCTION("""COMPUTED_VALUE"""),"")</f>
        <v/>
      </c>
      <c r="D897" s="189" t="str">
        <f ca="1">IFERROR(__xludf.DUMMYFUNCTION("""COMPUTED_VALUE"""),"")</f>
        <v/>
      </c>
      <c r="E897" s="189" t="str">
        <f ca="1">IFERROR(__xludf.DUMMYFUNCTION("""COMPUTED_VALUE"""),"")</f>
        <v/>
      </c>
      <c r="F897" s="189" t="str">
        <f ca="1">IFERROR(__xludf.DUMMYFUNCTION("""COMPUTED_VALUE"""),"")</f>
        <v/>
      </c>
      <c r="G897" s="189" t="str">
        <f ca="1">IFERROR(__xludf.DUMMYFUNCTION("""COMPUTED_VALUE"""),"")</f>
        <v/>
      </c>
      <c r="H897" s="189" t="str">
        <f ca="1">IFERROR(__xludf.DUMMYFUNCTION("""COMPUTED_VALUE"""),"")</f>
        <v/>
      </c>
      <c r="I897" s="120" t="str">
        <f ca="1">IFERROR(__xludf.DUMMYFUNCTION("""COMPUTED_VALUE"""),"")</f>
        <v/>
      </c>
      <c r="J897" s="189" t="str">
        <f ca="1">IFERROR(__xludf.DUMMYFUNCTION("""COMPUTED_VALUE"""),"")</f>
        <v/>
      </c>
      <c r="K897" s="189" t="str">
        <f ca="1">IFERROR(__xludf.DUMMYFUNCTION("""COMPUTED_VALUE"""),"")</f>
        <v/>
      </c>
      <c r="L897" s="189" t="str">
        <f ca="1">IFERROR(__xludf.DUMMYFUNCTION("""COMPUTED_VALUE"""),"")</f>
        <v/>
      </c>
      <c r="M897" s="189" t="str">
        <f ca="1">IFERROR(__xludf.DUMMYFUNCTION("""COMPUTED_VALUE"""),"")</f>
        <v/>
      </c>
      <c r="N897" s="189" t="str">
        <f ca="1">IFERROR(__xludf.DUMMYFUNCTION("""COMPUTED_VALUE"""),"")</f>
        <v/>
      </c>
      <c r="O897" s="189" t="str">
        <f ca="1">IFERROR(__xludf.DUMMYFUNCTION("""COMPUTED_VALUE"""),"")</f>
        <v/>
      </c>
      <c r="P897" s="189" t="str">
        <f ca="1">IFERROR(__xludf.DUMMYFUNCTION("""COMPUTED_VALUE"""),"")</f>
        <v/>
      </c>
      <c r="Q897" s="189" t="str">
        <f ca="1">IFERROR(__xludf.DUMMYFUNCTION("""COMPUTED_VALUE"""),"")</f>
        <v/>
      </c>
      <c r="R897" s="189" t="str">
        <f ca="1">IFERROR(__xludf.DUMMYFUNCTION("""COMPUTED_VALUE"""),"")</f>
        <v/>
      </c>
      <c r="S897" s="189" t="str">
        <f ca="1">IFERROR(__xludf.DUMMYFUNCTION("""COMPUTED_VALUE"""),"")</f>
        <v/>
      </c>
      <c r="T897" s="189" t="str">
        <f ca="1">IFERROR(__xludf.DUMMYFUNCTION("""COMPUTED_VALUE"""),"")</f>
        <v/>
      </c>
      <c r="U897" s="189" t="str">
        <f ca="1">IFERROR(__xludf.DUMMYFUNCTION("""COMPUTED_VALUE"""),"")</f>
        <v/>
      </c>
      <c r="V897" s="189" t="str">
        <f ca="1">IFERROR(__xludf.DUMMYFUNCTION("""COMPUTED_VALUE"""),"")</f>
        <v/>
      </c>
      <c r="W897" s="189" t="str">
        <f ca="1">IFERROR(__xludf.DUMMYFUNCTION("""COMPUTED_VALUE"""),"")</f>
        <v/>
      </c>
      <c r="X897" s="189" t="str">
        <f ca="1">IFERROR(__xludf.DUMMYFUNCTION("""COMPUTED_VALUE"""),"")</f>
        <v/>
      </c>
      <c r="Y897" s="189" t="str">
        <f ca="1">IFERROR(__xludf.DUMMYFUNCTION("""COMPUTED_VALUE"""),"")</f>
        <v/>
      </c>
      <c r="Z897" s="189"/>
    </row>
    <row r="898" spans="1:26" ht="12.75">
      <c r="A898" s="189" t="str">
        <f ca="1">IFERROR(__xludf.DUMMYFUNCTION("""COMPUTED_VALUE"""),"")</f>
        <v/>
      </c>
      <c r="B898" s="189" t="str">
        <f ca="1">IFERROR(__xludf.DUMMYFUNCTION("""COMPUTED_VALUE"""),"")</f>
        <v/>
      </c>
      <c r="C898" s="189" t="str">
        <f ca="1">IFERROR(__xludf.DUMMYFUNCTION("""COMPUTED_VALUE"""),"")</f>
        <v/>
      </c>
      <c r="D898" s="189" t="str">
        <f ca="1">IFERROR(__xludf.DUMMYFUNCTION("""COMPUTED_VALUE"""),"")</f>
        <v/>
      </c>
      <c r="E898" s="189" t="str">
        <f ca="1">IFERROR(__xludf.DUMMYFUNCTION("""COMPUTED_VALUE"""),"")</f>
        <v/>
      </c>
      <c r="F898" s="189" t="str">
        <f ca="1">IFERROR(__xludf.DUMMYFUNCTION("""COMPUTED_VALUE"""),"")</f>
        <v/>
      </c>
      <c r="G898" s="189" t="str">
        <f ca="1">IFERROR(__xludf.DUMMYFUNCTION("""COMPUTED_VALUE"""),"")</f>
        <v/>
      </c>
      <c r="H898" s="189" t="str">
        <f ca="1">IFERROR(__xludf.DUMMYFUNCTION("""COMPUTED_VALUE"""),"")</f>
        <v/>
      </c>
      <c r="I898" s="120" t="str">
        <f ca="1">IFERROR(__xludf.DUMMYFUNCTION("""COMPUTED_VALUE"""),"")</f>
        <v/>
      </c>
      <c r="J898" s="189" t="str">
        <f ca="1">IFERROR(__xludf.DUMMYFUNCTION("""COMPUTED_VALUE"""),"")</f>
        <v/>
      </c>
      <c r="K898" s="189" t="str">
        <f ca="1">IFERROR(__xludf.DUMMYFUNCTION("""COMPUTED_VALUE"""),"")</f>
        <v/>
      </c>
      <c r="L898" s="189" t="str">
        <f ca="1">IFERROR(__xludf.DUMMYFUNCTION("""COMPUTED_VALUE"""),"")</f>
        <v/>
      </c>
      <c r="M898" s="189" t="str">
        <f ca="1">IFERROR(__xludf.DUMMYFUNCTION("""COMPUTED_VALUE"""),"")</f>
        <v/>
      </c>
      <c r="N898" s="189" t="str">
        <f ca="1">IFERROR(__xludf.DUMMYFUNCTION("""COMPUTED_VALUE"""),"")</f>
        <v/>
      </c>
      <c r="O898" s="189" t="str">
        <f ca="1">IFERROR(__xludf.DUMMYFUNCTION("""COMPUTED_VALUE"""),"")</f>
        <v/>
      </c>
      <c r="P898" s="189" t="str">
        <f ca="1">IFERROR(__xludf.DUMMYFUNCTION("""COMPUTED_VALUE"""),"")</f>
        <v/>
      </c>
      <c r="Q898" s="189" t="str">
        <f ca="1">IFERROR(__xludf.DUMMYFUNCTION("""COMPUTED_VALUE"""),"")</f>
        <v/>
      </c>
      <c r="R898" s="189" t="str">
        <f ca="1">IFERROR(__xludf.DUMMYFUNCTION("""COMPUTED_VALUE"""),"")</f>
        <v/>
      </c>
      <c r="S898" s="189" t="str">
        <f ca="1">IFERROR(__xludf.DUMMYFUNCTION("""COMPUTED_VALUE"""),"")</f>
        <v/>
      </c>
      <c r="T898" s="189" t="str">
        <f ca="1">IFERROR(__xludf.DUMMYFUNCTION("""COMPUTED_VALUE"""),"")</f>
        <v/>
      </c>
      <c r="U898" s="189" t="str">
        <f ca="1">IFERROR(__xludf.DUMMYFUNCTION("""COMPUTED_VALUE"""),"")</f>
        <v/>
      </c>
      <c r="V898" s="189" t="str">
        <f ca="1">IFERROR(__xludf.DUMMYFUNCTION("""COMPUTED_VALUE"""),"")</f>
        <v/>
      </c>
      <c r="W898" s="189" t="str">
        <f ca="1">IFERROR(__xludf.DUMMYFUNCTION("""COMPUTED_VALUE"""),"")</f>
        <v/>
      </c>
      <c r="X898" s="189" t="str">
        <f ca="1">IFERROR(__xludf.DUMMYFUNCTION("""COMPUTED_VALUE"""),"")</f>
        <v/>
      </c>
      <c r="Y898" s="189" t="str">
        <f ca="1">IFERROR(__xludf.DUMMYFUNCTION("""COMPUTED_VALUE"""),"")</f>
        <v/>
      </c>
      <c r="Z898" s="189"/>
    </row>
    <row r="899" spans="1:26" ht="12.75">
      <c r="A899" s="189" t="str">
        <f ca="1">IFERROR(__xludf.DUMMYFUNCTION("""COMPUTED_VALUE"""),"")</f>
        <v/>
      </c>
      <c r="B899" s="189" t="str">
        <f ca="1">IFERROR(__xludf.DUMMYFUNCTION("""COMPUTED_VALUE"""),"")</f>
        <v/>
      </c>
      <c r="C899" s="189" t="str">
        <f ca="1">IFERROR(__xludf.DUMMYFUNCTION("""COMPUTED_VALUE"""),"")</f>
        <v/>
      </c>
      <c r="D899" s="189" t="str">
        <f ca="1">IFERROR(__xludf.DUMMYFUNCTION("""COMPUTED_VALUE"""),"")</f>
        <v/>
      </c>
      <c r="E899" s="189" t="str">
        <f ca="1">IFERROR(__xludf.DUMMYFUNCTION("""COMPUTED_VALUE"""),"")</f>
        <v/>
      </c>
      <c r="F899" s="189" t="str">
        <f ca="1">IFERROR(__xludf.DUMMYFUNCTION("""COMPUTED_VALUE"""),"")</f>
        <v/>
      </c>
      <c r="G899" s="189" t="str">
        <f ca="1">IFERROR(__xludf.DUMMYFUNCTION("""COMPUTED_VALUE"""),"")</f>
        <v/>
      </c>
      <c r="H899" s="189" t="str">
        <f ca="1">IFERROR(__xludf.DUMMYFUNCTION("""COMPUTED_VALUE"""),"")</f>
        <v/>
      </c>
      <c r="I899" s="120" t="str">
        <f ca="1">IFERROR(__xludf.DUMMYFUNCTION("""COMPUTED_VALUE"""),"")</f>
        <v/>
      </c>
      <c r="J899" s="189" t="str">
        <f ca="1">IFERROR(__xludf.DUMMYFUNCTION("""COMPUTED_VALUE"""),"")</f>
        <v/>
      </c>
      <c r="K899" s="189" t="str">
        <f ca="1">IFERROR(__xludf.DUMMYFUNCTION("""COMPUTED_VALUE"""),"")</f>
        <v/>
      </c>
      <c r="L899" s="189" t="str">
        <f ca="1">IFERROR(__xludf.DUMMYFUNCTION("""COMPUTED_VALUE"""),"")</f>
        <v/>
      </c>
      <c r="M899" s="189" t="str">
        <f ca="1">IFERROR(__xludf.DUMMYFUNCTION("""COMPUTED_VALUE"""),"")</f>
        <v/>
      </c>
      <c r="N899" s="189" t="str">
        <f ca="1">IFERROR(__xludf.DUMMYFUNCTION("""COMPUTED_VALUE"""),"")</f>
        <v/>
      </c>
      <c r="O899" s="189" t="str">
        <f ca="1">IFERROR(__xludf.DUMMYFUNCTION("""COMPUTED_VALUE"""),"")</f>
        <v/>
      </c>
      <c r="P899" s="189" t="str">
        <f ca="1">IFERROR(__xludf.DUMMYFUNCTION("""COMPUTED_VALUE"""),"")</f>
        <v/>
      </c>
      <c r="Q899" s="189" t="str">
        <f ca="1">IFERROR(__xludf.DUMMYFUNCTION("""COMPUTED_VALUE"""),"")</f>
        <v/>
      </c>
      <c r="R899" s="189" t="str">
        <f ca="1">IFERROR(__xludf.DUMMYFUNCTION("""COMPUTED_VALUE"""),"")</f>
        <v/>
      </c>
      <c r="S899" s="189" t="str">
        <f ca="1">IFERROR(__xludf.DUMMYFUNCTION("""COMPUTED_VALUE"""),"")</f>
        <v/>
      </c>
      <c r="T899" s="189" t="str">
        <f ca="1">IFERROR(__xludf.DUMMYFUNCTION("""COMPUTED_VALUE"""),"")</f>
        <v/>
      </c>
      <c r="U899" s="189" t="str">
        <f ca="1">IFERROR(__xludf.DUMMYFUNCTION("""COMPUTED_VALUE"""),"")</f>
        <v/>
      </c>
      <c r="V899" s="189" t="str">
        <f ca="1">IFERROR(__xludf.DUMMYFUNCTION("""COMPUTED_VALUE"""),"")</f>
        <v/>
      </c>
      <c r="W899" s="189" t="str">
        <f ca="1">IFERROR(__xludf.DUMMYFUNCTION("""COMPUTED_VALUE"""),"")</f>
        <v/>
      </c>
      <c r="X899" s="189" t="str">
        <f ca="1">IFERROR(__xludf.DUMMYFUNCTION("""COMPUTED_VALUE"""),"")</f>
        <v/>
      </c>
      <c r="Y899" s="189" t="str">
        <f ca="1">IFERROR(__xludf.DUMMYFUNCTION("""COMPUTED_VALUE"""),"")</f>
        <v/>
      </c>
      <c r="Z899" s="189"/>
    </row>
    <row r="900" spans="1:26" ht="12.75">
      <c r="A900" s="189" t="str">
        <f ca="1">IFERROR(__xludf.DUMMYFUNCTION("""COMPUTED_VALUE"""),"")</f>
        <v/>
      </c>
      <c r="B900" s="189" t="str">
        <f ca="1">IFERROR(__xludf.DUMMYFUNCTION("""COMPUTED_VALUE"""),"")</f>
        <v/>
      </c>
      <c r="C900" s="189" t="str">
        <f ca="1">IFERROR(__xludf.DUMMYFUNCTION("""COMPUTED_VALUE"""),"")</f>
        <v/>
      </c>
      <c r="D900" s="189" t="str">
        <f ca="1">IFERROR(__xludf.DUMMYFUNCTION("""COMPUTED_VALUE"""),"")</f>
        <v/>
      </c>
      <c r="E900" s="189" t="str">
        <f ca="1">IFERROR(__xludf.DUMMYFUNCTION("""COMPUTED_VALUE"""),"")</f>
        <v/>
      </c>
      <c r="F900" s="189" t="str">
        <f ca="1">IFERROR(__xludf.DUMMYFUNCTION("""COMPUTED_VALUE"""),"")</f>
        <v/>
      </c>
      <c r="G900" s="189" t="str">
        <f ca="1">IFERROR(__xludf.DUMMYFUNCTION("""COMPUTED_VALUE"""),"")</f>
        <v/>
      </c>
      <c r="H900" s="189" t="str">
        <f ca="1">IFERROR(__xludf.DUMMYFUNCTION("""COMPUTED_VALUE"""),"")</f>
        <v/>
      </c>
      <c r="I900" s="120" t="str">
        <f ca="1">IFERROR(__xludf.DUMMYFUNCTION("""COMPUTED_VALUE"""),"")</f>
        <v/>
      </c>
      <c r="J900" s="189" t="str">
        <f ca="1">IFERROR(__xludf.DUMMYFUNCTION("""COMPUTED_VALUE"""),"")</f>
        <v/>
      </c>
      <c r="K900" s="189" t="str">
        <f ca="1">IFERROR(__xludf.DUMMYFUNCTION("""COMPUTED_VALUE"""),"")</f>
        <v/>
      </c>
      <c r="L900" s="189" t="str">
        <f ca="1">IFERROR(__xludf.DUMMYFUNCTION("""COMPUTED_VALUE"""),"")</f>
        <v/>
      </c>
      <c r="M900" s="189" t="str">
        <f ca="1">IFERROR(__xludf.DUMMYFUNCTION("""COMPUTED_VALUE"""),"")</f>
        <v/>
      </c>
      <c r="N900" s="189" t="str">
        <f ca="1">IFERROR(__xludf.DUMMYFUNCTION("""COMPUTED_VALUE"""),"")</f>
        <v/>
      </c>
      <c r="O900" s="189" t="str">
        <f ca="1">IFERROR(__xludf.DUMMYFUNCTION("""COMPUTED_VALUE"""),"")</f>
        <v/>
      </c>
      <c r="P900" s="189" t="str">
        <f ca="1">IFERROR(__xludf.DUMMYFUNCTION("""COMPUTED_VALUE"""),"")</f>
        <v/>
      </c>
      <c r="Q900" s="189" t="str">
        <f ca="1">IFERROR(__xludf.DUMMYFUNCTION("""COMPUTED_VALUE"""),"")</f>
        <v/>
      </c>
      <c r="R900" s="189" t="str">
        <f ca="1">IFERROR(__xludf.DUMMYFUNCTION("""COMPUTED_VALUE"""),"")</f>
        <v/>
      </c>
      <c r="S900" s="189" t="str">
        <f ca="1">IFERROR(__xludf.DUMMYFUNCTION("""COMPUTED_VALUE"""),"")</f>
        <v/>
      </c>
      <c r="T900" s="189" t="str">
        <f ca="1">IFERROR(__xludf.DUMMYFUNCTION("""COMPUTED_VALUE"""),"")</f>
        <v/>
      </c>
      <c r="U900" s="189" t="str">
        <f ca="1">IFERROR(__xludf.DUMMYFUNCTION("""COMPUTED_VALUE"""),"")</f>
        <v/>
      </c>
      <c r="V900" s="189" t="str">
        <f ca="1">IFERROR(__xludf.DUMMYFUNCTION("""COMPUTED_VALUE"""),"")</f>
        <v/>
      </c>
      <c r="W900" s="189" t="str">
        <f ca="1">IFERROR(__xludf.DUMMYFUNCTION("""COMPUTED_VALUE"""),"")</f>
        <v/>
      </c>
      <c r="X900" s="189" t="str">
        <f ca="1">IFERROR(__xludf.DUMMYFUNCTION("""COMPUTED_VALUE"""),"")</f>
        <v/>
      </c>
      <c r="Y900" s="189" t="str">
        <f ca="1">IFERROR(__xludf.DUMMYFUNCTION("""COMPUTED_VALUE"""),"")</f>
        <v/>
      </c>
      <c r="Z900" s="189"/>
    </row>
    <row r="901" spans="1:26" ht="12.75">
      <c r="A901" s="189" t="str">
        <f ca="1">IFERROR(__xludf.DUMMYFUNCTION("""COMPUTED_VALUE"""),"")</f>
        <v/>
      </c>
      <c r="B901" s="189" t="str">
        <f ca="1">IFERROR(__xludf.DUMMYFUNCTION("""COMPUTED_VALUE"""),"")</f>
        <v/>
      </c>
      <c r="C901" s="189" t="str">
        <f ca="1">IFERROR(__xludf.DUMMYFUNCTION("""COMPUTED_VALUE"""),"")</f>
        <v/>
      </c>
      <c r="D901" s="189" t="str">
        <f ca="1">IFERROR(__xludf.DUMMYFUNCTION("""COMPUTED_VALUE"""),"")</f>
        <v/>
      </c>
      <c r="E901" s="189" t="str">
        <f ca="1">IFERROR(__xludf.DUMMYFUNCTION("""COMPUTED_VALUE"""),"")</f>
        <v/>
      </c>
      <c r="F901" s="189" t="str">
        <f ca="1">IFERROR(__xludf.DUMMYFUNCTION("""COMPUTED_VALUE"""),"")</f>
        <v/>
      </c>
      <c r="G901" s="189" t="str">
        <f ca="1">IFERROR(__xludf.DUMMYFUNCTION("""COMPUTED_VALUE"""),"")</f>
        <v/>
      </c>
      <c r="H901" s="189" t="str">
        <f ca="1">IFERROR(__xludf.DUMMYFUNCTION("""COMPUTED_VALUE"""),"")</f>
        <v/>
      </c>
      <c r="I901" s="120" t="str">
        <f ca="1">IFERROR(__xludf.DUMMYFUNCTION("""COMPUTED_VALUE"""),"")</f>
        <v/>
      </c>
      <c r="J901" s="189" t="str">
        <f ca="1">IFERROR(__xludf.DUMMYFUNCTION("""COMPUTED_VALUE"""),"")</f>
        <v/>
      </c>
      <c r="K901" s="189" t="str">
        <f ca="1">IFERROR(__xludf.DUMMYFUNCTION("""COMPUTED_VALUE"""),"")</f>
        <v/>
      </c>
      <c r="L901" s="189" t="str">
        <f ca="1">IFERROR(__xludf.DUMMYFUNCTION("""COMPUTED_VALUE"""),"")</f>
        <v/>
      </c>
      <c r="M901" s="189" t="str">
        <f ca="1">IFERROR(__xludf.DUMMYFUNCTION("""COMPUTED_VALUE"""),"")</f>
        <v/>
      </c>
      <c r="N901" s="189" t="str">
        <f ca="1">IFERROR(__xludf.DUMMYFUNCTION("""COMPUTED_VALUE"""),"")</f>
        <v/>
      </c>
      <c r="O901" s="189" t="str">
        <f ca="1">IFERROR(__xludf.DUMMYFUNCTION("""COMPUTED_VALUE"""),"")</f>
        <v/>
      </c>
      <c r="P901" s="189" t="str">
        <f ca="1">IFERROR(__xludf.DUMMYFUNCTION("""COMPUTED_VALUE"""),"")</f>
        <v/>
      </c>
      <c r="Q901" s="189" t="str">
        <f ca="1">IFERROR(__xludf.DUMMYFUNCTION("""COMPUTED_VALUE"""),"")</f>
        <v/>
      </c>
      <c r="R901" s="189" t="str">
        <f ca="1">IFERROR(__xludf.DUMMYFUNCTION("""COMPUTED_VALUE"""),"")</f>
        <v/>
      </c>
      <c r="S901" s="189" t="str">
        <f ca="1">IFERROR(__xludf.DUMMYFUNCTION("""COMPUTED_VALUE"""),"")</f>
        <v/>
      </c>
      <c r="T901" s="189" t="str">
        <f ca="1">IFERROR(__xludf.DUMMYFUNCTION("""COMPUTED_VALUE"""),"")</f>
        <v/>
      </c>
      <c r="U901" s="189" t="str">
        <f ca="1">IFERROR(__xludf.DUMMYFUNCTION("""COMPUTED_VALUE"""),"")</f>
        <v/>
      </c>
      <c r="V901" s="189" t="str">
        <f ca="1">IFERROR(__xludf.DUMMYFUNCTION("""COMPUTED_VALUE"""),"")</f>
        <v/>
      </c>
      <c r="W901" s="189" t="str">
        <f ca="1">IFERROR(__xludf.DUMMYFUNCTION("""COMPUTED_VALUE"""),"")</f>
        <v/>
      </c>
      <c r="X901" s="189" t="str">
        <f ca="1">IFERROR(__xludf.DUMMYFUNCTION("""COMPUTED_VALUE"""),"")</f>
        <v/>
      </c>
      <c r="Y901" s="189" t="str">
        <f ca="1">IFERROR(__xludf.DUMMYFUNCTION("""COMPUTED_VALUE"""),"")</f>
        <v/>
      </c>
      <c r="Z901" s="189"/>
    </row>
    <row r="902" spans="1:26" ht="12.75">
      <c r="A902" s="189" t="str">
        <f ca="1">IFERROR(__xludf.DUMMYFUNCTION("""COMPUTED_VALUE"""),"")</f>
        <v/>
      </c>
      <c r="B902" s="189" t="str">
        <f ca="1">IFERROR(__xludf.DUMMYFUNCTION("""COMPUTED_VALUE"""),"")</f>
        <v/>
      </c>
      <c r="C902" s="189" t="str">
        <f ca="1">IFERROR(__xludf.DUMMYFUNCTION("""COMPUTED_VALUE"""),"")</f>
        <v/>
      </c>
      <c r="D902" s="189" t="str">
        <f ca="1">IFERROR(__xludf.DUMMYFUNCTION("""COMPUTED_VALUE"""),"")</f>
        <v/>
      </c>
      <c r="E902" s="189" t="str">
        <f ca="1">IFERROR(__xludf.DUMMYFUNCTION("""COMPUTED_VALUE"""),"")</f>
        <v/>
      </c>
      <c r="F902" s="189" t="str">
        <f ca="1">IFERROR(__xludf.DUMMYFUNCTION("""COMPUTED_VALUE"""),"")</f>
        <v/>
      </c>
      <c r="G902" s="189" t="str">
        <f ca="1">IFERROR(__xludf.DUMMYFUNCTION("""COMPUTED_VALUE"""),"")</f>
        <v/>
      </c>
      <c r="H902" s="189" t="str">
        <f ca="1">IFERROR(__xludf.DUMMYFUNCTION("""COMPUTED_VALUE"""),"")</f>
        <v/>
      </c>
      <c r="I902" s="120" t="str">
        <f ca="1">IFERROR(__xludf.DUMMYFUNCTION("""COMPUTED_VALUE"""),"")</f>
        <v/>
      </c>
      <c r="J902" s="189" t="str">
        <f ca="1">IFERROR(__xludf.DUMMYFUNCTION("""COMPUTED_VALUE"""),"")</f>
        <v/>
      </c>
      <c r="K902" s="189" t="str">
        <f ca="1">IFERROR(__xludf.DUMMYFUNCTION("""COMPUTED_VALUE"""),"")</f>
        <v/>
      </c>
      <c r="L902" s="189" t="str">
        <f ca="1">IFERROR(__xludf.DUMMYFUNCTION("""COMPUTED_VALUE"""),"")</f>
        <v/>
      </c>
      <c r="M902" s="189" t="str">
        <f ca="1">IFERROR(__xludf.DUMMYFUNCTION("""COMPUTED_VALUE"""),"")</f>
        <v/>
      </c>
      <c r="N902" s="189" t="str">
        <f ca="1">IFERROR(__xludf.DUMMYFUNCTION("""COMPUTED_VALUE"""),"")</f>
        <v/>
      </c>
      <c r="O902" s="189" t="str">
        <f ca="1">IFERROR(__xludf.DUMMYFUNCTION("""COMPUTED_VALUE"""),"")</f>
        <v/>
      </c>
      <c r="P902" s="189" t="str">
        <f ca="1">IFERROR(__xludf.DUMMYFUNCTION("""COMPUTED_VALUE"""),"")</f>
        <v/>
      </c>
      <c r="Q902" s="189" t="str">
        <f ca="1">IFERROR(__xludf.DUMMYFUNCTION("""COMPUTED_VALUE"""),"")</f>
        <v/>
      </c>
      <c r="R902" s="189" t="str">
        <f ca="1">IFERROR(__xludf.DUMMYFUNCTION("""COMPUTED_VALUE"""),"")</f>
        <v/>
      </c>
      <c r="S902" s="189" t="str">
        <f ca="1">IFERROR(__xludf.DUMMYFUNCTION("""COMPUTED_VALUE"""),"")</f>
        <v/>
      </c>
      <c r="T902" s="189" t="str">
        <f ca="1">IFERROR(__xludf.DUMMYFUNCTION("""COMPUTED_VALUE"""),"")</f>
        <v/>
      </c>
      <c r="U902" s="189" t="str">
        <f ca="1">IFERROR(__xludf.DUMMYFUNCTION("""COMPUTED_VALUE"""),"")</f>
        <v/>
      </c>
      <c r="V902" s="189" t="str">
        <f ca="1">IFERROR(__xludf.DUMMYFUNCTION("""COMPUTED_VALUE"""),"")</f>
        <v/>
      </c>
      <c r="W902" s="189" t="str">
        <f ca="1">IFERROR(__xludf.DUMMYFUNCTION("""COMPUTED_VALUE"""),"")</f>
        <v/>
      </c>
      <c r="X902" s="189" t="str">
        <f ca="1">IFERROR(__xludf.DUMMYFUNCTION("""COMPUTED_VALUE"""),"")</f>
        <v/>
      </c>
      <c r="Y902" s="189" t="str">
        <f ca="1">IFERROR(__xludf.DUMMYFUNCTION("""COMPUTED_VALUE"""),"")</f>
        <v/>
      </c>
      <c r="Z902" s="189"/>
    </row>
    <row r="903" spans="1:26" ht="12.75">
      <c r="A903" s="189" t="str">
        <f ca="1">IFERROR(__xludf.DUMMYFUNCTION("""COMPUTED_VALUE"""),"")</f>
        <v/>
      </c>
      <c r="B903" s="189" t="str">
        <f ca="1">IFERROR(__xludf.DUMMYFUNCTION("""COMPUTED_VALUE"""),"")</f>
        <v/>
      </c>
      <c r="C903" s="189" t="str">
        <f ca="1">IFERROR(__xludf.DUMMYFUNCTION("""COMPUTED_VALUE"""),"")</f>
        <v/>
      </c>
      <c r="D903" s="189" t="str">
        <f ca="1">IFERROR(__xludf.DUMMYFUNCTION("""COMPUTED_VALUE"""),"")</f>
        <v/>
      </c>
      <c r="E903" s="189" t="str">
        <f ca="1">IFERROR(__xludf.DUMMYFUNCTION("""COMPUTED_VALUE"""),"")</f>
        <v/>
      </c>
      <c r="F903" s="189" t="str">
        <f ca="1">IFERROR(__xludf.DUMMYFUNCTION("""COMPUTED_VALUE"""),"")</f>
        <v/>
      </c>
      <c r="G903" s="189" t="str">
        <f ca="1">IFERROR(__xludf.DUMMYFUNCTION("""COMPUTED_VALUE"""),"")</f>
        <v/>
      </c>
      <c r="H903" s="189" t="str">
        <f ca="1">IFERROR(__xludf.DUMMYFUNCTION("""COMPUTED_VALUE"""),"")</f>
        <v/>
      </c>
      <c r="I903" s="120" t="str">
        <f ca="1">IFERROR(__xludf.DUMMYFUNCTION("""COMPUTED_VALUE"""),"")</f>
        <v/>
      </c>
      <c r="J903" s="189" t="str">
        <f ca="1">IFERROR(__xludf.DUMMYFUNCTION("""COMPUTED_VALUE"""),"")</f>
        <v/>
      </c>
      <c r="K903" s="189" t="str">
        <f ca="1">IFERROR(__xludf.DUMMYFUNCTION("""COMPUTED_VALUE"""),"")</f>
        <v/>
      </c>
      <c r="L903" s="189" t="str">
        <f ca="1">IFERROR(__xludf.DUMMYFUNCTION("""COMPUTED_VALUE"""),"")</f>
        <v/>
      </c>
      <c r="M903" s="189" t="str">
        <f ca="1">IFERROR(__xludf.DUMMYFUNCTION("""COMPUTED_VALUE"""),"")</f>
        <v/>
      </c>
      <c r="N903" s="189" t="str">
        <f ca="1">IFERROR(__xludf.DUMMYFUNCTION("""COMPUTED_VALUE"""),"")</f>
        <v/>
      </c>
      <c r="O903" s="189" t="str">
        <f ca="1">IFERROR(__xludf.DUMMYFUNCTION("""COMPUTED_VALUE"""),"")</f>
        <v/>
      </c>
      <c r="P903" s="189" t="str">
        <f ca="1">IFERROR(__xludf.DUMMYFUNCTION("""COMPUTED_VALUE"""),"")</f>
        <v/>
      </c>
      <c r="Q903" s="189" t="str">
        <f ca="1">IFERROR(__xludf.DUMMYFUNCTION("""COMPUTED_VALUE"""),"")</f>
        <v/>
      </c>
      <c r="R903" s="189" t="str">
        <f ca="1">IFERROR(__xludf.DUMMYFUNCTION("""COMPUTED_VALUE"""),"")</f>
        <v/>
      </c>
      <c r="S903" s="189" t="str">
        <f ca="1">IFERROR(__xludf.DUMMYFUNCTION("""COMPUTED_VALUE"""),"")</f>
        <v/>
      </c>
      <c r="T903" s="189" t="str">
        <f ca="1">IFERROR(__xludf.DUMMYFUNCTION("""COMPUTED_VALUE"""),"")</f>
        <v/>
      </c>
      <c r="U903" s="189" t="str">
        <f ca="1">IFERROR(__xludf.DUMMYFUNCTION("""COMPUTED_VALUE"""),"")</f>
        <v/>
      </c>
      <c r="V903" s="189" t="str">
        <f ca="1">IFERROR(__xludf.DUMMYFUNCTION("""COMPUTED_VALUE"""),"")</f>
        <v/>
      </c>
      <c r="W903" s="189" t="str">
        <f ca="1">IFERROR(__xludf.DUMMYFUNCTION("""COMPUTED_VALUE"""),"")</f>
        <v/>
      </c>
      <c r="X903" s="189" t="str">
        <f ca="1">IFERROR(__xludf.DUMMYFUNCTION("""COMPUTED_VALUE"""),"")</f>
        <v/>
      </c>
      <c r="Y903" s="189" t="str">
        <f ca="1">IFERROR(__xludf.DUMMYFUNCTION("""COMPUTED_VALUE"""),"")</f>
        <v/>
      </c>
      <c r="Z903" s="189"/>
    </row>
    <row r="904" spans="1:26" ht="12.75">
      <c r="A904" s="189" t="str">
        <f ca="1">IFERROR(__xludf.DUMMYFUNCTION("""COMPUTED_VALUE"""),"")</f>
        <v/>
      </c>
      <c r="B904" s="189" t="str">
        <f ca="1">IFERROR(__xludf.DUMMYFUNCTION("""COMPUTED_VALUE"""),"")</f>
        <v/>
      </c>
      <c r="C904" s="189" t="str">
        <f ca="1">IFERROR(__xludf.DUMMYFUNCTION("""COMPUTED_VALUE"""),"")</f>
        <v/>
      </c>
      <c r="D904" s="189" t="str">
        <f ca="1">IFERROR(__xludf.DUMMYFUNCTION("""COMPUTED_VALUE"""),"")</f>
        <v/>
      </c>
      <c r="E904" s="189" t="str">
        <f ca="1">IFERROR(__xludf.DUMMYFUNCTION("""COMPUTED_VALUE"""),"")</f>
        <v/>
      </c>
      <c r="F904" s="189" t="str">
        <f ca="1">IFERROR(__xludf.DUMMYFUNCTION("""COMPUTED_VALUE"""),"")</f>
        <v/>
      </c>
      <c r="G904" s="189" t="str">
        <f ca="1">IFERROR(__xludf.DUMMYFUNCTION("""COMPUTED_VALUE"""),"")</f>
        <v/>
      </c>
      <c r="H904" s="189" t="str">
        <f ca="1">IFERROR(__xludf.DUMMYFUNCTION("""COMPUTED_VALUE"""),"")</f>
        <v/>
      </c>
      <c r="I904" s="120" t="str">
        <f ca="1">IFERROR(__xludf.DUMMYFUNCTION("""COMPUTED_VALUE"""),"")</f>
        <v/>
      </c>
      <c r="J904" s="189" t="str">
        <f ca="1">IFERROR(__xludf.DUMMYFUNCTION("""COMPUTED_VALUE"""),"")</f>
        <v/>
      </c>
      <c r="K904" s="189" t="str">
        <f ca="1">IFERROR(__xludf.DUMMYFUNCTION("""COMPUTED_VALUE"""),"")</f>
        <v/>
      </c>
      <c r="L904" s="189" t="str">
        <f ca="1">IFERROR(__xludf.DUMMYFUNCTION("""COMPUTED_VALUE"""),"")</f>
        <v/>
      </c>
      <c r="M904" s="189" t="str">
        <f ca="1">IFERROR(__xludf.DUMMYFUNCTION("""COMPUTED_VALUE"""),"")</f>
        <v/>
      </c>
      <c r="N904" s="189" t="str">
        <f ca="1">IFERROR(__xludf.DUMMYFUNCTION("""COMPUTED_VALUE"""),"")</f>
        <v/>
      </c>
      <c r="O904" s="189" t="str">
        <f ca="1">IFERROR(__xludf.DUMMYFUNCTION("""COMPUTED_VALUE"""),"")</f>
        <v/>
      </c>
      <c r="P904" s="189" t="str">
        <f ca="1">IFERROR(__xludf.DUMMYFUNCTION("""COMPUTED_VALUE"""),"")</f>
        <v/>
      </c>
      <c r="Q904" s="189" t="str">
        <f ca="1">IFERROR(__xludf.DUMMYFUNCTION("""COMPUTED_VALUE"""),"")</f>
        <v/>
      </c>
      <c r="R904" s="189" t="str">
        <f ca="1">IFERROR(__xludf.DUMMYFUNCTION("""COMPUTED_VALUE"""),"")</f>
        <v/>
      </c>
      <c r="S904" s="189" t="str">
        <f ca="1">IFERROR(__xludf.DUMMYFUNCTION("""COMPUTED_VALUE"""),"")</f>
        <v/>
      </c>
      <c r="T904" s="189" t="str">
        <f ca="1">IFERROR(__xludf.DUMMYFUNCTION("""COMPUTED_VALUE"""),"")</f>
        <v/>
      </c>
      <c r="U904" s="189" t="str">
        <f ca="1">IFERROR(__xludf.DUMMYFUNCTION("""COMPUTED_VALUE"""),"")</f>
        <v/>
      </c>
      <c r="V904" s="189" t="str">
        <f ca="1">IFERROR(__xludf.DUMMYFUNCTION("""COMPUTED_VALUE"""),"")</f>
        <v/>
      </c>
      <c r="W904" s="189" t="str">
        <f ca="1">IFERROR(__xludf.DUMMYFUNCTION("""COMPUTED_VALUE"""),"")</f>
        <v/>
      </c>
      <c r="X904" s="189" t="str">
        <f ca="1">IFERROR(__xludf.DUMMYFUNCTION("""COMPUTED_VALUE"""),"")</f>
        <v/>
      </c>
      <c r="Y904" s="189" t="str">
        <f ca="1">IFERROR(__xludf.DUMMYFUNCTION("""COMPUTED_VALUE"""),"")</f>
        <v/>
      </c>
      <c r="Z904" s="189"/>
    </row>
    <row r="905" spans="1:26" ht="12.75">
      <c r="A905" s="189" t="str">
        <f ca="1">IFERROR(__xludf.DUMMYFUNCTION("""COMPUTED_VALUE"""),"")</f>
        <v/>
      </c>
      <c r="B905" s="189" t="str">
        <f ca="1">IFERROR(__xludf.DUMMYFUNCTION("""COMPUTED_VALUE"""),"")</f>
        <v/>
      </c>
      <c r="C905" s="189" t="str">
        <f ca="1">IFERROR(__xludf.DUMMYFUNCTION("""COMPUTED_VALUE"""),"")</f>
        <v/>
      </c>
      <c r="D905" s="189" t="str">
        <f ca="1">IFERROR(__xludf.DUMMYFUNCTION("""COMPUTED_VALUE"""),"")</f>
        <v/>
      </c>
      <c r="E905" s="189" t="str">
        <f ca="1">IFERROR(__xludf.DUMMYFUNCTION("""COMPUTED_VALUE"""),"")</f>
        <v/>
      </c>
      <c r="F905" s="189" t="str">
        <f ca="1">IFERROR(__xludf.DUMMYFUNCTION("""COMPUTED_VALUE"""),"")</f>
        <v/>
      </c>
      <c r="G905" s="189" t="str">
        <f ca="1">IFERROR(__xludf.DUMMYFUNCTION("""COMPUTED_VALUE"""),"")</f>
        <v/>
      </c>
      <c r="H905" s="189" t="str">
        <f ca="1">IFERROR(__xludf.DUMMYFUNCTION("""COMPUTED_VALUE"""),"")</f>
        <v/>
      </c>
      <c r="I905" s="120" t="str">
        <f ca="1">IFERROR(__xludf.DUMMYFUNCTION("""COMPUTED_VALUE"""),"")</f>
        <v/>
      </c>
      <c r="J905" s="189" t="str">
        <f ca="1">IFERROR(__xludf.DUMMYFUNCTION("""COMPUTED_VALUE"""),"")</f>
        <v/>
      </c>
      <c r="K905" s="189" t="str">
        <f ca="1">IFERROR(__xludf.DUMMYFUNCTION("""COMPUTED_VALUE"""),"")</f>
        <v/>
      </c>
      <c r="L905" s="189" t="str">
        <f ca="1">IFERROR(__xludf.DUMMYFUNCTION("""COMPUTED_VALUE"""),"")</f>
        <v/>
      </c>
      <c r="M905" s="189" t="str">
        <f ca="1">IFERROR(__xludf.DUMMYFUNCTION("""COMPUTED_VALUE"""),"")</f>
        <v/>
      </c>
      <c r="N905" s="189" t="str">
        <f ca="1">IFERROR(__xludf.DUMMYFUNCTION("""COMPUTED_VALUE"""),"")</f>
        <v/>
      </c>
      <c r="O905" s="189" t="str">
        <f ca="1">IFERROR(__xludf.DUMMYFUNCTION("""COMPUTED_VALUE"""),"")</f>
        <v/>
      </c>
      <c r="P905" s="189" t="str">
        <f ca="1">IFERROR(__xludf.DUMMYFUNCTION("""COMPUTED_VALUE"""),"")</f>
        <v/>
      </c>
      <c r="Q905" s="189" t="str">
        <f ca="1">IFERROR(__xludf.DUMMYFUNCTION("""COMPUTED_VALUE"""),"")</f>
        <v/>
      </c>
      <c r="R905" s="189" t="str">
        <f ca="1">IFERROR(__xludf.DUMMYFUNCTION("""COMPUTED_VALUE"""),"")</f>
        <v/>
      </c>
      <c r="S905" s="189" t="str">
        <f ca="1">IFERROR(__xludf.DUMMYFUNCTION("""COMPUTED_VALUE"""),"")</f>
        <v/>
      </c>
      <c r="T905" s="189" t="str">
        <f ca="1">IFERROR(__xludf.DUMMYFUNCTION("""COMPUTED_VALUE"""),"")</f>
        <v/>
      </c>
      <c r="U905" s="189" t="str">
        <f ca="1">IFERROR(__xludf.DUMMYFUNCTION("""COMPUTED_VALUE"""),"")</f>
        <v/>
      </c>
      <c r="V905" s="189" t="str">
        <f ca="1">IFERROR(__xludf.DUMMYFUNCTION("""COMPUTED_VALUE"""),"")</f>
        <v/>
      </c>
      <c r="W905" s="189" t="str">
        <f ca="1">IFERROR(__xludf.DUMMYFUNCTION("""COMPUTED_VALUE"""),"")</f>
        <v/>
      </c>
      <c r="X905" s="189" t="str">
        <f ca="1">IFERROR(__xludf.DUMMYFUNCTION("""COMPUTED_VALUE"""),"")</f>
        <v/>
      </c>
      <c r="Y905" s="189" t="str">
        <f ca="1">IFERROR(__xludf.DUMMYFUNCTION("""COMPUTED_VALUE"""),"")</f>
        <v/>
      </c>
      <c r="Z905" s="189"/>
    </row>
    <row r="906" spans="1:26" ht="12.75">
      <c r="A906" s="189" t="str">
        <f ca="1">IFERROR(__xludf.DUMMYFUNCTION("""COMPUTED_VALUE"""),"")</f>
        <v/>
      </c>
      <c r="B906" s="189" t="str">
        <f ca="1">IFERROR(__xludf.DUMMYFUNCTION("""COMPUTED_VALUE"""),"")</f>
        <v/>
      </c>
      <c r="C906" s="189" t="str">
        <f ca="1">IFERROR(__xludf.DUMMYFUNCTION("""COMPUTED_VALUE"""),"")</f>
        <v/>
      </c>
      <c r="D906" s="189" t="str">
        <f ca="1">IFERROR(__xludf.DUMMYFUNCTION("""COMPUTED_VALUE"""),"")</f>
        <v/>
      </c>
      <c r="E906" s="189" t="str">
        <f ca="1">IFERROR(__xludf.DUMMYFUNCTION("""COMPUTED_VALUE"""),"")</f>
        <v/>
      </c>
      <c r="F906" s="189" t="str">
        <f ca="1">IFERROR(__xludf.DUMMYFUNCTION("""COMPUTED_VALUE"""),"")</f>
        <v/>
      </c>
      <c r="G906" s="189" t="str">
        <f ca="1">IFERROR(__xludf.DUMMYFUNCTION("""COMPUTED_VALUE"""),"")</f>
        <v/>
      </c>
      <c r="H906" s="189" t="str">
        <f ca="1">IFERROR(__xludf.DUMMYFUNCTION("""COMPUTED_VALUE"""),"")</f>
        <v/>
      </c>
      <c r="I906" s="120" t="str">
        <f ca="1">IFERROR(__xludf.DUMMYFUNCTION("""COMPUTED_VALUE"""),"")</f>
        <v/>
      </c>
      <c r="J906" s="189" t="str">
        <f ca="1">IFERROR(__xludf.DUMMYFUNCTION("""COMPUTED_VALUE"""),"")</f>
        <v/>
      </c>
      <c r="K906" s="189" t="str">
        <f ca="1">IFERROR(__xludf.DUMMYFUNCTION("""COMPUTED_VALUE"""),"")</f>
        <v/>
      </c>
      <c r="L906" s="189" t="str">
        <f ca="1">IFERROR(__xludf.DUMMYFUNCTION("""COMPUTED_VALUE"""),"")</f>
        <v/>
      </c>
      <c r="M906" s="189" t="str">
        <f ca="1">IFERROR(__xludf.DUMMYFUNCTION("""COMPUTED_VALUE"""),"")</f>
        <v/>
      </c>
      <c r="N906" s="189" t="str">
        <f ca="1">IFERROR(__xludf.DUMMYFUNCTION("""COMPUTED_VALUE"""),"")</f>
        <v/>
      </c>
      <c r="O906" s="189" t="str">
        <f ca="1">IFERROR(__xludf.DUMMYFUNCTION("""COMPUTED_VALUE"""),"")</f>
        <v/>
      </c>
      <c r="P906" s="189" t="str">
        <f ca="1">IFERROR(__xludf.DUMMYFUNCTION("""COMPUTED_VALUE"""),"")</f>
        <v/>
      </c>
      <c r="Q906" s="189" t="str">
        <f ca="1">IFERROR(__xludf.DUMMYFUNCTION("""COMPUTED_VALUE"""),"")</f>
        <v/>
      </c>
      <c r="R906" s="189" t="str">
        <f ca="1">IFERROR(__xludf.DUMMYFUNCTION("""COMPUTED_VALUE"""),"")</f>
        <v/>
      </c>
      <c r="S906" s="189" t="str">
        <f ca="1">IFERROR(__xludf.DUMMYFUNCTION("""COMPUTED_VALUE"""),"")</f>
        <v/>
      </c>
      <c r="T906" s="189" t="str">
        <f ca="1">IFERROR(__xludf.DUMMYFUNCTION("""COMPUTED_VALUE"""),"")</f>
        <v/>
      </c>
      <c r="U906" s="189" t="str">
        <f ca="1">IFERROR(__xludf.DUMMYFUNCTION("""COMPUTED_VALUE"""),"")</f>
        <v/>
      </c>
      <c r="V906" s="189" t="str">
        <f ca="1">IFERROR(__xludf.DUMMYFUNCTION("""COMPUTED_VALUE"""),"")</f>
        <v/>
      </c>
      <c r="W906" s="189" t="str">
        <f ca="1">IFERROR(__xludf.DUMMYFUNCTION("""COMPUTED_VALUE"""),"")</f>
        <v/>
      </c>
      <c r="X906" s="189" t="str">
        <f ca="1">IFERROR(__xludf.DUMMYFUNCTION("""COMPUTED_VALUE"""),"")</f>
        <v/>
      </c>
      <c r="Y906" s="189" t="str">
        <f ca="1">IFERROR(__xludf.DUMMYFUNCTION("""COMPUTED_VALUE"""),"")</f>
        <v/>
      </c>
      <c r="Z906" s="189"/>
    </row>
    <row r="907" spans="1:26" ht="12.75">
      <c r="A907" s="189" t="str">
        <f ca="1">IFERROR(__xludf.DUMMYFUNCTION("""COMPUTED_VALUE"""),"")</f>
        <v/>
      </c>
      <c r="B907" s="189" t="str">
        <f ca="1">IFERROR(__xludf.DUMMYFUNCTION("""COMPUTED_VALUE"""),"")</f>
        <v/>
      </c>
      <c r="C907" s="189" t="str">
        <f ca="1">IFERROR(__xludf.DUMMYFUNCTION("""COMPUTED_VALUE"""),"")</f>
        <v/>
      </c>
      <c r="D907" s="189" t="str">
        <f ca="1">IFERROR(__xludf.DUMMYFUNCTION("""COMPUTED_VALUE"""),"")</f>
        <v/>
      </c>
      <c r="E907" s="189" t="str">
        <f ca="1">IFERROR(__xludf.DUMMYFUNCTION("""COMPUTED_VALUE"""),"")</f>
        <v/>
      </c>
      <c r="F907" s="189" t="str">
        <f ca="1">IFERROR(__xludf.DUMMYFUNCTION("""COMPUTED_VALUE"""),"")</f>
        <v/>
      </c>
      <c r="G907" s="189" t="str">
        <f ca="1">IFERROR(__xludf.DUMMYFUNCTION("""COMPUTED_VALUE"""),"")</f>
        <v/>
      </c>
      <c r="H907" s="189" t="str">
        <f ca="1">IFERROR(__xludf.DUMMYFUNCTION("""COMPUTED_VALUE"""),"")</f>
        <v/>
      </c>
      <c r="I907" s="120" t="str">
        <f ca="1">IFERROR(__xludf.DUMMYFUNCTION("""COMPUTED_VALUE"""),"")</f>
        <v/>
      </c>
      <c r="J907" s="189" t="str">
        <f ca="1">IFERROR(__xludf.DUMMYFUNCTION("""COMPUTED_VALUE"""),"")</f>
        <v/>
      </c>
      <c r="K907" s="189" t="str">
        <f ca="1">IFERROR(__xludf.DUMMYFUNCTION("""COMPUTED_VALUE"""),"")</f>
        <v/>
      </c>
      <c r="L907" s="189" t="str">
        <f ca="1">IFERROR(__xludf.DUMMYFUNCTION("""COMPUTED_VALUE"""),"")</f>
        <v/>
      </c>
      <c r="M907" s="189" t="str">
        <f ca="1">IFERROR(__xludf.DUMMYFUNCTION("""COMPUTED_VALUE"""),"")</f>
        <v/>
      </c>
      <c r="N907" s="189" t="str">
        <f ca="1">IFERROR(__xludf.DUMMYFUNCTION("""COMPUTED_VALUE"""),"")</f>
        <v/>
      </c>
      <c r="O907" s="189" t="str">
        <f ca="1">IFERROR(__xludf.DUMMYFUNCTION("""COMPUTED_VALUE"""),"")</f>
        <v/>
      </c>
      <c r="P907" s="189" t="str">
        <f ca="1">IFERROR(__xludf.DUMMYFUNCTION("""COMPUTED_VALUE"""),"")</f>
        <v/>
      </c>
      <c r="Q907" s="189" t="str">
        <f ca="1">IFERROR(__xludf.DUMMYFUNCTION("""COMPUTED_VALUE"""),"")</f>
        <v/>
      </c>
      <c r="R907" s="189" t="str">
        <f ca="1">IFERROR(__xludf.DUMMYFUNCTION("""COMPUTED_VALUE"""),"")</f>
        <v/>
      </c>
      <c r="S907" s="189" t="str">
        <f ca="1">IFERROR(__xludf.DUMMYFUNCTION("""COMPUTED_VALUE"""),"")</f>
        <v/>
      </c>
      <c r="T907" s="189" t="str">
        <f ca="1">IFERROR(__xludf.DUMMYFUNCTION("""COMPUTED_VALUE"""),"")</f>
        <v/>
      </c>
      <c r="U907" s="189" t="str">
        <f ca="1">IFERROR(__xludf.DUMMYFUNCTION("""COMPUTED_VALUE"""),"")</f>
        <v/>
      </c>
      <c r="V907" s="189" t="str">
        <f ca="1">IFERROR(__xludf.DUMMYFUNCTION("""COMPUTED_VALUE"""),"")</f>
        <v/>
      </c>
      <c r="W907" s="189" t="str">
        <f ca="1">IFERROR(__xludf.DUMMYFUNCTION("""COMPUTED_VALUE"""),"")</f>
        <v/>
      </c>
      <c r="X907" s="189" t="str">
        <f ca="1">IFERROR(__xludf.DUMMYFUNCTION("""COMPUTED_VALUE"""),"")</f>
        <v/>
      </c>
      <c r="Y907" s="189" t="str">
        <f ca="1">IFERROR(__xludf.DUMMYFUNCTION("""COMPUTED_VALUE"""),"")</f>
        <v/>
      </c>
      <c r="Z907" s="189"/>
    </row>
    <row r="908" spans="1:26" ht="12.75">
      <c r="A908" s="189" t="str">
        <f ca="1">IFERROR(__xludf.DUMMYFUNCTION("""COMPUTED_VALUE"""),"")</f>
        <v/>
      </c>
      <c r="B908" s="189" t="str">
        <f ca="1">IFERROR(__xludf.DUMMYFUNCTION("""COMPUTED_VALUE"""),"")</f>
        <v/>
      </c>
      <c r="C908" s="189" t="str">
        <f ca="1">IFERROR(__xludf.DUMMYFUNCTION("""COMPUTED_VALUE"""),"")</f>
        <v/>
      </c>
      <c r="D908" s="189" t="str">
        <f ca="1">IFERROR(__xludf.DUMMYFUNCTION("""COMPUTED_VALUE"""),"")</f>
        <v/>
      </c>
      <c r="E908" s="189" t="str">
        <f ca="1">IFERROR(__xludf.DUMMYFUNCTION("""COMPUTED_VALUE"""),"")</f>
        <v/>
      </c>
      <c r="F908" s="189" t="str">
        <f ca="1">IFERROR(__xludf.DUMMYFUNCTION("""COMPUTED_VALUE"""),"")</f>
        <v/>
      </c>
      <c r="G908" s="189" t="str">
        <f ca="1">IFERROR(__xludf.DUMMYFUNCTION("""COMPUTED_VALUE"""),"")</f>
        <v/>
      </c>
      <c r="H908" s="189" t="str">
        <f ca="1">IFERROR(__xludf.DUMMYFUNCTION("""COMPUTED_VALUE"""),"")</f>
        <v/>
      </c>
      <c r="I908" s="120" t="str">
        <f ca="1">IFERROR(__xludf.DUMMYFUNCTION("""COMPUTED_VALUE"""),"")</f>
        <v/>
      </c>
      <c r="J908" s="189" t="str">
        <f ca="1">IFERROR(__xludf.DUMMYFUNCTION("""COMPUTED_VALUE"""),"")</f>
        <v/>
      </c>
      <c r="K908" s="189" t="str">
        <f ca="1">IFERROR(__xludf.DUMMYFUNCTION("""COMPUTED_VALUE"""),"")</f>
        <v/>
      </c>
      <c r="L908" s="189" t="str">
        <f ca="1">IFERROR(__xludf.DUMMYFUNCTION("""COMPUTED_VALUE"""),"")</f>
        <v/>
      </c>
      <c r="M908" s="189" t="str">
        <f ca="1">IFERROR(__xludf.DUMMYFUNCTION("""COMPUTED_VALUE"""),"")</f>
        <v/>
      </c>
      <c r="N908" s="189" t="str">
        <f ca="1">IFERROR(__xludf.DUMMYFUNCTION("""COMPUTED_VALUE"""),"")</f>
        <v/>
      </c>
      <c r="O908" s="189" t="str">
        <f ca="1">IFERROR(__xludf.DUMMYFUNCTION("""COMPUTED_VALUE"""),"")</f>
        <v/>
      </c>
      <c r="P908" s="189" t="str">
        <f ca="1">IFERROR(__xludf.DUMMYFUNCTION("""COMPUTED_VALUE"""),"")</f>
        <v/>
      </c>
      <c r="Q908" s="189" t="str">
        <f ca="1">IFERROR(__xludf.DUMMYFUNCTION("""COMPUTED_VALUE"""),"")</f>
        <v/>
      </c>
      <c r="R908" s="189" t="str">
        <f ca="1">IFERROR(__xludf.DUMMYFUNCTION("""COMPUTED_VALUE"""),"")</f>
        <v/>
      </c>
      <c r="S908" s="189" t="str">
        <f ca="1">IFERROR(__xludf.DUMMYFUNCTION("""COMPUTED_VALUE"""),"")</f>
        <v/>
      </c>
      <c r="T908" s="189" t="str">
        <f ca="1">IFERROR(__xludf.DUMMYFUNCTION("""COMPUTED_VALUE"""),"")</f>
        <v/>
      </c>
      <c r="U908" s="189" t="str">
        <f ca="1">IFERROR(__xludf.DUMMYFUNCTION("""COMPUTED_VALUE"""),"")</f>
        <v/>
      </c>
      <c r="V908" s="189" t="str">
        <f ca="1">IFERROR(__xludf.DUMMYFUNCTION("""COMPUTED_VALUE"""),"")</f>
        <v/>
      </c>
      <c r="W908" s="189" t="str">
        <f ca="1">IFERROR(__xludf.DUMMYFUNCTION("""COMPUTED_VALUE"""),"")</f>
        <v/>
      </c>
      <c r="X908" s="189" t="str">
        <f ca="1">IFERROR(__xludf.DUMMYFUNCTION("""COMPUTED_VALUE"""),"")</f>
        <v/>
      </c>
      <c r="Y908" s="189" t="str">
        <f ca="1">IFERROR(__xludf.DUMMYFUNCTION("""COMPUTED_VALUE"""),"")</f>
        <v/>
      </c>
      <c r="Z908" s="189"/>
    </row>
    <row r="909" spans="1:26" ht="12.75">
      <c r="A909" s="189" t="str">
        <f ca="1">IFERROR(__xludf.DUMMYFUNCTION("""COMPUTED_VALUE"""),"")</f>
        <v/>
      </c>
      <c r="B909" s="189" t="str">
        <f ca="1">IFERROR(__xludf.DUMMYFUNCTION("""COMPUTED_VALUE"""),"")</f>
        <v/>
      </c>
      <c r="C909" s="189" t="str">
        <f ca="1">IFERROR(__xludf.DUMMYFUNCTION("""COMPUTED_VALUE"""),"")</f>
        <v/>
      </c>
      <c r="D909" s="189" t="str">
        <f ca="1">IFERROR(__xludf.DUMMYFUNCTION("""COMPUTED_VALUE"""),"")</f>
        <v/>
      </c>
      <c r="E909" s="189" t="str">
        <f ca="1">IFERROR(__xludf.DUMMYFUNCTION("""COMPUTED_VALUE"""),"")</f>
        <v/>
      </c>
      <c r="F909" s="189" t="str">
        <f ca="1">IFERROR(__xludf.DUMMYFUNCTION("""COMPUTED_VALUE"""),"")</f>
        <v/>
      </c>
      <c r="G909" s="189" t="str">
        <f ca="1">IFERROR(__xludf.DUMMYFUNCTION("""COMPUTED_VALUE"""),"")</f>
        <v/>
      </c>
      <c r="H909" s="189" t="str">
        <f ca="1">IFERROR(__xludf.DUMMYFUNCTION("""COMPUTED_VALUE"""),"")</f>
        <v/>
      </c>
      <c r="I909" s="120" t="str">
        <f ca="1">IFERROR(__xludf.DUMMYFUNCTION("""COMPUTED_VALUE"""),"")</f>
        <v/>
      </c>
      <c r="J909" s="189" t="str">
        <f ca="1">IFERROR(__xludf.DUMMYFUNCTION("""COMPUTED_VALUE"""),"")</f>
        <v/>
      </c>
      <c r="K909" s="189" t="str">
        <f ca="1">IFERROR(__xludf.DUMMYFUNCTION("""COMPUTED_VALUE"""),"")</f>
        <v/>
      </c>
      <c r="L909" s="189" t="str">
        <f ca="1">IFERROR(__xludf.DUMMYFUNCTION("""COMPUTED_VALUE"""),"")</f>
        <v/>
      </c>
      <c r="M909" s="189" t="str">
        <f ca="1">IFERROR(__xludf.DUMMYFUNCTION("""COMPUTED_VALUE"""),"")</f>
        <v/>
      </c>
      <c r="N909" s="189" t="str">
        <f ca="1">IFERROR(__xludf.DUMMYFUNCTION("""COMPUTED_VALUE"""),"")</f>
        <v/>
      </c>
      <c r="O909" s="189" t="str">
        <f ca="1">IFERROR(__xludf.DUMMYFUNCTION("""COMPUTED_VALUE"""),"")</f>
        <v/>
      </c>
      <c r="P909" s="189" t="str">
        <f ca="1">IFERROR(__xludf.DUMMYFUNCTION("""COMPUTED_VALUE"""),"")</f>
        <v/>
      </c>
      <c r="Q909" s="189" t="str">
        <f ca="1">IFERROR(__xludf.DUMMYFUNCTION("""COMPUTED_VALUE"""),"")</f>
        <v/>
      </c>
      <c r="R909" s="189" t="str">
        <f ca="1">IFERROR(__xludf.DUMMYFUNCTION("""COMPUTED_VALUE"""),"")</f>
        <v/>
      </c>
      <c r="S909" s="189" t="str">
        <f ca="1">IFERROR(__xludf.DUMMYFUNCTION("""COMPUTED_VALUE"""),"")</f>
        <v/>
      </c>
      <c r="T909" s="189" t="str">
        <f ca="1">IFERROR(__xludf.DUMMYFUNCTION("""COMPUTED_VALUE"""),"")</f>
        <v/>
      </c>
      <c r="U909" s="189" t="str">
        <f ca="1">IFERROR(__xludf.DUMMYFUNCTION("""COMPUTED_VALUE"""),"")</f>
        <v/>
      </c>
      <c r="V909" s="189" t="str">
        <f ca="1">IFERROR(__xludf.DUMMYFUNCTION("""COMPUTED_VALUE"""),"")</f>
        <v/>
      </c>
      <c r="W909" s="189" t="str">
        <f ca="1">IFERROR(__xludf.DUMMYFUNCTION("""COMPUTED_VALUE"""),"")</f>
        <v/>
      </c>
      <c r="X909" s="189" t="str">
        <f ca="1">IFERROR(__xludf.DUMMYFUNCTION("""COMPUTED_VALUE"""),"")</f>
        <v/>
      </c>
      <c r="Y909" s="189" t="str">
        <f ca="1">IFERROR(__xludf.DUMMYFUNCTION("""COMPUTED_VALUE"""),"")</f>
        <v/>
      </c>
      <c r="Z909" s="189"/>
    </row>
    <row r="910" spans="1:26" ht="12.75">
      <c r="A910" s="189" t="str">
        <f ca="1">IFERROR(__xludf.DUMMYFUNCTION("""COMPUTED_VALUE"""),"")</f>
        <v/>
      </c>
      <c r="B910" s="189" t="str">
        <f ca="1">IFERROR(__xludf.DUMMYFUNCTION("""COMPUTED_VALUE"""),"")</f>
        <v/>
      </c>
      <c r="C910" s="189" t="str">
        <f ca="1">IFERROR(__xludf.DUMMYFUNCTION("""COMPUTED_VALUE"""),"")</f>
        <v/>
      </c>
      <c r="D910" s="189" t="str">
        <f ca="1">IFERROR(__xludf.DUMMYFUNCTION("""COMPUTED_VALUE"""),"")</f>
        <v/>
      </c>
      <c r="E910" s="189" t="str">
        <f ca="1">IFERROR(__xludf.DUMMYFUNCTION("""COMPUTED_VALUE"""),"")</f>
        <v/>
      </c>
      <c r="F910" s="189" t="str">
        <f ca="1">IFERROR(__xludf.DUMMYFUNCTION("""COMPUTED_VALUE"""),"")</f>
        <v/>
      </c>
      <c r="G910" s="189" t="str">
        <f ca="1">IFERROR(__xludf.DUMMYFUNCTION("""COMPUTED_VALUE"""),"")</f>
        <v/>
      </c>
      <c r="H910" s="189" t="str">
        <f ca="1">IFERROR(__xludf.DUMMYFUNCTION("""COMPUTED_VALUE"""),"")</f>
        <v/>
      </c>
      <c r="I910" s="120" t="str">
        <f ca="1">IFERROR(__xludf.DUMMYFUNCTION("""COMPUTED_VALUE"""),"")</f>
        <v/>
      </c>
      <c r="J910" s="189" t="str">
        <f ca="1">IFERROR(__xludf.DUMMYFUNCTION("""COMPUTED_VALUE"""),"")</f>
        <v/>
      </c>
      <c r="K910" s="189" t="str">
        <f ca="1">IFERROR(__xludf.DUMMYFUNCTION("""COMPUTED_VALUE"""),"")</f>
        <v/>
      </c>
      <c r="L910" s="189" t="str">
        <f ca="1">IFERROR(__xludf.DUMMYFUNCTION("""COMPUTED_VALUE"""),"")</f>
        <v/>
      </c>
      <c r="M910" s="189" t="str">
        <f ca="1">IFERROR(__xludf.DUMMYFUNCTION("""COMPUTED_VALUE"""),"")</f>
        <v/>
      </c>
      <c r="N910" s="189" t="str">
        <f ca="1">IFERROR(__xludf.DUMMYFUNCTION("""COMPUTED_VALUE"""),"")</f>
        <v/>
      </c>
      <c r="O910" s="189" t="str">
        <f ca="1">IFERROR(__xludf.DUMMYFUNCTION("""COMPUTED_VALUE"""),"")</f>
        <v/>
      </c>
      <c r="P910" s="189" t="str">
        <f ca="1">IFERROR(__xludf.DUMMYFUNCTION("""COMPUTED_VALUE"""),"")</f>
        <v/>
      </c>
      <c r="Q910" s="189" t="str">
        <f ca="1">IFERROR(__xludf.DUMMYFUNCTION("""COMPUTED_VALUE"""),"")</f>
        <v/>
      </c>
      <c r="R910" s="189" t="str">
        <f ca="1">IFERROR(__xludf.DUMMYFUNCTION("""COMPUTED_VALUE"""),"")</f>
        <v/>
      </c>
      <c r="S910" s="189" t="str">
        <f ca="1">IFERROR(__xludf.DUMMYFUNCTION("""COMPUTED_VALUE"""),"")</f>
        <v/>
      </c>
      <c r="T910" s="189" t="str">
        <f ca="1">IFERROR(__xludf.DUMMYFUNCTION("""COMPUTED_VALUE"""),"")</f>
        <v/>
      </c>
      <c r="U910" s="189" t="str">
        <f ca="1">IFERROR(__xludf.DUMMYFUNCTION("""COMPUTED_VALUE"""),"")</f>
        <v/>
      </c>
      <c r="V910" s="189" t="str">
        <f ca="1">IFERROR(__xludf.DUMMYFUNCTION("""COMPUTED_VALUE"""),"")</f>
        <v/>
      </c>
      <c r="W910" s="189" t="str">
        <f ca="1">IFERROR(__xludf.DUMMYFUNCTION("""COMPUTED_VALUE"""),"")</f>
        <v/>
      </c>
      <c r="X910" s="189" t="str">
        <f ca="1">IFERROR(__xludf.DUMMYFUNCTION("""COMPUTED_VALUE"""),"")</f>
        <v/>
      </c>
      <c r="Y910" s="189" t="str">
        <f ca="1">IFERROR(__xludf.DUMMYFUNCTION("""COMPUTED_VALUE"""),"")</f>
        <v/>
      </c>
      <c r="Z910" s="189"/>
    </row>
    <row r="911" spans="1:26" ht="12.75">
      <c r="A911" s="189" t="str">
        <f ca="1">IFERROR(__xludf.DUMMYFUNCTION("""COMPUTED_VALUE"""),"")</f>
        <v/>
      </c>
      <c r="B911" s="189" t="str">
        <f ca="1">IFERROR(__xludf.DUMMYFUNCTION("""COMPUTED_VALUE"""),"")</f>
        <v/>
      </c>
      <c r="C911" s="189" t="str">
        <f ca="1">IFERROR(__xludf.DUMMYFUNCTION("""COMPUTED_VALUE"""),"")</f>
        <v/>
      </c>
      <c r="D911" s="189" t="str">
        <f ca="1">IFERROR(__xludf.DUMMYFUNCTION("""COMPUTED_VALUE"""),"")</f>
        <v/>
      </c>
      <c r="E911" s="189" t="str">
        <f ca="1">IFERROR(__xludf.DUMMYFUNCTION("""COMPUTED_VALUE"""),"")</f>
        <v/>
      </c>
      <c r="F911" s="189" t="str">
        <f ca="1">IFERROR(__xludf.DUMMYFUNCTION("""COMPUTED_VALUE"""),"")</f>
        <v/>
      </c>
      <c r="G911" s="189" t="str">
        <f ca="1">IFERROR(__xludf.DUMMYFUNCTION("""COMPUTED_VALUE"""),"")</f>
        <v/>
      </c>
      <c r="H911" s="189" t="str">
        <f ca="1">IFERROR(__xludf.DUMMYFUNCTION("""COMPUTED_VALUE"""),"")</f>
        <v/>
      </c>
      <c r="I911" s="120" t="str">
        <f ca="1">IFERROR(__xludf.DUMMYFUNCTION("""COMPUTED_VALUE"""),"")</f>
        <v/>
      </c>
      <c r="J911" s="189" t="str">
        <f ca="1">IFERROR(__xludf.DUMMYFUNCTION("""COMPUTED_VALUE"""),"")</f>
        <v/>
      </c>
      <c r="K911" s="189" t="str">
        <f ca="1">IFERROR(__xludf.DUMMYFUNCTION("""COMPUTED_VALUE"""),"")</f>
        <v/>
      </c>
      <c r="L911" s="189" t="str">
        <f ca="1">IFERROR(__xludf.DUMMYFUNCTION("""COMPUTED_VALUE"""),"")</f>
        <v/>
      </c>
      <c r="M911" s="189" t="str">
        <f ca="1">IFERROR(__xludf.DUMMYFUNCTION("""COMPUTED_VALUE"""),"")</f>
        <v/>
      </c>
      <c r="N911" s="189" t="str">
        <f ca="1">IFERROR(__xludf.DUMMYFUNCTION("""COMPUTED_VALUE"""),"")</f>
        <v/>
      </c>
      <c r="O911" s="189" t="str">
        <f ca="1">IFERROR(__xludf.DUMMYFUNCTION("""COMPUTED_VALUE"""),"")</f>
        <v/>
      </c>
      <c r="P911" s="189" t="str">
        <f ca="1">IFERROR(__xludf.DUMMYFUNCTION("""COMPUTED_VALUE"""),"")</f>
        <v/>
      </c>
      <c r="Q911" s="189" t="str">
        <f ca="1">IFERROR(__xludf.DUMMYFUNCTION("""COMPUTED_VALUE"""),"")</f>
        <v/>
      </c>
      <c r="R911" s="189" t="str">
        <f ca="1">IFERROR(__xludf.DUMMYFUNCTION("""COMPUTED_VALUE"""),"")</f>
        <v/>
      </c>
      <c r="S911" s="189" t="str">
        <f ca="1">IFERROR(__xludf.DUMMYFUNCTION("""COMPUTED_VALUE"""),"")</f>
        <v/>
      </c>
      <c r="T911" s="189" t="str">
        <f ca="1">IFERROR(__xludf.DUMMYFUNCTION("""COMPUTED_VALUE"""),"")</f>
        <v/>
      </c>
      <c r="U911" s="189" t="str">
        <f ca="1">IFERROR(__xludf.DUMMYFUNCTION("""COMPUTED_VALUE"""),"")</f>
        <v/>
      </c>
      <c r="V911" s="189" t="str">
        <f ca="1">IFERROR(__xludf.DUMMYFUNCTION("""COMPUTED_VALUE"""),"")</f>
        <v/>
      </c>
      <c r="W911" s="189" t="str">
        <f ca="1">IFERROR(__xludf.DUMMYFUNCTION("""COMPUTED_VALUE"""),"")</f>
        <v/>
      </c>
      <c r="X911" s="189" t="str">
        <f ca="1">IFERROR(__xludf.DUMMYFUNCTION("""COMPUTED_VALUE"""),"")</f>
        <v/>
      </c>
      <c r="Y911" s="189" t="str">
        <f ca="1">IFERROR(__xludf.DUMMYFUNCTION("""COMPUTED_VALUE"""),"")</f>
        <v/>
      </c>
      <c r="Z911" s="189"/>
    </row>
    <row r="912" spans="1:26" ht="12.75">
      <c r="A912" s="189" t="str">
        <f ca="1">IFERROR(__xludf.DUMMYFUNCTION("""COMPUTED_VALUE"""),"")</f>
        <v/>
      </c>
      <c r="B912" s="189" t="str">
        <f ca="1">IFERROR(__xludf.DUMMYFUNCTION("""COMPUTED_VALUE"""),"")</f>
        <v/>
      </c>
      <c r="C912" s="189" t="str">
        <f ca="1">IFERROR(__xludf.DUMMYFUNCTION("""COMPUTED_VALUE"""),"")</f>
        <v/>
      </c>
      <c r="D912" s="189" t="str">
        <f ca="1">IFERROR(__xludf.DUMMYFUNCTION("""COMPUTED_VALUE"""),"")</f>
        <v/>
      </c>
      <c r="E912" s="189" t="str">
        <f ca="1">IFERROR(__xludf.DUMMYFUNCTION("""COMPUTED_VALUE"""),"")</f>
        <v/>
      </c>
      <c r="F912" s="189" t="str">
        <f ca="1">IFERROR(__xludf.DUMMYFUNCTION("""COMPUTED_VALUE"""),"")</f>
        <v/>
      </c>
      <c r="G912" s="189" t="str">
        <f ca="1">IFERROR(__xludf.DUMMYFUNCTION("""COMPUTED_VALUE"""),"")</f>
        <v/>
      </c>
      <c r="H912" s="189" t="str">
        <f ca="1">IFERROR(__xludf.DUMMYFUNCTION("""COMPUTED_VALUE"""),"")</f>
        <v/>
      </c>
      <c r="I912" s="120" t="str">
        <f ca="1">IFERROR(__xludf.DUMMYFUNCTION("""COMPUTED_VALUE"""),"")</f>
        <v/>
      </c>
      <c r="J912" s="189" t="str">
        <f ca="1">IFERROR(__xludf.DUMMYFUNCTION("""COMPUTED_VALUE"""),"")</f>
        <v/>
      </c>
      <c r="K912" s="189" t="str">
        <f ca="1">IFERROR(__xludf.DUMMYFUNCTION("""COMPUTED_VALUE"""),"")</f>
        <v/>
      </c>
      <c r="L912" s="189" t="str">
        <f ca="1">IFERROR(__xludf.DUMMYFUNCTION("""COMPUTED_VALUE"""),"")</f>
        <v/>
      </c>
      <c r="M912" s="189" t="str">
        <f ca="1">IFERROR(__xludf.DUMMYFUNCTION("""COMPUTED_VALUE"""),"")</f>
        <v/>
      </c>
      <c r="N912" s="189" t="str">
        <f ca="1">IFERROR(__xludf.DUMMYFUNCTION("""COMPUTED_VALUE"""),"")</f>
        <v/>
      </c>
      <c r="O912" s="189" t="str">
        <f ca="1">IFERROR(__xludf.DUMMYFUNCTION("""COMPUTED_VALUE"""),"")</f>
        <v/>
      </c>
      <c r="P912" s="189" t="str">
        <f ca="1">IFERROR(__xludf.DUMMYFUNCTION("""COMPUTED_VALUE"""),"")</f>
        <v/>
      </c>
      <c r="Q912" s="189" t="str">
        <f ca="1">IFERROR(__xludf.DUMMYFUNCTION("""COMPUTED_VALUE"""),"")</f>
        <v/>
      </c>
      <c r="R912" s="189" t="str">
        <f ca="1">IFERROR(__xludf.DUMMYFUNCTION("""COMPUTED_VALUE"""),"")</f>
        <v/>
      </c>
      <c r="S912" s="189" t="str">
        <f ca="1">IFERROR(__xludf.DUMMYFUNCTION("""COMPUTED_VALUE"""),"")</f>
        <v/>
      </c>
      <c r="T912" s="189" t="str">
        <f ca="1">IFERROR(__xludf.DUMMYFUNCTION("""COMPUTED_VALUE"""),"")</f>
        <v/>
      </c>
      <c r="U912" s="189" t="str">
        <f ca="1">IFERROR(__xludf.DUMMYFUNCTION("""COMPUTED_VALUE"""),"")</f>
        <v/>
      </c>
      <c r="V912" s="189" t="str">
        <f ca="1">IFERROR(__xludf.DUMMYFUNCTION("""COMPUTED_VALUE"""),"")</f>
        <v/>
      </c>
      <c r="W912" s="189" t="str">
        <f ca="1">IFERROR(__xludf.DUMMYFUNCTION("""COMPUTED_VALUE"""),"")</f>
        <v/>
      </c>
      <c r="X912" s="189" t="str">
        <f ca="1">IFERROR(__xludf.DUMMYFUNCTION("""COMPUTED_VALUE"""),"")</f>
        <v/>
      </c>
      <c r="Y912" s="189" t="str">
        <f ca="1">IFERROR(__xludf.DUMMYFUNCTION("""COMPUTED_VALUE"""),"")</f>
        <v/>
      </c>
      <c r="Z912" s="189"/>
    </row>
    <row r="913" spans="1:26" ht="12.75">
      <c r="A913" s="189" t="str">
        <f ca="1">IFERROR(__xludf.DUMMYFUNCTION("""COMPUTED_VALUE"""),"")</f>
        <v/>
      </c>
      <c r="B913" s="189" t="str">
        <f ca="1">IFERROR(__xludf.DUMMYFUNCTION("""COMPUTED_VALUE"""),"")</f>
        <v/>
      </c>
      <c r="C913" s="189" t="str">
        <f ca="1">IFERROR(__xludf.DUMMYFUNCTION("""COMPUTED_VALUE"""),"")</f>
        <v/>
      </c>
      <c r="D913" s="189" t="str">
        <f ca="1">IFERROR(__xludf.DUMMYFUNCTION("""COMPUTED_VALUE"""),"")</f>
        <v/>
      </c>
      <c r="E913" s="189" t="str">
        <f ca="1">IFERROR(__xludf.DUMMYFUNCTION("""COMPUTED_VALUE"""),"")</f>
        <v/>
      </c>
      <c r="F913" s="189" t="str">
        <f ca="1">IFERROR(__xludf.DUMMYFUNCTION("""COMPUTED_VALUE"""),"")</f>
        <v/>
      </c>
      <c r="G913" s="189" t="str">
        <f ca="1">IFERROR(__xludf.DUMMYFUNCTION("""COMPUTED_VALUE"""),"")</f>
        <v/>
      </c>
      <c r="H913" s="189" t="str">
        <f ca="1">IFERROR(__xludf.DUMMYFUNCTION("""COMPUTED_VALUE"""),"")</f>
        <v/>
      </c>
      <c r="I913" s="120" t="str">
        <f ca="1">IFERROR(__xludf.DUMMYFUNCTION("""COMPUTED_VALUE"""),"")</f>
        <v/>
      </c>
      <c r="J913" s="189" t="str">
        <f ca="1">IFERROR(__xludf.DUMMYFUNCTION("""COMPUTED_VALUE"""),"")</f>
        <v/>
      </c>
      <c r="K913" s="189" t="str">
        <f ca="1">IFERROR(__xludf.DUMMYFUNCTION("""COMPUTED_VALUE"""),"")</f>
        <v/>
      </c>
      <c r="L913" s="189" t="str">
        <f ca="1">IFERROR(__xludf.DUMMYFUNCTION("""COMPUTED_VALUE"""),"")</f>
        <v/>
      </c>
      <c r="M913" s="189" t="str">
        <f ca="1">IFERROR(__xludf.DUMMYFUNCTION("""COMPUTED_VALUE"""),"")</f>
        <v/>
      </c>
      <c r="N913" s="189" t="str">
        <f ca="1">IFERROR(__xludf.DUMMYFUNCTION("""COMPUTED_VALUE"""),"")</f>
        <v/>
      </c>
      <c r="O913" s="189" t="str">
        <f ca="1">IFERROR(__xludf.DUMMYFUNCTION("""COMPUTED_VALUE"""),"")</f>
        <v/>
      </c>
      <c r="P913" s="189" t="str">
        <f ca="1">IFERROR(__xludf.DUMMYFUNCTION("""COMPUTED_VALUE"""),"")</f>
        <v/>
      </c>
      <c r="Q913" s="189" t="str">
        <f ca="1">IFERROR(__xludf.DUMMYFUNCTION("""COMPUTED_VALUE"""),"")</f>
        <v/>
      </c>
      <c r="R913" s="189" t="str">
        <f ca="1">IFERROR(__xludf.DUMMYFUNCTION("""COMPUTED_VALUE"""),"")</f>
        <v/>
      </c>
      <c r="S913" s="189" t="str">
        <f ca="1">IFERROR(__xludf.DUMMYFUNCTION("""COMPUTED_VALUE"""),"")</f>
        <v/>
      </c>
      <c r="T913" s="189" t="str">
        <f ca="1">IFERROR(__xludf.DUMMYFUNCTION("""COMPUTED_VALUE"""),"")</f>
        <v/>
      </c>
      <c r="U913" s="189" t="str">
        <f ca="1">IFERROR(__xludf.DUMMYFUNCTION("""COMPUTED_VALUE"""),"")</f>
        <v/>
      </c>
      <c r="V913" s="189" t="str">
        <f ca="1">IFERROR(__xludf.DUMMYFUNCTION("""COMPUTED_VALUE"""),"")</f>
        <v/>
      </c>
      <c r="W913" s="189" t="str">
        <f ca="1">IFERROR(__xludf.DUMMYFUNCTION("""COMPUTED_VALUE"""),"")</f>
        <v/>
      </c>
      <c r="X913" s="189" t="str">
        <f ca="1">IFERROR(__xludf.DUMMYFUNCTION("""COMPUTED_VALUE"""),"")</f>
        <v/>
      </c>
      <c r="Y913" s="189" t="str">
        <f ca="1">IFERROR(__xludf.DUMMYFUNCTION("""COMPUTED_VALUE"""),"")</f>
        <v/>
      </c>
      <c r="Z913" s="189"/>
    </row>
    <row r="914" spans="1:26" ht="12.75">
      <c r="A914" s="189" t="str">
        <f ca="1">IFERROR(__xludf.DUMMYFUNCTION("""COMPUTED_VALUE"""),"")</f>
        <v/>
      </c>
      <c r="B914" s="189" t="str">
        <f ca="1">IFERROR(__xludf.DUMMYFUNCTION("""COMPUTED_VALUE"""),"")</f>
        <v/>
      </c>
      <c r="C914" s="189" t="str">
        <f ca="1">IFERROR(__xludf.DUMMYFUNCTION("""COMPUTED_VALUE"""),"")</f>
        <v/>
      </c>
      <c r="D914" s="189" t="str">
        <f ca="1">IFERROR(__xludf.DUMMYFUNCTION("""COMPUTED_VALUE"""),"")</f>
        <v/>
      </c>
      <c r="E914" s="189" t="str">
        <f ca="1">IFERROR(__xludf.DUMMYFUNCTION("""COMPUTED_VALUE"""),"")</f>
        <v/>
      </c>
      <c r="F914" s="189" t="str">
        <f ca="1">IFERROR(__xludf.DUMMYFUNCTION("""COMPUTED_VALUE"""),"")</f>
        <v/>
      </c>
      <c r="G914" s="189" t="str">
        <f ca="1">IFERROR(__xludf.DUMMYFUNCTION("""COMPUTED_VALUE"""),"")</f>
        <v/>
      </c>
      <c r="H914" s="189" t="str">
        <f ca="1">IFERROR(__xludf.DUMMYFUNCTION("""COMPUTED_VALUE"""),"")</f>
        <v/>
      </c>
      <c r="I914" s="120" t="str">
        <f ca="1">IFERROR(__xludf.DUMMYFUNCTION("""COMPUTED_VALUE"""),"")</f>
        <v/>
      </c>
      <c r="J914" s="189" t="str">
        <f ca="1">IFERROR(__xludf.DUMMYFUNCTION("""COMPUTED_VALUE"""),"")</f>
        <v/>
      </c>
      <c r="K914" s="189" t="str">
        <f ca="1">IFERROR(__xludf.DUMMYFUNCTION("""COMPUTED_VALUE"""),"")</f>
        <v/>
      </c>
      <c r="L914" s="189" t="str">
        <f ca="1">IFERROR(__xludf.DUMMYFUNCTION("""COMPUTED_VALUE"""),"")</f>
        <v/>
      </c>
      <c r="M914" s="189" t="str">
        <f ca="1">IFERROR(__xludf.DUMMYFUNCTION("""COMPUTED_VALUE"""),"")</f>
        <v/>
      </c>
      <c r="N914" s="189" t="str">
        <f ca="1">IFERROR(__xludf.DUMMYFUNCTION("""COMPUTED_VALUE"""),"")</f>
        <v/>
      </c>
      <c r="O914" s="189" t="str">
        <f ca="1">IFERROR(__xludf.DUMMYFUNCTION("""COMPUTED_VALUE"""),"")</f>
        <v/>
      </c>
      <c r="P914" s="189" t="str">
        <f ca="1">IFERROR(__xludf.DUMMYFUNCTION("""COMPUTED_VALUE"""),"")</f>
        <v/>
      </c>
      <c r="Q914" s="189" t="str">
        <f ca="1">IFERROR(__xludf.DUMMYFUNCTION("""COMPUTED_VALUE"""),"")</f>
        <v/>
      </c>
      <c r="R914" s="189" t="str">
        <f ca="1">IFERROR(__xludf.DUMMYFUNCTION("""COMPUTED_VALUE"""),"")</f>
        <v/>
      </c>
      <c r="S914" s="189" t="str">
        <f ca="1">IFERROR(__xludf.DUMMYFUNCTION("""COMPUTED_VALUE"""),"")</f>
        <v/>
      </c>
      <c r="T914" s="189" t="str">
        <f ca="1">IFERROR(__xludf.DUMMYFUNCTION("""COMPUTED_VALUE"""),"")</f>
        <v/>
      </c>
      <c r="U914" s="189" t="str">
        <f ca="1">IFERROR(__xludf.DUMMYFUNCTION("""COMPUTED_VALUE"""),"")</f>
        <v/>
      </c>
      <c r="V914" s="189" t="str">
        <f ca="1">IFERROR(__xludf.DUMMYFUNCTION("""COMPUTED_VALUE"""),"")</f>
        <v/>
      </c>
      <c r="W914" s="189" t="str">
        <f ca="1">IFERROR(__xludf.DUMMYFUNCTION("""COMPUTED_VALUE"""),"")</f>
        <v/>
      </c>
      <c r="X914" s="189" t="str">
        <f ca="1">IFERROR(__xludf.DUMMYFUNCTION("""COMPUTED_VALUE"""),"")</f>
        <v/>
      </c>
      <c r="Y914" s="189" t="str">
        <f ca="1">IFERROR(__xludf.DUMMYFUNCTION("""COMPUTED_VALUE"""),"")</f>
        <v/>
      </c>
      <c r="Z914" s="189"/>
    </row>
    <row r="915" spans="1:26" ht="12.75">
      <c r="A915" s="189" t="str">
        <f ca="1">IFERROR(__xludf.DUMMYFUNCTION("""COMPUTED_VALUE"""),"")</f>
        <v/>
      </c>
      <c r="B915" s="189" t="str">
        <f ca="1">IFERROR(__xludf.DUMMYFUNCTION("""COMPUTED_VALUE"""),"")</f>
        <v/>
      </c>
      <c r="C915" s="189" t="str">
        <f ca="1">IFERROR(__xludf.DUMMYFUNCTION("""COMPUTED_VALUE"""),"")</f>
        <v/>
      </c>
      <c r="D915" s="189" t="str">
        <f ca="1">IFERROR(__xludf.DUMMYFUNCTION("""COMPUTED_VALUE"""),"")</f>
        <v/>
      </c>
      <c r="E915" s="189" t="str">
        <f ca="1">IFERROR(__xludf.DUMMYFUNCTION("""COMPUTED_VALUE"""),"")</f>
        <v/>
      </c>
      <c r="F915" s="189" t="str">
        <f ca="1">IFERROR(__xludf.DUMMYFUNCTION("""COMPUTED_VALUE"""),"")</f>
        <v/>
      </c>
      <c r="G915" s="189" t="str">
        <f ca="1">IFERROR(__xludf.DUMMYFUNCTION("""COMPUTED_VALUE"""),"")</f>
        <v/>
      </c>
      <c r="H915" s="189" t="str">
        <f ca="1">IFERROR(__xludf.DUMMYFUNCTION("""COMPUTED_VALUE"""),"")</f>
        <v/>
      </c>
      <c r="I915" s="120" t="str">
        <f ca="1">IFERROR(__xludf.DUMMYFUNCTION("""COMPUTED_VALUE"""),"")</f>
        <v/>
      </c>
      <c r="J915" s="189" t="str">
        <f ca="1">IFERROR(__xludf.DUMMYFUNCTION("""COMPUTED_VALUE"""),"")</f>
        <v/>
      </c>
      <c r="K915" s="189" t="str">
        <f ca="1">IFERROR(__xludf.DUMMYFUNCTION("""COMPUTED_VALUE"""),"")</f>
        <v/>
      </c>
      <c r="L915" s="189" t="str">
        <f ca="1">IFERROR(__xludf.DUMMYFUNCTION("""COMPUTED_VALUE"""),"")</f>
        <v/>
      </c>
      <c r="M915" s="189" t="str">
        <f ca="1">IFERROR(__xludf.DUMMYFUNCTION("""COMPUTED_VALUE"""),"")</f>
        <v/>
      </c>
      <c r="N915" s="189" t="str">
        <f ca="1">IFERROR(__xludf.DUMMYFUNCTION("""COMPUTED_VALUE"""),"")</f>
        <v/>
      </c>
      <c r="O915" s="189" t="str">
        <f ca="1">IFERROR(__xludf.DUMMYFUNCTION("""COMPUTED_VALUE"""),"")</f>
        <v/>
      </c>
      <c r="P915" s="189" t="str">
        <f ca="1">IFERROR(__xludf.DUMMYFUNCTION("""COMPUTED_VALUE"""),"")</f>
        <v/>
      </c>
      <c r="Q915" s="189" t="str">
        <f ca="1">IFERROR(__xludf.DUMMYFUNCTION("""COMPUTED_VALUE"""),"")</f>
        <v/>
      </c>
      <c r="R915" s="189" t="str">
        <f ca="1">IFERROR(__xludf.DUMMYFUNCTION("""COMPUTED_VALUE"""),"")</f>
        <v/>
      </c>
      <c r="S915" s="189" t="str">
        <f ca="1">IFERROR(__xludf.DUMMYFUNCTION("""COMPUTED_VALUE"""),"")</f>
        <v/>
      </c>
      <c r="T915" s="189" t="str">
        <f ca="1">IFERROR(__xludf.DUMMYFUNCTION("""COMPUTED_VALUE"""),"")</f>
        <v/>
      </c>
      <c r="U915" s="189" t="str">
        <f ca="1">IFERROR(__xludf.DUMMYFUNCTION("""COMPUTED_VALUE"""),"")</f>
        <v/>
      </c>
      <c r="V915" s="189" t="str">
        <f ca="1">IFERROR(__xludf.DUMMYFUNCTION("""COMPUTED_VALUE"""),"")</f>
        <v/>
      </c>
      <c r="W915" s="189" t="str">
        <f ca="1">IFERROR(__xludf.DUMMYFUNCTION("""COMPUTED_VALUE"""),"")</f>
        <v/>
      </c>
      <c r="X915" s="189" t="str">
        <f ca="1">IFERROR(__xludf.DUMMYFUNCTION("""COMPUTED_VALUE"""),"")</f>
        <v/>
      </c>
      <c r="Y915" s="189" t="str">
        <f ca="1">IFERROR(__xludf.DUMMYFUNCTION("""COMPUTED_VALUE"""),"")</f>
        <v/>
      </c>
      <c r="Z915" s="189"/>
    </row>
    <row r="916" spans="1:26" ht="12.75">
      <c r="A916" s="189" t="str">
        <f ca="1">IFERROR(__xludf.DUMMYFUNCTION("""COMPUTED_VALUE"""),"")</f>
        <v/>
      </c>
      <c r="B916" s="189" t="str">
        <f ca="1">IFERROR(__xludf.DUMMYFUNCTION("""COMPUTED_VALUE"""),"")</f>
        <v/>
      </c>
      <c r="C916" s="189" t="str">
        <f ca="1">IFERROR(__xludf.DUMMYFUNCTION("""COMPUTED_VALUE"""),"")</f>
        <v/>
      </c>
      <c r="D916" s="189" t="str">
        <f ca="1">IFERROR(__xludf.DUMMYFUNCTION("""COMPUTED_VALUE"""),"")</f>
        <v/>
      </c>
      <c r="E916" s="189" t="str">
        <f ca="1">IFERROR(__xludf.DUMMYFUNCTION("""COMPUTED_VALUE"""),"")</f>
        <v/>
      </c>
      <c r="F916" s="189" t="str">
        <f ca="1">IFERROR(__xludf.DUMMYFUNCTION("""COMPUTED_VALUE"""),"")</f>
        <v/>
      </c>
      <c r="G916" s="189" t="str">
        <f ca="1">IFERROR(__xludf.DUMMYFUNCTION("""COMPUTED_VALUE"""),"")</f>
        <v/>
      </c>
      <c r="H916" s="189" t="str">
        <f ca="1">IFERROR(__xludf.DUMMYFUNCTION("""COMPUTED_VALUE"""),"")</f>
        <v/>
      </c>
      <c r="I916" s="120" t="str">
        <f ca="1">IFERROR(__xludf.DUMMYFUNCTION("""COMPUTED_VALUE"""),"")</f>
        <v/>
      </c>
      <c r="J916" s="189" t="str">
        <f ca="1">IFERROR(__xludf.DUMMYFUNCTION("""COMPUTED_VALUE"""),"")</f>
        <v/>
      </c>
      <c r="K916" s="189" t="str">
        <f ca="1">IFERROR(__xludf.DUMMYFUNCTION("""COMPUTED_VALUE"""),"")</f>
        <v/>
      </c>
      <c r="L916" s="189" t="str">
        <f ca="1">IFERROR(__xludf.DUMMYFUNCTION("""COMPUTED_VALUE"""),"")</f>
        <v/>
      </c>
      <c r="M916" s="189" t="str">
        <f ca="1">IFERROR(__xludf.DUMMYFUNCTION("""COMPUTED_VALUE"""),"")</f>
        <v/>
      </c>
      <c r="N916" s="189" t="str">
        <f ca="1">IFERROR(__xludf.DUMMYFUNCTION("""COMPUTED_VALUE"""),"")</f>
        <v/>
      </c>
      <c r="O916" s="189" t="str">
        <f ca="1">IFERROR(__xludf.DUMMYFUNCTION("""COMPUTED_VALUE"""),"")</f>
        <v/>
      </c>
      <c r="P916" s="189" t="str">
        <f ca="1">IFERROR(__xludf.DUMMYFUNCTION("""COMPUTED_VALUE"""),"")</f>
        <v/>
      </c>
      <c r="Q916" s="189" t="str">
        <f ca="1">IFERROR(__xludf.DUMMYFUNCTION("""COMPUTED_VALUE"""),"")</f>
        <v/>
      </c>
      <c r="R916" s="189" t="str">
        <f ca="1">IFERROR(__xludf.DUMMYFUNCTION("""COMPUTED_VALUE"""),"")</f>
        <v/>
      </c>
      <c r="S916" s="189" t="str">
        <f ca="1">IFERROR(__xludf.DUMMYFUNCTION("""COMPUTED_VALUE"""),"")</f>
        <v/>
      </c>
      <c r="T916" s="189" t="str">
        <f ca="1">IFERROR(__xludf.DUMMYFUNCTION("""COMPUTED_VALUE"""),"")</f>
        <v/>
      </c>
      <c r="U916" s="189" t="str">
        <f ca="1">IFERROR(__xludf.DUMMYFUNCTION("""COMPUTED_VALUE"""),"")</f>
        <v/>
      </c>
      <c r="V916" s="189" t="str">
        <f ca="1">IFERROR(__xludf.DUMMYFUNCTION("""COMPUTED_VALUE"""),"")</f>
        <v/>
      </c>
      <c r="W916" s="189" t="str">
        <f ca="1">IFERROR(__xludf.DUMMYFUNCTION("""COMPUTED_VALUE"""),"")</f>
        <v/>
      </c>
      <c r="X916" s="189" t="str">
        <f ca="1">IFERROR(__xludf.DUMMYFUNCTION("""COMPUTED_VALUE"""),"")</f>
        <v/>
      </c>
      <c r="Y916" s="189" t="str">
        <f ca="1">IFERROR(__xludf.DUMMYFUNCTION("""COMPUTED_VALUE"""),"")</f>
        <v/>
      </c>
      <c r="Z916" s="189"/>
    </row>
    <row r="917" spans="1:26" ht="12.75">
      <c r="A917" s="189" t="str">
        <f ca="1">IFERROR(__xludf.DUMMYFUNCTION("""COMPUTED_VALUE"""),"")</f>
        <v/>
      </c>
      <c r="B917" s="189" t="str">
        <f ca="1">IFERROR(__xludf.DUMMYFUNCTION("""COMPUTED_VALUE"""),"")</f>
        <v/>
      </c>
      <c r="C917" s="189" t="str">
        <f ca="1">IFERROR(__xludf.DUMMYFUNCTION("""COMPUTED_VALUE"""),"")</f>
        <v/>
      </c>
      <c r="D917" s="189" t="str">
        <f ca="1">IFERROR(__xludf.DUMMYFUNCTION("""COMPUTED_VALUE"""),"")</f>
        <v/>
      </c>
      <c r="E917" s="189" t="str">
        <f ca="1">IFERROR(__xludf.DUMMYFUNCTION("""COMPUTED_VALUE"""),"")</f>
        <v/>
      </c>
      <c r="F917" s="189" t="str">
        <f ca="1">IFERROR(__xludf.DUMMYFUNCTION("""COMPUTED_VALUE"""),"")</f>
        <v/>
      </c>
      <c r="G917" s="189" t="str">
        <f ca="1">IFERROR(__xludf.DUMMYFUNCTION("""COMPUTED_VALUE"""),"")</f>
        <v/>
      </c>
      <c r="H917" s="189" t="str">
        <f ca="1">IFERROR(__xludf.DUMMYFUNCTION("""COMPUTED_VALUE"""),"")</f>
        <v/>
      </c>
      <c r="I917" s="120" t="str">
        <f ca="1">IFERROR(__xludf.DUMMYFUNCTION("""COMPUTED_VALUE"""),"")</f>
        <v/>
      </c>
      <c r="J917" s="189" t="str">
        <f ca="1">IFERROR(__xludf.DUMMYFUNCTION("""COMPUTED_VALUE"""),"")</f>
        <v/>
      </c>
      <c r="K917" s="189" t="str">
        <f ca="1">IFERROR(__xludf.DUMMYFUNCTION("""COMPUTED_VALUE"""),"")</f>
        <v/>
      </c>
      <c r="L917" s="189" t="str">
        <f ca="1">IFERROR(__xludf.DUMMYFUNCTION("""COMPUTED_VALUE"""),"")</f>
        <v/>
      </c>
      <c r="M917" s="189" t="str">
        <f ca="1">IFERROR(__xludf.DUMMYFUNCTION("""COMPUTED_VALUE"""),"")</f>
        <v/>
      </c>
      <c r="N917" s="189" t="str">
        <f ca="1">IFERROR(__xludf.DUMMYFUNCTION("""COMPUTED_VALUE"""),"")</f>
        <v/>
      </c>
      <c r="O917" s="189" t="str">
        <f ca="1">IFERROR(__xludf.DUMMYFUNCTION("""COMPUTED_VALUE"""),"")</f>
        <v/>
      </c>
      <c r="P917" s="189" t="str">
        <f ca="1">IFERROR(__xludf.DUMMYFUNCTION("""COMPUTED_VALUE"""),"")</f>
        <v/>
      </c>
      <c r="Q917" s="189" t="str">
        <f ca="1">IFERROR(__xludf.DUMMYFUNCTION("""COMPUTED_VALUE"""),"")</f>
        <v/>
      </c>
      <c r="R917" s="189" t="str">
        <f ca="1">IFERROR(__xludf.DUMMYFUNCTION("""COMPUTED_VALUE"""),"")</f>
        <v/>
      </c>
      <c r="S917" s="189" t="str">
        <f ca="1">IFERROR(__xludf.DUMMYFUNCTION("""COMPUTED_VALUE"""),"")</f>
        <v/>
      </c>
      <c r="T917" s="189" t="str">
        <f ca="1">IFERROR(__xludf.DUMMYFUNCTION("""COMPUTED_VALUE"""),"")</f>
        <v/>
      </c>
      <c r="U917" s="189" t="str">
        <f ca="1">IFERROR(__xludf.DUMMYFUNCTION("""COMPUTED_VALUE"""),"")</f>
        <v/>
      </c>
      <c r="V917" s="189" t="str">
        <f ca="1">IFERROR(__xludf.DUMMYFUNCTION("""COMPUTED_VALUE"""),"")</f>
        <v/>
      </c>
      <c r="W917" s="189" t="str">
        <f ca="1">IFERROR(__xludf.DUMMYFUNCTION("""COMPUTED_VALUE"""),"")</f>
        <v/>
      </c>
      <c r="X917" s="189" t="str">
        <f ca="1">IFERROR(__xludf.DUMMYFUNCTION("""COMPUTED_VALUE"""),"")</f>
        <v/>
      </c>
      <c r="Y917" s="189" t="str">
        <f ca="1">IFERROR(__xludf.DUMMYFUNCTION("""COMPUTED_VALUE"""),"")</f>
        <v/>
      </c>
      <c r="Z917" s="189"/>
    </row>
    <row r="918" spans="1:26" ht="12.75">
      <c r="A918" s="189" t="str">
        <f ca="1">IFERROR(__xludf.DUMMYFUNCTION("""COMPUTED_VALUE"""),"")</f>
        <v/>
      </c>
      <c r="B918" s="189" t="str">
        <f ca="1">IFERROR(__xludf.DUMMYFUNCTION("""COMPUTED_VALUE"""),"")</f>
        <v/>
      </c>
      <c r="C918" s="189" t="str">
        <f ca="1">IFERROR(__xludf.DUMMYFUNCTION("""COMPUTED_VALUE"""),"")</f>
        <v/>
      </c>
      <c r="D918" s="189" t="str">
        <f ca="1">IFERROR(__xludf.DUMMYFUNCTION("""COMPUTED_VALUE"""),"")</f>
        <v/>
      </c>
      <c r="E918" s="189" t="str">
        <f ca="1">IFERROR(__xludf.DUMMYFUNCTION("""COMPUTED_VALUE"""),"")</f>
        <v/>
      </c>
      <c r="F918" s="189" t="str">
        <f ca="1">IFERROR(__xludf.DUMMYFUNCTION("""COMPUTED_VALUE"""),"")</f>
        <v/>
      </c>
      <c r="G918" s="189" t="str">
        <f ca="1">IFERROR(__xludf.DUMMYFUNCTION("""COMPUTED_VALUE"""),"")</f>
        <v/>
      </c>
      <c r="H918" s="189" t="str">
        <f ca="1">IFERROR(__xludf.DUMMYFUNCTION("""COMPUTED_VALUE"""),"")</f>
        <v/>
      </c>
      <c r="I918" s="120" t="str">
        <f ca="1">IFERROR(__xludf.DUMMYFUNCTION("""COMPUTED_VALUE"""),"")</f>
        <v/>
      </c>
      <c r="J918" s="189" t="str">
        <f ca="1">IFERROR(__xludf.DUMMYFUNCTION("""COMPUTED_VALUE"""),"")</f>
        <v/>
      </c>
      <c r="K918" s="189" t="str">
        <f ca="1">IFERROR(__xludf.DUMMYFUNCTION("""COMPUTED_VALUE"""),"")</f>
        <v/>
      </c>
      <c r="L918" s="189" t="str">
        <f ca="1">IFERROR(__xludf.DUMMYFUNCTION("""COMPUTED_VALUE"""),"")</f>
        <v/>
      </c>
      <c r="M918" s="189" t="str">
        <f ca="1">IFERROR(__xludf.DUMMYFUNCTION("""COMPUTED_VALUE"""),"")</f>
        <v/>
      </c>
      <c r="N918" s="189" t="str">
        <f ca="1">IFERROR(__xludf.DUMMYFUNCTION("""COMPUTED_VALUE"""),"")</f>
        <v/>
      </c>
      <c r="O918" s="189" t="str">
        <f ca="1">IFERROR(__xludf.DUMMYFUNCTION("""COMPUTED_VALUE"""),"")</f>
        <v/>
      </c>
      <c r="P918" s="189" t="str">
        <f ca="1">IFERROR(__xludf.DUMMYFUNCTION("""COMPUTED_VALUE"""),"")</f>
        <v/>
      </c>
      <c r="Q918" s="189" t="str">
        <f ca="1">IFERROR(__xludf.DUMMYFUNCTION("""COMPUTED_VALUE"""),"")</f>
        <v/>
      </c>
      <c r="R918" s="189" t="str">
        <f ca="1">IFERROR(__xludf.DUMMYFUNCTION("""COMPUTED_VALUE"""),"")</f>
        <v/>
      </c>
      <c r="S918" s="189" t="str">
        <f ca="1">IFERROR(__xludf.DUMMYFUNCTION("""COMPUTED_VALUE"""),"")</f>
        <v/>
      </c>
      <c r="T918" s="189" t="str">
        <f ca="1">IFERROR(__xludf.DUMMYFUNCTION("""COMPUTED_VALUE"""),"")</f>
        <v/>
      </c>
      <c r="U918" s="189" t="str">
        <f ca="1">IFERROR(__xludf.DUMMYFUNCTION("""COMPUTED_VALUE"""),"")</f>
        <v/>
      </c>
      <c r="V918" s="189" t="str">
        <f ca="1">IFERROR(__xludf.DUMMYFUNCTION("""COMPUTED_VALUE"""),"")</f>
        <v/>
      </c>
      <c r="W918" s="189" t="str">
        <f ca="1">IFERROR(__xludf.DUMMYFUNCTION("""COMPUTED_VALUE"""),"")</f>
        <v/>
      </c>
      <c r="X918" s="189" t="str">
        <f ca="1">IFERROR(__xludf.DUMMYFUNCTION("""COMPUTED_VALUE"""),"")</f>
        <v/>
      </c>
      <c r="Y918" s="189" t="str">
        <f ca="1">IFERROR(__xludf.DUMMYFUNCTION("""COMPUTED_VALUE"""),"")</f>
        <v/>
      </c>
      <c r="Z918" s="189"/>
    </row>
    <row r="919" spans="1:26" ht="12.75">
      <c r="A919" s="189" t="str">
        <f ca="1">IFERROR(__xludf.DUMMYFUNCTION("""COMPUTED_VALUE"""),"")</f>
        <v/>
      </c>
      <c r="B919" s="189" t="str">
        <f ca="1">IFERROR(__xludf.DUMMYFUNCTION("""COMPUTED_VALUE"""),"")</f>
        <v/>
      </c>
      <c r="C919" s="189" t="str">
        <f ca="1">IFERROR(__xludf.DUMMYFUNCTION("""COMPUTED_VALUE"""),"")</f>
        <v/>
      </c>
      <c r="D919" s="189" t="str">
        <f ca="1">IFERROR(__xludf.DUMMYFUNCTION("""COMPUTED_VALUE"""),"")</f>
        <v/>
      </c>
      <c r="E919" s="189" t="str">
        <f ca="1">IFERROR(__xludf.DUMMYFUNCTION("""COMPUTED_VALUE"""),"")</f>
        <v/>
      </c>
      <c r="F919" s="189" t="str">
        <f ca="1">IFERROR(__xludf.DUMMYFUNCTION("""COMPUTED_VALUE"""),"")</f>
        <v/>
      </c>
      <c r="G919" s="189" t="str">
        <f ca="1">IFERROR(__xludf.DUMMYFUNCTION("""COMPUTED_VALUE"""),"")</f>
        <v/>
      </c>
      <c r="H919" s="189" t="str">
        <f ca="1">IFERROR(__xludf.DUMMYFUNCTION("""COMPUTED_VALUE"""),"")</f>
        <v/>
      </c>
      <c r="I919" s="120" t="str">
        <f ca="1">IFERROR(__xludf.DUMMYFUNCTION("""COMPUTED_VALUE"""),"")</f>
        <v/>
      </c>
      <c r="J919" s="189" t="str">
        <f ca="1">IFERROR(__xludf.DUMMYFUNCTION("""COMPUTED_VALUE"""),"")</f>
        <v/>
      </c>
      <c r="K919" s="189" t="str">
        <f ca="1">IFERROR(__xludf.DUMMYFUNCTION("""COMPUTED_VALUE"""),"")</f>
        <v/>
      </c>
      <c r="L919" s="189" t="str">
        <f ca="1">IFERROR(__xludf.DUMMYFUNCTION("""COMPUTED_VALUE"""),"")</f>
        <v/>
      </c>
      <c r="M919" s="189" t="str">
        <f ca="1">IFERROR(__xludf.DUMMYFUNCTION("""COMPUTED_VALUE"""),"")</f>
        <v/>
      </c>
      <c r="N919" s="189" t="str">
        <f ca="1">IFERROR(__xludf.DUMMYFUNCTION("""COMPUTED_VALUE"""),"")</f>
        <v/>
      </c>
      <c r="O919" s="189" t="str">
        <f ca="1">IFERROR(__xludf.DUMMYFUNCTION("""COMPUTED_VALUE"""),"")</f>
        <v/>
      </c>
      <c r="P919" s="189" t="str">
        <f ca="1">IFERROR(__xludf.DUMMYFUNCTION("""COMPUTED_VALUE"""),"")</f>
        <v/>
      </c>
      <c r="Q919" s="189" t="str">
        <f ca="1">IFERROR(__xludf.DUMMYFUNCTION("""COMPUTED_VALUE"""),"")</f>
        <v/>
      </c>
      <c r="R919" s="189" t="str">
        <f ca="1">IFERROR(__xludf.DUMMYFUNCTION("""COMPUTED_VALUE"""),"")</f>
        <v/>
      </c>
      <c r="S919" s="189" t="str">
        <f ca="1">IFERROR(__xludf.DUMMYFUNCTION("""COMPUTED_VALUE"""),"")</f>
        <v/>
      </c>
      <c r="T919" s="189" t="str">
        <f ca="1">IFERROR(__xludf.DUMMYFUNCTION("""COMPUTED_VALUE"""),"")</f>
        <v/>
      </c>
      <c r="U919" s="189" t="str">
        <f ca="1">IFERROR(__xludf.DUMMYFUNCTION("""COMPUTED_VALUE"""),"")</f>
        <v/>
      </c>
      <c r="V919" s="189" t="str">
        <f ca="1">IFERROR(__xludf.DUMMYFUNCTION("""COMPUTED_VALUE"""),"")</f>
        <v/>
      </c>
      <c r="W919" s="189" t="str">
        <f ca="1">IFERROR(__xludf.DUMMYFUNCTION("""COMPUTED_VALUE"""),"")</f>
        <v/>
      </c>
      <c r="X919" s="189" t="str">
        <f ca="1">IFERROR(__xludf.DUMMYFUNCTION("""COMPUTED_VALUE"""),"")</f>
        <v/>
      </c>
      <c r="Y919" s="189" t="str">
        <f ca="1">IFERROR(__xludf.DUMMYFUNCTION("""COMPUTED_VALUE"""),"")</f>
        <v/>
      </c>
      <c r="Z919" s="189"/>
    </row>
    <row r="920" spans="1:26" ht="12.75">
      <c r="A920" s="189" t="str">
        <f ca="1">IFERROR(__xludf.DUMMYFUNCTION("""COMPUTED_VALUE"""),"")</f>
        <v/>
      </c>
      <c r="B920" s="189" t="str">
        <f ca="1">IFERROR(__xludf.DUMMYFUNCTION("""COMPUTED_VALUE"""),"")</f>
        <v/>
      </c>
      <c r="C920" s="189" t="str">
        <f ca="1">IFERROR(__xludf.DUMMYFUNCTION("""COMPUTED_VALUE"""),"")</f>
        <v/>
      </c>
      <c r="D920" s="189" t="str">
        <f ca="1">IFERROR(__xludf.DUMMYFUNCTION("""COMPUTED_VALUE"""),"")</f>
        <v/>
      </c>
      <c r="E920" s="189" t="str">
        <f ca="1">IFERROR(__xludf.DUMMYFUNCTION("""COMPUTED_VALUE"""),"")</f>
        <v/>
      </c>
      <c r="F920" s="189" t="str">
        <f ca="1">IFERROR(__xludf.DUMMYFUNCTION("""COMPUTED_VALUE"""),"")</f>
        <v/>
      </c>
      <c r="G920" s="189" t="str">
        <f ca="1">IFERROR(__xludf.DUMMYFUNCTION("""COMPUTED_VALUE"""),"")</f>
        <v/>
      </c>
      <c r="H920" s="189" t="str">
        <f ca="1">IFERROR(__xludf.DUMMYFUNCTION("""COMPUTED_VALUE"""),"")</f>
        <v/>
      </c>
      <c r="I920" s="120" t="str">
        <f ca="1">IFERROR(__xludf.DUMMYFUNCTION("""COMPUTED_VALUE"""),"")</f>
        <v/>
      </c>
      <c r="J920" s="189" t="str">
        <f ca="1">IFERROR(__xludf.DUMMYFUNCTION("""COMPUTED_VALUE"""),"")</f>
        <v/>
      </c>
      <c r="K920" s="189" t="str">
        <f ca="1">IFERROR(__xludf.DUMMYFUNCTION("""COMPUTED_VALUE"""),"")</f>
        <v/>
      </c>
      <c r="L920" s="189" t="str">
        <f ca="1">IFERROR(__xludf.DUMMYFUNCTION("""COMPUTED_VALUE"""),"")</f>
        <v/>
      </c>
      <c r="M920" s="189" t="str">
        <f ca="1">IFERROR(__xludf.DUMMYFUNCTION("""COMPUTED_VALUE"""),"")</f>
        <v/>
      </c>
      <c r="N920" s="189" t="str">
        <f ca="1">IFERROR(__xludf.DUMMYFUNCTION("""COMPUTED_VALUE"""),"")</f>
        <v/>
      </c>
      <c r="O920" s="189" t="str">
        <f ca="1">IFERROR(__xludf.DUMMYFUNCTION("""COMPUTED_VALUE"""),"")</f>
        <v/>
      </c>
      <c r="P920" s="189" t="str">
        <f ca="1">IFERROR(__xludf.DUMMYFUNCTION("""COMPUTED_VALUE"""),"")</f>
        <v/>
      </c>
      <c r="Q920" s="189" t="str">
        <f ca="1">IFERROR(__xludf.DUMMYFUNCTION("""COMPUTED_VALUE"""),"")</f>
        <v/>
      </c>
      <c r="R920" s="189" t="str">
        <f ca="1">IFERROR(__xludf.DUMMYFUNCTION("""COMPUTED_VALUE"""),"")</f>
        <v/>
      </c>
      <c r="S920" s="189" t="str">
        <f ca="1">IFERROR(__xludf.DUMMYFUNCTION("""COMPUTED_VALUE"""),"")</f>
        <v/>
      </c>
      <c r="T920" s="189" t="str">
        <f ca="1">IFERROR(__xludf.DUMMYFUNCTION("""COMPUTED_VALUE"""),"")</f>
        <v/>
      </c>
      <c r="U920" s="189" t="str">
        <f ca="1">IFERROR(__xludf.DUMMYFUNCTION("""COMPUTED_VALUE"""),"")</f>
        <v/>
      </c>
      <c r="V920" s="189" t="str">
        <f ca="1">IFERROR(__xludf.DUMMYFUNCTION("""COMPUTED_VALUE"""),"")</f>
        <v/>
      </c>
      <c r="W920" s="189" t="str">
        <f ca="1">IFERROR(__xludf.DUMMYFUNCTION("""COMPUTED_VALUE"""),"")</f>
        <v/>
      </c>
      <c r="X920" s="189" t="str">
        <f ca="1">IFERROR(__xludf.DUMMYFUNCTION("""COMPUTED_VALUE"""),"")</f>
        <v/>
      </c>
      <c r="Y920" s="189" t="str">
        <f ca="1">IFERROR(__xludf.DUMMYFUNCTION("""COMPUTED_VALUE"""),"")</f>
        <v/>
      </c>
      <c r="Z920" s="189"/>
    </row>
    <row r="921" spans="1:26" ht="12.75">
      <c r="A921" s="189" t="str">
        <f ca="1">IFERROR(__xludf.DUMMYFUNCTION("""COMPUTED_VALUE"""),"")</f>
        <v/>
      </c>
      <c r="B921" s="189" t="str">
        <f ca="1">IFERROR(__xludf.DUMMYFUNCTION("""COMPUTED_VALUE"""),"")</f>
        <v/>
      </c>
      <c r="C921" s="189" t="str">
        <f ca="1">IFERROR(__xludf.DUMMYFUNCTION("""COMPUTED_VALUE"""),"")</f>
        <v/>
      </c>
      <c r="D921" s="189" t="str">
        <f ca="1">IFERROR(__xludf.DUMMYFUNCTION("""COMPUTED_VALUE"""),"")</f>
        <v/>
      </c>
      <c r="E921" s="189" t="str">
        <f ca="1">IFERROR(__xludf.DUMMYFUNCTION("""COMPUTED_VALUE"""),"")</f>
        <v/>
      </c>
      <c r="F921" s="189" t="str">
        <f ca="1">IFERROR(__xludf.DUMMYFUNCTION("""COMPUTED_VALUE"""),"")</f>
        <v/>
      </c>
      <c r="G921" s="189" t="str">
        <f ca="1">IFERROR(__xludf.DUMMYFUNCTION("""COMPUTED_VALUE"""),"")</f>
        <v/>
      </c>
      <c r="H921" s="189" t="str">
        <f ca="1">IFERROR(__xludf.DUMMYFUNCTION("""COMPUTED_VALUE"""),"")</f>
        <v/>
      </c>
      <c r="I921" s="120" t="str">
        <f ca="1">IFERROR(__xludf.DUMMYFUNCTION("""COMPUTED_VALUE"""),"")</f>
        <v/>
      </c>
      <c r="J921" s="189" t="str">
        <f ca="1">IFERROR(__xludf.DUMMYFUNCTION("""COMPUTED_VALUE"""),"")</f>
        <v/>
      </c>
      <c r="K921" s="189" t="str">
        <f ca="1">IFERROR(__xludf.DUMMYFUNCTION("""COMPUTED_VALUE"""),"")</f>
        <v/>
      </c>
      <c r="L921" s="189" t="str">
        <f ca="1">IFERROR(__xludf.DUMMYFUNCTION("""COMPUTED_VALUE"""),"")</f>
        <v/>
      </c>
      <c r="M921" s="189" t="str">
        <f ca="1">IFERROR(__xludf.DUMMYFUNCTION("""COMPUTED_VALUE"""),"")</f>
        <v/>
      </c>
      <c r="N921" s="189" t="str">
        <f ca="1">IFERROR(__xludf.DUMMYFUNCTION("""COMPUTED_VALUE"""),"")</f>
        <v/>
      </c>
      <c r="O921" s="189" t="str">
        <f ca="1">IFERROR(__xludf.DUMMYFUNCTION("""COMPUTED_VALUE"""),"")</f>
        <v/>
      </c>
      <c r="P921" s="189" t="str">
        <f ca="1">IFERROR(__xludf.DUMMYFUNCTION("""COMPUTED_VALUE"""),"")</f>
        <v/>
      </c>
      <c r="Q921" s="189" t="str">
        <f ca="1">IFERROR(__xludf.DUMMYFUNCTION("""COMPUTED_VALUE"""),"")</f>
        <v/>
      </c>
      <c r="R921" s="189" t="str">
        <f ca="1">IFERROR(__xludf.DUMMYFUNCTION("""COMPUTED_VALUE"""),"")</f>
        <v/>
      </c>
      <c r="S921" s="189" t="str">
        <f ca="1">IFERROR(__xludf.DUMMYFUNCTION("""COMPUTED_VALUE"""),"")</f>
        <v/>
      </c>
      <c r="T921" s="189" t="str">
        <f ca="1">IFERROR(__xludf.DUMMYFUNCTION("""COMPUTED_VALUE"""),"")</f>
        <v/>
      </c>
      <c r="U921" s="189" t="str">
        <f ca="1">IFERROR(__xludf.DUMMYFUNCTION("""COMPUTED_VALUE"""),"")</f>
        <v/>
      </c>
      <c r="V921" s="189" t="str">
        <f ca="1">IFERROR(__xludf.DUMMYFUNCTION("""COMPUTED_VALUE"""),"")</f>
        <v/>
      </c>
      <c r="W921" s="189" t="str">
        <f ca="1">IFERROR(__xludf.DUMMYFUNCTION("""COMPUTED_VALUE"""),"")</f>
        <v/>
      </c>
      <c r="X921" s="189" t="str">
        <f ca="1">IFERROR(__xludf.DUMMYFUNCTION("""COMPUTED_VALUE"""),"")</f>
        <v/>
      </c>
      <c r="Y921" s="189" t="str">
        <f ca="1">IFERROR(__xludf.DUMMYFUNCTION("""COMPUTED_VALUE"""),"")</f>
        <v/>
      </c>
      <c r="Z921" s="189"/>
    </row>
    <row r="922" spans="1:26" ht="12.75">
      <c r="A922" s="189" t="str">
        <f ca="1">IFERROR(__xludf.DUMMYFUNCTION("""COMPUTED_VALUE"""),"")</f>
        <v/>
      </c>
      <c r="B922" s="189" t="str">
        <f ca="1">IFERROR(__xludf.DUMMYFUNCTION("""COMPUTED_VALUE"""),"")</f>
        <v/>
      </c>
      <c r="C922" s="189" t="str">
        <f ca="1">IFERROR(__xludf.DUMMYFUNCTION("""COMPUTED_VALUE"""),"")</f>
        <v/>
      </c>
      <c r="D922" s="189" t="str">
        <f ca="1">IFERROR(__xludf.DUMMYFUNCTION("""COMPUTED_VALUE"""),"")</f>
        <v/>
      </c>
      <c r="E922" s="189" t="str">
        <f ca="1">IFERROR(__xludf.DUMMYFUNCTION("""COMPUTED_VALUE"""),"")</f>
        <v/>
      </c>
      <c r="F922" s="189" t="str">
        <f ca="1">IFERROR(__xludf.DUMMYFUNCTION("""COMPUTED_VALUE"""),"")</f>
        <v/>
      </c>
      <c r="G922" s="189" t="str">
        <f ca="1">IFERROR(__xludf.DUMMYFUNCTION("""COMPUTED_VALUE"""),"")</f>
        <v/>
      </c>
      <c r="H922" s="189" t="str">
        <f ca="1">IFERROR(__xludf.DUMMYFUNCTION("""COMPUTED_VALUE"""),"")</f>
        <v/>
      </c>
      <c r="I922" s="120" t="str">
        <f ca="1">IFERROR(__xludf.DUMMYFUNCTION("""COMPUTED_VALUE"""),"")</f>
        <v/>
      </c>
      <c r="J922" s="189" t="str">
        <f ca="1">IFERROR(__xludf.DUMMYFUNCTION("""COMPUTED_VALUE"""),"")</f>
        <v/>
      </c>
      <c r="K922" s="189" t="str">
        <f ca="1">IFERROR(__xludf.DUMMYFUNCTION("""COMPUTED_VALUE"""),"")</f>
        <v/>
      </c>
      <c r="L922" s="189" t="str">
        <f ca="1">IFERROR(__xludf.DUMMYFUNCTION("""COMPUTED_VALUE"""),"")</f>
        <v/>
      </c>
      <c r="M922" s="189" t="str">
        <f ca="1">IFERROR(__xludf.DUMMYFUNCTION("""COMPUTED_VALUE"""),"")</f>
        <v/>
      </c>
      <c r="N922" s="189" t="str">
        <f ca="1">IFERROR(__xludf.DUMMYFUNCTION("""COMPUTED_VALUE"""),"")</f>
        <v/>
      </c>
      <c r="O922" s="189" t="str">
        <f ca="1">IFERROR(__xludf.DUMMYFUNCTION("""COMPUTED_VALUE"""),"")</f>
        <v/>
      </c>
      <c r="P922" s="189" t="str">
        <f ca="1">IFERROR(__xludf.DUMMYFUNCTION("""COMPUTED_VALUE"""),"")</f>
        <v/>
      </c>
      <c r="Q922" s="189" t="str">
        <f ca="1">IFERROR(__xludf.DUMMYFUNCTION("""COMPUTED_VALUE"""),"")</f>
        <v/>
      </c>
      <c r="R922" s="189" t="str">
        <f ca="1">IFERROR(__xludf.DUMMYFUNCTION("""COMPUTED_VALUE"""),"")</f>
        <v/>
      </c>
      <c r="S922" s="189" t="str">
        <f ca="1">IFERROR(__xludf.DUMMYFUNCTION("""COMPUTED_VALUE"""),"")</f>
        <v/>
      </c>
      <c r="T922" s="189" t="str">
        <f ca="1">IFERROR(__xludf.DUMMYFUNCTION("""COMPUTED_VALUE"""),"")</f>
        <v/>
      </c>
      <c r="U922" s="189" t="str">
        <f ca="1">IFERROR(__xludf.DUMMYFUNCTION("""COMPUTED_VALUE"""),"")</f>
        <v/>
      </c>
      <c r="V922" s="189" t="str">
        <f ca="1">IFERROR(__xludf.DUMMYFUNCTION("""COMPUTED_VALUE"""),"")</f>
        <v/>
      </c>
      <c r="W922" s="189" t="str">
        <f ca="1">IFERROR(__xludf.DUMMYFUNCTION("""COMPUTED_VALUE"""),"")</f>
        <v/>
      </c>
      <c r="X922" s="189" t="str">
        <f ca="1">IFERROR(__xludf.DUMMYFUNCTION("""COMPUTED_VALUE"""),"")</f>
        <v/>
      </c>
      <c r="Y922" s="189" t="str">
        <f ca="1">IFERROR(__xludf.DUMMYFUNCTION("""COMPUTED_VALUE"""),"")</f>
        <v/>
      </c>
      <c r="Z922" s="189"/>
    </row>
    <row r="923" spans="1:26" ht="12.75">
      <c r="A923" s="189" t="str">
        <f ca="1">IFERROR(__xludf.DUMMYFUNCTION("""COMPUTED_VALUE"""),"")</f>
        <v/>
      </c>
      <c r="B923" s="189" t="str">
        <f ca="1">IFERROR(__xludf.DUMMYFUNCTION("""COMPUTED_VALUE"""),"")</f>
        <v/>
      </c>
      <c r="C923" s="189" t="str">
        <f ca="1">IFERROR(__xludf.DUMMYFUNCTION("""COMPUTED_VALUE"""),"")</f>
        <v/>
      </c>
      <c r="D923" s="189" t="str">
        <f ca="1">IFERROR(__xludf.DUMMYFUNCTION("""COMPUTED_VALUE"""),"")</f>
        <v/>
      </c>
      <c r="E923" s="189" t="str">
        <f ca="1">IFERROR(__xludf.DUMMYFUNCTION("""COMPUTED_VALUE"""),"")</f>
        <v/>
      </c>
      <c r="F923" s="189" t="str">
        <f ca="1">IFERROR(__xludf.DUMMYFUNCTION("""COMPUTED_VALUE"""),"")</f>
        <v/>
      </c>
      <c r="G923" s="189" t="str">
        <f ca="1">IFERROR(__xludf.DUMMYFUNCTION("""COMPUTED_VALUE"""),"")</f>
        <v/>
      </c>
      <c r="H923" s="189" t="str">
        <f ca="1">IFERROR(__xludf.DUMMYFUNCTION("""COMPUTED_VALUE"""),"")</f>
        <v/>
      </c>
      <c r="I923" s="120" t="str">
        <f ca="1">IFERROR(__xludf.DUMMYFUNCTION("""COMPUTED_VALUE"""),"")</f>
        <v/>
      </c>
      <c r="J923" s="189" t="str">
        <f ca="1">IFERROR(__xludf.DUMMYFUNCTION("""COMPUTED_VALUE"""),"")</f>
        <v/>
      </c>
      <c r="K923" s="189" t="str">
        <f ca="1">IFERROR(__xludf.DUMMYFUNCTION("""COMPUTED_VALUE"""),"")</f>
        <v/>
      </c>
      <c r="L923" s="189" t="str">
        <f ca="1">IFERROR(__xludf.DUMMYFUNCTION("""COMPUTED_VALUE"""),"")</f>
        <v/>
      </c>
      <c r="M923" s="189" t="str">
        <f ca="1">IFERROR(__xludf.DUMMYFUNCTION("""COMPUTED_VALUE"""),"")</f>
        <v/>
      </c>
      <c r="N923" s="189" t="str">
        <f ca="1">IFERROR(__xludf.DUMMYFUNCTION("""COMPUTED_VALUE"""),"")</f>
        <v/>
      </c>
      <c r="O923" s="189" t="str">
        <f ca="1">IFERROR(__xludf.DUMMYFUNCTION("""COMPUTED_VALUE"""),"")</f>
        <v/>
      </c>
      <c r="P923" s="189" t="str">
        <f ca="1">IFERROR(__xludf.DUMMYFUNCTION("""COMPUTED_VALUE"""),"")</f>
        <v/>
      </c>
      <c r="Q923" s="189" t="str">
        <f ca="1">IFERROR(__xludf.DUMMYFUNCTION("""COMPUTED_VALUE"""),"")</f>
        <v/>
      </c>
      <c r="R923" s="189" t="str">
        <f ca="1">IFERROR(__xludf.DUMMYFUNCTION("""COMPUTED_VALUE"""),"")</f>
        <v/>
      </c>
      <c r="S923" s="189" t="str">
        <f ca="1">IFERROR(__xludf.DUMMYFUNCTION("""COMPUTED_VALUE"""),"")</f>
        <v/>
      </c>
      <c r="T923" s="189" t="str">
        <f ca="1">IFERROR(__xludf.DUMMYFUNCTION("""COMPUTED_VALUE"""),"")</f>
        <v/>
      </c>
      <c r="U923" s="189" t="str">
        <f ca="1">IFERROR(__xludf.DUMMYFUNCTION("""COMPUTED_VALUE"""),"")</f>
        <v/>
      </c>
      <c r="V923" s="189" t="str">
        <f ca="1">IFERROR(__xludf.DUMMYFUNCTION("""COMPUTED_VALUE"""),"")</f>
        <v/>
      </c>
      <c r="W923" s="189" t="str">
        <f ca="1">IFERROR(__xludf.DUMMYFUNCTION("""COMPUTED_VALUE"""),"")</f>
        <v/>
      </c>
      <c r="X923" s="189" t="str">
        <f ca="1">IFERROR(__xludf.DUMMYFUNCTION("""COMPUTED_VALUE"""),"")</f>
        <v/>
      </c>
      <c r="Y923" s="189" t="str">
        <f ca="1">IFERROR(__xludf.DUMMYFUNCTION("""COMPUTED_VALUE"""),"")</f>
        <v/>
      </c>
      <c r="Z923" s="189"/>
    </row>
    <row r="924" spans="1:26" ht="12.75">
      <c r="A924" s="189" t="str">
        <f ca="1">IFERROR(__xludf.DUMMYFUNCTION("""COMPUTED_VALUE"""),"")</f>
        <v/>
      </c>
      <c r="B924" s="189" t="str">
        <f ca="1">IFERROR(__xludf.DUMMYFUNCTION("""COMPUTED_VALUE"""),"")</f>
        <v/>
      </c>
      <c r="C924" s="189" t="str">
        <f ca="1">IFERROR(__xludf.DUMMYFUNCTION("""COMPUTED_VALUE"""),"")</f>
        <v/>
      </c>
      <c r="D924" s="189" t="str">
        <f ca="1">IFERROR(__xludf.DUMMYFUNCTION("""COMPUTED_VALUE"""),"")</f>
        <v/>
      </c>
      <c r="E924" s="189" t="str">
        <f ca="1">IFERROR(__xludf.DUMMYFUNCTION("""COMPUTED_VALUE"""),"")</f>
        <v/>
      </c>
      <c r="F924" s="189" t="str">
        <f ca="1">IFERROR(__xludf.DUMMYFUNCTION("""COMPUTED_VALUE"""),"")</f>
        <v/>
      </c>
      <c r="G924" s="189" t="str">
        <f ca="1">IFERROR(__xludf.DUMMYFUNCTION("""COMPUTED_VALUE"""),"")</f>
        <v/>
      </c>
      <c r="H924" s="189" t="str">
        <f ca="1">IFERROR(__xludf.DUMMYFUNCTION("""COMPUTED_VALUE"""),"")</f>
        <v/>
      </c>
      <c r="I924" s="120" t="str">
        <f ca="1">IFERROR(__xludf.DUMMYFUNCTION("""COMPUTED_VALUE"""),"")</f>
        <v/>
      </c>
      <c r="J924" s="189" t="str">
        <f ca="1">IFERROR(__xludf.DUMMYFUNCTION("""COMPUTED_VALUE"""),"")</f>
        <v/>
      </c>
      <c r="K924" s="189" t="str">
        <f ca="1">IFERROR(__xludf.DUMMYFUNCTION("""COMPUTED_VALUE"""),"")</f>
        <v/>
      </c>
      <c r="L924" s="189" t="str">
        <f ca="1">IFERROR(__xludf.DUMMYFUNCTION("""COMPUTED_VALUE"""),"")</f>
        <v/>
      </c>
      <c r="M924" s="189" t="str">
        <f ca="1">IFERROR(__xludf.DUMMYFUNCTION("""COMPUTED_VALUE"""),"")</f>
        <v/>
      </c>
      <c r="N924" s="189" t="str">
        <f ca="1">IFERROR(__xludf.DUMMYFUNCTION("""COMPUTED_VALUE"""),"")</f>
        <v/>
      </c>
      <c r="O924" s="189" t="str">
        <f ca="1">IFERROR(__xludf.DUMMYFUNCTION("""COMPUTED_VALUE"""),"")</f>
        <v/>
      </c>
      <c r="P924" s="189" t="str">
        <f ca="1">IFERROR(__xludf.DUMMYFUNCTION("""COMPUTED_VALUE"""),"")</f>
        <v/>
      </c>
      <c r="Q924" s="189" t="str">
        <f ca="1">IFERROR(__xludf.DUMMYFUNCTION("""COMPUTED_VALUE"""),"")</f>
        <v/>
      </c>
      <c r="R924" s="189" t="str">
        <f ca="1">IFERROR(__xludf.DUMMYFUNCTION("""COMPUTED_VALUE"""),"")</f>
        <v/>
      </c>
      <c r="S924" s="189" t="str">
        <f ca="1">IFERROR(__xludf.DUMMYFUNCTION("""COMPUTED_VALUE"""),"")</f>
        <v/>
      </c>
      <c r="T924" s="189" t="str">
        <f ca="1">IFERROR(__xludf.DUMMYFUNCTION("""COMPUTED_VALUE"""),"")</f>
        <v/>
      </c>
      <c r="U924" s="189" t="str">
        <f ca="1">IFERROR(__xludf.DUMMYFUNCTION("""COMPUTED_VALUE"""),"")</f>
        <v/>
      </c>
      <c r="V924" s="189" t="str">
        <f ca="1">IFERROR(__xludf.DUMMYFUNCTION("""COMPUTED_VALUE"""),"")</f>
        <v/>
      </c>
      <c r="W924" s="189" t="str">
        <f ca="1">IFERROR(__xludf.DUMMYFUNCTION("""COMPUTED_VALUE"""),"")</f>
        <v/>
      </c>
      <c r="X924" s="189" t="str">
        <f ca="1">IFERROR(__xludf.DUMMYFUNCTION("""COMPUTED_VALUE"""),"")</f>
        <v/>
      </c>
      <c r="Y924" s="189" t="str">
        <f ca="1">IFERROR(__xludf.DUMMYFUNCTION("""COMPUTED_VALUE"""),"")</f>
        <v/>
      </c>
      <c r="Z924" s="189"/>
    </row>
    <row r="925" spans="1:26" ht="12.75">
      <c r="A925" s="189" t="str">
        <f ca="1">IFERROR(__xludf.DUMMYFUNCTION("""COMPUTED_VALUE"""),"")</f>
        <v/>
      </c>
      <c r="B925" s="189" t="str">
        <f ca="1">IFERROR(__xludf.DUMMYFUNCTION("""COMPUTED_VALUE"""),"")</f>
        <v/>
      </c>
      <c r="C925" s="189" t="str">
        <f ca="1">IFERROR(__xludf.DUMMYFUNCTION("""COMPUTED_VALUE"""),"")</f>
        <v/>
      </c>
      <c r="D925" s="189" t="str">
        <f ca="1">IFERROR(__xludf.DUMMYFUNCTION("""COMPUTED_VALUE"""),"")</f>
        <v/>
      </c>
      <c r="E925" s="189" t="str">
        <f ca="1">IFERROR(__xludf.DUMMYFUNCTION("""COMPUTED_VALUE"""),"")</f>
        <v/>
      </c>
      <c r="F925" s="189" t="str">
        <f ca="1">IFERROR(__xludf.DUMMYFUNCTION("""COMPUTED_VALUE"""),"")</f>
        <v/>
      </c>
      <c r="G925" s="189" t="str">
        <f ca="1">IFERROR(__xludf.DUMMYFUNCTION("""COMPUTED_VALUE"""),"")</f>
        <v/>
      </c>
      <c r="H925" s="189" t="str">
        <f ca="1">IFERROR(__xludf.DUMMYFUNCTION("""COMPUTED_VALUE"""),"")</f>
        <v/>
      </c>
      <c r="I925" s="120" t="str">
        <f ca="1">IFERROR(__xludf.DUMMYFUNCTION("""COMPUTED_VALUE"""),"")</f>
        <v/>
      </c>
      <c r="J925" s="189" t="str">
        <f ca="1">IFERROR(__xludf.DUMMYFUNCTION("""COMPUTED_VALUE"""),"")</f>
        <v/>
      </c>
      <c r="K925" s="189" t="str">
        <f ca="1">IFERROR(__xludf.DUMMYFUNCTION("""COMPUTED_VALUE"""),"")</f>
        <v/>
      </c>
      <c r="L925" s="189" t="str">
        <f ca="1">IFERROR(__xludf.DUMMYFUNCTION("""COMPUTED_VALUE"""),"")</f>
        <v/>
      </c>
      <c r="M925" s="189" t="str">
        <f ca="1">IFERROR(__xludf.DUMMYFUNCTION("""COMPUTED_VALUE"""),"")</f>
        <v/>
      </c>
      <c r="N925" s="189" t="str">
        <f ca="1">IFERROR(__xludf.DUMMYFUNCTION("""COMPUTED_VALUE"""),"")</f>
        <v/>
      </c>
      <c r="O925" s="189" t="str">
        <f ca="1">IFERROR(__xludf.DUMMYFUNCTION("""COMPUTED_VALUE"""),"")</f>
        <v/>
      </c>
      <c r="P925" s="189" t="str">
        <f ca="1">IFERROR(__xludf.DUMMYFUNCTION("""COMPUTED_VALUE"""),"")</f>
        <v/>
      </c>
      <c r="Q925" s="189" t="str">
        <f ca="1">IFERROR(__xludf.DUMMYFUNCTION("""COMPUTED_VALUE"""),"")</f>
        <v/>
      </c>
      <c r="R925" s="189" t="str">
        <f ca="1">IFERROR(__xludf.DUMMYFUNCTION("""COMPUTED_VALUE"""),"")</f>
        <v/>
      </c>
      <c r="S925" s="189" t="str">
        <f ca="1">IFERROR(__xludf.DUMMYFUNCTION("""COMPUTED_VALUE"""),"")</f>
        <v/>
      </c>
      <c r="T925" s="189" t="str">
        <f ca="1">IFERROR(__xludf.DUMMYFUNCTION("""COMPUTED_VALUE"""),"")</f>
        <v/>
      </c>
      <c r="U925" s="189" t="str">
        <f ca="1">IFERROR(__xludf.DUMMYFUNCTION("""COMPUTED_VALUE"""),"")</f>
        <v/>
      </c>
      <c r="V925" s="189" t="str">
        <f ca="1">IFERROR(__xludf.DUMMYFUNCTION("""COMPUTED_VALUE"""),"")</f>
        <v/>
      </c>
      <c r="W925" s="189" t="str">
        <f ca="1">IFERROR(__xludf.DUMMYFUNCTION("""COMPUTED_VALUE"""),"")</f>
        <v/>
      </c>
      <c r="X925" s="189" t="str">
        <f ca="1">IFERROR(__xludf.DUMMYFUNCTION("""COMPUTED_VALUE"""),"")</f>
        <v/>
      </c>
      <c r="Y925" s="189" t="str">
        <f ca="1">IFERROR(__xludf.DUMMYFUNCTION("""COMPUTED_VALUE"""),"")</f>
        <v/>
      </c>
      <c r="Z925" s="189"/>
    </row>
    <row r="926" spans="1:26" ht="12.75">
      <c r="A926" s="189" t="str">
        <f ca="1">IFERROR(__xludf.DUMMYFUNCTION("""COMPUTED_VALUE"""),"")</f>
        <v/>
      </c>
      <c r="B926" s="189" t="str">
        <f ca="1">IFERROR(__xludf.DUMMYFUNCTION("""COMPUTED_VALUE"""),"")</f>
        <v/>
      </c>
      <c r="C926" s="189" t="str">
        <f ca="1">IFERROR(__xludf.DUMMYFUNCTION("""COMPUTED_VALUE"""),"")</f>
        <v/>
      </c>
      <c r="D926" s="189" t="str">
        <f ca="1">IFERROR(__xludf.DUMMYFUNCTION("""COMPUTED_VALUE"""),"")</f>
        <v/>
      </c>
      <c r="E926" s="189" t="str">
        <f ca="1">IFERROR(__xludf.DUMMYFUNCTION("""COMPUTED_VALUE"""),"")</f>
        <v/>
      </c>
      <c r="F926" s="189" t="str">
        <f ca="1">IFERROR(__xludf.DUMMYFUNCTION("""COMPUTED_VALUE"""),"")</f>
        <v/>
      </c>
      <c r="G926" s="189" t="str">
        <f ca="1">IFERROR(__xludf.DUMMYFUNCTION("""COMPUTED_VALUE"""),"")</f>
        <v/>
      </c>
      <c r="H926" s="189" t="str">
        <f ca="1">IFERROR(__xludf.DUMMYFUNCTION("""COMPUTED_VALUE"""),"")</f>
        <v/>
      </c>
      <c r="I926" s="120" t="str">
        <f ca="1">IFERROR(__xludf.DUMMYFUNCTION("""COMPUTED_VALUE"""),"")</f>
        <v/>
      </c>
      <c r="J926" s="189" t="str">
        <f ca="1">IFERROR(__xludf.DUMMYFUNCTION("""COMPUTED_VALUE"""),"")</f>
        <v/>
      </c>
      <c r="K926" s="189" t="str">
        <f ca="1">IFERROR(__xludf.DUMMYFUNCTION("""COMPUTED_VALUE"""),"")</f>
        <v/>
      </c>
      <c r="L926" s="189" t="str">
        <f ca="1">IFERROR(__xludf.DUMMYFUNCTION("""COMPUTED_VALUE"""),"")</f>
        <v/>
      </c>
      <c r="M926" s="189" t="str">
        <f ca="1">IFERROR(__xludf.DUMMYFUNCTION("""COMPUTED_VALUE"""),"")</f>
        <v/>
      </c>
      <c r="N926" s="189" t="str">
        <f ca="1">IFERROR(__xludf.DUMMYFUNCTION("""COMPUTED_VALUE"""),"")</f>
        <v/>
      </c>
      <c r="O926" s="189" t="str">
        <f ca="1">IFERROR(__xludf.DUMMYFUNCTION("""COMPUTED_VALUE"""),"")</f>
        <v/>
      </c>
      <c r="P926" s="189" t="str">
        <f ca="1">IFERROR(__xludf.DUMMYFUNCTION("""COMPUTED_VALUE"""),"")</f>
        <v/>
      </c>
      <c r="Q926" s="189" t="str">
        <f ca="1">IFERROR(__xludf.DUMMYFUNCTION("""COMPUTED_VALUE"""),"")</f>
        <v/>
      </c>
      <c r="R926" s="189" t="str">
        <f ca="1">IFERROR(__xludf.DUMMYFUNCTION("""COMPUTED_VALUE"""),"")</f>
        <v/>
      </c>
      <c r="S926" s="189" t="str">
        <f ca="1">IFERROR(__xludf.DUMMYFUNCTION("""COMPUTED_VALUE"""),"")</f>
        <v/>
      </c>
      <c r="T926" s="189" t="str">
        <f ca="1">IFERROR(__xludf.DUMMYFUNCTION("""COMPUTED_VALUE"""),"")</f>
        <v/>
      </c>
      <c r="U926" s="189" t="str">
        <f ca="1">IFERROR(__xludf.DUMMYFUNCTION("""COMPUTED_VALUE"""),"")</f>
        <v/>
      </c>
      <c r="V926" s="189" t="str">
        <f ca="1">IFERROR(__xludf.DUMMYFUNCTION("""COMPUTED_VALUE"""),"")</f>
        <v/>
      </c>
      <c r="W926" s="189" t="str">
        <f ca="1">IFERROR(__xludf.DUMMYFUNCTION("""COMPUTED_VALUE"""),"")</f>
        <v/>
      </c>
      <c r="X926" s="189" t="str">
        <f ca="1">IFERROR(__xludf.DUMMYFUNCTION("""COMPUTED_VALUE"""),"")</f>
        <v/>
      </c>
      <c r="Y926" s="189" t="str">
        <f ca="1">IFERROR(__xludf.DUMMYFUNCTION("""COMPUTED_VALUE"""),"")</f>
        <v/>
      </c>
      <c r="Z926" s="189"/>
    </row>
    <row r="927" spans="1:26" ht="12.75">
      <c r="A927" s="189" t="str">
        <f ca="1">IFERROR(__xludf.DUMMYFUNCTION("""COMPUTED_VALUE"""),"")</f>
        <v/>
      </c>
      <c r="B927" s="189" t="str">
        <f ca="1">IFERROR(__xludf.DUMMYFUNCTION("""COMPUTED_VALUE"""),"")</f>
        <v/>
      </c>
      <c r="C927" s="189" t="str">
        <f ca="1">IFERROR(__xludf.DUMMYFUNCTION("""COMPUTED_VALUE"""),"")</f>
        <v/>
      </c>
      <c r="D927" s="189" t="str">
        <f ca="1">IFERROR(__xludf.DUMMYFUNCTION("""COMPUTED_VALUE"""),"")</f>
        <v/>
      </c>
      <c r="E927" s="189" t="str">
        <f ca="1">IFERROR(__xludf.DUMMYFUNCTION("""COMPUTED_VALUE"""),"")</f>
        <v/>
      </c>
      <c r="F927" s="189" t="str">
        <f ca="1">IFERROR(__xludf.DUMMYFUNCTION("""COMPUTED_VALUE"""),"")</f>
        <v/>
      </c>
      <c r="G927" s="189" t="str">
        <f ca="1">IFERROR(__xludf.DUMMYFUNCTION("""COMPUTED_VALUE"""),"")</f>
        <v/>
      </c>
      <c r="H927" s="189" t="str">
        <f ca="1">IFERROR(__xludf.DUMMYFUNCTION("""COMPUTED_VALUE"""),"")</f>
        <v/>
      </c>
      <c r="I927" s="120" t="str">
        <f ca="1">IFERROR(__xludf.DUMMYFUNCTION("""COMPUTED_VALUE"""),"")</f>
        <v/>
      </c>
      <c r="J927" s="189" t="str">
        <f ca="1">IFERROR(__xludf.DUMMYFUNCTION("""COMPUTED_VALUE"""),"")</f>
        <v/>
      </c>
      <c r="K927" s="189" t="str">
        <f ca="1">IFERROR(__xludf.DUMMYFUNCTION("""COMPUTED_VALUE"""),"")</f>
        <v/>
      </c>
      <c r="L927" s="189" t="str">
        <f ca="1">IFERROR(__xludf.DUMMYFUNCTION("""COMPUTED_VALUE"""),"")</f>
        <v/>
      </c>
      <c r="M927" s="189" t="str">
        <f ca="1">IFERROR(__xludf.DUMMYFUNCTION("""COMPUTED_VALUE"""),"")</f>
        <v/>
      </c>
      <c r="N927" s="189" t="str">
        <f ca="1">IFERROR(__xludf.DUMMYFUNCTION("""COMPUTED_VALUE"""),"")</f>
        <v/>
      </c>
      <c r="O927" s="189" t="str">
        <f ca="1">IFERROR(__xludf.DUMMYFUNCTION("""COMPUTED_VALUE"""),"")</f>
        <v/>
      </c>
      <c r="P927" s="189" t="str">
        <f ca="1">IFERROR(__xludf.DUMMYFUNCTION("""COMPUTED_VALUE"""),"")</f>
        <v/>
      </c>
      <c r="Q927" s="189" t="str">
        <f ca="1">IFERROR(__xludf.DUMMYFUNCTION("""COMPUTED_VALUE"""),"")</f>
        <v/>
      </c>
      <c r="R927" s="189" t="str">
        <f ca="1">IFERROR(__xludf.DUMMYFUNCTION("""COMPUTED_VALUE"""),"")</f>
        <v/>
      </c>
      <c r="S927" s="189" t="str">
        <f ca="1">IFERROR(__xludf.DUMMYFUNCTION("""COMPUTED_VALUE"""),"")</f>
        <v/>
      </c>
      <c r="T927" s="189" t="str">
        <f ca="1">IFERROR(__xludf.DUMMYFUNCTION("""COMPUTED_VALUE"""),"")</f>
        <v/>
      </c>
      <c r="U927" s="189" t="str">
        <f ca="1">IFERROR(__xludf.DUMMYFUNCTION("""COMPUTED_VALUE"""),"")</f>
        <v/>
      </c>
      <c r="V927" s="189" t="str">
        <f ca="1">IFERROR(__xludf.DUMMYFUNCTION("""COMPUTED_VALUE"""),"")</f>
        <v/>
      </c>
      <c r="W927" s="189" t="str">
        <f ca="1">IFERROR(__xludf.DUMMYFUNCTION("""COMPUTED_VALUE"""),"")</f>
        <v/>
      </c>
      <c r="X927" s="189" t="str">
        <f ca="1">IFERROR(__xludf.DUMMYFUNCTION("""COMPUTED_VALUE"""),"")</f>
        <v/>
      </c>
      <c r="Y927" s="189" t="str">
        <f ca="1">IFERROR(__xludf.DUMMYFUNCTION("""COMPUTED_VALUE"""),"")</f>
        <v/>
      </c>
      <c r="Z927" s="189"/>
    </row>
    <row r="928" spans="1:26" ht="12.75">
      <c r="A928" s="189" t="str">
        <f ca="1">IFERROR(__xludf.DUMMYFUNCTION("""COMPUTED_VALUE"""),"")</f>
        <v/>
      </c>
      <c r="B928" s="189" t="str">
        <f ca="1">IFERROR(__xludf.DUMMYFUNCTION("""COMPUTED_VALUE"""),"")</f>
        <v/>
      </c>
      <c r="C928" s="189" t="str">
        <f ca="1">IFERROR(__xludf.DUMMYFUNCTION("""COMPUTED_VALUE"""),"")</f>
        <v/>
      </c>
      <c r="D928" s="189" t="str">
        <f ca="1">IFERROR(__xludf.DUMMYFUNCTION("""COMPUTED_VALUE"""),"")</f>
        <v/>
      </c>
      <c r="E928" s="189" t="str">
        <f ca="1">IFERROR(__xludf.DUMMYFUNCTION("""COMPUTED_VALUE"""),"")</f>
        <v/>
      </c>
      <c r="F928" s="189" t="str">
        <f ca="1">IFERROR(__xludf.DUMMYFUNCTION("""COMPUTED_VALUE"""),"")</f>
        <v/>
      </c>
      <c r="G928" s="189" t="str">
        <f ca="1">IFERROR(__xludf.DUMMYFUNCTION("""COMPUTED_VALUE"""),"")</f>
        <v/>
      </c>
      <c r="H928" s="189" t="str">
        <f ca="1">IFERROR(__xludf.DUMMYFUNCTION("""COMPUTED_VALUE"""),"")</f>
        <v/>
      </c>
      <c r="I928" s="120" t="str">
        <f ca="1">IFERROR(__xludf.DUMMYFUNCTION("""COMPUTED_VALUE"""),"")</f>
        <v/>
      </c>
      <c r="J928" s="189" t="str">
        <f ca="1">IFERROR(__xludf.DUMMYFUNCTION("""COMPUTED_VALUE"""),"")</f>
        <v/>
      </c>
      <c r="K928" s="189" t="str">
        <f ca="1">IFERROR(__xludf.DUMMYFUNCTION("""COMPUTED_VALUE"""),"")</f>
        <v/>
      </c>
      <c r="L928" s="189" t="str">
        <f ca="1">IFERROR(__xludf.DUMMYFUNCTION("""COMPUTED_VALUE"""),"")</f>
        <v/>
      </c>
      <c r="M928" s="189" t="str">
        <f ca="1">IFERROR(__xludf.DUMMYFUNCTION("""COMPUTED_VALUE"""),"")</f>
        <v/>
      </c>
      <c r="N928" s="189" t="str">
        <f ca="1">IFERROR(__xludf.DUMMYFUNCTION("""COMPUTED_VALUE"""),"")</f>
        <v/>
      </c>
      <c r="O928" s="189" t="str">
        <f ca="1">IFERROR(__xludf.DUMMYFUNCTION("""COMPUTED_VALUE"""),"")</f>
        <v/>
      </c>
      <c r="P928" s="189" t="str">
        <f ca="1">IFERROR(__xludf.DUMMYFUNCTION("""COMPUTED_VALUE"""),"")</f>
        <v/>
      </c>
      <c r="Q928" s="189" t="str">
        <f ca="1">IFERROR(__xludf.DUMMYFUNCTION("""COMPUTED_VALUE"""),"")</f>
        <v/>
      </c>
      <c r="R928" s="189" t="str">
        <f ca="1">IFERROR(__xludf.DUMMYFUNCTION("""COMPUTED_VALUE"""),"")</f>
        <v/>
      </c>
      <c r="S928" s="189" t="str">
        <f ca="1">IFERROR(__xludf.DUMMYFUNCTION("""COMPUTED_VALUE"""),"")</f>
        <v/>
      </c>
      <c r="T928" s="189" t="str">
        <f ca="1">IFERROR(__xludf.DUMMYFUNCTION("""COMPUTED_VALUE"""),"")</f>
        <v/>
      </c>
      <c r="U928" s="189" t="str">
        <f ca="1">IFERROR(__xludf.DUMMYFUNCTION("""COMPUTED_VALUE"""),"")</f>
        <v/>
      </c>
      <c r="V928" s="189" t="str">
        <f ca="1">IFERROR(__xludf.DUMMYFUNCTION("""COMPUTED_VALUE"""),"")</f>
        <v/>
      </c>
      <c r="W928" s="189" t="str">
        <f ca="1">IFERROR(__xludf.DUMMYFUNCTION("""COMPUTED_VALUE"""),"")</f>
        <v/>
      </c>
      <c r="X928" s="189" t="str">
        <f ca="1">IFERROR(__xludf.DUMMYFUNCTION("""COMPUTED_VALUE"""),"")</f>
        <v/>
      </c>
      <c r="Y928" s="189" t="str">
        <f ca="1">IFERROR(__xludf.DUMMYFUNCTION("""COMPUTED_VALUE"""),"")</f>
        <v/>
      </c>
      <c r="Z928" s="189"/>
    </row>
    <row r="929" spans="1:26" ht="12.75">
      <c r="A929" s="189" t="str">
        <f ca="1">IFERROR(__xludf.DUMMYFUNCTION("""COMPUTED_VALUE"""),"")</f>
        <v/>
      </c>
      <c r="B929" s="189" t="str">
        <f ca="1">IFERROR(__xludf.DUMMYFUNCTION("""COMPUTED_VALUE"""),"")</f>
        <v/>
      </c>
      <c r="C929" s="189" t="str">
        <f ca="1">IFERROR(__xludf.DUMMYFUNCTION("""COMPUTED_VALUE"""),"")</f>
        <v/>
      </c>
      <c r="D929" s="189" t="str">
        <f ca="1">IFERROR(__xludf.DUMMYFUNCTION("""COMPUTED_VALUE"""),"")</f>
        <v/>
      </c>
      <c r="E929" s="189" t="str">
        <f ca="1">IFERROR(__xludf.DUMMYFUNCTION("""COMPUTED_VALUE"""),"")</f>
        <v/>
      </c>
      <c r="F929" s="189" t="str">
        <f ca="1">IFERROR(__xludf.DUMMYFUNCTION("""COMPUTED_VALUE"""),"")</f>
        <v/>
      </c>
      <c r="G929" s="189" t="str">
        <f ca="1">IFERROR(__xludf.DUMMYFUNCTION("""COMPUTED_VALUE"""),"")</f>
        <v/>
      </c>
      <c r="H929" s="189" t="str">
        <f ca="1">IFERROR(__xludf.DUMMYFUNCTION("""COMPUTED_VALUE"""),"")</f>
        <v/>
      </c>
      <c r="I929" s="120" t="str">
        <f ca="1">IFERROR(__xludf.DUMMYFUNCTION("""COMPUTED_VALUE"""),"")</f>
        <v/>
      </c>
      <c r="J929" s="189" t="str">
        <f ca="1">IFERROR(__xludf.DUMMYFUNCTION("""COMPUTED_VALUE"""),"")</f>
        <v/>
      </c>
      <c r="K929" s="189" t="str">
        <f ca="1">IFERROR(__xludf.DUMMYFUNCTION("""COMPUTED_VALUE"""),"")</f>
        <v/>
      </c>
      <c r="L929" s="189" t="str">
        <f ca="1">IFERROR(__xludf.DUMMYFUNCTION("""COMPUTED_VALUE"""),"")</f>
        <v/>
      </c>
      <c r="M929" s="189" t="str">
        <f ca="1">IFERROR(__xludf.DUMMYFUNCTION("""COMPUTED_VALUE"""),"")</f>
        <v/>
      </c>
      <c r="N929" s="189" t="str">
        <f ca="1">IFERROR(__xludf.DUMMYFUNCTION("""COMPUTED_VALUE"""),"")</f>
        <v/>
      </c>
      <c r="O929" s="189" t="str">
        <f ca="1">IFERROR(__xludf.DUMMYFUNCTION("""COMPUTED_VALUE"""),"")</f>
        <v/>
      </c>
      <c r="P929" s="189" t="str">
        <f ca="1">IFERROR(__xludf.DUMMYFUNCTION("""COMPUTED_VALUE"""),"")</f>
        <v/>
      </c>
      <c r="Q929" s="189" t="str">
        <f ca="1">IFERROR(__xludf.DUMMYFUNCTION("""COMPUTED_VALUE"""),"")</f>
        <v/>
      </c>
      <c r="R929" s="189" t="str">
        <f ca="1">IFERROR(__xludf.DUMMYFUNCTION("""COMPUTED_VALUE"""),"")</f>
        <v/>
      </c>
      <c r="S929" s="189" t="str">
        <f ca="1">IFERROR(__xludf.DUMMYFUNCTION("""COMPUTED_VALUE"""),"")</f>
        <v/>
      </c>
      <c r="T929" s="189" t="str">
        <f ca="1">IFERROR(__xludf.DUMMYFUNCTION("""COMPUTED_VALUE"""),"")</f>
        <v/>
      </c>
      <c r="U929" s="189" t="str">
        <f ca="1">IFERROR(__xludf.DUMMYFUNCTION("""COMPUTED_VALUE"""),"")</f>
        <v/>
      </c>
      <c r="V929" s="189" t="str">
        <f ca="1">IFERROR(__xludf.DUMMYFUNCTION("""COMPUTED_VALUE"""),"")</f>
        <v/>
      </c>
      <c r="W929" s="189" t="str">
        <f ca="1">IFERROR(__xludf.DUMMYFUNCTION("""COMPUTED_VALUE"""),"")</f>
        <v/>
      </c>
      <c r="X929" s="189" t="str">
        <f ca="1">IFERROR(__xludf.DUMMYFUNCTION("""COMPUTED_VALUE"""),"")</f>
        <v/>
      </c>
      <c r="Y929" s="189" t="str">
        <f ca="1">IFERROR(__xludf.DUMMYFUNCTION("""COMPUTED_VALUE"""),"")</f>
        <v/>
      </c>
      <c r="Z929" s="189"/>
    </row>
    <row r="930" spans="1:26" ht="12.75">
      <c r="A930" s="189" t="str">
        <f ca="1">IFERROR(__xludf.DUMMYFUNCTION("""COMPUTED_VALUE"""),"")</f>
        <v/>
      </c>
      <c r="B930" s="189" t="str">
        <f ca="1">IFERROR(__xludf.DUMMYFUNCTION("""COMPUTED_VALUE"""),"")</f>
        <v/>
      </c>
      <c r="C930" s="189" t="str">
        <f ca="1">IFERROR(__xludf.DUMMYFUNCTION("""COMPUTED_VALUE"""),"")</f>
        <v/>
      </c>
      <c r="D930" s="189" t="str">
        <f ca="1">IFERROR(__xludf.DUMMYFUNCTION("""COMPUTED_VALUE"""),"")</f>
        <v/>
      </c>
      <c r="E930" s="189" t="str">
        <f ca="1">IFERROR(__xludf.DUMMYFUNCTION("""COMPUTED_VALUE"""),"")</f>
        <v/>
      </c>
      <c r="F930" s="189" t="str">
        <f ca="1">IFERROR(__xludf.DUMMYFUNCTION("""COMPUTED_VALUE"""),"")</f>
        <v/>
      </c>
      <c r="G930" s="189" t="str">
        <f ca="1">IFERROR(__xludf.DUMMYFUNCTION("""COMPUTED_VALUE"""),"")</f>
        <v/>
      </c>
      <c r="H930" s="189" t="str">
        <f ca="1">IFERROR(__xludf.DUMMYFUNCTION("""COMPUTED_VALUE"""),"")</f>
        <v/>
      </c>
      <c r="I930" s="120" t="str">
        <f ca="1">IFERROR(__xludf.DUMMYFUNCTION("""COMPUTED_VALUE"""),"")</f>
        <v/>
      </c>
      <c r="J930" s="189" t="str">
        <f ca="1">IFERROR(__xludf.DUMMYFUNCTION("""COMPUTED_VALUE"""),"")</f>
        <v/>
      </c>
      <c r="K930" s="189" t="str">
        <f ca="1">IFERROR(__xludf.DUMMYFUNCTION("""COMPUTED_VALUE"""),"")</f>
        <v/>
      </c>
      <c r="L930" s="189" t="str">
        <f ca="1">IFERROR(__xludf.DUMMYFUNCTION("""COMPUTED_VALUE"""),"")</f>
        <v/>
      </c>
      <c r="M930" s="189" t="str">
        <f ca="1">IFERROR(__xludf.DUMMYFUNCTION("""COMPUTED_VALUE"""),"")</f>
        <v/>
      </c>
      <c r="N930" s="189" t="str">
        <f ca="1">IFERROR(__xludf.DUMMYFUNCTION("""COMPUTED_VALUE"""),"")</f>
        <v/>
      </c>
      <c r="O930" s="189" t="str">
        <f ca="1">IFERROR(__xludf.DUMMYFUNCTION("""COMPUTED_VALUE"""),"")</f>
        <v/>
      </c>
      <c r="P930" s="189" t="str">
        <f ca="1">IFERROR(__xludf.DUMMYFUNCTION("""COMPUTED_VALUE"""),"")</f>
        <v/>
      </c>
      <c r="Q930" s="189" t="str">
        <f ca="1">IFERROR(__xludf.DUMMYFUNCTION("""COMPUTED_VALUE"""),"")</f>
        <v/>
      </c>
      <c r="R930" s="189" t="str">
        <f ca="1">IFERROR(__xludf.DUMMYFUNCTION("""COMPUTED_VALUE"""),"")</f>
        <v/>
      </c>
      <c r="S930" s="189" t="str">
        <f ca="1">IFERROR(__xludf.DUMMYFUNCTION("""COMPUTED_VALUE"""),"")</f>
        <v/>
      </c>
      <c r="T930" s="189" t="str">
        <f ca="1">IFERROR(__xludf.DUMMYFUNCTION("""COMPUTED_VALUE"""),"")</f>
        <v/>
      </c>
      <c r="U930" s="189" t="str">
        <f ca="1">IFERROR(__xludf.DUMMYFUNCTION("""COMPUTED_VALUE"""),"")</f>
        <v/>
      </c>
      <c r="V930" s="189" t="str">
        <f ca="1">IFERROR(__xludf.DUMMYFUNCTION("""COMPUTED_VALUE"""),"")</f>
        <v/>
      </c>
      <c r="W930" s="189" t="str">
        <f ca="1">IFERROR(__xludf.DUMMYFUNCTION("""COMPUTED_VALUE"""),"")</f>
        <v/>
      </c>
      <c r="X930" s="189" t="str">
        <f ca="1">IFERROR(__xludf.DUMMYFUNCTION("""COMPUTED_VALUE"""),"")</f>
        <v/>
      </c>
      <c r="Y930" s="189" t="str">
        <f ca="1">IFERROR(__xludf.DUMMYFUNCTION("""COMPUTED_VALUE"""),"")</f>
        <v/>
      </c>
      <c r="Z930" s="189"/>
    </row>
    <row r="931" spans="1:26" ht="12.75">
      <c r="A931" s="189" t="str">
        <f ca="1">IFERROR(__xludf.DUMMYFUNCTION("""COMPUTED_VALUE"""),"")</f>
        <v/>
      </c>
      <c r="B931" s="189" t="str">
        <f ca="1">IFERROR(__xludf.DUMMYFUNCTION("""COMPUTED_VALUE"""),"")</f>
        <v/>
      </c>
      <c r="C931" s="189" t="str">
        <f ca="1">IFERROR(__xludf.DUMMYFUNCTION("""COMPUTED_VALUE"""),"")</f>
        <v/>
      </c>
      <c r="D931" s="189" t="str">
        <f ca="1">IFERROR(__xludf.DUMMYFUNCTION("""COMPUTED_VALUE"""),"")</f>
        <v/>
      </c>
      <c r="E931" s="189" t="str">
        <f ca="1">IFERROR(__xludf.DUMMYFUNCTION("""COMPUTED_VALUE"""),"")</f>
        <v/>
      </c>
      <c r="F931" s="189" t="str">
        <f ca="1">IFERROR(__xludf.DUMMYFUNCTION("""COMPUTED_VALUE"""),"")</f>
        <v/>
      </c>
      <c r="G931" s="189" t="str">
        <f ca="1">IFERROR(__xludf.DUMMYFUNCTION("""COMPUTED_VALUE"""),"")</f>
        <v/>
      </c>
      <c r="H931" s="189" t="str">
        <f ca="1">IFERROR(__xludf.DUMMYFUNCTION("""COMPUTED_VALUE"""),"")</f>
        <v/>
      </c>
      <c r="I931" s="120" t="str">
        <f ca="1">IFERROR(__xludf.DUMMYFUNCTION("""COMPUTED_VALUE"""),"")</f>
        <v/>
      </c>
      <c r="J931" s="189" t="str">
        <f ca="1">IFERROR(__xludf.DUMMYFUNCTION("""COMPUTED_VALUE"""),"")</f>
        <v/>
      </c>
      <c r="K931" s="189" t="str">
        <f ca="1">IFERROR(__xludf.DUMMYFUNCTION("""COMPUTED_VALUE"""),"")</f>
        <v/>
      </c>
      <c r="L931" s="189" t="str">
        <f ca="1">IFERROR(__xludf.DUMMYFUNCTION("""COMPUTED_VALUE"""),"")</f>
        <v/>
      </c>
      <c r="M931" s="189" t="str">
        <f ca="1">IFERROR(__xludf.DUMMYFUNCTION("""COMPUTED_VALUE"""),"")</f>
        <v/>
      </c>
      <c r="N931" s="189" t="str">
        <f ca="1">IFERROR(__xludf.DUMMYFUNCTION("""COMPUTED_VALUE"""),"")</f>
        <v/>
      </c>
      <c r="O931" s="189" t="str">
        <f ca="1">IFERROR(__xludf.DUMMYFUNCTION("""COMPUTED_VALUE"""),"")</f>
        <v/>
      </c>
      <c r="P931" s="189" t="str">
        <f ca="1">IFERROR(__xludf.DUMMYFUNCTION("""COMPUTED_VALUE"""),"")</f>
        <v/>
      </c>
      <c r="Q931" s="189" t="str">
        <f ca="1">IFERROR(__xludf.DUMMYFUNCTION("""COMPUTED_VALUE"""),"")</f>
        <v/>
      </c>
      <c r="R931" s="189" t="str">
        <f ca="1">IFERROR(__xludf.DUMMYFUNCTION("""COMPUTED_VALUE"""),"")</f>
        <v/>
      </c>
      <c r="S931" s="189" t="str">
        <f ca="1">IFERROR(__xludf.DUMMYFUNCTION("""COMPUTED_VALUE"""),"")</f>
        <v/>
      </c>
      <c r="T931" s="189" t="str">
        <f ca="1">IFERROR(__xludf.DUMMYFUNCTION("""COMPUTED_VALUE"""),"")</f>
        <v/>
      </c>
      <c r="U931" s="189" t="str">
        <f ca="1">IFERROR(__xludf.DUMMYFUNCTION("""COMPUTED_VALUE"""),"")</f>
        <v/>
      </c>
      <c r="V931" s="189" t="str">
        <f ca="1">IFERROR(__xludf.DUMMYFUNCTION("""COMPUTED_VALUE"""),"")</f>
        <v/>
      </c>
      <c r="W931" s="189" t="str">
        <f ca="1">IFERROR(__xludf.DUMMYFUNCTION("""COMPUTED_VALUE"""),"")</f>
        <v/>
      </c>
      <c r="X931" s="189" t="str">
        <f ca="1">IFERROR(__xludf.DUMMYFUNCTION("""COMPUTED_VALUE"""),"")</f>
        <v/>
      </c>
      <c r="Y931" s="189" t="str">
        <f ca="1">IFERROR(__xludf.DUMMYFUNCTION("""COMPUTED_VALUE"""),"")</f>
        <v/>
      </c>
      <c r="Z931" s="189"/>
    </row>
    <row r="932" spans="1:26" ht="12.75">
      <c r="A932" s="189" t="str">
        <f ca="1">IFERROR(__xludf.DUMMYFUNCTION("""COMPUTED_VALUE"""),"")</f>
        <v/>
      </c>
      <c r="B932" s="189" t="str">
        <f ca="1">IFERROR(__xludf.DUMMYFUNCTION("""COMPUTED_VALUE"""),"")</f>
        <v/>
      </c>
      <c r="C932" s="189" t="str">
        <f ca="1">IFERROR(__xludf.DUMMYFUNCTION("""COMPUTED_VALUE"""),"")</f>
        <v/>
      </c>
      <c r="D932" s="189" t="str">
        <f ca="1">IFERROR(__xludf.DUMMYFUNCTION("""COMPUTED_VALUE"""),"")</f>
        <v/>
      </c>
      <c r="E932" s="189" t="str">
        <f ca="1">IFERROR(__xludf.DUMMYFUNCTION("""COMPUTED_VALUE"""),"")</f>
        <v/>
      </c>
      <c r="F932" s="189" t="str">
        <f ca="1">IFERROR(__xludf.DUMMYFUNCTION("""COMPUTED_VALUE"""),"")</f>
        <v/>
      </c>
      <c r="G932" s="189" t="str">
        <f ca="1">IFERROR(__xludf.DUMMYFUNCTION("""COMPUTED_VALUE"""),"")</f>
        <v/>
      </c>
      <c r="H932" s="189" t="str">
        <f ca="1">IFERROR(__xludf.DUMMYFUNCTION("""COMPUTED_VALUE"""),"")</f>
        <v/>
      </c>
      <c r="I932" s="120" t="str">
        <f ca="1">IFERROR(__xludf.DUMMYFUNCTION("""COMPUTED_VALUE"""),"")</f>
        <v/>
      </c>
      <c r="J932" s="189" t="str">
        <f ca="1">IFERROR(__xludf.DUMMYFUNCTION("""COMPUTED_VALUE"""),"")</f>
        <v/>
      </c>
      <c r="K932" s="189" t="str">
        <f ca="1">IFERROR(__xludf.DUMMYFUNCTION("""COMPUTED_VALUE"""),"")</f>
        <v/>
      </c>
      <c r="L932" s="189" t="str">
        <f ca="1">IFERROR(__xludf.DUMMYFUNCTION("""COMPUTED_VALUE"""),"")</f>
        <v/>
      </c>
      <c r="M932" s="189" t="str">
        <f ca="1">IFERROR(__xludf.DUMMYFUNCTION("""COMPUTED_VALUE"""),"")</f>
        <v/>
      </c>
      <c r="N932" s="189" t="str">
        <f ca="1">IFERROR(__xludf.DUMMYFUNCTION("""COMPUTED_VALUE"""),"")</f>
        <v/>
      </c>
      <c r="O932" s="189" t="str">
        <f ca="1">IFERROR(__xludf.DUMMYFUNCTION("""COMPUTED_VALUE"""),"")</f>
        <v/>
      </c>
      <c r="P932" s="189" t="str">
        <f ca="1">IFERROR(__xludf.DUMMYFUNCTION("""COMPUTED_VALUE"""),"")</f>
        <v/>
      </c>
      <c r="Q932" s="189" t="str">
        <f ca="1">IFERROR(__xludf.DUMMYFUNCTION("""COMPUTED_VALUE"""),"")</f>
        <v/>
      </c>
      <c r="R932" s="189" t="str">
        <f ca="1">IFERROR(__xludf.DUMMYFUNCTION("""COMPUTED_VALUE"""),"")</f>
        <v/>
      </c>
      <c r="S932" s="189" t="str">
        <f ca="1">IFERROR(__xludf.DUMMYFUNCTION("""COMPUTED_VALUE"""),"")</f>
        <v/>
      </c>
      <c r="T932" s="189" t="str">
        <f ca="1">IFERROR(__xludf.DUMMYFUNCTION("""COMPUTED_VALUE"""),"")</f>
        <v/>
      </c>
      <c r="U932" s="189" t="str">
        <f ca="1">IFERROR(__xludf.DUMMYFUNCTION("""COMPUTED_VALUE"""),"")</f>
        <v/>
      </c>
      <c r="V932" s="189" t="str">
        <f ca="1">IFERROR(__xludf.DUMMYFUNCTION("""COMPUTED_VALUE"""),"")</f>
        <v/>
      </c>
      <c r="W932" s="189" t="str">
        <f ca="1">IFERROR(__xludf.DUMMYFUNCTION("""COMPUTED_VALUE"""),"")</f>
        <v/>
      </c>
      <c r="X932" s="189" t="str">
        <f ca="1">IFERROR(__xludf.DUMMYFUNCTION("""COMPUTED_VALUE"""),"")</f>
        <v/>
      </c>
      <c r="Y932" s="189" t="str">
        <f ca="1">IFERROR(__xludf.DUMMYFUNCTION("""COMPUTED_VALUE"""),"")</f>
        <v/>
      </c>
      <c r="Z932" s="189"/>
    </row>
    <row r="933" spans="1:26" ht="12.75">
      <c r="A933" s="189" t="str">
        <f ca="1">IFERROR(__xludf.DUMMYFUNCTION("""COMPUTED_VALUE"""),"")</f>
        <v/>
      </c>
      <c r="B933" s="189" t="str">
        <f ca="1">IFERROR(__xludf.DUMMYFUNCTION("""COMPUTED_VALUE"""),"")</f>
        <v/>
      </c>
      <c r="C933" s="189" t="str">
        <f ca="1">IFERROR(__xludf.DUMMYFUNCTION("""COMPUTED_VALUE"""),"")</f>
        <v/>
      </c>
      <c r="D933" s="189" t="str">
        <f ca="1">IFERROR(__xludf.DUMMYFUNCTION("""COMPUTED_VALUE"""),"")</f>
        <v/>
      </c>
      <c r="E933" s="189" t="str">
        <f ca="1">IFERROR(__xludf.DUMMYFUNCTION("""COMPUTED_VALUE"""),"")</f>
        <v/>
      </c>
      <c r="F933" s="189" t="str">
        <f ca="1">IFERROR(__xludf.DUMMYFUNCTION("""COMPUTED_VALUE"""),"")</f>
        <v/>
      </c>
      <c r="G933" s="189" t="str">
        <f ca="1">IFERROR(__xludf.DUMMYFUNCTION("""COMPUTED_VALUE"""),"")</f>
        <v/>
      </c>
      <c r="H933" s="189" t="str">
        <f ca="1">IFERROR(__xludf.DUMMYFUNCTION("""COMPUTED_VALUE"""),"")</f>
        <v/>
      </c>
      <c r="I933" s="120" t="str">
        <f ca="1">IFERROR(__xludf.DUMMYFUNCTION("""COMPUTED_VALUE"""),"")</f>
        <v/>
      </c>
      <c r="J933" s="189" t="str">
        <f ca="1">IFERROR(__xludf.DUMMYFUNCTION("""COMPUTED_VALUE"""),"")</f>
        <v/>
      </c>
      <c r="K933" s="189" t="str">
        <f ca="1">IFERROR(__xludf.DUMMYFUNCTION("""COMPUTED_VALUE"""),"")</f>
        <v/>
      </c>
      <c r="L933" s="189" t="str">
        <f ca="1">IFERROR(__xludf.DUMMYFUNCTION("""COMPUTED_VALUE"""),"")</f>
        <v/>
      </c>
      <c r="M933" s="189" t="str">
        <f ca="1">IFERROR(__xludf.DUMMYFUNCTION("""COMPUTED_VALUE"""),"")</f>
        <v/>
      </c>
      <c r="N933" s="189" t="str">
        <f ca="1">IFERROR(__xludf.DUMMYFUNCTION("""COMPUTED_VALUE"""),"")</f>
        <v/>
      </c>
      <c r="O933" s="189" t="str">
        <f ca="1">IFERROR(__xludf.DUMMYFUNCTION("""COMPUTED_VALUE"""),"")</f>
        <v/>
      </c>
      <c r="P933" s="189" t="str">
        <f ca="1">IFERROR(__xludf.DUMMYFUNCTION("""COMPUTED_VALUE"""),"")</f>
        <v/>
      </c>
      <c r="Q933" s="189" t="str">
        <f ca="1">IFERROR(__xludf.DUMMYFUNCTION("""COMPUTED_VALUE"""),"")</f>
        <v/>
      </c>
      <c r="R933" s="189" t="str">
        <f ca="1">IFERROR(__xludf.DUMMYFUNCTION("""COMPUTED_VALUE"""),"")</f>
        <v/>
      </c>
      <c r="S933" s="189" t="str">
        <f ca="1">IFERROR(__xludf.DUMMYFUNCTION("""COMPUTED_VALUE"""),"")</f>
        <v/>
      </c>
      <c r="T933" s="189" t="str">
        <f ca="1">IFERROR(__xludf.DUMMYFUNCTION("""COMPUTED_VALUE"""),"")</f>
        <v/>
      </c>
      <c r="U933" s="189" t="str">
        <f ca="1">IFERROR(__xludf.DUMMYFUNCTION("""COMPUTED_VALUE"""),"")</f>
        <v/>
      </c>
      <c r="V933" s="189" t="str">
        <f ca="1">IFERROR(__xludf.DUMMYFUNCTION("""COMPUTED_VALUE"""),"")</f>
        <v/>
      </c>
      <c r="W933" s="189" t="str">
        <f ca="1">IFERROR(__xludf.DUMMYFUNCTION("""COMPUTED_VALUE"""),"")</f>
        <v/>
      </c>
      <c r="X933" s="189" t="str">
        <f ca="1">IFERROR(__xludf.DUMMYFUNCTION("""COMPUTED_VALUE"""),"")</f>
        <v/>
      </c>
      <c r="Y933" s="189" t="str">
        <f ca="1">IFERROR(__xludf.DUMMYFUNCTION("""COMPUTED_VALUE"""),"")</f>
        <v/>
      </c>
      <c r="Z933" s="189"/>
    </row>
    <row r="934" spans="1:26" ht="12.75">
      <c r="A934" s="189" t="str">
        <f ca="1">IFERROR(__xludf.DUMMYFUNCTION("""COMPUTED_VALUE"""),"")</f>
        <v/>
      </c>
      <c r="B934" s="189" t="str">
        <f ca="1">IFERROR(__xludf.DUMMYFUNCTION("""COMPUTED_VALUE"""),"")</f>
        <v/>
      </c>
      <c r="C934" s="189" t="str">
        <f ca="1">IFERROR(__xludf.DUMMYFUNCTION("""COMPUTED_VALUE"""),"")</f>
        <v/>
      </c>
      <c r="D934" s="189" t="str">
        <f ca="1">IFERROR(__xludf.DUMMYFUNCTION("""COMPUTED_VALUE"""),"")</f>
        <v/>
      </c>
      <c r="E934" s="189" t="str">
        <f ca="1">IFERROR(__xludf.DUMMYFUNCTION("""COMPUTED_VALUE"""),"")</f>
        <v/>
      </c>
      <c r="F934" s="189" t="str">
        <f ca="1">IFERROR(__xludf.DUMMYFUNCTION("""COMPUTED_VALUE"""),"")</f>
        <v/>
      </c>
      <c r="G934" s="189" t="str">
        <f ca="1">IFERROR(__xludf.DUMMYFUNCTION("""COMPUTED_VALUE"""),"")</f>
        <v/>
      </c>
      <c r="H934" s="189" t="str">
        <f ca="1">IFERROR(__xludf.DUMMYFUNCTION("""COMPUTED_VALUE"""),"")</f>
        <v/>
      </c>
      <c r="I934" s="120" t="str">
        <f ca="1">IFERROR(__xludf.DUMMYFUNCTION("""COMPUTED_VALUE"""),"")</f>
        <v/>
      </c>
      <c r="J934" s="189" t="str">
        <f ca="1">IFERROR(__xludf.DUMMYFUNCTION("""COMPUTED_VALUE"""),"")</f>
        <v/>
      </c>
      <c r="K934" s="189" t="str">
        <f ca="1">IFERROR(__xludf.DUMMYFUNCTION("""COMPUTED_VALUE"""),"")</f>
        <v/>
      </c>
      <c r="L934" s="189" t="str">
        <f ca="1">IFERROR(__xludf.DUMMYFUNCTION("""COMPUTED_VALUE"""),"")</f>
        <v/>
      </c>
      <c r="M934" s="189" t="str">
        <f ca="1">IFERROR(__xludf.DUMMYFUNCTION("""COMPUTED_VALUE"""),"")</f>
        <v/>
      </c>
      <c r="N934" s="189" t="str">
        <f ca="1">IFERROR(__xludf.DUMMYFUNCTION("""COMPUTED_VALUE"""),"")</f>
        <v/>
      </c>
      <c r="O934" s="189" t="str">
        <f ca="1">IFERROR(__xludf.DUMMYFUNCTION("""COMPUTED_VALUE"""),"")</f>
        <v/>
      </c>
      <c r="P934" s="189" t="str">
        <f ca="1">IFERROR(__xludf.DUMMYFUNCTION("""COMPUTED_VALUE"""),"")</f>
        <v/>
      </c>
      <c r="Q934" s="189" t="str">
        <f ca="1">IFERROR(__xludf.DUMMYFUNCTION("""COMPUTED_VALUE"""),"")</f>
        <v/>
      </c>
      <c r="R934" s="189" t="str">
        <f ca="1">IFERROR(__xludf.DUMMYFUNCTION("""COMPUTED_VALUE"""),"")</f>
        <v/>
      </c>
      <c r="S934" s="189" t="str">
        <f ca="1">IFERROR(__xludf.DUMMYFUNCTION("""COMPUTED_VALUE"""),"")</f>
        <v/>
      </c>
      <c r="T934" s="189" t="str">
        <f ca="1">IFERROR(__xludf.DUMMYFUNCTION("""COMPUTED_VALUE"""),"")</f>
        <v/>
      </c>
      <c r="U934" s="189" t="str">
        <f ca="1">IFERROR(__xludf.DUMMYFUNCTION("""COMPUTED_VALUE"""),"")</f>
        <v/>
      </c>
      <c r="V934" s="189" t="str">
        <f ca="1">IFERROR(__xludf.DUMMYFUNCTION("""COMPUTED_VALUE"""),"")</f>
        <v/>
      </c>
      <c r="W934" s="189" t="str">
        <f ca="1">IFERROR(__xludf.DUMMYFUNCTION("""COMPUTED_VALUE"""),"")</f>
        <v/>
      </c>
      <c r="X934" s="189" t="str">
        <f ca="1">IFERROR(__xludf.DUMMYFUNCTION("""COMPUTED_VALUE"""),"")</f>
        <v/>
      </c>
      <c r="Y934" s="189" t="str">
        <f ca="1">IFERROR(__xludf.DUMMYFUNCTION("""COMPUTED_VALUE"""),"")</f>
        <v/>
      </c>
      <c r="Z934" s="189"/>
    </row>
    <row r="935" spans="1:26" ht="12.75">
      <c r="A935" s="189" t="str">
        <f ca="1">IFERROR(__xludf.DUMMYFUNCTION("""COMPUTED_VALUE"""),"")</f>
        <v/>
      </c>
      <c r="B935" s="189" t="str">
        <f ca="1">IFERROR(__xludf.DUMMYFUNCTION("""COMPUTED_VALUE"""),"")</f>
        <v/>
      </c>
      <c r="C935" s="189" t="str">
        <f ca="1">IFERROR(__xludf.DUMMYFUNCTION("""COMPUTED_VALUE"""),"")</f>
        <v/>
      </c>
      <c r="D935" s="189" t="str">
        <f ca="1">IFERROR(__xludf.DUMMYFUNCTION("""COMPUTED_VALUE"""),"")</f>
        <v/>
      </c>
      <c r="E935" s="189" t="str">
        <f ca="1">IFERROR(__xludf.DUMMYFUNCTION("""COMPUTED_VALUE"""),"")</f>
        <v/>
      </c>
      <c r="F935" s="189" t="str">
        <f ca="1">IFERROR(__xludf.DUMMYFUNCTION("""COMPUTED_VALUE"""),"")</f>
        <v/>
      </c>
      <c r="G935" s="189" t="str">
        <f ca="1">IFERROR(__xludf.DUMMYFUNCTION("""COMPUTED_VALUE"""),"")</f>
        <v/>
      </c>
      <c r="H935" s="189" t="str">
        <f ca="1">IFERROR(__xludf.DUMMYFUNCTION("""COMPUTED_VALUE"""),"")</f>
        <v/>
      </c>
      <c r="I935" s="120" t="str">
        <f ca="1">IFERROR(__xludf.DUMMYFUNCTION("""COMPUTED_VALUE"""),"")</f>
        <v/>
      </c>
      <c r="J935" s="189" t="str">
        <f ca="1">IFERROR(__xludf.DUMMYFUNCTION("""COMPUTED_VALUE"""),"")</f>
        <v/>
      </c>
      <c r="K935" s="189" t="str">
        <f ca="1">IFERROR(__xludf.DUMMYFUNCTION("""COMPUTED_VALUE"""),"")</f>
        <v/>
      </c>
      <c r="L935" s="189" t="str">
        <f ca="1">IFERROR(__xludf.DUMMYFUNCTION("""COMPUTED_VALUE"""),"")</f>
        <v/>
      </c>
      <c r="M935" s="189" t="str">
        <f ca="1">IFERROR(__xludf.DUMMYFUNCTION("""COMPUTED_VALUE"""),"")</f>
        <v/>
      </c>
      <c r="N935" s="189" t="str">
        <f ca="1">IFERROR(__xludf.DUMMYFUNCTION("""COMPUTED_VALUE"""),"")</f>
        <v/>
      </c>
      <c r="O935" s="189" t="str">
        <f ca="1">IFERROR(__xludf.DUMMYFUNCTION("""COMPUTED_VALUE"""),"")</f>
        <v/>
      </c>
      <c r="P935" s="189" t="str">
        <f ca="1">IFERROR(__xludf.DUMMYFUNCTION("""COMPUTED_VALUE"""),"")</f>
        <v/>
      </c>
      <c r="Q935" s="189" t="str">
        <f ca="1">IFERROR(__xludf.DUMMYFUNCTION("""COMPUTED_VALUE"""),"")</f>
        <v/>
      </c>
      <c r="R935" s="189" t="str">
        <f ca="1">IFERROR(__xludf.DUMMYFUNCTION("""COMPUTED_VALUE"""),"")</f>
        <v/>
      </c>
      <c r="S935" s="189" t="str">
        <f ca="1">IFERROR(__xludf.DUMMYFUNCTION("""COMPUTED_VALUE"""),"")</f>
        <v/>
      </c>
      <c r="T935" s="189" t="str">
        <f ca="1">IFERROR(__xludf.DUMMYFUNCTION("""COMPUTED_VALUE"""),"")</f>
        <v/>
      </c>
      <c r="U935" s="189" t="str">
        <f ca="1">IFERROR(__xludf.DUMMYFUNCTION("""COMPUTED_VALUE"""),"")</f>
        <v/>
      </c>
      <c r="V935" s="189" t="str">
        <f ca="1">IFERROR(__xludf.DUMMYFUNCTION("""COMPUTED_VALUE"""),"")</f>
        <v/>
      </c>
      <c r="W935" s="189" t="str">
        <f ca="1">IFERROR(__xludf.DUMMYFUNCTION("""COMPUTED_VALUE"""),"")</f>
        <v/>
      </c>
      <c r="X935" s="189" t="str">
        <f ca="1">IFERROR(__xludf.DUMMYFUNCTION("""COMPUTED_VALUE"""),"")</f>
        <v/>
      </c>
      <c r="Y935" s="189" t="str">
        <f ca="1">IFERROR(__xludf.DUMMYFUNCTION("""COMPUTED_VALUE"""),"")</f>
        <v/>
      </c>
      <c r="Z935" s="189"/>
    </row>
    <row r="936" spans="1:26" ht="12.75">
      <c r="A936" s="189" t="str">
        <f ca="1">IFERROR(__xludf.DUMMYFUNCTION("""COMPUTED_VALUE"""),"")</f>
        <v/>
      </c>
      <c r="B936" s="189" t="str">
        <f ca="1">IFERROR(__xludf.DUMMYFUNCTION("""COMPUTED_VALUE"""),"")</f>
        <v/>
      </c>
      <c r="C936" s="189" t="str">
        <f ca="1">IFERROR(__xludf.DUMMYFUNCTION("""COMPUTED_VALUE"""),"")</f>
        <v/>
      </c>
      <c r="D936" s="189" t="str">
        <f ca="1">IFERROR(__xludf.DUMMYFUNCTION("""COMPUTED_VALUE"""),"")</f>
        <v/>
      </c>
      <c r="E936" s="189" t="str">
        <f ca="1">IFERROR(__xludf.DUMMYFUNCTION("""COMPUTED_VALUE"""),"")</f>
        <v/>
      </c>
      <c r="F936" s="189" t="str">
        <f ca="1">IFERROR(__xludf.DUMMYFUNCTION("""COMPUTED_VALUE"""),"")</f>
        <v/>
      </c>
      <c r="G936" s="189" t="str">
        <f ca="1">IFERROR(__xludf.DUMMYFUNCTION("""COMPUTED_VALUE"""),"")</f>
        <v/>
      </c>
      <c r="H936" s="189" t="str">
        <f ca="1">IFERROR(__xludf.DUMMYFUNCTION("""COMPUTED_VALUE"""),"")</f>
        <v/>
      </c>
      <c r="I936" s="120" t="str">
        <f ca="1">IFERROR(__xludf.DUMMYFUNCTION("""COMPUTED_VALUE"""),"")</f>
        <v/>
      </c>
      <c r="J936" s="189" t="str">
        <f ca="1">IFERROR(__xludf.DUMMYFUNCTION("""COMPUTED_VALUE"""),"")</f>
        <v/>
      </c>
      <c r="K936" s="189" t="str">
        <f ca="1">IFERROR(__xludf.DUMMYFUNCTION("""COMPUTED_VALUE"""),"")</f>
        <v/>
      </c>
      <c r="L936" s="189" t="str">
        <f ca="1">IFERROR(__xludf.DUMMYFUNCTION("""COMPUTED_VALUE"""),"")</f>
        <v/>
      </c>
      <c r="M936" s="189" t="str">
        <f ca="1">IFERROR(__xludf.DUMMYFUNCTION("""COMPUTED_VALUE"""),"")</f>
        <v/>
      </c>
      <c r="N936" s="189" t="str">
        <f ca="1">IFERROR(__xludf.DUMMYFUNCTION("""COMPUTED_VALUE"""),"")</f>
        <v/>
      </c>
      <c r="O936" s="189" t="str">
        <f ca="1">IFERROR(__xludf.DUMMYFUNCTION("""COMPUTED_VALUE"""),"")</f>
        <v/>
      </c>
      <c r="P936" s="189" t="str">
        <f ca="1">IFERROR(__xludf.DUMMYFUNCTION("""COMPUTED_VALUE"""),"")</f>
        <v/>
      </c>
      <c r="Q936" s="189" t="str">
        <f ca="1">IFERROR(__xludf.DUMMYFUNCTION("""COMPUTED_VALUE"""),"")</f>
        <v/>
      </c>
      <c r="R936" s="189" t="str">
        <f ca="1">IFERROR(__xludf.DUMMYFUNCTION("""COMPUTED_VALUE"""),"")</f>
        <v/>
      </c>
      <c r="S936" s="189" t="str">
        <f ca="1">IFERROR(__xludf.DUMMYFUNCTION("""COMPUTED_VALUE"""),"")</f>
        <v/>
      </c>
      <c r="T936" s="189" t="str">
        <f ca="1">IFERROR(__xludf.DUMMYFUNCTION("""COMPUTED_VALUE"""),"")</f>
        <v/>
      </c>
      <c r="U936" s="189" t="str">
        <f ca="1">IFERROR(__xludf.DUMMYFUNCTION("""COMPUTED_VALUE"""),"")</f>
        <v/>
      </c>
      <c r="V936" s="189" t="str">
        <f ca="1">IFERROR(__xludf.DUMMYFUNCTION("""COMPUTED_VALUE"""),"")</f>
        <v/>
      </c>
      <c r="W936" s="189" t="str">
        <f ca="1">IFERROR(__xludf.DUMMYFUNCTION("""COMPUTED_VALUE"""),"")</f>
        <v/>
      </c>
      <c r="X936" s="189" t="str">
        <f ca="1">IFERROR(__xludf.DUMMYFUNCTION("""COMPUTED_VALUE"""),"")</f>
        <v/>
      </c>
      <c r="Y936" s="189" t="str">
        <f ca="1">IFERROR(__xludf.DUMMYFUNCTION("""COMPUTED_VALUE"""),"")</f>
        <v/>
      </c>
      <c r="Z936" s="189"/>
    </row>
    <row r="937" spans="1:26" ht="12.75">
      <c r="A937" s="189" t="str">
        <f ca="1">IFERROR(__xludf.DUMMYFUNCTION("""COMPUTED_VALUE"""),"")</f>
        <v/>
      </c>
      <c r="B937" s="189" t="str">
        <f ca="1">IFERROR(__xludf.DUMMYFUNCTION("""COMPUTED_VALUE"""),"")</f>
        <v/>
      </c>
      <c r="C937" s="189" t="str">
        <f ca="1">IFERROR(__xludf.DUMMYFUNCTION("""COMPUTED_VALUE"""),"")</f>
        <v/>
      </c>
      <c r="D937" s="189" t="str">
        <f ca="1">IFERROR(__xludf.DUMMYFUNCTION("""COMPUTED_VALUE"""),"")</f>
        <v/>
      </c>
      <c r="E937" s="189" t="str">
        <f ca="1">IFERROR(__xludf.DUMMYFUNCTION("""COMPUTED_VALUE"""),"")</f>
        <v/>
      </c>
      <c r="F937" s="189" t="str">
        <f ca="1">IFERROR(__xludf.DUMMYFUNCTION("""COMPUTED_VALUE"""),"")</f>
        <v/>
      </c>
      <c r="G937" s="189" t="str">
        <f ca="1">IFERROR(__xludf.DUMMYFUNCTION("""COMPUTED_VALUE"""),"")</f>
        <v/>
      </c>
      <c r="H937" s="189" t="str">
        <f ca="1">IFERROR(__xludf.DUMMYFUNCTION("""COMPUTED_VALUE"""),"")</f>
        <v/>
      </c>
      <c r="I937" s="120" t="str">
        <f ca="1">IFERROR(__xludf.DUMMYFUNCTION("""COMPUTED_VALUE"""),"")</f>
        <v/>
      </c>
      <c r="J937" s="189" t="str">
        <f ca="1">IFERROR(__xludf.DUMMYFUNCTION("""COMPUTED_VALUE"""),"")</f>
        <v/>
      </c>
      <c r="K937" s="189" t="str">
        <f ca="1">IFERROR(__xludf.DUMMYFUNCTION("""COMPUTED_VALUE"""),"")</f>
        <v/>
      </c>
      <c r="L937" s="189" t="str">
        <f ca="1">IFERROR(__xludf.DUMMYFUNCTION("""COMPUTED_VALUE"""),"")</f>
        <v/>
      </c>
      <c r="M937" s="189" t="str">
        <f ca="1">IFERROR(__xludf.DUMMYFUNCTION("""COMPUTED_VALUE"""),"")</f>
        <v/>
      </c>
      <c r="N937" s="189" t="str">
        <f ca="1">IFERROR(__xludf.DUMMYFUNCTION("""COMPUTED_VALUE"""),"")</f>
        <v/>
      </c>
      <c r="O937" s="189" t="str">
        <f ca="1">IFERROR(__xludf.DUMMYFUNCTION("""COMPUTED_VALUE"""),"")</f>
        <v/>
      </c>
      <c r="P937" s="189" t="str">
        <f ca="1">IFERROR(__xludf.DUMMYFUNCTION("""COMPUTED_VALUE"""),"")</f>
        <v/>
      </c>
      <c r="Q937" s="189" t="str">
        <f ca="1">IFERROR(__xludf.DUMMYFUNCTION("""COMPUTED_VALUE"""),"")</f>
        <v/>
      </c>
      <c r="R937" s="189" t="str">
        <f ca="1">IFERROR(__xludf.DUMMYFUNCTION("""COMPUTED_VALUE"""),"")</f>
        <v/>
      </c>
      <c r="S937" s="189" t="str">
        <f ca="1">IFERROR(__xludf.DUMMYFUNCTION("""COMPUTED_VALUE"""),"")</f>
        <v/>
      </c>
      <c r="T937" s="189" t="str">
        <f ca="1">IFERROR(__xludf.DUMMYFUNCTION("""COMPUTED_VALUE"""),"")</f>
        <v/>
      </c>
      <c r="U937" s="189" t="str">
        <f ca="1">IFERROR(__xludf.DUMMYFUNCTION("""COMPUTED_VALUE"""),"")</f>
        <v/>
      </c>
      <c r="V937" s="189" t="str">
        <f ca="1">IFERROR(__xludf.DUMMYFUNCTION("""COMPUTED_VALUE"""),"")</f>
        <v/>
      </c>
      <c r="W937" s="189" t="str">
        <f ca="1">IFERROR(__xludf.DUMMYFUNCTION("""COMPUTED_VALUE"""),"")</f>
        <v/>
      </c>
      <c r="X937" s="189" t="str">
        <f ca="1">IFERROR(__xludf.DUMMYFUNCTION("""COMPUTED_VALUE"""),"")</f>
        <v/>
      </c>
      <c r="Y937" s="189" t="str">
        <f ca="1">IFERROR(__xludf.DUMMYFUNCTION("""COMPUTED_VALUE"""),"")</f>
        <v/>
      </c>
      <c r="Z937" s="189"/>
    </row>
    <row r="938" spans="1:26" ht="12.75">
      <c r="A938" s="189" t="str">
        <f ca="1">IFERROR(__xludf.DUMMYFUNCTION("""COMPUTED_VALUE"""),"")</f>
        <v/>
      </c>
      <c r="B938" s="189" t="str">
        <f ca="1">IFERROR(__xludf.DUMMYFUNCTION("""COMPUTED_VALUE"""),"")</f>
        <v/>
      </c>
      <c r="C938" s="189" t="str">
        <f ca="1">IFERROR(__xludf.DUMMYFUNCTION("""COMPUTED_VALUE"""),"")</f>
        <v/>
      </c>
      <c r="D938" s="189" t="str">
        <f ca="1">IFERROR(__xludf.DUMMYFUNCTION("""COMPUTED_VALUE"""),"")</f>
        <v/>
      </c>
      <c r="E938" s="189" t="str">
        <f ca="1">IFERROR(__xludf.DUMMYFUNCTION("""COMPUTED_VALUE"""),"")</f>
        <v/>
      </c>
      <c r="F938" s="189" t="str">
        <f ca="1">IFERROR(__xludf.DUMMYFUNCTION("""COMPUTED_VALUE"""),"")</f>
        <v/>
      </c>
      <c r="G938" s="189" t="str">
        <f ca="1">IFERROR(__xludf.DUMMYFUNCTION("""COMPUTED_VALUE"""),"")</f>
        <v/>
      </c>
      <c r="H938" s="189" t="str">
        <f ca="1">IFERROR(__xludf.DUMMYFUNCTION("""COMPUTED_VALUE"""),"")</f>
        <v/>
      </c>
      <c r="I938" s="120" t="str">
        <f ca="1">IFERROR(__xludf.DUMMYFUNCTION("""COMPUTED_VALUE"""),"")</f>
        <v/>
      </c>
      <c r="J938" s="189" t="str">
        <f ca="1">IFERROR(__xludf.DUMMYFUNCTION("""COMPUTED_VALUE"""),"")</f>
        <v/>
      </c>
      <c r="K938" s="189" t="str">
        <f ca="1">IFERROR(__xludf.DUMMYFUNCTION("""COMPUTED_VALUE"""),"")</f>
        <v/>
      </c>
      <c r="L938" s="189" t="str">
        <f ca="1">IFERROR(__xludf.DUMMYFUNCTION("""COMPUTED_VALUE"""),"")</f>
        <v/>
      </c>
      <c r="M938" s="189" t="str">
        <f ca="1">IFERROR(__xludf.DUMMYFUNCTION("""COMPUTED_VALUE"""),"")</f>
        <v/>
      </c>
      <c r="N938" s="189" t="str">
        <f ca="1">IFERROR(__xludf.DUMMYFUNCTION("""COMPUTED_VALUE"""),"")</f>
        <v/>
      </c>
      <c r="O938" s="189" t="str">
        <f ca="1">IFERROR(__xludf.DUMMYFUNCTION("""COMPUTED_VALUE"""),"")</f>
        <v/>
      </c>
      <c r="P938" s="189" t="str">
        <f ca="1">IFERROR(__xludf.DUMMYFUNCTION("""COMPUTED_VALUE"""),"")</f>
        <v/>
      </c>
      <c r="Q938" s="189" t="str">
        <f ca="1">IFERROR(__xludf.DUMMYFUNCTION("""COMPUTED_VALUE"""),"")</f>
        <v/>
      </c>
      <c r="R938" s="189" t="str">
        <f ca="1">IFERROR(__xludf.DUMMYFUNCTION("""COMPUTED_VALUE"""),"")</f>
        <v/>
      </c>
      <c r="S938" s="189" t="str">
        <f ca="1">IFERROR(__xludf.DUMMYFUNCTION("""COMPUTED_VALUE"""),"")</f>
        <v/>
      </c>
      <c r="T938" s="189" t="str">
        <f ca="1">IFERROR(__xludf.DUMMYFUNCTION("""COMPUTED_VALUE"""),"")</f>
        <v/>
      </c>
      <c r="U938" s="189" t="str">
        <f ca="1">IFERROR(__xludf.DUMMYFUNCTION("""COMPUTED_VALUE"""),"")</f>
        <v/>
      </c>
      <c r="V938" s="189" t="str">
        <f ca="1">IFERROR(__xludf.DUMMYFUNCTION("""COMPUTED_VALUE"""),"")</f>
        <v/>
      </c>
      <c r="W938" s="189" t="str">
        <f ca="1">IFERROR(__xludf.DUMMYFUNCTION("""COMPUTED_VALUE"""),"")</f>
        <v/>
      </c>
      <c r="X938" s="189" t="str">
        <f ca="1">IFERROR(__xludf.DUMMYFUNCTION("""COMPUTED_VALUE"""),"")</f>
        <v/>
      </c>
      <c r="Y938" s="189" t="str">
        <f ca="1">IFERROR(__xludf.DUMMYFUNCTION("""COMPUTED_VALUE"""),"")</f>
        <v/>
      </c>
      <c r="Z938" s="189"/>
    </row>
    <row r="939" spans="1:26" ht="12.75">
      <c r="A939" s="189" t="str">
        <f ca="1">IFERROR(__xludf.DUMMYFUNCTION("""COMPUTED_VALUE"""),"")</f>
        <v/>
      </c>
      <c r="B939" s="189" t="str">
        <f ca="1">IFERROR(__xludf.DUMMYFUNCTION("""COMPUTED_VALUE"""),"")</f>
        <v/>
      </c>
      <c r="C939" s="189" t="str">
        <f ca="1">IFERROR(__xludf.DUMMYFUNCTION("""COMPUTED_VALUE"""),"")</f>
        <v/>
      </c>
      <c r="D939" s="189" t="str">
        <f ca="1">IFERROR(__xludf.DUMMYFUNCTION("""COMPUTED_VALUE"""),"")</f>
        <v/>
      </c>
      <c r="E939" s="189" t="str">
        <f ca="1">IFERROR(__xludf.DUMMYFUNCTION("""COMPUTED_VALUE"""),"")</f>
        <v/>
      </c>
      <c r="F939" s="189" t="str">
        <f ca="1">IFERROR(__xludf.DUMMYFUNCTION("""COMPUTED_VALUE"""),"")</f>
        <v/>
      </c>
      <c r="G939" s="189" t="str">
        <f ca="1">IFERROR(__xludf.DUMMYFUNCTION("""COMPUTED_VALUE"""),"")</f>
        <v/>
      </c>
      <c r="H939" s="189" t="str">
        <f ca="1">IFERROR(__xludf.DUMMYFUNCTION("""COMPUTED_VALUE"""),"")</f>
        <v/>
      </c>
      <c r="I939" s="120" t="str">
        <f ca="1">IFERROR(__xludf.DUMMYFUNCTION("""COMPUTED_VALUE"""),"")</f>
        <v/>
      </c>
      <c r="J939" s="189" t="str">
        <f ca="1">IFERROR(__xludf.DUMMYFUNCTION("""COMPUTED_VALUE"""),"")</f>
        <v/>
      </c>
      <c r="K939" s="189" t="str">
        <f ca="1">IFERROR(__xludf.DUMMYFUNCTION("""COMPUTED_VALUE"""),"")</f>
        <v/>
      </c>
      <c r="L939" s="189" t="str">
        <f ca="1">IFERROR(__xludf.DUMMYFUNCTION("""COMPUTED_VALUE"""),"")</f>
        <v/>
      </c>
      <c r="M939" s="189" t="str">
        <f ca="1">IFERROR(__xludf.DUMMYFUNCTION("""COMPUTED_VALUE"""),"")</f>
        <v/>
      </c>
      <c r="N939" s="189" t="str">
        <f ca="1">IFERROR(__xludf.DUMMYFUNCTION("""COMPUTED_VALUE"""),"")</f>
        <v/>
      </c>
      <c r="O939" s="189" t="str">
        <f ca="1">IFERROR(__xludf.DUMMYFUNCTION("""COMPUTED_VALUE"""),"")</f>
        <v/>
      </c>
      <c r="P939" s="189" t="str">
        <f ca="1">IFERROR(__xludf.DUMMYFUNCTION("""COMPUTED_VALUE"""),"")</f>
        <v/>
      </c>
      <c r="Q939" s="189" t="str">
        <f ca="1">IFERROR(__xludf.DUMMYFUNCTION("""COMPUTED_VALUE"""),"")</f>
        <v/>
      </c>
      <c r="R939" s="189" t="str">
        <f ca="1">IFERROR(__xludf.DUMMYFUNCTION("""COMPUTED_VALUE"""),"")</f>
        <v/>
      </c>
      <c r="S939" s="189" t="str">
        <f ca="1">IFERROR(__xludf.DUMMYFUNCTION("""COMPUTED_VALUE"""),"")</f>
        <v/>
      </c>
      <c r="T939" s="189" t="str">
        <f ca="1">IFERROR(__xludf.DUMMYFUNCTION("""COMPUTED_VALUE"""),"")</f>
        <v/>
      </c>
      <c r="U939" s="189" t="str">
        <f ca="1">IFERROR(__xludf.DUMMYFUNCTION("""COMPUTED_VALUE"""),"")</f>
        <v/>
      </c>
      <c r="V939" s="189" t="str">
        <f ca="1">IFERROR(__xludf.DUMMYFUNCTION("""COMPUTED_VALUE"""),"")</f>
        <v/>
      </c>
      <c r="W939" s="189" t="str">
        <f ca="1">IFERROR(__xludf.DUMMYFUNCTION("""COMPUTED_VALUE"""),"")</f>
        <v/>
      </c>
      <c r="X939" s="189" t="str">
        <f ca="1">IFERROR(__xludf.DUMMYFUNCTION("""COMPUTED_VALUE"""),"")</f>
        <v/>
      </c>
      <c r="Y939" s="189" t="str">
        <f ca="1">IFERROR(__xludf.DUMMYFUNCTION("""COMPUTED_VALUE"""),"")</f>
        <v/>
      </c>
      <c r="Z939" s="189"/>
    </row>
    <row r="940" spans="1:26" ht="12.75">
      <c r="A940" s="189" t="str">
        <f ca="1">IFERROR(__xludf.DUMMYFUNCTION("""COMPUTED_VALUE"""),"")</f>
        <v/>
      </c>
      <c r="B940" s="189" t="str">
        <f ca="1">IFERROR(__xludf.DUMMYFUNCTION("""COMPUTED_VALUE"""),"")</f>
        <v/>
      </c>
      <c r="C940" s="189" t="str">
        <f ca="1">IFERROR(__xludf.DUMMYFUNCTION("""COMPUTED_VALUE"""),"")</f>
        <v/>
      </c>
      <c r="D940" s="189" t="str">
        <f ca="1">IFERROR(__xludf.DUMMYFUNCTION("""COMPUTED_VALUE"""),"")</f>
        <v/>
      </c>
      <c r="E940" s="189" t="str">
        <f ca="1">IFERROR(__xludf.DUMMYFUNCTION("""COMPUTED_VALUE"""),"")</f>
        <v/>
      </c>
      <c r="F940" s="189" t="str">
        <f ca="1">IFERROR(__xludf.DUMMYFUNCTION("""COMPUTED_VALUE"""),"")</f>
        <v/>
      </c>
      <c r="G940" s="189" t="str">
        <f ca="1">IFERROR(__xludf.DUMMYFUNCTION("""COMPUTED_VALUE"""),"")</f>
        <v/>
      </c>
      <c r="H940" s="189" t="str">
        <f ca="1">IFERROR(__xludf.DUMMYFUNCTION("""COMPUTED_VALUE"""),"")</f>
        <v/>
      </c>
      <c r="I940" s="120" t="str">
        <f ca="1">IFERROR(__xludf.DUMMYFUNCTION("""COMPUTED_VALUE"""),"")</f>
        <v/>
      </c>
      <c r="J940" s="189" t="str">
        <f ca="1">IFERROR(__xludf.DUMMYFUNCTION("""COMPUTED_VALUE"""),"")</f>
        <v/>
      </c>
      <c r="K940" s="189" t="str">
        <f ca="1">IFERROR(__xludf.DUMMYFUNCTION("""COMPUTED_VALUE"""),"")</f>
        <v/>
      </c>
      <c r="L940" s="189" t="str">
        <f ca="1">IFERROR(__xludf.DUMMYFUNCTION("""COMPUTED_VALUE"""),"")</f>
        <v/>
      </c>
      <c r="M940" s="189" t="str">
        <f ca="1">IFERROR(__xludf.DUMMYFUNCTION("""COMPUTED_VALUE"""),"")</f>
        <v/>
      </c>
      <c r="N940" s="189" t="str">
        <f ca="1">IFERROR(__xludf.DUMMYFUNCTION("""COMPUTED_VALUE"""),"")</f>
        <v/>
      </c>
      <c r="O940" s="189" t="str">
        <f ca="1">IFERROR(__xludf.DUMMYFUNCTION("""COMPUTED_VALUE"""),"")</f>
        <v/>
      </c>
      <c r="P940" s="189" t="str">
        <f ca="1">IFERROR(__xludf.DUMMYFUNCTION("""COMPUTED_VALUE"""),"")</f>
        <v/>
      </c>
      <c r="Q940" s="189" t="str">
        <f ca="1">IFERROR(__xludf.DUMMYFUNCTION("""COMPUTED_VALUE"""),"")</f>
        <v/>
      </c>
      <c r="R940" s="189" t="str">
        <f ca="1">IFERROR(__xludf.DUMMYFUNCTION("""COMPUTED_VALUE"""),"")</f>
        <v/>
      </c>
      <c r="S940" s="189" t="str">
        <f ca="1">IFERROR(__xludf.DUMMYFUNCTION("""COMPUTED_VALUE"""),"")</f>
        <v/>
      </c>
      <c r="T940" s="189" t="str">
        <f ca="1">IFERROR(__xludf.DUMMYFUNCTION("""COMPUTED_VALUE"""),"")</f>
        <v/>
      </c>
      <c r="U940" s="189" t="str">
        <f ca="1">IFERROR(__xludf.DUMMYFUNCTION("""COMPUTED_VALUE"""),"")</f>
        <v/>
      </c>
      <c r="V940" s="189" t="str">
        <f ca="1">IFERROR(__xludf.DUMMYFUNCTION("""COMPUTED_VALUE"""),"")</f>
        <v/>
      </c>
      <c r="W940" s="189" t="str">
        <f ca="1">IFERROR(__xludf.DUMMYFUNCTION("""COMPUTED_VALUE"""),"")</f>
        <v/>
      </c>
      <c r="X940" s="189" t="str">
        <f ca="1">IFERROR(__xludf.DUMMYFUNCTION("""COMPUTED_VALUE"""),"")</f>
        <v/>
      </c>
      <c r="Y940" s="189" t="str">
        <f ca="1">IFERROR(__xludf.DUMMYFUNCTION("""COMPUTED_VALUE"""),"")</f>
        <v/>
      </c>
      <c r="Z940" s="189"/>
    </row>
    <row r="941" spans="1:26" ht="12.75">
      <c r="A941" s="189" t="str">
        <f ca="1">IFERROR(__xludf.DUMMYFUNCTION("""COMPUTED_VALUE"""),"")</f>
        <v/>
      </c>
      <c r="B941" s="189" t="str">
        <f ca="1">IFERROR(__xludf.DUMMYFUNCTION("""COMPUTED_VALUE"""),"")</f>
        <v/>
      </c>
      <c r="C941" s="189" t="str">
        <f ca="1">IFERROR(__xludf.DUMMYFUNCTION("""COMPUTED_VALUE"""),"")</f>
        <v/>
      </c>
      <c r="D941" s="189" t="str">
        <f ca="1">IFERROR(__xludf.DUMMYFUNCTION("""COMPUTED_VALUE"""),"")</f>
        <v/>
      </c>
      <c r="E941" s="189" t="str">
        <f ca="1">IFERROR(__xludf.DUMMYFUNCTION("""COMPUTED_VALUE"""),"")</f>
        <v/>
      </c>
      <c r="F941" s="189" t="str">
        <f ca="1">IFERROR(__xludf.DUMMYFUNCTION("""COMPUTED_VALUE"""),"")</f>
        <v/>
      </c>
      <c r="G941" s="189" t="str">
        <f ca="1">IFERROR(__xludf.DUMMYFUNCTION("""COMPUTED_VALUE"""),"")</f>
        <v/>
      </c>
      <c r="H941" s="189" t="str">
        <f ca="1">IFERROR(__xludf.DUMMYFUNCTION("""COMPUTED_VALUE"""),"")</f>
        <v/>
      </c>
      <c r="I941" s="120" t="str">
        <f ca="1">IFERROR(__xludf.DUMMYFUNCTION("""COMPUTED_VALUE"""),"")</f>
        <v/>
      </c>
      <c r="J941" s="189" t="str">
        <f ca="1">IFERROR(__xludf.DUMMYFUNCTION("""COMPUTED_VALUE"""),"")</f>
        <v/>
      </c>
      <c r="K941" s="189" t="str">
        <f ca="1">IFERROR(__xludf.DUMMYFUNCTION("""COMPUTED_VALUE"""),"")</f>
        <v/>
      </c>
      <c r="L941" s="189" t="str">
        <f ca="1">IFERROR(__xludf.DUMMYFUNCTION("""COMPUTED_VALUE"""),"")</f>
        <v/>
      </c>
      <c r="M941" s="189" t="str">
        <f ca="1">IFERROR(__xludf.DUMMYFUNCTION("""COMPUTED_VALUE"""),"")</f>
        <v/>
      </c>
      <c r="N941" s="189" t="str">
        <f ca="1">IFERROR(__xludf.DUMMYFUNCTION("""COMPUTED_VALUE"""),"")</f>
        <v/>
      </c>
      <c r="O941" s="189" t="str">
        <f ca="1">IFERROR(__xludf.DUMMYFUNCTION("""COMPUTED_VALUE"""),"")</f>
        <v/>
      </c>
      <c r="P941" s="189" t="str">
        <f ca="1">IFERROR(__xludf.DUMMYFUNCTION("""COMPUTED_VALUE"""),"")</f>
        <v/>
      </c>
      <c r="Q941" s="189" t="str">
        <f ca="1">IFERROR(__xludf.DUMMYFUNCTION("""COMPUTED_VALUE"""),"")</f>
        <v/>
      </c>
      <c r="R941" s="189" t="str">
        <f ca="1">IFERROR(__xludf.DUMMYFUNCTION("""COMPUTED_VALUE"""),"")</f>
        <v/>
      </c>
      <c r="S941" s="189" t="str">
        <f ca="1">IFERROR(__xludf.DUMMYFUNCTION("""COMPUTED_VALUE"""),"")</f>
        <v/>
      </c>
      <c r="T941" s="189" t="str">
        <f ca="1">IFERROR(__xludf.DUMMYFUNCTION("""COMPUTED_VALUE"""),"")</f>
        <v/>
      </c>
      <c r="U941" s="189" t="str">
        <f ca="1">IFERROR(__xludf.DUMMYFUNCTION("""COMPUTED_VALUE"""),"")</f>
        <v/>
      </c>
      <c r="V941" s="189" t="str">
        <f ca="1">IFERROR(__xludf.DUMMYFUNCTION("""COMPUTED_VALUE"""),"")</f>
        <v/>
      </c>
      <c r="W941" s="189" t="str">
        <f ca="1">IFERROR(__xludf.DUMMYFUNCTION("""COMPUTED_VALUE"""),"")</f>
        <v/>
      </c>
      <c r="X941" s="189" t="str">
        <f ca="1">IFERROR(__xludf.DUMMYFUNCTION("""COMPUTED_VALUE"""),"")</f>
        <v/>
      </c>
      <c r="Y941" s="189" t="str">
        <f ca="1">IFERROR(__xludf.DUMMYFUNCTION("""COMPUTED_VALUE"""),"")</f>
        <v/>
      </c>
      <c r="Z941" s="189"/>
    </row>
    <row r="942" spans="1:26" ht="12.75">
      <c r="A942" s="189" t="str">
        <f ca="1">IFERROR(__xludf.DUMMYFUNCTION("""COMPUTED_VALUE"""),"")</f>
        <v/>
      </c>
      <c r="B942" s="189" t="str">
        <f ca="1">IFERROR(__xludf.DUMMYFUNCTION("""COMPUTED_VALUE"""),"")</f>
        <v/>
      </c>
      <c r="C942" s="189" t="str">
        <f ca="1">IFERROR(__xludf.DUMMYFUNCTION("""COMPUTED_VALUE"""),"")</f>
        <v/>
      </c>
      <c r="D942" s="189" t="str">
        <f ca="1">IFERROR(__xludf.DUMMYFUNCTION("""COMPUTED_VALUE"""),"")</f>
        <v/>
      </c>
      <c r="E942" s="189" t="str">
        <f ca="1">IFERROR(__xludf.DUMMYFUNCTION("""COMPUTED_VALUE"""),"")</f>
        <v/>
      </c>
      <c r="F942" s="189" t="str">
        <f ca="1">IFERROR(__xludf.DUMMYFUNCTION("""COMPUTED_VALUE"""),"")</f>
        <v/>
      </c>
      <c r="G942" s="189" t="str">
        <f ca="1">IFERROR(__xludf.DUMMYFUNCTION("""COMPUTED_VALUE"""),"")</f>
        <v/>
      </c>
      <c r="H942" s="189" t="str">
        <f ca="1">IFERROR(__xludf.DUMMYFUNCTION("""COMPUTED_VALUE"""),"")</f>
        <v/>
      </c>
      <c r="I942" s="120" t="str">
        <f ca="1">IFERROR(__xludf.DUMMYFUNCTION("""COMPUTED_VALUE"""),"")</f>
        <v/>
      </c>
      <c r="J942" s="189" t="str">
        <f ca="1">IFERROR(__xludf.DUMMYFUNCTION("""COMPUTED_VALUE"""),"")</f>
        <v/>
      </c>
      <c r="K942" s="189" t="str">
        <f ca="1">IFERROR(__xludf.DUMMYFUNCTION("""COMPUTED_VALUE"""),"")</f>
        <v/>
      </c>
      <c r="L942" s="189" t="str">
        <f ca="1">IFERROR(__xludf.DUMMYFUNCTION("""COMPUTED_VALUE"""),"")</f>
        <v/>
      </c>
      <c r="M942" s="189" t="str">
        <f ca="1">IFERROR(__xludf.DUMMYFUNCTION("""COMPUTED_VALUE"""),"")</f>
        <v/>
      </c>
      <c r="N942" s="189" t="str">
        <f ca="1">IFERROR(__xludf.DUMMYFUNCTION("""COMPUTED_VALUE"""),"")</f>
        <v/>
      </c>
      <c r="O942" s="189" t="str">
        <f ca="1">IFERROR(__xludf.DUMMYFUNCTION("""COMPUTED_VALUE"""),"")</f>
        <v/>
      </c>
      <c r="P942" s="189" t="str">
        <f ca="1">IFERROR(__xludf.DUMMYFUNCTION("""COMPUTED_VALUE"""),"")</f>
        <v/>
      </c>
      <c r="Q942" s="189" t="str">
        <f ca="1">IFERROR(__xludf.DUMMYFUNCTION("""COMPUTED_VALUE"""),"")</f>
        <v/>
      </c>
      <c r="R942" s="189" t="str">
        <f ca="1">IFERROR(__xludf.DUMMYFUNCTION("""COMPUTED_VALUE"""),"")</f>
        <v/>
      </c>
      <c r="S942" s="189" t="str">
        <f ca="1">IFERROR(__xludf.DUMMYFUNCTION("""COMPUTED_VALUE"""),"")</f>
        <v/>
      </c>
      <c r="T942" s="189" t="str">
        <f ca="1">IFERROR(__xludf.DUMMYFUNCTION("""COMPUTED_VALUE"""),"")</f>
        <v/>
      </c>
      <c r="U942" s="189" t="str">
        <f ca="1">IFERROR(__xludf.DUMMYFUNCTION("""COMPUTED_VALUE"""),"")</f>
        <v/>
      </c>
      <c r="V942" s="189" t="str">
        <f ca="1">IFERROR(__xludf.DUMMYFUNCTION("""COMPUTED_VALUE"""),"")</f>
        <v/>
      </c>
      <c r="W942" s="189" t="str">
        <f ca="1">IFERROR(__xludf.DUMMYFUNCTION("""COMPUTED_VALUE"""),"")</f>
        <v/>
      </c>
      <c r="X942" s="189" t="str">
        <f ca="1">IFERROR(__xludf.DUMMYFUNCTION("""COMPUTED_VALUE"""),"")</f>
        <v/>
      </c>
      <c r="Y942" s="189" t="str">
        <f ca="1">IFERROR(__xludf.DUMMYFUNCTION("""COMPUTED_VALUE"""),"")</f>
        <v/>
      </c>
      <c r="Z942" s="189"/>
    </row>
    <row r="943" spans="1:26" ht="12.75">
      <c r="A943" s="189" t="str">
        <f ca="1">IFERROR(__xludf.DUMMYFUNCTION("""COMPUTED_VALUE"""),"")</f>
        <v/>
      </c>
      <c r="B943" s="189" t="str">
        <f ca="1">IFERROR(__xludf.DUMMYFUNCTION("""COMPUTED_VALUE"""),"")</f>
        <v/>
      </c>
      <c r="C943" s="189" t="str">
        <f ca="1">IFERROR(__xludf.DUMMYFUNCTION("""COMPUTED_VALUE"""),"")</f>
        <v/>
      </c>
      <c r="D943" s="189" t="str">
        <f ca="1">IFERROR(__xludf.DUMMYFUNCTION("""COMPUTED_VALUE"""),"")</f>
        <v/>
      </c>
      <c r="E943" s="189" t="str">
        <f ca="1">IFERROR(__xludf.DUMMYFUNCTION("""COMPUTED_VALUE"""),"")</f>
        <v/>
      </c>
      <c r="F943" s="189" t="str">
        <f ca="1">IFERROR(__xludf.DUMMYFUNCTION("""COMPUTED_VALUE"""),"")</f>
        <v/>
      </c>
      <c r="G943" s="189" t="str">
        <f ca="1">IFERROR(__xludf.DUMMYFUNCTION("""COMPUTED_VALUE"""),"")</f>
        <v/>
      </c>
      <c r="H943" s="189" t="str">
        <f ca="1">IFERROR(__xludf.DUMMYFUNCTION("""COMPUTED_VALUE"""),"")</f>
        <v/>
      </c>
      <c r="I943" s="120" t="str">
        <f ca="1">IFERROR(__xludf.DUMMYFUNCTION("""COMPUTED_VALUE"""),"")</f>
        <v/>
      </c>
      <c r="J943" s="189" t="str">
        <f ca="1">IFERROR(__xludf.DUMMYFUNCTION("""COMPUTED_VALUE"""),"")</f>
        <v/>
      </c>
      <c r="K943" s="189" t="str">
        <f ca="1">IFERROR(__xludf.DUMMYFUNCTION("""COMPUTED_VALUE"""),"")</f>
        <v/>
      </c>
      <c r="L943" s="189" t="str">
        <f ca="1">IFERROR(__xludf.DUMMYFUNCTION("""COMPUTED_VALUE"""),"")</f>
        <v/>
      </c>
      <c r="M943" s="189" t="str">
        <f ca="1">IFERROR(__xludf.DUMMYFUNCTION("""COMPUTED_VALUE"""),"")</f>
        <v/>
      </c>
      <c r="N943" s="189" t="str">
        <f ca="1">IFERROR(__xludf.DUMMYFUNCTION("""COMPUTED_VALUE"""),"")</f>
        <v/>
      </c>
      <c r="O943" s="189" t="str">
        <f ca="1">IFERROR(__xludf.DUMMYFUNCTION("""COMPUTED_VALUE"""),"")</f>
        <v/>
      </c>
      <c r="P943" s="189" t="str">
        <f ca="1">IFERROR(__xludf.DUMMYFUNCTION("""COMPUTED_VALUE"""),"")</f>
        <v/>
      </c>
      <c r="Q943" s="189" t="str">
        <f ca="1">IFERROR(__xludf.DUMMYFUNCTION("""COMPUTED_VALUE"""),"")</f>
        <v/>
      </c>
      <c r="R943" s="189" t="str">
        <f ca="1">IFERROR(__xludf.DUMMYFUNCTION("""COMPUTED_VALUE"""),"")</f>
        <v/>
      </c>
      <c r="S943" s="189" t="str">
        <f ca="1">IFERROR(__xludf.DUMMYFUNCTION("""COMPUTED_VALUE"""),"")</f>
        <v/>
      </c>
      <c r="T943" s="189" t="str">
        <f ca="1">IFERROR(__xludf.DUMMYFUNCTION("""COMPUTED_VALUE"""),"")</f>
        <v/>
      </c>
      <c r="U943" s="189" t="str">
        <f ca="1">IFERROR(__xludf.DUMMYFUNCTION("""COMPUTED_VALUE"""),"")</f>
        <v/>
      </c>
      <c r="V943" s="189" t="str">
        <f ca="1">IFERROR(__xludf.DUMMYFUNCTION("""COMPUTED_VALUE"""),"")</f>
        <v/>
      </c>
      <c r="W943" s="189" t="str">
        <f ca="1">IFERROR(__xludf.DUMMYFUNCTION("""COMPUTED_VALUE"""),"")</f>
        <v/>
      </c>
      <c r="X943" s="189" t="str">
        <f ca="1">IFERROR(__xludf.DUMMYFUNCTION("""COMPUTED_VALUE"""),"")</f>
        <v/>
      </c>
      <c r="Y943" s="189" t="str">
        <f ca="1">IFERROR(__xludf.DUMMYFUNCTION("""COMPUTED_VALUE"""),"")</f>
        <v/>
      </c>
      <c r="Z943" s="189"/>
    </row>
    <row r="944" spans="1:26" ht="12.75">
      <c r="A944" s="189" t="str">
        <f ca="1">IFERROR(__xludf.DUMMYFUNCTION("""COMPUTED_VALUE"""),"")</f>
        <v/>
      </c>
      <c r="B944" s="189" t="str">
        <f ca="1">IFERROR(__xludf.DUMMYFUNCTION("""COMPUTED_VALUE"""),"")</f>
        <v/>
      </c>
      <c r="C944" s="189" t="str">
        <f ca="1">IFERROR(__xludf.DUMMYFUNCTION("""COMPUTED_VALUE"""),"")</f>
        <v/>
      </c>
      <c r="D944" s="189" t="str">
        <f ca="1">IFERROR(__xludf.DUMMYFUNCTION("""COMPUTED_VALUE"""),"")</f>
        <v/>
      </c>
      <c r="E944" s="189" t="str">
        <f ca="1">IFERROR(__xludf.DUMMYFUNCTION("""COMPUTED_VALUE"""),"")</f>
        <v/>
      </c>
      <c r="F944" s="189" t="str">
        <f ca="1">IFERROR(__xludf.DUMMYFUNCTION("""COMPUTED_VALUE"""),"")</f>
        <v/>
      </c>
      <c r="G944" s="189" t="str">
        <f ca="1">IFERROR(__xludf.DUMMYFUNCTION("""COMPUTED_VALUE"""),"")</f>
        <v/>
      </c>
      <c r="H944" s="189" t="str">
        <f ca="1">IFERROR(__xludf.DUMMYFUNCTION("""COMPUTED_VALUE"""),"")</f>
        <v/>
      </c>
      <c r="I944" s="120" t="str">
        <f ca="1">IFERROR(__xludf.DUMMYFUNCTION("""COMPUTED_VALUE"""),"")</f>
        <v/>
      </c>
      <c r="J944" s="189" t="str">
        <f ca="1">IFERROR(__xludf.DUMMYFUNCTION("""COMPUTED_VALUE"""),"")</f>
        <v/>
      </c>
      <c r="K944" s="189" t="str">
        <f ca="1">IFERROR(__xludf.DUMMYFUNCTION("""COMPUTED_VALUE"""),"")</f>
        <v/>
      </c>
      <c r="L944" s="189" t="str">
        <f ca="1">IFERROR(__xludf.DUMMYFUNCTION("""COMPUTED_VALUE"""),"")</f>
        <v/>
      </c>
      <c r="M944" s="189" t="str">
        <f ca="1">IFERROR(__xludf.DUMMYFUNCTION("""COMPUTED_VALUE"""),"")</f>
        <v/>
      </c>
      <c r="N944" s="189" t="str">
        <f ca="1">IFERROR(__xludf.DUMMYFUNCTION("""COMPUTED_VALUE"""),"")</f>
        <v/>
      </c>
      <c r="O944" s="189" t="str">
        <f ca="1">IFERROR(__xludf.DUMMYFUNCTION("""COMPUTED_VALUE"""),"")</f>
        <v/>
      </c>
      <c r="P944" s="189" t="str">
        <f ca="1">IFERROR(__xludf.DUMMYFUNCTION("""COMPUTED_VALUE"""),"")</f>
        <v/>
      </c>
      <c r="Q944" s="189" t="str">
        <f ca="1">IFERROR(__xludf.DUMMYFUNCTION("""COMPUTED_VALUE"""),"")</f>
        <v/>
      </c>
      <c r="R944" s="189" t="str">
        <f ca="1">IFERROR(__xludf.DUMMYFUNCTION("""COMPUTED_VALUE"""),"")</f>
        <v/>
      </c>
      <c r="S944" s="189" t="str">
        <f ca="1">IFERROR(__xludf.DUMMYFUNCTION("""COMPUTED_VALUE"""),"")</f>
        <v/>
      </c>
      <c r="T944" s="189" t="str">
        <f ca="1">IFERROR(__xludf.DUMMYFUNCTION("""COMPUTED_VALUE"""),"")</f>
        <v/>
      </c>
      <c r="U944" s="189" t="str">
        <f ca="1">IFERROR(__xludf.DUMMYFUNCTION("""COMPUTED_VALUE"""),"")</f>
        <v/>
      </c>
      <c r="V944" s="189" t="str">
        <f ca="1">IFERROR(__xludf.DUMMYFUNCTION("""COMPUTED_VALUE"""),"")</f>
        <v/>
      </c>
      <c r="W944" s="189" t="str">
        <f ca="1">IFERROR(__xludf.DUMMYFUNCTION("""COMPUTED_VALUE"""),"")</f>
        <v/>
      </c>
      <c r="X944" s="189" t="str">
        <f ca="1">IFERROR(__xludf.DUMMYFUNCTION("""COMPUTED_VALUE"""),"")</f>
        <v/>
      </c>
      <c r="Y944" s="189" t="str">
        <f ca="1">IFERROR(__xludf.DUMMYFUNCTION("""COMPUTED_VALUE"""),"")</f>
        <v/>
      </c>
      <c r="Z944" s="189"/>
    </row>
    <row r="945" spans="1:26" ht="12.75">
      <c r="A945" s="189" t="str">
        <f ca="1">IFERROR(__xludf.DUMMYFUNCTION("""COMPUTED_VALUE"""),"")</f>
        <v/>
      </c>
      <c r="B945" s="189" t="str">
        <f ca="1">IFERROR(__xludf.DUMMYFUNCTION("""COMPUTED_VALUE"""),"")</f>
        <v/>
      </c>
      <c r="C945" s="189" t="str">
        <f ca="1">IFERROR(__xludf.DUMMYFUNCTION("""COMPUTED_VALUE"""),"")</f>
        <v/>
      </c>
      <c r="D945" s="189" t="str">
        <f ca="1">IFERROR(__xludf.DUMMYFUNCTION("""COMPUTED_VALUE"""),"")</f>
        <v/>
      </c>
      <c r="E945" s="189" t="str">
        <f ca="1">IFERROR(__xludf.DUMMYFUNCTION("""COMPUTED_VALUE"""),"")</f>
        <v/>
      </c>
      <c r="F945" s="189" t="str">
        <f ca="1">IFERROR(__xludf.DUMMYFUNCTION("""COMPUTED_VALUE"""),"")</f>
        <v/>
      </c>
      <c r="G945" s="189" t="str">
        <f ca="1">IFERROR(__xludf.DUMMYFUNCTION("""COMPUTED_VALUE"""),"")</f>
        <v/>
      </c>
      <c r="H945" s="189" t="str">
        <f ca="1">IFERROR(__xludf.DUMMYFUNCTION("""COMPUTED_VALUE"""),"")</f>
        <v/>
      </c>
      <c r="I945" s="120" t="str">
        <f ca="1">IFERROR(__xludf.DUMMYFUNCTION("""COMPUTED_VALUE"""),"")</f>
        <v/>
      </c>
      <c r="J945" s="189" t="str">
        <f ca="1">IFERROR(__xludf.DUMMYFUNCTION("""COMPUTED_VALUE"""),"")</f>
        <v/>
      </c>
      <c r="K945" s="189" t="str">
        <f ca="1">IFERROR(__xludf.DUMMYFUNCTION("""COMPUTED_VALUE"""),"")</f>
        <v/>
      </c>
      <c r="L945" s="189" t="str">
        <f ca="1">IFERROR(__xludf.DUMMYFUNCTION("""COMPUTED_VALUE"""),"")</f>
        <v/>
      </c>
      <c r="M945" s="189" t="str">
        <f ca="1">IFERROR(__xludf.DUMMYFUNCTION("""COMPUTED_VALUE"""),"")</f>
        <v/>
      </c>
      <c r="N945" s="189" t="str">
        <f ca="1">IFERROR(__xludf.DUMMYFUNCTION("""COMPUTED_VALUE"""),"")</f>
        <v/>
      </c>
      <c r="O945" s="189" t="str">
        <f ca="1">IFERROR(__xludf.DUMMYFUNCTION("""COMPUTED_VALUE"""),"")</f>
        <v/>
      </c>
      <c r="P945" s="189" t="str">
        <f ca="1">IFERROR(__xludf.DUMMYFUNCTION("""COMPUTED_VALUE"""),"")</f>
        <v/>
      </c>
      <c r="Q945" s="189" t="str">
        <f ca="1">IFERROR(__xludf.DUMMYFUNCTION("""COMPUTED_VALUE"""),"")</f>
        <v/>
      </c>
      <c r="R945" s="189" t="str">
        <f ca="1">IFERROR(__xludf.DUMMYFUNCTION("""COMPUTED_VALUE"""),"")</f>
        <v/>
      </c>
      <c r="S945" s="189" t="str">
        <f ca="1">IFERROR(__xludf.DUMMYFUNCTION("""COMPUTED_VALUE"""),"")</f>
        <v/>
      </c>
      <c r="T945" s="189" t="str">
        <f ca="1">IFERROR(__xludf.DUMMYFUNCTION("""COMPUTED_VALUE"""),"")</f>
        <v/>
      </c>
      <c r="U945" s="189" t="str">
        <f ca="1">IFERROR(__xludf.DUMMYFUNCTION("""COMPUTED_VALUE"""),"")</f>
        <v/>
      </c>
      <c r="V945" s="189" t="str">
        <f ca="1">IFERROR(__xludf.DUMMYFUNCTION("""COMPUTED_VALUE"""),"")</f>
        <v/>
      </c>
      <c r="W945" s="189" t="str">
        <f ca="1">IFERROR(__xludf.DUMMYFUNCTION("""COMPUTED_VALUE"""),"")</f>
        <v/>
      </c>
      <c r="X945" s="189" t="str">
        <f ca="1">IFERROR(__xludf.DUMMYFUNCTION("""COMPUTED_VALUE"""),"")</f>
        <v/>
      </c>
      <c r="Y945" s="189" t="str">
        <f ca="1">IFERROR(__xludf.DUMMYFUNCTION("""COMPUTED_VALUE"""),"")</f>
        <v/>
      </c>
      <c r="Z945" s="189"/>
    </row>
    <row r="946" spans="1:26" ht="12.75">
      <c r="A946" s="189" t="str">
        <f ca="1">IFERROR(__xludf.DUMMYFUNCTION("""COMPUTED_VALUE"""),"")</f>
        <v/>
      </c>
      <c r="B946" s="189" t="str">
        <f ca="1">IFERROR(__xludf.DUMMYFUNCTION("""COMPUTED_VALUE"""),"")</f>
        <v/>
      </c>
      <c r="C946" s="189" t="str">
        <f ca="1">IFERROR(__xludf.DUMMYFUNCTION("""COMPUTED_VALUE"""),"")</f>
        <v/>
      </c>
      <c r="D946" s="189" t="str">
        <f ca="1">IFERROR(__xludf.DUMMYFUNCTION("""COMPUTED_VALUE"""),"")</f>
        <v/>
      </c>
      <c r="E946" s="189" t="str">
        <f ca="1">IFERROR(__xludf.DUMMYFUNCTION("""COMPUTED_VALUE"""),"")</f>
        <v/>
      </c>
      <c r="F946" s="189" t="str">
        <f ca="1">IFERROR(__xludf.DUMMYFUNCTION("""COMPUTED_VALUE"""),"")</f>
        <v/>
      </c>
      <c r="G946" s="189" t="str">
        <f ca="1">IFERROR(__xludf.DUMMYFUNCTION("""COMPUTED_VALUE"""),"")</f>
        <v/>
      </c>
      <c r="H946" s="189" t="str">
        <f ca="1">IFERROR(__xludf.DUMMYFUNCTION("""COMPUTED_VALUE"""),"")</f>
        <v/>
      </c>
      <c r="I946" s="120" t="str">
        <f ca="1">IFERROR(__xludf.DUMMYFUNCTION("""COMPUTED_VALUE"""),"")</f>
        <v/>
      </c>
      <c r="J946" s="189" t="str">
        <f ca="1">IFERROR(__xludf.DUMMYFUNCTION("""COMPUTED_VALUE"""),"")</f>
        <v/>
      </c>
      <c r="K946" s="189" t="str">
        <f ca="1">IFERROR(__xludf.DUMMYFUNCTION("""COMPUTED_VALUE"""),"")</f>
        <v/>
      </c>
      <c r="L946" s="189" t="str">
        <f ca="1">IFERROR(__xludf.DUMMYFUNCTION("""COMPUTED_VALUE"""),"")</f>
        <v/>
      </c>
      <c r="M946" s="189" t="str">
        <f ca="1">IFERROR(__xludf.DUMMYFUNCTION("""COMPUTED_VALUE"""),"")</f>
        <v/>
      </c>
      <c r="N946" s="189" t="str">
        <f ca="1">IFERROR(__xludf.DUMMYFUNCTION("""COMPUTED_VALUE"""),"")</f>
        <v/>
      </c>
      <c r="O946" s="189" t="str">
        <f ca="1">IFERROR(__xludf.DUMMYFUNCTION("""COMPUTED_VALUE"""),"")</f>
        <v/>
      </c>
      <c r="P946" s="189" t="str">
        <f ca="1">IFERROR(__xludf.DUMMYFUNCTION("""COMPUTED_VALUE"""),"")</f>
        <v/>
      </c>
      <c r="Q946" s="189" t="str">
        <f ca="1">IFERROR(__xludf.DUMMYFUNCTION("""COMPUTED_VALUE"""),"")</f>
        <v/>
      </c>
      <c r="R946" s="189" t="str">
        <f ca="1">IFERROR(__xludf.DUMMYFUNCTION("""COMPUTED_VALUE"""),"")</f>
        <v/>
      </c>
      <c r="S946" s="189" t="str">
        <f ca="1">IFERROR(__xludf.DUMMYFUNCTION("""COMPUTED_VALUE"""),"")</f>
        <v/>
      </c>
      <c r="T946" s="189" t="str">
        <f ca="1">IFERROR(__xludf.DUMMYFUNCTION("""COMPUTED_VALUE"""),"")</f>
        <v/>
      </c>
      <c r="U946" s="189" t="str">
        <f ca="1">IFERROR(__xludf.DUMMYFUNCTION("""COMPUTED_VALUE"""),"")</f>
        <v/>
      </c>
      <c r="V946" s="189" t="str">
        <f ca="1">IFERROR(__xludf.DUMMYFUNCTION("""COMPUTED_VALUE"""),"")</f>
        <v/>
      </c>
      <c r="W946" s="189" t="str">
        <f ca="1">IFERROR(__xludf.DUMMYFUNCTION("""COMPUTED_VALUE"""),"")</f>
        <v/>
      </c>
      <c r="X946" s="189" t="str">
        <f ca="1">IFERROR(__xludf.DUMMYFUNCTION("""COMPUTED_VALUE"""),"")</f>
        <v/>
      </c>
      <c r="Y946" s="189" t="str">
        <f ca="1">IFERROR(__xludf.DUMMYFUNCTION("""COMPUTED_VALUE"""),"")</f>
        <v/>
      </c>
      <c r="Z946" s="189"/>
    </row>
    <row r="947" spans="1:26" ht="12.75">
      <c r="A947" s="189" t="str">
        <f ca="1">IFERROR(__xludf.DUMMYFUNCTION("""COMPUTED_VALUE"""),"")</f>
        <v/>
      </c>
      <c r="B947" s="189" t="str">
        <f ca="1">IFERROR(__xludf.DUMMYFUNCTION("""COMPUTED_VALUE"""),"")</f>
        <v/>
      </c>
      <c r="C947" s="189" t="str">
        <f ca="1">IFERROR(__xludf.DUMMYFUNCTION("""COMPUTED_VALUE"""),"")</f>
        <v/>
      </c>
      <c r="D947" s="189" t="str">
        <f ca="1">IFERROR(__xludf.DUMMYFUNCTION("""COMPUTED_VALUE"""),"")</f>
        <v/>
      </c>
      <c r="E947" s="189" t="str">
        <f ca="1">IFERROR(__xludf.DUMMYFUNCTION("""COMPUTED_VALUE"""),"")</f>
        <v/>
      </c>
      <c r="F947" s="189" t="str">
        <f ca="1">IFERROR(__xludf.DUMMYFUNCTION("""COMPUTED_VALUE"""),"")</f>
        <v/>
      </c>
      <c r="G947" s="189" t="str">
        <f ca="1">IFERROR(__xludf.DUMMYFUNCTION("""COMPUTED_VALUE"""),"")</f>
        <v/>
      </c>
      <c r="H947" s="189" t="str">
        <f ca="1">IFERROR(__xludf.DUMMYFUNCTION("""COMPUTED_VALUE"""),"")</f>
        <v/>
      </c>
      <c r="I947" s="120" t="str">
        <f ca="1">IFERROR(__xludf.DUMMYFUNCTION("""COMPUTED_VALUE"""),"")</f>
        <v/>
      </c>
      <c r="J947" s="189" t="str">
        <f ca="1">IFERROR(__xludf.DUMMYFUNCTION("""COMPUTED_VALUE"""),"")</f>
        <v/>
      </c>
      <c r="K947" s="189" t="str">
        <f ca="1">IFERROR(__xludf.DUMMYFUNCTION("""COMPUTED_VALUE"""),"")</f>
        <v/>
      </c>
      <c r="L947" s="189" t="str">
        <f ca="1">IFERROR(__xludf.DUMMYFUNCTION("""COMPUTED_VALUE"""),"")</f>
        <v/>
      </c>
      <c r="M947" s="189" t="str">
        <f ca="1">IFERROR(__xludf.DUMMYFUNCTION("""COMPUTED_VALUE"""),"")</f>
        <v/>
      </c>
      <c r="N947" s="189" t="str">
        <f ca="1">IFERROR(__xludf.DUMMYFUNCTION("""COMPUTED_VALUE"""),"")</f>
        <v/>
      </c>
      <c r="O947" s="189" t="str">
        <f ca="1">IFERROR(__xludf.DUMMYFUNCTION("""COMPUTED_VALUE"""),"")</f>
        <v/>
      </c>
      <c r="P947" s="189" t="str">
        <f ca="1">IFERROR(__xludf.DUMMYFUNCTION("""COMPUTED_VALUE"""),"")</f>
        <v/>
      </c>
      <c r="Q947" s="189" t="str">
        <f ca="1">IFERROR(__xludf.DUMMYFUNCTION("""COMPUTED_VALUE"""),"")</f>
        <v/>
      </c>
      <c r="R947" s="189" t="str">
        <f ca="1">IFERROR(__xludf.DUMMYFUNCTION("""COMPUTED_VALUE"""),"")</f>
        <v/>
      </c>
      <c r="S947" s="189" t="str">
        <f ca="1">IFERROR(__xludf.DUMMYFUNCTION("""COMPUTED_VALUE"""),"")</f>
        <v/>
      </c>
      <c r="T947" s="189" t="str">
        <f ca="1">IFERROR(__xludf.DUMMYFUNCTION("""COMPUTED_VALUE"""),"")</f>
        <v/>
      </c>
      <c r="U947" s="189" t="str">
        <f ca="1">IFERROR(__xludf.DUMMYFUNCTION("""COMPUTED_VALUE"""),"")</f>
        <v/>
      </c>
      <c r="V947" s="189" t="str">
        <f ca="1">IFERROR(__xludf.DUMMYFUNCTION("""COMPUTED_VALUE"""),"")</f>
        <v/>
      </c>
      <c r="W947" s="189" t="str">
        <f ca="1">IFERROR(__xludf.DUMMYFUNCTION("""COMPUTED_VALUE"""),"")</f>
        <v/>
      </c>
      <c r="X947" s="189" t="str">
        <f ca="1">IFERROR(__xludf.DUMMYFUNCTION("""COMPUTED_VALUE"""),"")</f>
        <v/>
      </c>
      <c r="Y947" s="189" t="str">
        <f ca="1">IFERROR(__xludf.DUMMYFUNCTION("""COMPUTED_VALUE"""),"")</f>
        <v/>
      </c>
      <c r="Z947" s="189"/>
    </row>
    <row r="948" spans="1:26" ht="12.75">
      <c r="A948" s="189" t="str">
        <f ca="1">IFERROR(__xludf.DUMMYFUNCTION("""COMPUTED_VALUE"""),"")</f>
        <v/>
      </c>
      <c r="B948" s="189" t="str">
        <f ca="1">IFERROR(__xludf.DUMMYFUNCTION("""COMPUTED_VALUE"""),"")</f>
        <v/>
      </c>
      <c r="C948" s="189" t="str">
        <f ca="1">IFERROR(__xludf.DUMMYFUNCTION("""COMPUTED_VALUE"""),"")</f>
        <v/>
      </c>
      <c r="D948" s="189" t="str">
        <f ca="1">IFERROR(__xludf.DUMMYFUNCTION("""COMPUTED_VALUE"""),"")</f>
        <v/>
      </c>
      <c r="E948" s="189" t="str">
        <f ca="1">IFERROR(__xludf.DUMMYFUNCTION("""COMPUTED_VALUE"""),"")</f>
        <v/>
      </c>
      <c r="F948" s="189" t="str">
        <f ca="1">IFERROR(__xludf.DUMMYFUNCTION("""COMPUTED_VALUE"""),"")</f>
        <v/>
      </c>
      <c r="G948" s="189" t="str">
        <f ca="1">IFERROR(__xludf.DUMMYFUNCTION("""COMPUTED_VALUE"""),"")</f>
        <v/>
      </c>
      <c r="H948" s="189" t="str">
        <f ca="1">IFERROR(__xludf.DUMMYFUNCTION("""COMPUTED_VALUE"""),"")</f>
        <v/>
      </c>
      <c r="I948" s="120" t="str">
        <f ca="1">IFERROR(__xludf.DUMMYFUNCTION("""COMPUTED_VALUE"""),"")</f>
        <v/>
      </c>
      <c r="J948" s="189" t="str">
        <f ca="1">IFERROR(__xludf.DUMMYFUNCTION("""COMPUTED_VALUE"""),"")</f>
        <v/>
      </c>
      <c r="K948" s="189" t="str">
        <f ca="1">IFERROR(__xludf.DUMMYFUNCTION("""COMPUTED_VALUE"""),"")</f>
        <v/>
      </c>
      <c r="L948" s="189" t="str">
        <f ca="1">IFERROR(__xludf.DUMMYFUNCTION("""COMPUTED_VALUE"""),"")</f>
        <v/>
      </c>
      <c r="M948" s="189" t="str">
        <f ca="1">IFERROR(__xludf.DUMMYFUNCTION("""COMPUTED_VALUE"""),"")</f>
        <v/>
      </c>
      <c r="N948" s="189" t="str">
        <f ca="1">IFERROR(__xludf.DUMMYFUNCTION("""COMPUTED_VALUE"""),"")</f>
        <v/>
      </c>
      <c r="O948" s="189" t="str">
        <f ca="1">IFERROR(__xludf.DUMMYFUNCTION("""COMPUTED_VALUE"""),"")</f>
        <v/>
      </c>
      <c r="P948" s="189" t="str">
        <f ca="1">IFERROR(__xludf.DUMMYFUNCTION("""COMPUTED_VALUE"""),"")</f>
        <v/>
      </c>
      <c r="Q948" s="189" t="str">
        <f ca="1">IFERROR(__xludf.DUMMYFUNCTION("""COMPUTED_VALUE"""),"")</f>
        <v/>
      </c>
      <c r="R948" s="189" t="str">
        <f ca="1">IFERROR(__xludf.DUMMYFUNCTION("""COMPUTED_VALUE"""),"")</f>
        <v/>
      </c>
      <c r="S948" s="189" t="str">
        <f ca="1">IFERROR(__xludf.DUMMYFUNCTION("""COMPUTED_VALUE"""),"")</f>
        <v/>
      </c>
      <c r="T948" s="189" t="str">
        <f ca="1">IFERROR(__xludf.DUMMYFUNCTION("""COMPUTED_VALUE"""),"")</f>
        <v/>
      </c>
      <c r="U948" s="189" t="str">
        <f ca="1">IFERROR(__xludf.DUMMYFUNCTION("""COMPUTED_VALUE"""),"")</f>
        <v/>
      </c>
      <c r="V948" s="189" t="str">
        <f ca="1">IFERROR(__xludf.DUMMYFUNCTION("""COMPUTED_VALUE"""),"")</f>
        <v/>
      </c>
      <c r="W948" s="189" t="str">
        <f ca="1">IFERROR(__xludf.DUMMYFUNCTION("""COMPUTED_VALUE"""),"")</f>
        <v/>
      </c>
      <c r="X948" s="189" t="str">
        <f ca="1">IFERROR(__xludf.DUMMYFUNCTION("""COMPUTED_VALUE"""),"")</f>
        <v/>
      </c>
      <c r="Y948" s="189" t="str">
        <f ca="1">IFERROR(__xludf.DUMMYFUNCTION("""COMPUTED_VALUE"""),"")</f>
        <v/>
      </c>
      <c r="Z948" s="189"/>
    </row>
    <row r="949" spans="1:26" ht="12.75">
      <c r="A949" s="189" t="str">
        <f ca="1">IFERROR(__xludf.DUMMYFUNCTION("""COMPUTED_VALUE"""),"")</f>
        <v/>
      </c>
      <c r="B949" s="189" t="str">
        <f ca="1">IFERROR(__xludf.DUMMYFUNCTION("""COMPUTED_VALUE"""),"")</f>
        <v/>
      </c>
      <c r="C949" s="189" t="str">
        <f ca="1">IFERROR(__xludf.DUMMYFUNCTION("""COMPUTED_VALUE"""),"")</f>
        <v/>
      </c>
      <c r="D949" s="189" t="str">
        <f ca="1">IFERROR(__xludf.DUMMYFUNCTION("""COMPUTED_VALUE"""),"")</f>
        <v/>
      </c>
      <c r="E949" s="189" t="str">
        <f ca="1">IFERROR(__xludf.DUMMYFUNCTION("""COMPUTED_VALUE"""),"")</f>
        <v/>
      </c>
      <c r="F949" s="189" t="str">
        <f ca="1">IFERROR(__xludf.DUMMYFUNCTION("""COMPUTED_VALUE"""),"")</f>
        <v/>
      </c>
      <c r="G949" s="189" t="str">
        <f ca="1">IFERROR(__xludf.DUMMYFUNCTION("""COMPUTED_VALUE"""),"")</f>
        <v/>
      </c>
      <c r="H949" s="189" t="str">
        <f ca="1">IFERROR(__xludf.DUMMYFUNCTION("""COMPUTED_VALUE"""),"")</f>
        <v/>
      </c>
      <c r="I949" s="120" t="str">
        <f ca="1">IFERROR(__xludf.DUMMYFUNCTION("""COMPUTED_VALUE"""),"")</f>
        <v/>
      </c>
      <c r="J949" s="189" t="str">
        <f ca="1">IFERROR(__xludf.DUMMYFUNCTION("""COMPUTED_VALUE"""),"")</f>
        <v/>
      </c>
      <c r="K949" s="189" t="str">
        <f ca="1">IFERROR(__xludf.DUMMYFUNCTION("""COMPUTED_VALUE"""),"")</f>
        <v/>
      </c>
      <c r="L949" s="189" t="str">
        <f ca="1">IFERROR(__xludf.DUMMYFUNCTION("""COMPUTED_VALUE"""),"")</f>
        <v/>
      </c>
      <c r="M949" s="189" t="str">
        <f ca="1">IFERROR(__xludf.DUMMYFUNCTION("""COMPUTED_VALUE"""),"")</f>
        <v/>
      </c>
      <c r="N949" s="189" t="str">
        <f ca="1">IFERROR(__xludf.DUMMYFUNCTION("""COMPUTED_VALUE"""),"")</f>
        <v/>
      </c>
      <c r="O949" s="189" t="str">
        <f ca="1">IFERROR(__xludf.DUMMYFUNCTION("""COMPUTED_VALUE"""),"")</f>
        <v/>
      </c>
      <c r="P949" s="189" t="str">
        <f ca="1">IFERROR(__xludf.DUMMYFUNCTION("""COMPUTED_VALUE"""),"")</f>
        <v/>
      </c>
      <c r="Q949" s="189" t="str">
        <f ca="1">IFERROR(__xludf.DUMMYFUNCTION("""COMPUTED_VALUE"""),"")</f>
        <v/>
      </c>
      <c r="R949" s="189" t="str">
        <f ca="1">IFERROR(__xludf.DUMMYFUNCTION("""COMPUTED_VALUE"""),"")</f>
        <v/>
      </c>
      <c r="S949" s="189" t="str">
        <f ca="1">IFERROR(__xludf.DUMMYFUNCTION("""COMPUTED_VALUE"""),"")</f>
        <v/>
      </c>
      <c r="T949" s="189" t="str">
        <f ca="1">IFERROR(__xludf.DUMMYFUNCTION("""COMPUTED_VALUE"""),"")</f>
        <v/>
      </c>
      <c r="U949" s="189" t="str">
        <f ca="1">IFERROR(__xludf.DUMMYFUNCTION("""COMPUTED_VALUE"""),"")</f>
        <v/>
      </c>
      <c r="V949" s="189" t="str">
        <f ca="1">IFERROR(__xludf.DUMMYFUNCTION("""COMPUTED_VALUE"""),"")</f>
        <v/>
      </c>
      <c r="W949" s="189" t="str">
        <f ca="1">IFERROR(__xludf.DUMMYFUNCTION("""COMPUTED_VALUE"""),"")</f>
        <v/>
      </c>
      <c r="X949" s="189" t="str">
        <f ca="1">IFERROR(__xludf.DUMMYFUNCTION("""COMPUTED_VALUE"""),"")</f>
        <v/>
      </c>
      <c r="Y949" s="189" t="str">
        <f ca="1">IFERROR(__xludf.DUMMYFUNCTION("""COMPUTED_VALUE"""),"")</f>
        <v/>
      </c>
      <c r="Z949" s="189"/>
    </row>
    <row r="950" spans="1:26" ht="12.75">
      <c r="A950" s="189" t="str">
        <f ca="1">IFERROR(__xludf.DUMMYFUNCTION("""COMPUTED_VALUE"""),"")</f>
        <v/>
      </c>
      <c r="B950" s="189" t="str">
        <f ca="1">IFERROR(__xludf.DUMMYFUNCTION("""COMPUTED_VALUE"""),"")</f>
        <v/>
      </c>
      <c r="C950" s="189" t="str">
        <f ca="1">IFERROR(__xludf.DUMMYFUNCTION("""COMPUTED_VALUE"""),"")</f>
        <v/>
      </c>
      <c r="D950" s="189" t="str">
        <f ca="1">IFERROR(__xludf.DUMMYFUNCTION("""COMPUTED_VALUE"""),"")</f>
        <v/>
      </c>
      <c r="E950" s="189" t="str">
        <f ca="1">IFERROR(__xludf.DUMMYFUNCTION("""COMPUTED_VALUE"""),"")</f>
        <v/>
      </c>
      <c r="F950" s="189" t="str">
        <f ca="1">IFERROR(__xludf.DUMMYFUNCTION("""COMPUTED_VALUE"""),"")</f>
        <v/>
      </c>
      <c r="G950" s="189" t="str">
        <f ca="1">IFERROR(__xludf.DUMMYFUNCTION("""COMPUTED_VALUE"""),"")</f>
        <v/>
      </c>
      <c r="H950" s="189" t="str">
        <f ca="1">IFERROR(__xludf.DUMMYFUNCTION("""COMPUTED_VALUE"""),"")</f>
        <v/>
      </c>
      <c r="I950" s="120" t="str">
        <f ca="1">IFERROR(__xludf.DUMMYFUNCTION("""COMPUTED_VALUE"""),"")</f>
        <v/>
      </c>
      <c r="J950" s="189" t="str">
        <f ca="1">IFERROR(__xludf.DUMMYFUNCTION("""COMPUTED_VALUE"""),"")</f>
        <v/>
      </c>
      <c r="K950" s="189" t="str">
        <f ca="1">IFERROR(__xludf.DUMMYFUNCTION("""COMPUTED_VALUE"""),"")</f>
        <v/>
      </c>
      <c r="L950" s="189" t="str">
        <f ca="1">IFERROR(__xludf.DUMMYFUNCTION("""COMPUTED_VALUE"""),"")</f>
        <v/>
      </c>
      <c r="M950" s="189" t="str">
        <f ca="1">IFERROR(__xludf.DUMMYFUNCTION("""COMPUTED_VALUE"""),"")</f>
        <v/>
      </c>
      <c r="N950" s="189" t="str">
        <f ca="1">IFERROR(__xludf.DUMMYFUNCTION("""COMPUTED_VALUE"""),"")</f>
        <v/>
      </c>
      <c r="O950" s="189" t="str">
        <f ca="1">IFERROR(__xludf.DUMMYFUNCTION("""COMPUTED_VALUE"""),"")</f>
        <v/>
      </c>
      <c r="P950" s="189" t="str">
        <f ca="1">IFERROR(__xludf.DUMMYFUNCTION("""COMPUTED_VALUE"""),"")</f>
        <v/>
      </c>
      <c r="Q950" s="189" t="str">
        <f ca="1">IFERROR(__xludf.DUMMYFUNCTION("""COMPUTED_VALUE"""),"")</f>
        <v/>
      </c>
      <c r="R950" s="189" t="str">
        <f ca="1">IFERROR(__xludf.DUMMYFUNCTION("""COMPUTED_VALUE"""),"")</f>
        <v/>
      </c>
      <c r="S950" s="189" t="str">
        <f ca="1">IFERROR(__xludf.DUMMYFUNCTION("""COMPUTED_VALUE"""),"")</f>
        <v/>
      </c>
      <c r="T950" s="189" t="str">
        <f ca="1">IFERROR(__xludf.DUMMYFUNCTION("""COMPUTED_VALUE"""),"")</f>
        <v/>
      </c>
      <c r="U950" s="189" t="str">
        <f ca="1">IFERROR(__xludf.DUMMYFUNCTION("""COMPUTED_VALUE"""),"")</f>
        <v/>
      </c>
      <c r="V950" s="189" t="str">
        <f ca="1">IFERROR(__xludf.DUMMYFUNCTION("""COMPUTED_VALUE"""),"")</f>
        <v/>
      </c>
      <c r="W950" s="189" t="str">
        <f ca="1">IFERROR(__xludf.DUMMYFUNCTION("""COMPUTED_VALUE"""),"")</f>
        <v/>
      </c>
      <c r="X950" s="189" t="str">
        <f ca="1">IFERROR(__xludf.DUMMYFUNCTION("""COMPUTED_VALUE"""),"")</f>
        <v/>
      </c>
      <c r="Y950" s="189" t="str">
        <f ca="1">IFERROR(__xludf.DUMMYFUNCTION("""COMPUTED_VALUE"""),"")</f>
        <v/>
      </c>
      <c r="Z950" s="189"/>
    </row>
    <row r="951" spans="1:26" ht="12.75">
      <c r="A951" s="189" t="str">
        <f ca="1">IFERROR(__xludf.DUMMYFUNCTION("""COMPUTED_VALUE"""),"")</f>
        <v/>
      </c>
      <c r="B951" s="189" t="str">
        <f ca="1">IFERROR(__xludf.DUMMYFUNCTION("""COMPUTED_VALUE"""),"")</f>
        <v/>
      </c>
      <c r="C951" s="189" t="str">
        <f ca="1">IFERROR(__xludf.DUMMYFUNCTION("""COMPUTED_VALUE"""),"")</f>
        <v/>
      </c>
      <c r="D951" s="189" t="str">
        <f ca="1">IFERROR(__xludf.DUMMYFUNCTION("""COMPUTED_VALUE"""),"")</f>
        <v/>
      </c>
      <c r="E951" s="189" t="str">
        <f ca="1">IFERROR(__xludf.DUMMYFUNCTION("""COMPUTED_VALUE"""),"")</f>
        <v/>
      </c>
      <c r="F951" s="189" t="str">
        <f ca="1">IFERROR(__xludf.DUMMYFUNCTION("""COMPUTED_VALUE"""),"")</f>
        <v/>
      </c>
      <c r="G951" s="189" t="str">
        <f ca="1">IFERROR(__xludf.DUMMYFUNCTION("""COMPUTED_VALUE"""),"")</f>
        <v/>
      </c>
      <c r="H951" s="189" t="str">
        <f ca="1">IFERROR(__xludf.DUMMYFUNCTION("""COMPUTED_VALUE"""),"")</f>
        <v/>
      </c>
      <c r="I951" s="120" t="str">
        <f ca="1">IFERROR(__xludf.DUMMYFUNCTION("""COMPUTED_VALUE"""),"")</f>
        <v/>
      </c>
      <c r="J951" s="189" t="str">
        <f ca="1">IFERROR(__xludf.DUMMYFUNCTION("""COMPUTED_VALUE"""),"")</f>
        <v/>
      </c>
      <c r="K951" s="189" t="str">
        <f ca="1">IFERROR(__xludf.DUMMYFUNCTION("""COMPUTED_VALUE"""),"")</f>
        <v/>
      </c>
      <c r="L951" s="189" t="str">
        <f ca="1">IFERROR(__xludf.DUMMYFUNCTION("""COMPUTED_VALUE"""),"")</f>
        <v/>
      </c>
      <c r="M951" s="189" t="str">
        <f ca="1">IFERROR(__xludf.DUMMYFUNCTION("""COMPUTED_VALUE"""),"")</f>
        <v/>
      </c>
      <c r="N951" s="189" t="str">
        <f ca="1">IFERROR(__xludf.DUMMYFUNCTION("""COMPUTED_VALUE"""),"")</f>
        <v/>
      </c>
      <c r="O951" s="189" t="str">
        <f ca="1">IFERROR(__xludf.DUMMYFUNCTION("""COMPUTED_VALUE"""),"")</f>
        <v/>
      </c>
      <c r="P951" s="189" t="str">
        <f ca="1">IFERROR(__xludf.DUMMYFUNCTION("""COMPUTED_VALUE"""),"")</f>
        <v/>
      </c>
      <c r="Q951" s="189" t="str">
        <f ca="1">IFERROR(__xludf.DUMMYFUNCTION("""COMPUTED_VALUE"""),"")</f>
        <v/>
      </c>
      <c r="R951" s="189" t="str">
        <f ca="1">IFERROR(__xludf.DUMMYFUNCTION("""COMPUTED_VALUE"""),"")</f>
        <v/>
      </c>
      <c r="S951" s="189" t="str">
        <f ca="1">IFERROR(__xludf.DUMMYFUNCTION("""COMPUTED_VALUE"""),"")</f>
        <v/>
      </c>
      <c r="T951" s="189" t="str">
        <f ca="1">IFERROR(__xludf.DUMMYFUNCTION("""COMPUTED_VALUE"""),"")</f>
        <v/>
      </c>
      <c r="U951" s="189" t="str">
        <f ca="1">IFERROR(__xludf.DUMMYFUNCTION("""COMPUTED_VALUE"""),"")</f>
        <v/>
      </c>
      <c r="V951" s="189" t="str">
        <f ca="1">IFERROR(__xludf.DUMMYFUNCTION("""COMPUTED_VALUE"""),"")</f>
        <v/>
      </c>
      <c r="W951" s="189" t="str">
        <f ca="1">IFERROR(__xludf.DUMMYFUNCTION("""COMPUTED_VALUE"""),"")</f>
        <v/>
      </c>
      <c r="X951" s="189" t="str">
        <f ca="1">IFERROR(__xludf.DUMMYFUNCTION("""COMPUTED_VALUE"""),"")</f>
        <v/>
      </c>
      <c r="Y951" s="189" t="str">
        <f ca="1">IFERROR(__xludf.DUMMYFUNCTION("""COMPUTED_VALUE"""),"")</f>
        <v/>
      </c>
      <c r="Z951" s="189"/>
    </row>
    <row r="952" spans="1:26" ht="12.75">
      <c r="A952" s="189" t="str">
        <f ca="1">IFERROR(__xludf.DUMMYFUNCTION("""COMPUTED_VALUE"""),"")</f>
        <v/>
      </c>
      <c r="B952" s="189" t="str">
        <f ca="1">IFERROR(__xludf.DUMMYFUNCTION("""COMPUTED_VALUE"""),"")</f>
        <v/>
      </c>
      <c r="C952" s="189" t="str">
        <f ca="1">IFERROR(__xludf.DUMMYFUNCTION("""COMPUTED_VALUE"""),"")</f>
        <v/>
      </c>
      <c r="D952" s="189" t="str">
        <f ca="1">IFERROR(__xludf.DUMMYFUNCTION("""COMPUTED_VALUE"""),"")</f>
        <v/>
      </c>
      <c r="E952" s="189" t="str">
        <f ca="1">IFERROR(__xludf.DUMMYFUNCTION("""COMPUTED_VALUE"""),"")</f>
        <v/>
      </c>
      <c r="F952" s="189" t="str">
        <f ca="1">IFERROR(__xludf.DUMMYFUNCTION("""COMPUTED_VALUE"""),"")</f>
        <v/>
      </c>
      <c r="G952" s="189" t="str">
        <f ca="1">IFERROR(__xludf.DUMMYFUNCTION("""COMPUTED_VALUE"""),"")</f>
        <v/>
      </c>
      <c r="H952" s="189" t="str">
        <f ca="1">IFERROR(__xludf.DUMMYFUNCTION("""COMPUTED_VALUE"""),"")</f>
        <v/>
      </c>
      <c r="I952" s="120" t="str">
        <f ca="1">IFERROR(__xludf.DUMMYFUNCTION("""COMPUTED_VALUE"""),"")</f>
        <v/>
      </c>
      <c r="J952" s="189" t="str">
        <f ca="1">IFERROR(__xludf.DUMMYFUNCTION("""COMPUTED_VALUE"""),"")</f>
        <v/>
      </c>
      <c r="K952" s="189" t="str">
        <f ca="1">IFERROR(__xludf.DUMMYFUNCTION("""COMPUTED_VALUE"""),"")</f>
        <v/>
      </c>
      <c r="L952" s="189" t="str">
        <f ca="1">IFERROR(__xludf.DUMMYFUNCTION("""COMPUTED_VALUE"""),"")</f>
        <v/>
      </c>
      <c r="M952" s="189" t="str">
        <f ca="1">IFERROR(__xludf.DUMMYFUNCTION("""COMPUTED_VALUE"""),"")</f>
        <v/>
      </c>
      <c r="N952" s="189" t="str">
        <f ca="1">IFERROR(__xludf.DUMMYFUNCTION("""COMPUTED_VALUE"""),"")</f>
        <v/>
      </c>
      <c r="O952" s="189" t="str">
        <f ca="1">IFERROR(__xludf.DUMMYFUNCTION("""COMPUTED_VALUE"""),"")</f>
        <v/>
      </c>
      <c r="P952" s="189" t="str">
        <f ca="1">IFERROR(__xludf.DUMMYFUNCTION("""COMPUTED_VALUE"""),"")</f>
        <v/>
      </c>
      <c r="Q952" s="189" t="str">
        <f ca="1">IFERROR(__xludf.DUMMYFUNCTION("""COMPUTED_VALUE"""),"")</f>
        <v/>
      </c>
      <c r="R952" s="189" t="str">
        <f ca="1">IFERROR(__xludf.DUMMYFUNCTION("""COMPUTED_VALUE"""),"")</f>
        <v/>
      </c>
      <c r="S952" s="189" t="str">
        <f ca="1">IFERROR(__xludf.DUMMYFUNCTION("""COMPUTED_VALUE"""),"")</f>
        <v/>
      </c>
      <c r="T952" s="189" t="str">
        <f ca="1">IFERROR(__xludf.DUMMYFUNCTION("""COMPUTED_VALUE"""),"")</f>
        <v/>
      </c>
      <c r="U952" s="189" t="str">
        <f ca="1">IFERROR(__xludf.DUMMYFUNCTION("""COMPUTED_VALUE"""),"")</f>
        <v/>
      </c>
      <c r="V952" s="189" t="str">
        <f ca="1">IFERROR(__xludf.DUMMYFUNCTION("""COMPUTED_VALUE"""),"")</f>
        <v/>
      </c>
      <c r="W952" s="189" t="str">
        <f ca="1">IFERROR(__xludf.DUMMYFUNCTION("""COMPUTED_VALUE"""),"")</f>
        <v/>
      </c>
      <c r="X952" s="189" t="str">
        <f ca="1">IFERROR(__xludf.DUMMYFUNCTION("""COMPUTED_VALUE"""),"")</f>
        <v/>
      </c>
      <c r="Y952" s="189" t="str">
        <f ca="1">IFERROR(__xludf.DUMMYFUNCTION("""COMPUTED_VALUE"""),"")</f>
        <v/>
      </c>
      <c r="Z952" s="189"/>
    </row>
    <row r="953" spans="1:26" ht="12.75">
      <c r="A953" s="189" t="str">
        <f ca="1">IFERROR(__xludf.DUMMYFUNCTION("""COMPUTED_VALUE"""),"")</f>
        <v/>
      </c>
      <c r="B953" s="189" t="str">
        <f ca="1">IFERROR(__xludf.DUMMYFUNCTION("""COMPUTED_VALUE"""),"")</f>
        <v/>
      </c>
      <c r="C953" s="189" t="str">
        <f ca="1">IFERROR(__xludf.DUMMYFUNCTION("""COMPUTED_VALUE"""),"")</f>
        <v/>
      </c>
      <c r="D953" s="189" t="str">
        <f ca="1">IFERROR(__xludf.DUMMYFUNCTION("""COMPUTED_VALUE"""),"")</f>
        <v/>
      </c>
      <c r="E953" s="189" t="str">
        <f ca="1">IFERROR(__xludf.DUMMYFUNCTION("""COMPUTED_VALUE"""),"")</f>
        <v/>
      </c>
      <c r="F953" s="189" t="str">
        <f ca="1">IFERROR(__xludf.DUMMYFUNCTION("""COMPUTED_VALUE"""),"")</f>
        <v/>
      </c>
      <c r="G953" s="189" t="str">
        <f ca="1">IFERROR(__xludf.DUMMYFUNCTION("""COMPUTED_VALUE"""),"")</f>
        <v/>
      </c>
      <c r="H953" s="189" t="str">
        <f ca="1">IFERROR(__xludf.DUMMYFUNCTION("""COMPUTED_VALUE"""),"")</f>
        <v/>
      </c>
      <c r="I953" s="120" t="str">
        <f ca="1">IFERROR(__xludf.DUMMYFUNCTION("""COMPUTED_VALUE"""),"")</f>
        <v/>
      </c>
      <c r="J953" s="189" t="str">
        <f ca="1">IFERROR(__xludf.DUMMYFUNCTION("""COMPUTED_VALUE"""),"")</f>
        <v/>
      </c>
      <c r="K953" s="189" t="str">
        <f ca="1">IFERROR(__xludf.DUMMYFUNCTION("""COMPUTED_VALUE"""),"")</f>
        <v/>
      </c>
      <c r="L953" s="189" t="str">
        <f ca="1">IFERROR(__xludf.DUMMYFUNCTION("""COMPUTED_VALUE"""),"")</f>
        <v/>
      </c>
      <c r="M953" s="189" t="str">
        <f ca="1">IFERROR(__xludf.DUMMYFUNCTION("""COMPUTED_VALUE"""),"")</f>
        <v/>
      </c>
      <c r="N953" s="189" t="str">
        <f ca="1">IFERROR(__xludf.DUMMYFUNCTION("""COMPUTED_VALUE"""),"")</f>
        <v/>
      </c>
      <c r="O953" s="189" t="str">
        <f ca="1">IFERROR(__xludf.DUMMYFUNCTION("""COMPUTED_VALUE"""),"")</f>
        <v/>
      </c>
      <c r="P953" s="189" t="str">
        <f ca="1">IFERROR(__xludf.DUMMYFUNCTION("""COMPUTED_VALUE"""),"")</f>
        <v/>
      </c>
      <c r="Q953" s="189" t="str">
        <f ca="1">IFERROR(__xludf.DUMMYFUNCTION("""COMPUTED_VALUE"""),"")</f>
        <v/>
      </c>
      <c r="R953" s="189" t="str">
        <f ca="1">IFERROR(__xludf.DUMMYFUNCTION("""COMPUTED_VALUE"""),"")</f>
        <v/>
      </c>
      <c r="S953" s="189" t="str">
        <f ca="1">IFERROR(__xludf.DUMMYFUNCTION("""COMPUTED_VALUE"""),"")</f>
        <v/>
      </c>
      <c r="T953" s="189" t="str">
        <f ca="1">IFERROR(__xludf.DUMMYFUNCTION("""COMPUTED_VALUE"""),"")</f>
        <v/>
      </c>
      <c r="U953" s="189" t="str">
        <f ca="1">IFERROR(__xludf.DUMMYFUNCTION("""COMPUTED_VALUE"""),"")</f>
        <v/>
      </c>
      <c r="V953" s="189" t="str">
        <f ca="1">IFERROR(__xludf.DUMMYFUNCTION("""COMPUTED_VALUE"""),"")</f>
        <v/>
      </c>
      <c r="W953" s="189" t="str">
        <f ca="1">IFERROR(__xludf.DUMMYFUNCTION("""COMPUTED_VALUE"""),"")</f>
        <v/>
      </c>
      <c r="X953" s="189" t="str">
        <f ca="1">IFERROR(__xludf.DUMMYFUNCTION("""COMPUTED_VALUE"""),"")</f>
        <v/>
      </c>
      <c r="Y953" s="189" t="str">
        <f ca="1">IFERROR(__xludf.DUMMYFUNCTION("""COMPUTED_VALUE"""),"")</f>
        <v/>
      </c>
      <c r="Z953" s="189"/>
    </row>
    <row r="954" spans="1:26" ht="12.75">
      <c r="A954" s="189" t="str">
        <f ca="1">IFERROR(__xludf.DUMMYFUNCTION("""COMPUTED_VALUE"""),"")</f>
        <v/>
      </c>
      <c r="B954" s="189" t="str">
        <f ca="1">IFERROR(__xludf.DUMMYFUNCTION("""COMPUTED_VALUE"""),"")</f>
        <v/>
      </c>
      <c r="C954" s="189" t="str">
        <f ca="1">IFERROR(__xludf.DUMMYFUNCTION("""COMPUTED_VALUE"""),"")</f>
        <v/>
      </c>
      <c r="D954" s="189" t="str">
        <f ca="1">IFERROR(__xludf.DUMMYFUNCTION("""COMPUTED_VALUE"""),"")</f>
        <v/>
      </c>
      <c r="E954" s="189" t="str">
        <f ca="1">IFERROR(__xludf.DUMMYFUNCTION("""COMPUTED_VALUE"""),"")</f>
        <v/>
      </c>
      <c r="F954" s="189" t="str">
        <f ca="1">IFERROR(__xludf.DUMMYFUNCTION("""COMPUTED_VALUE"""),"")</f>
        <v/>
      </c>
      <c r="G954" s="189" t="str">
        <f ca="1">IFERROR(__xludf.DUMMYFUNCTION("""COMPUTED_VALUE"""),"")</f>
        <v/>
      </c>
      <c r="H954" s="189" t="str">
        <f ca="1">IFERROR(__xludf.DUMMYFUNCTION("""COMPUTED_VALUE"""),"")</f>
        <v/>
      </c>
      <c r="I954" s="120" t="str">
        <f ca="1">IFERROR(__xludf.DUMMYFUNCTION("""COMPUTED_VALUE"""),"")</f>
        <v/>
      </c>
      <c r="J954" s="189" t="str">
        <f ca="1">IFERROR(__xludf.DUMMYFUNCTION("""COMPUTED_VALUE"""),"")</f>
        <v/>
      </c>
      <c r="K954" s="189" t="str">
        <f ca="1">IFERROR(__xludf.DUMMYFUNCTION("""COMPUTED_VALUE"""),"")</f>
        <v/>
      </c>
      <c r="L954" s="189" t="str">
        <f ca="1">IFERROR(__xludf.DUMMYFUNCTION("""COMPUTED_VALUE"""),"")</f>
        <v/>
      </c>
      <c r="M954" s="189" t="str">
        <f ca="1">IFERROR(__xludf.DUMMYFUNCTION("""COMPUTED_VALUE"""),"")</f>
        <v/>
      </c>
      <c r="N954" s="189" t="str">
        <f ca="1">IFERROR(__xludf.DUMMYFUNCTION("""COMPUTED_VALUE"""),"")</f>
        <v/>
      </c>
      <c r="O954" s="189" t="str">
        <f ca="1">IFERROR(__xludf.DUMMYFUNCTION("""COMPUTED_VALUE"""),"")</f>
        <v/>
      </c>
      <c r="P954" s="189" t="str">
        <f ca="1">IFERROR(__xludf.DUMMYFUNCTION("""COMPUTED_VALUE"""),"")</f>
        <v/>
      </c>
      <c r="Q954" s="189" t="str">
        <f ca="1">IFERROR(__xludf.DUMMYFUNCTION("""COMPUTED_VALUE"""),"")</f>
        <v/>
      </c>
      <c r="R954" s="189" t="str">
        <f ca="1">IFERROR(__xludf.DUMMYFUNCTION("""COMPUTED_VALUE"""),"")</f>
        <v/>
      </c>
      <c r="S954" s="189" t="str">
        <f ca="1">IFERROR(__xludf.DUMMYFUNCTION("""COMPUTED_VALUE"""),"")</f>
        <v/>
      </c>
      <c r="T954" s="189" t="str">
        <f ca="1">IFERROR(__xludf.DUMMYFUNCTION("""COMPUTED_VALUE"""),"")</f>
        <v/>
      </c>
      <c r="U954" s="189" t="str">
        <f ca="1">IFERROR(__xludf.DUMMYFUNCTION("""COMPUTED_VALUE"""),"")</f>
        <v/>
      </c>
      <c r="V954" s="189" t="str">
        <f ca="1">IFERROR(__xludf.DUMMYFUNCTION("""COMPUTED_VALUE"""),"")</f>
        <v/>
      </c>
      <c r="W954" s="189" t="str">
        <f ca="1">IFERROR(__xludf.DUMMYFUNCTION("""COMPUTED_VALUE"""),"")</f>
        <v/>
      </c>
      <c r="X954" s="189" t="str">
        <f ca="1">IFERROR(__xludf.DUMMYFUNCTION("""COMPUTED_VALUE"""),"")</f>
        <v/>
      </c>
      <c r="Y954" s="189" t="str">
        <f ca="1">IFERROR(__xludf.DUMMYFUNCTION("""COMPUTED_VALUE"""),"")</f>
        <v/>
      </c>
      <c r="Z954" s="189"/>
    </row>
    <row r="955" spans="1:26" ht="12.75">
      <c r="A955" s="189" t="str">
        <f ca="1">IFERROR(__xludf.DUMMYFUNCTION("""COMPUTED_VALUE"""),"")</f>
        <v/>
      </c>
      <c r="B955" s="189" t="str">
        <f ca="1">IFERROR(__xludf.DUMMYFUNCTION("""COMPUTED_VALUE"""),"")</f>
        <v/>
      </c>
      <c r="C955" s="189" t="str">
        <f ca="1">IFERROR(__xludf.DUMMYFUNCTION("""COMPUTED_VALUE"""),"")</f>
        <v/>
      </c>
      <c r="D955" s="189" t="str">
        <f ca="1">IFERROR(__xludf.DUMMYFUNCTION("""COMPUTED_VALUE"""),"")</f>
        <v/>
      </c>
      <c r="E955" s="189" t="str">
        <f ca="1">IFERROR(__xludf.DUMMYFUNCTION("""COMPUTED_VALUE"""),"")</f>
        <v/>
      </c>
      <c r="F955" s="189" t="str">
        <f ca="1">IFERROR(__xludf.DUMMYFUNCTION("""COMPUTED_VALUE"""),"")</f>
        <v/>
      </c>
      <c r="G955" s="189" t="str">
        <f ca="1">IFERROR(__xludf.DUMMYFUNCTION("""COMPUTED_VALUE"""),"")</f>
        <v/>
      </c>
      <c r="H955" s="189" t="str">
        <f ca="1">IFERROR(__xludf.DUMMYFUNCTION("""COMPUTED_VALUE"""),"")</f>
        <v/>
      </c>
      <c r="I955" s="120" t="str">
        <f ca="1">IFERROR(__xludf.DUMMYFUNCTION("""COMPUTED_VALUE"""),"")</f>
        <v/>
      </c>
      <c r="J955" s="189" t="str">
        <f ca="1">IFERROR(__xludf.DUMMYFUNCTION("""COMPUTED_VALUE"""),"")</f>
        <v/>
      </c>
      <c r="K955" s="189" t="str">
        <f ca="1">IFERROR(__xludf.DUMMYFUNCTION("""COMPUTED_VALUE"""),"")</f>
        <v/>
      </c>
      <c r="L955" s="189" t="str">
        <f ca="1">IFERROR(__xludf.DUMMYFUNCTION("""COMPUTED_VALUE"""),"")</f>
        <v/>
      </c>
      <c r="M955" s="189" t="str">
        <f ca="1">IFERROR(__xludf.DUMMYFUNCTION("""COMPUTED_VALUE"""),"")</f>
        <v/>
      </c>
      <c r="N955" s="189" t="str">
        <f ca="1">IFERROR(__xludf.DUMMYFUNCTION("""COMPUTED_VALUE"""),"")</f>
        <v/>
      </c>
      <c r="O955" s="189" t="str">
        <f ca="1">IFERROR(__xludf.DUMMYFUNCTION("""COMPUTED_VALUE"""),"")</f>
        <v/>
      </c>
      <c r="P955" s="189" t="str">
        <f ca="1">IFERROR(__xludf.DUMMYFUNCTION("""COMPUTED_VALUE"""),"")</f>
        <v/>
      </c>
      <c r="Q955" s="189" t="str">
        <f ca="1">IFERROR(__xludf.DUMMYFUNCTION("""COMPUTED_VALUE"""),"")</f>
        <v/>
      </c>
      <c r="R955" s="189" t="str">
        <f ca="1">IFERROR(__xludf.DUMMYFUNCTION("""COMPUTED_VALUE"""),"")</f>
        <v/>
      </c>
      <c r="S955" s="189" t="str">
        <f ca="1">IFERROR(__xludf.DUMMYFUNCTION("""COMPUTED_VALUE"""),"")</f>
        <v/>
      </c>
      <c r="T955" s="189" t="str">
        <f ca="1">IFERROR(__xludf.DUMMYFUNCTION("""COMPUTED_VALUE"""),"")</f>
        <v/>
      </c>
      <c r="U955" s="189" t="str">
        <f ca="1">IFERROR(__xludf.DUMMYFUNCTION("""COMPUTED_VALUE"""),"")</f>
        <v/>
      </c>
      <c r="V955" s="189" t="str">
        <f ca="1">IFERROR(__xludf.DUMMYFUNCTION("""COMPUTED_VALUE"""),"")</f>
        <v/>
      </c>
      <c r="W955" s="189" t="str">
        <f ca="1">IFERROR(__xludf.DUMMYFUNCTION("""COMPUTED_VALUE"""),"")</f>
        <v/>
      </c>
      <c r="X955" s="189" t="str">
        <f ca="1">IFERROR(__xludf.DUMMYFUNCTION("""COMPUTED_VALUE"""),"")</f>
        <v/>
      </c>
      <c r="Y955" s="189" t="str">
        <f ca="1">IFERROR(__xludf.DUMMYFUNCTION("""COMPUTED_VALUE"""),"")</f>
        <v/>
      </c>
      <c r="Z955" s="189"/>
    </row>
    <row r="956" spans="1:26" ht="12.75">
      <c r="A956" s="189" t="str">
        <f ca="1">IFERROR(__xludf.DUMMYFUNCTION("""COMPUTED_VALUE"""),"")</f>
        <v/>
      </c>
      <c r="B956" s="189" t="str">
        <f ca="1">IFERROR(__xludf.DUMMYFUNCTION("""COMPUTED_VALUE"""),"")</f>
        <v/>
      </c>
      <c r="C956" s="189" t="str">
        <f ca="1">IFERROR(__xludf.DUMMYFUNCTION("""COMPUTED_VALUE"""),"")</f>
        <v/>
      </c>
      <c r="D956" s="189" t="str">
        <f ca="1">IFERROR(__xludf.DUMMYFUNCTION("""COMPUTED_VALUE"""),"")</f>
        <v/>
      </c>
      <c r="E956" s="189" t="str">
        <f ca="1">IFERROR(__xludf.DUMMYFUNCTION("""COMPUTED_VALUE"""),"")</f>
        <v/>
      </c>
      <c r="F956" s="189" t="str">
        <f ca="1">IFERROR(__xludf.DUMMYFUNCTION("""COMPUTED_VALUE"""),"")</f>
        <v/>
      </c>
      <c r="G956" s="189" t="str">
        <f ca="1">IFERROR(__xludf.DUMMYFUNCTION("""COMPUTED_VALUE"""),"")</f>
        <v/>
      </c>
      <c r="H956" s="189" t="str">
        <f ca="1">IFERROR(__xludf.DUMMYFUNCTION("""COMPUTED_VALUE"""),"")</f>
        <v/>
      </c>
      <c r="I956" s="120" t="str">
        <f ca="1">IFERROR(__xludf.DUMMYFUNCTION("""COMPUTED_VALUE"""),"")</f>
        <v/>
      </c>
      <c r="J956" s="189" t="str">
        <f ca="1">IFERROR(__xludf.DUMMYFUNCTION("""COMPUTED_VALUE"""),"")</f>
        <v/>
      </c>
      <c r="K956" s="189" t="str">
        <f ca="1">IFERROR(__xludf.DUMMYFUNCTION("""COMPUTED_VALUE"""),"")</f>
        <v/>
      </c>
      <c r="L956" s="189" t="str">
        <f ca="1">IFERROR(__xludf.DUMMYFUNCTION("""COMPUTED_VALUE"""),"")</f>
        <v/>
      </c>
      <c r="M956" s="189" t="str">
        <f ca="1">IFERROR(__xludf.DUMMYFUNCTION("""COMPUTED_VALUE"""),"")</f>
        <v/>
      </c>
      <c r="N956" s="189" t="str">
        <f ca="1">IFERROR(__xludf.DUMMYFUNCTION("""COMPUTED_VALUE"""),"")</f>
        <v/>
      </c>
      <c r="O956" s="189" t="str">
        <f ca="1">IFERROR(__xludf.DUMMYFUNCTION("""COMPUTED_VALUE"""),"")</f>
        <v/>
      </c>
      <c r="P956" s="189" t="str">
        <f ca="1">IFERROR(__xludf.DUMMYFUNCTION("""COMPUTED_VALUE"""),"")</f>
        <v/>
      </c>
      <c r="Q956" s="189" t="str">
        <f ca="1">IFERROR(__xludf.DUMMYFUNCTION("""COMPUTED_VALUE"""),"")</f>
        <v/>
      </c>
      <c r="R956" s="189" t="str">
        <f ca="1">IFERROR(__xludf.DUMMYFUNCTION("""COMPUTED_VALUE"""),"")</f>
        <v/>
      </c>
      <c r="S956" s="189" t="str">
        <f ca="1">IFERROR(__xludf.DUMMYFUNCTION("""COMPUTED_VALUE"""),"")</f>
        <v/>
      </c>
      <c r="T956" s="189" t="str">
        <f ca="1">IFERROR(__xludf.DUMMYFUNCTION("""COMPUTED_VALUE"""),"")</f>
        <v/>
      </c>
      <c r="U956" s="189" t="str">
        <f ca="1">IFERROR(__xludf.DUMMYFUNCTION("""COMPUTED_VALUE"""),"")</f>
        <v/>
      </c>
      <c r="V956" s="189" t="str">
        <f ca="1">IFERROR(__xludf.DUMMYFUNCTION("""COMPUTED_VALUE"""),"")</f>
        <v/>
      </c>
      <c r="W956" s="189" t="str">
        <f ca="1">IFERROR(__xludf.DUMMYFUNCTION("""COMPUTED_VALUE"""),"")</f>
        <v/>
      </c>
      <c r="X956" s="189" t="str">
        <f ca="1">IFERROR(__xludf.DUMMYFUNCTION("""COMPUTED_VALUE"""),"")</f>
        <v/>
      </c>
      <c r="Y956" s="189" t="str">
        <f ca="1">IFERROR(__xludf.DUMMYFUNCTION("""COMPUTED_VALUE"""),"")</f>
        <v/>
      </c>
      <c r="Z956" s="189"/>
    </row>
    <row r="957" spans="1:26" ht="12.75">
      <c r="A957" s="189" t="str">
        <f ca="1">IFERROR(__xludf.DUMMYFUNCTION("""COMPUTED_VALUE"""),"")</f>
        <v/>
      </c>
      <c r="B957" s="189" t="str">
        <f ca="1">IFERROR(__xludf.DUMMYFUNCTION("""COMPUTED_VALUE"""),"")</f>
        <v/>
      </c>
      <c r="C957" s="189" t="str">
        <f ca="1">IFERROR(__xludf.DUMMYFUNCTION("""COMPUTED_VALUE"""),"")</f>
        <v/>
      </c>
      <c r="D957" s="189" t="str">
        <f ca="1">IFERROR(__xludf.DUMMYFUNCTION("""COMPUTED_VALUE"""),"")</f>
        <v/>
      </c>
      <c r="E957" s="189" t="str">
        <f ca="1">IFERROR(__xludf.DUMMYFUNCTION("""COMPUTED_VALUE"""),"")</f>
        <v/>
      </c>
      <c r="F957" s="189" t="str">
        <f ca="1">IFERROR(__xludf.DUMMYFUNCTION("""COMPUTED_VALUE"""),"")</f>
        <v/>
      </c>
      <c r="G957" s="189" t="str">
        <f ca="1">IFERROR(__xludf.DUMMYFUNCTION("""COMPUTED_VALUE"""),"")</f>
        <v/>
      </c>
      <c r="H957" s="189" t="str">
        <f ca="1">IFERROR(__xludf.DUMMYFUNCTION("""COMPUTED_VALUE"""),"")</f>
        <v/>
      </c>
      <c r="I957" s="120" t="str">
        <f ca="1">IFERROR(__xludf.DUMMYFUNCTION("""COMPUTED_VALUE"""),"")</f>
        <v/>
      </c>
      <c r="J957" s="189" t="str">
        <f ca="1">IFERROR(__xludf.DUMMYFUNCTION("""COMPUTED_VALUE"""),"")</f>
        <v/>
      </c>
      <c r="K957" s="189" t="str">
        <f ca="1">IFERROR(__xludf.DUMMYFUNCTION("""COMPUTED_VALUE"""),"")</f>
        <v/>
      </c>
      <c r="L957" s="189" t="str">
        <f ca="1">IFERROR(__xludf.DUMMYFUNCTION("""COMPUTED_VALUE"""),"")</f>
        <v/>
      </c>
      <c r="M957" s="189" t="str">
        <f ca="1">IFERROR(__xludf.DUMMYFUNCTION("""COMPUTED_VALUE"""),"")</f>
        <v/>
      </c>
      <c r="N957" s="189" t="str">
        <f ca="1">IFERROR(__xludf.DUMMYFUNCTION("""COMPUTED_VALUE"""),"")</f>
        <v/>
      </c>
      <c r="O957" s="189" t="str">
        <f ca="1">IFERROR(__xludf.DUMMYFUNCTION("""COMPUTED_VALUE"""),"")</f>
        <v/>
      </c>
      <c r="P957" s="189" t="str">
        <f ca="1">IFERROR(__xludf.DUMMYFUNCTION("""COMPUTED_VALUE"""),"")</f>
        <v/>
      </c>
      <c r="Q957" s="189" t="str">
        <f ca="1">IFERROR(__xludf.DUMMYFUNCTION("""COMPUTED_VALUE"""),"")</f>
        <v/>
      </c>
      <c r="R957" s="189" t="str">
        <f ca="1">IFERROR(__xludf.DUMMYFUNCTION("""COMPUTED_VALUE"""),"")</f>
        <v/>
      </c>
      <c r="S957" s="189" t="str">
        <f ca="1">IFERROR(__xludf.DUMMYFUNCTION("""COMPUTED_VALUE"""),"")</f>
        <v/>
      </c>
      <c r="T957" s="189" t="str">
        <f ca="1">IFERROR(__xludf.DUMMYFUNCTION("""COMPUTED_VALUE"""),"")</f>
        <v/>
      </c>
      <c r="U957" s="189" t="str">
        <f ca="1">IFERROR(__xludf.DUMMYFUNCTION("""COMPUTED_VALUE"""),"")</f>
        <v/>
      </c>
      <c r="V957" s="189" t="str">
        <f ca="1">IFERROR(__xludf.DUMMYFUNCTION("""COMPUTED_VALUE"""),"")</f>
        <v/>
      </c>
      <c r="W957" s="189" t="str">
        <f ca="1">IFERROR(__xludf.DUMMYFUNCTION("""COMPUTED_VALUE"""),"")</f>
        <v/>
      </c>
      <c r="X957" s="189" t="str">
        <f ca="1">IFERROR(__xludf.DUMMYFUNCTION("""COMPUTED_VALUE"""),"")</f>
        <v/>
      </c>
      <c r="Y957" s="189" t="str">
        <f ca="1">IFERROR(__xludf.DUMMYFUNCTION("""COMPUTED_VALUE"""),"")</f>
        <v/>
      </c>
      <c r="Z957" s="189"/>
    </row>
    <row r="958" spans="1:26" ht="12.75">
      <c r="A958" s="189" t="str">
        <f ca="1">IFERROR(__xludf.DUMMYFUNCTION("""COMPUTED_VALUE"""),"")</f>
        <v/>
      </c>
      <c r="B958" s="189" t="str">
        <f ca="1">IFERROR(__xludf.DUMMYFUNCTION("""COMPUTED_VALUE"""),"")</f>
        <v/>
      </c>
      <c r="C958" s="189" t="str">
        <f ca="1">IFERROR(__xludf.DUMMYFUNCTION("""COMPUTED_VALUE"""),"")</f>
        <v/>
      </c>
      <c r="D958" s="189" t="str">
        <f ca="1">IFERROR(__xludf.DUMMYFUNCTION("""COMPUTED_VALUE"""),"")</f>
        <v/>
      </c>
      <c r="E958" s="189" t="str">
        <f ca="1">IFERROR(__xludf.DUMMYFUNCTION("""COMPUTED_VALUE"""),"")</f>
        <v/>
      </c>
      <c r="F958" s="189" t="str">
        <f ca="1">IFERROR(__xludf.DUMMYFUNCTION("""COMPUTED_VALUE"""),"")</f>
        <v/>
      </c>
      <c r="G958" s="189" t="str">
        <f ca="1">IFERROR(__xludf.DUMMYFUNCTION("""COMPUTED_VALUE"""),"")</f>
        <v/>
      </c>
      <c r="H958" s="189" t="str">
        <f ca="1">IFERROR(__xludf.DUMMYFUNCTION("""COMPUTED_VALUE"""),"")</f>
        <v/>
      </c>
      <c r="I958" s="120" t="str">
        <f ca="1">IFERROR(__xludf.DUMMYFUNCTION("""COMPUTED_VALUE"""),"")</f>
        <v/>
      </c>
      <c r="J958" s="189" t="str">
        <f ca="1">IFERROR(__xludf.DUMMYFUNCTION("""COMPUTED_VALUE"""),"")</f>
        <v/>
      </c>
      <c r="K958" s="189" t="str">
        <f ca="1">IFERROR(__xludf.DUMMYFUNCTION("""COMPUTED_VALUE"""),"")</f>
        <v/>
      </c>
      <c r="L958" s="189" t="str">
        <f ca="1">IFERROR(__xludf.DUMMYFUNCTION("""COMPUTED_VALUE"""),"")</f>
        <v/>
      </c>
      <c r="M958" s="189" t="str">
        <f ca="1">IFERROR(__xludf.DUMMYFUNCTION("""COMPUTED_VALUE"""),"")</f>
        <v/>
      </c>
      <c r="N958" s="189" t="str">
        <f ca="1">IFERROR(__xludf.DUMMYFUNCTION("""COMPUTED_VALUE"""),"")</f>
        <v/>
      </c>
      <c r="O958" s="189" t="str">
        <f ca="1">IFERROR(__xludf.DUMMYFUNCTION("""COMPUTED_VALUE"""),"")</f>
        <v/>
      </c>
      <c r="P958" s="189" t="str">
        <f ca="1">IFERROR(__xludf.DUMMYFUNCTION("""COMPUTED_VALUE"""),"")</f>
        <v/>
      </c>
      <c r="Q958" s="189" t="str">
        <f ca="1">IFERROR(__xludf.DUMMYFUNCTION("""COMPUTED_VALUE"""),"")</f>
        <v/>
      </c>
      <c r="R958" s="189" t="str">
        <f ca="1">IFERROR(__xludf.DUMMYFUNCTION("""COMPUTED_VALUE"""),"")</f>
        <v/>
      </c>
      <c r="S958" s="189" t="str">
        <f ca="1">IFERROR(__xludf.DUMMYFUNCTION("""COMPUTED_VALUE"""),"")</f>
        <v/>
      </c>
      <c r="T958" s="189" t="str">
        <f ca="1">IFERROR(__xludf.DUMMYFUNCTION("""COMPUTED_VALUE"""),"")</f>
        <v/>
      </c>
      <c r="U958" s="189" t="str">
        <f ca="1">IFERROR(__xludf.DUMMYFUNCTION("""COMPUTED_VALUE"""),"")</f>
        <v/>
      </c>
      <c r="V958" s="189" t="str">
        <f ca="1">IFERROR(__xludf.DUMMYFUNCTION("""COMPUTED_VALUE"""),"")</f>
        <v/>
      </c>
      <c r="W958" s="189" t="str">
        <f ca="1">IFERROR(__xludf.DUMMYFUNCTION("""COMPUTED_VALUE"""),"")</f>
        <v/>
      </c>
      <c r="X958" s="189" t="str">
        <f ca="1">IFERROR(__xludf.DUMMYFUNCTION("""COMPUTED_VALUE"""),"")</f>
        <v/>
      </c>
      <c r="Y958" s="189" t="str">
        <f ca="1">IFERROR(__xludf.DUMMYFUNCTION("""COMPUTED_VALUE"""),"")</f>
        <v/>
      </c>
      <c r="Z958" s="189"/>
    </row>
    <row r="959" spans="1:26" ht="12.75">
      <c r="A959" s="189" t="str">
        <f ca="1">IFERROR(__xludf.DUMMYFUNCTION("""COMPUTED_VALUE"""),"")</f>
        <v/>
      </c>
      <c r="B959" s="189" t="str">
        <f ca="1">IFERROR(__xludf.DUMMYFUNCTION("""COMPUTED_VALUE"""),"")</f>
        <v/>
      </c>
      <c r="C959" s="189" t="str">
        <f ca="1">IFERROR(__xludf.DUMMYFUNCTION("""COMPUTED_VALUE"""),"")</f>
        <v/>
      </c>
      <c r="D959" s="189" t="str">
        <f ca="1">IFERROR(__xludf.DUMMYFUNCTION("""COMPUTED_VALUE"""),"")</f>
        <v/>
      </c>
      <c r="E959" s="189" t="str">
        <f ca="1">IFERROR(__xludf.DUMMYFUNCTION("""COMPUTED_VALUE"""),"")</f>
        <v/>
      </c>
      <c r="F959" s="189" t="str">
        <f ca="1">IFERROR(__xludf.DUMMYFUNCTION("""COMPUTED_VALUE"""),"")</f>
        <v/>
      </c>
      <c r="G959" s="189" t="str">
        <f ca="1">IFERROR(__xludf.DUMMYFUNCTION("""COMPUTED_VALUE"""),"")</f>
        <v/>
      </c>
      <c r="H959" s="189" t="str">
        <f ca="1">IFERROR(__xludf.DUMMYFUNCTION("""COMPUTED_VALUE"""),"")</f>
        <v/>
      </c>
      <c r="I959" s="120" t="str">
        <f ca="1">IFERROR(__xludf.DUMMYFUNCTION("""COMPUTED_VALUE"""),"")</f>
        <v/>
      </c>
      <c r="J959" s="189" t="str">
        <f ca="1">IFERROR(__xludf.DUMMYFUNCTION("""COMPUTED_VALUE"""),"")</f>
        <v/>
      </c>
      <c r="K959" s="189" t="str">
        <f ca="1">IFERROR(__xludf.DUMMYFUNCTION("""COMPUTED_VALUE"""),"")</f>
        <v/>
      </c>
      <c r="L959" s="189" t="str">
        <f ca="1">IFERROR(__xludf.DUMMYFUNCTION("""COMPUTED_VALUE"""),"")</f>
        <v/>
      </c>
      <c r="M959" s="189" t="str">
        <f ca="1">IFERROR(__xludf.DUMMYFUNCTION("""COMPUTED_VALUE"""),"")</f>
        <v/>
      </c>
      <c r="N959" s="189" t="str">
        <f ca="1">IFERROR(__xludf.DUMMYFUNCTION("""COMPUTED_VALUE"""),"")</f>
        <v/>
      </c>
      <c r="O959" s="189" t="str">
        <f ca="1">IFERROR(__xludf.DUMMYFUNCTION("""COMPUTED_VALUE"""),"")</f>
        <v/>
      </c>
      <c r="P959" s="189" t="str">
        <f ca="1">IFERROR(__xludf.DUMMYFUNCTION("""COMPUTED_VALUE"""),"")</f>
        <v/>
      </c>
      <c r="Q959" s="189" t="str">
        <f ca="1">IFERROR(__xludf.DUMMYFUNCTION("""COMPUTED_VALUE"""),"")</f>
        <v/>
      </c>
      <c r="R959" s="189" t="str">
        <f ca="1">IFERROR(__xludf.DUMMYFUNCTION("""COMPUTED_VALUE"""),"")</f>
        <v/>
      </c>
      <c r="S959" s="189" t="str">
        <f ca="1">IFERROR(__xludf.DUMMYFUNCTION("""COMPUTED_VALUE"""),"")</f>
        <v/>
      </c>
      <c r="T959" s="189" t="str">
        <f ca="1">IFERROR(__xludf.DUMMYFUNCTION("""COMPUTED_VALUE"""),"")</f>
        <v/>
      </c>
      <c r="U959" s="189" t="str">
        <f ca="1">IFERROR(__xludf.DUMMYFUNCTION("""COMPUTED_VALUE"""),"")</f>
        <v/>
      </c>
      <c r="V959" s="189" t="str">
        <f ca="1">IFERROR(__xludf.DUMMYFUNCTION("""COMPUTED_VALUE"""),"")</f>
        <v/>
      </c>
      <c r="W959" s="189" t="str">
        <f ca="1">IFERROR(__xludf.DUMMYFUNCTION("""COMPUTED_VALUE"""),"")</f>
        <v/>
      </c>
      <c r="X959" s="189" t="str">
        <f ca="1">IFERROR(__xludf.DUMMYFUNCTION("""COMPUTED_VALUE"""),"")</f>
        <v/>
      </c>
      <c r="Y959" s="189" t="str">
        <f ca="1">IFERROR(__xludf.DUMMYFUNCTION("""COMPUTED_VALUE"""),"")</f>
        <v/>
      </c>
      <c r="Z959" s="189"/>
    </row>
    <row r="960" spans="1:26" ht="12.75">
      <c r="A960" s="189" t="str">
        <f ca="1">IFERROR(__xludf.DUMMYFUNCTION("""COMPUTED_VALUE"""),"")</f>
        <v/>
      </c>
      <c r="B960" s="189" t="str">
        <f ca="1">IFERROR(__xludf.DUMMYFUNCTION("""COMPUTED_VALUE"""),"")</f>
        <v/>
      </c>
      <c r="C960" s="189" t="str">
        <f ca="1">IFERROR(__xludf.DUMMYFUNCTION("""COMPUTED_VALUE"""),"")</f>
        <v/>
      </c>
      <c r="D960" s="189" t="str">
        <f ca="1">IFERROR(__xludf.DUMMYFUNCTION("""COMPUTED_VALUE"""),"")</f>
        <v/>
      </c>
      <c r="E960" s="189" t="str">
        <f ca="1">IFERROR(__xludf.DUMMYFUNCTION("""COMPUTED_VALUE"""),"")</f>
        <v/>
      </c>
      <c r="F960" s="189" t="str">
        <f ca="1">IFERROR(__xludf.DUMMYFUNCTION("""COMPUTED_VALUE"""),"")</f>
        <v/>
      </c>
      <c r="G960" s="189" t="str">
        <f ca="1">IFERROR(__xludf.DUMMYFUNCTION("""COMPUTED_VALUE"""),"")</f>
        <v/>
      </c>
      <c r="H960" s="189" t="str">
        <f ca="1">IFERROR(__xludf.DUMMYFUNCTION("""COMPUTED_VALUE"""),"")</f>
        <v/>
      </c>
      <c r="I960" s="120" t="str">
        <f ca="1">IFERROR(__xludf.DUMMYFUNCTION("""COMPUTED_VALUE"""),"")</f>
        <v/>
      </c>
      <c r="J960" s="189" t="str">
        <f ca="1">IFERROR(__xludf.DUMMYFUNCTION("""COMPUTED_VALUE"""),"")</f>
        <v/>
      </c>
      <c r="K960" s="189" t="str">
        <f ca="1">IFERROR(__xludf.DUMMYFUNCTION("""COMPUTED_VALUE"""),"")</f>
        <v/>
      </c>
      <c r="L960" s="189" t="str">
        <f ca="1">IFERROR(__xludf.DUMMYFUNCTION("""COMPUTED_VALUE"""),"")</f>
        <v/>
      </c>
      <c r="M960" s="189" t="str">
        <f ca="1">IFERROR(__xludf.DUMMYFUNCTION("""COMPUTED_VALUE"""),"")</f>
        <v/>
      </c>
      <c r="N960" s="189" t="str">
        <f ca="1">IFERROR(__xludf.DUMMYFUNCTION("""COMPUTED_VALUE"""),"")</f>
        <v/>
      </c>
      <c r="O960" s="189" t="str">
        <f ca="1">IFERROR(__xludf.DUMMYFUNCTION("""COMPUTED_VALUE"""),"")</f>
        <v/>
      </c>
      <c r="P960" s="189" t="str">
        <f ca="1">IFERROR(__xludf.DUMMYFUNCTION("""COMPUTED_VALUE"""),"")</f>
        <v/>
      </c>
      <c r="Q960" s="189" t="str">
        <f ca="1">IFERROR(__xludf.DUMMYFUNCTION("""COMPUTED_VALUE"""),"")</f>
        <v/>
      </c>
      <c r="R960" s="189" t="str">
        <f ca="1">IFERROR(__xludf.DUMMYFUNCTION("""COMPUTED_VALUE"""),"")</f>
        <v/>
      </c>
      <c r="S960" s="189" t="str">
        <f ca="1">IFERROR(__xludf.DUMMYFUNCTION("""COMPUTED_VALUE"""),"")</f>
        <v/>
      </c>
      <c r="T960" s="189" t="str">
        <f ca="1">IFERROR(__xludf.DUMMYFUNCTION("""COMPUTED_VALUE"""),"")</f>
        <v/>
      </c>
      <c r="U960" s="189" t="str">
        <f ca="1">IFERROR(__xludf.DUMMYFUNCTION("""COMPUTED_VALUE"""),"")</f>
        <v/>
      </c>
      <c r="V960" s="189" t="str">
        <f ca="1">IFERROR(__xludf.DUMMYFUNCTION("""COMPUTED_VALUE"""),"")</f>
        <v/>
      </c>
      <c r="W960" s="189" t="str">
        <f ca="1">IFERROR(__xludf.DUMMYFUNCTION("""COMPUTED_VALUE"""),"")</f>
        <v/>
      </c>
      <c r="X960" s="189" t="str">
        <f ca="1">IFERROR(__xludf.DUMMYFUNCTION("""COMPUTED_VALUE"""),"")</f>
        <v/>
      </c>
      <c r="Y960" s="189" t="str">
        <f ca="1">IFERROR(__xludf.DUMMYFUNCTION("""COMPUTED_VALUE"""),"")</f>
        <v/>
      </c>
      <c r="Z960" s="189"/>
    </row>
    <row r="961" spans="1:26" ht="12.75">
      <c r="A961" s="189" t="str">
        <f ca="1">IFERROR(__xludf.DUMMYFUNCTION("""COMPUTED_VALUE"""),"")</f>
        <v/>
      </c>
      <c r="B961" s="189" t="str">
        <f ca="1">IFERROR(__xludf.DUMMYFUNCTION("""COMPUTED_VALUE"""),"")</f>
        <v/>
      </c>
      <c r="C961" s="189" t="str">
        <f ca="1">IFERROR(__xludf.DUMMYFUNCTION("""COMPUTED_VALUE"""),"")</f>
        <v/>
      </c>
      <c r="D961" s="189" t="str">
        <f ca="1">IFERROR(__xludf.DUMMYFUNCTION("""COMPUTED_VALUE"""),"")</f>
        <v/>
      </c>
      <c r="E961" s="189" t="str">
        <f ca="1">IFERROR(__xludf.DUMMYFUNCTION("""COMPUTED_VALUE"""),"")</f>
        <v/>
      </c>
      <c r="F961" s="189" t="str">
        <f ca="1">IFERROR(__xludf.DUMMYFUNCTION("""COMPUTED_VALUE"""),"")</f>
        <v/>
      </c>
      <c r="G961" s="189" t="str">
        <f ca="1">IFERROR(__xludf.DUMMYFUNCTION("""COMPUTED_VALUE"""),"")</f>
        <v/>
      </c>
      <c r="H961" s="189" t="str">
        <f ca="1">IFERROR(__xludf.DUMMYFUNCTION("""COMPUTED_VALUE"""),"")</f>
        <v/>
      </c>
      <c r="I961" s="120" t="str">
        <f ca="1">IFERROR(__xludf.DUMMYFUNCTION("""COMPUTED_VALUE"""),"")</f>
        <v/>
      </c>
      <c r="J961" s="189" t="str">
        <f ca="1">IFERROR(__xludf.DUMMYFUNCTION("""COMPUTED_VALUE"""),"")</f>
        <v/>
      </c>
      <c r="K961" s="189" t="str">
        <f ca="1">IFERROR(__xludf.DUMMYFUNCTION("""COMPUTED_VALUE"""),"")</f>
        <v/>
      </c>
      <c r="L961" s="189" t="str">
        <f ca="1">IFERROR(__xludf.DUMMYFUNCTION("""COMPUTED_VALUE"""),"")</f>
        <v/>
      </c>
      <c r="M961" s="189" t="str">
        <f ca="1">IFERROR(__xludf.DUMMYFUNCTION("""COMPUTED_VALUE"""),"")</f>
        <v/>
      </c>
      <c r="N961" s="189" t="str">
        <f ca="1">IFERROR(__xludf.DUMMYFUNCTION("""COMPUTED_VALUE"""),"")</f>
        <v/>
      </c>
      <c r="O961" s="189" t="str">
        <f ca="1">IFERROR(__xludf.DUMMYFUNCTION("""COMPUTED_VALUE"""),"")</f>
        <v/>
      </c>
      <c r="P961" s="189" t="str">
        <f ca="1">IFERROR(__xludf.DUMMYFUNCTION("""COMPUTED_VALUE"""),"")</f>
        <v/>
      </c>
      <c r="Q961" s="189" t="str">
        <f ca="1">IFERROR(__xludf.DUMMYFUNCTION("""COMPUTED_VALUE"""),"")</f>
        <v/>
      </c>
      <c r="R961" s="189" t="str">
        <f ca="1">IFERROR(__xludf.DUMMYFUNCTION("""COMPUTED_VALUE"""),"")</f>
        <v/>
      </c>
      <c r="S961" s="189" t="str">
        <f ca="1">IFERROR(__xludf.DUMMYFUNCTION("""COMPUTED_VALUE"""),"")</f>
        <v/>
      </c>
      <c r="T961" s="189" t="str">
        <f ca="1">IFERROR(__xludf.DUMMYFUNCTION("""COMPUTED_VALUE"""),"")</f>
        <v/>
      </c>
      <c r="U961" s="189" t="str">
        <f ca="1">IFERROR(__xludf.DUMMYFUNCTION("""COMPUTED_VALUE"""),"")</f>
        <v/>
      </c>
      <c r="V961" s="189" t="str">
        <f ca="1">IFERROR(__xludf.DUMMYFUNCTION("""COMPUTED_VALUE"""),"")</f>
        <v/>
      </c>
      <c r="W961" s="189" t="str">
        <f ca="1">IFERROR(__xludf.DUMMYFUNCTION("""COMPUTED_VALUE"""),"")</f>
        <v/>
      </c>
      <c r="X961" s="189" t="str">
        <f ca="1">IFERROR(__xludf.DUMMYFUNCTION("""COMPUTED_VALUE"""),"")</f>
        <v/>
      </c>
      <c r="Y961" s="189" t="str">
        <f ca="1">IFERROR(__xludf.DUMMYFUNCTION("""COMPUTED_VALUE"""),"")</f>
        <v/>
      </c>
      <c r="Z961" s="189"/>
    </row>
    <row r="962" spans="1:26" ht="12.75">
      <c r="A962" s="189" t="str">
        <f ca="1">IFERROR(__xludf.DUMMYFUNCTION("""COMPUTED_VALUE"""),"")</f>
        <v/>
      </c>
      <c r="B962" s="189" t="str">
        <f ca="1">IFERROR(__xludf.DUMMYFUNCTION("""COMPUTED_VALUE"""),"")</f>
        <v/>
      </c>
      <c r="C962" s="189" t="str">
        <f ca="1">IFERROR(__xludf.DUMMYFUNCTION("""COMPUTED_VALUE"""),"")</f>
        <v/>
      </c>
      <c r="D962" s="189" t="str">
        <f ca="1">IFERROR(__xludf.DUMMYFUNCTION("""COMPUTED_VALUE"""),"")</f>
        <v/>
      </c>
      <c r="E962" s="189" t="str">
        <f ca="1">IFERROR(__xludf.DUMMYFUNCTION("""COMPUTED_VALUE"""),"")</f>
        <v/>
      </c>
      <c r="F962" s="189" t="str">
        <f ca="1">IFERROR(__xludf.DUMMYFUNCTION("""COMPUTED_VALUE"""),"")</f>
        <v/>
      </c>
      <c r="G962" s="189" t="str">
        <f ca="1">IFERROR(__xludf.DUMMYFUNCTION("""COMPUTED_VALUE"""),"")</f>
        <v/>
      </c>
      <c r="H962" s="189" t="str">
        <f ca="1">IFERROR(__xludf.DUMMYFUNCTION("""COMPUTED_VALUE"""),"")</f>
        <v/>
      </c>
      <c r="I962" s="120" t="str">
        <f ca="1">IFERROR(__xludf.DUMMYFUNCTION("""COMPUTED_VALUE"""),"")</f>
        <v/>
      </c>
      <c r="J962" s="189" t="str">
        <f ca="1">IFERROR(__xludf.DUMMYFUNCTION("""COMPUTED_VALUE"""),"")</f>
        <v/>
      </c>
      <c r="K962" s="189" t="str">
        <f ca="1">IFERROR(__xludf.DUMMYFUNCTION("""COMPUTED_VALUE"""),"")</f>
        <v/>
      </c>
      <c r="L962" s="189" t="str">
        <f ca="1">IFERROR(__xludf.DUMMYFUNCTION("""COMPUTED_VALUE"""),"")</f>
        <v/>
      </c>
      <c r="M962" s="189" t="str">
        <f ca="1">IFERROR(__xludf.DUMMYFUNCTION("""COMPUTED_VALUE"""),"")</f>
        <v/>
      </c>
      <c r="N962" s="189" t="str">
        <f ca="1">IFERROR(__xludf.DUMMYFUNCTION("""COMPUTED_VALUE"""),"")</f>
        <v/>
      </c>
      <c r="O962" s="189" t="str">
        <f ca="1">IFERROR(__xludf.DUMMYFUNCTION("""COMPUTED_VALUE"""),"")</f>
        <v/>
      </c>
      <c r="P962" s="189" t="str">
        <f ca="1">IFERROR(__xludf.DUMMYFUNCTION("""COMPUTED_VALUE"""),"")</f>
        <v/>
      </c>
      <c r="Q962" s="189" t="str">
        <f ca="1">IFERROR(__xludf.DUMMYFUNCTION("""COMPUTED_VALUE"""),"")</f>
        <v/>
      </c>
      <c r="R962" s="189" t="str">
        <f ca="1">IFERROR(__xludf.DUMMYFUNCTION("""COMPUTED_VALUE"""),"")</f>
        <v/>
      </c>
      <c r="S962" s="189" t="str">
        <f ca="1">IFERROR(__xludf.DUMMYFUNCTION("""COMPUTED_VALUE"""),"")</f>
        <v/>
      </c>
      <c r="T962" s="189" t="str">
        <f ca="1">IFERROR(__xludf.DUMMYFUNCTION("""COMPUTED_VALUE"""),"")</f>
        <v/>
      </c>
      <c r="U962" s="189" t="str">
        <f ca="1">IFERROR(__xludf.DUMMYFUNCTION("""COMPUTED_VALUE"""),"")</f>
        <v/>
      </c>
      <c r="V962" s="189" t="str">
        <f ca="1">IFERROR(__xludf.DUMMYFUNCTION("""COMPUTED_VALUE"""),"")</f>
        <v/>
      </c>
      <c r="W962" s="189" t="str">
        <f ca="1">IFERROR(__xludf.DUMMYFUNCTION("""COMPUTED_VALUE"""),"")</f>
        <v/>
      </c>
      <c r="X962" s="189" t="str">
        <f ca="1">IFERROR(__xludf.DUMMYFUNCTION("""COMPUTED_VALUE"""),"")</f>
        <v/>
      </c>
      <c r="Y962" s="189" t="str">
        <f ca="1">IFERROR(__xludf.DUMMYFUNCTION("""COMPUTED_VALUE"""),"")</f>
        <v/>
      </c>
      <c r="Z962" s="189"/>
    </row>
    <row r="963" spans="1:26" ht="12.75">
      <c r="A963" s="189" t="str">
        <f ca="1">IFERROR(__xludf.DUMMYFUNCTION("""COMPUTED_VALUE"""),"")</f>
        <v/>
      </c>
      <c r="B963" s="189" t="str">
        <f ca="1">IFERROR(__xludf.DUMMYFUNCTION("""COMPUTED_VALUE"""),"")</f>
        <v/>
      </c>
      <c r="C963" s="189" t="str">
        <f ca="1">IFERROR(__xludf.DUMMYFUNCTION("""COMPUTED_VALUE"""),"")</f>
        <v/>
      </c>
      <c r="D963" s="189" t="str">
        <f ca="1">IFERROR(__xludf.DUMMYFUNCTION("""COMPUTED_VALUE"""),"")</f>
        <v/>
      </c>
      <c r="E963" s="189" t="str">
        <f ca="1">IFERROR(__xludf.DUMMYFUNCTION("""COMPUTED_VALUE"""),"")</f>
        <v/>
      </c>
      <c r="F963" s="189" t="str">
        <f ca="1">IFERROR(__xludf.DUMMYFUNCTION("""COMPUTED_VALUE"""),"")</f>
        <v/>
      </c>
      <c r="G963" s="189" t="str">
        <f ca="1">IFERROR(__xludf.DUMMYFUNCTION("""COMPUTED_VALUE"""),"")</f>
        <v/>
      </c>
      <c r="H963" s="189" t="str">
        <f ca="1">IFERROR(__xludf.DUMMYFUNCTION("""COMPUTED_VALUE"""),"")</f>
        <v/>
      </c>
      <c r="I963" s="120" t="str">
        <f ca="1">IFERROR(__xludf.DUMMYFUNCTION("""COMPUTED_VALUE"""),"")</f>
        <v/>
      </c>
      <c r="J963" s="189" t="str">
        <f ca="1">IFERROR(__xludf.DUMMYFUNCTION("""COMPUTED_VALUE"""),"")</f>
        <v/>
      </c>
      <c r="K963" s="189" t="str">
        <f ca="1">IFERROR(__xludf.DUMMYFUNCTION("""COMPUTED_VALUE"""),"")</f>
        <v/>
      </c>
      <c r="L963" s="189" t="str">
        <f ca="1">IFERROR(__xludf.DUMMYFUNCTION("""COMPUTED_VALUE"""),"")</f>
        <v/>
      </c>
      <c r="M963" s="189" t="str">
        <f ca="1">IFERROR(__xludf.DUMMYFUNCTION("""COMPUTED_VALUE"""),"")</f>
        <v/>
      </c>
      <c r="N963" s="189" t="str">
        <f ca="1">IFERROR(__xludf.DUMMYFUNCTION("""COMPUTED_VALUE"""),"")</f>
        <v/>
      </c>
      <c r="O963" s="189" t="str">
        <f ca="1">IFERROR(__xludf.DUMMYFUNCTION("""COMPUTED_VALUE"""),"")</f>
        <v/>
      </c>
      <c r="P963" s="189" t="str">
        <f ca="1">IFERROR(__xludf.DUMMYFUNCTION("""COMPUTED_VALUE"""),"")</f>
        <v/>
      </c>
      <c r="Q963" s="189" t="str">
        <f ca="1">IFERROR(__xludf.DUMMYFUNCTION("""COMPUTED_VALUE"""),"")</f>
        <v/>
      </c>
      <c r="R963" s="189" t="str">
        <f ca="1">IFERROR(__xludf.DUMMYFUNCTION("""COMPUTED_VALUE"""),"")</f>
        <v/>
      </c>
      <c r="S963" s="189" t="str">
        <f ca="1">IFERROR(__xludf.DUMMYFUNCTION("""COMPUTED_VALUE"""),"")</f>
        <v/>
      </c>
      <c r="T963" s="189" t="str">
        <f ca="1">IFERROR(__xludf.DUMMYFUNCTION("""COMPUTED_VALUE"""),"")</f>
        <v/>
      </c>
      <c r="U963" s="189" t="str">
        <f ca="1">IFERROR(__xludf.DUMMYFUNCTION("""COMPUTED_VALUE"""),"")</f>
        <v/>
      </c>
      <c r="V963" s="189" t="str">
        <f ca="1">IFERROR(__xludf.DUMMYFUNCTION("""COMPUTED_VALUE"""),"")</f>
        <v/>
      </c>
      <c r="W963" s="189" t="str">
        <f ca="1">IFERROR(__xludf.DUMMYFUNCTION("""COMPUTED_VALUE"""),"")</f>
        <v/>
      </c>
      <c r="X963" s="189" t="str">
        <f ca="1">IFERROR(__xludf.DUMMYFUNCTION("""COMPUTED_VALUE"""),"")</f>
        <v/>
      </c>
      <c r="Y963" s="189" t="str">
        <f ca="1">IFERROR(__xludf.DUMMYFUNCTION("""COMPUTED_VALUE"""),"")</f>
        <v/>
      </c>
      <c r="Z963" s="189"/>
    </row>
    <row r="964" spans="1:26" ht="12.75">
      <c r="A964" s="189" t="str">
        <f ca="1">IFERROR(__xludf.DUMMYFUNCTION("""COMPUTED_VALUE"""),"")</f>
        <v/>
      </c>
      <c r="B964" s="189" t="str">
        <f ca="1">IFERROR(__xludf.DUMMYFUNCTION("""COMPUTED_VALUE"""),"")</f>
        <v/>
      </c>
      <c r="C964" s="189" t="str">
        <f ca="1">IFERROR(__xludf.DUMMYFUNCTION("""COMPUTED_VALUE"""),"")</f>
        <v/>
      </c>
      <c r="D964" s="189" t="str">
        <f ca="1">IFERROR(__xludf.DUMMYFUNCTION("""COMPUTED_VALUE"""),"")</f>
        <v/>
      </c>
      <c r="E964" s="189" t="str">
        <f ca="1">IFERROR(__xludf.DUMMYFUNCTION("""COMPUTED_VALUE"""),"")</f>
        <v/>
      </c>
      <c r="F964" s="189" t="str">
        <f ca="1">IFERROR(__xludf.DUMMYFUNCTION("""COMPUTED_VALUE"""),"")</f>
        <v/>
      </c>
      <c r="G964" s="189" t="str">
        <f ca="1">IFERROR(__xludf.DUMMYFUNCTION("""COMPUTED_VALUE"""),"")</f>
        <v/>
      </c>
      <c r="H964" s="189" t="str">
        <f ca="1">IFERROR(__xludf.DUMMYFUNCTION("""COMPUTED_VALUE"""),"")</f>
        <v/>
      </c>
      <c r="I964" s="120" t="str">
        <f ca="1">IFERROR(__xludf.DUMMYFUNCTION("""COMPUTED_VALUE"""),"")</f>
        <v/>
      </c>
      <c r="J964" s="189" t="str">
        <f ca="1">IFERROR(__xludf.DUMMYFUNCTION("""COMPUTED_VALUE"""),"")</f>
        <v/>
      </c>
      <c r="K964" s="189" t="str">
        <f ca="1">IFERROR(__xludf.DUMMYFUNCTION("""COMPUTED_VALUE"""),"")</f>
        <v/>
      </c>
      <c r="L964" s="189" t="str">
        <f ca="1">IFERROR(__xludf.DUMMYFUNCTION("""COMPUTED_VALUE"""),"")</f>
        <v/>
      </c>
      <c r="M964" s="189" t="str">
        <f ca="1">IFERROR(__xludf.DUMMYFUNCTION("""COMPUTED_VALUE"""),"")</f>
        <v/>
      </c>
      <c r="N964" s="189" t="str">
        <f ca="1">IFERROR(__xludf.DUMMYFUNCTION("""COMPUTED_VALUE"""),"")</f>
        <v/>
      </c>
      <c r="O964" s="189" t="str">
        <f ca="1">IFERROR(__xludf.DUMMYFUNCTION("""COMPUTED_VALUE"""),"")</f>
        <v/>
      </c>
      <c r="P964" s="189" t="str">
        <f ca="1">IFERROR(__xludf.DUMMYFUNCTION("""COMPUTED_VALUE"""),"")</f>
        <v/>
      </c>
      <c r="Q964" s="189" t="str">
        <f ca="1">IFERROR(__xludf.DUMMYFUNCTION("""COMPUTED_VALUE"""),"")</f>
        <v/>
      </c>
      <c r="R964" s="189" t="str">
        <f ca="1">IFERROR(__xludf.DUMMYFUNCTION("""COMPUTED_VALUE"""),"")</f>
        <v/>
      </c>
      <c r="S964" s="189" t="str">
        <f ca="1">IFERROR(__xludf.DUMMYFUNCTION("""COMPUTED_VALUE"""),"")</f>
        <v/>
      </c>
      <c r="T964" s="189" t="str">
        <f ca="1">IFERROR(__xludf.DUMMYFUNCTION("""COMPUTED_VALUE"""),"")</f>
        <v/>
      </c>
      <c r="U964" s="189" t="str">
        <f ca="1">IFERROR(__xludf.DUMMYFUNCTION("""COMPUTED_VALUE"""),"")</f>
        <v/>
      </c>
      <c r="V964" s="189" t="str">
        <f ca="1">IFERROR(__xludf.DUMMYFUNCTION("""COMPUTED_VALUE"""),"")</f>
        <v/>
      </c>
      <c r="W964" s="189" t="str">
        <f ca="1">IFERROR(__xludf.DUMMYFUNCTION("""COMPUTED_VALUE"""),"")</f>
        <v/>
      </c>
      <c r="X964" s="189" t="str">
        <f ca="1">IFERROR(__xludf.DUMMYFUNCTION("""COMPUTED_VALUE"""),"")</f>
        <v/>
      </c>
      <c r="Y964" s="189" t="str">
        <f ca="1">IFERROR(__xludf.DUMMYFUNCTION("""COMPUTED_VALUE"""),"")</f>
        <v/>
      </c>
      <c r="Z964" s="189"/>
    </row>
    <row r="965" spans="1:26" ht="12.75">
      <c r="A965" s="189" t="str">
        <f ca="1">IFERROR(__xludf.DUMMYFUNCTION("""COMPUTED_VALUE"""),"")</f>
        <v/>
      </c>
      <c r="B965" s="189" t="str">
        <f ca="1">IFERROR(__xludf.DUMMYFUNCTION("""COMPUTED_VALUE"""),"")</f>
        <v/>
      </c>
      <c r="C965" s="189" t="str">
        <f ca="1">IFERROR(__xludf.DUMMYFUNCTION("""COMPUTED_VALUE"""),"")</f>
        <v/>
      </c>
      <c r="D965" s="189" t="str">
        <f ca="1">IFERROR(__xludf.DUMMYFUNCTION("""COMPUTED_VALUE"""),"")</f>
        <v/>
      </c>
      <c r="E965" s="189" t="str">
        <f ca="1">IFERROR(__xludf.DUMMYFUNCTION("""COMPUTED_VALUE"""),"")</f>
        <v/>
      </c>
      <c r="F965" s="189" t="str">
        <f ca="1">IFERROR(__xludf.DUMMYFUNCTION("""COMPUTED_VALUE"""),"")</f>
        <v/>
      </c>
      <c r="G965" s="189" t="str">
        <f ca="1">IFERROR(__xludf.DUMMYFUNCTION("""COMPUTED_VALUE"""),"")</f>
        <v/>
      </c>
      <c r="H965" s="189" t="str">
        <f ca="1">IFERROR(__xludf.DUMMYFUNCTION("""COMPUTED_VALUE"""),"")</f>
        <v/>
      </c>
      <c r="I965" s="120" t="str">
        <f ca="1">IFERROR(__xludf.DUMMYFUNCTION("""COMPUTED_VALUE"""),"")</f>
        <v/>
      </c>
      <c r="J965" s="189" t="str">
        <f ca="1">IFERROR(__xludf.DUMMYFUNCTION("""COMPUTED_VALUE"""),"")</f>
        <v/>
      </c>
      <c r="K965" s="189" t="str">
        <f ca="1">IFERROR(__xludf.DUMMYFUNCTION("""COMPUTED_VALUE"""),"")</f>
        <v/>
      </c>
      <c r="L965" s="189" t="str">
        <f ca="1">IFERROR(__xludf.DUMMYFUNCTION("""COMPUTED_VALUE"""),"")</f>
        <v/>
      </c>
      <c r="M965" s="189" t="str">
        <f ca="1">IFERROR(__xludf.DUMMYFUNCTION("""COMPUTED_VALUE"""),"")</f>
        <v/>
      </c>
      <c r="N965" s="189" t="str">
        <f ca="1">IFERROR(__xludf.DUMMYFUNCTION("""COMPUTED_VALUE"""),"")</f>
        <v/>
      </c>
      <c r="O965" s="189" t="str">
        <f ca="1">IFERROR(__xludf.DUMMYFUNCTION("""COMPUTED_VALUE"""),"")</f>
        <v/>
      </c>
      <c r="P965" s="189" t="str">
        <f ca="1">IFERROR(__xludf.DUMMYFUNCTION("""COMPUTED_VALUE"""),"")</f>
        <v/>
      </c>
      <c r="Q965" s="189" t="str">
        <f ca="1">IFERROR(__xludf.DUMMYFUNCTION("""COMPUTED_VALUE"""),"")</f>
        <v/>
      </c>
      <c r="R965" s="189" t="str">
        <f ca="1">IFERROR(__xludf.DUMMYFUNCTION("""COMPUTED_VALUE"""),"")</f>
        <v/>
      </c>
      <c r="S965" s="189" t="str">
        <f ca="1">IFERROR(__xludf.DUMMYFUNCTION("""COMPUTED_VALUE"""),"")</f>
        <v/>
      </c>
      <c r="T965" s="189" t="str">
        <f ca="1">IFERROR(__xludf.DUMMYFUNCTION("""COMPUTED_VALUE"""),"")</f>
        <v/>
      </c>
      <c r="U965" s="189" t="str">
        <f ca="1">IFERROR(__xludf.DUMMYFUNCTION("""COMPUTED_VALUE"""),"")</f>
        <v/>
      </c>
      <c r="V965" s="189" t="str">
        <f ca="1">IFERROR(__xludf.DUMMYFUNCTION("""COMPUTED_VALUE"""),"")</f>
        <v/>
      </c>
      <c r="W965" s="189" t="str">
        <f ca="1">IFERROR(__xludf.DUMMYFUNCTION("""COMPUTED_VALUE"""),"")</f>
        <v/>
      </c>
      <c r="X965" s="189" t="str">
        <f ca="1">IFERROR(__xludf.DUMMYFUNCTION("""COMPUTED_VALUE"""),"")</f>
        <v/>
      </c>
      <c r="Y965" s="189" t="str">
        <f ca="1">IFERROR(__xludf.DUMMYFUNCTION("""COMPUTED_VALUE"""),"")</f>
        <v/>
      </c>
      <c r="Z965" s="189"/>
    </row>
    <row r="966" spans="1:26" ht="12.75">
      <c r="A966" s="189" t="str">
        <f ca="1">IFERROR(__xludf.DUMMYFUNCTION("""COMPUTED_VALUE"""),"")</f>
        <v/>
      </c>
      <c r="B966" s="189" t="str">
        <f ca="1">IFERROR(__xludf.DUMMYFUNCTION("""COMPUTED_VALUE"""),"")</f>
        <v/>
      </c>
      <c r="C966" s="189" t="str">
        <f ca="1">IFERROR(__xludf.DUMMYFUNCTION("""COMPUTED_VALUE"""),"")</f>
        <v/>
      </c>
      <c r="D966" s="189" t="str">
        <f ca="1">IFERROR(__xludf.DUMMYFUNCTION("""COMPUTED_VALUE"""),"")</f>
        <v/>
      </c>
      <c r="E966" s="189" t="str">
        <f ca="1">IFERROR(__xludf.DUMMYFUNCTION("""COMPUTED_VALUE"""),"")</f>
        <v/>
      </c>
      <c r="F966" s="189" t="str">
        <f ca="1">IFERROR(__xludf.DUMMYFUNCTION("""COMPUTED_VALUE"""),"")</f>
        <v/>
      </c>
      <c r="G966" s="189" t="str">
        <f ca="1">IFERROR(__xludf.DUMMYFUNCTION("""COMPUTED_VALUE"""),"")</f>
        <v/>
      </c>
      <c r="H966" s="189" t="str">
        <f ca="1">IFERROR(__xludf.DUMMYFUNCTION("""COMPUTED_VALUE"""),"")</f>
        <v/>
      </c>
      <c r="I966" s="120" t="str">
        <f ca="1">IFERROR(__xludf.DUMMYFUNCTION("""COMPUTED_VALUE"""),"")</f>
        <v/>
      </c>
      <c r="J966" s="189" t="str">
        <f ca="1">IFERROR(__xludf.DUMMYFUNCTION("""COMPUTED_VALUE"""),"")</f>
        <v/>
      </c>
      <c r="K966" s="189" t="str">
        <f ca="1">IFERROR(__xludf.DUMMYFUNCTION("""COMPUTED_VALUE"""),"")</f>
        <v/>
      </c>
      <c r="L966" s="189" t="str">
        <f ca="1">IFERROR(__xludf.DUMMYFUNCTION("""COMPUTED_VALUE"""),"")</f>
        <v/>
      </c>
      <c r="M966" s="189" t="str">
        <f ca="1">IFERROR(__xludf.DUMMYFUNCTION("""COMPUTED_VALUE"""),"")</f>
        <v/>
      </c>
      <c r="N966" s="189" t="str">
        <f ca="1">IFERROR(__xludf.DUMMYFUNCTION("""COMPUTED_VALUE"""),"")</f>
        <v/>
      </c>
      <c r="O966" s="189" t="str">
        <f ca="1">IFERROR(__xludf.DUMMYFUNCTION("""COMPUTED_VALUE"""),"")</f>
        <v/>
      </c>
      <c r="P966" s="189" t="str">
        <f ca="1">IFERROR(__xludf.DUMMYFUNCTION("""COMPUTED_VALUE"""),"")</f>
        <v/>
      </c>
      <c r="Q966" s="189" t="str">
        <f ca="1">IFERROR(__xludf.DUMMYFUNCTION("""COMPUTED_VALUE"""),"")</f>
        <v/>
      </c>
      <c r="R966" s="189" t="str">
        <f ca="1">IFERROR(__xludf.DUMMYFUNCTION("""COMPUTED_VALUE"""),"")</f>
        <v/>
      </c>
      <c r="S966" s="189" t="str">
        <f ca="1">IFERROR(__xludf.DUMMYFUNCTION("""COMPUTED_VALUE"""),"")</f>
        <v/>
      </c>
      <c r="T966" s="189" t="str">
        <f ca="1">IFERROR(__xludf.DUMMYFUNCTION("""COMPUTED_VALUE"""),"")</f>
        <v/>
      </c>
      <c r="U966" s="189" t="str">
        <f ca="1">IFERROR(__xludf.DUMMYFUNCTION("""COMPUTED_VALUE"""),"")</f>
        <v/>
      </c>
      <c r="V966" s="189" t="str">
        <f ca="1">IFERROR(__xludf.DUMMYFUNCTION("""COMPUTED_VALUE"""),"")</f>
        <v/>
      </c>
      <c r="W966" s="189" t="str">
        <f ca="1">IFERROR(__xludf.DUMMYFUNCTION("""COMPUTED_VALUE"""),"")</f>
        <v/>
      </c>
      <c r="X966" s="189" t="str">
        <f ca="1">IFERROR(__xludf.DUMMYFUNCTION("""COMPUTED_VALUE"""),"")</f>
        <v/>
      </c>
      <c r="Y966" s="189" t="str">
        <f ca="1">IFERROR(__xludf.DUMMYFUNCTION("""COMPUTED_VALUE"""),"")</f>
        <v/>
      </c>
      <c r="Z966" s="189"/>
    </row>
    <row r="967" spans="1:26" ht="12.75">
      <c r="A967" s="189" t="str">
        <f ca="1">IFERROR(__xludf.DUMMYFUNCTION("""COMPUTED_VALUE"""),"")</f>
        <v/>
      </c>
      <c r="B967" s="189" t="str">
        <f ca="1">IFERROR(__xludf.DUMMYFUNCTION("""COMPUTED_VALUE"""),"")</f>
        <v/>
      </c>
      <c r="C967" s="189" t="str">
        <f ca="1">IFERROR(__xludf.DUMMYFUNCTION("""COMPUTED_VALUE"""),"")</f>
        <v/>
      </c>
      <c r="D967" s="189" t="str">
        <f ca="1">IFERROR(__xludf.DUMMYFUNCTION("""COMPUTED_VALUE"""),"")</f>
        <v/>
      </c>
      <c r="E967" s="189" t="str">
        <f ca="1">IFERROR(__xludf.DUMMYFUNCTION("""COMPUTED_VALUE"""),"")</f>
        <v/>
      </c>
      <c r="F967" s="189" t="str">
        <f ca="1">IFERROR(__xludf.DUMMYFUNCTION("""COMPUTED_VALUE"""),"")</f>
        <v/>
      </c>
      <c r="G967" s="189" t="str">
        <f ca="1">IFERROR(__xludf.DUMMYFUNCTION("""COMPUTED_VALUE"""),"")</f>
        <v/>
      </c>
      <c r="H967" s="189" t="str">
        <f ca="1">IFERROR(__xludf.DUMMYFUNCTION("""COMPUTED_VALUE"""),"")</f>
        <v/>
      </c>
      <c r="I967" s="120" t="str">
        <f ca="1">IFERROR(__xludf.DUMMYFUNCTION("""COMPUTED_VALUE"""),"")</f>
        <v/>
      </c>
      <c r="J967" s="189" t="str">
        <f ca="1">IFERROR(__xludf.DUMMYFUNCTION("""COMPUTED_VALUE"""),"")</f>
        <v/>
      </c>
      <c r="K967" s="189" t="str">
        <f ca="1">IFERROR(__xludf.DUMMYFUNCTION("""COMPUTED_VALUE"""),"")</f>
        <v/>
      </c>
      <c r="L967" s="189" t="str">
        <f ca="1">IFERROR(__xludf.DUMMYFUNCTION("""COMPUTED_VALUE"""),"")</f>
        <v/>
      </c>
      <c r="M967" s="189" t="str">
        <f ca="1">IFERROR(__xludf.DUMMYFUNCTION("""COMPUTED_VALUE"""),"")</f>
        <v/>
      </c>
      <c r="N967" s="189" t="str">
        <f ca="1">IFERROR(__xludf.DUMMYFUNCTION("""COMPUTED_VALUE"""),"")</f>
        <v/>
      </c>
      <c r="O967" s="189" t="str">
        <f ca="1">IFERROR(__xludf.DUMMYFUNCTION("""COMPUTED_VALUE"""),"")</f>
        <v/>
      </c>
      <c r="P967" s="189" t="str">
        <f ca="1">IFERROR(__xludf.DUMMYFUNCTION("""COMPUTED_VALUE"""),"")</f>
        <v/>
      </c>
      <c r="Q967" s="189" t="str">
        <f ca="1">IFERROR(__xludf.DUMMYFUNCTION("""COMPUTED_VALUE"""),"")</f>
        <v/>
      </c>
      <c r="R967" s="189" t="str">
        <f ca="1">IFERROR(__xludf.DUMMYFUNCTION("""COMPUTED_VALUE"""),"")</f>
        <v/>
      </c>
      <c r="S967" s="189" t="str">
        <f ca="1">IFERROR(__xludf.DUMMYFUNCTION("""COMPUTED_VALUE"""),"")</f>
        <v/>
      </c>
      <c r="T967" s="189" t="str">
        <f ca="1">IFERROR(__xludf.DUMMYFUNCTION("""COMPUTED_VALUE"""),"")</f>
        <v/>
      </c>
      <c r="U967" s="189" t="str">
        <f ca="1">IFERROR(__xludf.DUMMYFUNCTION("""COMPUTED_VALUE"""),"")</f>
        <v/>
      </c>
      <c r="V967" s="189" t="str">
        <f ca="1">IFERROR(__xludf.DUMMYFUNCTION("""COMPUTED_VALUE"""),"")</f>
        <v/>
      </c>
      <c r="W967" s="189" t="str">
        <f ca="1">IFERROR(__xludf.DUMMYFUNCTION("""COMPUTED_VALUE"""),"")</f>
        <v/>
      </c>
      <c r="X967" s="189" t="str">
        <f ca="1">IFERROR(__xludf.DUMMYFUNCTION("""COMPUTED_VALUE"""),"")</f>
        <v/>
      </c>
      <c r="Y967" s="189" t="str">
        <f ca="1">IFERROR(__xludf.DUMMYFUNCTION("""COMPUTED_VALUE"""),"")</f>
        <v/>
      </c>
      <c r="Z967" s="189"/>
    </row>
    <row r="968" spans="1:26" ht="12.75">
      <c r="A968" s="189" t="str">
        <f ca="1">IFERROR(__xludf.DUMMYFUNCTION("""COMPUTED_VALUE"""),"")</f>
        <v/>
      </c>
      <c r="B968" s="189" t="str">
        <f ca="1">IFERROR(__xludf.DUMMYFUNCTION("""COMPUTED_VALUE"""),"")</f>
        <v/>
      </c>
      <c r="C968" s="189" t="str">
        <f ca="1">IFERROR(__xludf.DUMMYFUNCTION("""COMPUTED_VALUE"""),"")</f>
        <v/>
      </c>
      <c r="D968" s="189" t="str">
        <f ca="1">IFERROR(__xludf.DUMMYFUNCTION("""COMPUTED_VALUE"""),"")</f>
        <v/>
      </c>
      <c r="E968" s="189" t="str">
        <f ca="1">IFERROR(__xludf.DUMMYFUNCTION("""COMPUTED_VALUE"""),"")</f>
        <v/>
      </c>
      <c r="F968" s="189" t="str">
        <f ca="1">IFERROR(__xludf.DUMMYFUNCTION("""COMPUTED_VALUE"""),"")</f>
        <v/>
      </c>
      <c r="G968" s="189" t="str">
        <f ca="1">IFERROR(__xludf.DUMMYFUNCTION("""COMPUTED_VALUE"""),"")</f>
        <v/>
      </c>
      <c r="H968" s="189" t="str">
        <f ca="1">IFERROR(__xludf.DUMMYFUNCTION("""COMPUTED_VALUE"""),"")</f>
        <v/>
      </c>
      <c r="I968" s="120" t="str">
        <f ca="1">IFERROR(__xludf.DUMMYFUNCTION("""COMPUTED_VALUE"""),"")</f>
        <v/>
      </c>
      <c r="J968" s="189" t="str">
        <f ca="1">IFERROR(__xludf.DUMMYFUNCTION("""COMPUTED_VALUE"""),"")</f>
        <v/>
      </c>
      <c r="K968" s="189" t="str">
        <f ca="1">IFERROR(__xludf.DUMMYFUNCTION("""COMPUTED_VALUE"""),"")</f>
        <v/>
      </c>
      <c r="L968" s="189" t="str">
        <f ca="1">IFERROR(__xludf.DUMMYFUNCTION("""COMPUTED_VALUE"""),"")</f>
        <v/>
      </c>
      <c r="M968" s="189" t="str">
        <f ca="1">IFERROR(__xludf.DUMMYFUNCTION("""COMPUTED_VALUE"""),"")</f>
        <v/>
      </c>
      <c r="N968" s="189" t="str">
        <f ca="1">IFERROR(__xludf.DUMMYFUNCTION("""COMPUTED_VALUE"""),"")</f>
        <v/>
      </c>
      <c r="O968" s="189" t="str">
        <f ca="1">IFERROR(__xludf.DUMMYFUNCTION("""COMPUTED_VALUE"""),"")</f>
        <v/>
      </c>
      <c r="P968" s="189" t="str">
        <f ca="1">IFERROR(__xludf.DUMMYFUNCTION("""COMPUTED_VALUE"""),"")</f>
        <v/>
      </c>
      <c r="Q968" s="189" t="str">
        <f ca="1">IFERROR(__xludf.DUMMYFUNCTION("""COMPUTED_VALUE"""),"")</f>
        <v/>
      </c>
      <c r="R968" s="189" t="str">
        <f ca="1">IFERROR(__xludf.DUMMYFUNCTION("""COMPUTED_VALUE"""),"")</f>
        <v/>
      </c>
      <c r="S968" s="189" t="str">
        <f ca="1">IFERROR(__xludf.DUMMYFUNCTION("""COMPUTED_VALUE"""),"")</f>
        <v/>
      </c>
      <c r="T968" s="189" t="str">
        <f ca="1">IFERROR(__xludf.DUMMYFUNCTION("""COMPUTED_VALUE"""),"")</f>
        <v/>
      </c>
      <c r="U968" s="189" t="str">
        <f ca="1">IFERROR(__xludf.DUMMYFUNCTION("""COMPUTED_VALUE"""),"")</f>
        <v/>
      </c>
      <c r="V968" s="189" t="str">
        <f ca="1">IFERROR(__xludf.DUMMYFUNCTION("""COMPUTED_VALUE"""),"")</f>
        <v/>
      </c>
      <c r="W968" s="189" t="str">
        <f ca="1">IFERROR(__xludf.DUMMYFUNCTION("""COMPUTED_VALUE"""),"")</f>
        <v/>
      </c>
      <c r="X968" s="189" t="str">
        <f ca="1">IFERROR(__xludf.DUMMYFUNCTION("""COMPUTED_VALUE"""),"")</f>
        <v/>
      </c>
      <c r="Y968" s="189" t="str">
        <f ca="1">IFERROR(__xludf.DUMMYFUNCTION("""COMPUTED_VALUE"""),"")</f>
        <v/>
      </c>
      <c r="Z968" s="189"/>
    </row>
    <row r="969" spans="1:26" ht="12.75">
      <c r="A969" s="189" t="str">
        <f ca="1">IFERROR(__xludf.DUMMYFUNCTION("""COMPUTED_VALUE"""),"")</f>
        <v/>
      </c>
      <c r="B969" s="189" t="str">
        <f ca="1">IFERROR(__xludf.DUMMYFUNCTION("""COMPUTED_VALUE"""),"")</f>
        <v/>
      </c>
      <c r="C969" s="189" t="str">
        <f ca="1">IFERROR(__xludf.DUMMYFUNCTION("""COMPUTED_VALUE"""),"")</f>
        <v/>
      </c>
      <c r="D969" s="189" t="str">
        <f ca="1">IFERROR(__xludf.DUMMYFUNCTION("""COMPUTED_VALUE"""),"")</f>
        <v/>
      </c>
      <c r="E969" s="189" t="str">
        <f ca="1">IFERROR(__xludf.DUMMYFUNCTION("""COMPUTED_VALUE"""),"")</f>
        <v/>
      </c>
      <c r="F969" s="189" t="str">
        <f ca="1">IFERROR(__xludf.DUMMYFUNCTION("""COMPUTED_VALUE"""),"")</f>
        <v/>
      </c>
      <c r="G969" s="189" t="str">
        <f ca="1">IFERROR(__xludf.DUMMYFUNCTION("""COMPUTED_VALUE"""),"")</f>
        <v/>
      </c>
      <c r="H969" s="189" t="str">
        <f ca="1">IFERROR(__xludf.DUMMYFUNCTION("""COMPUTED_VALUE"""),"")</f>
        <v/>
      </c>
      <c r="I969" s="120" t="str">
        <f ca="1">IFERROR(__xludf.DUMMYFUNCTION("""COMPUTED_VALUE"""),"")</f>
        <v/>
      </c>
      <c r="J969" s="189" t="str">
        <f ca="1">IFERROR(__xludf.DUMMYFUNCTION("""COMPUTED_VALUE"""),"")</f>
        <v/>
      </c>
      <c r="K969" s="189" t="str">
        <f ca="1">IFERROR(__xludf.DUMMYFUNCTION("""COMPUTED_VALUE"""),"")</f>
        <v/>
      </c>
      <c r="L969" s="189" t="str">
        <f ca="1">IFERROR(__xludf.DUMMYFUNCTION("""COMPUTED_VALUE"""),"")</f>
        <v/>
      </c>
      <c r="M969" s="189" t="str">
        <f ca="1">IFERROR(__xludf.DUMMYFUNCTION("""COMPUTED_VALUE"""),"")</f>
        <v/>
      </c>
      <c r="N969" s="189" t="str">
        <f ca="1">IFERROR(__xludf.DUMMYFUNCTION("""COMPUTED_VALUE"""),"")</f>
        <v/>
      </c>
      <c r="O969" s="189" t="str">
        <f ca="1">IFERROR(__xludf.DUMMYFUNCTION("""COMPUTED_VALUE"""),"")</f>
        <v/>
      </c>
      <c r="P969" s="189" t="str">
        <f ca="1">IFERROR(__xludf.DUMMYFUNCTION("""COMPUTED_VALUE"""),"")</f>
        <v/>
      </c>
      <c r="Q969" s="189" t="str">
        <f ca="1">IFERROR(__xludf.DUMMYFUNCTION("""COMPUTED_VALUE"""),"")</f>
        <v/>
      </c>
      <c r="R969" s="189" t="str">
        <f ca="1">IFERROR(__xludf.DUMMYFUNCTION("""COMPUTED_VALUE"""),"")</f>
        <v/>
      </c>
      <c r="S969" s="189" t="str">
        <f ca="1">IFERROR(__xludf.DUMMYFUNCTION("""COMPUTED_VALUE"""),"")</f>
        <v/>
      </c>
      <c r="T969" s="189" t="str">
        <f ca="1">IFERROR(__xludf.DUMMYFUNCTION("""COMPUTED_VALUE"""),"")</f>
        <v/>
      </c>
      <c r="U969" s="189" t="str">
        <f ca="1">IFERROR(__xludf.DUMMYFUNCTION("""COMPUTED_VALUE"""),"")</f>
        <v/>
      </c>
      <c r="V969" s="189" t="str">
        <f ca="1">IFERROR(__xludf.DUMMYFUNCTION("""COMPUTED_VALUE"""),"")</f>
        <v/>
      </c>
      <c r="W969" s="189" t="str">
        <f ca="1">IFERROR(__xludf.DUMMYFUNCTION("""COMPUTED_VALUE"""),"")</f>
        <v/>
      </c>
      <c r="X969" s="189" t="str">
        <f ca="1">IFERROR(__xludf.DUMMYFUNCTION("""COMPUTED_VALUE"""),"")</f>
        <v/>
      </c>
      <c r="Y969" s="189" t="str">
        <f ca="1">IFERROR(__xludf.DUMMYFUNCTION("""COMPUTED_VALUE"""),"")</f>
        <v/>
      </c>
      <c r="Z969" s="189"/>
    </row>
    <row r="970" spans="1:26" ht="12.75">
      <c r="A970" s="189" t="str">
        <f ca="1">IFERROR(__xludf.DUMMYFUNCTION("""COMPUTED_VALUE"""),"")</f>
        <v/>
      </c>
      <c r="B970" s="189" t="str">
        <f ca="1">IFERROR(__xludf.DUMMYFUNCTION("""COMPUTED_VALUE"""),"")</f>
        <v/>
      </c>
      <c r="C970" s="189" t="str">
        <f ca="1">IFERROR(__xludf.DUMMYFUNCTION("""COMPUTED_VALUE"""),"")</f>
        <v/>
      </c>
      <c r="D970" s="189" t="str">
        <f ca="1">IFERROR(__xludf.DUMMYFUNCTION("""COMPUTED_VALUE"""),"")</f>
        <v/>
      </c>
      <c r="E970" s="189" t="str">
        <f ca="1">IFERROR(__xludf.DUMMYFUNCTION("""COMPUTED_VALUE"""),"")</f>
        <v/>
      </c>
      <c r="F970" s="189" t="str">
        <f ca="1">IFERROR(__xludf.DUMMYFUNCTION("""COMPUTED_VALUE"""),"")</f>
        <v/>
      </c>
      <c r="G970" s="189" t="str">
        <f ca="1">IFERROR(__xludf.DUMMYFUNCTION("""COMPUTED_VALUE"""),"")</f>
        <v/>
      </c>
      <c r="H970" s="189" t="str">
        <f ca="1">IFERROR(__xludf.DUMMYFUNCTION("""COMPUTED_VALUE"""),"")</f>
        <v/>
      </c>
      <c r="I970" s="120" t="str">
        <f ca="1">IFERROR(__xludf.DUMMYFUNCTION("""COMPUTED_VALUE"""),"")</f>
        <v/>
      </c>
      <c r="J970" s="189" t="str">
        <f ca="1">IFERROR(__xludf.DUMMYFUNCTION("""COMPUTED_VALUE"""),"")</f>
        <v/>
      </c>
      <c r="K970" s="189" t="str">
        <f ca="1">IFERROR(__xludf.DUMMYFUNCTION("""COMPUTED_VALUE"""),"")</f>
        <v/>
      </c>
      <c r="L970" s="189" t="str">
        <f ca="1">IFERROR(__xludf.DUMMYFUNCTION("""COMPUTED_VALUE"""),"")</f>
        <v/>
      </c>
      <c r="M970" s="189" t="str">
        <f ca="1">IFERROR(__xludf.DUMMYFUNCTION("""COMPUTED_VALUE"""),"")</f>
        <v/>
      </c>
      <c r="N970" s="189" t="str">
        <f ca="1">IFERROR(__xludf.DUMMYFUNCTION("""COMPUTED_VALUE"""),"")</f>
        <v/>
      </c>
      <c r="O970" s="189" t="str">
        <f ca="1">IFERROR(__xludf.DUMMYFUNCTION("""COMPUTED_VALUE"""),"")</f>
        <v/>
      </c>
      <c r="P970" s="189" t="str">
        <f ca="1">IFERROR(__xludf.DUMMYFUNCTION("""COMPUTED_VALUE"""),"")</f>
        <v/>
      </c>
      <c r="Q970" s="189" t="str">
        <f ca="1">IFERROR(__xludf.DUMMYFUNCTION("""COMPUTED_VALUE"""),"")</f>
        <v/>
      </c>
      <c r="R970" s="189" t="str">
        <f ca="1">IFERROR(__xludf.DUMMYFUNCTION("""COMPUTED_VALUE"""),"")</f>
        <v/>
      </c>
      <c r="S970" s="189" t="str">
        <f ca="1">IFERROR(__xludf.DUMMYFUNCTION("""COMPUTED_VALUE"""),"")</f>
        <v/>
      </c>
      <c r="T970" s="189" t="str">
        <f ca="1">IFERROR(__xludf.DUMMYFUNCTION("""COMPUTED_VALUE"""),"")</f>
        <v/>
      </c>
      <c r="U970" s="189" t="str">
        <f ca="1">IFERROR(__xludf.DUMMYFUNCTION("""COMPUTED_VALUE"""),"")</f>
        <v/>
      </c>
      <c r="V970" s="189" t="str">
        <f ca="1">IFERROR(__xludf.DUMMYFUNCTION("""COMPUTED_VALUE"""),"")</f>
        <v/>
      </c>
      <c r="W970" s="189" t="str">
        <f ca="1">IFERROR(__xludf.DUMMYFUNCTION("""COMPUTED_VALUE"""),"")</f>
        <v/>
      </c>
      <c r="X970" s="189" t="str">
        <f ca="1">IFERROR(__xludf.DUMMYFUNCTION("""COMPUTED_VALUE"""),"")</f>
        <v/>
      </c>
      <c r="Y970" s="189" t="str">
        <f ca="1">IFERROR(__xludf.DUMMYFUNCTION("""COMPUTED_VALUE"""),"")</f>
        <v/>
      </c>
      <c r="Z970" s="189"/>
    </row>
    <row r="971" spans="1:26" ht="12.75">
      <c r="A971" s="189" t="str">
        <f ca="1">IFERROR(__xludf.DUMMYFUNCTION("""COMPUTED_VALUE"""),"")</f>
        <v/>
      </c>
      <c r="B971" s="189" t="str">
        <f ca="1">IFERROR(__xludf.DUMMYFUNCTION("""COMPUTED_VALUE"""),"")</f>
        <v/>
      </c>
      <c r="C971" s="189" t="str">
        <f ca="1">IFERROR(__xludf.DUMMYFUNCTION("""COMPUTED_VALUE"""),"")</f>
        <v/>
      </c>
      <c r="D971" s="189" t="str">
        <f ca="1">IFERROR(__xludf.DUMMYFUNCTION("""COMPUTED_VALUE"""),"")</f>
        <v/>
      </c>
      <c r="E971" s="189" t="str">
        <f ca="1">IFERROR(__xludf.DUMMYFUNCTION("""COMPUTED_VALUE"""),"")</f>
        <v/>
      </c>
      <c r="F971" s="189" t="str">
        <f ca="1">IFERROR(__xludf.DUMMYFUNCTION("""COMPUTED_VALUE"""),"")</f>
        <v/>
      </c>
      <c r="G971" s="189" t="str">
        <f ca="1">IFERROR(__xludf.DUMMYFUNCTION("""COMPUTED_VALUE"""),"")</f>
        <v/>
      </c>
      <c r="H971" s="189" t="str">
        <f ca="1">IFERROR(__xludf.DUMMYFUNCTION("""COMPUTED_VALUE"""),"")</f>
        <v/>
      </c>
      <c r="I971" s="120" t="str">
        <f ca="1">IFERROR(__xludf.DUMMYFUNCTION("""COMPUTED_VALUE"""),"")</f>
        <v/>
      </c>
      <c r="J971" s="189" t="str">
        <f ca="1">IFERROR(__xludf.DUMMYFUNCTION("""COMPUTED_VALUE"""),"")</f>
        <v/>
      </c>
      <c r="K971" s="189" t="str">
        <f ca="1">IFERROR(__xludf.DUMMYFUNCTION("""COMPUTED_VALUE"""),"")</f>
        <v/>
      </c>
      <c r="L971" s="189" t="str">
        <f ca="1">IFERROR(__xludf.DUMMYFUNCTION("""COMPUTED_VALUE"""),"")</f>
        <v/>
      </c>
      <c r="M971" s="189" t="str">
        <f ca="1">IFERROR(__xludf.DUMMYFUNCTION("""COMPUTED_VALUE"""),"")</f>
        <v/>
      </c>
      <c r="N971" s="189" t="str">
        <f ca="1">IFERROR(__xludf.DUMMYFUNCTION("""COMPUTED_VALUE"""),"")</f>
        <v/>
      </c>
      <c r="O971" s="189" t="str">
        <f ca="1">IFERROR(__xludf.DUMMYFUNCTION("""COMPUTED_VALUE"""),"")</f>
        <v/>
      </c>
      <c r="P971" s="189" t="str">
        <f ca="1">IFERROR(__xludf.DUMMYFUNCTION("""COMPUTED_VALUE"""),"")</f>
        <v/>
      </c>
      <c r="Q971" s="189" t="str">
        <f ca="1">IFERROR(__xludf.DUMMYFUNCTION("""COMPUTED_VALUE"""),"")</f>
        <v/>
      </c>
      <c r="R971" s="189" t="str">
        <f ca="1">IFERROR(__xludf.DUMMYFUNCTION("""COMPUTED_VALUE"""),"")</f>
        <v/>
      </c>
      <c r="S971" s="189" t="str">
        <f ca="1">IFERROR(__xludf.DUMMYFUNCTION("""COMPUTED_VALUE"""),"")</f>
        <v/>
      </c>
      <c r="T971" s="189" t="str">
        <f ca="1">IFERROR(__xludf.DUMMYFUNCTION("""COMPUTED_VALUE"""),"")</f>
        <v/>
      </c>
      <c r="U971" s="189" t="str">
        <f ca="1">IFERROR(__xludf.DUMMYFUNCTION("""COMPUTED_VALUE"""),"")</f>
        <v/>
      </c>
      <c r="V971" s="189" t="str">
        <f ca="1">IFERROR(__xludf.DUMMYFUNCTION("""COMPUTED_VALUE"""),"")</f>
        <v/>
      </c>
      <c r="W971" s="189" t="str">
        <f ca="1">IFERROR(__xludf.DUMMYFUNCTION("""COMPUTED_VALUE"""),"")</f>
        <v/>
      </c>
      <c r="X971" s="189" t="str">
        <f ca="1">IFERROR(__xludf.DUMMYFUNCTION("""COMPUTED_VALUE"""),"")</f>
        <v/>
      </c>
      <c r="Y971" s="189" t="str">
        <f ca="1">IFERROR(__xludf.DUMMYFUNCTION("""COMPUTED_VALUE"""),"")</f>
        <v/>
      </c>
      <c r="Z971" s="189"/>
    </row>
    <row r="972" spans="1:26" ht="12.75">
      <c r="A972" s="189" t="str">
        <f ca="1">IFERROR(__xludf.DUMMYFUNCTION("""COMPUTED_VALUE"""),"")</f>
        <v/>
      </c>
      <c r="B972" s="189" t="str">
        <f ca="1">IFERROR(__xludf.DUMMYFUNCTION("""COMPUTED_VALUE"""),"")</f>
        <v/>
      </c>
      <c r="C972" s="189" t="str">
        <f ca="1">IFERROR(__xludf.DUMMYFUNCTION("""COMPUTED_VALUE"""),"")</f>
        <v/>
      </c>
      <c r="D972" s="189" t="str">
        <f ca="1">IFERROR(__xludf.DUMMYFUNCTION("""COMPUTED_VALUE"""),"")</f>
        <v/>
      </c>
      <c r="E972" s="189" t="str">
        <f ca="1">IFERROR(__xludf.DUMMYFUNCTION("""COMPUTED_VALUE"""),"")</f>
        <v/>
      </c>
      <c r="F972" s="189" t="str">
        <f ca="1">IFERROR(__xludf.DUMMYFUNCTION("""COMPUTED_VALUE"""),"")</f>
        <v/>
      </c>
      <c r="G972" s="189" t="str">
        <f ca="1">IFERROR(__xludf.DUMMYFUNCTION("""COMPUTED_VALUE"""),"")</f>
        <v/>
      </c>
      <c r="H972" s="189" t="str">
        <f ca="1">IFERROR(__xludf.DUMMYFUNCTION("""COMPUTED_VALUE"""),"")</f>
        <v/>
      </c>
      <c r="I972" s="120" t="str">
        <f ca="1">IFERROR(__xludf.DUMMYFUNCTION("""COMPUTED_VALUE"""),"")</f>
        <v/>
      </c>
      <c r="J972" s="189" t="str">
        <f ca="1">IFERROR(__xludf.DUMMYFUNCTION("""COMPUTED_VALUE"""),"")</f>
        <v/>
      </c>
      <c r="K972" s="189" t="str">
        <f ca="1">IFERROR(__xludf.DUMMYFUNCTION("""COMPUTED_VALUE"""),"")</f>
        <v/>
      </c>
      <c r="L972" s="189" t="str">
        <f ca="1">IFERROR(__xludf.DUMMYFUNCTION("""COMPUTED_VALUE"""),"")</f>
        <v/>
      </c>
      <c r="M972" s="189" t="str">
        <f ca="1">IFERROR(__xludf.DUMMYFUNCTION("""COMPUTED_VALUE"""),"")</f>
        <v/>
      </c>
      <c r="N972" s="189" t="str">
        <f ca="1">IFERROR(__xludf.DUMMYFUNCTION("""COMPUTED_VALUE"""),"")</f>
        <v/>
      </c>
      <c r="O972" s="189" t="str">
        <f ca="1">IFERROR(__xludf.DUMMYFUNCTION("""COMPUTED_VALUE"""),"")</f>
        <v/>
      </c>
      <c r="P972" s="189" t="str">
        <f ca="1">IFERROR(__xludf.DUMMYFUNCTION("""COMPUTED_VALUE"""),"")</f>
        <v/>
      </c>
      <c r="Q972" s="189" t="str">
        <f ca="1">IFERROR(__xludf.DUMMYFUNCTION("""COMPUTED_VALUE"""),"")</f>
        <v/>
      </c>
      <c r="R972" s="189" t="str">
        <f ca="1">IFERROR(__xludf.DUMMYFUNCTION("""COMPUTED_VALUE"""),"")</f>
        <v/>
      </c>
      <c r="S972" s="189" t="str">
        <f ca="1">IFERROR(__xludf.DUMMYFUNCTION("""COMPUTED_VALUE"""),"")</f>
        <v/>
      </c>
      <c r="T972" s="189" t="str">
        <f ca="1">IFERROR(__xludf.DUMMYFUNCTION("""COMPUTED_VALUE"""),"")</f>
        <v/>
      </c>
      <c r="U972" s="189" t="str">
        <f ca="1">IFERROR(__xludf.DUMMYFUNCTION("""COMPUTED_VALUE"""),"")</f>
        <v/>
      </c>
      <c r="V972" s="189" t="str">
        <f ca="1">IFERROR(__xludf.DUMMYFUNCTION("""COMPUTED_VALUE"""),"")</f>
        <v/>
      </c>
      <c r="W972" s="189" t="str">
        <f ca="1">IFERROR(__xludf.DUMMYFUNCTION("""COMPUTED_VALUE"""),"")</f>
        <v/>
      </c>
      <c r="X972" s="189" t="str">
        <f ca="1">IFERROR(__xludf.DUMMYFUNCTION("""COMPUTED_VALUE"""),"")</f>
        <v/>
      </c>
      <c r="Y972" s="189" t="str">
        <f ca="1">IFERROR(__xludf.DUMMYFUNCTION("""COMPUTED_VALUE"""),"")</f>
        <v/>
      </c>
      <c r="Z972" s="189"/>
    </row>
    <row r="973" spans="1:26" ht="12.75">
      <c r="A973" s="189" t="str">
        <f ca="1">IFERROR(__xludf.DUMMYFUNCTION("""COMPUTED_VALUE"""),"")</f>
        <v/>
      </c>
      <c r="B973" s="189" t="str">
        <f ca="1">IFERROR(__xludf.DUMMYFUNCTION("""COMPUTED_VALUE"""),"")</f>
        <v/>
      </c>
      <c r="C973" s="189" t="str">
        <f ca="1">IFERROR(__xludf.DUMMYFUNCTION("""COMPUTED_VALUE"""),"")</f>
        <v/>
      </c>
      <c r="D973" s="189" t="str">
        <f ca="1">IFERROR(__xludf.DUMMYFUNCTION("""COMPUTED_VALUE"""),"")</f>
        <v/>
      </c>
      <c r="E973" s="189" t="str">
        <f ca="1">IFERROR(__xludf.DUMMYFUNCTION("""COMPUTED_VALUE"""),"")</f>
        <v/>
      </c>
      <c r="F973" s="189" t="str">
        <f ca="1">IFERROR(__xludf.DUMMYFUNCTION("""COMPUTED_VALUE"""),"")</f>
        <v/>
      </c>
      <c r="G973" s="189" t="str">
        <f ca="1">IFERROR(__xludf.DUMMYFUNCTION("""COMPUTED_VALUE"""),"")</f>
        <v/>
      </c>
      <c r="H973" s="189" t="str">
        <f ca="1">IFERROR(__xludf.DUMMYFUNCTION("""COMPUTED_VALUE"""),"")</f>
        <v/>
      </c>
      <c r="I973" s="120" t="str">
        <f ca="1">IFERROR(__xludf.DUMMYFUNCTION("""COMPUTED_VALUE"""),"")</f>
        <v/>
      </c>
      <c r="J973" s="189" t="str">
        <f ca="1">IFERROR(__xludf.DUMMYFUNCTION("""COMPUTED_VALUE"""),"")</f>
        <v/>
      </c>
      <c r="K973" s="189" t="str">
        <f ca="1">IFERROR(__xludf.DUMMYFUNCTION("""COMPUTED_VALUE"""),"")</f>
        <v/>
      </c>
      <c r="L973" s="189" t="str">
        <f ca="1">IFERROR(__xludf.DUMMYFUNCTION("""COMPUTED_VALUE"""),"")</f>
        <v/>
      </c>
      <c r="M973" s="189" t="str">
        <f ca="1">IFERROR(__xludf.DUMMYFUNCTION("""COMPUTED_VALUE"""),"")</f>
        <v/>
      </c>
      <c r="N973" s="189" t="str">
        <f ca="1">IFERROR(__xludf.DUMMYFUNCTION("""COMPUTED_VALUE"""),"")</f>
        <v/>
      </c>
      <c r="O973" s="189" t="str">
        <f ca="1">IFERROR(__xludf.DUMMYFUNCTION("""COMPUTED_VALUE"""),"")</f>
        <v/>
      </c>
      <c r="P973" s="189" t="str">
        <f ca="1">IFERROR(__xludf.DUMMYFUNCTION("""COMPUTED_VALUE"""),"")</f>
        <v/>
      </c>
      <c r="Q973" s="189" t="str">
        <f ca="1">IFERROR(__xludf.DUMMYFUNCTION("""COMPUTED_VALUE"""),"")</f>
        <v/>
      </c>
      <c r="R973" s="189" t="str">
        <f ca="1">IFERROR(__xludf.DUMMYFUNCTION("""COMPUTED_VALUE"""),"")</f>
        <v/>
      </c>
      <c r="S973" s="189" t="str">
        <f ca="1">IFERROR(__xludf.DUMMYFUNCTION("""COMPUTED_VALUE"""),"")</f>
        <v/>
      </c>
      <c r="T973" s="189" t="str">
        <f ca="1">IFERROR(__xludf.DUMMYFUNCTION("""COMPUTED_VALUE"""),"")</f>
        <v/>
      </c>
      <c r="U973" s="189" t="str">
        <f ca="1">IFERROR(__xludf.DUMMYFUNCTION("""COMPUTED_VALUE"""),"")</f>
        <v/>
      </c>
      <c r="V973" s="189" t="str">
        <f ca="1">IFERROR(__xludf.DUMMYFUNCTION("""COMPUTED_VALUE"""),"")</f>
        <v/>
      </c>
      <c r="W973" s="189" t="str">
        <f ca="1">IFERROR(__xludf.DUMMYFUNCTION("""COMPUTED_VALUE"""),"")</f>
        <v/>
      </c>
      <c r="X973" s="189" t="str">
        <f ca="1">IFERROR(__xludf.DUMMYFUNCTION("""COMPUTED_VALUE"""),"")</f>
        <v/>
      </c>
      <c r="Y973" s="189" t="str">
        <f ca="1">IFERROR(__xludf.DUMMYFUNCTION("""COMPUTED_VALUE"""),"")</f>
        <v/>
      </c>
      <c r="Z973" s="189"/>
    </row>
    <row r="974" spans="1:26" ht="12.75">
      <c r="A974" s="189" t="str">
        <f ca="1">IFERROR(__xludf.DUMMYFUNCTION("""COMPUTED_VALUE"""),"")</f>
        <v/>
      </c>
      <c r="B974" s="189" t="str">
        <f ca="1">IFERROR(__xludf.DUMMYFUNCTION("""COMPUTED_VALUE"""),"")</f>
        <v/>
      </c>
      <c r="C974" s="189" t="str">
        <f ca="1">IFERROR(__xludf.DUMMYFUNCTION("""COMPUTED_VALUE"""),"")</f>
        <v/>
      </c>
      <c r="D974" s="189" t="str">
        <f ca="1">IFERROR(__xludf.DUMMYFUNCTION("""COMPUTED_VALUE"""),"")</f>
        <v/>
      </c>
      <c r="E974" s="189" t="str">
        <f ca="1">IFERROR(__xludf.DUMMYFUNCTION("""COMPUTED_VALUE"""),"")</f>
        <v/>
      </c>
      <c r="F974" s="189" t="str">
        <f ca="1">IFERROR(__xludf.DUMMYFUNCTION("""COMPUTED_VALUE"""),"")</f>
        <v/>
      </c>
      <c r="G974" s="189" t="str">
        <f ca="1">IFERROR(__xludf.DUMMYFUNCTION("""COMPUTED_VALUE"""),"")</f>
        <v/>
      </c>
      <c r="H974" s="189" t="str">
        <f ca="1">IFERROR(__xludf.DUMMYFUNCTION("""COMPUTED_VALUE"""),"")</f>
        <v/>
      </c>
      <c r="I974" s="120" t="str">
        <f ca="1">IFERROR(__xludf.DUMMYFUNCTION("""COMPUTED_VALUE"""),"")</f>
        <v/>
      </c>
      <c r="J974" s="189" t="str">
        <f ca="1">IFERROR(__xludf.DUMMYFUNCTION("""COMPUTED_VALUE"""),"")</f>
        <v/>
      </c>
      <c r="K974" s="189" t="str">
        <f ca="1">IFERROR(__xludf.DUMMYFUNCTION("""COMPUTED_VALUE"""),"")</f>
        <v/>
      </c>
      <c r="L974" s="189" t="str">
        <f ca="1">IFERROR(__xludf.DUMMYFUNCTION("""COMPUTED_VALUE"""),"")</f>
        <v/>
      </c>
      <c r="M974" s="189" t="str">
        <f ca="1">IFERROR(__xludf.DUMMYFUNCTION("""COMPUTED_VALUE"""),"")</f>
        <v/>
      </c>
      <c r="N974" s="189" t="str">
        <f ca="1">IFERROR(__xludf.DUMMYFUNCTION("""COMPUTED_VALUE"""),"")</f>
        <v/>
      </c>
      <c r="O974" s="189" t="str">
        <f ca="1">IFERROR(__xludf.DUMMYFUNCTION("""COMPUTED_VALUE"""),"")</f>
        <v/>
      </c>
      <c r="P974" s="189" t="str">
        <f ca="1">IFERROR(__xludf.DUMMYFUNCTION("""COMPUTED_VALUE"""),"")</f>
        <v/>
      </c>
      <c r="Q974" s="189" t="str">
        <f ca="1">IFERROR(__xludf.DUMMYFUNCTION("""COMPUTED_VALUE"""),"")</f>
        <v/>
      </c>
      <c r="R974" s="189" t="str">
        <f ca="1">IFERROR(__xludf.DUMMYFUNCTION("""COMPUTED_VALUE"""),"")</f>
        <v/>
      </c>
      <c r="S974" s="189" t="str">
        <f ca="1">IFERROR(__xludf.DUMMYFUNCTION("""COMPUTED_VALUE"""),"")</f>
        <v/>
      </c>
      <c r="T974" s="189" t="str">
        <f ca="1">IFERROR(__xludf.DUMMYFUNCTION("""COMPUTED_VALUE"""),"")</f>
        <v/>
      </c>
      <c r="U974" s="189" t="str">
        <f ca="1">IFERROR(__xludf.DUMMYFUNCTION("""COMPUTED_VALUE"""),"")</f>
        <v/>
      </c>
      <c r="V974" s="189" t="str">
        <f ca="1">IFERROR(__xludf.DUMMYFUNCTION("""COMPUTED_VALUE"""),"")</f>
        <v/>
      </c>
      <c r="W974" s="189" t="str">
        <f ca="1">IFERROR(__xludf.DUMMYFUNCTION("""COMPUTED_VALUE"""),"")</f>
        <v/>
      </c>
      <c r="X974" s="189" t="str">
        <f ca="1">IFERROR(__xludf.DUMMYFUNCTION("""COMPUTED_VALUE"""),"")</f>
        <v/>
      </c>
      <c r="Y974" s="189" t="str">
        <f ca="1">IFERROR(__xludf.DUMMYFUNCTION("""COMPUTED_VALUE"""),"")</f>
        <v/>
      </c>
      <c r="Z974" s="189"/>
    </row>
    <row r="975" spans="1:26" ht="12.75">
      <c r="A975" s="189" t="str">
        <f ca="1">IFERROR(__xludf.DUMMYFUNCTION("""COMPUTED_VALUE"""),"")</f>
        <v/>
      </c>
      <c r="B975" s="189" t="str">
        <f ca="1">IFERROR(__xludf.DUMMYFUNCTION("""COMPUTED_VALUE"""),"")</f>
        <v/>
      </c>
      <c r="C975" s="189" t="str">
        <f ca="1">IFERROR(__xludf.DUMMYFUNCTION("""COMPUTED_VALUE"""),"")</f>
        <v/>
      </c>
      <c r="D975" s="189" t="str">
        <f ca="1">IFERROR(__xludf.DUMMYFUNCTION("""COMPUTED_VALUE"""),"")</f>
        <v/>
      </c>
      <c r="E975" s="189" t="str">
        <f ca="1">IFERROR(__xludf.DUMMYFUNCTION("""COMPUTED_VALUE"""),"")</f>
        <v/>
      </c>
      <c r="F975" s="189" t="str">
        <f ca="1">IFERROR(__xludf.DUMMYFUNCTION("""COMPUTED_VALUE"""),"")</f>
        <v/>
      </c>
      <c r="G975" s="189" t="str">
        <f ca="1">IFERROR(__xludf.DUMMYFUNCTION("""COMPUTED_VALUE"""),"")</f>
        <v/>
      </c>
      <c r="H975" s="189" t="str">
        <f ca="1">IFERROR(__xludf.DUMMYFUNCTION("""COMPUTED_VALUE"""),"")</f>
        <v/>
      </c>
      <c r="I975" s="120" t="str">
        <f ca="1">IFERROR(__xludf.DUMMYFUNCTION("""COMPUTED_VALUE"""),"")</f>
        <v/>
      </c>
      <c r="J975" s="189" t="str">
        <f ca="1">IFERROR(__xludf.DUMMYFUNCTION("""COMPUTED_VALUE"""),"")</f>
        <v/>
      </c>
      <c r="K975" s="189" t="str">
        <f ca="1">IFERROR(__xludf.DUMMYFUNCTION("""COMPUTED_VALUE"""),"")</f>
        <v/>
      </c>
      <c r="L975" s="189" t="str">
        <f ca="1">IFERROR(__xludf.DUMMYFUNCTION("""COMPUTED_VALUE"""),"")</f>
        <v/>
      </c>
      <c r="M975" s="189" t="str">
        <f ca="1">IFERROR(__xludf.DUMMYFUNCTION("""COMPUTED_VALUE"""),"")</f>
        <v/>
      </c>
      <c r="N975" s="189" t="str">
        <f ca="1">IFERROR(__xludf.DUMMYFUNCTION("""COMPUTED_VALUE"""),"")</f>
        <v/>
      </c>
      <c r="O975" s="189" t="str">
        <f ca="1">IFERROR(__xludf.DUMMYFUNCTION("""COMPUTED_VALUE"""),"")</f>
        <v/>
      </c>
      <c r="P975" s="189" t="str">
        <f ca="1">IFERROR(__xludf.DUMMYFUNCTION("""COMPUTED_VALUE"""),"")</f>
        <v/>
      </c>
      <c r="Q975" s="189" t="str">
        <f ca="1">IFERROR(__xludf.DUMMYFUNCTION("""COMPUTED_VALUE"""),"")</f>
        <v/>
      </c>
      <c r="R975" s="189" t="str">
        <f ca="1">IFERROR(__xludf.DUMMYFUNCTION("""COMPUTED_VALUE"""),"")</f>
        <v/>
      </c>
      <c r="S975" s="189" t="str">
        <f ca="1">IFERROR(__xludf.DUMMYFUNCTION("""COMPUTED_VALUE"""),"")</f>
        <v/>
      </c>
      <c r="T975" s="189" t="str">
        <f ca="1">IFERROR(__xludf.DUMMYFUNCTION("""COMPUTED_VALUE"""),"")</f>
        <v/>
      </c>
      <c r="U975" s="189" t="str">
        <f ca="1">IFERROR(__xludf.DUMMYFUNCTION("""COMPUTED_VALUE"""),"")</f>
        <v/>
      </c>
      <c r="V975" s="189" t="str">
        <f ca="1">IFERROR(__xludf.DUMMYFUNCTION("""COMPUTED_VALUE"""),"")</f>
        <v/>
      </c>
      <c r="W975" s="189" t="str">
        <f ca="1">IFERROR(__xludf.DUMMYFUNCTION("""COMPUTED_VALUE"""),"")</f>
        <v/>
      </c>
      <c r="X975" s="189" t="str">
        <f ca="1">IFERROR(__xludf.DUMMYFUNCTION("""COMPUTED_VALUE"""),"")</f>
        <v/>
      </c>
      <c r="Y975" s="189" t="str">
        <f ca="1">IFERROR(__xludf.DUMMYFUNCTION("""COMPUTED_VALUE"""),"")</f>
        <v/>
      </c>
      <c r="Z975" s="189"/>
    </row>
    <row r="976" spans="1:26" ht="12.75">
      <c r="A976" s="189" t="str">
        <f ca="1">IFERROR(__xludf.DUMMYFUNCTION("""COMPUTED_VALUE"""),"")</f>
        <v/>
      </c>
      <c r="B976" s="189" t="str">
        <f ca="1">IFERROR(__xludf.DUMMYFUNCTION("""COMPUTED_VALUE"""),"")</f>
        <v/>
      </c>
      <c r="C976" s="189" t="str">
        <f ca="1">IFERROR(__xludf.DUMMYFUNCTION("""COMPUTED_VALUE"""),"")</f>
        <v/>
      </c>
      <c r="D976" s="189" t="str">
        <f ca="1">IFERROR(__xludf.DUMMYFUNCTION("""COMPUTED_VALUE"""),"")</f>
        <v/>
      </c>
      <c r="E976" s="189" t="str">
        <f ca="1">IFERROR(__xludf.DUMMYFUNCTION("""COMPUTED_VALUE"""),"")</f>
        <v/>
      </c>
      <c r="F976" s="189" t="str">
        <f ca="1">IFERROR(__xludf.DUMMYFUNCTION("""COMPUTED_VALUE"""),"")</f>
        <v/>
      </c>
      <c r="G976" s="189" t="str">
        <f ca="1">IFERROR(__xludf.DUMMYFUNCTION("""COMPUTED_VALUE"""),"")</f>
        <v/>
      </c>
      <c r="H976" s="189" t="str">
        <f ca="1">IFERROR(__xludf.DUMMYFUNCTION("""COMPUTED_VALUE"""),"")</f>
        <v/>
      </c>
      <c r="I976" s="120" t="str">
        <f ca="1">IFERROR(__xludf.DUMMYFUNCTION("""COMPUTED_VALUE"""),"")</f>
        <v/>
      </c>
      <c r="J976" s="189" t="str">
        <f ca="1">IFERROR(__xludf.DUMMYFUNCTION("""COMPUTED_VALUE"""),"")</f>
        <v/>
      </c>
      <c r="K976" s="189" t="str">
        <f ca="1">IFERROR(__xludf.DUMMYFUNCTION("""COMPUTED_VALUE"""),"")</f>
        <v/>
      </c>
      <c r="L976" s="189" t="str">
        <f ca="1">IFERROR(__xludf.DUMMYFUNCTION("""COMPUTED_VALUE"""),"")</f>
        <v/>
      </c>
      <c r="M976" s="189" t="str">
        <f ca="1">IFERROR(__xludf.DUMMYFUNCTION("""COMPUTED_VALUE"""),"")</f>
        <v/>
      </c>
      <c r="N976" s="189" t="str">
        <f ca="1">IFERROR(__xludf.DUMMYFUNCTION("""COMPUTED_VALUE"""),"")</f>
        <v/>
      </c>
      <c r="O976" s="189" t="str">
        <f ca="1">IFERROR(__xludf.DUMMYFUNCTION("""COMPUTED_VALUE"""),"")</f>
        <v/>
      </c>
      <c r="P976" s="189" t="str">
        <f ca="1">IFERROR(__xludf.DUMMYFUNCTION("""COMPUTED_VALUE"""),"")</f>
        <v/>
      </c>
      <c r="Q976" s="189" t="str">
        <f ca="1">IFERROR(__xludf.DUMMYFUNCTION("""COMPUTED_VALUE"""),"")</f>
        <v/>
      </c>
      <c r="R976" s="189" t="str">
        <f ca="1">IFERROR(__xludf.DUMMYFUNCTION("""COMPUTED_VALUE"""),"")</f>
        <v/>
      </c>
      <c r="S976" s="189" t="str">
        <f ca="1">IFERROR(__xludf.DUMMYFUNCTION("""COMPUTED_VALUE"""),"")</f>
        <v/>
      </c>
      <c r="T976" s="189" t="str">
        <f ca="1">IFERROR(__xludf.DUMMYFUNCTION("""COMPUTED_VALUE"""),"")</f>
        <v/>
      </c>
      <c r="U976" s="189" t="str">
        <f ca="1">IFERROR(__xludf.DUMMYFUNCTION("""COMPUTED_VALUE"""),"")</f>
        <v/>
      </c>
      <c r="V976" s="189" t="str">
        <f ca="1">IFERROR(__xludf.DUMMYFUNCTION("""COMPUTED_VALUE"""),"")</f>
        <v/>
      </c>
      <c r="W976" s="189" t="str">
        <f ca="1">IFERROR(__xludf.DUMMYFUNCTION("""COMPUTED_VALUE"""),"")</f>
        <v/>
      </c>
      <c r="X976" s="189" t="str">
        <f ca="1">IFERROR(__xludf.DUMMYFUNCTION("""COMPUTED_VALUE"""),"")</f>
        <v/>
      </c>
      <c r="Y976" s="189" t="str">
        <f ca="1">IFERROR(__xludf.DUMMYFUNCTION("""COMPUTED_VALUE"""),"")</f>
        <v/>
      </c>
      <c r="Z976" s="189"/>
    </row>
    <row r="977" spans="1:26" ht="12.75">
      <c r="A977" s="189" t="str">
        <f ca="1">IFERROR(__xludf.DUMMYFUNCTION("""COMPUTED_VALUE"""),"")</f>
        <v/>
      </c>
      <c r="B977" s="189" t="str">
        <f ca="1">IFERROR(__xludf.DUMMYFUNCTION("""COMPUTED_VALUE"""),"")</f>
        <v/>
      </c>
      <c r="C977" s="189" t="str">
        <f ca="1">IFERROR(__xludf.DUMMYFUNCTION("""COMPUTED_VALUE"""),"")</f>
        <v/>
      </c>
      <c r="D977" s="189" t="str">
        <f ca="1">IFERROR(__xludf.DUMMYFUNCTION("""COMPUTED_VALUE"""),"")</f>
        <v/>
      </c>
      <c r="E977" s="189" t="str">
        <f ca="1">IFERROR(__xludf.DUMMYFUNCTION("""COMPUTED_VALUE"""),"")</f>
        <v/>
      </c>
      <c r="F977" s="189" t="str">
        <f ca="1">IFERROR(__xludf.DUMMYFUNCTION("""COMPUTED_VALUE"""),"")</f>
        <v/>
      </c>
      <c r="G977" s="189" t="str">
        <f ca="1">IFERROR(__xludf.DUMMYFUNCTION("""COMPUTED_VALUE"""),"")</f>
        <v/>
      </c>
      <c r="H977" s="189" t="str">
        <f ca="1">IFERROR(__xludf.DUMMYFUNCTION("""COMPUTED_VALUE"""),"")</f>
        <v/>
      </c>
      <c r="I977" s="120" t="str">
        <f ca="1">IFERROR(__xludf.DUMMYFUNCTION("""COMPUTED_VALUE"""),"")</f>
        <v/>
      </c>
      <c r="J977" s="189" t="str">
        <f ca="1">IFERROR(__xludf.DUMMYFUNCTION("""COMPUTED_VALUE"""),"")</f>
        <v/>
      </c>
      <c r="K977" s="189" t="str">
        <f ca="1">IFERROR(__xludf.DUMMYFUNCTION("""COMPUTED_VALUE"""),"")</f>
        <v/>
      </c>
      <c r="L977" s="189" t="str">
        <f ca="1">IFERROR(__xludf.DUMMYFUNCTION("""COMPUTED_VALUE"""),"")</f>
        <v/>
      </c>
      <c r="M977" s="189" t="str">
        <f ca="1">IFERROR(__xludf.DUMMYFUNCTION("""COMPUTED_VALUE"""),"")</f>
        <v/>
      </c>
      <c r="N977" s="189" t="str">
        <f ca="1">IFERROR(__xludf.DUMMYFUNCTION("""COMPUTED_VALUE"""),"")</f>
        <v/>
      </c>
      <c r="O977" s="189" t="str">
        <f ca="1">IFERROR(__xludf.DUMMYFUNCTION("""COMPUTED_VALUE"""),"")</f>
        <v/>
      </c>
      <c r="P977" s="189" t="str">
        <f ca="1">IFERROR(__xludf.DUMMYFUNCTION("""COMPUTED_VALUE"""),"")</f>
        <v/>
      </c>
      <c r="Q977" s="189" t="str">
        <f ca="1">IFERROR(__xludf.DUMMYFUNCTION("""COMPUTED_VALUE"""),"")</f>
        <v/>
      </c>
      <c r="R977" s="189" t="str">
        <f ca="1">IFERROR(__xludf.DUMMYFUNCTION("""COMPUTED_VALUE"""),"")</f>
        <v/>
      </c>
      <c r="S977" s="189" t="str">
        <f ca="1">IFERROR(__xludf.DUMMYFUNCTION("""COMPUTED_VALUE"""),"")</f>
        <v/>
      </c>
      <c r="T977" s="189" t="str">
        <f ca="1">IFERROR(__xludf.DUMMYFUNCTION("""COMPUTED_VALUE"""),"")</f>
        <v/>
      </c>
      <c r="U977" s="189" t="str">
        <f ca="1">IFERROR(__xludf.DUMMYFUNCTION("""COMPUTED_VALUE"""),"")</f>
        <v/>
      </c>
      <c r="V977" s="189" t="str">
        <f ca="1">IFERROR(__xludf.DUMMYFUNCTION("""COMPUTED_VALUE"""),"")</f>
        <v/>
      </c>
      <c r="W977" s="189" t="str">
        <f ca="1">IFERROR(__xludf.DUMMYFUNCTION("""COMPUTED_VALUE"""),"")</f>
        <v/>
      </c>
      <c r="X977" s="189" t="str">
        <f ca="1">IFERROR(__xludf.DUMMYFUNCTION("""COMPUTED_VALUE"""),"")</f>
        <v/>
      </c>
      <c r="Y977" s="189" t="str">
        <f ca="1">IFERROR(__xludf.DUMMYFUNCTION("""COMPUTED_VALUE"""),"")</f>
        <v/>
      </c>
      <c r="Z977" s="189"/>
    </row>
    <row r="978" spans="1:26" ht="12.75">
      <c r="A978" s="189" t="str">
        <f ca="1">IFERROR(__xludf.DUMMYFUNCTION("""COMPUTED_VALUE"""),"")</f>
        <v/>
      </c>
      <c r="B978" s="189" t="str">
        <f ca="1">IFERROR(__xludf.DUMMYFUNCTION("""COMPUTED_VALUE"""),"")</f>
        <v/>
      </c>
      <c r="C978" s="189" t="str">
        <f ca="1">IFERROR(__xludf.DUMMYFUNCTION("""COMPUTED_VALUE"""),"")</f>
        <v/>
      </c>
      <c r="D978" s="189" t="str">
        <f ca="1">IFERROR(__xludf.DUMMYFUNCTION("""COMPUTED_VALUE"""),"")</f>
        <v/>
      </c>
      <c r="E978" s="189" t="str">
        <f ca="1">IFERROR(__xludf.DUMMYFUNCTION("""COMPUTED_VALUE"""),"")</f>
        <v/>
      </c>
      <c r="F978" s="189" t="str">
        <f ca="1">IFERROR(__xludf.DUMMYFUNCTION("""COMPUTED_VALUE"""),"")</f>
        <v/>
      </c>
      <c r="G978" s="189" t="str">
        <f ca="1">IFERROR(__xludf.DUMMYFUNCTION("""COMPUTED_VALUE"""),"")</f>
        <v/>
      </c>
      <c r="H978" s="189" t="str">
        <f ca="1">IFERROR(__xludf.DUMMYFUNCTION("""COMPUTED_VALUE"""),"")</f>
        <v/>
      </c>
      <c r="I978" s="120" t="str">
        <f ca="1">IFERROR(__xludf.DUMMYFUNCTION("""COMPUTED_VALUE"""),"")</f>
        <v/>
      </c>
      <c r="J978" s="189" t="str">
        <f ca="1">IFERROR(__xludf.DUMMYFUNCTION("""COMPUTED_VALUE"""),"")</f>
        <v/>
      </c>
      <c r="K978" s="189" t="str">
        <f ca="1">IFERROR(__xludf.DUMMYFUNCTION("""COMPUTED_VALUE"""),"")</f>
        <v/>
      </c>
      <c r="L978" s="189" t="str">
        <f ca="1">IFERROR(__xludf.DUMMYFUNCTION("""COMPUTED_VALUE"""),"")</f>
        <v/>
      </c>
      <c r="M978" s="189" t="str">
        <f ca="1">IFERROR(__xludf.DUMMYFUNCTION("""COMPUTED_VALUE"""),"")</f>
        <v/>
      </c>
      <c r="N978" s="189" t="str">
        <f ca="1">IFERROR(__xludf.DUMMYFUNCTION("""COMPUTED_VALUE"""),"")</f>
        <v/>
      </c>
      <c r="O978" s="189" t="str">
        <f ca="1">IFERROR(__xludf.DUMMYFUNCTION("""COMPUTED_VALUE"""),"")</f>
        <v/>
      </c>
      <c r="P978" s="189" t="str">
        <f ca="1">IFERROR(__xludf.DUMMYFUNCTION("""COMPUTED_VALUE"""),"")</f>
        <v/>
      </c>
      <c r="Q978" s="189" t="str">
        <f ca="1">IFERROR(__xludf.DUMMYFUNCTION("""COMPUTED_VALUE"""),"")</f>
        <v/>
      </c>
      <c r="R978" s="189" t="str">
        <f ca="1">IFERROR(__xludf.DUMMYFUNCTION("""COMPUTED_VALUE"""),"")</f>
        <v/>
      </c>
      <c r="S978" s="189" t="str">
        <f ca="1">IFERROR(__xludf.DUMMYFUNCTION("""COMPUTED_VALUE"""),"")</f>
        <v/>
      </c>
      <c r="T978" s="189" t="str">
        <f ca="1">IFERROR(__xludf.DUMMYFUNCTION("""COMPUTED_VALUE"""),"")</f>
        <v/>
      </c>
      <c r="U978" s="189" t="str">
        <f ca="1">IFERROR(__xludf.DUMMYFUNCTION("""COMPUTED_VALUE"""),"")</f>
        <v/>
      </c>
      <c r="V978" s="189" t="str">
        <f ca="1">IFERROR(__xludf.DUMMYFUNCTION("""COMPUTED_VALUE"""),"")</f>
        <v/>
      </c>
      <c r="W978" s="189" t="str">
        <f ca="1">IFERROR(__xludf.DUMMYFUNCTION("""COMPUTED_VALUE"""),"")</f>
        <v/>
      </c>
      <c r="X978" s="189" t="str">
        <f ca="1">IFERROR(__xludf.DUMMYFUNCTION("""COMPUTED_VALUE"""),"")</f>
        <v/>
      </c>
      <c r="Y978" s="189" t="str">
        <f ca="1">IFERROR(__xludf.DUMMYFUNCTION("""COMPUTED_VALUE"""),"")</f>
        <v/>
      </c>
      <c r="Z978" s="189"/>
    </row>
    <row r="979" spans="1:26" ht="12.75">
      <c r="A979" s="189" t="str">
        <f ca="1">IFERROR(__xludf.DUMMYFUNCTION("""COMPUTED_VALUE"""),"")</f>
        <v/>
      </c>
      <c r="B979" s="189" t="str">
        <f ca="1">IFERROR(__xludf.DUMMYFUNCTION("""COMPUTED_VALUE"""),"")</f>
        <v/>
      </c>
      <c r="C979" s="189" t="str">
        <f ca="1">IFERROR(__xludf.DUMMYFUNCTION("""COMPUTED_VALUE"""),"")</f>
        <v/>
      </c>
      <c r="D979" s="189" t="str">
        <f ca="1">IFERROR(__xludf.DUMMYFUNCTION("""COMPUTED_VALUE"""),"")</f>
        <v/>
      </c>
      <c r="E979" s="189" t="str">
        <f ca="1">IFERROR(__xludf.DUMMYFUNCTION("""COMPUTED_VALUE"""),"")</f>
        <v/>
      </c>
      <c r="F979" s="189" t="str">
        <f ca="1">IFERROR(__xludf.DUMMYFUNCTION("""COMPUTED_VALUE"""),"")</f>
        <v/>
      </c>
      <c r="G979" s="189" t="str">
        <f ca="1">IFERROR(__xludf.DUMMYFUNCTION("""COMPUTED_VALUE"""),"")</f>
        <v/>
      </c>
      <c r="H979" s="189" t="str">
        <f ca="1">IFERROR(__xludf.DUMMYFUNCTION("""COMPUTED_VALUE"""),"")</f>
        <v/>
      </c>
      <c r="I979" s="120" t="str">
        <f ca="1">IFERROR(__xludf.DUMMYFUNCTION("""COMPUTED_VALUE"""),"")</f>
        <v/>
      </c>
      <c r="J979" s="189" t="str">
        <f ca="1">IFERROR(__xludf.DUMMYFUNCTION("""COMPUTED_VALUE"""),"")</f>
        <v/>
      </c>
      <c r="K979" s="189" t="str">
        <f ca="1">IFERROR(__xludf.DUMMYFUNCTION("""COMPUTED_VALUE"""),"")</f>
        <v/>
      </c>
      <c r="L979" s="189" t="str">
        <f ca="1">IFERROR(__xludf.DUMMYFUNCTION("""COMPUTED_VALUE"""),"")</f>
        <v/>
      </c>
      <c r="M979" s="189" t="str">
        <f ca="1">IFERROR(__xludf.DUMMYFUNCTION("""COMPUTED_VALUE"""),"")</f>
        <v/>
      </c>
      <c r="N979" s="189" t="str">
        <f ca="1">IFERROR(__xludf.DUMMYFUNCTION("""COMPUTED_VALUE"""),"")</f>
        <v/>
      </c>
      <c r="O979" s="189" t="str">
        <f ca="1">IFERROR(__xludf.DUMMYFUNCTION("""COMPUTED_VALUE"""),"")</f>
        <v/>
      </c>
      <c r="P979" s="189" t="str">
        <f ca="1">IFERROR(__xludf.DUMMYFUNCTION("""COMPUTED_VALUE"""),"")</f>
        <v/>
      </c>
      <c r="Q979" s="189" t="str">
        <f ca="1">IFERROR(__xludf.DUMMYFUNCTION("""COMPUTED_VALUE"""),"")</f>
        <v/>
      </c>
      <c r="R979" s="189" t="str">
        <f ca="1">IFERROR(__xludf.DUMMYFUNCTION("""COMPUTED_VALUE"""),"")</f>
        <v/>
      </c>
      <c r="S979" s="189" t="str">
        <f ca="1">IFERROR(__xludf.DUMMYFUNCTION("""COMPUTED_VALUE"""),"")</f>
        <v/>
      </c>
      <c r="T979" s="189" t="str">
        <f ca="1">IFERROR(__xludf.DUMMYFUNCTION("""COMPUTED_VALUE"""),"")</f>
        <v/>
      </c>
      <c r="U979" s="189" t="str">
        <f ca="1">IFERROR(__xludf.DUMMYFUNCTION("""COMPUTED_VALUE"""),"")</f>
        <v/>
      </c>
      <c r="V979" s="189" t="str">
        <f ca="1">IFERROR(__xludf.DUMMYFUNCTION("""COMPUTED_VALUE"""),"")</f>
        <v/>
      </c>
      <c r="W979" s="189" t="str">
        <f ca="1">IFERROR(__xludf.DUMMYFUNCTION("""COMPUTED_VALUE"""),"")</f>
        <v/>
      </c>
      <c r="X979" s="189" t="str">
        <f ca="1">IFERROR(__xludf.DUMMYFUNCTION("""COMPUTED_VALUE"""),"")</f>
        <v/>
      </c>
      <c r="Y979" s="189" t="str">
        <f ca="1">IFERROR(__xludf.DUMMYFUNCTION("""COMPUTED_VALUE"""),"")</f>
        <v/>
      </c>
      <c r="Z979" s="189"/>
    </row>
    <row r="980" spans="1:26" ht="12.75">
      <c r="A980" s="189" t="str">
        <f ca="1">IFERROR(__xludf.DUMMYFUNCTION("""COMPUTED_VALUE"""),"")</f>
        <v/>
      </c>
      <c r="B980" s="189" t="str">
        <f ca="1">IFERROR(__xludf.DUMMYFUNCTION("""COMPUTED_VALUE"""),"")</f>
        <v/>
      </c>
      <c r="C980" s="189" t="str">
        <f ca="1">IFERROR(__xludf.DUMMYFUNCTION("""COMPUTED_VALUE"""),"")</f>
        <v/>
      </c>
      <c r="D980" s="189" t="str">
        <f ca="1">IFERROR(__xludf.DUMMYFUNCTION("""COMPUTED_VALUE"""),"")</f>
        <v/>
      </c>
      <c r="E980" s="189" t="str">
        <f ca="1">IFERROR(__xludf.DUMMYFUNCTION("""COMPUTED_VALUE"""),"")</f>
        <v/>
      </c>
      <c r="F980" s="189" t="str">
        <f ca="1">IFERROR(__xludf.DUMMYFUNCTION("""COMPUTED_VALUE"""),"")</f>
        <v/>
      </c>
      <c r="G980" s="189" t="str">
        <f ca="1">IFERROR(__xludf.DUMMYFUNCTION("""COMPUTED_VALUE"""),"")</f>
        <v/>
      </c>
      <c r="H980" s="189" t="str">
        <f ca="1">IFERROR(__xludf.DUMMYFUNCTION("""COMPUTED_VALUE"""),"")</f>
        <v/>
      </c>
      <c r="I980" s="120" t="str">
        <f ca="1">IFERROR(__xludf.DUMMYFUNCTION("""COMPUTED_VALUE"""),"")</f>
        <v/>
      </c>
      <c r="J980" s="189" t="str">
        <f ca="1">IFERROR(__xludf.DUMMYFUNCTION("""COMPUTED_VALUE"""),"")</f>
        <v/>
      </c>
      <c r="K980" s="189" t="str">
        <f ca="1">IFERROR(__xludf.DUMMYFUNCTION("""COMPUTED_VALUE"""),"")</f>
        <v/>
      </c>
      <c r="L980" s="189" t="str">
        <f ca="1">IFERROR(__xludf.DUMMYFUNCTION("""COMPUTED_VALUE"""),"")</f>
        <v/>
      </c>
      <c r="M980" s="189" t="str">
        <f ca="1">IFERROR(__xludf.DUMMYFUNCTION("""COMPUTED_VALUE"""),"")</f>
        <v/>
      </c>
      <c r="N980" s="189" t="str">
        <f ca="1">IFERROR(__xludf.DUMMYFUNCTION("""COMPUTED_VALUE"""),"")</f>
        <v/>
      </c>
      <c r="O980" s="189" t="str">
        <f ca="1">IFERROR(__xludf.DUMMYFUNCTION("""COMPUTED_VALUE"""),"")</f>
        <v/>
      </c>
      <c r="P980" s="189" t="str">
        <f ca="1">IFERROR(__xludf.DUMMYFUNCTION("""COMPUTED_VALUE"""),"")</f>
        <v/>
      </c>
      <c r="Q980" s="189" t="str">
        <f ca="1">IFERROR(__xludf.DUMMYFUNCTION("""COMPUTED_VALUE"""),"")</f>
        <v/>
      </c>
      <c r="R980" s="189" t="str">
        <f ca="1">IFERROR(__xludf.DUMMYFUNCTION("""COMPUTED_VALUE"""),"")</f>
        <v/>
      </c>
      <c r="S980" s="189" t="str">
        <f ca="1">IFERROR(__xludf.DUMMYFUNCTION("""COMPUTED_VALUE"""),"")</f>
        <v/>
      </c>
      <c r="T980" s="189" t="str">
        <f ca="1">IFERROR(__xludf.DUMMYFUNCTION("""COMPUTED_VALUE"""),"")</f>
        <v/>
      </c>
      <c r="U980" s="189" t="str">
        <f ca="1">IFERROR(__xludf.DUMMYFUNCTION("""COMPUTED_VALUE"""),"")</f>
        <v/>
      </c>
      <c r="V980" s="189" t="str">
        <f ca="1">IFERROR(__xludf.DUMMYFUNCTION("""COMPUTED_VALUE"""),"")</f>
        <v/>
      </c>
      <c r="W980" s="189" t="str">
        <f ca="1">IFERROR(__xludf.DUMMYFUNCTION("""COMPUTED_VALUE"""),"")</f>
        <v/>
      </c>
      <c r="X980" s="189" t="str">
        <f ca="1">IFERROR(__xludf.DUMMYFUNCTION("""COMPUTED_VALUE"""),"")</f>
        <v/>
      </c>
      <c r="Y980" s="189" t="str">
        <f ca="1">IFERROR(__xludf.DUMMYFUNCTION("""COMPUTED_VALUE"""),"")</f>
        <v/>
      </c>
      <c r="Z980" s="189"/>
    </row>
    <row r="981" spans="1:26" ht="12.75">
      <c r="A981" s="189" t="str">
        <f ca="1">IFERROR(__xludf.DUMMYFUNCTION("""COMPUTED_VALUE"""),"")</f>
        <v/>
      </c>
      <c r="B981" s="189" t="str">
        <f ca="1">IFERROR(__xludf.DUMMYFUNCTION("""COMPUTED_VALUE"""),"")</f>
        <v/>
      </c>
      <c r="C981" s="189" t="str">
        <f ca="1">IFERROR(__xludf.DUMMYFUNCTION("""COMPUTED_VALUE"""),"")</f>
        <v/>
      </c>
      <c r="D981" s="189" t="str">
        <f ca="1">IFERROR(__xludf.DUMMYFUNCTION("""COMPUTED_VALUE"""),"")</f>
        <v/>
      </c>
      <c r="E981" s="189" t="str">
        <f ca="1">IFERROR(__xludf.DUMMYFUNCTION("""COMPUTED_VALUE"""),"")</f>
        <v/>
      </c>
      <c r="F981" s="189" t="str">
        <f ca="1">IFERROR(__xludf.DUMMYFUNCTION("""COMPUTED_VALUE"""),"")</f>
        <v/>
      </c>
      <c r="G981" s="189" t="str">
        <f ca="1">IFERROR(__xludf.DUMMYFUNCTION("""COMPUTED_VALUE"""),"")</f>
        <v/>
      </c>
      <c r="H981" s="189" t="str">
        <f ca="1">IFERROR(__xludf.DUMMYFUNCTION("""COMPUTED_VALUE"""),"")</f>
        <v/>
      </c>
      <c r="I981" s="120" t="str">
        <f ca="1">IFERROR(__xludf.DUMMYFUNCTION("""COMPUTED_VALUE"""),"")</f>
        <v/>
      </c>
      <c r="J981" s="189" t="str">
        <f ca="1">IFERROR(__xludf.DUMMYFUNCTION("""COMPUTED_VALUE"""),"")</f>
        <v/>
      </c>
      <c r="K981" s="189" t="str">
        <f ca="1">IFERROR(__xludf.DUMMYFUNCTION("""COMPUTED_VALUE"""),"")</f>
        <v/>
      </c>
      <c r="L981" s="189" t="str">
        <f ca="1">IFERROR(__xludf.DUMMYFUNCTION("""COMPUTED_VALUE"""),"")</f>
        <v/>
      </c>
      <c r="M981" s="189" t="str">
        <f ca="1">IFERROR(__xludf.DUMMYFUNCTION("""COMPUTED_VALUE"""),"")</f>
        <v/>
      </c>
      <c r="N981" s="189" t="str">
        <f ca="1">IFERROR(__xludf.DUMMYFUNCTION("""COMPUTED_VALUE"""),"")</f>
        <v/>
      </c>
      <c r="O981" s="189" t="str">
        <f ca="1">IFERROR(__xludf.DUMMYFUNCTION("""COMPUTED_VALUE"""),"")</f>
        <v/>
      </c>
      <c r="P981" s="189" t="str">
        <f ca="1">IFERROR(__xludf.DUMMYFUNCTION("""COMPUTED_VALUE"""),"")</f>
        <v/>
      </c>
      <c r="Q981" s="189" t="str">
        <f ca="1">IFERROR(__xludf.DUMMYFUNCTION("""COMPUTED_VALUE"""),"")</f>
        <v/>
      </c>
      <c r="R981" s="189" t="str">
        <f ca="1">IFERROR(__xludf.DUMMYFUNCTION("""COMPUTED_VALUE"""),"")</f>
        <v/>
      </c>
      <c r="S981" s="189" t="str">
        <f ca="1">IFERROR(__xludf.DUMMYFUNCTION("""COMPUTED_VALUE"""),"")</f>
        <v/>
      </c>
      <c r="T981" s="189" t="str">
        <f ca="1">IFERROR(__xludf.DUMMYFUNCTION("""COMPUTED_VALUE"""),"")</f>
        <v/>
      </c>
      <c r="U981" s="189" t="str">
        <f ca="1">IFERROR(__xludf.DUMMYFUNCTION("""COMPUTED_VALUE"""),"")</f>
        <v/>
      </c>
      <c r="V981" s="189" t="str">
        <f ca="1">IFERROR(__xludf.DUMMYFUNCTION("""COMPUTED_VALUE"""),"")</f>
        <v/>
      </c>
      <c r="W981" s="189" t="str">
        <f ca="1">IFERROR(__xludf.DUMMYFUNCTION("""COMPUTED_VALUE"""),"")</f>
        <v/>
      </c>
      <c r="X981" s="189" t="str">
        <f ca="1">IFERROR(__xludf.DUMMYFUNCTION("""COMPUTED_VALUE"""),"")</f>
        <v/>
      </c>
      <c r="Y981" s="189" t="str">
        <f ca="1">IFERROR(__xludf.DUMMYFUNCTION("""COMPUTED_VALUE"""),"")</f>
        <v/>
      </c>
      <c r="Z981" s="189"/>
    </row>
    <row r="982" spans="1:26" ht="12.75">
      <c r="A982" s="189" t="str">
        <f ca="1">IFERROR(__xludf.DUMMYFUNCTION("""COMPUTED_VALUE"""),"")</f>
        <v/>
      </c>
      <c r="B982" s="189" t="str">
        <f ca="1">IFERROR(__xludf.DUMMYFUNCTION("""COMPUTED_VALUE"""),"")</f>
        <v/>
      </c>
      <c r="C982" s="189" t="str">
        <f ca="1">IFERROR(__xludf.DUMMYFUNCTION("""COMPUTED_VALUE"""),"")</f>
        <v/>
      </c>
      <c r="D982" s="189" t="str">
        <f ca="1">IFERROR(__xludf.DUMMYFUNCTION("""COMPUTED_VALUE"""),"")</f>
        <v/>
      </c>
      <c r="E982" s="189" t="str">
        <f ca="1">IFERROR(__xludf.DUMMYFUNCTION("""COMPUTED_VALUE"""),"")</f>
        <v/>
      </c>
      <c r="F982" s="189" t="str">
        <f ca="1">IFERROR(__xludf.DUMMYFUNCTION("""COMPUTED_VALUE"""),"")</f>
        <v/>
      </c>
      <c r="G982" s="189" t="str">
        <f ca="1">IFERROR(__xludf.DUMMYFUNCTION("""COMPUTED_VALUE"""),"")</f>
        <v/>
      </c>
      <c r="H982" s="189" t="str">
        <f ca="1">IFERROR(__xludf.DUMMYFUNCTION("""COMPUTED_VALUE"""),"")</f>
        <v/>
      </c>
      <c r="I982" s="120" t="str">
        <f ca="1">IFERROR(__xludf.DUMMYFUNCTION("""COMPUTED_VALUE"""),"")</f>
        <v/>
      </c>
      <c r="J982" s="189" t="str">
        <f ca="1">IFERROR(__xludf.DUMMYFUNCTION("""COMPUTED_VALUE"""),"")</f>
        <v/>
      </c>
      <c r="K982" s="189" t="str">
        <f ca="1">IFERROR(__xludf.DUMMYFUNCTION("""COMPUTED_VALUE"""),"")</f>
        <v/>
      </c>
      <c r="L982" s="189" t="str">
        <f ca="1">IFERROR(__xludf.DUMMYFUNCTION("""COMPUTED_VALUE"""),"")</f>
        <v/>
      </c>
      <c r="M982" s="189" t="str">
        <f ca="1">IFERROR(__xludf.DUMMYFUNCTION("""COMPUTED_VALUE"""),"")</f>
        <v/>
      </c>
      <c r="N982" s="189" t="str">
        <f ca="1">IFERROR(__xludf.DUMMYFUNCTION("""COMPUTED_VALUE"""),"")</f>
        <v/>
      </c>
      <c r="O982" s="189" t="str">
        <f ca="1">IFERROR(__xludf.DUMMYFUNCTION("""COMPUTED_VALUE"""),"")</f>
        <v/>
      </c>
      <c r="P982" s="189" t="str">
        <f ca="1">IFERROR(__xludf.DUMMYFUNCTION("""COMPUTED_VALUE"""),"")</f>
        <v/>
      </c>
      <c r="Q982" s="189" t="str">
        <f ca="1">IFERROR(__xludf.DUMMYFUNCTION("""COMPUTED_VALUE"""),"")</f>
        <v/>
      </c>
      <c r="R982" s="189" t="str">
        <f ca="1">IFERROR(__xludf.DUMMYFUNCTION("""COMPUTED_VALUE"""),"")</f>
        <v/>
      </c>
      <c r="S982" s="189" t="str">
        <f ca="1">IFERROR(__xludf.DUMMYFUNCTION("""COMPUTED_VALUE"""),"")</f>
        <v/>
      </c>
      <c r="T982" s="189" t="str">
        <f ca="1">IFERROR(__xludf.DUMMYFUNCTION("""COMPUTED_VALUE"""),"")</f>
        <v/>
      </c>
      <c r="U982" s="189" t="str">
        <f ca="1">IFERROR(__xludf.DUMMYFUNCTION("""COMPUTED_VALUE"""),"")</f>
        <v/>
      </c>
      <c r="V982" s="189" t="str">
        <f ca="1">IFERROR(__xludf.DUMMYFUNCTION("""COMPUTED_VALUE"""),"")</f>
        <v/>
      </c>
      <c r="W982" s="189" t="str">
        <f ca="1">IFERROR(__xludf.DUMMYFUNCTION("""COMPUTED_VALUE"""),"")</f>
        <v/>
      </c>
      <c r="X982" s="189" t="str">
        <f ca="1">IFERROR(__xludf.DUMMYFUNCTION("""COMPUTED_VALUE"""),"")</f>
        <v/>
      </c>
      <c r="Y982" s="189" t="str">
        <f ca="1">IFERROR(__xludf.DUMMYFUNCTION("""COMPUTED_VALUE"""),"")</f>
        <v/>
      </c>
      <c r="Z982" s="189"/>
    </row>
    <row r="983" spans="1:26" ht="12.75">
      <c r="A983" s="189" t="str">
        <f ca="1">IFERROR(__xludf.DUMMYFUNCTION("""COMPUTED_VALUE"""),"")</f>
        <v/>
      </c>
      <c r="B983" s="189" t="str">
        <f ca="1">IFERROR(__xludf.DUMMYFUNCTION("""COMPUTED_VALUE"""),"")</f>
        <v/>
      </c>
      <c r="C983" s="189" t="str">
        <f ca="1">IFERROR(__xludf.DUMMYFUNCTION("""COMPUTED_VALUE"""),"")</f>
        <v/>
      </c>
      <c r="D983" s="189" t="str">
        <f ca="1">IFERROR(__xludf.DUMMYFUNCTION("""COMPUTED_VALUE"""),"")</f>
        <v/>
      </c>
      <c r="E983" s="189" t="str">
        <f ca="1">IFERROR(__xludf.DUMMYFUNCTION("""COMPUTED_VALUE"""),"")</f>
        <v/>
      </c>
      <c r="F983" s="189" t="str">
        <f ca="1">IFERROR(__xludf.DUMMYFUNCTION("""COMPUTED_VALUE"""),"")</f>
        <v/>
      </c>
      <c r="G983" s="189" t="str">
        <f ca="1">IFERROR(__xludf.DUMMYFUNCTION("""COMPUTED_VALUE"""),"")</f>
        <v/>
      </c>
      <c r="H983" s="189" t="str">
        <f ca="1">IFERROR(__xludf.DUMMYFUNCTION("""COMPUTED_VALUE"""),"")</f>
        <v/>
      </c>
      <c r="I983" s="120" t="str">
        <f ca="1">IFERROR(__xludf.DUMMYFUNCTION("""COMPUTED_VALUE"""),"")</f>
        <v/>
      </c>
      <c r="J983" s="189" t="str">
        <f ca="1">IFERROR(__xludf.DUMMYFUNCTION("""COMPUTED_VALUE"""),"")</f>
        <v/>
      </c>
      <c r="K983" s="189" t="str">
        <f ca="1">IFERROR(__xludf.DUMMYFUNCTION("""COMPUTED_VALUE"""),"")</f>
        <v/>
      </c>
      <c r="L983" s="189" t="str">
        <f ca="1">IFERROR(__xludf.DUMMYFUNCTION("""COMPUTED_VALUE"""),"")</f>
        <v/>
      </c>
      <c r="M983" s="189" t="str">
        <f ca="1">IFERROR(__xludf.DUMMYFUNCTION("""COMPUTED_VALUE"""),"")</f>
        <v/>
      </c>
      <c r="N983" s="189" t="str">
        <f ca="1">IFERROR(__xludf.DUMMYFUNCTION("""COMPUTED_VALUE"""),"")</f>
        <v/>
      </c>
      <c r="O983" s="189" t="str">
        <f ca="1">IFERROR(__xludf.DUMMYFUNCTION("""COMPUTED_VALUE"""),"")</f>
        <v/>
      </c>
      <c r="P983" s="189" t="str">
        <f ca="1">IFERROR(__xludf.DUMMYFUNCTION("""COMPUTED_VALUE"""),"")</f>
        <v/>
      </c>
      <c r="Q983" s="189" t="str">
        <f ca="1">IFERROR(__xludf.DUMMYFUNCTION("""COMPUTED_VALUE"""),"")</f>
        <v/>
      </c>
      <c r="R983" s="189" t="str">
        <f ca="1">IFERROR(__xludf.DUMMYFUNCTION("""COMPUTED_VALUE"""),"")</f>
        <v/>
      </c>
      <c r="S983" s="189" t="str">
        <f ca="1">IFERROR(__xludf.DUMMYFUNCTION("""COMPUTED_VALUE"""),"")</f>
        <v/>
      </c>
      <c r="T983" s="189" t="str">
        <f ca="1">IFERROR(__xludf.DUMMYFUNCTION("""COMPUTED_VALUE"""),"")</f>
        <v/>
      </c>
      <c r="U983" s="189" t="str">
        <f ca="1">IFERROR(__xludf.DUMMYFUNCTION("""COMPUTED_VALUE"""),"")</f>
        <v/>
      </c>
      <c r="V983" s="189" t="str">
        <f ca="1">IFERROR(__xludf.DUMMYFUNCTION("""COMPUTED_VALUE"""),"")</f>
        <v/>
      </c>
      <c r="W983" s="189" t="str">
        <f ca="1">IFERROR(__xludf.DUMMYFUNCTION("""COMPUTED_VALUE"""),"")</f>
        <v/>
      </c>
      <c r="X983" s="189" t="str">
        <f ca="1">IFERROR(__xludf.DUMMYFUNCTION("""COMPUTED_VALUE"""),"")</f>
        <v/>
      </c>
      <c r="Y983" s="189" t="str">
        <f ca="1">IFERROR(__xludf.DUMMYFUNCTION("""COMPUTED_VALUE"""),"")</f>
        <v/>
      </c>
      <c r="Z983" s="189"/>
    </row>
    <row r="984" spans="1:26" ht="12.75">
      <c r="A984" s="189" t="str">
        <f ca="1">IFERROR(__xludf.DUMMYFUNCTION("""COMPUTED_VALUE"""),"")</f>
        <v/>
      </c>
      <c r="B984" s="189" t="str">
        <f ca="1">IFERROR(__xludf.DUMMYFUNCTION("""COMPUTED_VALUE"""),"")</f>
        <v/>
      </c>
      <c r="C984" s="189" t="str">
        <f ca="1">IFERROR(__xludf.DUMMYFUNCTION("""COMPUTED_VALUE"""),"")</f>
        <v/>
      </c>
      <c r="D984" s="189" t="str">
        <f ca="1">IFERROR(__xludf.DUMMYFUNCTION("""COMPUTED_VALUE"""),"")</f>
        <v/>
      </c>
      <c r="E984" s="189" t="str">
        <f ca="1">IFERROR(__xludf.DUMMYFUNCTION("""COMPUTED_VALUE"""),"")</f>
        <v/>
      </c>
      <c r="F984" s="189" t="str">
        <f ca="1">IFERROR(__xludf.DUMMYFUNCTION("""COMPUTED_VALUE"""),"")</f>
        <v/>
      </c>
      <c r="G984" s="189" t="str">
        <f ca="1">IFERROR(__xludf.DUMMYFUNCTION("""COMPUTED_VALUE"""),"")</f>
        <v/>
      </c>
      <c r="H984" s="189" t="str">
        <f ca="1">IFERROR(__xludf.DUMMYFUNCTION("""COMPUTED_VALUE"""),"")</f>
        <v/>
      </c>
      <c r="I984" s="120" t="str">
        <f ca="1">IFERROR(__xludf.DUMMYFUNCTION("""COMPUTED_VALUE"""),"")</f>
        <v/>
      </c>
      <c r="J984" s="189" t="str">
        <f ca="1">IFERROR(__xludf.DUMMYFUNCTION("""COMPUTED_VALUE"""),"")</f>
        <v/>
      </c>
      <c r="K984" s="189" t="str">
        <f ca="1">IFERROR(__xludf.DUMMYFUNCTION("""COMPUTED_VALUE"""),"")</f>
        <v/>
      </c>
      <c r="L984" s="189" t="str">
        <f ca="1">IFERROR(__xludf.DUMMYFUNCTION("""COMPUTED_VALUE"""),"")</f>
        <v/>
      </c>
      <c r="M984" s="189" t="str">
        <f ca="1">IFERROR(__xludf.DUMMYFUNCTION("""COMPUTED_VALUE"""),"")</f>
        <v/>
      </c>
      <c r="N984" s="189" t="str">
        <f ca="1">IFERROR(__xludf.DUMMYFUNCTION("""COMPUTED_VALUE"""),"")</f>
        <v/>
      </c>
      <c r="O984" s="189" t="str">
        <f ca="1">IFERROR(__xludf.DUMMYFUNCTION("""COMPUTED_VALUE"""),"")</f>
        <v/>
      </c>
      <c r="P984" s="189" t="str">
        <f ca="1">IFERROR(__xludf.DUMMYFUNCTION("""COMPUTED_VALUE"""),"")</f>
        <v/>
      </c>
      <c r="Q984" s="189" t="str">
        <f ca="1">IFERROR(__xludf.DUMMYFUNCTION("""COMPUTED_VALUE"""),"")</f>
        <v/>
      </c>
      <c r="R984" s="189" t="str">
        <f ca="1">IFERROR(__xludf.DUMMYFUNCTION("""COMPUTED_VALUE"""),"")</f>
        <v/>
      </c>
      <c r="S984" s="189" t="str">
        <f ca="1">IFERROR(__xludf.DUMMYFUNCTION("""COMPUTED_VALUE"""),"")</f>
        <v/>
      </c>
      <c r="T984" s="189" t="str">
        <f ca="1">IFERROR(__xludf.DUMMYFUNCTION("""COMPUTED_VALUE"""),"")</f>
        <v/>
      </c>
      <c r="U984" s="189" t="str">
        <f ca="1">IFERROR(__xludf.DUMMYFUNCTION("""COMPUTED_VALUE"""),"")</f>
        <v/>
      </c>
      <c r="V984" s="189" t="str">
        <f ca="1">IFERROR(__xludf.DUMMYFUNCTION("""COMPUTED_VALUE"""),"")</f>
        <v/>
      </c>
      <c r="W984" s="189" t="str">
        <f ca="1">IFERROR(__xludf.DUMMYFUNCTION("""COMPUTED_VALUE"""),"")</f>
        <v/>
      </c>
      <c r="X984" s="189" t="str">
        <f ca="1">IFERROR(__xludf.DUMMYFUNCTION("""COMPUTED_VALUE"""),"")</f>
        <v/>
      </c>
      <c r="Y984" s="189" t="str">
        <f ca="1">IFERROR(__xludf.DUMMYFUNCTION("""COMPUTED_VALUE"""),"")</f>
        <v/>
      </c>
      <c r="Z984" s="189"/>
    </row>
    <row r="985" spans="1:26" ht="12.75">
      <c r="A985" s="189" t="str">
        <f ca="1">IFERROR(__xludf.DUMMYFUNCTION("""COMPUTED_VALUE"""),"")</f>
        <v/>
      </c>
      <c r="B985" s="189" t="str">
        <f ca="1">IFERROR(__xludf.DUMMYFUNCTION("""COMPUTED_VALUE"""),"")</f>
        <v/>
      </c>
      <c r="C985" s="189" t="str">
        <f ca="1">IFERROR(__xludf.DUMMYFUNCTION("""COMPUTED_VALUE"""),"")</f>
        <v/>
      </c>
      <c r="D985" s="189" t="str">
        <f ca="1">IFERROR(__xludf.DUMMYFUNCTION("""COMPUTED_VALUE"""),"")</f>
        <v/>
      </c>
      <c r="E985" s="189" t="str">
        <f ca="1">IFERROR(__xludf.DUMMYFUNCTION("""COMPUTED_VALUE"""),"")</f>
        <v/>
      </c>
      <c r="F985" s="189" t="str">
        <f ca="1">IFERROR(__xludf.DUMMYFUNCTION("""COMPUTED_VALUE"""),"")</f>
        <v/>
      </c>
      <c r="G985" s="189" t="str">
        <f ca="1">IFERROR(__xludf.DUMMYFUNCTION("""COMPUTED_VALUE"""),"")</f>
        <v/>
      </c>
      <c r="H985" s="189" t="str">
        <f ca="1">IFERROR(__xludf.DUMMYFUNCTION("""COMPUTED_VALUE"""),"")</f>
        <v/>
      </c>
      <c r="I985" s="120" t="str">
        <f ca="1">IFERROR(__xludf.DUMMYFUNCTION("""COMPUTED_VALUE"""),"")</f>
        <v/>
      </c>
      <c r="J985" s="189" t="str">
        <f ca="1">IFERROR(__xludf.DUMMYFUNCTION("""COMPUTED_VALUE"""),"")</f>
        <v/>
      </c>
      <c r="K985" s="189" t="str">
        <f ca="1">IFERROR(__xludf.DUMMYFUNCTION("""COMPUTED_VALUE"""),"")</f>
        <v/>
      </c>
      <c r="L985" s="189" t="str">
        <f ca="1">IFERROR(__xludf.DUMMYFUNCTION("""COMPUTED_VALUE"""),"")</f>
        <v/>
      </c>
      <c r="M985" s="189" t="str">
        <f ca="1">IFERROR(__xludf.DUMMYFUNCTION("""COMPUTED_VALUE"""),"")</f>
        <v/>
      </c>
      <c r="N985" s="189" t="str">
        <f ca="1">IFERROR(__xludf.DUMMYFUNCTION("""COMPUTED_VALUE"""),"")</f>
        <v/>
      </c>
      <c r="O985" s="189" t="str">
        <f ca="1">IFERROR(__xludf.DUMMYFUNCTION("""COMPUTED_VALUE"""),"")</f>
        <v/>
      </c>
      <c r="P985" s="189" t="str">
        <f ca="1">IFERROR(__xludf.DUMMYFUNCTION("""COMPUTED_VALUE"""),"")</f>
        <v/>
      </c>
      <c r="Q985" s="189" t="str">
        <f ca="1">IFERROR(__xludf.DUMMYFUNCTION("""COMPUTED_VALUE"""),"")</f>
        <v/>
      </c>
      <c r="R985" s="189" t="str">
        <f ca="1">IFERROR(__xludf.DUMMYFUNCTION("""COMPUTED_VALUE"""),"")</f>
        <v/>
      </c>
      <c r="S985" s="189" t="str">
        <f ca="1">IFERROR(__xludf.DUMMYFUNCTION("""COMPUTED_VALUE"""),"")</f>
        <v/>
      </c>
      <c r="T985" s="189" t="str">
        <f ca="1">IFERROR(__xludf.DUMMYFUNCTION("""COMPUTED_VALUE"""),"")</f>
        <v/>
      </c>
      <c r="U985" s="189" t="str">
        <f ca="1">IFERROR(__xludf.DUMMYFUNCTION("""COMPUTED_VALUE"""),"")</f>
        <v/>
      </c>
      <c r="V985" s="189" t="str">
        <f ca="1">IFERROR(__xludf.DUMMYFUNCTION("""COMPUTED_VALUE"""),"")</f>
        <v/>
      </c>
      <c r="W985" s="189" t="str">
        <f ca="1">IFERROR(__xludf.DUMMYFUNCTION("""COMPUTED_VALUE"""),"")</f>
        <v/>
      </c>
      <c r="X985" s="189" t="str">
        <f ca="1">IFERROR(__xludf.DUMMYFUNCTION("""COMPUTED_VALUE"""),"")</f>
        <v/>
      </c>
      <c r="Y985" s="189" t="str">
        <f ca="1">IFERROR(__xludf.DUMMYFUNCTION("""COMPUTED_VALUE"""),"")</f>
        <v/>
      </c>
      <c r="Z985" s="189"/>
    </row>
    <row r="986" spans="1:26" ht="12.75">
      <c r="A986" s="189" t="str">
        <f ca="1">IFERROR(__xludf.DUMMYFUNCTION("""COMPUTED_VALUE"""),"")</f>
        <v/>
      </c>
      <c r="B986" s="189" t="str">
        <f ca="1">IFERROR(__xludf.DUMMYFUNCTION("""COMPUTED_VALUE"""),"")</f>
        <v/>
      </c>
      <c r="C986" s="189" t="str">
        <f ca="1">IFERROR(__xludf.DUMMYFUNCTION("""COMPUTED_VALUE"""),"")</f>
        <v/>
      </c>
      <c r="D986" s="189" t="str">
        <f ca="1">IFERROR(__xludf.DUMMYFUNCTION("""COMPUTED_VALUE"""),"")</f>
        <v/>
      </c>
      <c r="E986" s="189" t="str">
        <f ca="1">IFERROR(__xludf.DUMMYFUNCTION("""COMPUTED_VALUE"""),"")</f>
        <v/>
      </c>
      <c r="F986" s="189" t="str">
        <f ca="1">IFERROR(__xludf.DUMMYFUNCTION("""COMPUTED_VALUE"""),"")</f>
        <v/>
      </c>
      <c r="G986" s="189" t="str">
        <f ca="1">IFERROR(__xludf.DUMMYFUNCTION("""COMPUTED_VALUE"""),"")</f>
        <v/>
      </c>
      <c r="H986" s="189" t="str">
        <f ca="1">IFERROR(__xludf.DUMMYFUNCTION("""COMPUTED_VALUE"""),"")</f>
        <v/>
      </c>
      <c r="I986" s="120" t="str">
        <f ca="1">IFERROR(__xludf.DUMMYFUNCTION("""COMPUTED_VALUE"""),"")</f>
        <v/>
      </c>
      <c r="J986" s="189" t="str">
        <f ca="1">IFERROR(__xludf.DUMMYFUNCTION("""COMPUTED_VALUE"""),"")</f>
        <v/>
      </c>
      <c r="K986" s="189" t="str">
        <f ca="1">IFERROR(__xludf.DUMMYFUNCTION("""COMPUTED_VALUE"""),"")</f>
        <v/>
      </c>
      <c r="L986" s="189" t="str">
        <f ca="1">IFERROR(__xludf.DUMMYFUNCTION("""COMPUTED_VALUE"""),"")</f>
        <v/>
      </c>
      <c r="M986" s="189" t="str">
        <f ca="1">IFERROR(__xludf.DUMMYFUNCTION("""COMPUTED_VALUE"""),"")</f>
        <v/>
      </c>
      <c r="N986" s="189" t="str">
        <f ca="1">IFERROR(__xludf.DUMMYFUNCTION("""COMPUTED_VALUE"""),"")</f>
        <v/>
      </c>
      <c r="O986" s="189" t="str">
        <f ca="1">IFERROR(__xludf.DUMMYFUNCTION("""COMPUTED_VALUE"""),"")</f>
        <v/>
      </c>
      <c r="P986" s="189" t="str">
        <f ca="1">IFERROR(__xludf.DUMMYFUNCTION("""COMPUTED_VALUE"""),"")</f>
        <v/>
      </c>
      <c r="Q986" s="189" t="str">
        <f ca="1">IFERROR(__xludf.DUMMYFUNCTION("""COMPUTED_VALUE"""),"")</f>
        <v/>
      </c>
      <c r="R986" s="189" t="str">
        <f ca="1">IFERROR(__xludf.DUMMYFUNCTION("""COMPUTED_VALUE"""),"")</f>
        <v/>
      </c>
      <c r="S986" s="189" t="str">
        <f ca="1">IFERROR(__xludf.DUMMYFUNCTION("""COMPUTED_VALUE"""),"")</f>
        <v/>
      </c>
      <c r="T986" s="189" t="str">
        <f ca="1">IFERROR(__xludf.DUMMYFUNCTION("""COMPUTED_VALUE"""),"")</f>
        <v/>
      </c>
      <c r="U986" s="189" t="str">
        <f ca="1">IFERROR(__xludf.DUMMYFUNCTION("""COMPUTED_VALUE"""),"")</f>
        <v/>
      </c>
      <c r="V986" s="189" t="str">
        <f ca="1">IFERROR(__xludf.DUMMYFUNCTION("""COMPUTED_VALUE"""),"")</f>
        <v/>
      </c>
      <c r="W986" s="189" t="str">
        <f ca="1">IFERROR(__xludf.DUMMYFUNCTION("""COMPUTED_VALUE"""),"")</f>
        <v/>
      </c>
      <c r="X986" s="189" t="str">
        <f ca="1">IFERROR(__xludf.DUMMYFUNCTION("""COMPUTED_VALUE"""),"")</f>
        <v/>
      </c>
      <c r="Y986" s="189" t="str">
        <f ca="1">IFERROR(__xludf.DUMMYFUNCTION("""COMPUTED_VALUE"""),"")</f>
        <v/>
      </c>
      <c r="Z986" s="189"/>
    </row>
    <row r="987" spans="1:26" ht="12.75">
      <c r="A987" s="189" t="str">
        <f ca="1">IFERROR(__xludf.DUMMYFUNCTION("""COMPUTED_VALUE"""),"")</f>
        <v/>
      </c>
      <c r="B987" s="189" t="str">
        <f ca="1">IFERROR(__xludf.DUMMYFUNCTION("""COMPUTED_VALUE"""),"")</f>
        <v/>
      </c>
      <c r="C987" s="189" t="str">
        <f ca="1">IFERROR(__xludf.DUMMYFUNCTION("""COMPUTED_VALUE"""),"")</f>
        <v/>
      </c>
      <c r="D987" s="189" t="str">
        <f ca="1">IFERROR(__xludf.DUMMYFUNCTION("""COMPUTED_VALUE"""),"")</f>
        <v/>
      </c>
      <c r="E987" s="189" t="str">
        <f ca="1">IFERROR(__xludf.DUMMYFUNCTION("""COMPUTED_VALUE"""),"")</f>
        <v/>
      </c>
      <c r="F987" s="189" t="str">
        <f ca="1">IFERROR(__xludf.DUMMYFUNCTION("""COMPUTED_VALUE"""),"")</f>
        <v/>
      </c>
      <c r="G987" s="189" t="str">
        <f ca="1">IFERROR(__xludf.DUMMYFUNCTION("""COMPUTED_VALUE"""),"")</f>
        <v/>
      </c>
      <c r="H987" s="189" t="str">
        <f ca="1">IFERROR(__xludf.DUMMYFUNCTION("""COMPUTED_VALUE"""),"")</f>
        <v/>
      </c>
      <c r="I987" s="120" t="str">
        <f ca="1">IFERROR(__xludf.DUMMYFUNCTION("""COMPUTED_VALUE"""),"")</f>
        <v/>
      </c>
      <c r="J987" s="189" t="str">
        <f ca="1">IFERROR(__xludf.DUMMYFUNCTION("""COMPUTED_VALUE"""),"")</f>
        <v/>
      </c>
      <c r="K987" s="189" t="str">
        <f ca="1">IFERROR(__xludf.DUMMYFUNCTION("""COMPUTED_VALUE"""),"")</f>
        <v/>
      </c>
      <c r="L987" s="189" t="str">
        <f ca="1">IFERROR(__xludf.DUMMYFUNCTION("""COMPUTED_VALUE"""),"")</f>
        <v/>
      </c>
      <c r="M987" s="189" t="str">
        <f ca="1">IFERROR(__xludf.DUMMYFUNCTION("""COMPUTED_VALUE"""),"")</f>
        <v/>
      </c>
      <c r="N987" s="189" t="str">
        <f ca="1">IFERROR(__xludf.DUMMYFUNCTION("""COMPUTED_VALUE"""),"")</f>
        <v/>
      </c>
      <c r="O987" s="189" t="str">
        <f ca="1">IFERROR(__xludf.DUMMYFUNCTION("""COMPUTED_VALUE"""),"")</f>
        <v/>
      </c>
      <c r="P987" s="189" t="str">
        <f ca="1">IFERROR(__xludf.DUMMYFUNCTION("""COMPUTED_VALUE"""),"")</f>
        <v/>
      </c>
      <c r="Q987" s="189" t="str">
        <f ca="1">IFERROR(__xludf.DUMMYFUNCTION("""COMPUTED_VALUE"""),"")</f>
        <v/>
      </c>
      <c r="R987" s="189" t="str">
        <f ca="1">IFERROR(__xludf.DUMMYFUNCTION("""COMPUTED_VALUE"""),"")</f>
        <v/>
      </c>
      <c r="S987" s="189" t="str">
        <f ca="1">IFERROR(__xludf.DUMMYFUNCTION("""COMPUTED_VALUE"""),"")</f>
        <v/>
      </c>
      <c r="T987" s="189" t="str">
        <f ca="1">IFERROR(__xludf.DUMMYFUNCTION("""COMPUTED_VALUE"""),"")</f>
        <v/>
      </c>
      <c r="U987" s="189" t="str">
        <f ca="1">IFERROR(__xludf.DUMMYFUNCTION("""COMPUTED_VALUE"""),"")</f>
        <v/>
      </c>
      <c r="V987" s="189" t="str">
        <f ca="1">IFERROR(__xludf.DUMMYFUNCTION("""COMPUTED_VALUE"""),"")</f>
        <v/>
      </c>
      <c r="W987" s="189" t="str">
        <f ca="1">IFERROR(__xludf.DUMMYFUNCTION("""COMPUTED_VALUE"""),"")</f>
        <v/>
      </c>
      <c r="X987" s="189" t="str">
        <f ca="1">IFERROR(__xludf.DUMMYFUNCTION("""COMPUTED_VALUE"""),"")</f>
        <v/>
      </c>
      <c r="Y987" s="189" t="str">
        <f ca="1">IFERROR(__xludf.DUMMYFUNCTION("""COMPUTED_VALUE"""),"")</f>
        <v/>
      </c>
      <c r="Z987" s="189"/>
    </row>
    <row r="988" spans="1:26" ht="12.75">
      <c r="A988" s="189" t="str">
        <f ca="1">IFERROR(__xludf.DUMMYFUNCTION("""COMPUTED_VALUE"""),"")</f>
        <v/>
      </c>
      <c r="B988" s="189" t="str">
        <f ca="1">IFERROR(__xludf.DUMMYFUNCTION("""COMPUTED_VALUE"""),"")</f>
        <v/>
      </c>
      <c r="C988" s="189" t="str">
        <f ca="1">IFERROR(__xludf.DUMMYFUNCTION("""COMPUTED_VALUE"""),"")</f>
        <v/>
      </c>
      <c r="D988" s="189" t="str">
        <f ca="1">IFERROR(__xludf.DUMMYFUNCTION("""COMPUTED_VALUE"""),"")</f>
        <v/>
      </c>
      <c r="E988" s="189" t="str">
        <f ca="1">IFERROR(__xludf.DUMMYFUNCTION("""COMPUTED_VALUE"""),"")</f>
        <v/>
      </c>
      <c r="F988" s="189" t="str">
        <f ca="1">IFERROR(__xludf.DUMMYFUNCTION("""COMPUTED_VALUE"""),"")</f>
        <v/>
      </c>
      <c r="G988" s="189" t="str">
        <f ca="1">IFERROR(__xludf.DUMMYFUNCTION("""COMPUTED_VALUE"""),"")</f>
        <v/>
      </c>
      <c r="H988" s="189" t="str">
        <f ca="1">IFERROR(__xludf.DUMMYFUNCTION("""COMPUTED_VALUE"""),"")</f>
        <v/>
      </c>
      <c r="I988" s="120" t="str">
        <f ca="1">IFERROR(__xludf.DUMMYFUNCTION("""COMPUTED_VALUE"""),"")</f>
        <v/>
      </c>
      <c r="J988" s="189" t="str">
        <f ca="1">IFERROR(__xludf.DUMMYFUNCTION("""COMPUTED_VALUE"""),"")</f>
        <v/>
      </c>
      <c r="K988" s="189" t="str">
        <f ca="1">IFERROR(__xludf.DUMMYFUNCTION("""COMPUTED_VALUE"""),"")</f>
        <v/>
      </c>
      <c r="L988" s="189" t="str">
        <f ca="1">IFERROR(__xludf.DUMMYFUNCTION("""COMPUTED_VALUE"""),"")</f>
        <v/>
      </c>
      <c r="M988" s="189" t="str">
        <f ca="1">IFERROR(__xludf.DUMMYFUNCTION("""COMPUTED_VALUE"""),"")</f>
        <v/>
      </c>
      <c r="N988" s="189" t="str">
        <f ca="1">IFERROR(__xludf.DUMMYFUNCTION("""COMPUTED_VALUE"""),"")</f>
        <v/>
      </c>
      <c r="O988" s="189" t="str">
        <f ca="1">IFERROR(__xludf.DUMMYFUNCTION("""COMPUTED_VALUE"""),"")</f>
        <v/>
      </c>
      <c r="P988" s="189" t="str">
        <f ca="1">IFERROR(__xludf.DUMMYFUNCTION("""COMPUTED_VALUE"""),"")</f>
        <v/>
      </c>
      <c r="Q988" s="189" t="str">
        <f ca="1">IFERROR(__xludf.DUMMYFUNCTION("""COMPUTED_VALUE"""),"")</f>
        <v/>
      </c>
      <c r="R988" s="189" t="str">
        <f ca="1">IFERROR(__xludf.DUMMYFUNCTION("""COMPUTED_VALUE"""),"")</f>
        <v/>
      </c>
      <c r="S988" s="189" t="str">
        <f ca="1">IFERROR(__xludf.DUMMYFUNCTION("""COMPUTED_VALUE"""),"")</f>
        <v/>
      </c>
      <c r="T988" s="189" t="str">
        <f ca="1">IFERROR(__xludf.DUMMYFUNCTION("""COMPUTED_VALUE"""),"")</f>
        <v/>
      </c>
      <c r="U988" s="189" t="str">
        <f ca="1">IFERROR(__xludf.DUMMYFUNCTION("""COMPUTED_VALUE"""),"")</f>
        <v/>
      </c>
      <c r="V988" s="189" t="str">
        <f ca="1">IFERROR(__xludf.DUMMYFUNCTION("""COMPUTED_VALUE"""),"")</f>
        <v/>
      </c>
      <c r="W988" s="189" t="str">
        <f ca="1">IFERROR(__xludf.DUMMYFUNCTION("""COMPUTED_VALUE"""),"")</f>
        <v/>
      </c>
      <c r="X988" s="189" t="str">
        <f ca="1">IFERROR(__xludf.DUMMYFUNCTION("""COMPUTED_VALUE"""),"")</f>
        <v/>
      </c>
      <c r="Y988" s="189" t="str">
        <f ca="1">IFERROR(__xludf.DUMMYFUNCTION("""COMPUTED_VALUE"""),"")</f>
        <v/>
      </c>
      <c r="Z988" s="189"/>
    </row>
    <row r="989" spans="1:26" ht="12.75">
      <c r="A989" s="189" t="str">
        <f ca="1">IFERROR(__xludf.DUMMYFUNCTION("""COMPUTED_VALUE"""),"")</f>
        <v/>
      </c>
      <c r="B989" s="189" t="str">
        <f ca="1">IFERROR(__xludf.DUMMYFUNCTION("""COMPUTED_VALUE"""),"")</f>
        <v/>
      </c>
      <c r="C989" s="189" t="str">
        <f ca="1">IFERROR(__xludf.DUMMYFUNCTION("""COMPUTED_VALUE"""),"")</f>
        <v/>
      </c>
      <c r="D989" s="189" t="str">
        <f ca="1">IFERROR(__xludf.DUMMYFUNCTION("""COMPUTED_VALUE"""),"")</f>
        <v/>
      </c>
      <c r="E989" s="189" t="str">
        <f ca="1">IFERROR(__xludf.DUMMYFUNCTION("""COMPUTED_VALUE"""),"")</f>
        <v/>
      </c>
      <c r="F989" s="189" t="str">
        <f ca="1">IFERROR(__xludf.DUMMYFUNCTION("""COMPUTED_VALUE"""),"")</f>
        <v/>
      </c>
      <c r="G989" s="189" t="str">
        <f ca="1">IFERROR(__xludf.DUMMYFUNCTION("""COMPUTED_VALUE"""),"")</f>
        <v/>
      </c>
      <c r="H989" s="189" t="str">
        <f ca="1">IFERROR(__xludf.DUMMYFUNCTION("""COMPUTED_VALUE"""),"")</f>
        <v/>
      </c>
      <c r="I989" s="120" t="str">
        <f ca="1">IFERROR(__xludf.DUMMYFUNCTION("""COMPUTED_VALUE"""),"")</f>
        <v/>
      </c>
      <c r="J989" s="189" t="str">
        <f ca="1">IFERROR(__xludf.DUMMYFUNCTION("""COMPUTED_VALUE"""),"")</f>
        <v/>
      </c>
      <c r="K989" s="189" t="str">
        <f ca="1">IFERROR(__xludf.DUMMYFUNCTION("""COMPUTED_VALUE"""),"")</f>
        <v/>
      </c>
      <c r="L989" s="189" t="str">
        <f ca="1">IFERROR(__xludf.DUMMYFUNCTION("""COMPUTED_VALUE"""),"")</f>
        <v/>
      </c>
      <c r="M989" s="189" t="str">
        <f ca="1">IFERROR(__xludf.DUMMYFUNCTION("""COMPUTED_VALUE"""),"")</f>
        <v/>
      </c>
      <c r="N989" s="189" t="str">
        <f ca="1">IFERROR(__xludf.DUMMYFUNCTION("""COMPUTED_VALUE"""),"")</f>
        <v/>
      </c>
      <c r="O989" s="189" t="str">
        <f ca="1">IFERROR(__xludf.DUMMYFUNCTION("""COMPUTED_VALUE"""),"")</f>
        <v/>
      </c>
      <c r="P989" s="189" t="str">
        <f ca="1">IFERROR(__xludf.DUMMYFUNCTION("""COMPUTED_VALUE"""),"")</f>
        <v/>
      </c>
      <c r="Q989" s="189" t="str">
        <f ca="1">IFERROR(__xludf.DUMMYFUNCTION("""COMPUTED_VALUE"""),"")</f>
        <v/>
      </c>
      <c r="R989" s="189" t="str">
        <f ca="1">IFERROR(__xludf.DUMMYFUNCTION("""COMPUTED_VALUE"""),"")</f>
        <v/>
      </c>
      <c r="S989" s="189" t="str">
        <f ca="1">IFERROR(__xludf.DUMMYFUNCTION("""COMPUTED_VALUE"""),"")</f>
        <v/>
      </c>
      <c r="T989" s="189" t="str">
        <f ca="1">IFERROR(__xludf.DUMMYFUNCTION("""COMPUTED_VALUE"""),"")</f>
        <v/>
      </c>
      <c r="U989" s="189" t="str">
        <f ca="1">IFERROR(__xludf.DUMMYFUNCTION("""COMPUTED_VALUE"""),"")</f>
        <v/>
      </c>
      <c r="V989" s="189" t="str">
        <f ca="1">IFERROR(__xludf.DUMMYFUNCTION("""COMPUTED_VALUE"""),"")</f>
        <v/>
      </c>
      <c r="W989" s="189" t="str">
        <f ca="1">IFERROR(__xludf.DUMMYFUNCTION("""COMPUTED_VALUE"""),"")</f>
        <v/>
      </c>
      <c r="X989" s="189" t="str">
        <f ca="1">IFERROR(__xludf.DUMMYFUNCTION("""COMPUTED_VALUE"""),"")</f>
        <v/>
      </c>
      <c r="Y989" s="189" t="str">
        <f ca="1">IFERROR(__xludf.DUMMYFUNCTION("""COMPUTED_VALUE"""),"")</f>
        <v/>
      </c>
      <c r="Z989" s="189"/>
    </row>
    <row r="990" spans="1:26" ht="12.75">
      <c r="A990" s="189" t="str">
        <f ca="1">IFERROR(__xludf.DUMMYFUNCTION("""COMPUTED_VALUE"""),"")</f>
        <v/>
      </c>
      <c r="B990" s="189" t="str">
        <f ca="1">IFERROR(__xludf.DUMMYFUNCTION("""COMPUTED_VALUE"""),"")</f>
        <v/>
      </c>
      <c r="C990" s="189" t="str">
        <f ca="1">IFERROR(__xludf.DUMMYFUNCTION("""COMPUTED_VALUE"""),"")</f>
        <v/>
      </c>
      <c r="D990" s="189" t="str">
        <f ca="1">IFERROR(__xludf.DUMMYFUNCTION("""COMPUTED_VALUE"""),"")</f>
        <v/>
      </c>
      <c r="E990" s="189" t="str">
        <f ca="1">IFERROR(__xludf.DUMMYFUNCTION("""COMPUTED_VALUE"""),"")</f>
        <v/>
      </c>
      <c r="F990" s="189" t="str">
        <f ca="1">IFERROR(__xludf.DUMMYFUNCTION("""COMPUTED_VALUE"""),"")</f>
        <v/>
      </c>
      <c r="G990" s="189" t="str">
        <f ca="1">IFERROR(__xludf.DUMMYFUNCTION("""COMPUTED_VALUE"""),"")</f>
        <v/>
      </c>
      <c r="H990" s="189" t="str">
        <f ca="1">IFERROR(__xludf.DUMMYFUNCTION("""COMPUTED_VALUE"""),"")</f>
        <v/>
      </c>
      <c r="I990" s="120" t="str">
        <f ca="1">IFERROR(__xludf.DUMMYFUNCTION("""COMPUTED_VALUE"""),"")</f>
        <v/>
      </c>
      <c r="J990" s="189" t="str">
        <f ca="1">IFERROR(__xludf.DUMMYFUNCTION("""COMPUTED_VALUE"""),"")</f>
        <v/>
      </c>
      <c r="K990" s="189" t="str">
        <f ca="1">IFERROR(__xludf.DUMMYFUNCTION("""COMPUTED_VALUE"""),"")</f>
        <v/>
      </c>
      <c r="L990" s="189" t="str">
        <f ca="1">IFERROR(__xludf.DUMMYFUNCTION("""COMPUTED_VALUE"""),"")</f>
        <v/>
      </c>
      <c r="M990" s="189" t="str">
        <f ca="1">IFERROR(__xludf.DUMMYFUNCTION("""COMPUTED_VALUE"""),"")</f>
        <v/>
      </c>
      <c r="N990" s="189" t="str">
        <f ca="1">IFERROR(__xludf.DUMMYFUNCTION("""COMPUTED_VALUE"""),"")</f>
        <v/>
      </c>
      <c r="O990" s="189" t="str">
        <f ca="1">IFERROR(__xludf.DUMMYFUNCTION("""COMPUTED_VALUE"""),"")</f>
        <v/>
      </c>
      <c r="P990" s="189" t="str">
        <f ca="1">IFERROR(__xludf.DUMMYFUNCTION("""COMPUTED_VALUE"""),"")</f>
        <v/>
      </c>
      <c r="Q990" s="189" t="str">
        <f ca="1">IFERROR(__xludf.DUMMYFUNCTION("""COMPUTED_VALUE"""),"")</f>
        <v/>
      </c>
      <c r="R990" s="189" t="str">
        <f ca="1">IFERROR(__xludf.DUMMYFUNCTION("""COMPUTED_VALUE"""),"")</f>
        <v/>
      </c>
      <c r="S990" s="189" t="str">
        <f ca="1">IFERROR(__xludf.DUMMYFUNCTION("""COMPUTED_VALUE"""),"")</f>
        <v/>
      </c>
      <c r="T990" s="189" t="str">
        <f ca="1">IFERROR(__xludf.DUMMYFUNCTION("""COMPUTED_VALUE"""),"")</f>
        <v/>
      </c>
      <c r="U990" s="189" t="str">
        <f ca="1">IFERROR(__xludf.DUMMYFUNCTION("""COMPUTED_VALUE"""),"")</f>
        <v/>
      </c>
      <c r="V990" s="189" t="str">
        <f ca="1">IFERROR(__xludf.DUMMYFUNCTION("""COMPUTED_VALUE"""),"")</f>
        <v/>
      </c>
      <c r="W990" s="189" t="str">
        <f ca="1">IFERROR(__xludf.DUMMYFUNCTION("""COMPUTED_VALUE"""),"")</f>
        <v/>
      </c>
      <c r="X990" s="189" t="str">
        <f ca="1">IFERROR(__xludf.DUMMYFUNCTION("""COMPUTED_VALUE"""),"")</f>
        <v/>
      </c>
      <c r="Y990" s="189" t="str">
        <f ca="1">IFERROR(__xludf.DUMMYFUNCTION("""COMPUTED_VALUE"""),"")</f>
        <v/>
      </c>
      <c r="Z990" s="189"/>
    </row>
    <row r="991" spans="1:26" ht="12.75">
      <c r="A991" s="189" t="str">
        <f ca="1">IFERROR(__xludf.DUMMYFUNCTION("""COMPUTED_VALUE"""),"")</f>
        <v/>
      </c>
      <c r="B991" s="189" t="str">
        <f ca="1">IFERROR(__xludf.DUMMYFUNCTION("""COMPUTED_VALUE"""),"")</f>
        <v/>
      </c>
      <c r="C991" s="189" t="str">
        <f ca="1">IFERROR(__xludf.DUMMYFUNCTION("""COMPUTED_VALUE"""),"")</f>
        <v/>
      </c>
      <c r="D991" s="189" t="str">
        <f ca="1">IFERROR(__xludf.DUMMYFUNCTION("""COMPUTED_VALUE"""),"")</f>
        <v/>
      </c>
      <c r="E991" s="189" t="str">
        <f ca="1">IFERROR(__xludf.DUMMYFUNCTION("""COMPUTED_VALUE"""),"")</f>
        <v/>
      </c>
      <c r="F991" s="189" t="str">
        <f ca="1">IFERROR(__xludf.DUMMYFUNCTION("""COMPUTED_VALUE"""),"")</f>
        <v/>
      </c>
      <c r="G991" s="189" t="str">
        <f ca="1">IFERROR(__xludf.DUMMYFUNCTION("""COMPUTED_VALUE"""),"")</f>
        <v/>
      </c>
      <c r="H991" s="189" t="str">
        <f ca="1">IFERROR(__xludf.DUMMYFUNCTION("""COMPUTED_VALUE"""),"")</f>
        <v/>
      </c>
      <c r="I991" s="120" t="str">
        <f ca="1">IFERROR(__xludf.DUMMYFUNCTION("""COMPUTED_VALUE"""),"")</f>
        <v/>
      </c>
      <c r="J991" s="189" t="str">
        <f ca="1">IFERROR(__xludf.DUMMYFUNCTION("""COMPUTED_VALUE"""),"")</f>
        <v/>
      </c>
      <c r="K991" s="189" t="str">
        <f ca="1">IFERROR(__xludf.DUMMYFUNCTION("""COMPUTED_VALUE"""),"")</f>
        <v/>
      </c>
      <c r="L991" s="189" t="str">
        <f ca="1">IFERROR(__xludf.DUMMYFUNCTION("""COMPUTED_VALUE"""),"")</f>
        <v/>
      </c>
      <c r="M991" s="189" t="str">
        <f ca="1">IFERROR(__xludf.DUMMYFUNCTION("""COMPUTED_VALUE"""),"")</f>
        <v/>
      </c>
      <c r="N991" s="189" t="str">
        <f ca="1">IFERROR(__xludf.DUMMYFUNCTION("""COMPUTED_VALUE"""),"")</f>
        <v/>
      </c>
      <c r="O991" s="189" t="str">
        <f ca="1">IFERROR(__xludf.DUMMYFUNCTION("""COMPUTED_VALUE"""),"")</f>
        <v/>
      </c>
      <c r="P991" s="189" t="str">
        <f ca="1">IFERROR(__xludf.DUMMYFUNCTION("""COMPUTED_VALUE"""),"")</f>
        <v/>
      </c>
      <c r="Q991" s="189" t="str">
        <f ca="1">IFERROR(__xludf.DUMMYFUNCTION("""COMPUTED_VALUE"""),"")</f>
        <v/>
      </c>
      <c r="R991" s="189" t="str">
        <f ca="1">IFERROR(__xludf.DUMMYFUNCTION("""COMPUTED_VALUE"""),"")</f>
        <v/>
      </c>
      <c r="S991" s="189" t="str">
        <f ca="1">IFERROR(__xludf.DUMMYFUNCTION("""COMPUTED_VALUE"""),"")</f>
        <v/>
      </c>
      <c r="T991" s="189" t="str">
        <f ca="1">IFERROR(__xludf.DUMMYFUNCTION("""COMPUTED_VALUE"""),"")</f>
        <v/>
      </c>
      <c r="U991" s="189" t="str">
        <f ca="1">IFERROR(__xludf.DUMMYFUNCTION("""COMPUTED_VALUE"""),"")</f>
        <v/>
      </c>
      <c r="V991" s="189" t="str">
        <f ca="1">IFERROR(__xludf.DUMMYFUNCTION("""COMPUTED_VALUE"""),"")</f>
        <v/>
      </c>
      <c r="W991" s="189" t="str">
        <f ca="1">IFERROR(__xludf.DUMMYFUNCTION("""COMPUTED_VALUE"""),"")</f>
        <v/>
      </c>
      <c r="X991" s="189" t="str">
        <f ca="1">IFERROR(__xludf.DUMMYFUNCTION("""COMPUTED_VALUE"""),"")</f>
        <v/>
      </c>
      <c r="Y991" s="189" t="str">
        <f ca="1">IFERROR(__xludf.DUMMYFUNCTION("""COMPUTED_VALUE"""),"")</f>
        <v/>
      </c>
      <c r="Z991" s="189"/>
    </row>
    <row r="992" spans="1:26" ht="12.75">
      <c r="A992" s="189" t="str">
        <f ca="1">IFERROR(__xludf.DUMMYFUNCTION("""COMPUTED_VALUE"""),"")</f>
        <v/>
      </c>
      <c r="B992" s="189" t="str">
        <f ca="1">IFERROR(__xludf.DUMMYFUNCTION("""COMPUTED_VALUE"""),"")</f>
        <v/>
      </c>
      <c r="C992" s="189" t="str">
        <f ca="1">IFERROR(__xludf.DUMMYFUNCTION("""COMPUTED_VALUE"""),"")</f>
        <v/>
      </c>
      <c r="D992" s="189" t="str">
        <f ca="1">IFERROR(__xludf.DUMMYFUNCTION("""COMPUTED_VALUE"""),"")</f>
        <v/>
      </c>
      <c r="E992" s="189" t="str">
        <f ca="1">IFERROR(__xludf.DUMMYFUNCTION("""COMPUTED_VALUE"""),"")</f>
        <v/>
      </c>
      <c r="F992" s="189" t="str">
        <f ca="1">IFERROR(__xludf.DUMMYFUNCTION("""COMPUTED_VALUE"""),"")</f>
        <v/>
      </c>
      <c r="G992" s="189" t="str">
        <f ca="1">IFERROR(__xludf.DUMMYFUNCTION("""COMPUTED_VALUE"""),"")</f>
        <v/>
      </c>
      <c r="H992" s="189" t="str">
        <f ca="1">IFERROR(__xludf.DUMMYFUNCTION("""COMPUTED_VALUE"""),"")</f>
        <v/>
      </c>
      <c r="I992" s="120" t="str">
        <f ca="1">IFERROR(__xludf.DUMMYFUNCTION("""COMPUTED_VALUE"""),"")</f>
        <v/>
      </c>
      <c r="J992" s="189" t="str">
        <f ca="1">IFERROR(__xludf.DUMMYFUNCTION("""COMPUTED_VALUE"""),"")</f>
        <v/>
      </c>
      <c r="K992" s="189" t="str">
        <f ca="1">IFERROR(__xludf.DUMMYFUNCTION("""COMPUTED_VALUE"""),"")</f>
        <v/>
      </c>
      <c r="L992" s="189" t="str">
        <f ca="1">IFERROR(__xludf.DUMMYFUNCTION("""COMPUTED_VALUE"""),"")</f>
        <v/>
      </c>
      <c r="M992" s="189" t="str">
        <f ca="1">IFERROR(__xludf.DUMMYFUNCTION("""COMPUTED_VALUE"""),"")</f>
        <v/>
      </c>
      <c r="N992" s="189" t="str">
        <f ca="1">IFERROR(__xludf.DUMMYFUNCTION("""COMPUTED_VALUE"""),"")</f>
        <v/>
      </c>
      <c r="O992" s="189" t="str">
        <f ca="1">IFERROR(__xludf.DUMMYFUNCTION("""COMPUTED_VALUE"""),"")</f>
        <v/>
      </c>
      <c r="P992" s="189" t="str">
        <f ca="1">IFERROR(__xludf.DUMMYFUNCTION("""COMPUTED_VALUE"""),"")</f>
        <v/>
      </c>
      <c r="Q992" s="189" t="str">
        <f ca="1">IFERROR(__xludf.DUMMYFUNCTION("""COMPUTED_VALUE"""),"")</f>
        <v/>
      </c>
      <c r="R992" s="189" t="str">
        <f ca="1">IFERROR(__xludf.DUMMYFUNCTION("""COMPUTED_VALUE"""),"")</f>
        <v/>
      </c>
      <c r="S992" s="189" t="str">
        <f ca="1">IFERROR(__xludf.DUMMYFUNCTION("""COMPUTED_VALUE"""),"")</f>
        <v/>
      </c>
      <c r="T992" s="189" t="str">
        <f ca="1">IFERROR(__xludf.DUMMYFUNCTION("""COMPUTED_VALUE"""),"")</f>
        <v/>
      </c>
      <c r="U992" s="189" t="str">
        <f ca="1">IFERROR(__xludf.DUMMYFUNCTION("""COMPUTED_VALUE"""),"")</f>
        <v/>
      </c>
      <c r="V992" s="189" t="str">
        <f ca="1">IFERROR(__xludf.DUMMYFUNCTION("""COMPUTED_VALUE"""),"")</f>
        <v/>
      </c>
      <c r="W992" s="189" t="str">
        <f ca="1">IFERROR(__xludf.DUMMYFUNCTION("""COMPUTED_VALUE"""),"")</f>
        <v/>
      </c>
      <c r="X992" s="189" t="str">
        <f ca="1">IFERROR(__xludf.DUMMYFUNCTION("""COMPUTED_VALUE"""),"")</f>
        <v/>
      </c>
      <c r="Y992" s="189" t="str">
        <f ca="1">IFERROR(__xludf.DUMMYFUNCTION("""COMPUTED_VALUE"""),"")</f>
        <v/>
      </c>
      <c r="Z992" s="189"/>
    </row>
    <row r="993" spans="1:26" ht="12.75">
      <c r="A993" s="189" t="str">
        <f ca="1">IFERROR(__xludf.DUMMYFUNCTION("""COMPUTED_VALUE"""),"")</f>
        <v/>
      </c>
      <c r="B993" s="189" t="str">
        <f ca="1">IFERROR(__xludf.DUMMYFUNCTION("""COMPUTED_VALUE"""),"")</f>
        <v/>
      </c>
      <c r="C993" s="189" t="str">
        <f ca="1">IFERROR(__xludf.DUMMYFUNCTION("""COMPUTED_VALUE"""),"")</f>
        <v/>
      </c>
      <c r="D993" s="189" t="str">
        <f ca="1">IFERROR(__xludf.DUMMYFUNCTION("""COMPUTED_VALUE"""),"")</f>
        <v/>
      </c>
      <c r="E993" s="189" t="str">
        <f ca="1">IFERROR(__xludf.DUMMYFUNCTION("""COMPUTED_VALUE"""),"")</f>
        <v/>
      </c>
      <c r="F993" s="189" t="str">
        <f ca="1">IFERROR(__xludf.DUMMYFUNCTION("""COMPUTED_VALUE"""),"")</f>
        <v/>
      </c>
      <c r="G993" s="189" t="str">
        <f ca="1">IFERROR(__xludf.DUMMYFUNCTION("""COMPUTED_VALUE"""),"")</f>
        <v/>
      </c>
      <c r="H993" s="189" t="str">
        <f ca="1">IFERROR(__xludf.DUMMYFUNCTION("""COMPUTED_VALUE"""),"")</f>
        <v/>
      </c>
      <c r="I993" s="120" t="str">
        <f ca="1">IFERROR(__xludf.DUMMYFUNCTION("""COMPUTED_VALUE"""),"")</f>
        <v/>
      </c>
      <c r="J993" s="189" t="str">
        <f ca="1">IFERROR(__xludf.DUMMYFUNCTION("""COMPUTED_VALUE"""),"")</f>
        <v/>
      </c>
      <c r="K993" s="189" t="str">
        <f ca="1">IFERROR(__xludf.DUMMYFUNCTION("""COMPUTED_VALUE"""),"")</f>
        <v/>
      </c>
      <c r="L993" s="189" t="str">
        <f ca="1">IFERROR(__xludf.DUMMYFUNCTION("""COMPUTED_VALUE"""),"")</f>
        <v/>
      </c>
      <c r="M993" s="189" t="str">
        <f ca="1">IFERROR(__xludf.DUMMYFUNCTION("""COMPUTED_VALUE"""),"")</f>
        <v/>
      </c>
      <c r="N993" s="189" t="str">
        <f ca="1">IFERROR(__xludf.DUMMYFUNCTION("""COMPUTED_VALUE"""),"")</f>
        <v/>
      </c>
      <c r="O993" s="189" t="str">
        <f ca="1">IFERROR(__xludf.DUMMYFUNCTION("""COMPUTED_VALUE"""),"")</f>
        <v/>
      </c>
      <c r="P993" s="189" t="str">
        <f ca="1">IFERROR(__xludf.DUMMYFUNCTION("""COMPUTED_VALUE"""),"")</f>
        <v/>
      </c>
      <c r="Q993" s="189" t="str">
        <f ca="1">IFERROR(__xludf.DUMMYFUNCTION("""COMPUTED_VALUE"""),"")</f>
        <v/>
      </c>
      <c r="R993" s="189" t="str">
        <f ca="1">IFERROR(__xludf.DUMMYFUNCTION("""COMPUTED_VALUE"""),"")</f>
        <v/>
      </c>
      <c r="S993" s="189" t="str">
        <f ca="1">IFERROR(__xludf.DUMMYFUNCTION("""COMPUTED_VALUE"""),"")</f>
        <v/>
      </c>
      <c r="T993" s="189" t="str">
        <f ca="1">IFERROR(__xludf.DUMMYFUNCTION("""COMPUTED_VALUE"""),"")</f>
        <v/>
      </c>
      <c r="U993" s="189" t="str">
        <f ca="1">IFERROR(__xludf.DUMMYFUNCTION("""COMPUTED_VALUE"""),"")</f>
        <v/>
      </c>
      <c r="V993" s="189" t="str">
        <f ca="1">IFERROR(__xludf.DUMMYFUNCTION("""COMPUTED_VALUE"""),"")</f>
        <v/>
      </c>
      <c r="W993" s="189" t="str">
        <f ca="1">IFERROR(__xludf.DUMMYFUNCTION("""COMPUTED_VALUE"""),"")</f>
        <v/>
      </c>
      <c r="X993" s="189" t="str">
        <f ca="1">IFERROR(__xludf.DUMMYFUNCTION("""COMPUTED_VALUE"""),"")</f>
        <v/>
      </c>
      <c r="Y993" s="189" t="str">
        <f ca="1">IFERROR(__xludf.DUMMYFUNCTION("""COMPUTED_VALUE"""),"")</f>
        <v/>
      </c>
      <c r="Z993" s="189"/>
    </row>
    <row r="994" spans="1:26" ht="12.75">
      <c r="A994" s="189" t="str">
        <f ca="1">IFERROR(__xludf.DUMMYFUNCTION("""COMPUTED_VALUE"""),"")</f>
        <v/>
      </c>
      <c r="B994" s="189" t="str">
        <f ca="1">IFERROR(__xludf.DUMMYFUNCTION("""COMPUTED_VALUE"""),"")</f>
        <v/>
      </c>
      <c r="C994" s="189" t="str">
        <f ca="1">IFERROR(__xludf.DUMMYFUNCTION("""COMPUTED_VALUE"""),"")</f>
        <v/>
      </c>
      <c r="D994" s="189" t="str">
        <f ca="1">IFERROR(__xludf.DUMMYFUNCTION("""COMPUTED_VALUE"""),"")</f>
        <v/>
      </c>
      <c r="E994" s="189" t="str">
        <f ca="1">IFERROR(__xludf.DUMMYFUNCTION("""COMPUTED_VALUE"""),"")</f>
        <v/>
      </c>
      <c r="F994" s="189" t="str">
        <f ca="1">IFERROR(__xludf.DUMMYFUNCTION("""COMPUTED_VALUE"""),"")</f>
        <v/>
      </c>
      <c r="G994" s="189" t="str">
        <f ca="1">IFERROR(__xludf.DUMMYFUNCTION("""COMPUTED_VALUE"""),"")</f>
        <v/>
      </c>
      <c r="H994" s="189" t="str">
        <f ca="1">IFERROR(__xludf.DUMMYFUNCTION("""COMPUTED_VALUE"""),"")</f>
        <v/>
      </c>
      <c r="I994" s="120" t="str">
        <f ca="1">IFERROR(__xludf.DUMMYFUNCTION("""COMPUTED_VALUE"""),"")</f>
        <v/>
      </c>
      <c r="J994" s="189" t="str">
        <f ca="1">IFERROR(__xludf.DUMMYFUNCTION("""COMPUTED_VALUE"""),"")</f>
        <v/>
      </c>
      <c r="K994" s="189" t="str">
        <f ca="1">IFERROR(__xludf.DUMMYFUNCTION("""COMPUTED_VALUE"""),"")</f>
        <v/>
      </c>
      <c r="L994" s="189" t="str">
        <f ca="1">IFERROR(__xludf.DUMMYFUNCTION("""COMPUTED_VALUE"""),"")</f>
        <v/>
      </c>
      <c r="M994" s="189" t="str">
        <f ca="1">IFERROR(__xludf.DUMMYFUNCTION("""COMPUTED_VALUE"""),"")</f>
        <v/>
      </c>
      <c r="N994" s="189" t="str">
        <f ca="1">IFERROR(__xludf.DUMMYFUNCTION("""COMPUTED_VALUE"""),"")</f>
        <v/>
      </c>
      <c r="O994" s="189" t="str">
        <f ca="1">IFERROR(__xludf.DUMMYFUNCTION("""COMPUTED_VALUE"""),"")</f>
        <v/>
      </c>
      <c r="P994" s="189" t="str">
        <f ca="1">IFERROR(__xludf.DUMMYFUNCTION("""COMPUTED_VALUE"""),"")</f>
        <v/>
      </c>
      <c r="Q994" s="189" t="str">
        <f ca="1">IFERROR(__xludf.DUMMYFUNCTION("""COMPUTED_VALUE"""),"")</f>
        <v/>
      </c>
      <c r="R994" s="189" t="str">
        <f ca="1">IFERROR(__xludf.DUMMYFUNCTION("""COMPUTED_VALUE"""),"")</f>
        <v/>
      </c>
      <c r="S994" s="189" t="str">
        <f ca="1">IFERROR(__xludf.DUMMYFUNCTION("""COMPUTED_VALUE"""),"")</f>
        <v/>
      </c>
      <c r="T994" s="189" t="str">
        <f ca="1">IFERROR(__xludf.DUMMYFUNCTION("""COMPUTED_VALUE"""),"")</f>
        <v/>
      </c>
      <c r="U994" s="189" t="str">
        <f ca="1">IFERROR(__xludf.DUMMYFUNCTION("""COMPUTED_VALUE"""),"")</f>
        <v/>
      </c>
      <c r="V994" s="189" t="str">
        <f ca="1">IFERROR(__xludf.DUMMYFUNCTION("""COMPUTED_VALUE"""),"")</f>
        <v/>
      </c>
      <c r="W994" s="189" t="str">
        <f ca="1">IFERROR(__xludf.DUMMYFUNCTION("""COMPUTED_VALUE"""),"")</f>
        <v/>
      </c>
      <c r="X994" s="189" t="str">
        <f ca="1">IFERROR(__xludf.DUMMYFUNCTION("""COMPUTED_VALUE"""),"")</f>
        <v/>
      </c>
      <c r="Y994" s="189" t="str">
        <f ca="1">IFERROR(__xludf.DUMMYFUNCTION("""COMPUTED_VALUE"""),"")</f>
        <v/>
      </c>
      <c r="Z994" s="189"/>
    </row>
    <row r="995" spans="1:26" ht="12.75">
      <c r="A995" s="189" t="str">
        <f ca="1">IFERROR(__xludf.DUMMYFUNCTION("""COMPUTED_VALUE"""),"")</f>
        <v/>
      </c>
      <c r="B995" s="189" t="str">
        <f ca="1">IFERROR(__xludf.DUMMYFUNCTION("""COMPUTED_VALUE"""),"")</f>
        <v/>
      </c>
      <c r="C995" s="189" t="str">
        <f ca="1">IFERROR(__xludf.DUMMYFUNCTION("""COMPUTED_VALUE"""),"")</f>
        <v/>
      </c>
      <c r="D995" s="189" t="str">
        <f ca="1">IFERROR(__xludf.DUMMYFUNCTION("""COMPUTED_VALUE"""),"")</f>
        <v/>
      </c>
      <c r="E995" s="189" t="str">
        <f ca="1">IFERROR(__xludf.DUMMYFUNCTION("""COMPUTED_VALUE"""),"")</f>
        <v/>
      </c>
      <c r="F995" s="189" t="str">
        <f ca="1">IFERROR(__xludf.DUMMYFUNCTION("""COMPUTED_VALUE"""),"")</f>
        <v/>
      </c>
      <c r="G995" s="189" t="str">
        <f ca="1">IFERROR(__xludf.DUMMYFUNCTION("""COMPUTED_VALUE"""),"")</f>
        <v/>
      </c>
      <c r="H995" s="189" t="str">
        <f ca="1">IFERROR(__xludf.DUMMYFUNCTION("""COMPUTED_VALUE"""),"")</f>
        <v/>
      </c>
      <c r="I995" s="120" t="str">
        <f ca="1">IFERROR(__xludf.DUMMYFUNCTION("""COMPUTED_VALUE"""),"")</f>
        <v/>
      </c>
      <c r="J995" s="189" t="str">
        <f ca="1">IFERROR(__xludf.DUMMYFUNCTION("""COMPUTED_VALUE"""),"")</f>
        <v/>
      </c>
      <c r="K995" s="189" t="str">
        <f ca="1">IFERROR(__xludf.DUMMYFUNCTION("""COMPUTED_VALUE"""),"")</f>
        <v/>
      </c>
      <c r="L995" s="189" t="str">
        <f ca="1">IFERROR(__xludf.DUMMYFUNCTION("""COMPUTED_VALUE"""),"")</f>
        <v/>
      </c>
      <c r="M995" s="189" t="str">
        <f ca="1">IFERROR(__xludf.DUMMYFUNCTION("""COMPUTED_VALUE"""),"")</f>
        <v/>
      </c>
      <c r="N995" s="189" t="str">
        <f ca="1">IFERROR(__xludf.DUMMYFUNCTION("""COMPUTED_VALUE"""),"")</f>
        <v/>
      </c>
      <c r="O995" s="189" t="str">
        <f ca="1">IFERROR(__xludf.DUMMYFUNCTION("""COMPUTED_VALUE"""),"")</f>
        <v/>
      </c>
      <c r="P995" s="189" t="str">
        <f ca="1">IFERROR(__xludf.DUMMYFUNCTION("""COMPUTED_VALUE"""),"")</f>
        <v/>
      </c>
      <c r="Q995" s="189" t="str">
        <f ca="1">IFERROR(__xludf.DUMMYFUNCTION("""COMPUTED_VALUE"""),"")</f>
        <v/>
      </c>
      <c r="R995" s="189" t="str">
        <f ca="1">IFERROR(__xludf.DUMMYFUNCTION("""COMPUTED_VALUE"""),"")</f>
        <v/>
      </c>
      <c r="S995" s="189" t="str">
        <f ca="1">IFERROR(__xludf.DUMMYFUNCTION("""COMPUTED_VALUE"""),"")</f>
        <v/>
      </c>
      <c r="T995" s="189" t="str">
        <f ca="1">IFERROR(__xludf.DUMMYFUNCTION("""COMPUTED_VALUE"""),"")</f>
        <v/>
      </c>
      <c r="U995" s="189" t="str">
        <f ca="1">IFERROR(__xludf.DUMMYFUNCTION("""COMPUTED_VALUE"""),"")</f>
        <v/>
      </c>
      <c r="V995" s="189" t="str">
        <f ca="1">IFERROR(__xludf.DUMMYFUNCTION("""COMPUTED_VALUE"""),"")</f>
        <v/>
      </c>
      <c r="W995" s="189" t="str">
        <f ca="1">IFERROR(__xludf.DUMMYFUNCTION("""COMPUTED_VALUE"""),"")</f>
        <v/>
      </c>
      <c r="X995" s="189" t="str">
        <f ca="1">IFERROR(__xludf.DUMMYFUNCTION("""COMPUTED_VALUE"""),"")</f>
        <v/>
      </c>
      <c r="Y995" s="189" t="str">
        <f ca="1">IFERROR(__xludf.DUMMYFUNCTION("""COMPUTED_VALUE"""),"")</f>
        <v/>
      </c>
      <c r="Z995" s="189"/>
    </row>
    <row r="996" spans="1:26" ht="12.75">
      <c r="A996" s="189" t="str">
        <f ca="1">IFERROR(__xludf.DUMMYFUNCTION("""COMPUTED_VALUE"""),"")</f>
        <v/>
      </c>
      <c r="B996" s="189" t="str">
        <f ca="1">IFERROR(__xludf.DUMMYFUNCTION("""COMPUTED_VALUE"""),"")</f>
        <v/>
      </c>
      <c r="C996" s="189" t="str">
        <f ca="1">IFERROR(__xludf.DUMMYFUNCTION("""COMPUTED_VALUE"""),"")</f>
        <v/>
      </c>
      <c r="D996" s="189" t="str">
        <f ca="1">IFERROR(__xludf.DUMMYFUNCTION("""COMPUTED_VALUE"""),"")</f>
        <v/>
      </c>
      <c r="E996" s="189" t="str">
        <f ca="1">IFERROR(__xludf.DUMMYFUNCTION("""COMPUTED_VALUE"""),"")</f>
        <v/>
      </c>
      <c r="F996" s="189" t="str">
        <f ca="1">IFERROR(__xludf.DUMMYFUNCTION("""COMPUTED_VALUE"""),"")</f>
        <v/>
      </c>
      <c r="G996" s="189" t="str">
        <f ca="1">IFERROR(__xludf.DUMMYFUNCTION("""COMPUTED_VALUE"""),"")</f>
        <v/>
      </c>
      <c r="H996" s="189" t="str">
        <f ca="1">IFERROR(__xludf.DUMMYFUNCTION("""COMPUTED_VALUE"""),"")</f>
        <v/>
      </c>
      <c r="I996" s="120" t="str">
        <f ca="1">IFERROR(__xludf.DUMMYFUNCTION("""COMPUTED_VALUE"""),"")</f>
        <v/>
      </c>
      <c r="J996" s="189" t="str">
        <f ca="1">IFERROR(__xludf.DUMMYFUNCTION("""COMPUTED_VALUE"""),"")</f>
        <v/>
      </c>
      <c r="K996" s="189" t="str">
        <f ca="1">IFERROR(__xludf.DUMMYFUNCTION("""COMPUTED_VALUE"""),"")</f>
        <v/>
      </c>
      <c r="L996" s="189" t="str">
        <f ca="1">IFERROR(__xludf.DUMMYFUNCTION("""COMPUTED_VALUE"""),"")</f>
        <v/>
      </c>
      <c r="M996" s="189" t="str">
        <f ca="1">IFERROR(__xludf.DUMMYFUNCTION("""COMPUTED_VALUE"""),"")</f>
        <v/>
      </c>
      <c r="N996" s="189" t="str">
        <f ca="1">IFERROR(__xludf.DUMMYFUNCTION("""COMPUTED_VALUE"""),"")</f>
        <v/>
      </c>
      <c r="O996" s="189" t="str">
        <f ca="1">IFERROR(__xludf.DUMMYFUNCTION("""COMPUTED_VALUE"""),"")</f>
        <v/>
      </c>
      <c r="P996" s="189" t="str">
        <f ca="1">IFERROR(__xludf.DUMMYFUNCTION("""COMPUTED_VALUE"""),"")</f>
        <v/>
      </c>
      <c r="Q996" s="189" t="str">
        <f ca="1">IFERROR(__xludf.DUMMYFUNCTION("""COMPUTED_VALUE"""),"")</f>
        <v/>
      </c>
      <c r="R996" s="189" t="str">
        <f ca="1">IFERROR(__xludf.DUMMYFUNCTION("""COMPUTED_VALUE"""),"")</f>
        <v/>
      </c>
      <c r="S996" s="189" t="str">
        <f ca="1">IFERROR(__xludf.DUMMYFUNCTION("""COMPUTED_VALUE"""),"")</f>
        <v/>
      </c>
      <c r="T996" s="189" t="str">
        <f ca="1">IFERROR(__xludf.DUMMYFUNCTION("""COMPUTED_VALUE"""),"")</f>
        <v/>
      </c>
      <c r="U996" s="189" t="str">
        <f ca="1">IFERROR(__xludf.DUMMYFUNCTION("""COMPUTED_VALUE"""),"")</f>
        <v/>
      </c>
      <c r="V996" s="189" t="str">
        <f ca="1">IFERROR(__xludf.DUMMYFUNCTION("""COMPUTED_VALUE"""),"")</f>
        <v/>
      </c>
      <c r="W996" s="189" t="str">
        <f ca="1">IFERROR(__xludf.DUMMYFUNCTION("""COMPUTED_VALUE"""),"")</f>
        <v/>
      </c>
      <c r="X996" s="189" t="str">
        <f ca="1">IFERROR(__xludf.DUMMYFUNCTION("""COMPUTED_VALUE"""),"")</f>
        <v/>
      </c>
      <c r="Y996" s="189" t="str">
        <f ca="1">IFERROR(__xludf.DUMMYFUNCTION("""COMPUTED_VALUE"""),"")</f>
        <v/>
      </c>
      <c r="Z996" s="189"/>
    </row>
    <row r="997" spans="1:26" ht="12.75">
      <c r="A997" s="189" t="str">
        <f ca="1">IFERROR(__xludf.DUMMYFUNCTION("""COMPUTED_VALUE"""),"")</f>
        <v/>
      </c>
      <c r="B997" s="189" t="str">
        <f ca="1">IFERROR(__xludf.DUMMYFUNCTION("""COMPUTED_VALUE"""),"")</f>
        <v/>
      </c>
      <c r="C997" s="189" t="str">
        <f ca="1">IFERROR(__xludf.DUMMYFUNCTION("""COMPUTED_VALUE"""),"")</f>
        <v/>
      </c>
      <c r="D997" s="189" t="str">
        <f ca="1">IFERROR(__xludf.DUMMYFUNCTION("""COMPUTED_VALUE"""),"")</f>
        <v/>
      </c>
      <c r="E997" s="189" t="str">
        <f ca="1">IFERROR(__xludf.DUMMYFUNCTION("""COMPUTED_VALUE"""),"")</f>
        <v/>
      </c>
      <c r="F997" s="189" t="str">
        <f ca="1">IFERROR(__xludf.DUMMYFUNCTION("""COMPUTED_VALUE"""),"")</f>
        <v/>
      </c>
      <c r="G997" s="189" t="str">
        <f ca="1">IFERROR(__xludf.DUMMYFUNCTION("""COMPUTED_VALUE"""),"")</f>
        <v/>
      </c>
      <c r="H997" s="189" t="str">
        <f ca="1">IFERROR(__xludf.DUMMYFUNCTION("""COMPUTED_VALUE"""),"")</f>
        <v/>
      </c>
      <c r="I997" s="120" t="str">
        <f ca="1">IFERROR(__xludf.DUMMYFUNCTION("""COMPUTED_VALUE"""),"")</f>
        <v/>
      </c>
      <c r="J997" s="189" t="str">
        <f ca="1">IFERROR(__xludf.DUMMYFUNCTION("""COMPUTED_VALUE"""),"")</f>
        <v/>
      </c>
      <c r="K997" s="189" t="str">
        <f ca="1">IFERROR(__xludf.DUMMYFUNCTION("""COMPUTED_VALUE"""),"")</f>
        <v/>
      </c>
      <c r="L997" s="189" t="str">
        <f ca="1">IFERROR(__xludf.DUMMYFUNCTION("""COMPUTED_VALUE"""),"")</f>
        <v/>
      </c>
      <c r="M997" s="189" t="str">
        <f ca="1">IFERROR(__xludf.DUMMYFUNCTION("""COMPUTED_VALUE"""),"")</f>
        <v/>
      </c>
      <c r="N997" s="189" t="str">
        <f ca="1">IFERROR(__xludf.DUMMYFUNCTION("""COMPUTED_VALUE"""),"")</f>
        <v/>
      </c>
      <c r="O997" s="189" t="str">
        <f ca="1">IFERROR(__xludf.DUMMYFUNCTION("""COMPUTED_VALUE"""),"")</f>
        <v/>
      </c>
      <c r="P997" s="189" t="str">
        <f ca="1">IFERROR(__xludf.DUMMYFUNCTION("""COMPUTED_VALUE"""),"")</f>
        <v/>
      </c>
      <c r="Q997" s="189" t="str">
        <f ca="1">IFERROR(__xludf.DUMMYFUNCTION("""COMPUTED_VALUE"""),"")</f>
        <v/>
      </c>
      <c r="R997" s="189" t="str">
        <f ca="1">IFERROR(__xludf.DUMMYFUNCTION("""COMPUTED_VALUE"""),"")</f>
        <v/>
      </c>
      <c r="S997" s="189" t="str">
        <f ca="1">IFERROR(__xludf.DUMMYFUNCTION("""COMPUTED_VALUE"""),"")</f>
        <v/>
      </c>
      <c r="T997" s="189" t="str">
        <f ca="1">IFERROR(__xludf.DUMMYFUNCTION("""COMPUTED_VALUE"""),"")</f>
        <v/>
      </c>
      <c r="U997" s="189" t="str">
        <f ca="1">IFERROR(__xludf.DUMMYFUNCTION("""COMPUTED_VALUE"""),"")</f>
        <v/>
      </c>
      <c r="V997" s="189" t="str">
        <f ca="1">IFERROR(__xludf.DUMMYFUNCTION("""COMPUTED_VALUE"""),"")</f>
        <v/>
      </c>
      <c r="W997" s="189" t="str">
        <f ca="1">IFERROR(__xludf.DUMMYFUNCTION("""COMPUTED_VALUE"""),"")</f>
        <v/>
      </c>
      <c r="X997" s="189" t="str">
        <f ca="1">IFERROR(__xludf.DUMMYFUNCTION("""COMPUTED_VALUE"""),"")</f>
        <v/>
      </c>
      <c r="Y997" s="189" t="str">
        <f ca="1">IFERROR(__xludf.DUMMYFUNCTION("""COMPUTED_VALUE"""),"")</f>
        <v/>
      </c>
      <c r="Z997" s="189"/>
    </row>
    <row r="998" spans="1:26" ht="12.75">
      <c r="A998" s="189" t="str">
        <f ca="1">IFERROR(__xludf.DUMMYFUNCTION("""COMPUTED_VALUE"""),"")</f>
        <v/>
      </c>
      <c r="B998" s="189" t="str">
        <f ca="1">IFERROR(__xludf.DUMMYFUNCTION("""COMPUTED_VALUE"""),"")</f>
        <v/>
      </c>
      <c r="C998" s="189" t="str">
        <f ca="1">IFERROR(__xludf.DUMMYFUNCTION("""COMPUTED_VALUE"""),"")</f>
        <v/>
      </c>
      <c r="D998" s="189" t="str">
        <f ca="1">IFERROR(__xludf.DUMMYFUNCTION("""COMPUTED_VALUE"""),"")</f>
        <v/>
      </c>
      <c r="E998" s="189" t="str">
        <f ca="1">IFERROR(__xludf.DUMMYFUNCTION("""COMPUTED_VALUE"""),"")</f>
        <v/>
      </c>
      <c r="F998" s="189" t="str">
        <f ca="1">IFERROR(__xludf.DUMMYFUNCTION("""COMPUTED_VALUE"""),"")</f>
        <v/>
      </c>
      <c r="G998" s="189" t="str">
        <f ca="1">IFERROR(__xludf.DUMMYFUNCTION("""COMPUTED_VALUE"""),"")</f>
        <v/>
      </c>
      <c r="H998" s="189" t="str">
        <f ca="1">IFERROR(__xludf.DUMMYFUNCTION("""COMPUTED_VALUE"""),"")</f>
        <v/>
      </c>
      <c r="I998" s="120" t="str">
        <f ca="1">IFERROR(__xludf.DUMMYFUNCTION("""COMPUTED_VALUE"""),"")</f>
        <v/>
      </c>
      <c r="J998" s="189" t="str">
        <f ca="1">IFERROR(__xludf.DUMMYFUNCTION("""COMPUTED_VALUE"""),"")</f>
        <v/>
      </c>
      <c r="K998" s="189" t="str">
        <f ca="1">IFERROR(__xludf.DUMMYFUNCTION("""COMPUTED_VALUE"""),"")</f>
        <v/>
      </c>
      <c r="L998" s="189" t="str">
        <f ca="1">IFERROR(__xludf.DUMMYFUNCTION("""COMPUTED_VALUE"""),"")</f>
        <v/>
      </c>
      <c r="M998" s="189" t="str">
        <f ca="1">IFERROR(__xludf.DUMMYFUNCTION("""COMPUTED_VALUE"""),"")</f>
        <v/>
      </c>
      <c r="N998" s="189" t="str">
        <f ca="1">IFERROR(__xludf.DUMMYFUNCTION("""COMPUTED_VALUE"""),"")</f>
        <v/>
      </c>
      <c r="O998" s="189" t="str">
        <f ca="1">IFERROR(__xludf.DUMMYFUNCTION("""COMPUTED_VALUE"""),"")</f>
        <v/>
      </c>
      <c r="P998" s="189" t="str">
        <f ca="1">IFERROR(__xludf.DUMMYFUNCTION("""COMPUTED_VALUE"""),"")</f>
        <v/>
      </c>
      <c r="Q998" s="189" t="str">
        <f ca="1">IFERROR(__xludf.DUMMYFUNCTION("""COMPUTED_VALUE"""),"")</f>
        <v/>
      </c>
      <c r="R998" s="189" t="str">
        <f ca="1">IFERROR(__xludf.DUMMYFUNCTION("""COMPUTED_VALUE"""),"")</f>
        <v/>
      </c>
      <c r="S998" s="189" t="str">
        <f ca="1">IFERROR(__xludf.DUMMYFUNCTION("""COMPUTED_VALUE"""),"")</f>
        <v/>
      </c>
      <c r="T998" s="189" t="str">
        <f ca="1">IFERROR(__xludf.DUMMYFUNCTION("""COMPUTED_VALUE"""),"")</f>
        <v/>
      </c>
      <c r="U998" s="189" t="str">
        <f ca="1">IFERROR(__xludf.DUMMYFUNCTION("""COMPUTED_VALUE"""),"")</f>
        <v/>
      </c>
      <c r="V998" s="189" t="str">
        <f ca="1">IFERROR(__xludf.DUMMYFUNCTION("""COMPUTED_VALUE"""),"")</f>
        <v/>
      </c>
      <c r="W998" s="189" t="str">
        <f ca="1">IFERROR(__xludf.DUMMYFUNCTION("""COMPUTED_VALUE"""),"")</f>
        <v/>
      </c>
      <c r="X998" s="189" t="str">
        <f ca="1">IFERROR(__xludf.DUMMYFUNCTION("""COMPUTED_VALUE"""),"")</f>
        <v/>
      </c>
      <c r="Y998" s="189" t="str">
        <f ca="1">IFERROR(__xludf.DUMMYFUNCTION("""COMPUTED_VALUE"""),"")</f>
        <v/>
      </c>
      <c r="Z998" s="189"/>
    </row>
    <row r="999" spans="1:26" ht="12.75">
      <c r="A999" s="189" t="str">
        <f ca="1">IFERROR(__xludf.DUMMYFUNCTION("""COMPUTED_VALUE"""),"")</f>
        <v/>
      </c>
      <c r="B999" s="189" t="str">
        <f ca="1">IFERROR(__xludf.DUMMYFUNCTION("""COMPUTED_VALUE"""),"")</f>
        <v/>
      </c>
      <c r="C999" s="189" t="str">
        <f ca="1">IFERROR(__xludf.DUMMYFUNCTION("""COMPUTED_VALUE"""),"")</f>
        <v/>
      </c>
      <c r="D999" s="189" t="str">
        <f ca="1">IFERROR(__xludf.DUMMYFUNCTION("""COMPUTED_VALUE"""),"")</f>
        <v/>
      </c>
      <c r="E999" s="189" t="str">
        <f ca="1">IFERROR(__xludf.DUMMYFUNCTION("""COMPUTED_VALUE"""),"")</f>
        <v/>
      </c>
      <c r="F999" s="189" t="str">
        <f ca="1">IFERROR(__xludf.DUMMYFUNCTION("""COMPUTED_VALUE"""),"")</f>
        <v/>
      </c>
      <c r="G999" s="189" t="str">
        <f ca="1">IFERROR(__xludf.DUMMYFUNCTION("""COMPUTED_VALUE"""),"")</f>
        <v/>
      </c>
      <c r="H999" s="189" t="str">
        <f ca="1">IFERROR(__xludf.DUMMYFUNCTION("""COMPUTED_VALUE"""),"")</f>
        <v/>
      </c>
      <c r="I999" s="120" t="str">
        <f ca="1">IFERROR(__xludf.DUMMYFUNCTION("""COMPUTED_VALUE"""),"")</f>
        <v/>
      </c>
      <c r="J999" s="189" t="str">
        <f ca="1">IFERROR(__xludf.DUMMYFUNCTION("""COMPUTED_VALUE"""),"")</f>
        <v/>
      </c>
      <c r="K999" s="189" t="str">
        <f ca="1">IFERROR(__xludf.DUMMYFUNCTION("""COMPUTED_VALUE"""),"")</f>
        <v/>
      </c>
      <c r="L999" s="189" t="str">
        <f ca="1">IFERROR(__xludf.DUMMYFUNCTION("""COMPUTED_VALUE"""),"")</f>
        <v/>
      </c>
      <c r="M999" s="189" t="str">
        <f ca="1">IFERROR(__xludf.DUMMYFUNCTION("""COMPUTED_VALUE"""),"")</f>
        <v/>
      </c>
      <c r="N999" s="189" t="str">
        <f ca="1">IFERROR(__xludf.DUMMYFUNCTION("""COMPUTED_VALUE"""),"")</f>
        <v/>
      </c>
      <c r="O999" s="189" t="str">
        <f ca="1">IFERROR(__xludf.DUMMYFUNCTION("""COMPUTED_VALUE"""),"")</f>
        <v/>
      </c>
      <c r="P999" s="189" t="str">
        <f ca="1">IFERROR(__xludf.DUMMYFUNCTION("""COMPUTED_VALUE"""),"")</f>
        <v/>
      </c>
      <c r="Q999" s="189" t="str">
        <f ca="1">IFERROR(__xludf.DUMMYFUNCTION("""COMPUTED_VALUE"""),"")</f>
        <v/>
      </c>
      <c r="R999" s="189" t="str">
        <f ca="1">IFERROR(__xludf.DUMMYFUNCTION("""COMPUTED_VALUE"""),"")</f>
        <v/>
      </c>
      <c r="S999" s="189" t="str">
        <f ca="1">IFERROR(__xludf.DUMMYFUNCTION("""COMPUTED_VALUE"""),"")</f>
        <v/>
      </c>
      <c r="T999" s="189" t="str">
        <f ca="1">IFERROR(__xludf.DUMMYFUNCTION("""COMPUTED_VALUE"""),"")</f>
        <v/>
      </c>
      <c r="U999" s="189" t="str">
        <f ca="1">IFERROR(__xludf.DUMMYFUNCTION("""COMPUTED_VALUE"""),"")</f>
        <v/>
      </c>
      <c r="V999" s="189" t="str">
        <f ca="1">IFERROR(__xludf.DUMMYFUNCTION("""COMPUTED_VALUE"""),"")</f>
        <v/>
      </c>
      <c r="W999" s="189" t="str">
        <f ca="1">IFERROR(__xludf.DUMMYFUNCTION("""COMPUTED_VALUE"""),"")</f>
        <v/>
      </c>
      <c r="X999" s="189" t="str">
        <f ca="1">IFERROR(__xludf.DUMMYFUNCTION("""COMPUTED_VALUE"""),"")</f>
        <v/>
      </c>
      <c r="Y999" s="189" t="str">
        <f ca="1">IFERROR(__xludf.DUMMYFUNCTION("""COMPUTED_VALUE"""),"")</f>
        <v/>
      </c>
      <c r="Z999" s="189"/>
    </row>
    <row r="1000" spans="1:26" ht="12.75">
      <c r="A1000" s="189" t="str">
        <f ca="1">IFERROR(__xludf.DUMMYFUNCTION("""COMPUTED_VALUE"""),"")</f>
        <v/>
      </c>
      <c r="B1000" s="189" t="str">
        <f ca="1">IFERROR(__xludf.DUMMYFUNCTION("""COMPUTED_VALUE"""),"")</f>
        <v/>
      </c>
      <c r="C1000" s="189" t="str">
        <f ca="1">IFERROR(__xludf.DUMMYFUNCTION("""COMPUTED_VALUE"""),"")</f>
        <v/>
      </c>
      <c r="D1000" s="189" t="str">
        <f ca="1">IFERROR(__xludf.DUMMYFUNCTION("""COMPUTED_VALUE"""),"")</f>
        <v/>
      </c>
      <c r="E1000" s="189" t="str">
        <f ca="1">IFERROR(__xludf.DUMMYFUNCTION("""COMPUTED_VALUE"""),"")</f>
        <v/>
      </c>
      <c r="F1000" s="189" t="str">
        <f ca="1">IFERROR(__xludf.DUMMYFUNCTION("""COMPUTED_VALUE"""),"")</f>
        <v/>
      </c>
      <c r="G1000" s="189" t="str">
        <f ca="1">IFERROR(__xludf.DUMMYFUNCTION("""COMPUTED_VALUE"""),"")</f>
        <v/>
      </c>
      <c r="H1000" s="189" t="str">
        <f ca="1">IFERROR(__xludf.DUMMYFUNCTION("""COMPUTED_VALUE"""),"")</f>
        <v/>
      </c>
      <c r="I1000" s="120" t="str">
        <f ca="1">IFERROR(__xludf.DUMMYFUNCTION("""COMPUTED_VALUE"""),"")</f>
        <v/>
      </c>
      <c r="J1000" s="189" t="str">
        <f ca="1">IFERROR(__xludf.DUMMYFUNCTION("""COMPUTED_VALUE"""),"")</f>
        <v/>
      </c>
      <c r="K1000" s="189" t="str">
        <f ca="1">IFERROR(__xludf.DUMMYFUNCTION("""COMPUTED_VALUE"""),"")</f>
        <v/>
      </c>
      <c r="L1000" s="189" t="str">
        <f ca="1">IFERROR(__xludf.DUMMYFUNCTION("""COMPUTED_VALUE"""),"")</f>
        <v/>
      </c>
      <c r="M1000" s="189" t="str">
        <f ca="1">IFERROR(__xludf.DUMMYFUNCTION("""COMPUTED_VALUE"""),"")</f>
        <v/>
      </c>
      <c r="N1000" s="189" t="str">
        <f ca="1">IFERROR(__xludf.DUMMYFUNCTION("""COMPUTED_VALUE"""),"")</f>
        <v/>
      </c>
      <c r="O1000" s="189" t="str">
        <f ca="1">IFERROR(__xludf.DUMMYFUNCTION("""COMPUTED_VALUE"""),"")</f>
        <v/>
      </c>
      <c r="P1000" s="189" t="str">
        <f ca="1">IFERROR(__xludf.DUMMYFUNCTION("""COMPUTED_VALUE"""),"")</f>
        <v/>
      </c>
      <c r="Q1000" s="189" t="str">
        <f ca="1">IFERROR(__xludf.DUMMYFUNCTION("""COMPUTED_VALUE"""),"")</f>
        <v/>
      </c>
      <c r="R1000" s="189" t="str">
        <f ca="1">IFERROR(__xludf.DUMMYFUNCTION("""COMPUTED_VALUE"""),"")</f>
        <v/>
      </c>
      <c r="S1000" s="189" t="str">
        <f ca="1">IFERROR(__xludf.DUMMYFUNCTION("""COMPUTED_VALUE"""),"")</f>
        <v/>
      </c>
      <c r="T1000" s="189" t="str">
        <f ca="1">IFERROR(__xludf.DUMMYFUNCTION("""COMPUTED_VALUE"""),"")</f>
        <v/>
      </c>
      <c r="U1000" s="189" t="str">
        <f ca="1">IFERROR(__xludf.DUMMYFUNCTION("""COMPUTED_VALUE"""),"")</f>
        <v/>
      </c>
      <c r="V1000" s="189" t="str">
        <f ca="1">IFERROR(__xludf.DUMMYFUNCTION("""COMPUTED_VALUE"""),"")</f>
        <v/>
      </c>
      <c r="W1000" s="189" t="str">
        <f ca="1">IFERROR(__xludf.DUMMYFUNCTION("""COMPUTED_VALUE"""),"")</f>
        <v/>
      </c>
      <c r="X1000" s="189" t="str">
        <f ca="1">IFERROR(__xludf.DUMMYFUNCTION("""COMPUTED_VALUE"""),"")</f>
        <v/>
      </c>
      <c r="Y1000" s="189" t="str">
        <f ca="1">IFERROR(__xludf.DUMMYFUNCTION("""COMPUTED_VALUE"""),"")</f>
        <v/>
      </c>
      <c r="Z1000" s="189"/>
    </row>
    <row r="1001" spans="1:26" ht="12.75">
      <c r="A1001" s="189"/>
      <c r="B1001" s="189"/>
      <c r="C1001" s="189"/>
      <c r="D1001" s="189"/>
      <c r="E1001" s="189"/>
      <c r="F1001" s="189"/>
      <c r="G1001" s="189"/>
      <c r="H1001" s="189"/>
      <c r="I1001" s="120"/>
      <c r="J1001" s="189"/>
      <c r="K1001" s="189"/>
      <c r="L1001" s="189"/>
      <c r="M1001" s="189"/>
      <c r="N1001" s="189"/>
      <c r="O1001" s="189"/>
      <c r="P1001" s="189"/>
      <c r="Q1001" s="189"/>
      <c r="R1001" s="189"/>
      <c r="S1001" s="189"/>
      <c r="T1001" s="189"/>
      <c r="U1001" s="189"/>
      <c r="V1001" s="189"/>
      <c r="W1001" s="189"/>
      <c r="X1001" s="189"/>
      <c r="Y1001" s="189"/>
      <c r="Z1001" s="189"/>
    </row>
  </sheetData>
  <customSheetViews>
    <customSheetView guid="{A692BA3E-DCED-4157-8340-C6216F1B5E02}" filter="1" showAutoFilter="1">
      <pageMargins left="0" right="0" top="0" bottom="0" header="0" footer="0"/>
      <autoFilter ref="A4:I129" xr:uid="{A9CF1365-1DED-4F36-B05B-273B7D4576CA}">
        <filterColumn colId="4">
          <filters>
            <filter val="+/-10V"/>
          </filters>
        </filterColumn>
      </autoFilter>
    </customSheetView>
  </customSheetViews>
  <hyperlinks>
    <hyperlink ref="H4" r:id="rId1" display="https://drive.google.com/open?id=0B2UXF5WThQx9ZV9BV0NwSDRLNm1vMGhDZFB5QUlRTHQ1VWh3" xr:uid="{00000000-0004-0000-0E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Z1000"/>
  <sheetViews>
    <sheetView workbookViewId="0"/>
  </sheetViews>
  <sheetFormatPr defaultColWidth="14.3984375" defaultRowHeight="15.75" customHeight="1"/>
  <cols>
    <col min="1" max="1" width="45.73046875" customWidth="1"/>
    <col min="2" max="2" width="26.86328125" customWidth="1"/>
    <col min="3" max="3" width="61.73046875" customWidth="1"/>
    <col min="4" max="4" width="31.73046875" customWidth="1"/>
    <col min="5" max="5" width="36.265625" customWidth="1"/>
    <col min="6" max="6" width="31.73046875" customWidth="1"/>
    <col min="7" max="7" width="43.73046875" customWidth="1"/>
    <col min="8" max="8" width="42.86328125" customWidth="1"/>
    <col min="9" max="26" width="31.73046875" customWidth="1"/>
  </cols>
  <sheetData>
    <row r="1" spans="1:26" ht="24.75" customHeight="1">
      <c r="A1" s="122" t="s">
        <v>5187</v>
      </c>
      <c r="B1" s="122" t="s">
        <v>4371</v>
      </c>
      <c r="C1" s="122" t="s">
        <v>5188</v>
      </c>
      <c r="D1" s="122" t="s">
        <v>5189</v>
      </c>
      <c r="E1" s="122" t="s">
        <v>5190</v>
      </c>
      <c r="F1" s="122" t="s">
        <v>5191</v>
      </c>
      <c r="G1" s="122" t="s">
        <v>5192</v>
      </c>
      <c r="H1" s="122" t="s">
        <v>5193</v>
      </c>
      <c r="I1" s="122" t="s">
        <v>5194</v>
      </c>
      <c r="J1" s="123"/>
      <c r="K1" s="123"/>
      <c r="L1" s="123"/>
      <c r="M1" s="123"/>
      <c r="N1" s="123"/>
      <c r="O1" s="123"/>
      <c r="P1" s="123"/>
      <c r="Q1" s="123"/>
      <c r="R1" s="123"/>
      <c r="S1" s="123"/>
      <c r="T1" s="123"/>
      <c r="U1" s="123"/>
      <c r="V1" s="123"/>
      <c r="W1" s="123"/>
      <c r="X1" s="123"/>
      <c r="Y1" s="123"/>
      <c r="Z1" s="123"/>
    </row>
    <row r="2" spans="1:26" ht="24.75" customHeight="1">
      <c r="A2" s="129" t="s">
        <v>5195</v>
      </c>
      <c r="B2" s="130" t="s">
        <v>5196</v>
      </c>
      <c r="C2" s="130" t="s">
        <v>5197</v>
      </c>
      <c r="D2" s="124"/>
      <c r="E2" s="130" t="s">
        <v>5198</v>
      </c>
      <c r="F2" s="125"/>
      <c r="G2" s="125"/>
      <c r="H2" s="125"/>
      <c r="I2" s="125"/>
      <c r="J2" s="184"/>
      <c r="K2" s="184"/>
      <c r="L2" s="184"/>
      <c r="M2" s="184"/>
      <c r="N2" s="184"/>
      <c r="O2" s="184"/>
      <c r="P2" s="184"/>
      <c r="Q2" s="184"/>
      <c r="R2" s="184"/>
      <c r="S2" s="184"/>
      <c r="T2" s="184"/>
      <c r="U2" s="184"/>
      <c r="V2" s="184"/>
      <c r="W2" s="184"/>
      <c r="X2" s="184"/>
      <c r="Y2" s="184"/>
      <c r="Z2" s="184"/>
    </row>
    <row r="3" spans="1:26" ht="24.75" customHeight="1">
      <c r="A3" s="129" t="s">
        <v>5199</v>
      </c>
      <c r="B3" s="130" t="s">
        <v>5200</v>
      </c>
      <c r="C3" s="130" t="s">
        <v>5201</v>
      </c>
      <c r="D3" s="130" t="s">
        <v>5202</v>
      </c>
      <c r="E3" s="130" t="s">
        <v>5203</v>
      </c>
      <c r="F3" s="130" t="s">
        <v>5204</v>
      </c>
      <c r="G3" s="129" t="s">
        <v>5205</v>
      </c>
      <c r="H3" s="130" t="s">
        <v>5206</v>
      </c>
      <c r="I3" s="130" t="s">
        <v>5207</v>
      </c>
      <c r="J3" s="184"/>
      <c r="K3" s="184"/>
      <c r="L3" s="184"/>
      <c r="M3" s="184"/>
      <c r="N3" s="184"/>
      <c r="O3" s="184"/>
      <c r="P3" s="184"/>
      <c r="Q3" s="184"/>
      <c r="R3" s="184"/>
      <c r="S3" s="184"/>
      <c r="T3" s="184"/>
      <c r="U3" s="184"/>
      <c r="V3" s="184"/>
      <c r="W3" s="184"/>
      <c r="X3" s="184"/>
      <c r="Y3" s="184"/>
      <c r="Z3" s="184"/>
    </row>
    <row r="4" spans="1:26" ht="24.75" customHeight="1">
      <c r="A4" s="129" t="s">
        <v>5208</v>
      </c>
      <c r="B4" s="130" t="s">
        <v>5209</v>
      </c>
      <c r="C4" s="130" t="s">
        <v>5210</v>
      </c>
      <c r="D4" s="130"/>
      <c r="E4" s="130" t="s">
        <v>5211</v>
      </c>
      <c r="F4" s="130" t="s">
        <v>5212</v>
      </c>
      <c r="G4" s="129" t="s">
        <v>5213</v>
      </c>
      <c r="H4" s="130" t="s">
        <v>5214</v>
      </c>
      <c r="I4" s="130" t="s">
        <v>5215</v>
      </c>
      <c r="J4" s="184"/>
      <c r="K4" s="184"/>
      <c r="L4" s="184"/>
      <c r="M4" s="184"/>
      <c r="N4" s="184"/>
      <c r="O4" s="184"/>
      <c r="P4" s="184"/>
      <c r="Q4" s="184"/>
      <c r="R4" s="184"/>
      <c r="S4" s="184"/>
      <c r="T4" s="184"/>
      <c r="U4" s="184"/>
      <c r="V4" s="184"/>
      <c r="W4" s="184"/>
      <c r="X4" s="184"/>
      <c r="Y4" s="184"/>
      <c r="Z4" s="184"/>
    </row>
    <row r="5" spans="1:26" ht="24.75" customHeight="1">
      <c r="A5" s="129" t="s">
        <v>5216</v>
      </c>
      <c r="B5" s="130" t="s">
        <v>5217</v>
      </c>
      <c r="C5" s="130" t="s">
        <v>5218</v>
      </c>
      <c r="D5" s="130"/>
      <c r="E5" s="130" t="s">
        <v>5219</v>
      </c>
      <c r="F5" s="130" t="s">
        <v>5220</v>
      </c>
      <c r="G5" s="129" t="s">
        <v>5221</v>
      </c>
      <c r="H5" s="130" t="s">
        <v>5222</v>
      </c>
      <c r="I5" s="130" t="s">
        <v>5223</v>
      </c>
      <c r="J5" s="184"/>
      <c r="K5" s="184"/>
      <c r="L5" s="184"/>
      <c r="M5" s="184"/>
      <c r="N5" s="184"/>
      <c r="O5" s="184"/>
      <c r="P5" s="184"/>
      <c r="Q5" s="184"/>
      <c r="R5" s="184"/>
      <c r="S5" s="184"/>
      <c r="T5" s="184"/>
      <c r="U5" s="184"/>
      <c r="V5" s="184"/>
      <c r="W5" s="184"/>
      <c r="X5" s="184"/>
      <c r="Y5" s="184"/>
      <c r="Z5" s="184"/>
    </row>
    <row r="6" spans="1:26" ht="24.75" customHeight="1">
      <c r="A6" s="129" t="s">
        <v>5224</v>
      </c>
      <c r="B6" s="130" t="s">
        <v>5225</v>
      </c>
      <c r="C6" s="130" t="s">
        <v>5226</v>
      </c>
      <c r="D6" s="130"/>
      <c r="E6" s="130" t="s">
        <v>5227</v>
      </c>
      <c r="F6" s="125"/>
      <c r="G6" s="125"/>
      <c r="H6" s="125"/>
      <c r="I6" s="125"/>
      <c r="J6" s="184"/>
      <c r="K6" s="184"/>
      <c r="L6" s="184"/>
      <c r="M6" s="184"/>
      <c r="N6" s="184"/>
      <c r="O6" s="184"/>
      <c r="P6" s="184"/>
      <c r="Q6" s="184"/>
      <c r="R6" s="184"/>
      <c r="S6" s="184"/>
      <c r="T6" s="184"/>
      <c r="U6" s="184"/>
      <c r="V6" s="184"/>
      <c r="W6" s="184"/>
      <c r="X6" s="184"/>
      <c r="Y6" s="184"/>
      <c r="Z6" s="184"/>
    </row>
    <row r="7" spans="1:26" ht="24.75" customHeight="1">
      <c r="A7" s="126" t="s">
        <v>5228</v>
      </c>
      <c r="B7" s="130" t="s">
        <v>5125</v>
      </c>
      <c r="C7" s="127" t="s">
        <v>5229</v>
      </c>
      <c r="D7" s="125"/>
      <c r="E7" s="130" t="s">
        <v>5230</v>
      </c>
      <c r="F7" s="125"/>
      <c r="G7" s="125"/>
      <c r="H7" s="130"/>
      <c r="I7" s="130"/>
      <c r="J7" s="184"/>
      <c r="K7" s="184"/>
      <c r="L7" s="184"/>
      <c r="M7" s="184"/>
      <c r="N7" s="184"/>
      <c r="O7" s="184"/>
      <c r="P7" s="184"/>
      <c r="Q7" s="184"/>
      <c r="R7" s="184"/>
      <c r="S7" s="184"/>
      <c r="T7" s="184"/>
      <c r="U7" s="184"/>
      <c r="V7" s="184"/>
      <c r="W7" s="184"/>
      <c r="X7" s="184"/>
      <c r="Y7" s="184"/>
      <c r="Z7" s="184"/>
    </row>
    <row r="8" spans="1:26" ht="24.75" customHeight="1">
      <c r="A8" s="129" t="s">
        <v>5231</v>
      </c>
      <c r="B8" s="130" t="s">
        <v>5232</v>
      </c>
      <c r="C8" s="127" t="s">
        <v>5233</v>
      </c>
      <c r="D8" s="130"/>
      <c r="E8" s="130" t="s">
        <v>5234</v>
      </c>
      <c r="F8" s="125"/>
      <c r="G8" s="125"/>
      <c r="H8" s="130"/>
      <c r="I8" s="130"/>
      <c r="J8" s="184"/>
      <c r="K8" s="184"/>
      <c r="L8" s="184"/>
      <c r="M8" s="184"/>
      <c r="N8" s="184"/>
      <c r="O8" s="184"/>
      <c r="P8" s="184"/>
      <c r="Q8" s="184"/>
      <c r="R8" s="184"/>
      <c r="S8" s="184"/>
      <c r="T8" s="184"/>
      <c r="U8" s="184"/>
      <c r="V8" s="184"/>
      <c r="W8" s="184"/>
      <c r="X8" s="184"/>
      <c r="Y8" s="184"/>
      <c r="Z8" s="184"/>
    </row>
    <row r="9" spans="1:26" ht="24.75" customHeight="1">
      <c r="A9" s="129" t="s">
        <v>5235</v>
      </c>
      <c r="B9" s="130" t="s">
        <v>5236</v>
      </c>
      <c r="C9" s="127" t="s">
        <v>5237</v>
      </c>
      <c r="D9" s="130"/>
      <c r="E9" s="130" t="s">
        <v>5238</v>
      </c>
      <c r="F9" s="125"/>
      <c r="G9" s="125"/>
      <c r="H9" s="130"/>
      <c r="I9" s="130"/>
      <c r="J9" s="184"/>
      <c r="K9" s="184"/>
      <c r="L9" s="184"/>
      <c r="M9" s="184"/>
      <c r="N9" s="184"/>
      <c r="O9" s="184"/>
      <c r="P9" s="184"/>
      <c r="Q9" s="184"/>
      <c r="R9" s="184"/>
      <c r="S9" s="184"/>
      <c r="T9" s="184"/>
      <c r="U9" s="184"/>
      <c r="V9" s="184"/>
      <c r="W9" s="184"/>
      <c r="X9" s="184"/>
      <c r="Y9" s="184"/>
      <c r="Z9" s="184"/>
    </row>
    <row r="10" spans="1:26" ht="24.75" customHeight="1">
      <c r="A10" s="129" t="s">
        <v>5239</v>
      </c>
      <c r="B10" s="130" t="s">
        <v>5240</v>
      </c>
      <c r="C10" s="127" t="s">
        <v>5241</v>
      </c>
      <c r="D10" s="130"/>
      <c r="E10" s="130" t="s">
        <v>5242</v>
      </c>
      <c r="F10" s="125"/>
      <c r="G10" s="125"/>
      <c r="H10" s="130"/>
      <c r="I10" s="130"/>
      <c r="J10" s="184"/>
      <c r="K10" s="184"/>
      <c r="L10" s="184"/>
      <c r="M10" s="184"/>
      <c r="N10" s="184"/>
      <c r="O10" s="184"/>
      <c r="P10" s="184"/>
      <c r="Q10" s="184"/>
      <c r="R10" s="184"/>
      <c r="S10" s="184"/>
      <c r="T10" s="184"/>
      <c r="U10" s="184"/>
      <c r="V10" s="184"/>
      <c r="W10" s="184"/>
      <c r="X10" s="184"/>
      <c r="Y10" s="184"/>
      <c r="Z10" s="184"/>
    </row>
    <row r="11" spans="1:26" ht="24.75" customHeight="1">
      <c r="A11" s="129" t="s">
        <v>5243</v>
      </c>
      <c r="B11" s="130" t="s">
        <v>5244</v>
      </c>
      <c r="C11" s="127" t="s">
        <v>5245</v>
      </c>
      <c r="D11" s="130"/>
      <c r="E11" s="130" t="s">
        <v>5246</v>
      </c>
      <c r="F11" s="125"/>
      <c r="G11" s="125"/>
      <c r="H11" s="130"/>
      <c r="I11" s="130"/>
      <c r="J11" s="184"/>
      <c r="K11" s="184"/>
      <c r="L11" s="184"/>
      <c r="M11" s="184"/>
      <c r="N11" s="184"/>
      <c r="O11" s="184"/>
      <c r="P11" s="184"/>
      <c r="Q11" s="184"/>
      <c r="R11" s="184"/>
      <c r="S11" s="184"/>
      <c r="T11" s="184"/>
      <c r="U11" s="184"/>
      <c r="V11" s="184"/>
      <c r="W11" s="184"/>
      <c r="X11" s="184"/>
      <c r="Y11" s="184"/>
      <c r="Z11" s="184"/>
    </row>
    <row r="12" spans="1:26" ht="24.75" customHeight="1">
      <c r="A12" s="129" t="s">
        <v>5247</v>
      </c>
      <c r="B12" s="130" t="s">
        <v>5248</v>
      </c>
      <c r="C12" s="127" t="s">
        <v>5249</v>
      </c>
      <c r="D12" s="125"/>
      <c r="E12" s="130" t="s">
        <v>5250</v>
      </c>
      <c r="F12" s="125"/>
      <c r="G12" s="125"/>
      <c r="H12" s="125"/>
      <c r="I12" s="125"/>
      <c r="J12" s="184"/>
      <c r="K12" s="184"/>
      <c r="L12" s="184"/>
      <c r="M12" s="184"/>
      <c r="N12" s="184"/>
      <c r="O12" s="184"/>
      <c r="P12" s="184"/>
      <c r="Q12" s="184"/>
      <c r="R12" s="184"/>
      <c r="S12" s="184"/>
      <c r="T12" s="184"/>
      <c r="U12" s="184"/>
      <c r="V12" s="184"/>
      <c r="W12" s="184"/>
      <c r="X12" s="184"/>
      <c r="Y12" s="184"/>
      <c r="Z12" s="184"/>
    </row>
    <row r="13" spans="1:26" ht="24.75" customHeight="1">
      <c r="A13" s="129" t="s">
        <v>5251</v>
      </c>
      <c r="B13" s="130" t="s">
        <v>5252</v>
      </c>
      <c r="C13" s="125"/>
      <c r="D13" s="125"/>
      <c r="E13" s="130" t="s">
        <v>5253</v>
      </c>
      <c r="F13" s="125"/>
      <c r="G13" s="125"/>
      <c r="H13" s="125"/>
      <c r="I13" s="125"/>
      <c r="J13" s="184"/>
      <c r="K13" s="184"/>
      <c r="L13" s="184"/>
      <c r="M13" s="184"/>
      <c r="N13" s="184"/>
      <c r="O13" s="184"/>
      <c r="P13" s="184"/>
      <c r="Q13" s="184"/>
      <c r="R13" s="184"/>
      <c r="S13" s="184"/>
      <c r="T13" s="184"/>
      <c r="U13" s="184"/>
      <c r="V13" s="184"/>
      <c r="W13" s="184"/>
      <c r="X13" s="184"/>
      <c r="Y13" s="184"/>
      <c r="Z13" s="184"/>
    </row>
    <row r="14" spans="1:26" ht="24.75" customHeight="1">
      <c r="A14" s="129" t="s">
        <v>5254</v>
      </c>
      <c r="B14" s="130" t="s">
        <v>1163</v>
      </c>
      <c r="C14" s="125"/>
      <c r="D14" s="130"/>
      <c r="E14" s="130" t="s">
        <v>5255</v>
      </c>
      <c r="F14" s="125"/>
      <c r="G14" s="125"/>
      <c r="H14" s="125"/>
      <c r="I14" s="125"/>
      <c r="J14" s="184"/>
      <c r="K14" s="184"/>
      <c r="L14" s="184"/>
      <c r="M14" s="184"/>
      <c r="N14" s="184"/>
      <c r="O14" s="184"/>
      <c r="P14" s="184"/>
      <c r="Q14" s="184"/>
      <c r="R14" s="184"/>
      <c r="S14" s="184"/>
      <c r="T14" s="184"/>
      <c r="U14" s="184"/>
      <c r="V14" s="184"/>
      <c r="W14" s="184"/>
      <c r="X14" s="184"/>
      <c r="Y14" s="184"/>
      <c r="Z14" s="184"/>
    </row>
    <row r="15" spans="1:26" ht="24.75" customHeight="1">
      <c r="A15" s="129" t="s">
        <v>5256</v>
      </c>
      <c r="B15" s="130" t="s">
        <v>5019</v>
      </c>
      <c r="C15" s="127"/>
      <c r="D15" s="130"/>
      <c r="E15" s="130" t="s">
        <v>5257</v>
      </c>
      <c r="F15" s="125"/>
      <c r="G15" s="125"/>
      <c r="H15" s="125"/>
      <c r="I15" s="125"/>
      <c r="J15" s="184"/>
      <c r="K15" s="184"/>
      <c r="L15" s="184"/>
      <c r="M15" s="184"/>
      <c r="N15" s="184"/>
      <c r="O15" s="184"/>
      <c r="P15" s="184"/>
      <c r="Q15" s="184"/>
      <c r="R15" s="184"/>
      <c r="S15" s="184"/>
      <c r="T15" s="184"/>
      <c r="U15" s="184"/>
      <c r="V15" s="184"/>
      <c r="W15" s="184"/>
      <c r="X15" s="184"/>
      <c r="Y15" s="184"/>
      <c r="Z15" s="184"/>
    </row>
    <row r="16" spans="1:26" ht="24.75" customHeight="1">
      <c r="A16" s="129" t="s">
        <v>5258</v>
      </c>
      <c r="B16" s="130" t="s">
        <v>5041</v>
      </c>
      <c r="C16" s="125"/>
      <c r="D16" s="130"/>
      <c r="E16" s="130" t="s">
        <v>5259</v>
      </c>
      <c r="F16" s="125"/>
      <c r="G16" s="125"/>
      <c r="H16" s="125"/>
      <c r="I16" s="125"/>
      <c r="J16" s="184"/>
      <c r="K16" s="184"/>
      <c r="L16" s="184"/>
      <c r="M16" s="184"/>
      <c r="N16" s="184"/>
      <c r="O16" s="184"/>
      <c r="P16" s="184"/>
      <c r="Q16" s="184"/>
      <c r="R16" s="184"/>
      <c r="S16" s="184"/>
      <c r="T16" s="184"/>
      <c r="U16" s="184"/>
      <c r="V16" s="184"/>
      <c r="W16" s="184"/>
      <c r="X16" s="184"/>
      <c r="Y16" s="184"/>
      <c r="Z16" s="184"/>
    </row>
    <row r="17" spans="1:9" ht="24.75" customHeight="1">
      <c r="A17" s="129" t="s">
        <v>5260</v>
      </c>
      <c r="B17" s="130" t="s">
        <v>4997</v>
      </c>
      <c r="C17" s="128"/>
      <c r="D17" s="130"/>
      <c r="E17" s="130" t="s">
        <v>5261</v>
      </c>
      <c r="F17" s="125"/>
      <c r="G17" s="125"/>
      <c r="H17" s="125"/>
      <c r="I17" s="125"/>
    </row>
    <row r="18" spans="1:9" ht="24.75" customHeight="1">
      <c r="A18" s="129" t="s">
        <v>5262</v>
      </c>
      <c r="B18" s="130" t="s">
        <v>5263</v>
      </c>
      <c r="C18" s="125"/>
      <c r="D18" s="130"/>
      <c r="E18" s="130" t="s">
        <v>5264</v>
      </c>
      <c r="F18" s="125"/>
      <c r="G18" s="125"/>
      <c r="H18" s="125"/>
      <c r="I18" s="125"/>
    </row>
    <row r="19" spans="1:9" ht="24.75" customHeight="1">
      <c r="A19" s="129" t="s">
        <v>54</v>
      </c>
      <c r="B19" s="130" t="s">
        <v>5265</v>
      </c>
      <c r="C19" s="125"/>
      <c r="D19" s="130"/>
      <c r="E19" s="130" t="s">
        <v>5266</v>
      </c>
      <c r="F19" s="125"/>
      <c r="G19" s="125"/>
      <c r="H19" s="125"/>
      <c r="I19" s="125"/>
    </row>
    <row r="20" spans="1:9" ht="24.75" customHeight="1">
      <c r="A20" s="129" t="s">
        <v>5267</v>
      </c>
      <c r="B20" s="130" t="s">
        <v>14</v>
      </c>
      <c r="C20" s="125"/>
      <c r="D20" s="130"/>
      <c r="E20" s="130" t="s">
        <v>5268</v>
      </c>
      <c r="F20" s="125"/>
      <c r="G20" s="125"/>
      <c r="H20" s="125"/>
      <c r="I20" s="125"/>
    </row>
    <row r="21" spans="1:9" ht="24.75" customHeight="1">
      <c r="A21" s="129" t="s">
        <v>5269</v>
      </c>
      <c r="B21" s="130" t="s">
        <v>4987</v>
      </c>
      <c r="C21" s="125"/>
      <c r="D21" s="130"/>
      <c r="E21" s="130" t="s">
        <v>5270</v>
      </c>
      <c r="F21" s="125"/>
      <c r="G21" s="125"/>
      <c r="H21" s="125"/>
      <c r="I21" s="125"/>
    </row>
    <row r="22" spans="1:9" ht="24.75" customHeight="1">
      <c r="A22" s="129" t="s">
        <v>5271</v>
      </c>
      <c r="B22" s="130" t="s">
        <v>5052</v>
      </c>
      <c r="C22" s="125"/>
      <c r="D22" s="125"/>
      <c r="E22" s="130" t="s">
        <v>5272</v>
      </c>
      <c r="F22" s="125"/>
      <c r="G22" s="125"/>
      <c r="H22" s="125"/>
      <c r="I22" s="125"/>
    </row>
    <row r="23" spans="1:9" ht="24.75" customHeight="1">
      <c r="A23" s="129" t="s">
        <v>942</v>
      </c>
      <c r="B23" s="130" t="s">
        <v>5273</v>
      </c>
      <c r="C23" s="125"/>
      <c r="D23" s="125"/>
      <c r="E23" s="130" t="s">
        <v>5274</v>
      </c>
      <c r="F23" s="125"/>
      <c r="G23" s="125"/>
      <c r="H23" s="125"/>
      <c r="I23" s="125"/>
    </row>
    <row r="24" spans="1:9" ht="24.75" customHeight="1">
      <c r="A24" s="129" t="s">
        <v>5275</v>
      </c>
      <c r="B24" s="130" t="s">
        <v>5276</v>
      </c>
      <c r="C24" s="128"/>
      <c r="D24" s="125"/>
      <c r="E24" s="130" t="s">
        <v>5277</v>
      </c>
      <c r="F24" s="125"/>
      <c r="G24" s="125"/>
      <c r="H24" s="125"/>
      <c r="I24" s="125"/>
    </row>
    <row r="25" spans="1:9" ht="24.75" customHeight="1">
      <c r="A25" s="129" t="s">
        <v>541</v>
      </c>
      <c r="B25" s="130" t="s">
        <v>5081</v>
      </c>
      <c r="C25" s="131"/>
      <c r="D25" s="132"/>
      <c r="E25" s="130" t="s">
        <v>5278</v>
      </c>
      <c r="F25" s="125"/>
      <c r="G25" s="125"/>
      <c r="H25" s="125"/>
      <c r="I25" s="125"/>
    </row>
    <row r="26" spans="1:9" ht="24.75" customHeight="1">
      <c r="A26" s="133"/>
      <c r="B26" s="133"/>
      <c r="C26" s="128"/>
      <c r="D26" s="128"/>
      <c r="E26" s="133"/>
      <c r="F26" s="128"/>
      <c r="G26" s="128"/>
      <c r="H26" s="128"/>
      <c r="I26" s="128"/>
    </row>
    <row r="27" spans="1:9" ht="24.75" customHeight="1">
      <c r="A27" s="128"/>
      <c r="B27" s="128"/>
      <c r="C27" s="128"/>
      <c r="D27" s="128"/>
      <c r="E27" s="133"/>
      <c r="F27" s="128"/>
      <c r="G27" s="128"/>
      <c r="H27" s="128"/>
      <c r="I27" s="128"/>
    </row>
    <row r="28" spans="1:9" ht="24.75" customHeight="1">
      <c r="A28" s="184" t="s">
        <v>5279</v>
      </c>
      <c r="B28" s="184"/>
      <c r="C28" s="184"/>
      <c r="D28" s="184"/>
      <c r="E28" s="134"/>
      <c r="F28" s="184"/>
      <c r="G28" s="184"/>
      <c r="H28" s="184"/>
      <c r="I28" s="184"/>
    </row>
    <row r="29" spans="1:9" ht="24.75" customHeight="1">
      <c r="A29" s="184"/>
      <c r="B29" s="184"/>
      <c r="C29" s="184"/>
      <c r="D29" s="184"/>
      <c r="E29" s="134"/>
      <c r="F29" s="184"/>
      <c r="G29" s="184"/>
      <c r="H29" s="184"/>
      <c r="I29" s="184"/>
    </row>
    <row r="30" spans="1:9" ht="24.75" customHeight="1">
      <c r="A30" s="134"/>
      <c r="B30" s="134"/>
      <c r="C30" s="184"/>
      <c r="D30" s="184"/>
      <c r="E30" s="134"/>
      <c r="F30" s="184"/>
      <c r="G30" s="184"/>
      <c r="H30" s="184"/>
      <c r="I30" s="184"/>
    </row>
    <row r="31" spans="1:9" ht="24.75" customHeight="1">
      <c r="A31" s="184"/>
      <c r="B31" s="184"/>
      <c r="C31" s="184"/>
      <c r="D31" s="184"/>
      <c r="E31" s="184"/>
      <c r="F31" s="184"/>
      <c r="G31" s="184"/>
      <c r="H31" s="184"/>
      <c r="I31" s="184"/>
    </row>
    <row r="32" spans="1:9" ht="24.75" customHeight="1">
      <c r="A32" s="184"/>
      <c r="B32" s="184"/>
      <c r="C32" s="184"/>
      <c r="D32" s="184"/>
      <c r="E32" s="184"/>
      <c r="F32" s="184"/>
      <c r="G32" s="184"/>
      <c r="H32" s="184"/>
      <c r="I32" s="184"/>
    </row>
    <row r="33" ht="24.75" customHeight="1"/>
    <row r="34" ht="24.75" customHeight="1"/>
    <row r="35" ht="24.75" customHeight="1"/>
    <row r="36" ht="24.75" customHeight="1"/>
    <row r="37" ht="24.75" customHeight="1"/>
    <row r="38" ht="24.75" customHeight="1"/>
    <row r="39" ht="24.75" customHeight="1"/>
    <row r="40" ht="24.75" customHeight="1"/>
    <row r="41" ht="24.75" customHeight="1"/>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ummaryRight="0"/>
  </sheetPr>
  <dimension ref="A1:N1000"/>
  <sheetViews>
    <sheetView workbookViewId="0">
      <pane ySplit="1" topLeftCell="A2" activePane="bottomLeft" state="frozen"/>
      <selection pane="bottomLeft" activeCell="B3" sqref="B3"/>
    </sheetView>
  </sheetViews>
  <sheetFormatPr defaultColWidth="14.3984375" defaultRowHeight="15.75" customHeight="1"/>
  <cols>
    <col min="1" max="1" width="22.86328125" customWidth="1"/>
    <col min="2" max="2" width="8.59765625" customWidth="1"/>
    <col min="3" max="3" width="19.73046875" customWidth="1"/>
    <col min="4" max="4" width="9.1328125" customWidth="1"/>
    <col min="7" max="7" width="8.1328125" customWidth="1"/>
    <col min="9" max="9" width="8.59765625" customWidth="1"/>
    <col min="10" max="10" width="7.3984375" customWidth="1"/>
    <col min="11" max="11" width="9" customWidth="1"/>
    <col min="12" max="12" width="10" customWidth="1"/>
  </cols>
  <sheetData>
    <row r="1" spans="1:14" ht="42" customHeight="1">
      <c r="A1" s="240" t="s">
        <v>5280</v>
      </c>
      <c r="B1" s="215"/>
      <c r="C1" s="241" t="s">
        <v>5281</v>
      </c>
      <c r="D1" s="215"/>
      <c r="E1" s="242" t="s">
        <v>5282</v>
      </c>
      <c r="F1" s="215"/>
      <c r="G1" s="243" t="s">
        <v>5283</v>
      </c>
      <c r="H1" s="215"/>
      <c r="I1" s="135"/>
      <c r="J1" s="135"/>
      <c r="K1" s="135"/>
      <c r="L1" s="135"/>
      <c r="M1" s="135"/>
      <c r="N1" s="135"/>
    </row>
    <row r="2" spans="1:14" ht="42" customHeight="1">
      <c r="A2" s="136" t="s">
        <v>27</v>
      </c>
      <c r="B2" s="140" t="s">
        <v>28</v>
      </c>
      <c r="C2" s="137" t="s">
        <v>30</v>
      </c>
      <c r="D2" s="138" t="s">
        <v>5284</v>
      </c>
      <c r="E2" s="140" t="s">
        <v>32</v>
      </c>
      <c r="F2" s="140" t="s">
        <v>33</v>
      </c>
      <c r="G2" s="139" t="s">
        <v>34</v>
      </c>
      <c r="H2" s="140" t="s">
        <v>35</v>
      </c>
      <c r="I2" s="140" t="s">
        <v>36</v>
      </c>
      <c r="J2" s="140" t="s">
        <v>5285</v>
      </c>
      <c r="K2" s="139" t="s">
        <v>4777</v>
      </c>
      <c r="L2" s="140" t="s">
        <v>5286</v>
      </c>
      <c r="M2" s="140" t="s">
        <v>5287</v>
      </c>
      <c r="N2" s="141" t="s">
        <v>5280</v>
      </c>
    </row>
    <row r="3" spans="1:14" ht="42" customHeight="1">
      <c r="A3" s="157" t="s">
        <v>281</v>
      </c>
      <c r="B3" s="142">
        <v>114</v>
      </c>
      <c r="C3" s="142" t="s">
        <v>2052</v>
      </c>
      <c r="D3" s="145" t="s">
        <v>281</v>
      </c>
      <c r="E3" s="142" t="s">
        <v>244</v>
      </c>
      <c r="F3" s="142" t="s">
        <v>282</v>
      </c>
      <c r="G3" s="142" t="s">
        <v>283</v>
      </c>
      <c r="H3" s="142" t="s">
        <v>284</v>
      </c>
      <c r="I3" s="142" t="str">
        <f t="shared" ref="I3:I46" si="0">VLOOKUP(K3,InterfaceCards,2,FALSE)</f>
        <v>N1</v>
      </c>
      <c r="J3" s="150" t="str">
        <f>VLOOKUP(I3,'REF - Interface Cards'!$H$2:$I$11,2,FALSE)</f>
        <v>CB2</v>
      </c>
      <c r="K3" s="142" t="s">
        <v>4897</v>
      </c>
      <c r="L3" s="142" t="s">
        <v>4388</v>
      </c>
      <c r="M3" s="142"/>
      <c r="N3" s="142"/>
    </row>
    <row r="4" spans="1:14" ht="42" customHeight="1">
      <c r="A4" s="157" t="s">
        <v>2053</v>
      </c>
      <c r="B4" s="142">
        <v>115</v>
      </c>
      <c r="C4" s="142" t="s">
        <v>2054</v>
      </c>
      <c r="D4" s="145" t="s">
        <v>286</v>
      </c>
      <c r="E4" s="142" t="s">
        <v>244</v>
      </c>
      <c r="F4" s="142" t="s">
        <v>287</v>
      </c>
      <c r="G4" s="142" t="s">
        <v>283</v>
      </c>
      <c r="H4" s="142" t="s">
        <v>284</v>
      </c>
      <c r="I4" s="142" t="str">
        <f t="shared" si="0"/>
        <v>N1</v>
      </c>
      <c r="J4" s="150" t="str">
        <f>VLOOKUP(I4,'REF - Interface Cards'!$H$2:$I$11,2,FALSE)</f>
        <v>CB2</v>
      </c>
      <c r="K4" s="142" t="s">
        <v>4897</v>
      </c>
      <c r="L4" s="142" t="s">
        <v>4388</v>
      </c>
      <c r="M4" s="142" t="s">
        <v>4078</v>
      </c>
      <c r="N4" s="142"/>
    </row>
    <row r="5" spans="1:14" ht="42" customHeight="1">
      <c r="A5" s="157" t="s">
        <v>2061</v>
      </c>
      <c r="B5" s="142">
        <v>116</v>
      </c>
      <c r="C5" s="142" t="s">
        <v>5288</v>
      </c>
      <c r="D5" s="149" t="s">
        <v>5289</v>
      </c>
      <c r="E5" s="142" t="s">
        <v>244</v>
      </c>
      <c r="F5" s="142" t="s">
        <v>245</v>
      </c>
      <c r="G5" s="142" t="s">
        <v>283</v>
      </c>
      <c r="H5" s="142" t="s">
        <v>284</v>
      </c>
      <c r="I5" s="142" t="str">
        <f t="shared" si="0"/>
        <v>N4</v>
      </c>
      <c r="J5" s="150" t="str">
        <f>VLOOKUP(I5,'REF - Interface Cards'!$H$2:$I$11,2,FALSE)</f>
        <v>CB5</v>
      </c>
      <c r="K5" s="142" t="s">
        <v>4940</v>
      </c>
      <c r="L5" s="142" t="s">
        <v>4963</v>
      </c>
      <c r="M5" s="142"/>
      <c r="N5" s="142"/>
    </row>
    <row r="6" spans="1:14" ht="42" customHeight="1">
      <c r="A6" s="157" t="s">
        <v>2063</v>
      </c>
      <c r="B6" s="142">
        <v>117</v>
      </c>
      <c r="C6" s="142" t="s">
        <v>5290</v>
      </c>
      <c r="D6" s="149" t="s">
        <v>291</v>
      </c>
      <c r="E6" s="142" t="s">
        <v>244</v>
      </c>
      <c r="F6" s="142" t="s">
        <v>251</v>
      </c>
      <c r="G6" s="142" t="s">
        <v>283</v>
      </c>
      <c r="H6" s="142" t="s">
        <v>284</v>
      </c>
      <c r="I6" s="142" t="str">
        <f t="shared" si="0"/>
        <v>N4</v>
      </c>
      <c r="J6" s="150" t="str">
        <f>VLOOKUP(I6,'REF - Interface Cards'!$H$2:$I$11,2,FALSE)</f>
        <v>CB5</v>
      </c>
      <c r="K6" s="142" t="s">
        <v>4940</v>
      </c>
      <c r="L6" s="142" t="s">
        <v>4963</v>
      </c>
      <c r="M6" s="142"/>
      <c r="N6" s="142"/>
    </row>
    <row r="7" spans="1:14" ht="42" customHeight="1">
      <c r="A7" s="157" t="s">
        <v>2065</v>
      </c>
      <c r="B7" s="142">
        <v>118</v>
      </c>
      <c r="C7" s="142" t="s">
        <v>5291</v>
      </c>
      <c r="D7" s="149" t="s">
        <v>293</v>
      </c>
      <c r="E7" s="142" t="s">
        <v>244</v>
      </c>
      <c r="F7" s="142" t="s">
        <v>253</v>
      </c>
      <c r="G7" s="142" t="s">
        <v>283</v>
      </c>
      <c r="H7" s="142" t="s">
        <v>284</v>
      </c>
      <c r="I7" s="142" t="str">
        <f t="shared" si="0"/>
        <v>N4</v>
      </c>
      <c r="J7" s="150" t="str">
        <f>VLOOKUP(I7,'REF - Interface Cards'!$H$2:$I$11,2,FALSE)</f>
        <v>CB5</v>
      </c>
      <c r="K7" s="142" t="s">
        <v>4940</v>
      </c>
      <c r="L7" s="142" t="s">
        <v>4963</v>
      </c>
      <c r="M7" s="142"/>
      <c r="N7" s="142"/>
    </row>
    <row r="8" spans="1:14" ht="42" customHeight="1">
      <c r="A8" s="157" t="s">
        <v>2042</v>
      </c>
      <c r="B8" s="142">
        <v>119</v>
      </c>
      <c r="C8" s="142" t="s">
        <v>294</v>
      </c>
      <c r="D8" s="149" t="s">
        <v>295</v>
      </c>
      <c r="E8" s="142" t="s">
        <v>244</v>
      </c>
      <c r="F8" s="142" t="s">
        <v>256</v>
      </c>
      <c r="G8" s="142" t="s">
        <v>283</v>
      </c>
      <c r="H8" s="142" t="s">
        <v>284</v>
      </c>
      <c r="I8" s="142" t="str">
        <f t="shared" si="0"/>
        <v>N2</v>
      </c>
      <c r="J8" s="150" t="str">
        <f>VLOOKUP(I8,'REF - Interface Cards'!$H$2:$I$11,2,FALSE)</f>
        <v>CB3</v>
      </c>
      <c r="K8" s="142" t="s">
        <v>4932</v>
      </c>
      <c r="L8" s="142" t="s">
        <v>5027</v>
      </c>
      <c r="M8" s="142"/>
      <c r="N8" s="142"/>
    </row>
    <row r="9" spans="1:14" ht="42" customHeight="1">
      <c r="A9" s="157" t="s">
        <v>2067</v>
      </c>
      <c r="B9" s="142">
        <v>122</v>
      </c>
      <c r="C9" s="142" t="s">
        <v>5292</v>
      </c>
      <c r="D9" s="143" t="s">
        <v>297</v>
      </c>
      <c r="E9" s="142" t="s">
        <v>244</v>
      </c>
      <c r="F9" s="142" t="s">
        <v>245</v>
      </c>
      <c r="G9" s="142" t="s">
        <v>283</v>
      </c>
      <c r="H9" s="142" t="s">
        <v>284</v>
      </c>
      <c r="I9" s="142" t="str">
        <f t="shared" si="0"/>
        <v>N4</v>
      </c>
      <c r="J9" s="150" t="str">
        <f>VLOOKUP(I9,'REF - Interface Cards'!$H$2:$I$11,2,FALSE)</f>
        <v>CB5</v>
      </c>
      <c r="K9" s="142" t="s">
        <v>4940</v>
      </c>
      <c r="L9" s="142" t="s">
        <v>4963</v>
      </c>
      <c r="M9" s="142"/>
      <c r="N9" s="142"/>
    </row>
    <row r="10" spans="1:14" ht="42" customHeight="1">
      <c r="A10" s="157" t="s">
        <v>2056</v>
      </c>
      <c r="B10" s="142">
        <v>123</v>
      </c>
      <c r="C10" s="142" t="s">
        <v>5293</v>
      </c>
      <c r="D10" s="143" t="s">
        <v>299</v>
      </c>
      <c r="E10" s="142" t="s">
        <v>244</v>
      </c>
      <c r="F10" s="142" t="s">
        <v>251</v>
      </c>
      <c r="G10" s="142" t="s">
        <v>283</v>
      </c>
      <c r="H10" s="142" t="s">
        <v>284</v>
      </c>
      <c r="I10" s="142" t="str">
        <f t="shared" si="0"/>
        <v>N4</v>
      </c>
      <c r="J10" s="150" t="str">
        <f>VLOOKUP(I10,'REF - Interface Cards'!$H$2:$I$11,2,FALSE)</f>
        <v>CB5</v>
      </c>
      <c r="K10" s="142" t="s">
        <v>4940</v>
      </c>
      <c r="L10" s="142" t="s">
        <v>4963</v>
      </c>
      <c r="M10" s="142"/>
      <c r="N10" s="142"/>
    </row>
    <row r="11" spans="1:14" ht="42" customHeight="1">
      <c r="A11" s="157" t="s">
        <v>2059</v>
      </c>
      <c r="B11" s="142">
        <v>124</v>
      </c>
      <c r="C11" s="142" t="s">
        <v>5294</v>
      </c>
      <c r="D11" s="143" t="s">
        <v>182</v>
      </c>
      <c r="E11" s="142" t="s">
        <v>244</v>
      </c>
      <c r="F11" s="142" t="s">
        <v>253</v>
      </c>
      <c r="G11" s="142" t="s">
        <v>283</v>
      </c>
      <c r="H11" s="142" t="s">
        <v>284</v>
      </c>
      <c r="I11" s="142" t="str">
        <f t="shared" si="0"/>
        <v>N4</v>
      </c>
      <c r="J11" s="150" t="str">
        <f>VLOOKUP(I11,'REF - Interface Cards'!$H$2:$I$11,2,FALSE)</f>
        <v>CB5</v>
      </c>
      <c r="K11" s="142" t="s">
        <v>4940</v>
      </c>
      <c r="L11" s="142" t="s">
        <v>4963</v>
      </c>
      <c r="M11" s="142"/>
      <c r="N11" s="142"/>
    </row>
    <row r="12" spans="1:14" ht="42" customHeight="1">
      <c r="A12" s="157" t="s">
        <v>2048</v>
      </c>
      <c r="B12" s="142">
        <v>125</v>
      </c>
      <c r="C12" s="142" t="s">
        <v>5295</v>
      </c>
      <c r="D12" s="143" t="s">
        <v>302</v>
      </c>
      <c r="E12" s="142" t="s">
        <v>244</v>
      </c>
      <c r="F12" s="142" t="s">
        <v>256</v>
      </c>
      <c r="G12" s="142" t="s">
        <v>283</v>
      </c>
      <c r="H12" s="142" t="s">
        <v>284</v>
      </c>
      <c r="I12" s="142" t="str">
        <f t="shared" si="0"/>
        <v>N1</v>
      </c>
      <c r="J12" s="150" t="str">
        <f>VLOOKUP(I12,'REF - Interface Cards'!$H$2:$I$11,2,FALSE)</f>
        <v>CB2</v>
      </c>
      <c r="K12" s="142" t="s">
        <v>4897</v>
      </c>
      <c r="L12" s="142" t="s">
        <v>4388</v>
      </c>
      <c r="M12" s="142" t="s">
        <v>5064</v>
      </c>
      <c r="N12" s="142"/>
    </row>
    <row r="13" spans="1:14" ht="42" customHeight="1">
      <c r="A13" s="157" t="s">
        <v>2050</v>
      </c>
      <c r="B13" s="142">
        <v>126</v>
      </c>
      <c r="C13" s="142" t="s">
        <v>5296</v>
      </c>
      <c r="D13" s="143" t="s">
        <v>304</v>
      </c>
      <c r="E13" s="142" t="s">
        <v>244</v>
      </c>
      <c r="F13" s="142" t="s">
        <v>256</v>
      </c>
      <c r="G13" s="142" t="s">
        <v>283</v>
      </c>
      <c r="H13" s="142" t="s">
        <v>284</v>
      </c>
      <c r="I13" s="142" t="str">
        <f t="shared" si="0"/>
        <v>N1</v>
      </c>
      <c r="J13" s="150" t="str">
        <f>VLOOKUP(I13,'REF - Interface Cards'!$H$2:$I$11,2,FALSE)</f>
        <v>CB2</v>
      </c>
      <c r="K13" s="142" t="s">
        <v>4897</v>
      </c>
      <c r="L13" s="142" t="s">
        <v>4388</v>
      </c>
      <c r="M13" s="142" t="s">
        <v>5064</v>
      </c>
      <c r="N13" s="142"/>
    </row>
    <row r="14" spans="1:14" ht="42" customHeight="1">
      <c r="A14" s="157" t="s">
        <v>2336</v>
      </c>
      <c r="B14" s="142">
        <v>405</v>
      </c>
      <c r="C14" s="142" t="s">
        <v>5297</v>
      </c>
      <c r="D14" s="144" t="s">
        <v>828</v>
      </c>
      <c r="E14" s="142" t="s">
        <v>674</v>
      </c>
      <c r="F14" s="142" t="s">
        <v>675</v>
      </c>
      <c r="G14" s="142" t="s">
        <v>283</v>
      </c>
      <c r="H14" s="142" t="s">
        <v>284</v>
      </c>
      <c r="I14" s="142" t="str">
        <f t="shared" si="0"/>
        <v>C2</v>
      </c>
      <c r="J14" s="150" t="str">
        <f>VLOOKUP(I14,'REF - Interface Cards'!$H$2:$I$11,2,FALSE)</f>
        <v>CB8</v>
      </c>
      <c r="K14" s="142" t="s">
        <v>4832</v>
      </c>
      <c r="L14" s="142" t="s">
        <v>5035</v>
      </c>
      <c r="M14" s="142"/>
      <c r="N14" s="142"/>
    </row>
    <row r="15" spans="1:14" ht="42" customHeight="1">
      <c r="A15" s="157" t="s">
        <v>2338</v>
      </c>
      <c r="B15" s="142">
        <v>406</v>
      </c>
      <c r="C15" s="142" t="s">
        <v>5298</v>
      </c>
      <c r="D15" s="144" t="s">
        <v>830</v>
      </c>
      <c r="E15" s="142" t="s">
        <v>674</v>
      </c>
      <c r="F15" s="142" t="s">
        <v>675</v>
      </c>
      <c r="G15" s="142" t="s">
        <v>283</v>
      </c>
      <c r="H15" s="142" t="s">
        <v>284</v>
      </c>
      <c r="I15" s="142" t="str">
        <f t="shared" si="0"/>
        <v>C2</v>
      </c>
      <c r="J15" s="150" t="str">
        <f>VLOOKUP(I15,'REF - Interface Cards'!$H$2:$I$11,2,FALSE)</f>
        <v>CB8</v>
      </c>
      <c r="K15" s="142" t="s">
        <v>4832</v>
      </c>
      <c r="L15" s="142" t="s">
        <v>5035</v>
      </c>
      <c r="M15" s="142"/>
      <c r="N15" s="142"/>
    </row>
    <row r="16" spans="1:14" ht="42" customHeight="1">
      <c r="A16" s="157" t="s">
        <v>2340</v>
      </c>
      <c r="B16" s="142">
        <v>407</v>
      </c>
      <c r="C16" s="142" t="s">
        <v>5299</v>
      </c>
      <c r="D16" s="144" t="s">
        <v>832</v>
      </c>
      <c r="E16" s="142" t="s">
        <v>674</v>
      </c>
      <c r="F16" s="142" t="s">
        <v>675</v>
      </c>
      <c r="G16" s="142" t="s">
        <v>283</v>
      </c>
      <c r="H16" s="142" t="s">
        <v>284</v>
      </c>
      <c r="I16" s="142" t="str">
        <f t="shared" si="0"/>
        <v>C2</v>
      </c>
      <c r="J16" s="150" t="str">
        <f>VLOOKUP(I16,'REF - Interface Cards'!$H$2:$I$11,2,FALSE)</f>
        <v>CB8</v>
      </c>
      <c r="K16" s="142" t="s">
        <v>4832</v>
      </c>
      <c r="L16" s="142" t="s">
        <v>5035</v>
      </c>
      <c r="M16" s="142"/>
      <c r="N16" s="142"/>
    </row>
    <row r="17" spans="1:14" ht="42" customHeight="1">
      <c r="A17" s="157" t="s">
        <v>2342</v>
      </c>
      <c r="B17" s="142">
        <v>408</v>
      </c>
      <c r="C17" s="142" t="s">
        <v>5300</v>
      </c>
      <c r="D17" s="144" t="s">
        <v>834</v>
      </c>
      <c r="E17" s="142" t="s">
        <v>674</v>
      </c>
      <c r="F17" s="142" t="s">
        <v>675</v>
      </c>
      <c r="G17" s="142" t="s">
        <v>283</v>
      </c>
      <c r="H17" s="142" t="s">
        <v>284</v>
      </c>
      <c r="I17" s="142" t="str">
        <f t="shared" si="0"/>
        <v>C2</v>
      </c>
      <c r="J17" s="150" t="str">
        <f>VLOOKUP(I17,'REF - Interface Cards'!$H$2:$I$11,2,FALSE)</f>
        <v>CB8</v>
      </c>
      <c r="K17" s="142" t="s">
        <v>4832</v>
      </c>
      <c r="L17" s="142" t="s">
        <v>5035</v>
      </c>
      <c r="M17" s="142"/>
      <c r="N17" s="142"/>
    </row>
    <row r="18" spans="1:14" ht="42" customHeight="1">
      <c r="A18" s="157" t="s">
        <v>2344</v>
      </c>
      <c r="B18" s="142">
        <v>409</v>
      </c>
      <c r="C18" s="142" t="s">
        <v>5301</v>
      </c>
      <c r="D18" s="144" t="s">
        <v>836</v>
      </c>
      <c r="E18" s="142" t="s">
        <v>674</v>
      </c>
      <c r="F18" s="142" t="s">
        <v>675</v>
      </c>
      <c r="G18" s="142" t="s">
        <v>283</v>
      </c>
      <c r="H18" s="142" t="s">
        <v>284</v>
      </c>
      <c r="I18" s="142" t="str">
        <f t="shared" si="0"/>
        <v>C2</v>
      </c>
      <c r="J18" s="150" t="str">
        <f>VLOOKUP(I18,'REF - Interface Cards'!$H$2:$I$11,2,FALSE)</f>
        <v>CB8</v>
      </c>
      <c r="K18" s="142" t="s">
        <v>4832</v>
      </c>
      <c r="L18" s="142" t="s">
        <v>5035</v>
      </c>
      <c r="M18" s="142"/>
      <c r="N18" s="142"/>
    </row>
    <row r="19" spans="1:14" ht="42" customHeight="1">
      <c r="A19" s="157" t="s">
        <v>2346</v>
      </c>
      <c r="B19" s="142">
        <v>410</v>
      </c>
      <c r="C19" s="142" t="s">
        <v>5299</v>
      </c>
      <c r="D19" s="144" t="s">
        <v>838</v>
      </c>
      <c r="E19" s="142" t="s">
        <v>674</v>
      </c>
      <c r="F19" s="142" t="s">
        <v>675</v>
      </c>
      <c r="G19" s="142" t="s">
        <v>283</v>
      </c>
      <c r="H19" s="142" t="s">
        <v>284</v>
      </c>
      <c r="I19" s="142" t="str">
        <f t="shared" si="0"/>
        <v>C2</v>
      </c>
      <c r="J19" s="150" t="str">
        <f>VLOOKUP(I19,'REF - Interface Cards'!$H$2:$I$11,2,FALSE)</f>
        <v>CB8</v>
      </c>
      <c r="K19" s="142" t="s">
        <v>4832</v>
      </c>
      <c r="L19" s="142" t="s">
        <v>5035</v>
      </c>
      <c r="M19" s="142"/>
      <c r="N19" s="142"/>
    </row>
    <row r="20" spans="1:14" ht="42" customHeight="1">
      <c r="A20" s="157" t="s">
        <v>2347</v>
      </c>
      <c r="B20" s="142">
        <v>411</v>
      </c>
      <c r="C20" s="142" t="s">
        <v>5302</v>
      </c>
      <c r="D20" s="176" t="s">
        <v>840</v>
      </c>
      <c r="E20" s="142" t="s">
        <v>674</v>
      </c>
      <c r="F20" s="142" t="s">
        <v>675</v>
      </c>
      <c r="G20" s="142" t="s">
        <v>283</v>
      </c>
      <c r="H20" s="142" t="s">
        <v>284</v>
      </c>
      <c r="I20" s="142" t="str">
        <f t="shared" si="0"/>
        <v>N2</v>
      </c>
      <c r="J20" s="150" t="str">
        <f>VLOOKUP(I20,'REF - Interface Cards'!$H$2:$I$11,2,FALSE)</f>
        <v>CB3</v>
      </c>
      <c r="K20" s="142" t="s">
        <v>4932</v>
      </c>
      <c r="L20" s="142" t="s">
        <v>5027</v>
      </c>
      <c r="M20" s="142"/>
      <c r="N20" s="142"/>
    </row>
    <row r="21" spans="1:14" ht="42" customHeight="1">
      <c r="A21" s="157" t="s">
        <v>2349</v>
      </c>
      <c r="B21" s="142">
        <v>412</v>
      </c>
      <c r="C21" s="142" t="s">
        <v>841</v>
      </c>
      <c r="D21" s="144" t="s">
        <v>842</v>
      </c>
      <c r="E21" s="142" t="s">
        <v>674</v>
      </c>
      <c r="F21" s="142" t="s">
        <v>675</v>
      </c>
      <c r="G21" s="142" t="s">
        <v>283</v>
      </c>
      <c r="H21" s="142" t="s">
        <v>284</v>
      </c>
      <c r="I21" s="142" t="str">
        <f t="shared" si="0"/>
        <v>N4</v>
      </c>
      <c r="J21" s="150" t="str">
        <f>VLOOKUP(I21,'REF - Interface Cards'!$H$2:$I$11,2,FALSE)</f>
        <v>CB5</v>
      </c>
      <c r="K21" s="142" t="s">
        <v>4940</v>
      </c>
      <c r="L21" s="142" t="s">
        <v>4963</v>
      </c>
      <c r="M21" s="142"/>
      <c r="N21" s="142"/>
    </row>
    <row r="22" spans="1:14" ht="42" customHeight="1">
      <c r="A22" s="157" t="s">
        <v>2432</v>
      </c>
      <c r="B22" s="142">
        <v>460</v>
      </c>
      <c r="C22" s="142" t="s">
        <v>953</v>
      </c>
      <c r="D22" s="144" t="s">
        <v>954</v>
      </c>
      <c r="E22" s="142" t="s">
        <v>674</v>
      </c>
      <c r="F22" s="142" t="s">
        <v>675</v>
      </c>
      <c r="G22" s="142" t="s">
        <v>283</v>
      </c>
      <c r="H22" s="142" t="s">
        <v>284</v>
      </c>
      <c r="I22" s="142" t="str">
        <f t="shared" si="0"/>
        <v>C2</v>
      </c>
      <c r="J22" s="150" t="str">
        <f>VLOOKUP(I22,'REF - Interface Cards'!$H$2:$I$11,2,FALSE)</f>
        <v>CB8</v>
      </c>
      <c r="K22" s="142" t="s">
        <v>4832</v>
      </c>
      <c r="L22" s="142" t="s">
        <v>5035</v>
      </c>
      <c r="M22" s="142" t="s">
        <v>5035</v>
      </c>
      <c r="N22" s="142"/>
    </row>
    <row r="23" spans="1:14" ht="42" customHeight="1">
      <c r="A23" s="157" t="s">
        <v>2435</v>
      </c>
      <c r="B23" s="142">
        <v>461</v>
      </c>
      <c r="C23" s="8" t="s">
        <v>955</v>
      </c>
      <c r="D23" s="144" t="s">
        <v>956</v>
      </c>
      <c r="E23" s="142" t="s">
        <v>674</v>
      </c>
      <c r="F23" s="142" t="s">
        <v>957</v>
      </c>
      <c r="G23" s="142" t="s">
        <v>283</v>
      </c>
      <c r="H23" s="142" t="s">
        <v>284</v>
      </c>
      <c r="I23" s="142" t="str">
        <f t="shared" si="0"/>
        <v>C2</v>
      </c>
      <c r="J23" s="150" t="str">
        <f>VLOOKUP(I23,'REF - Interface Cards'!$H$2:$I$11,2,FALSE)</f>
        <v>CB8</v>
      </c>
      <c r="K23" s="142" t="s">
        <v>4832</v>
      </c>
      <c r="L23" s="142" t="s">
        <v>5035</v>
      </c>
      <c r="M23" s="142" t="s">
        <v>5035</v>
      </c>
      <c r="N23" s="142"/>
    </row>
    <row r="24" spans="1:14" ht="42" customHeight="1">
      <c r="A24" s="157" t="s">
        <v>2440</v>
      </c>
      <c r="B24" s="142">
        <v>463</v>
      </c>
      <c r="C24" s="142" t="s">
        <v>2441</v>
      </c>
      <c r="D24" s="145" t="s">
        <v>962</v>
      </c>
      <c r="E24" s="142" t="s">
        <v>674</v>
      </c>
      <c r="F24" s="142" t="s">
        <v>941</v>
      </c>
      <c r="G24" s="142" t="s">
        <v>283</v>
      </c>
      <c r="H24" s="142" t="s">
        <v>284</v>
      </c>
      <c r="I24" s="142" t="str">
        <f t="shared" si="0"/>
        <v>N2</v>
      </c>
      <c r="J24" s="150" t="str">
        <f>VLOOKUP(I24,'REF - Interface Cards'!$H$2:$I$11,2,FALSE)</f>
        <v>CB3</v>
      </c>
      <c r="K24" s="142" t="s">
        <v>4932</v>
      </c>
      <c r="L24" s="142" t="s">
        <v>5064</v>
      </c>
      <c r="M24" s="142" t="s">
        <v>5064</v>
      </c>
      <c r="N24" s="142"/>
    </row>
    <row r="25" spans="1:14" ht="42" customHeight="1">
      <c r="A25" s="157" t="s">
        <v>2443</v>
      </c>
      <c r="B25" s="142">
        <v>464</v>
      </c>
      <c r="C25" s="142" t="s">
        <v>5303</v>
      </c>
      <c r="D25" s="145" t="s">
        <v>964</v>
      </c>
      <c r="E25" s="142" t="s">
        <v>674</v>
      </c>
      <c r="F25" s="142" t="s">
        <v>913</v>
      </c>
      <c r="G25" s="142" t="s">
        <v>283</v>
      </c>
      <c r="H25" s="142" t="s">
        <v>284</v>
      </c>
      <c r="I25" s="142" t="str">
        <f t="shared" si="0"/>
        <v>N4</v>
      </c>
      <c r="J25" s="150" t="str">
        <f>VLOOKUP(I25,'REF - Interface Cards'!$H$2:$I$11,2,FALSE)</f>
        <v>CB5</v>
      </c>
      <c r="K25" s="142" t="s">
        <v>4940</v>
      </c>
      <c r="L25" s="142" t="s">
        <v>4963</v>
      </c>
      <c r="M25" s="142" t="s">
        <v>4963</v>
      </c>
      <c r="N25" s="142"/>
    </row>
    <row r="26" spans="1:14" ht="42" customHeight="1">
      <c r="A26" s="157" t="s">
        <v>1086</v>
      </c>
      <c r="B26" s="142">
        <v>548</v>
      </c>
      <c r="C26" s="142" t="s">
        <v>2550</v>
      </c>
      <c r="D26" s="145" t="s">
        <v>1086</v>
      </c>
      <c r="E26" s="142" t="s">
        <v>318</v>
      </c>
      <c r="F26" s="142" t="s">
        <v>368</v>
      </c>
      <c r="G26" s="142" t="s">
        <v>229</v>
      </c>
      <c r="H26" s="142" t="s">
        <v>284</v>
      </c>
      <c r="I26" s="142" t="str">
        <f t="shared" si="0"/>
        <v>N3</v>
      </c>
      <c r="J26" s="150" t="str">
        <f>VLOOKUP(I26,'REF - Interface Cards'!$H$2:$I$11,2,FALSE)</f>
        <v>CB4</v>
      </c>
      <c r="K26" s="142" t="s">
        <v>4936</v>
      </c>
      <c r="L26" s="142" t="s">
        <v>5027</v>
      </c>
      <c r="M26" s="142"/>
      <c r="N26" s="142"/>
    </row>
    <row r="27" spans="1:14" ht="42" customHeight="1">
      <c r="A27" s="157" t="s">
        <v>1088</v>
      </c>
      <c r="B27" s="142">
        <v>549</v>
      </c>
      <c r="C27" s="142" t="s">
        <v>2552</v>
      </c>
      <c r="D27" s="145" t="s">
        <v>1088</v>
      </c>
      <c r="E27" s="142" t="s">
        <v>318</v>
      </c>
      <c r="F27" s="142" t="s">
        <v>368</v>
      </c>
      <c r="G27" s="142" t="s">
        <v>229</v>
      </c>
      <c r="H27" s="142" t="s">
        <v>284</v>
      </c>
      <c r="I27" s="142" t="str">
        <f t="shared" si="0"/>
        <v>N3</v>
      </c>
      <c r="J27" s="150" t="str">
        <f>VLOOKUP(I27,'REF - Interface Cards'!$H$2:$I$11,2,FALSE)</f>
        <v>CB4</v>
      </c>
      <c r="K27" s="142" t="s">
        <v>4936</v>
      </c>
      <c r="L27" s="142" t="s">
        <v>5027</v>
      </c>
      <c r="M27" s="142"/>
      <c r="N27" s="142"/>
    </row>
    <row r="28" spans="1:14" ht="42" customHeight="1">
      <c r="A28" s="157" t="s">
        <v>1090</v>
      </c>
      <c r="B28" s="142">
        <v>550</v>
      </c>
      <c r="C28" s="142" t="s">
        <v>2554</v>
      </c>
      <c r="D28" s="145" t="s">
        <v>1090</v>
      </c>
      <c r="E28" s="142" t="s">
        <v>318</v>
      </c>
      <c r="F28" s="142" t="s">
        <v>368</v>
      </c>
      <c r="G28" s="142" t="s">
        <v>229</v>
      </c>
      <c r="H28" s="142" t="s">
        <v>284</v>
      </c>
      <c r="I28" s="142" t="str">
        <f t="shared" si="0"/>
        <v>N2</v>
      </c>
      <c r="J28" s="150" t="str">
        <f>VLOOKUP(I28,'REF - Interface Cards'!$H$2:$I$11,2,FALSE)</f>
        <v>CB3</v>
      </c>
      <c r="K28" s="142" t="s">
        <v>4932</v>
      </c>
      <c r="L28" s="142" t="s">
        <v>5027</v>
      </c>
      <c r="M28" s="142"/>
      <c r="N28" s="142"/>
    </row>
    <row r="29" spans="1:14" ht="42" customHeight="1">
      <c r="A29" s="157" t="s">
        <v>1092</v>
      </c>
      <c r="B29" s="142">
        <v>551</v>
      </c>
      <c r="C29" s="142" t="s">
        <v>2556</v>
      </c>
      <c r="D29" s="145" t="s">
        <v>1092</v>
      </c>
      <c r="E29" s="142" t="s">
        <v>318</v>
      </c>
      <c r="F29" s="142" t="s">
        <v>368</v>
      </c>
      <c r="G29" s="142" t="s">
        <v>229</v>
      </c>
      <c r="H29" s="142" t="s">
        <v>284</v>
      </c>
      <c r="I29" s="142" t="str">
        <f t="shared" si="0"/>
        <v>N2</v>
      </c>
      <c r="J29" s="150" t="str">
        <f>VLOOKUP(I29,'REF - Interface Cards'!$H$2:$I$11,2,FALSE)</f>
        <v>CB3</v>
      </c>
      <c r="K29" s="142" t="s">
        <v>4932</v>
      </c>
      <c r="L29" s="142" t="s">
        <v>5027</v>
      </c>
      <c r="M29" s="142"/>
      <c r="N29" s="142"/>
    </row>
    <row r="30" spans="1:14" ht="42" customHeight="1">
      <c r="A30" s="157" t="s">
        <v>2581</v>
      </c>
      <c r="B30" s="142">
        <v>561</v>
      </c>
      <c r="C30" s="146" t="s">
        <v>5304</v>
      </c>
      <c r="D30" s="145" t="s">
        <v>1112</v>
      </c>
      <c r="E30" s="147" t="s">
        <v>244</v>
      </c>
      <c r="F30" s="147" t="s">
        <v>1113</v>
      </c>
      <c r="G30" s="142" t="s">
        <v>283</v>
      </c>
      <c r="H30" s="142" t="s">
        <v>284</v>
      </c>
      <c r="I30" s="142" t="str">
        <f t="shared" si="0"/>
        <v>N1</v>
      </c>
      <c r="J30" s="150" t="str">
        <f>VLOOKUP(I30,'REF - Interface Cards'!$H$2:$I$11,2,FALSE)</f>
        <v>CB2</v>
      </c>
      <c r="K30" s="142" t="s">
        <v>4897</v>
      </c>
      <c r="L30" s="142" t="s">
        <v>4388</v>
      </c>
      <c r="M30" s="142" t="s">
        <v>5064</v>
      </c>
      <c r="N30" s="142"/>
    </row>
    <row r="31" spans="1:14" ht="42" customHeight="1">
      <c r="A31" s="157" t="s">
        <v>2583</v>
      </c>
      <c r="B31" s="142">
        <v>562</v>
      </c>
      <c r="C31" s="146" t="s">
        <v>5305</v>
      </c>
      <c r="D31" s="145" t="s">
        <v>1115</v>
      </c>
      <c r="E31" s="142" t="s">
        <v>244</v>
      </c>
      <c r="F31" s="142" t="s">
        <v>1116</v>
      </c>
      <c r="G31" s="142" t="s">
        <v>283</v>
      </c>
      <c r="H31" s="142" t="s">
        <v>284</v>
      </c>
      <c r="I31" s="142" t="str">
        <f t="shared" si="0"/>
        <v>N1</v>
      </c>
      <c r="J31" s="150" t="str">
        <f>VLOOKUP(I31,'REF - Interface Cards'!$H$2:$I$11,2,FALSE)</f>
        <v>CB2</v>
      </c>
      <c r="K31" s="142" t="s">
        <v>4897</v>
      </c>
      <c r="L31" s="142" t="s">
        <v>4388</v>
      </c>
      <c r="M31" s="142" t="s">
        <v>5064</v>
      </c>
      <c r="N31" s="142"/>
    </row>
    <row r="32" spans="1:14" ht="42" customHeight="1">
      <c r="A32" s="157" t="s">
        <v>2587</v>
      </c>
      <c r="B32" s="142">
        <v>563</v>
      </c>
      <c r="C32" s="146" t="s">
        <v>5306</v>
      </c>
      <c r="D32" s="145" t="s">
        <v>1118</v>
      </c>
      <c r="E32" s="142" t="s">
        <v>244</v>
      </c>
      <c r="F32" s="142" t="s">
        <v>1119</v>
      </c>
      <c r="G32" s="142" t="s">
        <v>283</v>
      </c>
      <c r="H32" s="142" t="s">
        <v>284</v>
      </c>
      <c r="I32" s="142" t="str">
        <f t="shared" si="0"/>
        <v>N1</v>
      </c>
      <c r="J32" s="150" t="str">
        <f>VLOOKUP(I32,'REF - Interface Cards'!$H$2:$I$11,2,FALSE)</f>
        <v>CB2</v>
      </c>
      <c r="K32" s="142" t="s">
        <v>4897</v>
      </c>
      <c r="L32" s="142" t="s">
        <v>4388</v>
      </c>
      <c r="M32" s="142" t="s">
        <v>5064</v>
      </c>
      <c r="N32" s="142"/>
    </row>
    <row r="33" spans="1:14" ht="42" customHeight="1">
      <c r="A33" s="157" t="s">
        <v>2585</v>
      </c>
      <c r="B33" s="142">
        <v>564</v>
      </c>
      <c r="C33" s="146" t="s">
        <v>5307</v>
      </c>
      <c r="D33" s="145" t="s">
        <v>1121</v>
      </c>
      <c r="E33" s="142" t="s">
        <v>244</v>
      </c>
      <c r="F33" s="142" t="s">
        <v>1113</v>
      </c>
      <c r="G33" s="142" t="s">
        <v>283</v>
      </c>
      <c r="H33" s="142" t="s">
        <v>284</v>
      </c>
      <c r="I33" s="142" t="str">
        <f t="shared" si="0"/>
        <v>N1</v>
      </c>
      <c r="J33" s="150" t="str">
        <f>VLOOKUP(I33,'REF - Interface Cards'!$H$2:$I$11,2,FALSE)</f>
        <v>CB2</v>
      </c>
      <c r="K33" s="142" t="s">
        <v>4897</v>
      </c>
      <c r="L33" s="142" t="s">
        <v>4388</v>
      </c>
      <c r="M33" s="142" t="s">
        <v>5064</v>
      </c>
      <c r="N33" s="142"/>
    </row>
    <row r="34" spans="1:14" ht="42" customHeight="1">
      <c r="A34" s="157" t="s">
        <v>3262</v>
      </c>
      <c r="B34" s="142">
        <v>614</v>
      </c>
      <c r="C34" s="142" t="s">
        <v>2668</v>
      </c>
      <c r="D34" s="149" t="s">
        <v>5308</v>
      </c>
      <c r="E34" s="142" t="s">
        <v>1166</v>
      </c>
      <c r="F34" s="142" t="s">
        <v>245</v>
      </c>
      <c r="G34" s="142" t="s">
        <v>229</v>
      </c>
      <c r="H34" s="142" t="s">
        <v>284</v>
      </c>
      <c r="I34" s="142" t="str">
        <f t="shared" si="0"/>
        <v>N4</v>
      </c>
      <c r="J34" s="150" t="str">
        <f>VLOOKUP(I34,'REF - Interface Cards'!$H$2:$I$11,2,FALSE)</f>
        <v>CB5</v>
      </c>
      <c r="K34" s="142" t="s">
        <v>4941</v>
      </c>
      <c r="L34" s="142" t="s">
        <v>4963</v>
      </c>
      <c r="M34" s="142" t="s">
        <v>4963</v>
      </c>
      <c r="N34" s="142"/>
    </row>
    <row r="35" spans="1:14" ht="42" customHeight="1">
      <c r="A35" s="157" t="s">
        <v>3264</v>
      </c>
      <c r="B35" s="142">
        <v>615</v>
      </c>
      <c r="C35" s="142" t="s">
        <v>2670</v>
      </c>
      <c r="D35" s="149" t="s">
        <v>5309</v>
      </c>
      <c r="E35" s="142" t="s">
        <v>1166</v>
      </c>
      <c r="F35" s="142" t="s">
        <v>245</v>
      </c>
      <c r="G35" s="142" t="s">
        <v>229</v>
      </c>
      <c r="H35" s="142" t="s">
        <v>284</v>
      </c>
      <c r="I35" s="142" t="str">
        <f t="shared" si="0"/>
        <v>N4</v>
      </c>
      <c r="J35" s="150" t="str">
        <f>VLOOKUP(I35,'REF - Interface Cards'!$H$2:$I$11,2,FALSE)</f>
        <v>CB5</v>
      </c>
      <c r="K35" s="142" t="s">
        <v>4941</v>
      </c>
      <c r="L35" s="142" t="s">
        <v>4963</v>
      </c>
      <c r="M35" s="142" t="s">
        <v>4963</v>
      </c>
      <c r="N35" s="142"/>
    </row>
    <row r="36" spans="1:14" ht="42" customHeight="1">
      <c r="A36" s="157" t="s">
        <v>2746</v>
      </c>
      <c r="B36" s="142">
        <v>718</v>
      </c>
      <c r="C36" s="9" t="s">
        <v>1364</v>
      </c>
      <c r="D36" s="149" t="s">
        <v>1365</v>
      </c>
      <c r="E36" s="142" t="s">
        <v>1366</v>
      </c>
      <c r="F36" s="5" t="s">
        <v>1367</v>
      </c>
      <c r="G36" s="142" t="s">
        <v>283</v>
      </c>
      <c r="H36" s="142" t="s">
        <v>284</v>
      </c>
      <c r="I36" s="142" t="str">
        <f t="shared" si="0"/>
        <v>N2</v>
      </c>
      <c r="J36" s="150" t="str">
        <f>VLOOKUP(I36,'REF - Interface Cards'!$H$2:$I$11,2,FALSE)</f>
        <v>CB3</v>
      </c>
      <c r="K36" s="142" t="s">
        <v>4932</v>
      </c>
      <c r="L36" s="142" t="s">
        <v>5027</v>
      </c>
      <c r="M36" s="142" t="s">
        <v>4384</v>
      </c>
      <c r="N36" s="142"/>
    </row>
    <row r="37" spans="1:14" ht="42" customHeight="1">
      <c r="A37" s="157" t="s">
        <v>2748</v>
      </c>
      <c r="B37" s="142">
        <v>719</v>
      </c>
      <c r="C37" s="148" t="s">
        <v>1368</v>
      </c>
      <c r="D37" s="149" t="s">
        <v>1369</v>
      </c>
      <c r="E37" s="142" t="s">
        <v>1366</v>
      </c>
      <c r="F37" s="5" t="s">
        <v>1367</v>
      </c>
      <c r="G37" s="142" t="s">
        <v>283</v>
      </c>
      <c r="H37" s="142" t="s">
        <v>284</v>
      </c>
      <c r="I37" s="142" t="str">
        <f t="shared" si="0"/>
        <v>N2</v>
      </c>
      <c r="J37" s="150" t="str">
        <f>VLOOKUP(I37,'REF - Interface Cards'!$H$2:$I$11,2,FALSE)</f>
        <v>CB3</v>
      </c>
      <c r="K37" s="142" t="s">
        <v>4932</v>
      </c>
      <c r="L37" s="142" t="s">
        <v>5027</v>
      </c>
      <c r="M37" s="142" t="s">
        <v>4384</v>
      </c>
      <c r="N37" s="142"/>
    </row>
    <row r="38" spans="1:14" ht="42" customHeight="1">
      <c r="A38" s="157" t="s">
        <v>2897</v>
      </c>
      <c r="B38" s="142">
        <v>720</v>
      </c>
      <c r="C38" s="142" t="s">
        <v>1370</v>
      </c>
      <c r="D38" s="149" t="s">
        <v>1371</v>
      </c>
      <c r="E38" s="142" t="s">
        <v>1366</v>
      </c>
      <c r="F38" s="5" t="s">
        <v>1367</v>
      </c>
      <c r="G38" s="142" t="s">
        <v>283</v>
      </c>
      <c r="H38" s="142" t="s">
        <v>284</v>
      </c>
      <c r="I38" s="142" t="str">
        <f t="shared" si="0"/>
        <v>N2</v>
      </c>
      <c r="J38" s="150" t="str">
        <f>VLOOKUP(I38,'REF - Interface Cards'!$H$2:$I$11,2,FALSE)</f>
        <v>CB3</v>
      </c>
      <c r="K38" s="142" t="s">
        <v>4935</v>
      </c>
      <c r="L38" s="142" t="s">
        <v>5027</v>
      </c>
      <c r="M38" s="142" t="s">
        <v>4384</v>
      </c>
      <c r="N38" s="142"/>
    </row>
    <row r="39" spans="1:14" ht="42" customHeight="1">
      <c r="A39" s="157" t="s">
        <v>1373</v>
      </c>
      <c r="B39" s="142">
        <v>721</v>
      </c>
      <c r="C39" s="142" t="s">
        <v>1372</v>
      </c>
      <c r="D39" s="149" t="s">
        <v>1373</v>
      </c>
      <c r="E39" s="142" t="s">
        <v>1366</v>
      </c>
      <c r="F39" s="5" t="s">
        <v>1367</v>
      </c>
      <c r="G39" s="142" t="s">
        <v>283</v>
      </c>
      <c r="H39" s="142" t="s">
        <v>284</v>
      </c>
      <c r="I39" s="142" t="str">
        <f t="shared" si="0"/>
        <v>N2</v>
      </c>
      <c r="J39" s="150" t="str">
        <f>VLOOKUP(I39,'REF - Interface Cards'!$H$2:$I$11,2,FALSE)</f>
        <v>CB3</v>
      </c>
      <c r="K39" s="142" t="s">
        <v>4935</v>
      </c>
      <c r="L39" s="142" t="s">
        <v>5027</v>
      </c>
      <c r="M39" s="142" t="s">
        <v>4384</v>
      </c>
      <c r="N39" s="142"/>
    </row>
    <row r="40" spans="1:14" ht="42" customHeight="1">
      <c r="A40" s="157" t="s">
        <v>2762</v>
      </c>
      <c r="B40" s="142">
        <v>724</v>
      </c>
      <c r="C40" s="142" t="s">
        <v>1374</v>
      </c>
      <c r="D40" s="149" t="s">
        <v>1375</v>
      </c>
      <c r="E40" s="142" t="s">
        <v>1366</v>
      </c>
      <c r="F40" s="5" t="s">
        <v>1367</v>
      </c>
      <c r="G40" s="142" t="s">
        <v>283</v>
      </c>
      <c r="H40" s="142" t="s">
        <v>284</v>
      </c>
      <c r="I40" s="142" t="str">
        <f t="shared" si="0"/>
        <v>N4</v>
      </c>
      <c r="J40" s="150" t="str">
        <f>VLOOKUP(I40,'REF - Interface Cards'!$H$2:$I$11,2,FALSE)</f>
        <v>CB5</v>
      </c>
      <c r="K40" s="142" t="s">
        <v>4941</v>
      </c>
      <c r="L40" s="142" t="s">
        <v>5027</v>
      </c>
      <c r="M40" s="142" t="s">
        <v>4384</v>
      </c>
      <c r="N40" s="142"/>
    </row>
    <row r="41" spans="1:14" ht="42" customHeight="1">
      <c r="A41" s="157" t="s">
        <v>2764</v>
      </c>
      <c r="B41" s="142">
        <v>725</v>
      </c>
      <c r="C41" s="142" t="s">
        <v>1376</v>
      </c>
      <c r="D41" s="149" t="s">
        <v>1377</v>
      </c>
      <c r="E41" s="142" t="s">
        <v>1366</v>
      </c>
      <c r="F41" s="5" t="s">
        <v>1367</v>
      </c>
      <c r="G41" s="142" t="s">
        <v>283</v>
      </c>
      <c r="H41" s="142" t="s">
        <v>284</v>
      </c>
      <c r="I41" s="142" t="str">
        <f t="shared" si="0"/>
        <v>N4</v>
      </c>
      <c r="J41" s="150" t="str">
        <f>VLOOKUP(I41,'REF - Interface Cards'!$H$2:$I$11,2,FALSE)</f>
        <v>CB5</v>
      </c>
      <c r="K41" s="142" t="s">
        <v>4941</v>
      </c>
      <c r="L41" s="142" t="s">
        <v>5027</v>
      </c>
      <c r="M41" s="142" t="s">
        <v>4384</v>
      </c>
      <c r="N41" s="142"/>
    </row>
    <row r="42" spans="1:14" ht="42" customHeight="1">
      <c r="A42" s="157" t="s">
        <v>1379</v>
      </c>
      <c r="B42" s="142">
        <v>726</v>
      </c>
      <c r="C42" s="142" t="s">
        <v>3335</v>
      </c>
      <c r="D42" s="176" t="s">
        <v>1379</v>
      </c>
      <c r="E42" s="142" t="s">
        <v>1366</v>
      </c>
      <c r="F42" s="5" t="s">
        <v>1367</v>
      </c>
      <c r="G42" s="142" t="s">
        <v>283</v>
      </c>
      <c r="H42" s="142" t="s">
        <v>284</v>
      </c>
      <c r="I42" s="142" t="str">
        <f t="shared" si="0"/>
        <v>N2</v>
      </c>
      <c r="J42" s="150" t="str">
        <f>VLOOKUP(I42,'REF - Interface Cards'!$H$2:$I$11,2,FALSE)</f>
        <v>CB3</v>
      </c>
      <c r="K42" s="142" t="s">
        <v>4935</v>
      </c>
      <c r="L42" s="142" t="s">
        <v>5027</v>
      </c>
      <c r="M42" s="142" t="s">
        <v>4384</v>
      </c>
      <c r="N42" s="142"/>
    </row>
    <row r="43" spans="1:14" ht="42" customHeight="1">
      <c r="A43" s="157" t="s">
        <v>1381</v>
      </c>
      <c r="B43" s="142">
        <v>727</v>
      </c>
      <c r="C43" s="142" t="s">
        <v>2901</v>
      </c>
      <c r="D43" s="176" t="s">
        <v>1381</v>
      </c>
      <c r="E43" s="142" t="s">
        <v>1366</v>
      </c>
      <c r="F43" s="5" t="s">
        <v>1367</v>
      </c>
      <c r="G43" s="142" t="s">
        <v>283</v>
      </c>
      <c r="H43" s="142" t="s">
        <v>284</v>
      </c>
      <c r="I43" s="142" t="str">
        <f t="shared" si="0"/>
        <v>N2</v>
      </c>
      <c r="J43" s="150" t="str">
        <f>VLOOKUP(I43,'REF - Interface Cards'!$H$2:$I$11,2,FALSE)</f>
        <v>CB3</v>
      </c>
      <c r="K43" s="142" t="s">
        <v>4935</v>
      </c>
      <c r="L43" s="142" t="s">
        <v>5027</v>
      </c>
      <c r="M43" s="142" t="s">
        <v>4384</v>
      </c>
      <c r="N43" s="142"/>
    </row>
    <row r="44" spans="1:14" ht="42" customHeight="1">
      <c r="A44" s="157" t="s">
        <v>1383</v>
      </c>
      <c r="B44" s="142">
        <v>728</v>
      </c>
      <c r="C44" s="142" t="s">
        <v>3336</v>
      </c>
      <c r="D44" s="176" t="s">
        <v>1383</v>
      </c>
      <c r="E44" s="142" t="s">
        <v>1366</v>
      </c>
      <c r="F44" s="5" t="s">
        <v>1367</v>
      </c>
      <c r="G44" s="142" t="s">
        <v>283</v>
      </c>
      <c r="H44" s="142" t="s">
        <v>284</v>
      </c>
      <c r="I44" s="142" t="str">
        <f t="shared" si="0"/>
        <v>N3</v>
      </c>
      <c r="J44" s="150" t="str">
        <f>VLOOKUP(I44,'REF - Interface Cards'!$H$2:$I$11,2,FALSE)</f>
        <v>CB4</v>
      </c>
      <c r="K44" s="142" t="s">
        <v>4936</v>
      </c>
      <c r="L44" s="142" t="s">
        <v>5027</v>
      </c>
      <c r="M44" s="142" t="s">
        <v>4384</v>
      </c>
      <c r="N44" s="142"/>
    </row>
    <row r="45" spans="1:14" ht="42" customHeight="1">
      <c r="A45" s="157" t="s">
        <v>1385</v>
      </c>
      <c r="B45" s="142">
        <v>729</v>
      </c>
      <c r="C45" s="142" t="s">
        <v>3337</v>
      </c>
      <c r="D45" s="176" t="s">
        <v>1385</v>
      </c>
      <c r="E45" s="142" t="s">
        <v>1366</v>
      </c>
      <c r="F45" s="5" t="s">
        <v>1367</v>
      </c>
      <c r="G45" s="142" t="s">
        <v>283</v>
      </c>
      <c r="H45" s="142" t="s">
        <v>284</v>
      </c>
      <c r="I45" s="142" t="str">
        <f t="shared" si="0"/>
        <v>N3</v>
      </c>
      <c r="J45" s="150" t="str">
        <f>VLOOKUP(I45,'REF - Interface Cards'!$H$2:$I$11,2,FALSE)</f>
        <v>CB4</v>
      </c>
      <c r="K45" s="142" t="s">
        <v>4936</v>
      </c>
      <c r="L45" s="142" t="s">
        <v>5027</v>
      </c>
      <c r="M45" s="142" t="s">
        <v>4384</v>
      </c>
      <c r="N45" s="142"/>
    </row>
    <row r="46" spans="1:14" ht="42" customHeight="1">
      <c r="A46" s="157" t="s">
        <v>1387</v>
      </c>
      <c r="B46" s="142">
        <v>730</v>
      </c>
      <c r="C46" s="142" t="s">
        <v>3338</v>
      </c>
      <c r="D46" s="176" t="s">
        <v>1387</v>
      </c>
      <c r="E46" s="142" t="s">
        <v>1366</v>
      </c>
      <c r="F46" s="5" t="s">
        <v>1367</v>
      </c>
      <c r="G46" s="142" t="s">
        <v>283</v>
      </c>
      <c r="H46" s="142" t="s">
        <v>284</v>
      </c>
      <c r="I46" s="142" t="str">
        <f t="shared" si="0"/>
        <v>N3</v>
      </c>
      <c r="J46" s="150" t="str">
        <f>VLOOKUP(I46,'REF - Interface Cards'!$H$2:$I$11,2,FALSE)</f>
        <v>CB4</v>
      </c>
      <c r="K46" s="142" t="s">
        <v>4936</v>
      </c>
      <c r="L46" s="142" t="s">
        <v>5027</v>
      </c>
      <c r="M46" s="142" t="s">
        <v>4384</v>
      </c>
      <c r="N46" s="142"/>
    </row>
    <row r="47" spans="1:14" ht="42" customHeight="1">
      <c r="A47" s="184"/>
      <c r="B47" s="184"/>
      <c r="C47" s="184"/>
      <c r="D47" s="184"/>
      <c r="E47" s="184"/>
      <c r="F47" s="184"/>
      <c r="G47" s="184"/>
      <c r="H47" s="184"/>
      <c r="I47" s="184"/>
      <c r="J47" s="184"/>
      <c r="K47" s="184"/>
      <c r="L47" s="184"/>
      <c r="M47" s="184"/>
      <c r="N47" s="184"/>
    </row>
    <row r="48" spans="1:14" ht="42" customHeight="1">
      <c r="A48" s="184"/>
      <c r="B48" s="184"/>
      <c r="C48" s="184"/>
      <c r="D48" s="184"/>
      <c r="E48" s="184"/>
      <c r="F48" s="184"/>
      <c r="G48" s="184"/>
      <c r="H48" s="184"/>
      <c r="I48" s="184"/>
      <c r="J48" s="184"/>
      <c r="K48" s="184"/>
      <c r="L48" s="184"/>
      <c r="M48" s="184"/>
      <c r="N48" s="184"/>
    </row>
    <row r="49" ht="42" customHeight="1"/>
    <row r="50" ht="42" customHeight="1"/>
    <row r="51" ht="42" customHeight="1"/>
    <row r="52" ht="42" customHeight="1"/>
    <row r="53" ht="42" customHeight="1"/>
    <row r="54" ht="42" customHeight="1"/>
    <row r="55" ht="42" customHeight="1"/>
    <row r="56" ht="42" customHeight="1"/>
    <row r="57" ht="42" customHeight="1"/>
    <row r="58" ht="42" customHeight="1"/>
    <row r="59" ht="42" customHeight="1"/>
    <row r="60" ht="42" customHeight="1"/>
    <row r="61" ht="42" customHeight="1"/>
    <row r="62" ht="42" customHeight="1"/>
    <row r="63" ht="42" customHeight="1"/>
    <row r="64" ht="42" customHeight="1"/>
    <row r="65" ht="42" customHeight="1"/>
    <row r="66" ht="42" customHeight="1"/>
    <row r="67" ht="42" customHeight="1"/>
    <row r="68" ht="42" customHeight="1"/>
    <row r="69" ht="42" customHeight="1"/>
    <row r="70" ht="42" customHeight="1"/>
    <row r="71" ht="42" customHeight="1"/>
    <row r="72" ht="42" customHeight="1"/>
    <row r="73" ht="42" customHeight="1"/>
    <row r="74" ht="42" customHeight="1"/>
    <row r="75" ht="42" customHeight="1"/>
    <row r="76" ht="42" customHeight="1"/>
    <row r="77" ht="42" customHeight="1"/>
    <row r="78" ht="42" customHeight="1"/>
    <row r="79" ht="42" customHeight="1"/>
    <row r="80" ht="42" customHeight="1"/>
    <row r="81" ht="42" customHeight="1"/>
    <row r="82" ht="42" customHeight="1"/>
    <row r="83" ht="42" customHeight="1"/>
    <row r="84" ht="42" customHeight="1"/>
    <row r="85" ht="42" customHeight="1"/>
    <row r="86" ht="42" customHeight="1"/>
    <row r="87" ht="42" customHeight="1"/>
    <row r="88" ht="42" customHeight="1"/>
    <row r="89" ht="42" customHeight="1"/>
    <row r="90" ht="42" customHeight="1"/>
    <row r="91" ht="42" customHeight="1"/>
    <row r="92" ht="42" customHeight="1"/>
    <row r="93" ht="42" customHeight="1"/>
    <row r="94" ht="42" customHeight="1"/>
    <row r="95" ht="42" customHeight="1"/>
    <row r="96" ht="42" customHeight="1"/>
    <row r="97" ht="42" customHeight="1"/>
    <row r="98" ht="42" customHeight="1"/>
    <row r="99" ht="42" customHeight="1"/>
    <row r="100" ht="42" customHeight="1"/>
    <row r="101" ht="42" customHeight="1"/>
    <row r="102" ht="42" customHeight="1"/>
    <row r="103" ht="42" customHeight="1"/>
    <row r="104" ht="42" customHeight="1"/>
    <row r="105" ht="42" customHeight="1"/>
    <row r="106" ht="42" customHeight="1"/>
    <row r="107" ht="42" customHeight="1"/>
    <row r="108" ht="42" customHeight="1"/>
    <row r="109" ht="42" customHeight="1"/>
    <row r="110" ht="42" customHeight="1"/>
    <row r="111" ht="42" customHeight="1"/>
    <row r="112" ht="42" customHeight="1"/>
    <row r="113" ht="42" customHeight="1"/>
    <row r="114" ht="42" customHeight="1"/>
    <row r="115" ht="42" customHeight="1"/>
    <row r="116" ht="42" customHeight="1"/>
    <row r="117" ht="42" customHeight="1"/>
    <row r="118" ht="42" customHeight="1"/>
    <row r="119" ht="42" customHeight="1"/>
    <row r="120" ht="42" customHeight="1"/>
    <row r="121" ht="42" customHeight="1"/>
    <row r="122" ht="42" customHeight="1"/>
    <row r="123" ht="42" customHeight="1"/>
    <row r="124" ht="42" customHeight="1"/>
    <row r="125" ht="42" customHeight="1"/>
    <row r="126" ht="42" customHeight="1"/>
    <row r="127" ht="42" customHeight="1"/>
    <row r="128" ht="42" customHeight="1"/>
    <row r="129" ht="42" customHeight="1"/>
    <row r="130" ht="42" customHeight="1"/>
    <row r="131" ht="42" customHeight="1"/>
    <row r="132" ht="42" customHeight="1"/>
    <row r="133" ht="42" customHeight="1"/>
    <row r="134" ht="42" customHeight="1"/>
    <row r="135" ht="42" customHeight="1"/>
    <row r="136" ht="42" customHeight="1"/>
    <row r="137" ht="42" customHeight="1"/>
    <row r="138" ht="42" customHeight="1"/>
    <row r="139" ht="42" customHeight="1"/>
    <row r="140" ht="42" customHeight="1"/>
    <row r="141" ht="42" customHeight="1"/>
    <row r="142" ht="42" customHeight="1"/>
    <row r="143" ht="42" customHeight="1"/>
    <row r="144" ht="42" customHeight="1"/>
    <row r="145" ht="42" customHeight="1"/>
    <row r="146" ht="42" customHeight="1"/>
    <row r="147" ht="42" customHeight="1"/>
    <row r="148" ht="42" customHeight="1"/>
    <row r="149" ht="42" customHeight="1"/>
    <row r="150" ht="42" customHeight="1"/>
    <row r="151" ht="42" customHeight="1"/>
    <row r="152" ht="42" customHeight="1"/>
    <row r="153" ht="42" customHeight="1"/>
    <row r="154" ht="42" customHeight="1"/>
    <row r="155" ht="42" customHeight="1"/>
    <row r="156" ht="42" customHeight="1"/>
    <row r="157" ht="42" customHeight="1"/>
    <row r="158" ht="42" customHeight="1"/>
    <row r="159" ht="42" customHeight="1"/>
    <row r="160" ht="42" customHeight="1"/>
    <row r="161" ht="42" customHeight="1"/>
    <row r="162" ht="42" customHeight="1"/>
    <row r="163" ht="42" customHeight="1"/>
    <row r="164" ht="42" customHeight="1"/>
    <row r="165" ht="42" customHeight="1"/>
    <row r="166" ht="42" customHeight="1"/>
    <row r="167" ht="42" customHeight="1"/>
    <row r="168" ht="42" customHeight="1"/>
    <row r="169" ht="42" customHeight="1"/>
    <row r="170" ht="42" customHeight="1"/>
    <row r="171" ht="42" customHeight="1"/>
    <row r="172" ht="42" customHeight="1"/>
    <row r="173" ht="42" customHeight="1"/>
    <row r="174" ht="42" customHeight="1"/>
    <row r="175" ht="42" customHeight="1"/>
    <row r="176" ht="42" customHeight="1"/>
    <row r="177" ht="42" customHeight="1"/>
    <row r="178" ht="42" customHeight="1"/>
    <row r="179" ht="42" customHeight="1"/>
    <row r="180" ht="42" customHeight="1"/>
    <row r="181" ht="42" customHeight="1"/>
    <row r="182" ht="42" customHeight="1"/>
    <row r="183" ht="42" customHeight="1"/>
    <row r="184" ht="42" customHeight="1"/>
    <row r="185" ht="42" customHeight="1"/>
    <row r="186" ht="42" customHeight="1"/>
    <row r="187" ht="42" customHeight="1"/>
    <row r="188" ht="42" customHeight="1"/>
    <row r="189" ht="42" customHeight="1"/>
    <row r="190" ht="42" customHeight="1"/>
    <row r="191" ht="42" customHeight="1"/>
    <row r="192" ht="42" customHeight="1"/>
    <row r="193" ht="42" customHeight="1"/>
    <row r="194" ht="42" customHeight="1"/>
    <row r="195" ht="42" customHeight="1"/>
    <row r="196" ht="42" customHeight="1"/>
    <row r="197" ht="42" customHeight="1"/>
    <row r="198" ht="42" customHeight="1"/>
    <row r="199" ht="42" customHeight="1"/>
    <row r="200" ht="42" customHeight="1"/>
    <row r="201" ht="42" customHeight="1"/>
    <row r="202" ht="42" customHeight="1"/>
    <row r="203" ht="42" customHeight="1"/>
    <row r="204" ht="42" customHeight="1"/>
    <row r="205" ht="42" customHeight="1"/>
    <row r="206" ht="42" customHeight="1"/>
    <row r="207" ht="42" customHeight="1"/>
    <row r="208" ht="42" customHeight="1"/>
    <row r="209" ht="42" customHeight="1"/>
    <row r="210" ht="42" customHeight="1"/>
    <row r="211" ht="42" customHeight="1"/>
    <row r="212" ht="42" customHeight="1"/>
    <row r="213" ht="42" customHeight="1"/>
    <row r="214" ht="42" customHeight="1"/>
    <row r="215" ht="42" customHeight="1"/>
    <row r="216" ht="42" customHeight="1"/>
    <row r="217" ht="42" customHeight="1"/>
    <row r="218" ht="42" customHeight="1"/>
    <row r="219" ht="42" customHeight="1"/>
    <row r="220" ht="42" customHeight="1"/>
    <row r="221" ht="42" customHeight="1"/>
    <row r="222" ht="42" customHeight="1"/>
    <row r="223" ht="42" customHeight="1"/>
    <row r="224" ht="42" customHeight="1"/>
    <row r="225" ht="42" customHeight="1"/>
    <row r="226" ht="42" customHeight="1"/>
    <row r="227" ht="42" customHeight="1"/>
    <row r="228" ht="42" customHeight="1"/>
    <row r="229" ht="42" customHeight="1"/>
    <row r="230" ht="42" customHeight="1"/>
    <row r="231" ht="42" customHeight="1"/>
    <row r="232" ht="42" customHeight="1"/>
    <row r="233" ht="42" customHeight="1"/>
    <row r="234" ht="42" customHeight="1"/>
    <row r="235" ht="42" customHeight="1"/>
    <row r="236" ht="42" customHeight="1"/>
    <row r="237" ht="42" customHeight="1"/>
    <row r="238" ht="42" customHeight="1"/>
    <row r="239" ht="42" customHeight="1"/>
    <row r="240" ht="42" customHeight="1"/>
    <row r="241" ht="42" customHeight="1"/>
    <row r="242" ht="42" customHeight="1"/>
    <row r="243" ht="42" customHeight="1"/>
    <row r="244" ht="42" customHeight="1"/>
    <row r="245" ht="42" customHeight="1"/>
    <row r="246" ht="42" customHeight="1"/>
    <row r="247" ht="42" customHeight="1"/>
    <row r="248" ht="42" customHeight="1"/>
    <row r="249" ht="42" customHeight="1"/>
    <row r="250" ht="42" customHeight="1"/>
    <row r="251" ht="42" customHeight="1"/>
    <row r="252" ht="42" customHeight="1"/>
    <row r="253" ht="42" customHeight="1"/>
    <row r="254" ht="42" customHeight="1"/>
    <row r="255" ht="42" customHeight="1"/>
    <row r="256" ht="42" customHeight="1"/>
    <row r="257" ht="42" customHeight="1"/>
    <row r="258" ht="42" customHeight="1"/>
    <row r="259" ht="42" customHeight="1"/>
    <row r="260" ht="42" customHeight="1"/>
    <row r="261" ht="42" customHeight="1"/>
    <row r="262" ht="42" customHeight="1"/>
    <row r="263" ht="42" customHeight="1"/>
    <row r="264" ht="42" customHeight="1"/>
    <row r="265" ht="42" customHeight="1"/>
    <row r="266" ht="42" customHeight="1"/>
    <row r="267" ht="42" customHeight="1"/>
    <row r="268" ht="42" customHeight="1"/>
    <row r="269" ht="42" customHeight="1"/>
    <row r="270" ht="42" customHeight="1"/>
    <row r="271" ht="42" customHeight="1"/>
    <row r="272" ht="42" customHeight="1"/>
    <row r="273" ht="42" customHeight="1"/>
    <row r="274" ht="42" customHeight="1"/>
    <row r="275" ht="42" customHeight="1"/>
    <row r="276" ht="42" customHeight="1"/>
    <row r="277" ht="42" customHeight="1"/>
    <row r="278" ht="42" customHeight="1"/>
    <row r="279" ht="42" customHeight="1"/>
    <row r="280" ht="42" customHeight="1"/>
    <row r="281" ht="42" customHeight="1"/>
    <row r="282" ht="42" customHeight="1"/>
    <row r="283" ht="42" customHeight="1"/>
    <row r="284" ht="42" customHeight="1"/>
    <row r="285" ht="42" customHeight="1"/>
    <row r="286" ht="42" customHeight="1"/>
    <row r="287" ht="42" customHeight="1"/>
    <row r="288" ht="42" customHeight="1"/>
    <row r="289" ht="42" customHeight="1"/>
    <row r="290" ht="42" customHeight="1"/>
    <row r="291" ht="42" customHeight="1"/>
    <row r="292" ht="42" customHeight="1"/>
    <row r="293" ht="42" customHeight="1"/>
    <row r="294" ht="42" customHeight="1"/>
    <row r="295" ht="42" customHeight="1"/>
    <row r="296" ht="42" customHeight="1"/>
    <row r="297" ht="42" customHeight="1"/>
    <row r="298" ht="42" customHeight="1"/>
    <row r="299" ht="42" customHeight="1"/>
    <row r="300" ht="42" customHeight="1"/>
    <row r="301" ht="42" customHeight="1"/>
    <row r="302" ht="42" customHeight="1"/>
    <row r="303" ht="42" customHeight="1"/>
    <row r="304" ht="42" customHeight="1"/>
    <row r="305" ht="42" customHeight="1"/>
    <row r="306" ht="42" customHeight="1"/>
    <row r="307" ht="42" customHeight="1"/>
    <row r="308" ht="42" customHeight="1"/>
    <row r="309" ht="42" customHeight="1"/>
    <row r="310" ht="42" customHeight="1"/>
    <row r="311" ht="42" customHeight="1"/>
    <row r="312" ht="42" customHeight="1"/>
    <row r="313" ht="42" customHeight="1"/>
    <row r="314" ht="42" customHeight="1"/>
    <row r="315" ht="42" customHeight="1"/>
    <row r="316" ht="42" customHeight="1"/>
    <row r="317" ht="42" customHeight="1"/>
    <row r="318" ht="42" customHeight="1"/>
    <row r="319" ht="42" customHeight="1"/>
    <row r="320" ht="42" customHeight="1"/>
    <row r="321" ht="42" customHeight="1"/>
    <row r="322" ht="42" customHeight="1"/>
    <row r="323" ht="42" customHeight="1"/>
    <row r="324" ht="42" customHeight="1"/>
    <row r="325" ht="42" customHeight="1"/>
    <row r="326" ht="42" customHeight="1"/>
    <row r="327" ht="42" customHeight="1"/>
    <row r="328" ht="42" customHeight="1"/>
    <row r="329" ht="42" customHeight="1"/>
    <row r="330" ht="42" customHeight="1"/>
    <row r="331" ht="42" customHeight="1"/>
    <row r="332" ht="42" customHeight="1"/>
    <row r="333" ht="42" customHeight="1"/>
    <row r="334" ht="42" customHeight="1"/>
    <row r="335" ht="42" customHeight="1"/>
    <row r="336" ht="42" customHeight="1"/>
    <row r="337" ht="42" customHeight="1"/>
    <row r="338" ht="42" customHeight="1"/>
    <row r="339" ht="42" customHeight="1"/>
    <row r="340" ht="42" customHeight="1"/>
    <row r="341" ht="42" customHeight="1"/>
    <row r="342" ht="42" customHeight="1"/>
    <row r="343" ht="42" customHeight="1"/>
    <row r="344" ht="42" customHeight="1"/>
    <row r="345" ht="42" customHeight="1"/>
    <row r="346" ht="42" customHeight="1"/>
    <row r="347" ht="42" customHeight="1"/>
    <row r="348" ht="42" customHeight="1"/>
    <row r="349" ht="42" customHeight="1"/>
    <row r="350" ht="42" customHeight="1"/>
    <row r="351" ht="42" customHeight="1"/>
    <row r="352" ht="42" customHeight="1"/>
    <row r="353" ht="42" customHeight="1"/>
    <row r="354" ht="42" customHeight="1"/>
    <row r="355" ht="42" customHeight="1"/>
    <row r="356" ht="42" customHeight="1"/>
    <row r="357" ht="42" customHeight="1"/>
    <row r="358" ht="42" customHeight="1"/>
    <row r="359" ht="42" customHeight="1"/>
    <row r="360" ht="42" customHeight="1"/>
    <row r="361" ht="42" customHeight="1"/>
    <row r="362" ht="42" customHeight="1"/>
    <row r="363" ht="42" customHeight="1"/>
    <row r="364" ht="42" customHeight="1"/>
    <row r="365" ht="42" customHeight="1"/>
    <row r="366" ht="42" customHeight="1"/>
    <row r="367" ht="42" customHeight="1"/>
    <row r="368" ht="42" customHeight="1"/>
    <row r="369" ht="42" customHeight="1"/>
    <row r="370" ht="42" customHeight="1"/>
    <row r="371" ht="42" customHeight="1"/>
    <row r="372" ht="42" customHeight="1"/>
    <row r="373" ht="42" customHeight="1"/>
    <row r="374" ht="42" customHeight="1"/>
    <row r="375" ht="42" customHeight="1"/>
    <row r="376" ht="42" customHeight="1"/>
    <row r="377" ht="42" customHeight="1"/>
    <row r="378" ht="42" customHeight="1"/>
    <row r="379" ht="42" customHeight="1"/>
    <row r="380" ht="42" customHeight="1"/>
    <row r="381" ht="42" customHeight="1"/>
    <row r="382" ht="42" customHeight="1"/>
    <row r="383" ht="42" customHeight="1"/>
    <row r="384" ht="42" customHeight="1"/>
    <row r="385" ht="42" customHeight="1"/>
    <row r="386" ht="42" customHeight="1"/>
    <row r="387" ht="42" customHeight="1"/>
    <row r="388" ht="42" customHeight="1"/>
    <row r="389" ht="42" customHeight="1"/>
    <row r="390" ht="42" customHeight="1"/>
    <row r="391" ht="42" customHeight="1"/>
    <row r="392" ht="42" customHeight="1"/>
    <row r="393" ht="42" customHeight="1"/>
    <row r="394" ht="42" customHeight="1"/>
    <row r="395" ht="42" customHeight="1"/>
    <row r="396" ht="42" customHeight="1"/>
    <row r="397" ht="42" customHeight="1"/>
    <row r="398" ht="42" customHeight="1"/>
    <row r="399" ht="42" customHeight="1"/>
    <row r="400" ht="42" customHeight="1"/>
    <row r="401" ht="42" customHeight="1"/>
    <row r="402" ht="42" customHeight="1"/>
    <row r="403" ht="42" customHeight="1"/>
    <row r="404" ht="42" customHeight="1"/>
    <row r="405" ht="42" customHeight="1"/>
    <row r="406" ht="42" customHeight="1"/>
    <row r="407" ht="42" customHeight="1"/>
    <row r="408" ht="42" customHeight="1"/>
    <row r="409" ht="42" customHeight="1"/>
    <row r="410" ht="42" customHeight="1"/>
    <row r="411" ht="42" customHeight="1"/>
    <row r="412" ht="42" customHeight="1"/>
    <row r="413" ht="42" customHeight="1"/>
    <row r="414" ht="42" customHeight="1"/>
    <row r="415" ht="42" customHeight="1"/>
    <row r="416" ht="42" customHeight="1"/>
    <row r="417" ht="42" customHeight="1"/>
    <row r="418" ht="42" customHeight="1"/>
    <row r="419" ht="42" customHeight="1"/>
    <row r="420" ht="42" customHeight="1"/>
    <row r="421" ht="42" customHeight="1"/>
    <row r="422" ht="42" customHeight="1"/>
    <row r="423" ht="42" customHeight="1"/>
    <row r="424" ht="42" customHeight="1"/>
    <row r="425" ht="42" customHeight="1"/>
    <row r="426" ht="42" customHeight="1"/>
    <row r="427" ht="42" customHeight="1"/>
    <row r="428" ht="42" customHeight="1"/>
    <row r="429" ht="42" customHeight="1"/>
    <row r="430" ht="42" customHeight="1"/>
    <row r="431" ht="42" customHeight="1"/>
    <row r="432" ht="42" customHeight="1"/>
    <row r="433" ht="42" customHeight="1"/>
    <row r="434" ht="42" customHeight="1"/>
    <row r="435" ht="42" customHeight="1"/>
    <row r="436" ht="42" customHeight="1"/>
    <row r="437" ht="42" customHeight="1"/>
    <row r="438" ht="42" customHeight="1"/>
    <row r="439" ht="42" customHeight="1"/>
    <row r="440" ht="42" customHeight="1"/>
    <row r="441" ht="42" customHeight="1"/>
    <row r="442" ht="42" customHeight="1"/>
    <row r="443" ht="42" customHeight="1"/>
    <row r="444" ht="42" customHeight="1"/>
    <row r="445" ht="42" customHeight="1"/>
    <row r="446" ht="42" customHeight="1"/>
    <row r="447" ht="42" customHeight="1"/>
    <row r="448" ht="42" customHeight="1"/>
    <row r="449" ht="42" customHeight="1"/>
    <row r="450" ht="42" customHeight="1"/>
    <row r="451" ht="42" customHeight="1"/>
    <row r="452" ht="42" customHeight="1"/>
    <row r="453" ht="42" customHeight="1"/>
    <row r="454" ht="42" customHeight="1"/>
    <row r="455" ht="42" customHeight="1"/>
    <row r="456" ht="42" customHeight="1"/>
    <row r="457" ht="42" customHeight="1"/>
    <row r="458" ht="42" customHeight="1"/>
    <row r="459" ht="42" customHeight="1"/>
    <row r="460" ht="42" customHeight="1"/>
    <row r="461" ht="42" customHeight="1"/>
    <row r="462" ht="42" customHeight="1"/>
    <row r="463" ht="42" customHeight="1"/>
    <row r="464" ht="42" customHeight="1"/>
    <row r="465" ht="42" customHeight="1"/>
    <row r="466" ht="42" customHeight="1"/>
    <row r="467" ht="42" customHeight="1"/>
    <row r="468" ht="42" customHeight="1"/>
    <row r="469" ht="42" customHeight="1"/>
    <row r="470" ht="42" customHeight="1"/>
    <row r="471" ht="42" customHeight="1"/>
    <row r="472" ht="42" customHeight="1"/>
    <row r="473" ht="42" customHeight="1"/>
    <row r="474" ht="42" customHeight="1"/>
    <row r="475" ht="42" customHeight="1"/>
    <row r="476" ht="42" customHeight="1"/>
    <row r="477" ht="42" customHeight="1"/>
    <row r="478" ht="42" customHeight="1"/>
    <row r="479" ht="42" customHeight="1"/>
    <row r="480" ht="42" customHeight="1"/>
    <row r="481" ht="42" customHeight="1"/>
    <row r="482" ht="42" customHeight="1"/>
    <row r="483" ht="42" customHeight="1"/>
    <row r="484" ht="42" customHeight="1"/>
    <row r="485" ht="42" customHeight="1"/>
    <row r="486" ht="42" customHeight="1"/>
    <row r="487" ht="42" customHeight="1"/>
    <row r="488" ht="42" customHeight="1"/>
    <row r="489" ht="42" customHeight="1"/>
    <row r="490" ht="42" customHeight="1"/>
    <row r="491" ht="42" customHeight="1"/>
    <row r="492" ht="42" customHeight="1"/>
    <row r="493" ht="42" customHeight="1"/>
    <row r="494" ht="42" customHeight="1"/>
    <row r="495" ht="42" customHeight="1"/>
    <row r="496" ht="42" customHeight="1"/>
    <row r="497" ht="42" customHeight="1"/>
    <row r="498" ht="42" customHeight="1"/>
    <row r="499" ht="42" customHeight="1"/>
    <row r="500" ht="42" customHeight="1"/>
    <row r="501" ht="42" customHeight="1"/>
    <row r="502" ht="42" customHeight="1"/>
    <row r="503" ht="42" customHeight="1"/>
    <row r="504" ht="42" customHeight="1"/>
    <row r="505" ht="42" customHeight="1"/>
    <row r="506" ht="42" customHeight="1"/>
    <row r="507" ht="42" customHeight="1"/>
    <row r="508" ht="42" customHeight="1"/>
    <row r="509" ht="42" customHeight="1"/>
    <row r="510" ht="42" customHeight="1"/>
    <row r="511" ht="42" customHeight="1"/>
    <row r="512" ht="42" customHeight="1"/>
    <row r="513" ht="42" customHeight="1"/>
    <row r="514" ht="42" customHeight="1"/>
    <row r="515" ht="42" customHeight="1"/>
    <row r="516" ht="42" customHeight="1"/>
    <row r="517" ht="42" customHeight="1"/>
    <row r="518" ht="42" customHeight="1"/>
    <row r="519" ht="42" customHeight="1"/>
    <row r="520" ht="42" customHeight="1"/>
    <row r="521" ht="42" customHeight="1"/>
    <row r="522" ht="42" customHeight="1"/>
    <row r="523" ht="42" customHeight="1"/>
    <row r="524" ht="42" customHeight="1"/>
    <row r="525" ht="42" customHeight="1"/>
    <row r="526" ht="42" customHeight="1"/>
    <row r="527" ht="42" customHeight="1"/>
    <row r="528" ht="42" customHeight="1"/>
    <row r="529" ht="42" customHeight="1"/>
    <row r="530" ht="42" customHeight="1"/>
    <row r="531" ht="42" customHeight="1"/>
    <row r="532" ht="42" customHeight="1"/>
    <row r="533" ht="42" customHeight="1"/>
    <row r="534" ht="42" customHeight="1"/>
    <row r="535" ht="42" customHeight="1"/>
    <row r="536" ht="42" customHeight="1"/>
    <row r="537" ht="42" customHeight="1"/>
    <row r="538" ht="42" customHeight="1"/>
    <row r="539" ht="42" customHeight="1"/>
    <row r="540" ht="42" customHeight="1"/>
    <row r="541" ht="42" customHeight="1"/>
    <row r="542" ht="42" customHeight="1"/>
    <row r="543" ht="42" customHeight="1"/>
    <row r="544" ht="42" customHeight="1"/>
    <row r="545" ht="42" customHeight="1"/>
    <row r="546" ht="42" customHeight="1"/>
    <row r="547" ht="42" customHeight="1"/>
    <row r="548" ht="42" customHeight="1"/>
    <row r="549" ht="42" customHeight="1"/>
    <row r="550" ht="42" customHeight="1"/>
    <row r="551" ht="42" customHeight="1"/>
    <row r="552" ht="42" customHeight="1"/>
    <row r="553" ht="42" customHeight="1"/>
    <row r="554" ht="42" customHeight="1"/>
    <row r="555" ht="42" customHeight="1"/>
    <row r="556" ht="42" customHeight="1"/>
    <row r="557" ht="42" customHeight="1"/>
    <row r="558" ht="42" customHeight="1"/>
    <row r="559" ht="42" customHeight="1"/>
    <row r="560" ht="42" customHeight="1"/>
    <row r="561" ht="42" customHeight="1"/>
    <row r="562" ht="42" customHeight="1"/>
    <row r="563" ht="42" customHeight="1"/>
    <row r="564" ht="42" customHeight="1"/>
    <row r="565" ht="42" customHeight="1"/>
    <row r="566" ht="42" customHeight="1"/>
    <row r="567" ht="42" customHeight="1"/>
    <row r="568" ht="42" customHeight="1"/>
    <row r="569" ht="42" customHeight="1"/>
    <row r="570" ht="42" customHeight="1"/>
    <row r="571" ht="42" customHeight="1"/>
    <row r="572" ht="42" customHeight="1"/>
    <row r="573" ht="42" customHeight="1"/>
    <row r="574" ht="42" customHeight="1"/>
    <row r="575" ht="42" customHeight="1"/>
    <row r="576" ht="42" customHeight="1"/>
    <row r="577" ht="42" customHeight="1"/>
    <row r="578" ht="42" customHeight="1"/>
    <row r="579" ht="42" customHeight="1"/>
    <row r="580" ht="42" customHeight="1"/>
    <row r="581" ht="42" customHeight="1"/>
    <row r="582" ht="42" customHeight="1"/>
    <row r="583" ht="42" customHeight="1"/>
    <row r="584" ht="42" customHeight="1"/>
    <row r="585" ht="42" customHeight="1"/>
    <row r="586" ht="42" customHeight="1"/>
    <row r="587" ht="42" customHeight="1"/>
    <row r="588" ht="42" customHeight="1"/>
    <row r="589" ht="42" customHeight="1"/>
    <row r="590" ht="42" customHeight="1"/>
    <row r="591" ht="42" customHeight="1"/>
    <row r="592" ht="42" customHeight="1"/>
    <row r="593" ht="42" customHeight="1"/>
    <row r="594" ht="42" customHeight="1"/>
    <row r="595" ht="42" customHeight="1"/>
    <row r="596" ht="42" customHeight="1"/>
    <row r="597" ht="42" customHeight="1"/>
    <row r="598" ht="42" customHeight="1"/>
    <row r="599" ht="42" customHeight="1"/>
    <row r="600" ht="42" customHeight="1"/>
    <row r="601" ht="42" customHeight="1"/>
    <row r="602" ht="42" customHeight="1"/>
    <row r="603" ht="42" customHeight="1"/>
    <row r="604" ht="42" customHeight="1"/>
    <row r="605" ht="42" customHeight="1"/>
    <row r="606" ht="42" customHeight="1"/>
    <row r="607" ht="42" customHeight="1"/>
    <row r="608" ht="42" customHeight="1"/>
    <row r="609" ht="42" customHeight="1"/>
    <row r="610" ht="42" customHeight="1"/>
    <row r="611" ht="42" customHeight="1"/>
    <row r="612" ht="42" customHeight="1"/>
    <row r="613" ht="42" customHeight="1"/>
    <row r="614" ht="42" customHeight="1"/>
    <row r="615" ht="42" customHeight="1"/>
    <row r="616" ht="42" customHeight="1"/>
    <row r="617" ht="42" customHeight="1"/>
    <row r="618" ht="42" customHeight="1"/>
    <row r="619" ht="42" customHeight="1"/>
    <row r="620" ht="42" customHeight="1"/>
    <row r="621" ht="42" customHeight="1"/>
    <row r="622" ht="42" customHeight="1"/>
    <row r="623" ht="42" customHeight="1"/>
    <row r="624" ht="42" customHeight="1"/>
    <row r="625" ht="42" customHeight="1"/>
    <row r="626" ht="42" customHeight="1"/>
    <row r="627" ht="42" customHeight="1"/>
    <row r="628" ht="42" customHeight="1"/>
    <row r="629" ht="42" customHeight="1"/>
    <row r="630" ht="42" customHeight="1"/>
    <row r="631" ht="42" customHeight="1"/>
    <row r="632" ht="42" customHeight="1"/>
    <row r="633" ht="42" customHeight="1"/>
    <row r="634" ht="42" customHeight="1"/>
    <row r="635" ht="42" customHeight="1"/>
    <row r="636" ht="42" customHeight="1"/>
    <row r="637" ht="42" customHeight="1"/>
    <row r="638" ht="42" customHeight="1"/>
    <row r="639" ht="42" customHeight="1"/>
    <row r="640" ht="42" customHeight="1"/>
    <row r="641" ht="42" customHeight="1"/>
    <row r="642" ht="42" customHeight="1"/>
    <row r="643" ht="42" customHeight="1"/>
    <row r="644" ht="42" customHeight="1"/>
    <row r="645" ht="42" customHeight="1"/>
    <row r="646" ht="42" customHeight="1"/>
    <row r="647" ht="42" customHeight="1"/>
    <row r="648" ht="42" customHeight="1"/>
    <row r="649" ht="42" customHeight="1"/>
    <row r="650" ht="42" customHeight="1"/>
    <row r="651" ht="42" customHeight="1"/>
    <row r="652" ht="42" customHeight="1"/>
    <row r="653" ht="42" customHeight="1"/>
    <row r="654" ht="42" customHeight="1"/>
    <row r="655" ht="42" customHeight="1"/>
    <row r="656" ht="42" customHeight="1"/>
    <row r="657" ht="42" customHeight="1"/>
    <row r="658" ht="42" customHeight="1"/>
    <row r="659" ht="42" customHeight="1"/>
    <row r="660" ht="42" customHeight="1"/>
    <row r="661" ht="42" customHeight="1"/>
    <row r="662" ht="42" customHeight="1"/>
    <row r="663" ht="42" customHeight="1"/>
    <row r="664" ht="42" customHeight="1"/>
    <row r="665" ht="42" customHeight="1"/>
    <row r="666" ht="42" customHeight="1"/>
    <row r="667" ht="42" customHeight="1"/>
    <row r="668" ht="42" customHeight="1"/>
    <row r="669" ht="42" customHeight="1"/>
    <row r="670" ht="42" customHeight="1"/>
    <row r="671" ht="42" customHeight="1"/>
    <row r="672" ht="42" customHeight="1"/>
    <row r="673" ht="42" customHeight="1"/>
    <row r="674" ht="42" customHeight="1"/>
    <row r="675" ht="42" customHeight="1"/>
    <row r="676" ht="42" customHeight="1"/>
    <row r="677" ht="42" customHeight="1"/>
    <row r="678" ht="42" customHeight="1"/>
    <row r="679" ht="42" customHeight="1"/>
    <row r="680" ht="42" customHeight="1"/>
    <row r="681" ht="42" customHeight="1"/>
    <row r="682" ht="42" customHeight="1"/>
    <row r="683" ht="42" customHeight="1"/>
    <row r="684" ht="42" customHeight="1"/>
    <row r="685" ht="42" customHeight="1"/>
    <row r="686" ht="42" customHeight="1"/>
    <row r="687" ht="42" customHeight="1"/>
    <row r="688" ht="42" customHeight="1"/>
    <row r="689" ht="42" customHeight="1"/>
    <row r="690" ht="42" customHeight="1"/>
    <row r="691" ht="42" customHeight="1"/>
    <row r="692" ht="42" customHeight="1"/>
    <row r="693" ht="42" customHeight="1"/>
    <row r="694" ht="42" customHeight="1"/>
    <row r="695" ht="42" customHeight="1"/>
    <row r="696" ht="42" customHeight="1"/>
    <row r="697" ht="42" customHeight="1"/>
    <row r="698" ht="42" customHeight="1"/>
    <row r="699" ht="42" customHeight="1"/>
    <row r="700" ht="42" customHeight="1"/>
    <row r="701" ht="42" customHeight="1"/>
    <row r="702" ht="42" customHeight="1"/>
    <row r="703" ht="42" customHeight="1"/>
    <row r="704" ht="42" customHeight="1"/>
    <row r="705" ht="42" customHeight="1"/>
    <row r="706" ht="42" customHeight="1"/>
    <row r="707" ht="42" customHeight="1"/>
    <row r="708" ht="42" customHeight="1"/>
    <row r="709" ht="42" customHeight="1"/>
    <row r="710" ht="42" customHeight="1"/>
    <row r="711" ht="42" customHeight="1"/>
    <row r="712" ht="42" customHeight="1"/>
    <row r="713" ht="42" customHeight="1"/>
    <row r="714" ht="42" customHeight="1"/>
    <row r="715" ht="42" customHeight="1"/>
    <row r="716" ht="42" customHeight="1"/>
    <row r="717" ht="42" customHeight="1"/>
    <row r="718" ht="42" customHeight="1"/>
    <row r="719" ht="42" customHeight="1"/>
    <row r="720" ht="42" customHeight="1"/>
    <row r="721" ht="42" customHeight="1"/>
    <row r="722" ht="42" customHeight="1"/>
    <row r="723" ht="42" customHeight="1"/>
    <row r="724" ht="42" customHeight="1"/>
    <row r="725" ht="42" customHeight="1"/>
    <row r="726" ht="42" customHeight="1"/>
    <row r="727" ht="42" customHeight="1"/>
    <row r="728" ht="42" customHeight="1"/>
    <row r="729" ht="42" customHeight="1"/>
    <row r="730" ht="42" customHeight="1"/>
    <row r="731" ht="42" customHeight="1"/>
    <row r="732" ht="42" customHeight="1"/>
    <row r="733" ht="42" customHeight="1"/>
    <row r="734" ht="42" customHeight="1"/>
    <row r="735" ht="42" customHeight="1"/>
    <row r="736" ht="42" customHeight="1"/>
    <row r="737" ht="42" customHeight="1"/>
    <row r="738" ht="42" customHeight="1"/>
    <row r="739" ht="42" customHeight="1"/>
    <row r="740" ht="42" customHeight="1"/>
    <row r="741" ht="42" customHeight="1"/>
    <row r="742" ht="42" customHeight="1"/>
    <row r="743" ht="42" customHeight="1"/>
    <row r="744" ht="42" customHeight="1"/>
    <row r="745" ht="42" customHeight="1"/>
    <row r="746" ht="42" customHeight="1"/>
    <row r="747" ht="42" customHeight="1"/>
    <row r="748" ht="42" customHeight="1"/>
    <row r="749" ht="42" customHeight="1"/>
    <row r="750" ht="42" customHeight="1"/>
    <row r="751" ht="42" customHeight="1"/>
    <row r="752" ht="42" customHeight="1"/>
    <row r="753" ht="42" customHeight="1"/>
    <row r="754" ht="42" customHeight="1"/>
    <row r="755" ht="42" customHeight="1"/>
    <row r="756" ht="42" customHeight="1"/>
    <row r="757" ht="42" customHeight="1"/>
    <row r="758" ht="42" customHeight="1"/>
    <row r="759" ht="42" customHeight="1"/>
    <row r="760" ht="42" customHeight="1"/>
    <row r="761" ht="42" customHeight="1"/>
    <row r="762" ht="42" customHeight="1"/>
    <row r="763" ht="42" customHeight="1"/>
    <row r="764" ht="42" customHeight="1"/>
    <row r="765" ht="42" customHeight="1"/>
    <row r="766" ht="42" customHeight="1"/>
    <row r="767" ht="42" customHeight="1"/>
    <row r="768" ht="42" customHeight="1"/>
    <row r="769" ht="42" customHeight="1"/>
    <row r="770" ht="42" customHeight="1"/>
    <row r="771" ht="42" customHeight="1"/>
    <row r="772" ht="42" customHeight="1"/>
    <row r="773" ht="42" customHeight="1"/>
    <row r="774" ht="42" customHeight="1"/>
    <row r="775" ht="42" customHeight="1"/>
    <row r="776" ht="42" customHeight="1"/>
    <row r="777" ht="42" customHeight="1"/>
    <row r="778" ht="42" customHeight="1"/>
    <row r="779" ht="42" customHeight="1"/>
    <row r="780" ht="42" customHeight="1"/>
    <row r="781" ht="42" customHeight="1"/>
    <row r="782" ht="42" customHeight="1"/>
    <row r="783" ht="42" customHeight="1"/>
    <row r="784" ht="42" customHeight="1"/>
    <row r="785" ht="42" customHeight="1"/>
    <row r="786" ht="42" customHeight="1"/>
    <row r="787" ht="42" customHeight="1"/>
    <row r="788" ht="42" customHeight="1"/>
    <row r="789" ht="42" customHeight="1"/>
    <row r="790" ht="42" customHeight="1"/>
    <row r="791" ht="42" customHeight="1"/>
    <row r="792" ht="42" customHeight="1"/>
    <row r="793" ht="42" customHeight="1"/>
    <row r="794" ht="42" customHeight="1"/>
    <row r="795" ht="42" customHeight="1"/>
    <row r="796" ht="42" customHeight="1"/>
    <row r="797" ht="42" customHeight="1"/>
    <row r="798" ht="42" customHeight="1"/>
    <row r="799" ht="42" customHeight="1"/>
    <row r="800" ht="42" customHeight="1"/>
    <row r="801" ht="42" customHeight="1"/>
    <row r="802" ht="42" customHeight="1"/>
    <row r="803" ht="42" customHeight="1"/>
    <row r="804" ht="42" customHeight="1"/>
    <row r="805" ht="42" customHeight="1"/>
    <row r="806" ht="42" customHeight="1"/>
    <row r="807" ht="42" customHeight="1"/>
    <row r="808" ht="42" customHeight="1"/>
    <row r="809" ht="42" customHeight="1"/>
    <row r="810" ht="42" customHeight="1"/>
    <row r="811" ht="42" customHeight="1"/>
    <row r="812" ht="42" customHeight="1"/>
    <row r="813" ht="42" customHeight="1"/>
    <row r="814" ht="42" customHeight="1"/>
    <row r="815" ht="42" customHeight="1"/>
    <row r="816" ht="42" customHeight="1"/>
    <row r="817" ht="42" customHeight="1"/>
    <row r="818" ht="42" customHeight="1"/>
    <row r="819" ht="42" customHeight="1"/>
    <row r="820" ht="42" customHeight="1"/>
    <row r="821" ht="42" customHeight="1"/>
    <row r="822" ht="42" customHeight="1"/>
    <row r="823" ht="42" customHeight="1"/>
    <row r="824" ht="42" customHeight="1"/>
    <row r="825" ht="42" customHeight="1"/>
    <row r="826" ht="42" customHeight="1"/>
    <row r="827" ht="42" customHeight="1"/>
    <row r="828" ht="42" customHeight="1"/>
    <row r="829" ht="42" customHeight="1"/>
    <row r="830" ht="42" customHeight="1"/>
    <row r="831" ht="42" customHeight="1"/>
    <row r="832" ht="42" customHeight="1"/>
    <row r="833" ht="42" customHeight="1"/>
    <row r="834" ht="42" customHeight="1"/>
    <row r="835" ht="42" customHeight="1"/>
    <row r="836" ht="42" customHeight="1"/>
    <row r="837" ht="42" customHeight="1"/>
    <row r="838" ht="42" customHeight="1"/>
    <row r="839" ht="42" customHeight="1"/>
    <row r="840" ht="42" customHeight="1"/>
    <row r="841" ht="42" customHeight="1"/>
    <row r="842" ht="42" customHeight="1"/>
    <row r="843" ht="42" customHeight="1"/>
    <row r="844" ht="42" customHeight="1"/>
    <row r="845" ht="42" customHeight="1"/>
    <row r="846" ht="42" customHeight="1"/>
    <row r="847" ht="42" customHeight="1"/>
    <row r="848" ht="42" customHeight="1"/>
    <row r="849" ht="42" customHeight="1"/>
    <row r="850" ht="42" customHeight="1"/>
    <row r="851" ht="42" customHeight="1"/>
    <row r="852" ht="42" customHeight="1"/>
    <row r="853" ht="42" customHeight="1"/>
    <row r="854" ht="42" customHeight="1"/>
    <row r="855" ht="42" customHeight="1"/>
    <row r="856" ht="42" customHeight="1"/>
    <row r="857" ht="42" customHeight="1"/>
    <row r="858" ht="42" customHeight="1"/>
    <row r="859" ht="42" customHeight="1"/>
    <row r="860" ht="42" customHeight="1"/>
    <row r="861" ht="42" customHeight="1"/>
    <row r="862" ht="42" customHeight="1"/>
    <row r="863" ht="42" customHeight="1"/>
    <row r="864" ht="42" customHeight="1"/>
    <row r="865" ht="42" customHeight="1"/>
    <row r="866" ht="42" customHeight="1"/>
    <row r="867" ht="42" customHeight="1"/>
    <row r="868" ht="42" customHeight="1"/>
    <row r="869" ht="42" customHeight="1"/>
    <row r="870" ht="42" customHeight="1"/>
    <row r="871" ht="42" customHeight="1"/>
    <row r="872" ht="42" customHeight="1"/>
    <row r="873" ht="42" customHeight="1"/>
    <row r="874" ht="42" customHeight="1"/>
    <row r="875" ht="42" customHeight="1"/>
    <row r="876" ht="42" customHeight="1"/>
    <row r="877" ht="42" customHeight="1"/>
    <row r="878" ht="42" customHeight="1"/>
    <row r="879" ht="42" customHeight="1"/>
    <row r="880" ht="42" customHeight="1"/>
    <row r="881" ht="42" customHeight="1"/>
    <row r="882" ht="42" customHeight="1"/>
    <row r="883" ht="42" customHeight="1"/>
    <row r="884" ht="42" customHeight="1"/>
    <row r="885" ht="42" customHeight="1"/>
    <row r="886" ht="42" customHeight="1"/>
    <row r="887" ht="42" customHeight="1"/>
    <row r="888" ht="42" customHeight="1"/>
    <row r="889" ht="42" customHeight="1"/>
    <row r="890" ht="42" customHeight="1"/>
    <row r="891" ht="42" customHeight="1"/>
    <row r="892" ht="42" customHeight="1"/>
    <row r="893" ht="42" customHeight="1"/>
    <row r="894" ht="42" customHeight="1"/>
    <row r="895" ht="42" customHeight="1"/>
    <row r="896" ht="42" customHeight="1"/>
    <row r="897" ht="42" customHeight="1"/>
    <row r="898" ht="42" customHeight="1"/>
    <row r="899" ht="42" customHeight="1"/>
    <row r="900" ht="42" customHeight="1"/>
    <row r="901" ht="42" customHeight="1"/>
    <row r="902" ht="42" customHeight="1"/>
    <row r="903" ht="42" customHeight="1"/>
    <row r="904" ht="42" customHeight="1"/>
    <row r="905" ht="42" customHeight="1"/>
    <row r="906" ht="42" customHeight="1"/>
    <row r="907" ht="42" customHeight="1"/>
    <row r="908" ht="42" customHeight="1"/>
    <row r="909" ht="42" customHeight="1"/>
    <row r="910" ht="42" customHeight="1"/>
    <row r="911" ht="42" customHeight="1"/>
    <row r="912" ht="42" customHeight="1"/>
    <row r="913" ht="42" customHeight="1"/>
    <row r="914" ht="42" customHeight="1"/>
    <row r="915" ht="42" customHeight="1"/>
    <row r="916" ht="42" customHeight="1"/>
    <row r="917" ht="42" customHeight="1"/>
    <row r="918" ht="42" customHeight="1"/>
    <row r="919" ht="42" customHeight="1"/>
    <row r="920" ht="42" customHeight="1"/>
    <row r="921" ht="42" customHeight="1"/>
    <row r="922" ht="42" customHeight="1"/>
    <row r="923" ht="42" customHeight="1"/>
    <row r="924" ht="42" customHeight="1"/>
    <row r="925" ht="42" customHeight="1"/>
    <row r="926" ht="42" customHeight="1"/>
    <row r="927" ht="42" customHeight="1"/>
    <row r="928" ht="42" customHeight="1"/>
    <row r="929" ht="42" customHeight="1"/>
    <row r="930" ht="42" customHeight="1"/>
    <row r="931" ht="42" customHeight="1"/>
    <row r="932" ht="42" customHeight="1"/>
    <row r="933" ht="42" customHeight="1"/>
    <row r="934" ht="42" customHeight="1"/>
    <row r="935" ht="42" customHeight="1"/>
    <row r="936" ht="42" customHeight="1"/>
    <row r="937" ht="42" customHeight="1"/>
    <row r="938" ht="42" customHeight="1"/>
    <row r="939" ht="42" customHeight="1"/>
    <row r="940" ht="42" customHeight="1"/>
    <row r="941" ht="42" customHeight="1"/>
    <row r="942" ht="42" customHeight="1"/>
    <row r="943" ht="42" customHeight="1"/>
    <row r="944" ht="42" customHeight="1"/>
    <row r="945" ht="42" customHeight="1"/>
    <row r="946" ht="42" customHeight="1"/>
    <row r="947" ht="42" customHeight="1"/>
    <row r="948" ht="42" customHeight="1"/>
    <row r="949" ht="42" customHeight="1"/>
    <row r="950" ht="42" customHeight="1"/>
    <row r="951" ht="42" customHeight="1"/>
    <row r="952" ht="42" customHeight="1"/>
    <row r="953" ht="42" customHeight="1"/>
    <row r="954" ht="42" customHeight="1"/>
    <row r="955" ht="42" customHeight="1"/>
    <row r="956" ht="42" customHeight="1"/>
    <row r="957" ht="42" customHeight="1"/>
    <row r="958" ht="42" customHeight="1"/>
    <row r="959" ht="42" customHeight="1"/>
    <row r="960" ht="42" customHeight="1"/>
    <row r="961" ht="42" customHeight="1"/>
    <row r="962" ht="42" customHeight="1"/>
    <row r="963" ht="42" customHeight="1"/>
    <row r="964" ht="42" customHeight="1"/>
    <row r="965" ht="42" customHeight="1"/>
    <row r="966" ht="42" customHeight="1"/>
    <row r="967" ht="42" customHeight="1"/>
    <row r="968" ht="42" customHeight="1"/>
    <row r="969" ht="42" customHeight="1"/>
    <row r="970" ht="42" customHeight="1"/>
    <row r="971" ht="42" customHeight="1"/>
    <row r="972" ht="42" customHeight="1"/>
    <row r="973" ht="42" customHeight="1"/>
    <row r="974" ht="42" customHeight="1"/>
    <row r="975" ht="42" customHeight="1"/>
    <row r="976" ht="42" customHeight="1"/>
    <row r="977" ht="42" customHeight="1"/>
    <row r="978" ht="42" customHeight="1"/>
    <row r="979" ht="42" customHeight="1"/>
    <row r="980" ht="42" customHeight="1"/>
    <row r="981" ht="42" customHeight="1"/>
    <row r="982" ht="42" customHeight="1"/>
    <row r="983" ht="42" customHeight="1"/>
    <row r="984" ht="42" customHeight="1"/>
    <row r="985" ht="42" customHeight="1"/>
    <row r="986" ht="42" customHeight="1"/>
    <row r="987" ht="42" customHeight="1"/>
    <row r="988" ht="42" customHeight="1"/>
    <row r="989" ht="42" customHeight="1"/>
    <row r="990" ht="42" customHeight="1"/>
    <row r="991" ht="42" customHeight="1"/>
    <row r="992" ht="42" customHeight="1"/>
    <row r="993" ht="42" customHeight="1"/>
    <row r="994" ht="42" customHeight="1"/>
    <row r="995" ht="42" customHeight="1"/>
    <row r="996" ht="42" customHeight="1"/>
    <row r="997" ht="42" customHeight="1"/>
    <row r="998" ht="42" customHeight="1"/>
    <row r="999" ht="42" customHeight="1"/>
    <row r="1000" ht="42" customHeight="1"/>
  </sheetData>
  <customSheetViews>
    <customSheetView guid="{A692BA3E-DCED-4157-8340-C6216F1B5E02}" filter="1" showAutoFilter="1">
      <pageMargins left="0" right="0" top="0" bottom="0" header="0" footer="0"/>
      <autoFilter ref="A1:N1000" xr:uid="{3A7CED84-2916-42A8-A090-02A97F1C26F4}"/>
    </customSheetView>
  </customSheetViews>
  <mergeCells count="4">
    <mergeCell ref="A1:B1"/>
    <mergeCell ref="C1:D1"/>
    <mergeCell ref="E1:F1"/>
    <mergeCell ref="G1:H1"/>
  </mergeCells>
  <conditionalFormatting sqref="A2">
    <cfRule type="colorScale" priority="25">
      <colorScale>
        <cfvo type="min"/>
        <cfvo type="max"/>
        <color rgb="FF57BB8A"/>
        <color rgb="FFFFFFFF"/>
      </colorScale>
    </cfRule>
  </conditionalFormatting>
  <conditionalFormatting sqref="A3:A13">
    <cfRule type="colorScale" priority="22">
      <colorScale>
        <cfvo type="min"/>
        <cfvo type="max"/>
        <color rgb="FF57BB8A"/>
        <color rgb="FFFFFFFF"/>
      </colorScale>
    </cfRule>
  </conditionalFormatting>
  <conditionalFormatting sqref="A14:A21">
    <cfRule type="colorScale" priority="19">
      <colorScale>
        <cfvo type="min"/>
        <cfvo type="max"/>
        <color rgb="FF57BB8A"/>
        <color rgb="FFFFFFFF"/>
      </colorScale>
    </cfRule>
  </conditionalFormatting>
  <conditionalFormatting sqref="A22:A23">
    <cfRule type="colorScale" priority="16">
      <colorScale>
        <cfvo type="min"/>
        <cfvo type="max"/>
        <color rgb="FF57BB8A"/>
        <color rgb="FFFFFFFF"/>
      </colorScale>
    </cfRule>
  </conditionalFormatting>
  <conditionalFormatting sqref="A24:A25">
    <cfRule type="colorScale" priority="13">
      <colorScale>
        <cfvo type="min"/>
        <cfvo type="max"/>
        <color rgb="FF57BB8A"/>
        <color rgb="FFFFFFFF"/>
      </colorScale>
    </cfRule>
  </conditionalFormatting>
  <conditionalFormatting sqref="A26:A29">
    <cfRule type="colorScale" priority="10">
      <colorScale>
        <cfvo type="min"/>
        <cfvo type="max"/>
        <color rgb="FF57BB8A"/>
        <color rgb="FFFFFFFF"/>
      </colorScale>
    </cfRule>
  </conditionalFormatting>
  <conditionalFormatting sqref="A30:A33">
    <cfRule type="colorScale" priority="7">
      <colorScale>
        <cfvo type="min"/>
        <cfvo type="max"/>
        <color rgb="FF57BB8A"/>
        <color rgb="FFFFFFFF"/>
      </colorScale>
    </cfRule>
  </conditionalFormatting>
  <conditionalFormatting sqref="A34:A35">
    <cfRule type="colorScale" priority="4">
      <colorScale>
        <cfvo type="min"/>
        <cfvo type="max"/>
        <color rgb="FF57BB8A"/>
        <color rgb="FFFFFFFF"/>
      </colorScale>
    </cfRule>
  </conditionalFormatting>
  <conditionalFormatting sqref="A36:A46 D42:D46">
    <cfRule type="colorScale" priority="1">
      <colorScale>
        <cfvo type="min"/>
        <cfvo type="max"/>
        <color rgb="FF57BB8A"/>
        <color rgb="FFFFFFFF"/>
      </colorScale>
    </cfRule>
  </conditionalFormatting>
  <conditionalFormatting sqref="B3:B46">
    <cfRule type="expression" dxfId="1" priority="2">
      <formula>COUNTIF(B:B,B3)&gt;1</formula>
    </cfRule>
  </conditionalFormatting>
  <conditionalFormatting sqref="K3:K46">
    <cfRule type="expression" dxfId="0" priority="3">
      <formula>COUNTIF(#REF!,#REF!)&gt;1</formula>
    </cfRule>
  </conditionalFormatting>
  <dataValidations count="2">
    <dataValidation type="list" allowBlank="1" sqref="L3:N46" xr:uid="{00000000-0002-0000-1000-000001000000}">
      <formula1>Locations</formula1>
    </dataValidation>
    <dataValidation type="list" allowBlank="1" sqref="H3:H46" xr:uid="{00000000-0002-0000-1000-000005000000}">
      <formula1>IO_Types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xr:uid="{00000000-0002-0000-1000-000000000000}">
          <x14:formula1>
            <xm:f>'REF - Interface Cards'!$B:$B</xm:f>
          </x14:formula1>
          <xm:sqref>K3:K46</xm:sqref>
        </x14:dataValidation>
        <x14:dataValidation type="list" allowBlank="1" xr:uid="{00000000-0002-0000-1000-000002000000}">
          <x14:formula1>
            <xm:f>'REF - System &amp; Subsystem'!$A:$A</xm:f>
          </x14:formula1>
          <xm:sqref>E3:E46</xm:sqref>
        </x14:dataValidation>
        <x14:dataValidation type="list" allowBlank="1" xr:uid="{00000000-0002-0000-1000-000003000000}">
          <x14:formula1>
            <xm:f>'REF - System &amp; Subsystem'!$C:$C</xm:f>
          </x14:formula1>
          <xm:sqref>F3:F46</xm:sqref>
        </x14:dataValidation>
        <x14:dataValidation type="list" allowBlank="1" xr:uid="{00000000-0002-0000-1000-000004000000}">
          <x14:formula1>
            <xm:f>'REF - System &amp; Subsystem'!$E:$E</xm:f>
          </x14:formula1>
          <xm:sqref>G3:G46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3FF2C7A4C4274597729541F1A41091" ma:contentTypeVersion="27" ma:contentTypeDescription="Create a new document." ma:contentTypeScope="" ma:versionID="33ea025a8e3daaffca5443d9588d668d">
  <xsd:schema xmlns:xsd="http://www.w3.org/2001/XMLSchema" xmlns:xs="http://www.w3.org/2001/XMLSchema" xmlns:p="http://schemas.microsoft.com/office/2006/metadata/properties" xmlns:ns1="http://schemas.microsoft.com/sharepoint/v3" xmlns:ns2="3cd35583-d46e-491d-8b93-8720b3decb9e" xmlns:ns3="61fbefde-767d-48c1-ad74-2fd761d95899" targetNamespace="http://schemas.microsoft.com/office/2006/metadata/properties" ma:root="true" ma:fieldsID="476dcc210b9d169daf2cc02df59f498f" ns1:_="" ns2:_="" ns3:_="">
    <xsd:import namespace="http://schemas.microsoft.com/sharepoint/v3"/>
    <xsd:import namespace="3cd35583-d46e-491d-8b93-8720b3decb9e"/>
    <xsd:import namespace="61fbefde-767d-48c1-ad74-2fd761d95899"/>
    <xsd:element name="properties">
      <xsd:complexType>
        <xsd:sequence>
          <xsd:element name="documentManagement">
            <xsd:complexType>
              <xsd:all>
                <xsd:element ref="ns2:Category" minOccurs="0"/>
                <xsd:element ref="ns2:System_x0020_Name" minOccurs="0"/>
                <xsd:element ref="ns2:Archive" minOccurs="0"/>
                <xsd:element ref="ns2:lcf76f155ced4ddcb4097134ff3c332f" minOccurs="0"/>
                <xsd:element ref="ns3:TaxCatchAll" minOccurs="0"/>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element ref="ns2:Site" minOccurs="0"/>
                <xsd:element ref="ns2:Manufacturer" minOccurs="0"/>
                <xsd:element ref="ns2:Notes" minOccurs="0"/>
                <xsd:element ref="ns2:ReviewerAssigned" minOccurs="0"/>
                <xsd:element ref="ns2:ReviewerApproved"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cd35583-d46e-491d-8b93-8720b3decb9e" elementFormDefault="qualified">
    <xsd:import namespace="http://schemas.microsoft.com/office/2006/documentManagement/types"/>
    <xsd:import namespace="http://schemas.microsoft.com/office/infopath/2007/PartnerControls"/>
    <xsd:element name="Category" ma:index="8" nillable="true" ma:displayName="Category" ma:default="Reference" ma:description="This field will help filtering views" ma:format="Dropdown" ma:indexed="true" ma:internalName="Category">
      <xsd:simpleType>
        <xsd:restriction base="dms:Choice">
          <xsd:enumeration value="Training"/>
          <xsd:enumeration value="Lessons Learned"/>
          <xsd:enumeration value="Presentation - Briefs"/>
          <xsd:enumeration value="Presentation - NC"/>
          <xsd:enumeration value="Flow chart"/>
          <xsd:enumeration value="Reference"/>
          <xsd:enumeration value="Important Links"/>
          <xsd:enumeration value="Schedule"/>
        </xsd:restriction>
      </xsd:simpleType>
    </xsd:element>
    <xsd:element name="System_x0020_Name" ma:index="9" nillable="true" ma:displayName="System Name" ma:default="00 - All FGSE - All Fluid Ground Support Equipment" ma:format="Dropdown" ma:indexed="true" ma:internalName="System_x0020_Name">
      <xsd:simpleType>
        <xsd:restriction base="dms:Choice">
          <xsd:enumeration value="00 - All FGSE - All Fluid Ground Support Equipment"/>
          <xsd:enumeration value="01 - FLS - Kerosene Propellant"/>
          <xsd:enumeration value="02 - LOLS - Liquid Oxygen (LO2)"/>
          <xsd:enumeration value="03 - LNSS - Liquid Nitrogen (LN2)"/>
          <xsd:enumeration value="04 - HLS - Gaseous Helium (GHe)"/>
          <xsd:enumeration value="05 - NLS - Gaseous Nitrogen (GN2)"/>
          <xsd:enumeration value="06 - PPS - Portable Pressure Systems"/>
          <xsd:enumeration value="07 - CAS - Certified Air Systems"/>
          <xsd:enumeration value="08 - HSS - Hydrualic Supply System"/>
          <xsd:enumeration value="09 - VAC - Vacuum Systems"/>
          <xsd:enumeration value="10 - FTVS - Fuel Toxic Vapor Systems"/>
          <xsd:enumeration value="11 - OTVS - Oxidizer Toxic Vapor Systems"/>
          <xsd:enumeration value="12 - IAS - Industrial Air Systems"/>
          <xsd:enumeration value="13 - MIS - Miscellaneous Inert Systems"/>
          <xsd:enumeration value="14 - MFS - Miscellaneous Fuel Systems"/>
          <xsd:enumeration value="15 - MOS - Miscellaneous Oxidizer Systems"/>
          <xsd:enumeration value="20 - All TECH - All Technical/Control Systems"/>
          <xsd:enumeration value="21 - CAM - Camera/Video"/>
          <xsd:enumeration value="22 - COM - Communications/Network"/>
          <xsd:enumeration value="23 - FCS - Fluid Control System"/>
          <xsd:enumeration value="24 - ACS - Access Control System"/>
          <xsd:enumeration value="25 - BAS - Building Automation System"/>
          <xsd:enumeration value="26 - IT - Corporate Information Technologies"/>
          <xsd:enumeration value="30 - All EPS - All Electrical Power Systems"/>
          <xsd:enumeration value="31 - ELE - Electrical System"/>
          <xsd:enumeration value="32 - LPS - Lightning Protection System"/>
          <xsd:enumeration value="33 - SMS - Safety Monitor/Control System"/>
          <xsd:enumeration value="34 - HVDS - Hazardous Vapor Detection Systems"/>
          <xsd:enumeration value="40 - All MECH - All Mechanical Systems"/>
          <xsd:enumeration value="41 - WDS - Water Deluge System"/>
          <xsd:enumeration value="42 - ECS - Environmental Control System"/>
          <xsd:enumeration value="43 - HVAC - Heating, Ventilating and Air Conditioning"/>
          <xsd:enumeration value="44 - TELHS - TEL Hydrualic System"/>
          <xsd:enumeration value="45 - TEL - Transporter-Erector-Launcher"/>
          <xsd:enumeration value="46 - MSS - Mechanical Safety Systems"/>
          <xsd:enumeration value="50 - All SITE - All Structural/Civil Systems"/>
          <xsd:enumeration value="51 - BEA - Building Envelope and Architectural Systems"/>
          <xsd:enumeration value="52 - LM - Launch Mount"/>
          <xsd:enumeration value="53 - STR - Structures"/>
          <xsd:enumeration value="54 - CorC - Corrosion Control"/>
          <xsd:enumeration value="55 - Civil - Civil/Grounds"/>
          <xsd:enumeration value="56 - ENV - Environmental"/>
          <xsd:enumeration value="57 - MVS - Moving Structures"/>
          <xsd:enumeration value="80 - All EQP - All Equipment"/>
          <xsd:enumeration value="81 - MBE - Mobile Equipment"/>
          <xsd:enumeration value="82 - LFT - Lifting Equipment"/>
          <xsd:enumeration value="83 - VEH - Vehicles"/>
          <xsd:enumeration value="84 - Tool - Tools"/>
          <xsd:enumeration value="85 - SFE - Safety Equipment"/>
          <xsd:enumeration value="90 - COMBINED - Auxiliary/Combined Systems"/>
          <xsd:enumeration value="91 - PAD0A - Pad 0A - Combined Systems"/>
          <xsd:enumeration value="92 - PAD0B - Pad 0B - Combined Systems"/>
          <xsd:enumeration value="93 - UMS - Unmanned Systems - Combined Systems"/>
          <xsd:enumeration value="94 - PCF - Processing and Control Facilities - Combined Systems"/>
          <xsd:enumeration value="95 - AUX - Auxiliary Systems"/>
          <xsd:enumeration value="96 - LOG - Logistics Support"/>
          <xsd:enumeration value="97 - PAD0C - Pad 0C - Combined Systems"/>
        </xsd:restriction>
      </xsd:simpleType>
    </xsd:element>
    <xsd:element name="Archive" ma:index="10" nillable="true" ma:displayName="Archive" ma:default="0" ma:description="This will allow outdated material to be filtered from active files." ma:internalName="Archive">
      <xsd:simpleType>
        <xsd:restriction base="dms:Boolean"/>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28154466-cab9-4339-8809-055264e4e679" ma:termSetId="09814cd3-568e-fe90-9814-8d621ff8fb84" ma:anchorId="fba54fb3-c3e1-fe81-a776-ca4b69148c4d" ma:open="true" ma:isKeyword="false">
      <xsd:complexType>
        <xsd:sequence>
          <xsd:element ref="pc:Terms" minOccurs="0" maxOccurs="1"/>
        </xsd:sequence>
      </xsd:complexType>
    </xsd:element>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Site" ma:index="28" nillable="true" ma:displayName="Site" ma:internalName="Site">
      <xsd:complexType>
        <xsd:complexContent>
          <xsd:extension base="dms:MultiChoice">
            <xsd:sequence>
              <xsd:element name="Value" maxOccurs="unbounded" minOccurs="0" nillable="true">
                <xsd:simpleType>
                  <xsd:restriction base="dms:Choice">
                    <xsd:enumeration value="Pad 0A"/>
                    <xsd:enumeration value="Pad 0B"/>
                    <xsd:enumeration value="Pad 0C"/>
                    <xsd:enumeration value="Pad 0D"/>
                    <xsd:enumeration value="PPF"/>
                    <xsd:enumeration value="UAS"/>
                    <xsd:enumeration value="General"/>
                    <xsd:enumeration value="Auxiliary Support/General/Multisite"/>
                    <xsd:enumeration value="Mobile"/>
                    <xsd:enumeration value="Manufacuring Facility"/>
                    <xsd:enumeration value="HGR #1"/>
                    <xsd:enumeration value="HGR~2"/>
                    <xsd:enumeration value="LTF"/>
                    <xsd:enumeration value="ICF"/>
                  </xsd:restriction>
                </xsd:simpleType>
              </xsd:element>
            </xsd:sequence>
          </xsd:extension>
        </xsd:complexContent>
      </xsd:complexType>
    </xsd:element>
    <xsd:element name="Manufacturer" ma:index="29" nillable="true" ma:displayName="Manufacturer" ma:description="Manufacturer" ma:format="Dropdown" ma:internalName="Manufacturer">
      <xsd:simpleType>
        <xsd:union memberTypes="dms:Text">
          <xsd:simpleType>
            <xsd:restriction base="dms:Choice">
              <xsd:enumeration value="3B"/>
              <xsd:enumeration value="ABB"/>
              <xsd:enumeration value="ACD"/>
              <xsd:enumeration value="Advantech"/>
              <xsd:enumeration value="Alfa Laval"/>
              <xsd:enumeration value="Allan Aircraft"/>
              <xsd:enumeration value="Alpha Wire"/>
              <xsd:enumeration value="Altech"/>
              <xsd:enumeration value="Anderson Greenwood"/>
              <xsd:enumeration value="Apollo Valves"/>
              <xsd:enumeration value="Arlyn Scales"/>
              <xsd:enumeration value="Armstrong"/>
              <xsd:enumeration value="Ashcroft"/>
              <xsd:enumeration value="Autoclave"/>
              <xsd:enumeration value="Barton"/>
              <xsd:enumeration value="Baumann"/>
              <xsd:enumeration value="Belgas"/>
              <xsd:enumeration value="Bettis"/>
              <xsd:enumeration value="Betts Industries"/>
              <xsd:enumeration value="Blackmere"/>
              <xsd:enumeration value="Butech"/>
              <xsd:enumeration value="Carrier"/>
              <xsd:enumeration value="Catalina Cylinders"/>
              <xsd:enumeration value="CDI"/>
              <xsd:enumeration value="Chase"/>
              <xsd:enumeration value="Check-All"/>
              <xsd:enumeration value="Chromalox"/>
              <xsd:enumeration value="Circle Seal"/>
              <xsd:enumeration value="Conax Technologies"/>
              <xsd:enumeration value="Continental"/>
              <xsd:enumeration value="COTS"/>
              <xsd:enumeration value="Crosby"/>
              <xsd:enumeration value="Cryoquip"/>
              <xsd:enumeration value="CTS"/>
              <xsd:enumeration value="Dakota"/>
              <xsd:enumeration value="DMIC"/>
              <xsd:enumeration value="DMP"/>
              <xsd:enumeration value="Donaldson"/>
              <xsd:enumeration value="Dragon"/>
              <xsd:enumeration value="Dwyer"/>
              <xsd:enumeration value="Dwyer Instruments Inc."/>
              <xsd:enumeration value="DYNA-TORQUE"/>
              <xsd:enumeration value="Easidew"/>
              <xsd:enumeration value="Eaton"/>
              <xsd:enumeration value="EcoClean"/>
              <xsd:enumeration value="Emerson"/>
              <xsd:enumeration value="Enardo"/>
              <xsd:enumeration value="ERBE"/>
              <xsd:enumeration value="FieldQ"/>
              <xsd:enumeration value="Fike"/>
              <xsd:enumeration value="Fisher"/>
              <xsd:enumeration value="Flexicraft"/>
              <xsd:enumeration value="Flexline"/>
              <xsd:enumeration value="Flodyne Controls, Inc."/>
              <xsd:enumeration value="FloTite"/>
              <xsd:enumeration value="Flow Safe"/>
              <xsd:enumeration value="Flow Technology"/>
              <xsd:enumeration value="Flowserve"/>
              <xsd:enumeration value="Fluid Mechanics"/>
              <xsd:enumeration value="Fluid Mechanics Valve Co."/>
              <xsd:enumeration value="Fox Valve"/>
              <xsd:enumeration value="Foxboro"/>
              <xsd:enumeration value="Galtech"/>
              <xsd:enumeration value="GEM"/>
              <xsd:enumeration value="Generant"/>
              <xsd:enumeration value="George T Hall"/>
              <xsd:enumeration value="Goddard"/>
              <xsd:enumeration value="Habonim"/>
              <xsd:enumeration value="Hannay Reels"/>
              <xsd:enumeration value="Haskel"/>
              <xsd:enumeration value="Hastings"/>
              <xsd:enumeration value="Herose"/>
              <xsd:enumeration value="HIP"/>
              <xsd:enumeration value="Hoke"/>
              <xsd:enumeration value="Honeywell Sensotech"/>
              <xsd:enumeration value="Hydraforce"/>
              <xsd:enumeration value="Hydro-Pac"/>
              <xsd:enumeration value="Hy-Lok"/>
              <xsd:enumeration value="Hytork"/>
              <xsd:enumeration value="IFM"/>
              <xsd:enumeration value="Indeeco"/>
              <xsd:enumeration value="ITT"/>
              <xsd:enumeration value="J C Ernst Inc"/>
              <xsd:enumeration value="Jamesbury"/>
              <xsd:enumeration value="J-Flow Controls"/>
              <xsd:enumeration value="Jumbo D Cylinders"/>
              <xsd:enumeration value="Kace"/>
              <xsd:enumeration value="King Instruments"/>
              <xsd:enumeration value="Komax"/>
              <xsd:enumeration value="Koolant Koolers"/>
              <xsd:enumeration value="Krohne"/>
              <xsd:enumeration value="KSI"/>
              <xsd:enumeration value="Kunkle"/>
              <xsd:enumeration value="Leeson"/>
              <xsd:enumeration value="Logix"/>
              <xsd:enumeration value="Lubeworks"/>
              <xsd:enumeration value="Magnetrol"/>
              <xsd:enumeration value="Max Seal"/>
              <xsd:enumeration value="Maximator"/>
              <xsd:enumeration value="MaxPro"/>
              <xsd:enumeration value="MaxPro Tech Inc."/>
              <xsd:enumeration value="McDaniel Gauge"/>
              <xsd:enumeration value="McMaster"/>
              <xsd:enumeration value="Micro Motion"/>
              <xsd:enumeration value="Modern Welding"/>
              <xsd:enumeration value="Moniteur Sentinel"/>
              <xsd:enumeration value="Nikkiso"/>
              <xsd:enumeration value="Norman"/>
              <xsd:enumeration value="OMT"/>
              <xsd:enumeration value="OPW"/>
              <xsd:enumeration value="Parker"/>
              <xsd:enumeration value="Pentair"/>
              <xsd:enumeration value="Pepperl &amp; Fuchs"/>
              <xsd:enumeration value="Pitt Cryo"/>
              <xsd:enumeration value="Premier Automation"/>
              <xsd:enumeration value="Price"/>
              <xsd:enumeration value="PureFlex"/>
              <xsd:enumeration value="QHP"/>
              <xsd:enumeration value="Rayotek"/>
              <xsd:enumeration value="RDF"/>
              <xsd:enumeration value="REGO"/>
              <xsd:enumeration value="RKI"/>
              <xsd:enumeration value="Rosemount"/>
              <xsd:enumeration value="Rotork Gears"/>
              <xsd:enumeration value="Samuel Pressure Vessel Group"/>
              <xsd:enumeration value="Scientific Instrument"/>
              <xsd:enumeration value="SenSmart1100"/>
              <xsd:enumeration value="SMC"/>
              <xsd:enumeration value="Spirax"/>
              <xsd:enumeration value="Square D"/>
              <xsd:enumeration value="Stauff"/>
              <xsd:enumeration value="Stra-Val"/>
              <xsd:enumeration value="STS"/>
              <xsd:enumeration value="Stucci"/>
              <xsd:enumeration value="Sun"/>
              <xsd:enumeration value="Swagelok"/>
              <xsd:enumeration value="Taylor Valve"/>
              <xsd:enumeration value="TBD"/>
              <xsd:enumeration value="TBV"/>
              <xsd:enumeration value="Tescom"/>
              <xsd:enumeration value="Thermax"/>
              <xsd:enumeration value="Titan"/>
              <xsd:enumeration value="Tobul"/>
              <xsd:enumeration value="Tognella"/>
              <xsd:enumeration value="Topworx"/>
              <xsd:enumeration value="TPTools"/>
              <xsd:enumeration value="Twin City Hose"/>
              <xsd:enumeration value="U.S. Bellows Inc."/>
              <xsd:enumeration value="UIG"/>
              <xsd:enumeration value="United Sensor Corp"/>
              <xsd:enumeration value="Universal Valve Co."/>
              <xsd:enumeration value="VAC"/>
              <xsd:enumeration value="Vaisala"/>
              <xsd:enumeration value="Valcor"/>
              <xsd:enumeration value="Valtek"/>
              <xsd:enumeration value="Valve Concepts, Inc."/>
              <xsd:enumeration value="Varec"/>
              <xsd:enumeration value="VCI"/>
              <xsd:enumeration value="Velcon"/>
              <xsd:enumeration value="Versa"/>
              <xsd:enumeration value="VL"/>
              <xsd:enumeration value="Vulcanic Tee"/>
              <xsd:enumeration value="Ward"/>
              <xsd:enumeration value="Watlow"/>
              <xsd:enumeration value="WEG"/>
              <xsd:enumeration value="Western"/>
              <xsd:enumeration value="Wika"/>
              <xsd:enumeration value="Wilden"/>
              <xsd:enumeration value="Wolseley"/>
              <xsd:enumeration value="Worchester"/>
              <xsd:enumeration value="Zamaco"/>
              <xsd:enumeration value="Liebert"/>
              <xsd:enumeration value="Amphenol"/>
              <xsd:enumeration value="Arlyn"/>
              <xsd:enumeration value="ASCO"/>
              <xsd:enumeration value="Axis"/>
              <xsd:enumeration value="BlonderTongue"/>
              <xsd:enumeration value="Brady"/>
              <xsd:enumeration value="Choice 181"/>
              <xsd:enumeration value="Chase Filters"/>
              <xsd:enumeration value="Check-all"/>
              <xsd:enumeration value="Conax"/>
              <xsd:enumeration value="Crydom"/>
              <xsd:enumeration value="CyberPower"/>
              <xsd:enumeration value="Desco"/>
              <xsd:enumeration value="Choice 191"/>
            </xsd:restriction>
          </xsd:simpleType>
        </xsd:union>
      </xsd:simpleType>
    </xsd:element>
    <xsd:element name="Notes" ma:index="30" nillable="true" ma:displayName="Notes" ma:format="Dropdown" ma:internalName="Notes">
      <xsd:simpleType>
        <xsd:restriction base="dms:Note">
          <xsd:maxLength value="255"/>
        </xsd:restriction>
      </xsd:simpleType>
    </xsd:element>
    <xsd:element name="ReviewerAssigned" ma:index="31" nillable="true" ma:displayName="Reviewer Assigned" ma:format="Dropdown" ma:list="UserInfo" ma:SharePointGroup="0" ma:internalName="ReviewerAssigned">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viewerApproved" ma:index="32" nillable="true" ma:displayName="Reviewer Approved" ma:format="Dropdown" ma:list="UserInfo" ma:SharePointGroup="0" ma:internalName="ReviewerApproved">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1fbefde-767d-48c1-ad74-2fd761d9589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b701e7b2-5f3d-4620-a87f-f107dd315aa7}" ma:internalName="TaxCatchAll" ma:showField="CatchAllData" ma:web="61fbefde-767d-48c1-ad74-2fd761d95899">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61fbefde-767d-48c1-ad74-2fd761d95899">
      <UserInfo>
        <DisplayName>Davis Taylor</DisplayName>
        <AccountId>54</AccountId>
        <AccountType/>
      </UserInfo>
    </SharedWithUsers>
    <_ip_UnifiedCompliancePolicyUIAction xmlns="http://schemas.microsoft.com/sharepoint/v3" xsi:nil="true"/>
    <Notes xmlns="3cd35583-d46e-491d-8b93-8720b3decb9e" xsi:nil="true"/>
    <TaxCatchAll xmlns="61fbefde-767d-48c1-ad74-2fd761d95899" xsi:nil="true"/>
    <System_x0020_Name xmlns="3cd35583-d46e-491d-8b93-8720b3decb9e">00 - All FGSE - All Fluid Ground Support Equipment</System_x0020_Name>
    <lcf76f155ced4ddcb4097134ff3c332f xmlns="3cd35583-d46e-491d-8b93-8720b3decb9e">
      <Terms xmlns="http://schemas.microsoft.com/office/infopath/2007/PartnerControls"/>
    </lcf76f155ced4ddcb4097134ff3c332f>
    <Site xmlns="3cd35583-d46e-491d-8b93-8720b3decb9e" xsi:nil="true"/>
    <ReviewerApproved xmlns="3cd35583-d46e-491d-8b93-8720b3decb9e">
      <UserInfo>
        <DisplayName/>
        <AccountId xsi:nil="true"/>
        <AccountType/>
      </UserInfo>
    </ReviewerApproved>
    <_ip_UnifiedCompliancePolicyProperties xmlns="http://schemas.microsoft.com/sharepoint/v3" xsi:nil="true"/>
    <Category xmlns="3cd35583-d46e-491d-8b93-8720b3decb9e">Reference</Category>
    <Archive xmlns="3cd35583-d46e-491d-8b93-8720b3decb9e">false</Archive>
    <Manufacturer xmlns="3cd35583-d46e-491d-8b93-8720b3decb9e" xsi:nil="true"/>
    <ReviewerAssigned xmlns="3cd35583-d46e-491d-8b93-8720b3decb9e">
      <UserInfo>
        <DisplayName/>
        <AccountId xsi:nil="true"/>
        <AccountType/>
      </UserInfo>
    </ReviewerAssigne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E3B39FB-561F-40DE-BB94-75C10CACED66}"/>
</file>

<file path=customXml/itemProps2.xml><?xml version="1.0" encoding="utf-8"?>
<ds:datastoreItem xmlns:ds="http://schemas.openxmlformats.org/officeDocument/2006/customXml" ds:itemID="{C4E07BAF-64E8-4E20-8CFC-9942CAC80599}">
  <ds:schemaRefs>
    <ds:schemaRef ds:uri="http://schemas.microsoft.com/office/2006/metadata/properties"/>
    <ds:schemaRef ds:uri="http://schemas.microsoft.com/office/infopath/2007/PartnerControls"/>
    <ds:schemaRef ds:uri="61fbefde-767d-48c1-ad74-2fd761d95899"/>
    <ds:schemaRef ds:uri="http://schemas.microsoft.com/sharepoint/v3"/>
    <ds:schemaRef ds:uri="3cd35583-d46e-491d-8b93-8720b3decb9e"/>
  </ds:schemaRefs>
</ds:datastoreItem>
</file>

<file path=customXml/itemProps3.xml><?xml version="1.0" encoding="utf-8"?>
<ds:datastoreItem xmlns:ds="http://schemas.openxmlformats.org/officeDocument/2006/customXml" ds:itemID="{22CF3DB6-9F59-49F9-8A67-C3F5A9B15916}">
  <ds:schemaRefs>
    <ds:schemaRef ds:uri="http://schemas.microsoft.com/sharepoint/v3/contenttype/forms"/>
  </ds:schemaRefs>
</ds:datastoreItem>
</file>

<file path=docMetadata/LabelInfo.xml><?xml version="1.0" encoding="utf-8"?>
<clbl:labelList xmlns:clbl="http://schemas.microsoft.com/office/2020/mipLabelMetadata">
  <clbl:label id="{a884dd1a-1fc4-43ed-b58d-85a6d360930b}" enabled="1" method="Standard" siteId="{52aa4300-0c9b-44f7-8b8d-23228882201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12</vt:i4>
      </vt:variant>
    </vt:vector>
  </HeadingPairs>
  <TitlesOfParts>
    <vt:vector size="30" baseType="lpstr">
      <vt:lpstr>Version Control</vt:lpstr>
      <vt:lpstr>Channel List</vt:lpstr>
      <vt:lpstr>SWE InputOutput List</vt:lpstr>
      <vt:lpstr>Review</vt:lpstr>
      <vt:lpstr>Rev 8 Changes</vt:lpstr>
      <vt:lpstr>IS Review</vt:lpstr>
      <vt:lpstr>Cable List Rev1</vt:lpstr>
      <vt:lpstr>Cable List Rev2</vt:lpstr>
      <vt:lpstr>Drawing Status</vt:lpstr>
      <vt:lpstr>ECS Heater Control Review </vt:lpstr>
      <vt:lpstr>Fusing</vt:lpstr>
      <vt:lpstr>DC Terminal designations</vt:lpstr>
      <vt:lpstr>REF - Interface Cards</vt:lpstr>
      <vt:lpstr>REF - System &amp; Subsystem</vt:lpstr>
      <vt:lpstr>FGSE LC-2 BOM</vt:lpstr>
      <vt:lpstr>Hydraulics BOM</vt:lpstr>
      <vt:lpstr>Copy of Legend</vt:lpstr>
      <vt:lpstr>RTDs</vt:lpstr>
      <vt:lpstr>BoxName</vt:lpstr>
      <vt:lpstr>Chassis</vt:lpstr>
      <vt:lpstr>Components</vt:lpstr>
      <vt:lpstr>DO_9476</vt:lpstr>
      <vt:lpstr>Interface_Cards</vt:lpstr>
      <vt:lpstr>InterfaceCards</vt:lpstr>
      <vt:lpstr>IO_Types</vt:lpstr>
      <vt:lpstr>Locations</vt:lpstr>
      <vt:lpstr>Metrics</vt:lpstr>
      <vt:lpstr>Subsystems</vt:lpstr>
      <vt:lpstr>Systems</vt:lpstr>
      <vt:lpstr>Units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Ethan Palmer</dc:creator>
  <cp:keywords/>
  <dc:description/>
  <cp:lastModifiedBy>Ethan Palmer</cp:lastModifiedBy>
  <cp:revision/>
  <dcterms:created xsi:type="dcterms:W3CDTF">2020-08-03T13:19:46Z</dcterms:created>
  <dcterms:modified xsi:type="dcterms:W3CDTF">2025-06-17T20:23:19Z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0x010100863FF2C7A4C4274597729541F1A41091</vt:lpwstr>
  </property>
  <property fmtid="{D5CDD505-2E9C-101B-9397-08002B2CF9AE}" pid="3" name="MediaServiceImageTags">
    <vt:lpwstr/>
  </property>
</Properties>
</file>