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/Documents/MATLAB/MDRT/"/>
    </mc:Choice>
  </mc:AlternateContent>
  <xr:revisionPtr revIDLastSave="0" documentId="13_ncr:1_{DF34F0E0-8595-3647-AD50-B327B3765672}" xr6:coauthVersionLast="47" xr6:coauthVersionMax="47" xr10:uidLastSave="{00000000-0000-0000-0000-000000000000}"/>
  <bookViews>
    <workbookView xWindow="13820" yWindow="700" windowWidth="24380" windowHeight="20680" xr2:uid="{00000000-000D-0000-FFFF-FFFF00000000}"/>
  </bookViews>
  <sheets>
    <sheet name="Sheet1" sheetId="1" r:id="rId1"/>
  </sheets>
  <definedNames>
    <definedName name="_xlchart.v1.0" hidden="1">Sheet1!$A$46:$A$57</definedName>
    <definedName name="_xlchart.v1.1" hidden="1">Sheet1!$B$45</definedName>
    <definedName name="_xlchart.v1.14" hidden="1">Sheet1!$A$46:$A$57</definedName>
    <definedName name="_xlchart.v1.15" hidden="1">Sheet1!$B$45</definedName>
    <definedName name="_xlchart.v1.16" hidden="1">Sheet1!$B$46:$B$57</definedName>
    <definedName name="_xlchart.v1.17" hidden="1">Sheet1!$C$45</definedName>
    <definedName name="_xlchart.v1.18" hidden="1">Sheet1!$C$46:$C$57</definedName>
    <definedName name="_xlchart.v1.19" hidden="1">Sheet1!$D$45</definedName>
    <definedName name="_xlchart.v1.2" hidden="1">Sheet1!$B$46:$B$57</definedName>
    <definedName name="_xlchart.v1.20" hidden="1">Sheet1!$D$46:$D$57</definedName>
    <definedName name="_xlchart.v1.21" hidden="1">Sheet1!$A$46:$A$57</definedName>
    <definedName name="_xlchart.v1.22" hidden="1">Sheet1!$B$45</definedName>
    <definedName name="_xlchart.v1.23" hidden="1">Sheet1!$B$46:$B$57</definedName>
    <definedName name="_xlchart.v1.24" hidden="1">Sheet1!$C$45</definedName>
    <definedName name="_xlchart.v1.25" hidden="1">Sheet1!$C$46:$C$57</definedName>
    <definedName name="_xlchart.v1.26" hidden="1">Sheet1!$D$45</definedName>
    <definedName name="_xlchart.v1.27" hidden="1">Sheet1!$D$46:$D$57</definedName>
    <definedName name="_xlchart.v1.3" hidden="1">Sheet1!$C$45</definedName>
    <definedName name="_xlchart.v1.4" hidden="1">Sheet1!$C$46:$C$57</definedName>
    <definedName name="_xlchart.v1.5" hidden="1">Sheet1!$D$45</definedName>
    <definedName name="_xlchart.v1.6" hidden="1">Sheet1!$D$46:$D$57</definedName>
    <definedName name="_xlchart.v2.10" hidden="1">Sheet1!$C$45</definedName>
    <definedName name="_xlchart.v2.11" hidden="1">Sheet1!$C$46:$C$57</definedName>
    <definedName name="_xlchart.v2.12" hidden="1">Sheet1!$D$45</definedName>
    <definedName name="_xlchart.v2.13" hidden="1">Sheet1!$D$46:$D$57</definedName>
    <definedName name="_xlchart.v2.7" hidden="1">Sheet1!$A$46:$A$57</definedName>
    <definedName name="_xlchart.v2.8" hidden="1">Sheet1!$B$45</definedName>
    <definedName name="_xlchart.v2.9" hidden="1">Sheet1!$B$46:$B$57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 a="1"/>
  <c r="D46" i="1" s="1"/>
  <c r="C46" i="1" a="1"/>
  <c r="C46" i="1" s="1"/>
  <c r="B46" i="1" a="1"/>
  <c r="B46" i="1" s="1"/>
  <c r="C21" i="1"/>
  <c r="I28" i="1" s="1"/>
  <c r="J28" i="1" s="1"/>
  <c r="G32" i="1" l="1"/>
  <c r="H32" i="1" s="1"/>
  <c r="I27" i="1"/>
  <c r="J27" i="1" s="1"/>
  <c r="I36" i="1"/>
  <c r="J36" i="1" s="1"/>
  <c r="E32" i="1"/>
  <c r="F32" i="1" s="1"/>
  <c r="H51" i="1" s="1"/>
  <c r="I37" i="1"/>
  <c r="J37" i="1" s="1"/>
  <c r="C35" i="1"/>
  <c r="D35" i="1" s="1"/>
  <c r="C34" i="1"/>
  <c r="D34" i="1" s="1"/>
  <c r="C32" i="1"/>
  <c r="D32" i="1" s="1"/>
  <c r="G34" i="1"/>
  <c r="H34" i="1" s="1"/>
  <c r="E39" i="1"/>
  <c r="F39" i="1" s="1"/>
  <c r="G29" i="1"/>
  <c r="H29" i="1" s="1"/>
  <c r="J50" i="1" s="1"/>
  <c r="C29" i="1"/>
  <c r="D29" i="1" s="1"/>
  <c r="G35" i="1"/>
  <c r="H35" i="1" s="1"/>
  <c r="C28" i="1"/>
  <c r="D28" i="1" s="1"/>
  <c r="G36" i="1"/>
  <c r="H36" i="1" s="1"/>
  <c r="J54" i="1" s="1"/>
  <c r="C27" i="1"/>
  <c r="D27" i="1" s="1"/>
  <c r="G37" i="1"/>
  <c r="H37" i="1" s="1"/>
  <c r="E34" i="1"/>
  <c r="F34" i="1" s="1"/>
  <c r="I29" i="1"/>
  <c r="J29" i="1" s="1"/>
  <c r="E35" i="1"/>
  <c r="F35" i="1" s="1"/>
  <c r="I32" i="1"/>
  <c r="J32" i="1" s="1"/>
  <c r="J51" i="1" s="1"/>
  <c r="E36" i="1"/>
  <c r="F36" i="1" s="1"/>
  <c r="H54" i="1" s="1"/>
  <c r="I34" i="1"/>
  <c r="J34" i="1" s="1"/>
  <c r="E37" i="1"/>
  <c r="F37" i="1" s="1"/>
  <c r="H55" i="1" s="1"/>
  <c r="I35" i="1"/>
  <c r="J35" i="1" s="1"/>
  <c r="E40" i="1"/>
  <c r="F40" i="1" s="1"/>
  <c r="I39" i="1"/>
  <c r="J39" i="1" s="1"/>
  <c r="E25" i="1"/>
  <c r="F25" i="1" s="1"/>
  <c r="G40" i="1"/>
  <c r="H40" i="1" s="1"/>
  <c r="I40" i="1"/>
  <c r="J40" i="1" s="1"/>
  <c r="C40" i="1"/>
  <c r="D40" i="1" s="1"/>
  <c r="E26" i="1"/>
  <c r="F26" i="1" s="1"/>
  <c r="G26" i="1"/>
  <c r="H26" i="1" s="1"/>
  <c r="I25" i="1"/>
  <c r="J25" i="1" s="1"/>
  <c r="C39" i="1"/>
  <c r="D39" i="1" s="1"/>
  <c r="E27" i="1"/>
  <c r="F27" i="1" s="1"/>
  <c r="H48" i="1" s="1"/>
  <c r="I26" i="1"/>
  <c r="J26" i="1" s="1"/>
  <c r="C26" i="1"/>
  <c r="D26" i="1" s="1"/>
  <c r="G39" i="1"/>
  <c r="H39" i="1" s="1"/>
  <c r="J56" i="1" s="1"/>
  <c r="C25" i="1"/>
  <c r="D25" i="1" s="1"/>
  <c r="F46" i="1" s="1"/>
  <c r="G25" i="1"/>
  <c r="H25" i="1" s="1"/>
  <c r="C37" i="1"/>
  <c r="D37" i="1" s="1"/>
  <c r="E28" i="1"/>
  <c r="F28" i="1" s="1"/>
  <c r="G27" i="1"/>
  <c r="H27" i="1" s="1"/>
  <c r="J48" i="1" s="1"/>
  <c r="C36" i="1"/>
  <c r="D36" i="1" s="1"/>
  <c r="E29" i="1"/>
  <c r="F29" i="1" s="1"/>
  <c r="G28" i="1"/>
  <c r="H28" i="1" s="1"/>
  <c r="J49" i="1" s="1"/>
  <c r="J52" i="1" l="1"/>
  <c r="F51" i="1"/>
  <c r="H46" i="1"/>
  <c r="H50" i="1"/>
  <c r="J55" i="1"/>
  <c r="F47" i="1"/>
  <c r="H57" i="1"/>
  <c r="F49" i="1"/>
  <c r="F56" i="1"/>
  <c r="J53" i="1"/>
  <c r="F48" i="1"/>
  <c r="F50" i="1"/>
  <c r="H56" i="1"/>
  <c r="H53" i="1"/>
  <c r="F54" i="1"/>
  <c r="H47" i="1"/>
  <c r="F52" i="1"/>
  <c r="J47" i="1"/>
  <c r="H49" i="1"/>
  <c r="F55" i="1"/>
  <c r="H52" i="1"/>
  <c r="F53" i="1"/>
  <c r="F57" i="1"/>
  <c r="J46" i="1"/>
  <c r="J5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<sst xmlns="http://schemas.openxmlformats.org/spreadsheetml/2006/main" count="80" uniqueCount="41">
  <si>
    <t>Mission</t>
  </si>
  <si>
    <t>OA-8 Launch</t>
  </si>
  <si>
    <t>OA-9 Launch</t>
  </si>
  <si>
    <t>NG-10 Launch</t>
  </si>
  <si>
    <t>NG11 Launch</t>
  </si>
  <si>
    <t>NG-12 Launch</t>
  </si>
  <si>
    <t>NG-13 Launch</t>
  </si>
  <si>
    <t>NG-14 Launch</t>
  </si>
  <si>
    <t>NG-15 Launch</t>
  </si>
  <si>
    <t>NG-16 Launch</t>
  </si>
  <si>
    <t>NG-17 Launch</t>
  </si>
  <si>
    <t>NG-18 Launch</t>
  </si>
  <si>
    <t>NG19 Launch</t>
  </si>
  <si>
    <t>Date</t>
  </si>
  <si>
    <t>12-Nov-2017 12:54:59</t>
  </si>
  <si>
    <t>21-May-2018 09:20:54</t>
  </si>
  <si>
    <t>17-Nov-2018 09:24:59</t>
  </si>
  <si>
    <t>17-Apr-2019 21:14:33</t>
  </si>
  <si>
    <t>03-Nov-2019 00:34:02</t>
  </si>
  <si>
    <t>15-Feb-2020 20:42:57</t>
  </si>
  <si>
    <t>03-Oct-2020 01:40:13</t>
  </si>
  <si>
    <t>20-Feb-2021 18:08:27</t>
  </si>
  <si>
    <t>10-Aug-2021 22:28:38</t>
  </si>
  <si>
    <t>19-Feb-2022 18:10:31</t>
  </si>
  <si>
    <t>07-Nov-2022 11:24:50</t>
  </si>
  <si>
    <t>02-Aug-2023 02:54:16</t>
  </si>
  <si>
    <t>LOLS Transfer Line Chill Cmd</t>
  </si>
  <si>
    <t>PT-4930 (psig)</t>
  </si>
  <si>
    <t>TC-4928 (°F)</t>
  </si>
  <si>
    <t>LOLS LHFO Cmd</t>
  </si>
  <si>
    <t>LOLS Stop Flow Cmd</t>
  </si>
  <si>
    <t>T+10 Min</t>
  </si>
  <si>
    <t>mol in storage</t>
  </si>
  <si>
    <t>MP GHe Volume</t>
  </si>
  <si>
    <t>ft^3</t>
  </si>
  <si>
    <t>kg GHe</t>
  </si>
  <si>
    <t>consumption in kg per phase</t>
  </si>
  <si>
    <t>Chilldown</t>
  </si>
  <si>
    <t>Loading</t>
  </si>
  <si>
    <t>Drainback</t>
  </si>
  <si>
    <t>Stale data for pressure transducer - post launch value is not reliable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</si>
</sst>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name val="Calibri"/>
    </font>
    <font>
      <sz val="11"/>
      <name val="Calibri"/>
      <family val="2"/>
    </font>
    <font>
      <sz val="12"/>
      <color rgb="FF3F3F76"/>
      <name val="Aptos Narrow"/>
      <family val="2"/>
      <scheme val="minor"/>
    </font>
    <font>
      <b/>
      <sz val="12"/>
      <color rgb="FFFA7D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Continuous"/>
    </xf>
    <xf numFmtId="0" fontId="1" fillId="0" borderId="0" xfId="0" applyFont="1"/>
    <xf numFmtId="0" fontId="2" fillId="2" borderId="1" xfId="1"/>
    <xf numFmtId="1" fontId="0" fillId="0" borderId="0" xfId="0" applyNumberFormat="1"/>
    <xf numFmtId="0" fontId="3" fillId="3" borderId="1" xfId="2"/>
    <xf numFmtId="164" fontId="0" fillId="4" borderId="0" xfId="0" applyNumberFormat="1" applyFill="1"/>
    <xf numFmtId="1" fontId="0" fillId="4" borderId="0" xfId="0" applyNumberFormat="1" applyFill="1"/>
    <xf numFmtId="0" fontId="0" fillId="4" borderId="0" xfId="0" applyFill="1"/>
    <xf numFmtId="0" fontId="3" fillId="4" borderId="1" xfId="2" applyFill="1"/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 GHe Consumption During Vehicle Operations for 3 operational phases (in kilograms)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Sheet1!$B$45</c:f>
              <c:strCache>
                <c:ptCount val="1"/>
                <c:pt idx="0">
                  <c:v>Chilldown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Sheet1!$A$46:$A$57</c:f>
              <c:strCache>
                <c:ptCount val="12"/>
                <c:pt idx="0">
                  <c:v>OA-8 Launch</c:v>
                </c:pt>
                <c:pt idx="1">
                  <c:v>OA-9 Launch</c:v>
                </c:pt>
                <c:pt idx="2">
                  <c:v>NG-10 Launch</c:v>
                </c:pt>
                <c:pt idx="3">
                  <c:v>NG11 Launch</c:v>
                </c:pt>
                <c:pt idx="4">
                  <c:v>NG-12 Launch</c:v>
                </c:pt>
                <c:pt idx="5">
                  <c:v>NG-13 Launch</c:v>
                </c:pt>
                <c:pt idx="6">
                  <c:v>NG-14 Launch</c:v>
                </c:pt>
                <c:pt idx="7">
                  <c:v>NG-15 Launch</c:v>
                </c:pt>
                <c:pt idx="8">
                  <c:v>NG-16 Launch</c:v>
                </c:pt>
                <c:pt idx="9">
                  <c:v>NG-17 Launch</c:v>
                </c:pt>
                <c:pt idx="10">
                  <c:v>NG-18 Launch</c:v>
                </c:pt>
                <c:pt idx="11">
                  <c:v>NG19 Launch</c:v>
                </c:pt>
              </c:strCache>
            </c:strRef>
          </c:cat>
          <c:val>
            <c:numRef>
              <c:f>Sheet1!$B$46:$B$57</c:f>
              <c:numCache>
                <c:formatCode>General</c:formatCode>
                <c:ptCount val="12"/>
                <c:pt idx="0">
                  <c:v>15.068559147152882</c:v>
                </c:pt>
                <c:pt idx="1">
                  <c:v>129.95611096517314</c:v>
                </c:pt>
                <c:pt idx="2">
                  <c:v>14.146378702657785</c:v>
                </c:pt>
                <c:pt idx="3">
                  <c:v>-18.605779627919674</c:v>
                </c:pt>
                <c:pt idx="4">
                  <c:v>33.398520708863089</c:v>
                </c:pt>
                <c:pt idx="5">
                  <c:v>-305.56941339031118</c:v>
                </c:pt>
                <c:pt idx="6">
                  <c:v>-7.9090159514680636</c:v>
                </c:pt>
                <c:pt idx="7">
                  <c:v>-52.019701582888047</c:v>
                </c:pt>
                <c:pt idx="8">
                  <c:v>-56.297345402082101</c:v>
                </c:pt>
                <c:pt idx="9">
                  <c:v>-139.33387329683364</c:v>
                </c:pt>
                <c:pt idx="10">
                  <c:v>1.7114959364425886</c:v>
                </c:pt>
                <c:pt idx="11">
                  <c:v>-2.6522134505466965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3-EB4A-A177-7E62C9212D89}"/>
            </c:ext>
          </c:extLst>
        </c:ser>
        <c:ser>
          <c:idx val="1"/>
          <c:order val="1"/>
          <c:tx>
            <c:strRef>
              <c:f>Sheet1!$C$45</c:f>
              <c:strCache>
                <c:ptCount val="1"/>
                <c:pt idx="0">
                  <c:v>Loading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Sheet1!$A$46:$A$57</c:f>
              <c:strCache>
                <c:ptCount val="12"/>
                <c:pt idx="0">
                  <c:v>OA-8 Launch</c:v>
                </c:pt>
                <c:pt idx="1">
                  <c:v>OA-9 Launch</c:v>
                </c:pt>
                <c:pt idx="2">
                  <c:v>NG-10 Launch</c:v>
                </c:pt>
                <c:pt idx="3">
                  <c:v>NG11 Launch</c:v>
                </c:pt>
                <c:pt idx="4">
                  <c:v>NG-12 Launch</c:v>
                </c:pt>
                <c:pt idx="5">
                  <c:v>NG-13 Launch</c:v>
                </c:pt>
                <c:pt idx="6">
                  <c:v>NG-14 Launch</c:v>
                </c:pt>
                <c:pt idx="7">
                  <c:v>NG-15 Launch</c:v>
                </c:pt>
                <c:pt idx="8">
                  <c:v>NG-16 Launch</c:v>
                </c:pt>
                <c:pt idx="9">
                  <c:v>NG-17 Launch</c:v>
                </c:pt>
                <c:pt idx="10">
                  <c:v>NG-18 Launch</c:v>
                </c:pt>
                <c:pt idx="11">
                  <c:v>NG19 Launch</c:v>
                </c:pt>
              </c:strCache>
            </c:strRef>
          </c:cat>
          <c:val>
            <c:numRef>
              <c:f>Sheet1!$C$46:$C$57</c:f>
              <c:numCache>
                <c:formatCode>General</c:formatCode>
                <c:ptCount val="12"/>
                <c:pt idx="0">
                  <c:v>200.31605379388657</c:v>
                </c:pt>
                <c:pt idx="1">
                  <c:v>449.38245114789243</c:v>
                </c:pt>
                <c:pt idx="2">
                  <c:v>216.23083235593822</c:v>
                </c:pt>
                <c:pt idx="3">
                  <c:v>125.69085796335912</c:v>
                </c:pt>
                <c:pt idx="4">
                  <c:v>195.50207255774922</c:v>
                </c:pt>
                <c:pt idx="5">
                  <c:v>161.99298785359269</c:v>
                </c:pt>
                <c:pt idx="6">
                  <c:v>202.75705341355933</c:v>
                </c:pt>
                <c:pt idx="7">
                  <c:v>150.55763198311342</c:v>
                </c:pt>
                <c:pt idx="8">
                  <c:v>131.02499515449426</c:v>
                </c:pt>
                <c:pt idx="9">
                  <c:v>136.89997542581432</c:v>
                </c:pt>
                <c:pt idx="10">
                  <c:v>170.29739477361227</c:v>
                </c:pt>
                <c:pt idx="11">
                  <c:v>215.47770768983082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93-EB4A-A177-7E62C9212D89}"/>
            </c:ext>
          </c:extLst>
        </c:ser>
        <c:ser>
          <c:idx val="2"/>
          <c:order val="2"/>
          <c:tx>
            <c:strRef>
              <c:f>Sheet1!$D$45</c:f>
              <c:strCache>
                <c:ptCount val="1"/>
                <c:pt idx="0">
                  <c:v>Drainback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Sheet1!$A$46:$A$57</c:f>
              <c:strCache>
                <c:ptCount val="12"/>
                <c:pt idx="0">
                  <c:v>OA-8 Launch</c:v>
                </c:pt>
                <c:pt idx="1">
                  <c:v>OA-9 Launch</c:v>
                </c:pt>
                <c:pt idx="2">
                  <c:v>NG-10 Launch</c:v>
                </c:pt>
                <c:pt idx="3">
                  <c:v>NG11 Launch</c:v>
                </c:pt>
                <c:pt idx="4">
                  <c:v>NG-12 Launch</c:v>
                </c:pt>
                <c:pt idx="5">
                  <c:v>NG-13 Launch</c:v>
                </c:pt>
                <c:pt idx="6">
                  <c:v>NG-14 Launch</c:v>
                </c:pt>
                <c:pt idx="7">
                  <c:v>NG-15 Launch</c:v>
                </c:pt>
                <c:pt idx="8">
                  <c:v>NG-16 Launch</c:v>
                </c:pt>
                <c:pt idx="9">
                  <c:v>NG-17 Launch</c:v>
                </c:pt>
                <c:pt idx="10">
                  <c:v>NG-18 Launch</c:v>
                </c:pt>
                <c:pt idx="11">
                  <c:v>NG19 Launch</c:v>
                </c:pt>
              </c:strCache>
            </c:strRef>
          </c:cat>
          <c:val>
            <c:numRef>
              <c:f>Sheet1!$D$46:$D$57</c:f>
              <c:numCache>
                <c:formatCode>General</c:formatCode>
                <c:ptCount val="12"/>
                <c:pt idx="0">
                  <c:v>2.1403606082235456</c:v>
                </c:pt>
                <c:pt idx="1">
                  <c:v>70.374643488479251</c:v>
                </c:pt>
                <c:pt idx="2">
                  <c:v>0</c:v>
                </c:pt>
                <c:pt idx="3">
                  <c:v>5.599508512274042</c:v>
                </c:pt>
                <c:pt idx="4">
                  <c:v>10.282967985111554</c:v>
                </c:pt>
                <c:pt idx="5">
                  <c:v>26.661346751517613</c:v>
                </c:pt>
                <c:pt idx="6">
                  <c:v>-1.8949003156585604</c:v>
                </c:pt>
                <c:pt idx="7">
                  <c:v>1.1321430944522035</c:v>
                </c:pt>
                <c:pt idx="8">
                  <c:v>12.008473647483697</c:v>
                </c:pt>
                <c:pt idx="9">
                  <c:v>4.7655853458459205</c:v>
                </c:pt>
                <c:pt idx="10">
                  <c:v>6.7698075320322459</c:v>
                </c:pt>
                <c:pt idx="11">
                  <c:v>0.22901196506700217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93-EB4A-A177-7E62C9212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84304"/>
        <c:axId val="76588096"/>
      </c:barChart>
      <c:catAx>
        <c:axId val="7658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8096"/>
        <c:crosses val="autoZero"/>
        <c:auto val="1"/>
        <c:lblAlgn val="ctr"/>
        <c:lblOffset val="100"/>
        <c:noMultiLvlLbl val="0"/>
      </c:catAx>
      <c:valAx>
        <c:axId val="765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60</xdr:row>
      <xdr:rowOff>31750</xdr:rowOff>
    </xdr:from>
    <xdr:to>
      <xdr:col>11</xdr:col>
      <xdr:colOff>203200</xdr:colOff>
      <xdr:row>89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54CA44-B0BA-3CC5-E257-5FFDA7632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workbookViewId="0">
      <selection activeCell="L33" sqref="L33"/>
    </sheetView>
  </sheetViews>
  <sheetFormatPr baseColWidth="10" defaultColWidth="8.83203125" defaultRowHeight="15" x14ac:dyDescent="0.2"/>
  <cols>
    <col min="1" max="1" width="13.1640625" customWidth="1"/>
    <col min="2" max="2" width="19.83203125" customWidth="1"/>
    <col min="3" max="3" width="12.6640625" customWidth="1"/>
    <col min="4" max="4" width="11.5" customWidth="1"/>
    <col min="5" max="5" width="14.6640625" customWidth="1"/>
    <col min="6" max="6" width="11.5" customWidth="1"/>
    <col min="7" max="7" width="18.83203125" customWidth="1"/>
    <col min="8" max="8" width="11.5" customWidth="1"/>
    <col min="9" max="9" width="13.5" customWidth="1"/>
    <col min="10" max="10" width="11.5" customWidth="1"/>
  </cols>
  <sheetData>
    <row r="1" spans="1:10" x14ac:dyDescent="0.2">
      <c r="C1" s="2" t="s">
        <v>26</v>
      </c>
      <c r="D1" s="2"/>
      <c r="E1" s="2" t="s">
        <v>29</v>
      </c>
      <c r="F1" s="2"/>
      <c r="G1" s="2" t="s">
        <v>30</v>
      </c>
      <c r="H1" s="2"/>
      <c r="I1" s="2" t="s">
        <v>31</v>
      </c>
      <c r="J1" s="2"/>
    </row>
    <row r="2" spans="1:10" x14ac:dyDescent="0.2">
      <c r="A2" t="s">
        <v>0</v>
      </c>
      <c r="B2" t="s">
        <v>13</v>
      </c>
      <c r="C2" t="s">
        <v>27</v>
      </c>
      <c r="D2" t="s">
        <v>28</v>
      </c>
      <c r="E2" t="s">
        <v>27</v>
      </c>
      <c r="F2" t="s">
        <v>28</v>
      </c>
      <c r="G2" t="s">
        <v>27</v>
      </c>
      <c r="H2" t="s">
        <v>28</v>
      </c>
      <c r="I2" t="s">
        <v>27</v>
      </c>
      <c r="J2" t="s">
        <v>28</v>
      </c>
    </row>
    <row r="3" spans="1:10" x14ac:dyDescent="0.2">
      <c r="A3" t="s">
        <v>1</v>
      </c>
      <c r="B3" t="s">
        <v>14</v>
      </c>
      <c r="C3" s="1">
        <v>2457.75</v>
      </c>
      <c r="D3" s="1">
        <v>32.722480000000012</v>
      </c>
      <c r="E3" s="1">
        <v>2447.5</v>
      </c>
      <c r="F3" s="1">
        <v>33.457920000000009</v>
      </c>
      <c r="G3" s="1">
        <v>2271.75</v>
      </c>
      <c r="H3" s="1">
        <v>35.537440000000011</v>
      </c>
      <c r="I3" s="1">
        <v>2271.75</v>
      </c>
      <c r="J3" s="1">
        <v>35.968560000000011</v>
      </c>
    </row>
    <row r="4" spans="1:10" x14ac:dyDescent="0.2">
      <c r="A4" t="s">
        <v>2</v>
      </c>
      <c r="B4" t="s">
        <v>15</v>
      </c>
      <c r="C4" s="1">
        <v>2618.5</v>
      </c>
      <c r="D4" s="1">
        <v>65.941118000000017</v>
      </c>
      <c r="E4" s="1">
        <v>2510.25</v>
      </c>
      <c r="F4" s="1">
        <v>70.120500000000007</v>
      </c>
      <c r="G4" s="1">
        <v>2049.5</v>
      </c>
      <c r="H4" s="1">
        <v>66.545366000000016</v>
      </c>
      <c r="I4" s="1">
        <v>1979.25</v>
      </c>
      <c r="J4" s="1">
        <v>66.343950000000007</v>
      </c>
    </row>
    <row r="5" spans="1:10" x14ac:dyDescent="0.2">
      <c r="A5" t="s">
        <v>3</v>
      </c>
      <c r="B5" t="s">
        <v>16</v>
      </c>
      <c r="C5" s="1">
        <v>2565.75</v>
      </c>
      <c r="D5" s="1">
        <v>40.134693000000013</v>
      </c>
      <c r="E5" s="1">
        <v>2545.5</v>
      </c>
      <c r="F5" s="1">
        <v>38.775135000000013</v>
      </c>
      <c r="G5" s="7">
        <v>2336</v>
      </c>
      <c r="H5" s="7">
        <v>37.239338000000011</v>
      </c>
      <c r="I5" s="7">
        <v>2336</v>
      </c>
      <c r="J5" s="7">
        <v>37.239338000000011</v>
      </c>
    </row>
    <row r="6" spans="1:10" x14ac:dyDescent="0.2">
      <c r="A6" t="s">
        <v>4</v>
      </c>
      <c r="B6" t="s">
        <v>17</v>
      </c>
      <c r="C6" s="1">
        <v>2596.25</v>
      </c>
      <c r="D6" s="1">
        <v>67.149614000000014</v>
      </c>
      <c r="E6" s="1">
        <v>2587.5</v>
      </c>
      <c r="F6" s="1">
        <v>61.711382000000015</v>
      </c>
      <c r="G6" s="1">
        <v>2445.5</v>
      </c>
      <c r="H6" s="1">
        <v>57.708239000000013</v>
      </c>
      <c r="I6" s="1">
        <v>2438.75</v>
      </c>
      <c r="J6" s="1">
        <v>57.431292000000013</v>
      </c>
    </row>
    <row r="7" spans="1:10" x14ac:dyDescent="0.2">
      <c r="A7" t="s">
        <v>5</v>
      </c>
      <c r="B7" t="s">
        <v>18</v>
      </c>
      <c r="C7" s="1">
        <v>2505.75</v>
      </c>
      <c r="D7" s="1">
        <v>37.79323200000001</v>
      </c>
      <c r="E7" s="1">
        <v>2497</v>
      </c>
      <c r="F7" s="1">
        <v>42.274738000000013</v>
      </c>
      <c r="G7" s="1">
        <v>2334</v>
      </c>
      <c r="H7" s="1">
        <v>46.831775000000015</v>
      </c>
      <c r="I7" s="1">
        <v>2327.25</v>
      </c>
      <c r="J7" s="1">
        <v>47.486377000000012</v>
      </c>
    </row>
    <row r="8" spans="1:10" x14ac:dyDescent="0.2">
      <c r="C8" s="1"/>
      <c r="D8" s="1"/>
      <c r="E8" s="1"/>
      <c r="F8" s="1"/>
      <c r="G8" s="1"/>
      <c r="H8" s="1"/>
      <c r="I8" s="1"/>
      <c r="J8" s="1"/>
    </row>
    <row r="9" spans="1:10" x14ac:dyDescent="0.2">
      <c r="C9" s="1"/>
      <c r="D9" s="1"/>
      <c r="E9" s="1"/>
      <c r="F9" s="1"/>
      <c r="G9" s="1"/>
      <c r="H9" s="1"/>
      <c r="I9" s="1"/>
      <c r="J9" s="1"/>
    </row>
    <row r="10" spans="1:10" x14ac:dyDescent="0.2">
      <c r="A10" t="s">
        <v>6</v>
      </c>
      <c r="B10" t="s">
        <v>19</v>
      </c>
      <c r="C10" s="1">
        <v>2217.25</v>
      </c>
      <c r="D10" s="1">
        <v>33.135487000000012</v>
      </c>
      <c r="E10" s="1">
        <v>2576.5</v>
      </c>
      <c r="F10" s="1">
        <v>48.166156000000008</v>
      </c>
      <c r="G10" s="1">
        <v>2379.25</v>
      </c>
      <c r="H10" s="1">
        <v>39.228321000000008</v>
      </c>
      <c r="I10" s="1">
        <v>2338.75</v>
      </c>
      <c r="J10" s="1">
        <v>35.955311000000009</v>
      </c>
    </row>
    <row r="11" spans="1:10" x14ac:dyDescent="0.2"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t="s">
        <v>7</v>
      </c>
      <c r="B12" t="s">
        <v>20</v>
      </c>
      <c r="C12" s="1">
        <v>2584.75</v>
      </c>
      <c r="D12" s="1">
        <v>66.419481000000019</v>
      </c>
      <c r="E12" s="1">
        <v>2555</v>
      </c>
      <c r="F12" s="1">
        <v>58.841204000000012</v>
      </c>
      <c r="G12" s="1">
        <v>2359</v>
      </c>
      <c r="H12" s="1">
        <v>59.118151000000012</v>
      </c>
      <c r="I12" s="1">
        <v>2359</v>
      </c>
      <c r="J12" s="1">
        <v>58.715319000000015</v>
      </c>
    </row>
    <row r="13" spans="1:10" x14ac:dyDescent="0.2">
      <c r="A13" t="s">
        <v>8</v>
      </c>
      <c r="B13" t="s">
        <v>21</v>
      </c>
      <c r="C13" s="1">
        <v>2684.25</v>
      </c>
      <c r="D13" s="1">
        <v>40.059162000000008</v>
      </c>
      <c r="E13" s="1">
        <v>2699.25</v>
      </c>
      <c r="F13" s="1">
        <v>33.915974000000013</v>
      </c>
      <c r="G13" s="1">
        <v>2563.75</v>
      </c>
      <c r="H13" s="1">
        <v>34.671284000000014</v>
      </c>
      <c r="I13" s="1">
        <v>2563.75</v>
      </c>
      <c r="J13" s="1">
        <v>34.872700000000009</v>
      </c>
    </row>
    <row r="14" spans="1:10" x14ac:dyDescent="0.2">
      <c r="A14" t="s">
        <v>9</v>
      </c>
      <c r="B14" t="s">
        <v>22</v>
      </c>
      <c r="C14" s="1">
        <v>2703</v>
      </c>
      <c r="D14" s="1">
        <v>93.98829600000002</v>
      </c>
      <c r="E14" s="1">
        <v>2699.5</v>
      </c>
      <c r="F14" s="1">
        <v>81.626389000000017</v>
      </c>
      <c r="G14" s="1">
        <v>2564.5</v>
      </c>
      <c r="H14" s="1">
        <v>81.223557000000014</v>
      </c>
      <c r="I14" s="1">
        <v>2564.5</v>
      </c>
      <c r="J14" s="1">
        <v>83.791611000000017</v>
      </c>
    </row>
    <row r="15" spans="1:10" x14ac:dyDescent="0.2">
      <c r="A15" t="s">
        <v>10</v>
      </c>
      <c r="B15" t="s">
        <v>23</v>
      </c>
      <c r="C15" s="1">
        <v>2557.75</v>
      </c>
      <c r="D15" s="1">
        <v>45.799518000000013</v>
      </c>
      <c r="E15" s="1">
        <v>2693</v>
      </c>
      <c r="F15" s="1">
        <v>46.378589000000012</v>
      </c>
      <c r="G15" s="1">
        <v>2557.75</v>
      </c>
      <c r="H15" s="1">
        <v>45.346332000000011</v>
      </c>
      <c r="I15" s="1">
        <v>2564.5</v>
      </c>
      <c r="J15" s="1">
        <v>47.56190800000001</v>
      </c>
    </row>
    <row r="16" spans="1:10" x14ac:dyDescent="0.2"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t="s">
        <v>11</v>
      </c>
      <c r="B17" t="s">
        <v>24</v>
      </c>
      <c r="C17" s="1">
        <v>2676</v>
      </c>
      <c r="D17" s="1">
        <v>64.329790000000017</v>
      </c>
      <c r="E17" s="1">
        <v>2672.25</v>
      </c>
      <c r="F17" s="1">
        <v>63.926958000000013</v>
      </c>
      <c r="G17" s="1">
        <v>2503</v>
      </c>
      <c r="H17" s="1">
        <v>63.52412600000001</v>
      </c>
      <c r="I17" s="1">
        <v>2503</v>
      </c>
      <c r="J17" s="1">
        <v>64.908861000000016</v>
      </c>
    </row>
    <row r="18" spans="1:10" x14ac:dyDescent="0.2">
      <c r="A18" t="s">
        <v>12</v>
      </c>
      <c r="B18" t="s">
        <v>25</v>
      </c>
      <c r="C18" s="1">
        <v>2658</v>
      </c>
      <c r="D18" s="1">
        <v>80.417893000000007</v>
      </c>
      <c r="E18" s="1">
        <v>2633.25</v>
      </c>
      <c r="F18" s="1">
        <v>74.87895300000001</v>
      </c>
      <c r="G18" s="1">
        <v>2410.25</v>
      </c>
      <c r="H18" s="1">
        <v>73.368333000000007</v>
      </c>
      <c r="I18" s="1">
        <v>2410.25</v>
      </c>
      <c r="J18" s="1">
        <v>73.41868700000002</v>
      </c>
    </row>
    <row r="20" spans="1:10" x14ac:dyDescent="0.2">
      <c r="C20" s="3" t="s">
        <v>34</v>
      </c>
    </row>
    <row r="21" spans="1:10" ht="16" x14ac:dyDescent="0.2">
      <c r="A21" s="3" t="s">
        <v>33</v>
      </c>
      <c r="C21" s="4">
        <f>1350 + 1800</f>
        <v>3150</v>
      </c>
    </row>
    <row r="23" spans="1:10" x14ac:dyDescent="0.2">
      <c r="C23" s="3" t="s">
        <v>32</v>
      </c>
      <c r="D23" s="3" t="s">
        <v>35</v>
      </c>
      <c r="E23" s="3" t="s">
        <v>32</v>
      </c>
      <c r="F23" s="3" t="s">
        <v>35</v>
      </c>
      <c r="G23" s="3" t="s">
        <v>32</v>
      </c>
      <c r="H23" s="3" t="s">
        <v>35</v>
      </c>
      <c r="I23" s="3" t="s">
        <v>32</v>
      </c>
      <c r="J23" s="3" t="s">
        <v>35</v>
      </c>
    </row>
    <row r="24" spans="1:10" x14ac:dyDescent="0.2">
      <c r="C24" s="3"/>
      <c r="E24" s="3"/>
      <c r="G24" s="3"/>
      <c r="I24" s="3"/>
    </row>
    <row r="25" spans="1:10" x14ac:dyDescent="0.2">
      <c r="A25" t="s">
        <v>1</v>
      </c>
      <c r="C25" s="5">
        <f>(CONVERT(C3+14.7,"psi","Pa")*CONVERT($C$21,"ft^3","m^3")/(8.314*CONVERT(D3,"F","K")))</f>
        <v>668579.43779044796</v>
      </c>
      <c r="D25">
        <f>C25*4.002602/1000</f>
        <v>2676.0573948589226</v>
      </c>
      <c r="E25" s="5">
        <f>(CONVERT(E3+14.7,"psi","Pa")*CONVERT($C$21,"ft^3","m^3")/(8.314*CONVERT(F3,"F","K")))</f>
        <v>664814.74693506106</v>
      </c>
      <c r="F25">
        <f>E25*4.002602/1000</f>
        <v>2660.9888357117698</v>
      </c>
      <c r="G25" s="5">
        <f>(CONVERT(G3+14.7,"psi","Pa")*CONVERT($C$21,"ft^3","m^3")/(8.314*CONVERT(H3,"F","K")))</f>
        <v>614768.28870766633</v>
      </c>
      <c r="H25">
        <f>G25*4.002602/1000</f>
        <v>2460.6727819178832</v>
      </c>
      <c r="I25" s="5">
        <f>(CONVERT(I3+14.7,"psi","Pa")*CONVERT($C$21,"ft^3","m^3")/(8.314*CONVERT(J3,"F","K")))</f>
        <v>614233.54640547815</v>
      </c>
      <c r="J25">
        <f>I25*4.002602/1000</f>
        <v>2458.5324213096596</v>
      </c>
    </row>
    <row r="26" spans="1:10" x14ac:dyDescent="0.2">
      <c r="A26" t="s">
        <v>2</v>
      </c>
      <c r="C26" s="5">
        <f t="shared" ref="C26:E40" si="0">(CONVERT(C4+14.7,"psi","Pa")*CONVERT($C$21,"ft^3","m^3")/(8.314*CONVERT(D4,"F","K")))</f>
        <v>667046.65852254641</v>
      </c>
      <c r="D26">
        <f t="shared" ref="D26:F40" si="1">C26*4.002602/1000</f>
        <v>2669.9222894956615</v>
      </c>
      <c r="E26" s="5">
        <f t="shared" si="0"/>
        <v>634578.75115499564</v>
      </c>
      <c r="F26">
        <f t="shared" si="1"/>
        <v>2539.9661785304884</v>
      </c>
      <c r="G26" s="5">
        <f t="shared" ref="G26:H26" si="2">(CONVERT(G4+14.7,"psi","Pa")*CONVERT($C$21,"ft^3","m^3")/(8.314*CONVERT(H4,"F","K")))</f>
        <v>522306.17168097047</v>
      </c>
      <c r="H26">
        <f t="shared" ref="H26" si="3">G26*4.002602/1000</f>
        <v>2090.583727382596</v>
      </c>
      <c r="I26" s="5">
        <f t="shared" ref="I26:J26" si="4">(CONVERT(I4+14.7,"psi","Pa")*CONVERT($C$21,"ft^3","m^3")/(8.314*CONVERT(J4,"F","K")))</f>
        <v>504723.94804532564</v>
      </c>
      <c r="J26">
        <f t="shared" ref="J26" si="5">I26*4.002602/1000</f>
        <v>2020.2090838941167</v>
      </c>
    </row>
    <row r="27" spans="1:10" x14ac:dyDescent="0.2">
      <c r="A27" t="s">
        <v>3</v>
      </c>
      <c r="C27" s="5">
        <f t="shared" si="0"/>
        <v>687435.61469053186</v>
      </c>
      <c r="D27">
        <f t="shared" si="1"/>
        <v>2751.5311662315526</v>
      </c>
      <c r="E27" s="5">
        <f t="shared" si="0"/>
        <v>683901.31907416589</v>
      </c>
      <c r="F27">
        <f t="shared" si="1"/>
        <v>2737.3847875288948</v>
      </c>
      <c r="G27" s="8">
        <f t="shared" ref="G27:H27" si="6">(CONVERT(G5+14.7,"psi","Pa")*CONVERT($C$21,"ft^3","m^3")/(8.314*CONVERT(H5,"F","K")))</f>
        <v>629878.75266463065</v>
      </c>
      <c r="H27" s="9">
        <f t="shared" ref="H27" si="7">G27*4.002602/1000</f>
        <v>2521.1539551729566</v>
      </c>
      <c r="I27" s="8">
        <f t="shared" ref="I27:J27" si="8">(CONVERT(I5+14.7,"psi","Pa")*CONVERT($C$21,"ft^3","m^3")/(8.314*CONVERT(J5,"F","K")))</f>
        <v>629878.75266463065</v>
      </c>
      <c r="J27" s="9">
        <f t="shared" ref="J27" si="9">I27*4.002602/1000</f>
        <v>2521.1539551729566</v>
      </c>
    </row>
    <row r="28" spans="1:10" x14ac:dyDescent="0.2">
      <c r="A28" t="s">
        <v>4</v>
      </c>
      <c r="C28" s="5">
        <f t="shared" si="0"/>
        <v>659893.01133341226</v>
      </c>
      <c r="D28">
        <f t="shared" si="1"/>
        <v>2641.2890869491389</v>
      </c>
      <c r="E28" s="5">
        <f t="shared" si="0"/>
        <v>664541.43244246079</v>
      </c>
      <c r="F28">
        <f t="shared" si="1"/>
        <v>2659.8948665770586</v>
      </c>
      <c r="G28" s="5">
        <f t="shared" ref="G28:H28" si="10">(CONVERT(G6+14.7,"psi","Pa")*CONVERT($C$21,"ft^3","m^3")/(8.314*CONVERT(H6,"F","K")))</f>
        <v>633139.14513951156</v>
      </c>
      <c r="H28">
        <f t="shared" ref="H28" si="11">G28*4.002602/1000</f>
        <v>2534.2040086136994</v>
      </c>
      <c r="I28" s="5">
        <f t="shared" ref="I28:J28" si="12">(CONVERT(I6+14.7,"psi","Pa")*CONVERT($C$21,"ft^3","m^3")/(8.314*CONVERT(J6,"F","K")))</f>
        <v>631740.17803954147</v>
      </c>
      <c r="J28">
        <f t="shared" ref="J28" si="13">I28*4.002602/1000</f>
        <v>2528.6045001014254</v>
      </c>
    </row>
    <row r="29" spans="1:10" x14ac:dyDescent="0.2">
      <c r="A29" t="s">
        <v>5</v>
      </c>
      <c r="C29" s="5">
        <f t="shared" si="0"/>
        <v>674611.91733393213</v>
      </c>
      <c r="D29">
        <f t="shared" si="1"/>
        <v>2700.2030095446316</v>
      </c>
      <c r="E29" s="5">
        <f t="shared" si="0"/>
        <v>666267.71506029542</v>
      </c>
      <c r="F29">
        <f t="shared" si="1"/>
        <v>2666.8044888357686</v>
      </c>
      <c r="G29" s="5">
        <f t="shared" ref="G29:H29" si="14">(CONVERT(G7+14.7,"psi","Pa")*CONVERT($C$21,"ft^3","m^3")/(8.314*CONVERT(H7,"F","K")))</f>
        <v>617423.96977716475</v>
      </c>
      <c r="H29">
        <f t="shared" ref="H29" si="15">G29*4.002602/1000</f>
        <v>2471.3024162780193</v>
      </c>
      <c r="I29" s="5">
        <f t="shared" ref="I29:J29" si="16">(CONVERT(I7+14.7,"psi","Pa")*CONVERT($C$21,"ft^3","m^3")/(8.314*CONVERT(J7,"F","K")))</f>
        <v>614854.89896145242</v>
      </c>
      <c r="J29">
        <f t="shared" ref="J29" si="17">I29*4.002602/1000</f>
        <v>2461.0194482929078</v>
      </c>
    </row>
    <row r="30" spans="1:10" x14ac:dyDescent="0.2">
      <c r="C30" s="5"/>
      <c r="E30" s="5"/>
      <c r="G30" s="5"/>
      <c r="I30" s="5"/>
    </row>
    <row r="31" spans="1:10" x14ac:dyDescent="0.2">
      <c r="C31" s="5"/>
      <c r="E31" s="5"/>
      <c r="G31" s="5"/>
      <c r="I31" s="5"/>
    </row>
    <row r="32" spans="1:10" x14ac:dyDescent="0.2">
      <c r="A32" t="s">
        <v>6</v>
      </c>
      <c r="C32" s="5">
        <f t="shared" si="0"/>
        <v>603039.60585528344</v>
      </c>
      <c r="D32">
        <f t="shared" si="1"/>
        <v>2413.7275324755692</v>
      </c>
      <c r="E32" s="5">
        <f t="shared" si="0"/>
        <v>679382.29828143795</v>
      </c>
      <c r="F32">
        <f t="shared" si="1"/>
        <v>2719.2969458658804</v>
      </c>
      <c r="G32" s="5">
        <f t="shared" ref="G32:H32" si="18">(CONVERT(G10+14.7,"psi","Pa")*CONVERT($C$21,"ft^3","m^3")/(8.314*CONVERT(H10,"F","K")))</f>
        <v>638910.37830198638</v>
      </c>
      <c r="H32">
        <f t="shared" ref="H32" si="19">G32*4.002602/1000</f>
        <v>2557.3039580122877</v>
      </c>
      <c r="I32" s="5">
        <f t="shared" ref="I32:J32" si="20">(CONVERT(I10+14.7,"psi","Pa")*CONVERT($C$21,"ft^3","m^3")/(8.314*CONVERT(J10,"F","K")))</f>
        <v>632249.37459701707</v>
      </c>
      <c r="J32">
        <f t="shared" ref="J32" si="21">I32*4.002602/1000</f>
        <v>2530.6426112607701</v>
      </c>
    </row>
    <row r="33" spans="1:12" x14ac:dyDescent="0.2">
      <c r="C33" s="5"/>
      <c r="E33" s="5"/>
      <c r="G33" s="5"/>
      <c r="I33" s="5"/>
    </row>
    <row r="34" spans="1:12" x14ac:dyDescent="0.2">
      <c r="A34" t="s">
        <v>7</v>
      </c>
      <c r="C34" s="5">
        <f t="shared" si="0"/>
        <v>657898.29303915508</v>
      </c>
      <c r="D34">
        <f t="shared" si="1"/>
        <v>2633.3050235151086</v>
      </c>
      <c r="E34" s="5">
        <f t="shared" si="0"/>
        <v>659874.26165943465</v>
      </c>
      <c r="F34">
        <f t="shared" si="1"/>
        <v>2641.2140394665767</v>
      </c>
      <c r="G34" s="5">
        <f t="shared" ref="G34:H34" si="22">(CONVERT(G12+14.7,"psi","Pa")*CONVERT($C$21,"ft^3","m^3")/(8.314*CONVERT(H12,"F","K")))</f>
        <v>609217.95023662539</v>
      </c>
      <c r="H34">
        <f t="shared" ref="H34" si="23">G34*4.002602/1000</f>
        <v>2438.4569860530173</v>
      </c>
      <c r="I34" s="5">
        <f t="shared" ref="I34:J34" si="24">(CONVERT(I12+14.7,"psi","Pa")*CONVERT($C$21,"ft^3","m^3")/(8.314*CONVERT(J12,"F","K")))</f>
        <v>609691.36735770281</v>
      </c>
      <c r="J34">
        <f t="shared" ref="J34" si="25">I34*4.002602/1000</f>
        <v>2440.3518863686759</v>
      </c>
    </row>
    <row r="35" spans="1:12" x14ac:dyDescent="0.2">
      <c r="A35" t="s">
        <v>8</v>
      </c>
      <c r="C35" s="5">
        <f t="shared" si="0"/>
        <v>719112.85927179514</v>
      </c>
      <c r="D35">
        <f t="shared" si="1"/>
        <v>2878.3225687470058</v>
      </c>
      <c r="E35" s="5">
        <f t="shared" si="0"/>
        <v>732109.33046300721</v>
      </c>
      <c r="F35">
        <f t="shared" si="1"/>
        <v>2930.3422703298938</v>
      </c>
      <c r="G35" s="5">
        <f t="shared" ref="G35:H35" si="26">(CONVERT(G13+14.7,"psi","Pa")*CONVERT($C$21,"ft^3","m^3")/(8.314*CONVERT(H13,"F","K")))</f>
        <v>694494.39098535909</v>
      </c>
      <c r="H35">
        <f t="shared" ref="H35" si="27">G35*4.002602/1000</f>
        <v>2779.7846383467804</v>
      </c>
      <c r="I35" s="5">
        <f t="shared" ref="I35:J35" si="28">(CONVERT(I13+14.7,"psi","Pa")*CONVERT($C$21,"ft^3","m^3")/(8.314*CONVERT(J13,"F","K")))</f>
        <v>694211.53920682787</v>
      </c>
      <c r="J35">
        <f t="shared" ref="J35" si="29">I35*4.002602/1000</f>
        <v>2778.6524952523282</v>
      </c>
    </row>
    <row r="36" spans="1:12" x14ac:dyDescent="0.2">
      <c r="A36" t="s">
        <v>9</v>
      </c>
      <c r="C36" s="5">
        <f t="shared" si="0"/>
        <v>653576.77680677199</v>
      </c>
      <c r="D36">
        <f t="shared" si="1"/>
        <v>2616.0077140003395</v>
      </c>
      <c r="E36" s="5">
        <f t="shared" si="0"/>
        <v>667641.96375318384</v>
      </c>
      <c r="F36">
        <f t="shared" si="1"/>
        <v>2672.3050594024216</v>
      </c>
      <c r="G36" s="5">
        <f t="shared" ref="G36:H36" si="30">(CONVERT(G14+14.7,"psi","Pa")*CONVERT($C$21,"ft^3","m^3")/(8.314*CONVERT(H14,"F","K")))</f>
        <v>634907.00905259303</v>
      </c>
      <c r="H36">
        <f t="shared" ref="H36" si="31">G36*4.002602/1000</f>
        <v>2541.2800642479274</v>
      </c>
      <c r="I36" s="5">
        <f t="shared" ref="I36:J36" si="32">(CONVERT(I14+14.7,"psi","Pa")*CONVERT($C$21,"ft^3","m^3")/(8.314*CONVERT(J14,"F","K")))</f>
        <v>631906.84224922769</v>
      </c>
      <c r="J36">
        <f t="shared" ref="J36" si="33">I36*4.002602/1000</f>
        <v>2529.2715906004437</v>
      </c>
    </row>
    <row r="37" spans="1:12" x14ac:dyDescent="0.2">
      <c r="A37" t="s">
        <v>10</v>
      </c>
      <c r="C37" s="5">
        <f t="shared" si="0"/>
        <v>677624.15855311602</v>
      </c>
      <c r="D37">
        <f t="shared" si="1"/>
        <v>2712.2598122730196</v>
      </c>
      <c r="E37" s="5">
        <f t="shared" si="0"/>
        <v>712434.98243638827</v>
      </c>
      <c r="F37">
        <f t="shared" si="1"/>
        <v>2851.5936855698533</v>
      </c>
      <c r="G37" s="5">
        <f t="shared" ref="G37:H37" si="34">(CONVERT(G15+14.7,"psi","Pa")*CONVERT($C$21,"ft^3","m^3")/(8.314*CONVERT(H15,"F","K")))</f>
        <v>678232.23746553832</v>
      </c>
      <c r="H37">
        <f t="shared" ref="H37" si="35">G37*4.002602/1000</f>
        <v>2714.693710144039</v>
      </c>
      <c r="I37" s="5">
        <f t="shared" ref="I37:J37" si="36">(CONVERT(I15+14.7,"psi","Pa")*CONVERT($C$21,"ft^3","m^3")/(8.314*CONVERT(J15,"F","K")))</f>
        <v>677041.61562858184</v>
      </c>
      <c r="J37">
        <f t="shared" ref="J37" si="37">I37*4.002602/1000</f>
        <v>2709.928124798193</v>
      </c>
    </row>
    <row r="38" spans="1:12" x14ac:dyDescent="0.2">
      <c r="C38" s="5"/>
      <c r="E38" s="5"/>
      <c r="G38" s="5"/>
      <c r="I38" s="5"/>
    </row>
    <row r="39" spans="1:12" x14ac:dyDescent="0.2">
      <c r="A39" t="s">
        <v>11</v>
      </c>
      <c r="C39" s="5">
        <f t="shared" si="0"/>
        <v>683708.65153448598</v>
      </c>
      <c r="D39">
        <f t="shared" si="1"/>
        <v>2736.613616049237</v>
      </c>
      <c r="E39" s="5">
        <f t="shared" si="0"/>
        <v>683281.05570146476</v>
      </c>
      <c r="F39">
        <f t="shared" si="1"/>
        <v>2734.9021201127944</v>
      </c>
      <c r="G39" s="5">
        <f t="shared" ref="G39:H39" si="38">(CONVERT(G17+14.7,"psi","Pa")*CONVERT($C$21,"ft^3","m^3")/(8.314*CONVERT(H17,"F","K")))</f>
        <v>640734.38361825177</v>
      </c>
      <c r="H39">
        <f t="shared" ref="H39" si="39">G39*4.002602/1000</f>
        <v>2564.6047253391821</v>
      </c>
      <c r="I39" s="5">
        <f t="shared" ref="I39:J39" si="40">(CONVERT(I17+14.7,"psi","Pa")*CONVERT($C$21,"ft^3","m^3")/(8.314*CONVERT(J17,"F","K")))</f>
        <v>639043.03195949772</v>
      </c>
      <c r="J39">
        <f t="shared" ref="J39" si="41">I39*4.002602/1000</f>
        <v>2557.8349178071498</v>
      </c>
    </row>
    <row r="40" spans="1:12" x14ac:dyDescent="0.2">
      <c r="A40" t="s">
        <v>12</v>
      </c>
      <c r="C40" s="5">
        <f t="shared" si="0"/>
        <v>658904.81522189931</v>
      </c>
      <c r="D40">
        <f t="shared" si="1"/>
        <v>2637.3337312168051</v>
      </c>
      <c r="E40" s="5">
        <f t="shared" si="0"/>
        <v>659567.43754871248</v>
      </c>
      <c r="F40">
        <f t="shared" si="1"/>
        <v>2639.9859446673518</v>
      </c>
      <c r="G40" s="5">
        <f t="shared" ref="G40:H40" si="42">(CONVERT(G18+14.7,"psi","Pa")*CONVERT($C$21,"ft^3","m^3")/(8.314*CONVERT(H18,"F","K")))</f>
        <v>605733.02990842471</v>
      </c>
      <c r="H40">
        <f t="shared" ref="H40" si="43">G40*4.002602/1000</f>
        <v>2424.5082369775209</v>
      </c>
      <c r="I40" s="5">
        <f t="shared" ref="I40:J40" si="44">(CONVERT(I18+14.7,"psi","Pa")*CONVERT($C$21,"ft^3","m^3")/(8.314*CONVERT(J18,"F","K")))</f>
        <v>605675.81413601793</v>
      </c>
      <c r="J40">
        <f t="shared" ref="J40" si="45">I40*4.002602/1000</f>
        <v>2424.2792250124539</v>
      </c>
    </row>
    <row r="44" spans="1:12" x14ac:dyDescent="0.2">
      <c r="F44" s="3" t="s">
        <v>36</v>
      </c>
    </row>
    <row r="45" spans="1:12" x14ac:dyDescent="0.2">
      <c r="B45" s="3" t="s">
        <v>37</v>
      </c>
      <c r="C45" s="3" t="s">
        <v>38</v>
      </c>
      <c r="D45" s="3" t="s">
        <v>39</v>
      </c>
      <c r="F45" s="3" t="s">
        <v>37</v>
      </c>
      <c r="H45" s="3" t="s">
        <v>38</v>
      </c>
      <c r="J45" s="3" t="s">
        <v>39</v>
      </c>
    </row>
    <row r="46" spans="1:12" ht="16" x14ac:dyDescent="0.2">
      <c r="A46" t="s">
        <v>1</v>
      </c>
      <c r="B46" cm="1">
        <f t="array" ref="B46:B57">F46:F57</f>
        <v>15.068559147152882</v>
      </c>
      <c r="C46" cm="1">
        <f t="array" ref="C46:C57">H46:H57</f>
        <v>200.31605379388657</v>
      </c>
      <c r="D46" cm="1">
        <f t="array" ref="D46:D57">J46:J57</f>
        <v>2.1403606082235456</v>
      </c>
      <c r="F46" s="6">
        <f>D25-F25</f>
        <v>15.068559147152882</v>
      </c>
      <c r="H46" s="6">
        <f>F25-H25</f>
        <v>200.31605379388657</v>
      </c>
      <c r="J46" s="6">
        <f>H25-J25</f>
        <v>2.1403606082235456</v>
      </c>
    </row>
    <row r="47" spans="1:12" ht="16" x14ac:dyDescent="0.2">
      <c r="A47" t="s">
        <v>2</v>
      </c>
      <c r="B47">
        <v>129.95611096517314</v>
      </c>
      <c r="C47">
        <v>449.38245114789243</v>
      </c>
      <c r="D47">
        <v>70.374643488479251</v>
      </c>
      <c r="F47" s="6">
        <f t="shared" ref="F47:F50" si="46">D26-F26</f>
        <v>129.95611096517314</v>
      </c>
      <c r="H47" s="6">
        <f>F26-H26</f>
        <v>449.38245114789243</v>
      </c>
      <c r="J47" s="6">
        <f>H26-J26</f>
        <v>70.374643488479251</v>
      </c>
    </row>
    <row r="48" spans="1:12" ht="16" x14ac:dyDescent="0.2">
      <c r="A48" t="s">
        <v>3</v>
      </c>
      <c r="B48">
        <v>14.146378702657785</v>
      </c>
      <c r="C48">
        <v>216.23083235593822</v>
      </c>
      <c r="D48" s="9">
        <v>0</v>
      </c>
      <c r="F48" s="6">
        <f t="shared" si="46"/>
        <v>14.146378702657785</v>
      </c>
      <c r="H48" s="10">
        <f>F27-H27</f>
        <v>216.23083235593822</v>
      </c>
      <c r="I48" s="9"/>
      <c r="J48" s="10">
        <f>H27-J27</f>
        <v>0</v>
      </c>
      <c r="L48" s="3" t="s">
        <v>40</v>
      </c>
    </row>
    <row r="49" spans="1:10" ht="16" x14ac:dyDescent="0.2">
      <c r="A49" t="s">
        <v>4</v>
      </c>
      <c r="B49">
        <v>-18.605779627919674</v>
      </c>
      <c r="C49">
        <v>125.69085796335912</v>
      </c>
      <c r="D49">
        <v>5.599508512274042</v>
      </c>
      <c r="F49" s="6">
        <f t="shared" si="46"/>
        <v>-18.605779627919674</v>
      </c>
      <c r="H49" s="6">
        <f>F28-H28</f>
        <v>125.69085796335912</v>
      </c>
      <c r="J49" s="6">
        <f>H28-J28</f>
        <v>5.599508512274042</v>
      </c>
    </row>
    <row r="50" spans="1:10" ht="16" x14ac:dyDescent="0.2">
      <c r="A50" t="s">
        <v>5</v>
      </c>
      <c r="B50">
        <v>33.398520708863089</v>
      </c>
      <c r="C50">
        <v>195.50207255774922</v>
      </c>
      <c r="D50">
        <v>10.282967985111554</v>
      </c>
      <c r="F50" s="6">
        <f t="shared" si="46"/>
        <v>33.398520708863089</v>
      </c>
      <c r="H50" s="6">
        <f>F29-H29</f>
        <v>195.50207255774922</v>
      </c>
      <c r="J50" s="6">
        <f>H29-J29</f>
        <v>10.282967985111554</v>
      </c>
    </row>
    <row r="51" spans="1:10" ht="16" x14ac:dyDescent="0.2">
      <c r="A51" t="s">
        <v>6</v>
      </c>
      <c r="B51">
        <v>-305.56941339031118</v>
      </c>
      <c r="C51">
        <v>161.99298785359269</v>
      </c>
      <c r="D51">
        <v>26.661346751517613</v>
      </c>
      <c r="F51" s="6">
        <f>D32-F32</f>
        <v>-305.56941339031118</v>
      </c>
      <c r="H51" s="6">
        <f>F32-H32</f>
        <v>161.99298785359269</v>
      </c>
      <c r="J51" s="6">
        <f>H32-J32</f>
        <v>26.661346751517613</v>
      </c>
    </row>
    <row r="52" spans="1:10" ht="16" x14ac:dyDescent="0.2">
      <c r="A52" t="s">
        <v>7</v>
      </c>
      <c r="B52">
        <v>-7.9090159514680636</v>
      </c>
      <c r="C52">
        <v>202.75705341355933</v>
      </c>
      <c r="D52">
        <v>-1.8949003156585604</v>
      </c>
      <c r="F52" s="6">
        <f>D34-F34</f>
        <v>-7.9090159514680636</v>
      </c>
      <c r="H52" s="6">
        <f>F34-H34</f>
        <v>202.75705341355933</v>
      </c>
      <c r="J52" s="6">
        <f>H34-J34</f>
        <v>-1.8949003156585604</v>
      </c>
    </row>
    <row r="53" spans="1:10" ht="16" x14ac:dyDescent="0.2">
      <c r="A53" t="s">
        <v>8</v>
      </c>
      <c r="B53">
        <v>-52.019701582888047</v>
      </c>
      <c r="C53">
        <v>150.55763198311342</v>
      </c>
      <c r="D53">
        <v>1.1321430944522035</v>
      </c>
      <c r="F53" s="6">
        <f>D35-F35</f>
        <v>-52.019701582888047</v>
      </c>
      <c r="H53" s="6">
        <f>F35-H35</f>
        <v>150.55763198311342</v>
      </c>
      <c r="J53" s="6">
        <f>H35-J35</f>
        <v>1.1321430944522035</v>
      </c>
    </row>
    <row r="54" spans="1:10" ht="16" x14ac:dyDescent="0.2">
      <c r="A54" t="s">
        <v>9</v>
      </c>
      <c r="B54">
        <v>-56.297345402082101</v>
      </c>
      <c r="C54">
        <v>131.02499515449426</v>
      </c>
      <c r="D54">
        <v>12.008473647483697</v>
      </c>
      <c r="F54" s="6">
        <f>D36-F36</f>
        <v>-56.297345402082101</v>
      </c>
      <c r="H54" s="6">
        <f>F36-H36</f>
        <v>131.02499515449426</v>
      </c>
      <c r="J54" s="6">
        <f>H36-J36</f>
        <v>12.008473647483697</v>
      </c>
    </row>
    <row r="55" spans="1:10" ht="16" x14ac:dyDescent="0.2">
      <c r="A55" t="s">
        <v>10</v>
      </c>
      <c r="B55">
        <v>-139.33387329683364</v>
      </c>
      <c r="C55">
        <v>136.89997542581432</v>
      </c>
      <c r="D55">
        <v>4.7655853458459205</v>
      </c>
      <c r="F55" s="6">
        <f>D37-F37</f>
        <v>-139.33387329683364</v>
      </c>
      <c r="H55" s="6">
        <f>F37-H37</f>
        <v>136.89997542581432</v>
      </c>
      <c r="J55" s="6">
        <f>H37-J37</f>
        <v>4.7655853458459205</v>
      </c>
    </row>
    <row r="56" spans="1:10" ht="16" x14ac:dyDescent="0.2">
      <c r="A56" t="s">
        <v>11</v>
      </c>
      <c r="B56">
        <v>1.7114959364425886</v>
      </c>
      <c r="C56">
        <v>170.29739477361227</v>
      </c>
      <c r="D56">
        <v>6.7698075320322459</v>
      </c>
      <c r="F56" s="6">
        <f>D39-F39</f>
        <v>1.7114959364425886</v>
      </c>
      <c r="H56" s="6">
        <f>F39-H39</f>
        <v>170.29739477361227</v>
      </c>
      <c r="J56" s="6">
        <f>H39-J39</f>
        <v>6.7698075320322459</v>
      </c>
    </row>
    <row r="57" spans="1:10" ht="16" x14ac:dyDescent="0.2">
      <c r="A57" t="s">
        <v>12</v>
      </c>
      <c r="B57">
        <v>-2.6522134505466965</v>
      </c>
      <c r="C57">
        <v>215.47770768983082</v>
      </c>
      <c r="D57">
        <v>0.22901196506700217</v>
      </c>
      <c r="F57" s="6">
        <f>D40-F40</f>
        <v>-2.6522134505466965</v>
      </c>
      <c r="H57" s="6">
        <f>F40-H40</f>
        <v>215.47770768983082</v>
      </c>
      <c r="J57" s="6">
        <f>H40-J40</f>
        <v>0.22901196506700217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884dd1a-1fc4-43ed-b58d-85a6d360930b}" enabled="1" method="Standard" siteId="{52aa4300-0c9b-44f7-8b8d-2322888220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Counts</cp:lastModifiedBy>
  <dcterms:modified xsi:type="dcterms:W3CDTF">2025-09-09T00:33:12Z</dcterms:modified>
</cp:coreProperties>
</file>